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13" firstSheet="4" activeTab="5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'13'!$A$1:$P$174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'22'!$A$1:$J$177</definedName>
    <definedName name="_xlnm.Print_Area" localSheetId="28">'23'!$A$1:$J$177</definedName>
    <definedName name="_xlnm.Print_Area" localSheetId="29">'24'!$A$1:$J$177</definedName>
    <definedName name="_xlnm.Print_Area" localSheetId="30">'25'!$A$1:$J$177</definedName>
    <definedName name="_xlnm.Print_Area" localSheetId="31">'26'!$A$1:$J$177</definedName>
    <definedName name="_xlnm.Print_Area" localSheetId="32">'27'!$A$1:$J$178</definedName>
    <definedName name="_xlnm.Print_Area" localSheetId="33">'28'!$A$1:$J$176</definedName>
    <definedName name="_xlnm.Print_Area" localSheetId="34">'29'!$A$1:$L$176</definedName>
    <definedName name="_xlnm.Print_Area" localSheetId="8">'3'!$A$1:$O$179</definedName>
    <definedName name="_xlnm.Print_Area" localSheetId="35">'30'!$A$1:$J$176</definedName>
    <definedName name="_xlnm.Print_Area" localSheetId="36">'31'!$A$1:$J$173</definedName>
    <definedName name="_xlnm.Print_Area" localSheetId="9">'4'!$A$1:$J$177</definedName>
    <definedName name="_xlnm.Print_Area" localSheetId="11">'6'!$A$1:$J$175</definedName>
    <definedName name="_xlnm.Print_Area" localSheetId="12">'7'!$A$1:$J$175</definedName>
    <definedName name="_xlnm.Print_Area" localSheetId="13">'8'!$A$1:$J$175</definedName>
    <definedName name="_xlnm.Print_Area" localSheetId="14">'9'!$A$1:$J$174</definedName>
  </definedNames>
  <calcPr calcId="124519"/>
</workbook>
</file>

<file path=xl/calcChain.xml><?xml version="1.0" encoding="utf-8"?>
<calcChain xmlns="http://schemas.openxmlformats.org/spreadsheetml/2006/main">
  <c r="F15" i="31"/>
  <c r="F15" i="11"/>
  <c r="F15" i="10"/>
  <c r="F8" i="11"/>
  <c r="F7"/>
  <c r="F8" i="10"/>
  <c r="F7"/>
  <c r="E82" i="4"/>
  <c r="E73" i="3"/>
  <c r="E83"/>
  <c r="G174" i="9"/>
  <c r="E174"/>
  <c r="E133" i="33"/>
  <c r="E133" i="7"/>
  <c r="E133" i="9"/>
  <c r="E115"/>
  <c r="E175" i="8"/>
  <c r="E174"/>
  <c r="G174" s="1"/>
  <c r="E173"/>
  <c r="G175" i="7"/>
  <c r="E175"/>
  <c r="E174"/>
  <c r="G174" s="1"/>
  <c r="E173"/>
  <c r="G173" s="1"/>
  <c r="E112" i="33"/>
  <c r="G173"/>
  <c r="G175"/>
  <c r="E174"/>
  <c r="G174" s="1"/>
  <c r="E175"/>
  <c r="E173"/>
  <c r="E9"/>
  <c r="G175" i="5" l="1"/>
  <c r="G174"/>
  <c r="G173"/>
  <c r="G18" i="4"/>
  <c r="G176"/>
  <c r="G175"/>
  <c r="G174"/>
  <c r="F168"/>
  <c r="G173" i="3"/>
  <c r="G174"/>
  <c r="G175"/>
  <c r="E140"/>
  <c r="G9" i="2"/>
  <c r="G7" l="1"/>
  <c r="E28"/>
  <c r="E29"/>
  <c r="G24"/>
  <c r="G23"/>
  <c r="G18"/>
  <c r="G133"/>
  <c r="H133" s="1"/>
  <c r="J133" s="1"/>
  <c r="G134"/>
  <c r="H134" s="1"/>
  <c r="J134" s="1"/>
  <c r="G135"/>
  <c r="H135" s="1"/>
  <c r="J135" s="1"/>
  <c r="I16"/>
  <c r="G174"/>
  <c r="G176"/>
  <c r="G175"/>
  <c r="G176" i="43" l="1"/>
  <c r="G175"/>
  <c r="G174"/>
  <c r="C33" i="48" l="1"/>
  <c r="D33"/>
  <c r="F33"/>
  <c r="G176" i="30"/>
  <c r="G175"/>
  <c r="G174"/>
  <c r="G176" i="29"/>
  <c r="G175"/>
  <c r="G174"/>
  <c r="B3" i="48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2"/>
  <c r="E111" i="28"/>
  <c r="E112"/>
  <c r="G177"/>
  <c r="G176"/>
  <c r="G175"/>
  <c r="G174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/>
  <c r="E126"/>
  <c r="E127"/>
  <c r="E128"/>
  <c r="E132"/>
  <c r="E133"/>
  <c r="E134"/>
  <c r="E135"/>
  <c r="E136"/>
  <c r="E137"/>
  <c r="E138"/>
  <c r="E139"/>
  <c r="E140"/>
  <c r="E141"/>
  <c r="G177"/>
  <c r="G176"/>
  <c r="G175"/>
  <c r="G174"/>
  <c r="G2" i="48"/>
  <c r="J20"/>
  <c r="K2"/>
  <c r="E2"/>
  <c r="B33" l="1"/>
  <c r="G177" i="40"/>
  <c r="G176"/>
  <c r="G175"/>
  <c r="G174"/>
  <c r="G177" i="25"/>
  <c r="G176"/>
  <c r="G175"/>
  <c r="G174"/>
  <c r="E73"/>
  <c r="E74"/>
  <c r="E75"/>
  <c r="E76"/>
  <c r="E77"/>
  <c r="E78"/>
  <c r="E79"/>
  <c r="E80"/>
  <c r="E81"/>
  <c r="E82"/>
  <c r="E83"/>
  <c r="E84"/>
  <c r="E11" i="24"/>
  <c r="E12"/>
  <c r="E175"/>
  <c r="G175" s="1"/>
  <c r="E176"/>
  <c r="G176" s="1"/>
  <c r="E177"/>
  <c r="G177" s="1"/>
  <c r="E174"/>
  <c r="G174" s="1"/>
  <c r="G177" i="23"/>
  <c r="E175"/>
  <c r="G175" s="1"/>
  <c r="E176"/>
  <c r="G176" s="1"/>
  <c r="E174"/>
  <c r="G174" s="1"/>
  <c r="E68"/>
  <c r="E50"/>
  <c r="E10"/>
  <c r="E11"/>
  <c r="E12"/>
  <c r="E175" i="22"/>
  <c r="G175" s="1"/>
  <c r="E176"/>
  <c r="G176" s="1"/>
  <c r="E174"/>
  <c r="G174" s="1"/>
  <c r="G176" i="21"/>
  <c r="G175"/>
  <c r="E10" i="22"/>
  <c r="E11"/>
  <c r="E12"/>
  <c r="E53" i="20"/>
  <c r="E93"/>
  <c r="E36" i="21"/>
  <c r="E37"/>
  <c r="E38"/>
  <c r="E39"/>
  <c r="E40"/>
  <c r="E41"/>
  <c r="E42"/>
  <c r="E43"/>
  <c r="E44"/>
  <c r="E45"/>
  <c r="E46"/>
  <c r="E83"/>
  <c r="E84"/>
  <c r="E35"/>
  <c r="E24"/>
  <c r="E11"/>
  <c r="E12"/>
  <c r="E10"/>
  <c r="E133" i="19"/>
  <c r="G133" s="1"/>
  <c r="F168" i="18"/>
  <c r="E87"/>
  <c r="E97"/>
  <c r="E93"/>
  <c r="E50" i="17"/>
  <c r="G174" i="16"/>
  <c r="G173"/>
  <c r="G174" i="15"/>
  <c r="G173"/>
  <c r="G174" i="14" l="1"/>
  <c r="G173"/>
  <c r="E50" i="13"/>
  <c r="E51"/>
  <c r="E52"/>
  <c r="E53"/>
  <c r="E54"/>
  <c r="E55"/>
  <c r="E56"/>
  <c r="E57"/>
  <c r="E58"/>
  <c r="G162" i="12" l="1"/>
  <c r="E162"/>
  <c r="E163"/>
  <c r="G163" s="1"/>
  <c r="E164"/>
  <c r="G164" s="1"/>
  <c r="E165"/>
  <c r="G165" s="1"/>
  <c r="E166"/>
  <c r="G166" s="1"/>
  <c r="E167"/>
  <c r="G167" s="1"/>
  <c r="E168"/>
  <c r="G168" s="1"/>
  <c r="E169"/>
  <c r="G169" s="1"/>
  <c r="E170"/>
  <c r="G170" s="1"/>
  <c r="E171"/>
  <c r="G171" s="1"/>
  <c r="E172"/>
  <c r="G172" s="1"/>
  <c r="E173"/>
  <c r="G173" s="1"/>
  <c r="E174"/>
  <c r="G174" s="1"/>
  <c r="E97"/>
  <c r="E98"/>
  <c r="E99"/>
  <c r="E100"/>
  <c r="E101"/>
  <c r="E94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F8" s="1"/>
  <c r="E9"/>
  <c r="E10"/>
  <c r="E11"/>
  <c r="E12"/>
  <c r="E7"/>
  <c r="F7" s="1"/>
  <c r="E132" i="11"/>
  <c r="E133"/>
  <c r="E134"/>
  <c r="E135"/>
  <c r="E136"/>
  <c r="E137"/>
  <c r="E138"/>
  <c r="E139"/>
  <c r="E140"/>
  <c r="E141"/>
  <c r="G173" i="10"/>
  <c r="G174"/>
  <c r="E165" i="9" l="1"/>
  <c r="E62"/>
  <c r="E54"/>
  <c r="E55"/>
  <c r="E56"/>
  <c r="E57"/>
  <c r="E58"/>
  <c r="E173"/>
  <c r="G173" s="1"/>
  <c r="E175"/>
  <c r="G175" s="1"/>
  <c r="G173" i="8"/>
  <c r="G175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5"/>
  <c r="E116"/>
  <c r="E117"/>
  <c r="E105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71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H33" l="1"/>
  <c r="G167" i="5"/>
  <c r="F166" i="3"/>
  <c r="F167"/>
  <c r="E167" i="4" s="1"/>
  <c r="F168" i="3"/>
  <c r="E168" i="4" s="1"/>
  <c r="F169" i="3"/>
  <c r="E169" i="4" s="1"/>
  <c r="F170" i="3"/>
  <c r="E170" i="4" s="1"/>
  <c r="F171" i="3"/>
  <c r="F172"/>
  <c r="E172" i="4" s="1"/>
  <c r="G163" i="2"/>
  <c r="E56" i="3"/>
  <c r="AZ34" i="1" l="1"/>
  <c r="AS34"/>
  <c r="E162" i="43"/>
  <c r="E163"/>
  <c r="E164"/>
  <c r="E10"/>
  <c r="E11"/>
  <c r="E12"/>
  <c r="E98" i="27"/>
  <c r="G135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5"/>
  <c r="E168"/>
  <c r="E171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71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H91" s="1"/>
  <c r="J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9"/>
  <c r="E10"/>
  <c r="E11"/>
  <c r="E12"/>
  <c r="E91" i="9"/>
  <c r="G91" s="1"/>
  <c r="H91" s="1"/>
  <c r="E134" i="7"/>
  <c r="N133" i="9"/>
  <c r="E87" i="4" l="1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J91" s="1"/>
  <c r="E91" i="30"/>
  <c r="G91" s="1"/>
  <c r="H91" s="1"/>
  <c r="J91" s="1"/>
  <c r="E91" i="43"/>
  <c r="G91" s="1"/>
  <c r="E91" i="31"/>
  <c r="G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l="1"/>
  <c r="J91" s="1"/>
  <c r="H91" i="23"/>
  <c r="H91" i="24" s="1"/>
  <c r="J91" s="1"/>
  <c r="H91" i="8"/>
  <c r="J91" s="1"/>
  <c r="H91" i="22"/>
  <c r="J91" s="1"/>
  <c r="E10" i="40"/>
  <c r="E135" i="25"/>
  <c r="E134"/>
  <c r="G174" i="21"/>
  <c r="G174" i="20"/>
  <c r="E45" i="11"/>
  <c r="E46"/>
  <c r="E105"/>
  <c r="E93" i="9"/>
  <c r="E83"/>
  <c r="H114" i="3"/>
  <c r="H114" i="4" s="1"/>
  <c r="H114" i="5" s="1"/>
  <c r="H109" i="3"/>
  <c r="H109" i="4" s="1"/>
  <c r="H109" i="5" s="1"/>
  <c r="H91" i="31" l="1"/>
  <c r="J91" s="1"/>
  <c r="J91" i="23"/>
  <c r="E77" i="7"/>
  <c r="E12" i="9"/>
  <c r="E11"/>
  <c r="E11" i="7"/>
  <c r="E12"/>
  <c r="E12" i="3"/>
  <c r="E11"/>
  <c r="E23"/>
  <c r="E22"/>
  <c r="E162" i="5"/>
  <c r="E163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G19" s="1"/>
  <c r="E10"/>
  <c r="E11"/>
  <c r="E12"/>
  <c r="E132" i="3"/>
  <c r="E133"/>
  <c r="E134"/>
  <c r="E135"/>
  <c r="E136"/>
  <c r="E137"/>
  <c r="E138"/>
  <c r="E139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4"/>
  <c r="E75"/>
  <c r="E76"/>
  <c r="E77"/>
  <c r="E78"/>
  <c r="E79"/>
  <c r="E80"/>
  <c r="E81"/>
  <c r="E82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15" i="5" s="1"/>
  <c r="E9" i="3"/>
  <c r="E9" i="4" s="1"/>
  <c r="E9" i="5" s="1"/>
  <c r="E10" i="3"/>
  <c r="E8"/>
  <c r="E8" i="4" s="1"/>
  <c r="E8" i="5" s="1"/>
  <c r="I23" s="1"/>
  <c r="G8" s="1"/>
  <c r="E7" i="3"/>
  <c r="E7" i="4" s="1"/>
  <c r="E7" i="5" s="1"/>
  <c r="I22" s="1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/>
  <c r="E9" i="10" s="1"/>
  <c r="E10" i="9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Q8" i="44" s="1"/>
  <c r="G74" i="5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I7" i="1"/>
  <c r="K7" s="1"/>
  <c r="I7" i="5"/>
  <c r="G7"/>
  <c r="H7" i="1" s="1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I18"/>
  <c r="G15"/>
  <c r="G12"/>
  <c r="G11"/>
  <c r="G10"/>
  <c r="G9"/>
  <c r="G8"/>
  <c r="I6" i="1" s="1"/>
  <c r="K6" s="1"/>
  <c r="I7" i="4"/>
  <c r="G7"/>
  <c r="H6" i="1" s="1"/>
  <c r="E166" i="4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5" i="1" s="1"/>
  <c r="K5" s="1"/>
  <c r="I7" i="3"/>
  <c r="G7"/>
  <c r="H5" i="1" s="1"/>
  <c r="F172" i="2"/>
  <c r="F171"/>
  <c r="E171" i="3" s="1"/>
  <c r="F170" i="2"/>
  <c r="E170" i="3" s="1"/>
  <c r="F169" i="2"/>
  <c r="E169" i="3" s="1"/>
  <c r="F168" i="2"/>
  <c r="F167"/>
  <c r="G165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5"/>
  <c r="D5" i="44" s="1"/>
  <c r="G12" i="2"/>
  <c r="H12" s="1"/>
  <c r="J12" s="1"/>
  <c r="G11"/>
  <c r="H11" s="1"/>
  <c r="J11" s="1"/>
  <c r="G10"/>
  <c r="H10" s="1"/>
  <c r="J10" s="1"/>
  <c r="G8"/>
  <c r="H4" i="1"/>
  <c r="G47" i="5" l="1"/>
  <c r="I4" i="1"/>
  <c r="K4" s="1"/>
  <c r="E27" i="2"/>
  <c r="G167" i="4"/>
  <c r="H140" i="3"/>
  <c r="J140" s="1"/>
  <c r="G172" i="4"/>
  <c r="G171" i="3"/>
  <c r="G171" i="4"/>
  <c r="G170"/>
  <c r="G170" i="3"/>
  <c r="G168" i="4"/>
  <c r="H133" i="3"/>
  <c r="H133" i="4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G31" s="1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H140"/>
  <c r="H140" i="5" s="1"/>
  <c r="J140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G13" i="2"/>
  <c r="I13" s="1"/>
  <c r="G20"/>
  <c r="H36"/>
  <c r="J36" s="1"/>
  <c r="G113"/>
  <c r="I141"/>
  <c r="G171"/>
  <c r="H9"/>
  <c r="J9" s="1"/>
  <c r="H18"/>
  <c r="J18" s="1"/>
  <c r="G20" i="3"/>
  <c r="G167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H24" i="2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29"/>
  <c r="G143"/>
  <c r="G66"/>
  <c r="I137"/>
  <c r="G170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J13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G29" i="2"/>
  <c r="H143"/>
  <c r="J143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G102"/>
  <c r="H102" s="1"/>
  <c r="J102" s="1"/>
  <c r="F120"/>
  <c r="H115"/>
  <c r="J115" s="1"/>
  <c r="H47" i="5" l="1"/>
  <c r="G32" i="4"/>
  <c r="H133" i="5"/>
  <c r="J133" s="1"/>
  <c r="J133" i="4"/>
  <c r="J29" i="2"/>
  <c r="H29"/>
  <c r="H29" i="3" s="1"/>
  <c r="H113" i="2"/>
  <c r="J113" s="1"/>
  <c r="G121"/>
  <c r="J49" i="3"/>
  <c r="J105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J140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0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7" i="2"/>
  <c r="H151"/>
  <c r="J151" s="1"/>
  <c r="H121"/>
  <c r="J121" s="1"/>
  <c r="F121"/>
  <c r="H153"/>
  <c r="J153" s="1"/>
  <c r="G148"/>
  <c r="H148" s="1"/>
  <c r="J148" s="1"/>
  <c r="G32" i="5"/>
  <c r="G144"/>
  <c r="F121"/>
  <c r="E121" i="33" s="1"/>
  <c r="G121" i="5"/>
  <c r="G146"/>
  <c r="G60"/>
  <c r="G152"/>
  <c r="G150"/>
  <c r="G152" i="4"/>
  <c r="G148"/>
  <c r="G154"/>
  <c r="G146"/>
  <c r="G60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H60" i="4" l="1"/>
  <c r="H113" i="3"/>
  <c r="H113" i="4" s="1"/>
  <c r="H113" i="5" s="1"/>
  <c r="J113" s="1"/>
  <c r="H20" i="3"/>
  <c r="H20" i="4" s="1"/>
  <c r="J20" s="1"/>
  <c r="I20" s="1"/>
  <c r="J134"/>
  <c r="H36" i="5"/>
  <c r="J36" s="1"/>
  <c r="H60" i="3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J47" i="5"/>
  <c r="I60" i="2"/>
  <c r="I59"/>
  <c r="J18" i="3"/>
  <c r="H18" i="4"/>
  <c r="J15"/>
  <c r="I16" s="1"/>
  <c r="J15" i="3"/>
  <c r="I16" s="1"/>
  <c r="H9" i="4"/>
  <c r="J9" i="3"/>
  <c r="J117" i="4"/>
  <c r="J97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H30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I59" i="5"/>
  <c r="I60"/>
  <c r="I60" i="4"/>
  <c r="I59"/>
  <c r="I59" i="3"/>
  <c r="I60"/>
  <c r="J113" l="1"/>
  <c r="J113" i="4"/>
  <c r="J60"/>
  <c r="J20" i="3"/>
  <c r="I20" s="1"/>
  <c r="H20" i="5"/>
  <c r="J20" s="1"/>
  <c r="I20" s="1"/>
  <c r="H8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144" i="4"/>
  <c r="J144" s="1"/>
  <c r="H148"/>
  <c r="J15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60" i="5" l="1"/>
  <c r="J60" s="1"/>
  <c r="H146"/>
  <c r="J146" s="1"/>
  <c r="H32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K31" i="47"/>
  <c r="G3" i="48"/>
  <c r="G4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G83" s="1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73" i="13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F170"/>
  <c r="F169"/>
  <c r="F168"/>
  <c r="F167"/>
  <c r="F166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F170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K3" l="1"/>
  <c r="G33" i="48"/>
  <c r="G165" i="9"/>
  <c r="G171" i="8"/>
  <c r="G165" i="10"/>
  <c r="G167" i="8"/>
  <c r="G165" i="11"/>
  <c r="G167"/>
  <c r="E4" i="48"/>
  <c r="E33" s="1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74" i="27" l="1"/>
  <c r="AP43" i="44" l="1"/>
  <c r="AP39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F170"/>
  <c r="E170" i="19" s="1"/>
  <c r="F169" i="18"/>
  <c r="E169" i="19" s="1"/>
  <c r="F167" i="18"/>
  <c r="E167" i="19" s="1"/>
  <c r="F166" i="18"/>
  <c r="E166" i="19" s="1"/>
  <c r="F165" i="18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AD27" i="44" l="1"/>
  <c r="AC24" i="49" s="1"/>
  <c r="J89" i="23"/>
  <c r="H89" i="24"/>
  <c r="J89" s="1"/>
  <c r="H88" i="43"/>
  <c r="J88" s="1"/>
  <c r="Z2" i="49"/>
  <c r="AA36" i="44"/>
  <c r="AB2" i="49"/>
  <c r="AC36" i="44"/>
  <c r="AC11" i="49"/>
  <c r="AA2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AD36" i="44" l="1"/>
  <c r="J89" i="7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8"/>
  <c r="E10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G19"/>
  <c r="E29"/>
  <c r="G29" s="1"/>
  <c r="E35"/>
  <c r="G35" s="1"/>
  <c r="E49"/>
  <c r="G49" s="1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07"/>
  <c r="E106"/>
  <c r="G106" s="1"/>
  <c r="E116" i="7"/>
  <c r="E115"/>
  <c r="E124" i="8"/>
  <c r="E116"/>
  <c r="E115"/>
  <c r="E8" i="14" l="1"/>
  <c r="F8" s="1"/>
  <c r="O8" s="1"/>
  <c r="F8" i="13"/>
  <c r="E9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G118" i="10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E8" i="15" l="1"/>
  <c r="J88" i="23"/>
  <c r="H88" i="24"/>
  <c r="J88" s="1"/>
  <c r="J86" i="23"/>
  <c r="H86" i="24"/>
  <c r="J86" s="1"/>
  <c r="J87" i="23"/>
  <c r="H87" i="24"/>
  <c r="J87" s="1"/>
  <c r="G9" i="12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E8" i="16" l="1"/>
  <c r="F8" s="1"/>
  <c r="E8" i="17" s="1"/>
  <c r="F8" s="1"/>
  <c r="F8" i="15"/>
  <c r="J86" i="7"/>
  <c r="H86" i="8"/>
  <c r="J86" s="1"/>
  <c r="E101" i="33"/>
  <c r="G8" i="16" l="1"/>
  <c r="I18" i="1" s="1"/>
  <c r="K18" s="1"/>
  <c r="E97" i="33"/>
  <c r="C19" i="44" l="1"/>
  <c r="G8" i="33"/>
  <c r="E8" i="7"/>
  <c r="G8" s="1"/>
  <c r="E29" i="43"/>
  <c r="C9" i="44" l="1"/>
  <c r="I8" i="1"/>
  <c r="K8" s="1"/>
  <c r="C10" i="44"/>
  <c r="I9" i="1"/>
  <c r="K9" s="1"/>
  <c r="N27" i="3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K32" i="49"/>
  <c r="L32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E8" i="18" l="1"/>
  <c r="K8" i="17"/>
  <c r="G72" i="15"/>
  <c r="E73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G8" i="12"/>
  <c r="G9" i="14"/>
  <c r="G58" i="12"/>
  <c r="G57"/>
  <c r="G56"/>
  <c r="G55"/>
  <c r="G54"/>
  <c r="G53"/>
  <c r="G52"/>
  <c r="G51"/>
  <c r="G50"/>
  <c r="G49"/>
  <c r="E7" i="13"/>
  <c r="F7" s="1"/>
  <c r="E8" i="19" l="1"/>
  <c r="F8" i="18"/>
  <c r="C15" i="44"/>
  <c r="I14" i="1"/>
  <c r="K14" s="1"/>
  <c r="C18" i="44"/>
  <c r="I17" i="1"/>
  <c r="K17" s="1"/>
  <c r="G7" i="13"/>
  <c r="L15" i="44"/>
  <c r="K12" i="49" s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2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6" i="15"/>
  <c r="E107"/>
  <c r="E108"/>
  <c r="E109"/>
  <c r="E110"/>
  <c r="E111"/>
  <c r="E112"/>
  <c r="E113"/>
  <c r="E114"/>
  <c r="E115"/>
  <c r="E116"/>
  <c r="E105"/>
  <c r="E106" i="14"/>
  <c r="E107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E8" i="20" l="1"/>
  <c r="F8" i="19"/>
  <c r="B16" i="44"/>
  <c r="H15" i="1"/>
  <c r="G29" i="13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/>
  <c r="G190"/>
  <c r="G186"/>
  <c r="G187"/>
  <c r="G185"/>
  <c r="G181"/>
  <c r="G182"/>
  <c r="G180"/>
  <c r="E8" i="21" l="1"/>
  <c r="F8" i="20"/>
  <c r="AU17" i="49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E8" i="22" l="1"/>
  <c r="F8" i="21"/>
  <c r="AS17" i="49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E8" i="23" l="1"/>
  <c r="F8" i="22"/>
  <c r="H115" i="31"/>
  <c r="N115" s="1"/>
  <c r="J115" i="20"/>
  <c r="H115" i="21"/>
  <c r="H121" i="33"/>
  <c r="H121" i="7" s="1"/>
  <c r="H121" i="8" s="1"/>
  <c r="H121" i="9" s="1"/>
  <c r="H121" i="10" s="1"/>
  <c r="H121" i="11" s="1"/>
  <c r="E19" i="8"/>
  <c r="E8"/>
  <c r="E8" i="24" l="1"/>
  <c r="F8" i="23"/>
  <c r="G8" s="1"/>
  <c r="E8" i="9"/>
  <c r="J115" i="31"/>
  <c r="H115" i="22"/>
  <c r="J115" s="1"/>
  <c r="J115" i="21"/>
  <c r="H115" i="33"/>
  <c r="G8" i="13"/>
  <c r="G8" i="14"/>
  <c r="G8" i="17"/>
  <c r="G8" i="18"/>
  <c r="I20" i="1" s="1"/>
  <c r="K20" s="1"/>
  <c r="G8" i="19"/>
  <c r="I21" i="1" s="1"/>
  <c r="K21" s="1"/>
  <c r="G8" i="20"/>
  <c r="G8" i="21"/>
  <c r="G8" i="22"/>
  <c r="K9" i="43"/>
  <c r="M8"/>
  <c r="E8" i="25" l="1"/>
  <c r="F8" i="24"/>
  <c r="G8" s="1"/>
  <c r="C17" i="44"/>
  <c r="I16" i="1"/>
  <c r="K16" s="1"/>
  <c r="C20" i="44"/>
  <c r="I19" i="1"/>
  <c r="K19" s="1"/>
  <c r="C23" i="44"/>
  <c r="I22" i="1"/>
  <c r="K22" s="1"/>
  <c r="C24" i="44"/>
  <c r="I23" i="1"/>
  <c r="K23" s="1"/>
  <c r="C25" i="44"/>
  <c r="I24" i="1"/>
  <c r="K24" s="1"/>
  <c r="C26" i="44"/>
  <c r="I25" i="1"/>
  <c r="K25" s="1"/>
  <c r="C16" i="44"/>
  <c r="I15" i="1"/>
  <c r="K15" s="1"/>
  <c r="G8" i="8"/>
  <c r="E8" i="10"/>
  <c r="G8" i="9"/>
  <c r="I11" i="1" s="1"/>
  <c r="K11" s="1"/>
  <c r="N11" i="19"/>
  <c r="C22" i="44"/>
  <c r="N11" i="18"/>
  <c r="C21" i="44"/>
  <c r="H115" i="7"/>
  <c r="J115" i="33"/>
  <c r="L8" i="22"/>
  <c r="E27" i="7"/>
  <c r="G27" s="1"/>
  <c r="E27" i="33"/>
  <c r="G27" s="1"/>
  <c r="E27" i="16"/>
  <c r="G27" s="1"/>
  <c r="E27" i="12"/>
  <c r="G27" s="1"/>
  <c r="E27" i="21"/>
  <c r="G27" s="1"/>
  <c r="E27" i="13"/>
  <c r="E27" i="23"/>
  <c r="G27" s="1"/>
  <c r="E27" i="15"/>
  <c r="G27" s="1"/>
  <c r="E27" i="24"/>
  <c r="G27" s="1"/>
  <c r="E27" i="17"/>
  <c r="G27" s="1"/>
  <c r="E27" i="18"/>
  <c r="G27" s="1"/>
  <c r="E27" i="19"/>
  <c r="G27" s="1"/>
  <c r="E27" i="20"/>
  <c r="G27" s="1"/>
  <c r="E27" i="22"/>
  <c r="G27" s="1"/>
  <c r="E27" i="14"/>
  <c r="G27" s="1"/>
  <c r="I26" i="1" l="1"/>
  <c r="K26" s="1"/>
  <c r="C27" i="44"/>
  <c r="E8" i="40"/>
  <c r="F8" i="25"/>
  <c r="G8" s="1"/>
  <c r="C11" i="44"/>
  <c r="I10" i="1"/>
  <c r="K10" s="1"/>
  <c r="E27" i="8"/>
  <c r="G27" s="1"/>
  <c r="E8" i="11"/>
  <c r="G8" s="1"/>
  <c r="I13" i="1" s="1"/>
  <c r="K13" s="1"/>
  <c r="G8" i="10"/>
  <c r="I12" i="1" s="1"/>
  <c r="K12" s="1"/>
  <c r="C12" i="44"/>
  <c r="E27" i="9"/>
  <c r="G27" s="1"/>
  <c r="H115" i="8"/>
  <c r="J115" i="7"/>
  <c r="G27" i="13"/>
  <c r="M10" i="29"/>
  <c r="I7"/>
  <c r="I27" i="1" l="1"/>
  <c r="K27" s="1"/>
  <c r="C28" i="44"/>
  <c r="E27" i="25"/>
  <c r="G27" s="1"/>
  <c r="E8" i="27"/>
  <c r="F8" i="40"/>
  <c r="G8" s="1"/>
  <c r="C14" i="44"/>
  <c r="E27" i="11"/>
  <c r="G27" s="1"/>
  <c r="C13" i="44"/>
  <c r="E27" i="10"/>
  <c r="G27" s="1"/>
  <c r="J115" i="8"/>
  <c r="H115" i="9"/>
  <c r="N7" i="28"/>
  <c r="E8" l="1"/>
  <c r="F8" s="1"/>
  <c r="F8" i="27"/>
  <c r="G8" s="1"/>
  <c r="I28" i="1"/>
  <c r="K28" s="1"/>
  <c r="C29" i="44"/>
  <c r="E27" i="40"/>
  <c r="G27" s="1"/>
  <c r="J115" i="9"/>
  <c r="H115" i="10"/>
  <c r="E10" i="28"/>
  <c r="L16" i="27"/>
  <c r="L19" s="1"/>
  <c r="I29" i="1" l="1"/>
  <c r="K29" s="1"/>
  <c r="C30" i="44"/>
  <c r="E27" i="27"/>
  <c r="G27" s="1"/>
  <c r="E8" i="29"/>
  <c r="F8" s="1"/>
  <c r="G8" i="28"/>
  <c r="H115" i="11"/>
  <c r="J115" s="1"/>
  <c r="J115" i="10"/>
  <c r="E23" i="27"/>
  <c r="G23" s="1"/>
  <c r="G24"/>
  <c r="I15"/>
  <c r="L10" i="40"/>
  <c r="E8" i="30" l="1"/>
  <c r="F8" s="1"/>
  <c r="G8" i="29"/>
  <c r="I30" i="1"/>
  <c r="K30" s="1"/>
  <c r="C31" i="44"/>
  <c r="E27" i="28"/>
  <c r="G27" s="1"/>
  <c r="G29" i="27"/>
  <c r="I15" i="40"/>
  <c r="J3" i="25"/>
  <c r="I3"/>
  <c r="H3"/>
  <c r="G3"/>
  <c r="I7"/>
  <c r="I15"/>
  <c r="G8" i="30" l="1"/>
  <c r="E8" i="43"/>
  <c r="E27" i="29"/>
  <c r="G27" s="1"/>
  <c r="I31" i="1"/>
  <c r="K31" s="1"/>
  <c r="C32" i="44"/>
  <c r="G18" i="21"/>
  <c r="G8" i="43" l="1"/>
  <c r="F8"/>
  <c r="C33" i="44"/>
  <c r="I32" i="1"/>
  <c r="K32" s="1"/>
  <c r="E27" i="30"/>
  <c r="G27" s="1"/>
  <c r="E31" i="2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33" l="1"/>
  <c r="I33"/>
  <c r="K33" s="1"/>
  <c r="C34" i="44"/>
  <c r="E27" i="43"/>
  <c r="G27" s="1"/>
  <c r="E8" i="31"/>
  <c r="N8" i="43"/>
  <c r="G23" i="1"/>
  <c r="G19"/>
  <c r="G21"/>
  <c r="G18"/>
  <c r="G20"/>
  <c r="G17"/>
  <c r="G22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8" i="31" l="1"/>
  <c r="F8"/>
  <c r="N8" s="1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E27" i="31" l="1"/>
  <c r="G27" s="1"/>
  <c r="G32" s="1"/>
  <c r="C35" i="44"/>
  <c r="C36" s="1"/>
  <c r="G34" i="1"/>
  <c r="G35" s="1"/>
  <c r="I34"/>
  <c r="G173" i="17"/>
  <c r="K34" i="1" l="1"/>
  <c r="E32" i="47"/>
  <c r="L34" i="1"/>
  <c r="E49" i="8"/>
  <c r="E72" l="1"/>
  <c r="E94" i="7" l="1"/>
  <c r="E132" i="25" l="1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G24" l="1"/>
  <c r="E29" s="1"/>
  <c r="G29" s="1"/>
  <c r="L28" i="44"/>
  <c r="K25" i="49" s="1"/>
  <c r="G173" i="25"/>
  <c r="E35" i="13"/>
  <c r="I7" i="9"/>
  <c r="E93" i="8"/>
  <c r="E94"/>
  <c r="I7"/>
  <c r="G141" i="25" l="1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G10"/>
  <c r="G20" l="1"/>
  <c r="E28" i="44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AA6" i="45"/>
  <c r="G120" i="25"/>
  <c r="G119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31" i="45" l="1"/>
  <c r="AA24"/>
  <c r="BD25" i="49" s="1"/>
  <c r="G60" i="25"/>
  <c r="E124" i="30"/>
  <c r="E35" i="28"/>
  <c r="G35" s="1"/>
  <c r="E36" i="23" l="1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E55" i="40" l="1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s="1"/>
  <c r="S11" i="45" s="1"/>
  <c r="E97" i="17"/>
  <c r="G97" s="1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2"/>
  <c r="E11"/>
  <c r="G11" s="1"/>
  <c r="E10"/>
  <c r="G10" s="1"/>
  <c r="I7"/>
  <c r="J3"/>
  <c r="I3"/>
  <c r="H3"/>
  <c r="G3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J33" i="44" s="1"/>
  <c r="E40" i="3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G13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4" i="29"/>
  <c r="G94" s="1"/>
  <c r="AE8" i="45" s="1"/>
  <c r="AN29" i="49" s="1"/>
  <c r="E93" i="29"/>
  <c r="G93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9"/>
  <c r="G19" s="1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E96" i="17"/>
  <c r="G96" s="1"/>
  <c r="S9" i="45" s="1"/>
  <c r="E95" i="17"/>
  <c r="E94"/>
  <c r="G94" s="1"/>
  <c r="S8" i="45" s="1"/>
  <c r="AN17" i="49" s="1"/>
  <c r="E93" i="17"/>
  <c r="G93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G125" s="1"/>
  <c r="AP18" i="44" s="1"/>
  <c r="BI15" i="49" s="1"/>
  <c r="E124" i="15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G10"/>
  <c r="E7"/>
  <c r="F7" s="1"/>
  <c r="E131" i="13"/>
  <c r="G131" s="1"/>
  <c r="E124"/>
  <c r="G124" s="1"/>
  <c r="G96"/>
  <c r="E93"/>
  <c r="G93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9"/>
  <c r="G19" s="1"/>
  <c r="E18"/>
  <c r="G10"/>
  <c r="G7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G133" i="9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47" s="1"/>
  <c r="G22"/>
  <c r="E19"/>
  <c r="G19" s="1"/>
  <c r="G119" s="1"/>
  <c r="E10"/>
  <c r="G10" s="1"/>
  <c r="E11"/>
  <c r="E12"/>
  <c r="E7" i="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B15" i="44" l="1"/>
  <c r="H14" i="1"/>
  <c r="E15" i="7"/>
  <c r="E9"/>
  <c r="G9" s="1"/>
  <c r="G13" s="1"/>
  <c r="E7" i="8"/>
  <c r="G7" i="14"/>
  <c r="H16" i="1" s="1"/>
  <c r="E9" i="16"/>
  <c r="I30" i="49"/>
  <c r="AC29" i="1"/>
  <c r="AE29" s="1"/>
  <c r="BF33"/>
  <c r="Y33"/>
  <c r="X34"/>
  <c r="AM33"/>
  <c r="AL34"/>
  <c r="AO34" s="1"/>
  <c r="BN34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E12" i="13"/>
  <c r="G12" s="1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F119" i="33"/>
  <c r="D35" i="1"/>
  <c r="F35"/>
  <c r="F38" s="1"/>
  <c r="AH30" i="45"/>
  <c r="G134" i="43"/>
  <c r="G120" i="40"/>
  <c r="H120" s="1"/>
  <c r="J12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G64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X12" i="1"/>
  <c r="L10" i="45"/>
  <c r="X14" i="1"/>
  <c r="N10" i="45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AJ31" i="1"/>
  <c r="AX32" i="44"/>
  <c r="Y31" i="1"/>
  <c r="AE11" i="45"/>
  <c r="AQ29" i="49" s="1"/>
  <c r="X31" i="1"/>
  <c r="AE10" i="45"/>
  <c r="BF31" i="1"/>
  <c r="E30" i="29"/>
  <c r="G30" s="1"/>
  <c r="AE6" i="45"/>
  <c r="AJ30" i="1"/>
  <c r="AX31" i="44"/>
  <c r="AI30" i="1"/>
  <c r="AW31" i="44"/>
  <c r="Y30" i="1"/>
  <c r="AD11" i="45"/>
  <c r="BF30" i="1"/>
  <c r="BF29"/>
  <c r="BC30"/>
  <c r="E30" i="28"/>
  <c r="G30" s="1"/>
  <c r="AD6" i="45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P5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/>
  <c r="V9"/>
  <c r="V8"/>
  <c r="G95" i="11"/>
  <c r="G149" i="16"/>
  <c r="G95" i="28"/>
  <c r="G149" i="43"/>
  <c r="AT4" i="1"/>
  <c r="G147" i="29"/>
  <c r="G149" i="28"/>
  <c r="G20" i="40"/>
  <c r="E29" i="44" s="1"/>
  <c r="AJ27" i="1"/>
  <c r="AJ28"/>
  <c r="G153" i="43"/>
  <c r="G20" i="22"/>
  <c r="G20" i="21"/>
  <c r="E24" i="44" s="1"/>
  <c r="BB36" i="1"/>
  <c r="BF36"/>
  <c r="G95" i="27"/>
  <c r="G153" i="24"/>
  <c r="G151" i="40"/>
  <c r="G20" i="13"/>
  <c r="E16" i="44" s="1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20" i="27"/>
  <c r="E30" i="44" s="1"/>
  <c r="G95" i="23"/>
  <c r="G95" i="40"/>
  <c r="G149" i="17"/>
  <c r="G20" i="42"/>
  <c r="E30" s="1"/>
  <c r="G30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G59" i="15"/>
  <c r="G20" i="14"/>
  <c r="AT27" i="1"/>
  <c r="BG17"/>
  <c r="G145" i="15"/>
  <c r="AZ26" i="1"/>
  <c r="G151" i="24"/>
  <c r="G20" i="11"/>
  <c r="E14" i="44" s="1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/>
  <c r="G149"/>
  <c r="BC15" i="1"/>
  <c r="V13"/>
  <c r="AO12"/>
  <c r="I134" i="11"/>
  <c r="G85"/>
  <c r="G143"/>
  <c r="W11" i="1"/>
  <c r="BK12"/>
  <c r="AV12"/>
  <c r="G20" i="9"/>
  <c r="BK11" i="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E5" i="47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I134"/>
  <c r="I139" i="20"/>
  <c r="V24" i="1"/>
  <c r="V15"/>
  <c r="V22"/>
  <c r="I134" i="24"/>
  <c r="G153" i="7"/>
  <c r="G47" i="16"/>
  <c r="AE19" i="1"/>
  <c r="G102" i="22"/>
  <c r="G109" i="42"/>
  <c r="G143" i="14"/>
  <c r="G95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G60" s="1"/>
  <c r="AC24" i="1"/>
  <c r="AE24" s="1"/>
  <c r="V23"/>
  <c r="AL26"/>
  <c r="G85" i="18"/>
  <c r="G47" i="17"/>
  <c r="G145" i="11"/>
  <c r="J70" i="12"/>
  <c r="H70" i="13"/>
  <c r="G143" i="33"/>
  <c r="G145" i="24"/>
  <c r="I137" i="12"/>
  <c r="G47" i="21"/>
  <c r="L47" s="1"/>
  <c r="G47" i="14"/>
  <c r="G149" i="33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E12" i="47"/>
  <c r="G102" i="27"/>
  <c r="G149" i="29"/>
  <c r="I119" i="42"/>
  <c r="G143" i="30"/>
  <c r="G113" i="42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E4"/>
  <c r="W5" i="1"/>
  <c r="E5" i="35"/>
  <c r="G5" s="1"/>
  <c r="AI5" i="1"/>
  <c r="AC5"/>
  <c r="AA5"/>
  <c r="M5" i="35"/>
  <c r="O5" s="1"/>
  <c r="BC5" i="1"/>
  <c r="BB4"/>
  <c r="AX5"/>
  <c r="AV5"/>
  <c r="AT5"/>
  <c r="AZ5"/>
  <c r="E3" i="47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E2" i="47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AZ5" i="44" l="1"/>
  <c r="BH6" i="49"/>
  <c r="AZ9" i="44"/>
  <c r="L24" i="45"/>
  <c r="BD10" i="49" s="1"/>
  <c r="BH3"/>
  <c r="AZ6" i="44"/>
  <c r="BH5" i="49"/>
  <c r="AZ8" i="44"/>
  <c r="BH4" i="49"/>
  <c r="AZ7" i="44"/>
  <c r="T24" i="45"/>
  <c r="BD18" i="49" s="1"/>
  <c r="B17" i="44"/>
  <c r="N7" i="14"/>
  <c r="E14" i="47"/>
  <c r="G144" i="14"/>
  <c r="G152"/>
  <c r="G146"/>
  <c r="G154"/>
  <c r="AG27" i="45"/>
  <c r="BF31" i="49" s="1"/>
  <c r="G148" i="14"/>
  <c r="G150"/>
  <c r="AO33" i="1"/>
  <c r="G9" i="15"/>
  <c r="G13" s="1"/>
  <c r="G9" i="33"/>
  <c r="G13" s="1"/>
  <c r="I13" s="1"/>
  <c r="G15"/>
  <c r="G7" i="7"/>
  <c r="E15" i="8"/>
  <c r="E7" i="9"/>
  <c r="O7" i="14"/>
  <c r="E7" i="15"/>
  <c r="F7" s="1"/>
  <c r="E9" i="17"/>
  <c r="G13" i="14"/>
  <c r="I13" s="1"/>
  <c r="Z33" i="1"/>
  <c r="AR31" i="49"/>
  <c r="BL34" i="1"/>
  <c r="BJ33"/>
  <c r="AH31" i="45"/>
  <c r="AF33" i="1"/>
  <c r="AB33"/>
  <c r="AE33" s="1"/>
  <c r="AA34"/>
  <c r="AE34" s="1"/>
  <c r="Z34"/>
  <c r="BM34"/>
  <c r="AK33"/>
  <c r="BJ34"/>
  <c r="AF34"/>
  <c r="BP34"/>
  <c r="G13" i="13"/>
  <c r="I13" s="1"/>
  <c r="AO18" i="1"/>
  <c r="G13" i="12"/>
  <c r="I13" s="1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AQ17"/>
  <c r="AH2"/>
  <c r="AI2"/>
  <c r="F31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E6" i="47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I2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H119" i="13"/>
  <c r="J119" s="1"/>
  <c r="G30" i="11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H119" i="30"/>
  <c r="G60"/>
  <c r="G147" i="19"/>
  <c r="G147" i="18"/>
  <c r="X36" i="1"/>
  <c r="AK20"/>
  <c r="Q25" i="45"/>
  <c r="BE15" i="49" s="1"/>
  <c r="G154" i="13"/>
  <c r="H120"/>
  <c r="J120" s="1"/>
  <c r="Z5" i="1"/>
  <c r="K11" i="35"/>
  <c r="AN6" i="44"/>
  <c r="BG3" i="49" s="1"/>
  <c r="AY5" i="44"/>
  <c r="AK18" i="1"/>
  <c r="Z17"/>
  <c r="AY18" i="44"/>
  <c r="AY17"/>
  <c r="G144" i="12"/>
  <c r="G150"/>
  <c r="AK11" i="1"/>
  <c r="G60" i="12"/>
  <c r="G152"/>
  <c r="H119"/>
  <c r="J119" s="1"/>
  <c r="H120"/>
  <c r="J120" s="1"/>
  <c r="AI15" i="44"/>
  <c r="AH12" i="49" s="1"/>
  <c r="AK15" i="44"/>
  <c r="AJ12" i="49" s="1"/>
  <c r="AJ15" i="44"/>
  <c r="AI12" i="49" s="1"/>
  <c r="G146" i="12"/>
  <c r="G148"/>
  <c r="AH15" i="44"/>
  <c r="AG12" i="49" s="1"/>
  <c r="AG15" i="44"/>
  <c r="AF12" i="49" s="1"/>
  <c r="G154" i="12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E13" i="47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G146" i="13"/>
  <c r="G148"/>
  <c r="G152"/>
  <c r="G144"/>
  <c r="G150"/>
  <c r="Z19" i="1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P28"/>
  <c r="I26" i="47" s="1"/>
  <c r="BP7" i="1"/>
  <c r="P20"/>
  <c r="I18" i="47" s="1"/>
  <c r="P15" i="1"/>
  <c r="I13" i="47" s="1"/>
  <c r="P26" i="1"/>
  <c r="I24" i="47" s="1"/>
  <c r="P6" i="1"/>
  <c r="I4" i="47" s="1"/>
  <c r="AK4" i="1"/>
  <c r="BP27"/>
  <c r="BQ27" s="1"/>
  <c r="G60" i="27"/>
  <c r="P23" i="1"/>
  <c r="I21" i="47" s="1"/>
  <c r="Z16" i="1"/>
  <c r="P22"/>
  <c r="I20" i="47" s="1"/>
  <c r="P8" i="1"/>
  <c r="I6" i="47" s="1"/>
  <c r="P13" i="1"/>
  <c r="I11" i="47" s="1"/>
  <c r="BP30" i="1"/>
  <c r="BQ30" s="1"/>
  <c r="P29"/>
  <c r="I27" i="47" s="1"/>
  <c r="Z11" i="1"/>
  <c r="AC36"/>
  <c r="G60" i="28"/>
  <c r="G60" i="17"/>
  <c r="G60" i="15"/>
  <c r="G60" i="16"/>
  <c r="AR36" i="1"/>
  <c r="BG36"/>
  <c r="P19"/>
  <c r="I17" i="47" s="1"/>
  <c r="G60" i="40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AE10" i="1"/>
  <c r="AF10"/>
  <c r="P30"/>
  <c r="I28" i="47" s="1"/>
  <c r="W36" i="1"/>
  <c r="G60" i="23"/>
  <c r="P27" i="1"/>
  <c r="AF29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Z32" i="1"/>
  <c r="P32"/>
  <c r="I30" i="47" s="1"/>
  <c r="AK32" i="1"/>
  <c r="AF32"/>
  <c r="BP32"/>
  <c r="G60" i="29"/>
  <c r="G144" i="7" l="1"/>
  <c r="H9" i="1"/>
  <c r="S10"/>
  <c r="R10"/>
  <c r="BN16"/>
  <c r="BM16"/>
  <c r="BL16"/>
  <c r="G146" i="7"/>
  <c r="D9" i="44"/>
  <c r="AN9"/>
  <c r="E28" i="33"/>
  <c r="G28" s="1"/>
  <c r="G32" s="1"/>
  <c r="G129"/>
  <c r="M8" i="1"/>
  <c r="I13" i="7"/>
  <c r="G7" i="8"/>
  <c r="G148" s="1"/>
  <c r="G152" i="7"/>
  <c r="G148"/>
  <c r="G150"/>
  <c r="B10" i="44"/>
  <c r="G154" i="7"/>
  <c r="G15"/>
  <c r="E15" i="9"/>
  <c r="G15" i="8"/>
  <c r="E7" i="10"/>
  <c r="E7" i="16"/>
  <c r="F7" s="1"/>
  <c r="G9"/>
  <c r="G13" s="1"/>
  <c r="I60" s="1"/>
  <c r="K9" i="17"/>
  <c r="G9"/>
  <c r="G13" s="1"/>
  <c r="I60" s="1"/>
  <c r="E9" i="18"/>
  <c r="I60" i="12"/>
  <c r="BQ33" i="1"/>
  <c r="AG33"/>
  <c r="AA35"/>
  <c r="AG34"/>
  <c r="S18"/>
  <c r="BQ34"/>
  <c r="R9"/>
  <c r="S9"/>
  <c r="O31" i="45"/>
  <c r="AO36" i="1"/>
  <c r="L8"/>
  <c r="I60" i="15"/>
  <c r="Y31" i="45"/>
  <c r="R31" i="1"/>
  <c r="G29" i="9"/>
  <c r="AU36" i="44"/>
  <c r="BM8" i="1"/>
  <c r="AH36" i="44"/>
  <c r="BL8" i="1"/>
  <c r="E36" i="44"/>
  <c r="N31" i="45"/>
  <c r="K36" i="44"/>
  <c r="AF36"/>
  <c r="BN8" i="1"/>
  <c r="S17"/>
  <c r="R11"/>
  <c r="J118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S33"/>
  <c r="J113" i="43"/>
  <c r="J121"/>
  <c r="J110"/>
  <c r="J106"/>
  <c r="J105"/>
  <c r="AF31" i="45"/>
  <c r="S31" i="1"/>
  <c r="S24"/>
  <c r="R24"/>
  <c r="R18"/>
  <c r="P36"/>
  <c r="R17"/>
  <c r="S16"/>
  <c r="R16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G3" i="47"/>
  <c r="I25"/>
  <c r="R25" i="1"/>
  <c r="I23" i="47"/>
  <c r="K9" i="35"/>
  <c r="I31" i="47"/>
  <c r="K13" i="35"/>
  <c r="J112" i="31"/>
  <c r="AG23" i="1"/>
  <c r="AL35"/>
  <c r="H120" i="21"/>
  <c r="H120" i="22" s="1"/>
  <c r="J120" s="1"/>
  <c r="J119" i="21"/>
  <c r="H119" i="22"/>
  <c r="J119" s="1"/>
  <c r="J119" i="20"/>
  <c r="AT6" i="44"/>
  <c r="BM3" i="49" s="1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V4" i="1"/>
  <c r="V35" s="1"/>
  <c r="T35"/>
  <c r="P35"/>
  <c r="AM35"/>
  <c r="BC35"/>
  <c r="BR4"/>
  <c r="AE35"/>
  <c r="BG35"/>
  <c r="AT35"/>
  <c r="Z35"/>
  <c r="S7"/>
  <c r="M5" i="47"/>
  <c r="S20" i="1"/>
  <c r="R22"/>
  <c r="S25"/>
  <c r="S14"/>
  <c r="S6"/>
  <c r="M4" i="47"/>
  <c r="S15" i="1"/>
  <c r="S5"/>
  <c r="R13"/>
  <c r="S4"/>
  <c r="M2" i="47"/>
  <c r="R23" i="1"/>
  <c r="R26"/>
  <c r="O5"/>
  <c r="S28"/>
  <c r="BL15"/>
  <c r="J121" i="31"/>
  <c r="AG21" i="1"/>
  <c r="J113" i="31"/>
  <c r="J105"/>
  <c r="J118"/>
  <c r="G60" i="20"/>
  <c r="BQ21" i="1"/>
  <c r="G60" i="19"/>
  <c r="Z36" i="1"/>
  <c r="AK36"/>
  <c r="K14" i="35"/>
  <c r="BQ5" i="1"/>
  <c r="BQ4"/>
  <c r="BQ32"/>
  <c r="BQ25"/>
  <c r="AG25"/>
  <c r="BQ18"/>
  <c r="BQ15"/>
  <c r="AG15"/>
  <c r="BQ10"/>
  <c r="BQ6"/>
  <c r="BQ7"/>
  <c r="L15"/>
  <c r="K15" i="35"/>
  <c r="R4" i="1"/>
  <c r="AF20"/>
  <c r="AG20" s="1"/>
  <c r="I59" i="12"/>
  <c r="BM15" i="1"/>
  <c r="BN15"/>
  <c r="G60" i="18"/>
  <c r="BP20" i="1"/>
  <c r="BQ20" s="1"/>
  <c r="BJ20"/>
  <c r="BJ35" s="1"/>
  <c r="BP36"/>
  <c r="AG7"/>
  <c r="S26"/>
  <c r="R20"/>
  <c r="R15"/>
  <c r="R6"/>
  <c r="BO6" s="1"/>
  <c r="R28"/>
  <c r="S13"/>
  <c r="H139" i="33"/>
  <c r="H134"/>
  <c r="H134" i="7" s="1"/>
  <c r="H134" i="8" s="1"/>
  <c r="S23" i="1"/>
  <c r="S22"/>
  <c r="R29"/>
  <c r="S29"/>
  <c r="R8"/>
  <c r="S8"/>
  <c r="R14"/>
  <c r="I60" i="14"/>
  <c r="AF36" i="1"/>
  <c r="R19"/>
  <c r="S19"/>
  <c r="AG18"/>
  <c r="AG36" s="1"/>
  <c r="I60" i="9"/>
  <c r="AG10" i="1"/>
  <c r="H24" i="7"/>
  <c r="J24" i="33"/>
  <c r="R27" i="1"/>
  <c r="S27"/>
  <c r="R30"/>
  <c r="S30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I59" i="13"/>
  <c r="I60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S32"/>
  <c r="R32"/>
  <c r="G152" i="8" l="1"/>
  <c r="H10" i="1"/>
  <c r="B11" i="44"/>
  <c r="G7" i="15"/>
  <c r="G146" i="8"/>
  <c r="L10" i="1"/>
  <c r="G150" i="8"/>
  <c r="G7" i="9"/>
  <c r="I59" i="8"/>
  <c r="G144"/>
  <c r="G6" i="47"/>
  <c r="M6" s="1"/>
  <c r="O8" i="1"/>
  <c r="BO8" s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32" s="1"/>
  <c r="G129"/>
  <c r="AN11" i="44"/>
  <c r="M10" i="1"/>
  <c r="D10" i="44"/>
  <c r="E28" i="7"/>
  <c r="G28" s="1"/>
  <c r="G32" s="1"/>
  <c r="AN10" i="44"/>
  <c r="M9" i="1"/>
  <c r="G129" i="7"/>
  <c r="E7" i="17"/>
  <c r="F7" s="1"/>
  <c r="E9" i="19"/>
  <c r="B12" i="44"/>
  <c r="I13" i="9"/>
  <c r="E7" i="11"/>
  <c r="J111" i="31"/>
  <c r="S36" i="1"/>
  <c r="R36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G152" i="15" l="1"/>
  <c r="H17" i="1"/>
  <c r="G144" i="9"/>
  <c r="H11" i="1"/>
  <c r="B18" i="44"/>
  <c r="G146" i="15"/>
  <c r="G154"/>
  <c r="L17" i="1"/>
  <c r="G148" i="15"/>
  <c r="G144"/>
  <c r="G150"/>
  <c r="I13"/>
  <c r="I59"/>
  <c r="G148" i="9"/>
  <c r="G152"/>
  <c r="G150"/>
  <c r="G154"/>
  <c r="O7"/>
  <c r="I59"/>
  <c r="G146"/>
  <c r="BL10" i="1"/>
  <c r="G15" i="9"/>
  <c r="G129" s="1"/>
  <c r="BN10" i="1"/>
  <c r="BM10"/>
  <c r="E8" i="47"/>
  <c r="E15" i="11"/>
  <c r="BG7" i="49"/>
  <c r="AT10" i="44"/>
  <c r="BG8" i="49"/>
  <c r="AT11" i="44"/>
  <c r="BM8" i="49" s="1"/>
  <c r="G7" i="47"/>
  <c r="M7" s="1"/>
  <c r="O9" i="1"/>
  <c r="G8" i="47"/>
  <c r="O10" i="1"/>
  <c r="BO10" s="1"/>
  <c r="G9" i="18"/>
  <c r="G13" s="1"/>
  <c r="G7" i="16"/>
  <c r="H18" i="1" s="1"/>
  <c r="E9" i="20"/>
  <c r="G9" i="19"/>
  <c r="G13" s="1"/>
  <c r="K7" i="17"/>
  <c r="E7" i="18"/>
  <c r="F7" s="1"/>
  <c r="G7" i="17"/>
  <c r="H19" i="1" s="1"/>
  <c r="E9" i="47"/>
  <c r="L11" i="1"/>
  <c r="BL11"/>
  <c r="BN11"/>
  <c r="BM11"/>
  <c r="G7" i="11"/>
  <c r="H13" i="1" s="1"/>
  <c r="G7" i="10"/>
  <c r="H12" i="1" s="1"/>
  <c r="J119" i="3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K36" i="1" l="1"/>
  <c r="BL17"/>
  <c r="BM17"/>
  <c r="BN17"/>
  <c r="E15" i="47"/>
  <c r="G15" i="10"/>
  <c r="AN13" i="44" s="1"/>
  <c r="M11" i="1"/>
  <c r="O11" s="1"/>
  <c r="M8" i="47"/>
  <c r="E28" i="9"/>
  <c r="G28" s="1"/>
  <c r="G32" s="1"/>
  <c r="AN12" i="44"/>
  <c r="AT12" s="1"/>
  <c r="BM9" i="49" s="1"/>
  <c r="D12" i="44"/>
  <c r="E15" i="12"/>
  <c r="F15" s="1"/>
  <c r="BM7" i="49"/>
  <c r="BO9" i="1"/>
  <c r="B14" i="44"/>
  <c r="G146" i="11"/>
  <c r="G148"/>
  <c r="G152"/>
  <c r="G154"/>
  <c r="G150"/>
  <c r="G144"/>
  <c r="I13"/>
  <c r="I59"/>
  <c r="E7" i="19"/>
  <c r="F7" s="1"/>
  <c r="G7" i="18"/>
  <c r="B13" i="44"/>
  <c r="G146" i="10"/>
  <c r="G144"/>
  <c r="G154"/>
  <c r="I13"/>
  <c r="G150"/>
  <c r="G152"/>
  <c r="G148"/>
  <c r="I59"/>
  <c r="B20" i="44"/>
  <c r="G146" i="17"/>
  <c r="G144"/>
  <c r="G148"/>
  <c r="G150"/>
  <c r="G152"/>
  <c r="G154"/>
  <c r="I59"/>
  <c r="I13"/>
  <c r="I60" i="18"/>
  <c r="I60" i="19"/>
  <c r="B19" i="44"/>
  <c r="G150" i="16"/>
  <c r="G148"/>
  <c r="G152"/>
  <c r="G146"/>
  <c r="G144"/>
  <c r="G154"/>
  <c r="I59"/>
  <c r="I13"/>
  <c r="E9" i="2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M12" i="1" l="1"/>
  <c r="O12" s="1"/>
  <c r="BO11"/>
  <c r="I13" i="18"/>
  <c r="H20" i="1"/>
  <c r="D13" i="44"/>
  <c r="E28" i="10"/>
  <c r="G28" s="1"/>
  <c r="G32" s="1"/>
  <c r="G129"/>
  <c r="G9" i="47"/>
  <c r="M9" s="1"/>
  <c r="G15" i="11"/>
  <c r="E28" s="1"/>
  <c r="G28" s="1"/>
  <c r="G32" s="1"/>
  <c r="G9" i="20"/>
  <c r="G13" s="1"/>
  <c r="I60" s="1"/>
  <c r="BG9" i="49"/>
  <c r="E15" i="13"/>
  <c r="BG10" i="49"/>
  <c r="AT13" i="44"/>
  <c r="BM10" i="49" s="1"/>
  <c r="E11" i="47"/>
  <c r="BM13" i="1"/>
  <c r="L13"/>
  <c r="BN13"/>
  <c r="BL13"/>
  <c r="E7" i="20"/>
  <c r="F7" s="1"/>
  <c r="G7" i="19"/>
  <c r="H21" i="1" s="1"/>
  <c r="B21" i="44"/>
  <c r="G144" i="18"/>
  <c r="G150"/>
  <c r="G154"/>
  <c r="G152"/>
  <c r="G148"/>
  <c r="G146"/>
  <c r="I59"/>
  <c r="E16" i="47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G15" i="13" l="1"/>
  <c r="D16" i="44" s="1"/>
  <c r="F15" i="13"/>
  <c r="E15" i="14" s="1"/>
  <c r="F15" s="1"/>
  <c r="H28" i="10"/>
  <c r="J28" s="1"/>
  <c r="G10" i="47"/>
  <c r="M10" s="1"/>
  <c r="D14" i="44"/>
  <c r="AN14"/>
  <c r="BG11" i="49" s="1"/>
  <c r="G129" i="11"/>
  <c r="M13" i="1"/>
  <c r="O13" s="1"/>
  <c r="BO13" s="1"/>
  <c r="G9" i="21"/>
  <c r="G13" s="1"/>
  <c r="I60" s="1"/>
  <c r="G15" i="12"/>
  <c r="D15" i="44" s="1"/>
  <c r="BO12" i="1"/>
  <c r="E18" i="47"/>
  <c r="L20" i="1"/>
  <c r="BN20"/>
  <c r="BM20"/>
  <c r="BL20"/>
  <c r="E7" i="21"/>
  <c r="F7" s="1"/>
  <c r="G7" i="20"/>
  <c r="H22" i="1" s="1"/>
  <c r="E9" i="23"/>
  <c r="B22" i="44"/>
  <c r="G152" i="19"/>
  <c r="G146"/>
  <c r="G150"/>
  <c r="G154"/>
  <c r="G148"/>
  <c r="G144"/>
  <c r="I59"/>
  <c r="I13"/>
  <c r="J46" i="10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E15" i="15" l="1"/>
  <c r="F15" s="1"/>
  <c r="G15" i="14"/>
  <c r="AT14" i="44"/>
  <c r="BM11" i="49" s="1"/>
  <c r="E28" i="13"/>
  <c r="G28" s="1"/>
  <c r="G32" s="1"/>
  <c r="M15" i="1"/>
  <c r="AN16" i="44"/>
  <c r="G129" i="13"/>
  <c r="H28" i="11"/>
  <c r="J28" s="1"/>
  <c r="G11" i="47"/>
  <c r="M11" s="1"/>
  <c r="E28" i="12"/>
  <c r="G28" s="1"/>
  <c r="G32" s="1"/>
  <c r="AN15" i="44"/>
  <c r="AT15" s="1"/>
  <c r="BM12" i="49" s="1"/>
  <c r="G129" i="12"/>
  <c r="M14" i="1"/>
  <c r="G12" i="47" s="1"/>
  <c r="M12" s="1"/>
  <c r="G13"/>
  <c r="M13" s="1"/>
  <c r="O15" i="1"/>
  <c r="BO15" s="1"/>
  <c r="BG13" i="49"/>
  <c r="AT16" i="44"/>
  <c r="BM13" i="49" s="1"/>
  <c r="B23" i="44"/>
  <c r="G148" i="20"/>
  <c r="G152"/>
  <c r="G154"/>
  <c r="G144"/>
  <c r="G150"/>
  <c r="G146"/>
  <c r="I59"/>
  <c r="I13"/>
  <c r="G9" i="22"/>
  <c r="G13" s="1"/>
  <c r="E9" i="24"/>
  <c r="E19" i="47"/>
  <c r="BN21" i="1"/>
  <c r="L21"/>
  <c r="BM21"/>
  <c r="BL21"/>
  <c r="E7" i="22"/>
  <c r="F7" s="1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D17" i="44" l="1"/>
  <c r="M16" i="1"/>
  <c r="E28" i="14"/>
  <c r="G28" s="1"/>
  <c r="G32" s="1"/>
  <c r="AN17" i="44"/>
  <c r="G129" i="14"/>
  <c r="E15" i="16"/>
  <c r="G15" i="15"/>
  <c r="O14" i="1"/>
  <c r="H28" i="12"/>
  <c r="H28" i="13" s="1"/>
  <c r="G9" i="23"/>
  <c r="G13" s="1"/>
  <c r="I60" s="1"/>
  <c r="BG12" i="49"/>
  <c r="BO14" i="1"/>
  <c r="E20" i="47"/>
  <c r="L22" i="1"/>
  <c r="BM22"/>
  <c r="BL22"/>
  <c r="BN22"/>
  <c r="I60" i="22"/>
  <c r="G7" i="21"/>
  <c r="H23" i="1" s="1"/>
  <c r="E7" i="23"/>
  <c r="F7" s="1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G14" i="47" l="1"/>
  <c r="M14" s="1"/>
  <c r="O16" i="1"/>
  <c r="BO16" s="1"/>
  <c r="BG14" i="49"/>
  <c r="AT17" i="44"/>
  <c r="G15" i="16"/>
  <c r="F15"/>
  <c r="E15" i="17" s="1"/>
  <c r="AN18" i="44"/>
  <c r="M17" i="1"/>
  <c r="G129" i="15"/>
  <c r="D18" i="44"/>
  <c r="E28" i="15"/>
  <c r="G28" s="1"/>
  <c r="G32" s="1"/>
  <c r="G7" i="22"/>
  <c r="J28" i="12"/>
  <c r="E7" i="24"/>
  <c r="F7" s="1"/>
  <c r="G7" i="23"/>
  <c r="H25" i="1" s="1"/>
  <c r="E9" i="40"/>
  <c r="G9" i="25"/>
  <c r="G13" s="1"/>
  <c r="I60" s="1"/>
  <c r="I60" i="24"/>
  <c r="B24" i="44"/>
  <c r="L7" i="21"/>
  <c r="G154"/>
  <c r="G144"/>
  <c r="G152"/>
  <c r="G148"/>
  <c r="G146"/>
  <c r="G150"/>
  <c r="I59"/>
  <c r="I13"/>
  <c r="H31" i="13"/>
  <c r="J31" i="12"/>
  <c r="J153" i="10"/>
  <c r="H153" i="11"/>
  <c r="H30" i="12"/>
  <c r="J30" s="1"/>
  <c r="J60" i="10"/>
  <c r="H60" i="11"/>
  <c r="H60" i="12" s="1"/>
  <c r="H29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BM14" i="49" l="1"/>
  <c r="BA17" i="44"/>
  <c r="G129" i="16"/>
  <c r="AN19" i="44"/>
  <c r="D19"/>
  <c r="E28" i="16"/>
  <c r="G28" s="1"/>
  <c r="G32" s="1"/>
  <c r="M18" i="1"/>
  <c r="F15" i="17"/>
  <c r="G15" s="1"/>
  <c r="AT18" i="44"/>
  <c r="BG15" i="49"/>
  <c r="O17" i="1"/>
  <c r="BO17" s="1"/>
  <c r="G15" i="47"/>
  <c r="M15" s="1"/>
  <c r="L7" i="22"/>
  <c r="H24" i="1"/>
  <c r="E22" i="47"/>
  <c r="G150" i="22"/>
  <c r="I13"/>
  <c r="G152"/>
  <c r="G146"/>
  <c r="G148"/>
  <c r="G154"/>
  <c r="B25" i="44"/>
  <c r="I59" i="22"/>
  <c r="G144"/>
  <c r="E21" i="47"/>
  <c r="BM23" i="1"/>
  <c r="L23"/>
  <c r="BL23"/>
  <c r="BN23"/>
  <c r="E7" i="25"/>
  <c r="F7" s="1"/>
  <c r="G7" i="24"/>
  <c r="H26" i="1" s="1"/>
  <c r="B26" i="44"/>
  <c r="G148" i="23"/>
  <c r="G146"/>
  <c r="G150"/>
  <c r="I13"/>
  <c r="G144"/>
  <c r="G152"/>
  <c r="G154"/>
  <c r="I59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BM15" i="49" l="1"/>
  <c r="BA18" i="44"/>
  <c r="BG16" i="49"/>
  <c r="AT19" i="44"/>
  <c r="O18" i="1"/>
  <c r="M36"/>
  <c r="G16" i="47"/>
  <c r="M16" s="1"/>
  <c r="AN20" i="44"/>
  <c r="M19" i="1"/>
  <c r="E28" i="17"/>
  <c r="G28" s="1"/>
  <c r="G32" s="1"/>
  <c r="G129"/>
  <c r="H129" s="1"/>
  <c r="J129" s="1"/>
  <c r="D20" i="44"/>
  <c r="E15" i="18"/>
  <c r="F15" s="1"/>
  <c r="H31" i="15"/>
  <c r="J31" s="1"/>
  <c r="J31" i="14"/>
  <c r="L24" i="1"/>
  <c r="BN24"/>
  <c r="BL24"/>
  <c r="BM24"/>
  <c r="E23" i="47"/>
  <c r="BN25" i="1"/>
  <c r="BL25"/>
  <c r="BM25"/>
  <c r="L25"/>
  <c r="E7" i="40"/>
  <c r="F7" s="1"/>
  <c r="E9" i="28"/>
  <c r="B27" i="44"/>
  <c r="G146" i="24"/>
  <c r="G144"/>
  <c r="G150"/>
  <c r="G154"/>
  <c r="G148"/>
  <c r="G152"/>
  <c r="I59"/>
  <c r="I13"/>
  <c r="I60" i="40"/>
  <c r="J153" i="13"/>
  <c r="H153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AT20" i="44" l="1"/>
  <c r="BG17" i="49"/>
  <c r="O19" i="1"/>
  <c r="BO19" s="1"/>
  <c r="G17" i="47"/>
  <c r="M17" s="1"/>
  <c r="BA19" i="44"/>
  <c r="BM16" i="49"/>
  <c r="O36" i="1"/>
  <c r="BO18"/>
  <c r="BO36" s="1"/>
  <c r="E15" i="19"/>
  <c r="F15" s="1"/>
  <c r="G15" i="18"/>
  <c r="H31" i="16"/>
  <c r="G7" i="25"/>
  <c r="E9" i="29"/>
  <c r="E24" i="47"/>
  <c r="L26" i="1"/>
  <c r="BN26"/>
  <c r="BM26"/>
  <c r="BL26"/>
  <c r="E7" i="27"/>
  <c r="F7" s="1"/>
  <c r="G7" i="40"/>
  <c r="H28" i="1" s="1"/>
  <c r="G9" i="27"/>
  <c r="G13" s="1"/>
  <c r="J153" i="14"/>
  <c r="H153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E15" i="20" l="1"/>
  <c r="F15" s="1"/>
  <c r="G15" i="19"/>
  <c r="BA20" i="44"/>
  <c r="BM17" i="49"/>
  <c r="D21" i="44"/>
  <c r="AN21"/>
  <c r="M20" i="1"/>
  <c r="E28" i="18"/>
  <c r="G28" s="1"/>
  <c r="G32" s="1"/>
  <c r="G129"/>
  <c r="H129" s="1"/>
  <c r="J129" s="1"/>
  <c r="B28" i="44"/>
  <c r="H27" i="1"/>
  <c r="H31" i="17"/>
  <c r="H31" i="18" s="1"/>
  <c r="H31" i="19" s="1"/>
  <c r="H31" i="20" s="1"/>
  <c r="J31" i="16"/>
  <c r="I13" i="25"/>
  <c r="G154"/>
  <c r="G146"/>
  <c r="G148"/>
  <c r="G150"/>
  <c r="G144"/>
  <c r="I59"/>
  <c r="G152"/>
  <c r="E25" i="47"/>
  <c r="G9" i="28"/>
  <c r="G13" s="1"/>
  <c r="E7"/>
  <c r="F7" s="1"/>
  <c r="G7" i="27"/>
  <c r="E9" i="30"/>
  <c r="G9" i="29"/>
  <c r="G13" s="1"/>
  <c r="B29" i="44"/>
  <c r="N7" i="40"/>
  <c r="N11" s="1"/>
  <c r="G144"/>
  <c r="G146"/>
  <c r="G150"/>
  <c r="G154"/>
  <c r="G152"/>
  <c r="G148"/>
  <c r="I59"/>
  <c r="I13"/>
  <c r="I60" i="27"/>
  <c r="J153" i="15"/>
  <c r="H153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G15" i="20" l="1"/>
  <c r="E15" i="21"/>
  <c r="F15" s="1"/>
  <c r="E28" i="19"/>
  <c r="G28" s="1"/>
  <c r="G32" s="1"/>
  <c r="D22" i="44"/>
  <c r="G129" i="19"/>
  <c r="H129" s="1"/>
  <c r="J129" s="1"/>
  <c r="M21" i="1"/>
  <c r="AN22" i="44"/>
  <c r="BG18" i="49"/>
  <c r="AT21" i="44"/>
  <c r="O20" i="1"/>
  <c r="BO20" s="1"/>
  <c r="G18" i="47"/>
  <c r="M18" s="1"/>
  <c r="I13" i="27"/>
  <c r="H29" i="1"/>
  <c r="H31" i="21"/>
  <c r="J31" i="20"/>
  <c r="BL27" i="1"/>
  <c r="BN27"/>
  <c r="L27"/>
  <c r="BM27"/>
  <c r="I60" i="28"/>
  <c r="E7" i="29"/>
  <c r="F7" s="1"/>
  <c r="G7" i="28"/>
  <c r="B30" i="44"/>
  <c r="G146" i="27"/>
  <c r="G150"/>
  <c r="G152"/>
  <c r="G144"/>
  <c r="G154"/>
  <c r="G148"/>
  <c r="I59"/>
  <c r="G9" i="30"/>
  <c r="G13" s="1"/>
  <c r="I60" i="29"/>
  <c r="E26" i="47"/>
  <c r="BN28" i="1"/>
  <c r="BL28"/>
  <c r="BM28"/>
  <c r="L28"/>
  <c r="J153" i="16"/>
  <c r="H153" i="17"/>
  <c r="H30"/>
  <c r="J30" s="1"/>
  <c r="H29"/>
  <c r="J29" i="16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E28" i="20" l="1"/>
  <c r="G28" s="1"/>
  <c r="G32" s="1"/>
  <c r="M22" i="1"/>
  <c r="G129" i="20"/>
  <c r="H129" s="1"/>
  <c r="J129" s="1"/>
  <c r="AN23" i="44"/>
  <c r="D23"/>
  <c r="BA21"/>
  <c r="BM18" i="49"/>
  <c r="E15" i="22"/>
  <c r="F15" s="1"/>
  <c r="G15" i="21"/>
  <c r="O21" i="1"/>
  <c r="BO21" s="1"/>
  <c r="G19" i="47"/>
  <c r="M19" s="1"/>
  <c r="H28" i="19"/>
  <c r="BG19" i="49"/>
  <c r="AT22" i="44"/>
  <c r="I13" i="28"/>
  <c r="H30" i="1"/>
  <c r="H31" i="22"/>
  <c r="J31" i="21"/>
  <c r="E7" i="30"/>
  <c r="F7" s="1"/>
  <c r="B31" i="44"/>
  <c r="G144" i="28"/>
  <c r="G148"/>
  <c r="G150"/>
  <c r="G154"/>
  <c r="G146"/>
  <c r="G152"/>
  <c r="I59"/>
  <c r="I60" i="30"/>
  <c r="E27" i="47"/>
  <c r="BL29" i="1"/>
  <c r="BM29"/>
  <c r="BN29"/>
  <c r="L29"/>
  <c r="E9" i="43"/>
  <c r="F9" s="1"/>
  <c r="E9" i="42"/>
  <c r="G9" s="1"/>
  <c r="G13" s="1"/>
  <c r="I59" s="1"/>
  <c r="J153" i="17"/>
  <c r="H153" i="18"/>
  <c r="H30"/>
  <c r="H30" i="19" s="1"/>
  <c r="J30" s="1"/>
  <c r="J29" i="17"/>
  <c r="H29" i="18"/>
  <c r="J28" i="19"/>
  <c r="H27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O22" i="1" l="1"/>
  <c r="BO22" s="1"/>
  <c r="G20" i="47"/>
  <c r="M20" s="1"/>
  <c r="AN24" i="44"/>
  <c r="G129" i="21"/>
  <c r="H129" s="1"/>
  <c r="J129" s="1"/>
  <c r="D24" i="44"/>
  <c r="M23" i="1"/>
  <c r="E28" i="21"/>
  <c r="G28" s="1"/>
  <c r="G32" s="1"/>
  <c r="AT23" i="44"/>
  <c r="BG20" i="49"/>
  <c r="BM19"/>
  <c r="BA22" i="44"/>
  <c r="H28" i="20"/>
  <c r="E15" i="23"/>
  <c r="F15" s="1"/>
  <c r="G15" i="22"/>
  <c r="H31" i="23"/>
  <c r="J31" i="22"/>
  <c r="G7" i="29"/>
  <c r="G7" i="30"/>
  <c r="H32" i="1" s="1"/>
  <c r="E7" i="42"/>
  <c r="G7" s="1"/>
  <c r="E7" i="43"/>
  <c r="F7" s="1"/>
  <c r="N9"/>
  <c r="E9" i="31"/>
  <c r="F9" s="1"/>
  <c r="G9" i="43"/>
  <c r="G13" s="1"/>
  <c r="I60" s="1"/>
  <c r="E28" i="47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AT24" i="44" l="1"/>
  <c r="BG21" i="49"/>
  <c r="BA23" i="44"/>
  <c r="BM20" i="49"/>
  <c r="E15" i="24"/>
  <c r="F15" s="1"/>
  <c r="G15" i="23"/>
  <c r="O23" i="1"/>
  <c r="BO23" s="1"/>
  <c r="G21" i="47"/>
  <c r="M21" s="1"/>
  <c r="M24" i="1"/>
  <c r="D25" i="44"/>
  <c r="G129" i="22"/>
  <c r="H129" s="1"/>
  <c r="J129" s="1"/>
  <c r="E28"/>
  <c r="G28" s="1"/>
  <c r="G32" s="1"/>
  <c r="AN25" i="44"/>
  <c r="G146" i="29"/>
  <c r="H31" i="1"/>
  <c r="H31" i="24"/>
  <c r="H31" i="25" s="1"/>
  <c r="H31" i="40" s="1"/>
  <c r="H31" i="27" s="1"/>
  <c r="H31" i="28" s="1"/>
  <c r="H31" i="29" s="1"/>
  <c r="J31" i="23"/>
  <c r="B32" i="44"/>
  <c r="G150" i="29"/>
  <c r="I59"/>
  <c r="I13"/>
  <c r="G148"/>
  <c r="G152"/>
  <c r="BL31" i="1"/>
  <c r="G154" i="29"/>
  <c r="G144"/>
  <c r="B33" i="44"/>
  <c r="G152" i="30"/>
  <c r="G146"/>
  <c r="G148"/>
  <c r="G150"/>
  <c r="G144"/>
  <c r="G154"/>
  <c r="I59"/>
  <c r="I13"/>
  <c r="E29" i="47"/>
  <c r="E27" i="42"/>
  <c r="G27" s="1"/>
  <c r="G104"/>
  <c r="I13"/>
  <c r="G114"/>
  <c r="G108"/>
  <c r="G110"/>
  <c r="I58"/>
  <c r="G106"/>
  <c r="G112"/>
  <c r="N7" i="43"/>
  <c r="E7" i="31"/>
  <c r="F7" s="1"/>
  <c r="G9"/>
  <c r="G13" s="1"/>
  <c r="I60" s="1"/>
  <c r="N9"/>
  <c r="H153" i="20"/>
  <c r="J153" i="19"/>
  <c r="H30" i="21"/>
  <c r="J30" s="1"/>
  <c r="J29" i="19"/>
  <c r="H29" i="20"/>
  <c r="J27"/>
  <c r="H27" i="21"/>
  <c r="J28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O24" i="1" l="1"/>
  <c r="BO24" s="1"/>
  <c r="G22" i="47"/>
  <c r="M22" s="1"/>
  <c r="BA24" i="44"/>
  <c r="BM21" i="49"/>
  <c r="BG22"/>
  <c r="AT25" i="44"/>
  <c r="E15" i="25"/>
  <c r="F15" s="1"/>
  <c r="G15" i="24"/>
  <c r="H28" i="22"/>
  <c r="H28" i="23" s="1"/>
  <c r="M25" i="1"/>
  <c r="D26" i="44"/>
  <c r="G129" i="23"/>
  <c r="H129" s="1"/>
  <c r="J129" s="1"/>
  <c r="AN26" i="44"/>
  <c r="E28" i="23"/>
  <c r="G28" s="1"/>
  <c r="G32" s="1"/>
  <c r="H31" i="30"/>
  <c r="H31" i="43" s="1"/>
  <c r="J31" s="1"/>
  <c r="J31" i="29"/>
  <c r="L31" i="1"/>
  <c r="BN31"/>
  <c r="BM31"/>
  <c r="E30" i="47"/>
  <c r="BM32" i="1"/>
  <c r="BL32"/>
  <c r="BN32"/>
  <c r="L32"/>
  <c r="N7" i="31"/>
  <c r="G7"/>
  <c r="H34" i="1" s="1"/>
  <c r="J153" i="20"/>
  <c r="H153" i="21"/>
  <c r="H30" i="22"/>
  <c r="J30" s="1"/>
  <c r="J29" i="20"/>
  <c r="H29" i="21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AN27" i="44" l="1"/>
  <c r="E28" i="24"/>
  <c r="G28" s="1"/>
  <c r="G32" s="1"/>
  <c r="D27" i="44"/>
  <c r="G129" i="24"/>
  <c r="H129" s="1"/>
  <c r="J129" s="1"/>
  <c r="M26" i="1"/>
  <c r="E15" i="40"/>
  <c r="F15" s="1"/>
  <c r="G15" i="25"/>
  <c r="O25" i="1"/>
  <c r="BO25" s="1"/>
  <c r="G23" i="47"/>
  <c r="M23" s="1"/>
  <c r="AT26" i="44"/>
  <c r="BG23" i="49"/>
  <c r="BA25" i="44"/>
  <c r="BM22" i="49"/>
  <c r="H31" i="31"/>
  <c r="J31" s="1"/>
  <c r="G148"/>
  <c r="G146"/>
  <c r="G152"/>
  <c r="G144"/>
  <c r="G154"/>
  <c r="B35" i="44"/>
  <c r="I13" i="31"/>
  <c r="I59"/>
  <c r="G150"/>
  <c r="J153" i="21"/>
  <c r="H153" i="22"/>
  <c r="H30" i="23"/>
  <c r="J30" s="1"/>
  <c r="J29" i="21"/>
  <c r="H29" i="22"/>
  <c r="H32" i="21"/>
  <c r="J32" i="20"/>
  <c r="J28" i="23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BA26" i="44" l="1"/>
  <c r="BM23" i="49"/>
  <c r="BG24"/>
  <c r="AT27" i="44"/>
  <c r="O26" i="1"/>
  <c r="BO26" s="1"/>
  <c r="G24" i="47"/>
  <c r="M24" s="1"/>
  <c r="E15" i="27"/>
  <c r="F15" s="1"/>
  <c r="G15" i="40"/>
  <c r="H28" i="24"/>
  <c r="J28" s="1"/>
  <c r="G129" i="25"/>
  <c r="H129" s="1"/>
  <c r="J129" s="1"/>
  <c r="M27" i="1"/>
  <c r="AN28" i="44"/>
  <c r="E28" i="25"/>
  <c r="G28" s="1"/>
  <c r="G32" s="1"/>
  <c r="D28" i="44"/>
  <c r="BO34" i="1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E28" i="40" l="1"/>
  <c r="G28" s="1"/>
  <c r="G32" s="1"/>
  <c r="G129"/>
  <c r="H129" s="1"/>
  <c r="J129" s="1"/>
  <c r="AN29" i="44"/>
  <c r="M28" i="1"/>
  <c r="D29" i="44"/>
  <c r="O27" i="1"/>
  <c r="G25" i="47"/>
  <c r="M25" s="1"/>
  <c r="BA27" i="44"/>
  <c r="BM24" i="49"/>
  <c r="H28" i="25"/>
  <c r="BG25" i="49"/>
  <c r="AT28" i="44"/>
  <c r="E15" i="28"/>
  <c r="F15" s="1"/>
  <c r="G15" i="27"/>
  <c r="H153" i="24"/>
  <c r="J153" i="23"/>
  <c r="J30" i="24"/>
  <c r="J29" i="23"/>
  <c r="H29" i="24"/>
  <c r="H128" i="25"/>
  <c r="J128" s="1"/>
  <c r="J128" i="24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AT29" i="44" l="1"/>
  <c r="BG26" i="49"/>
  <c r="G26" i="47"/>
  <c r="M26" s="1"/>
  <c r="O28" i="1"/>
  <c r="BO28" s="1"/>
  <c r="BA28" i="44"/>
  <c r="BM25" i="49"/>
  <c r="BO27" i="1"/>
  <c r="E15" i="29"/>
  <c r="F15" s="1"/>
  <c r="G15" i="28"/>
  <c r="AN30" i="44"/>
  <c r="M29" i="1"/>
  <c r="D30" i="44"/>
  <c r="G129" i="27"/>
  <c r="H129" s="1"/>
  <c r="J129" s="1"/>
  <c r="E28"/>
  <c r="G28" s="1"/>
  <c r="G32" s="1"/>
  <c r="H28" i="40"/>
  <c r="J28" s="1"/>
  <c r="J13" i="25"/>
  <c r="H13" i="40"/>
  <c r="J60" i="23"/>
  <c r="H47" i="24"/>
  <c r="H47" i="25" s="1"/>
  <c r="J47" s="1"/>
  <c r="H153"/>
  <c r="J153" i="24"/>
  <c r="H29" i="25"/>
  <c r="J29" i="24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E28" i="28" l="1"/>
  <c r="G28" s="1"/>
  <c r="G32" s="1"/>
  <c r="AN31" i="44"/>
  <c r="M30" i="1"/>
  <c r="G129" i="28"/>
  <c r="H129" s="1"/>
  <c r="J129" s="1"/>
  <c r="D31" i="44"/>
  <c r="E15" i="30"/>
  <c r="F15" s="1"/>
  <c r="G15" i="29"/>
  <c r="BG27" i="49"/>
  <c r="AT30" i="44"/>
  <c r="H28" i="27"/>
  <c r="J28" s="1"/>
  <c r="O29" i="1"/>
  <c r="G27" i="47"/>
  <c r="M27" s="1"/>
  <c r="BA29" i="44"/>
  <c r="BM26" i="49"/>
  <c r="J153" i="25"/>
  <c r="H153" i="40"/>
  <c r="H29"/>
  <c r="J29" i="25"/>
  <c r="H32"/>
  <c r="J32" i="24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BA30" i="44" l="1"/>
  <c r="BM27" i="49"/>
  <c r="AT31" i="44"/>
  <c r="BG28" i="49"/>
  <c r="BO29" i="1"/>
  <c r="O30"/>
  <c r="BO30" s="1"/>
  <c r="G28" i="47"/>
  <c r="M28" s="1"/>
  <c r="G15" i="30"/>
  <c r="E15" i="42"/>
  <c r="G15" s="1"/>
  <c r="E28" s="1"/>
  <c r="G28" s="1"/>
  <c r="G31" s="1"/>
  <c r="E15" i="43"/>
  <c r="F15" s="1"/>
  <c r="H28" i="28"/>
  <c r="D32" i="44"/>
  <c r="E28" i="29"/>
  <c r="G28" s="1"/>
  <c r="G32" s="1"/>
  <c r="M31" i="1"/>
  <c r="G129" i="29"/>
  <c r="AN32" i="44"/>
  <c r="J153" i="40"/>
  <c r="H153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AT32" i="44" l="1"/>
  <c r="BG29" i="49"/>
  <c r="G129" i="30"/>
  <c r="M32" i="1"/>
  <c r="E28" i="30"/>
  <c r="G28" s="1"/>
  <c r="G32" s="1"/>
  <c r="D33" i="44"/>
  <c r="AN33"/>
  <c r="BM28" i="49"/>
  <c r="BA31" i="44"/>
  <c r="N15" i="43"/>
  <c r="G15"/>
  <c r="O31" i="1"/>
  <c r="G29" i="47"/>
  <c r="M29" s="1"/>
  <c r="H134" i="31"/>
  <c r="J134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BA32" i="44" l="1"/>
  <c r="BM29" i="49"/>
  <c r="D34" i="44"/>
  <c r="D36" s="1"/>
  <c r="M33" i="1"/>
  <c r="AN34" i="44"/>
  <c r="E28" i="43"/>
  <c r="G28" s="1"/>
  <c r="G32" s="1"/>
  <c r="G129"/>
  <c r="O32" i="1"/>
  <c r="BO32" s="1"/>
  <c r="G30" i="47"/>
  <c r="M30" s="1"/>
  <c r="BO31" i="1"/>
  <c r="BG30" i="49"/>
  <c r="AT33" i="44"/>
  <c r="J153" i="28"/>
  <c r="H153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O33" i="1" l="1"/>
  <c r="O35" s="1"/>
  <c r="G31" i="47"/>
  <c r="M35" i="1"/>
  <c r="BA33" i="44"/>
  <c r="BM30" i="49"/>
  <c r="AT36" i="44"/>
  <c r="AT34"/>
  <c r="BG31" i="49"/>
  <c r="AN36" i="44"/>
  <c r="H12" i="31"/>
  <c r="J12" s="1"/>
  <c r="H132"/>
  <c r="J132" s="1"/>
  <c r="H11"/>
  <c r="J11" s="1"/>
  <c r="H139"/>
  <c r="J139" s="1"/>
  <c r="H141"/>
  <c r="J141" s="1"/>
  <c r="H19"/>
  <c r="J19" s="1"/>
  <c r="H30"/>
  <c r="J30" s="1"/>
  <c r="H28"/>
  <c r="J28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BA34" i="44" l="1"/>
  <c r="BM31" i="49"/>
  <c r="H9" i="3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33" i="1" s="1"/>
  <c r="H35" l="1"/>
  <c r="L33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K35" i="1" l="1"/>
  <c r="BO33"/>
  <c r="BO35" s="1"/>
  <c r="M31" i="47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<sst xmlns="http://schemas.openxmlformats.org/spreadsheetml/2006/main" count="10486" uniqueCount="379">
  <si>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</si>
  <si>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</si>
  <si>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</si>
  <si>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</si>
  <si>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</si>
  <si>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</si>
  <si>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</si>
  <si>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</si>
  <si>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</si>
  <si>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</si>
  <si>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</si>
  <si>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</si>
  <si>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</si>
  <si>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</si>
  <si>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</si>
  <si>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</si>
  <si>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</si>
  <si>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</si>
  <si>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</si>
  <si>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</si>
  <si>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</si>
  <si>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</si>
  <si>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</si>
  <si>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</si>
  <si>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</si>
  <si>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</si>
  <si>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</si>
  <si>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</si>
  <si>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</si>
  <si>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</si>
  <si>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</si>
  <si>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</si>
  <si>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</si>
  <si>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</si>
  <si>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</si>
  <si>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</si>
  <si>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</si>
  <si>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</si>
  <si>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</si>
  <si>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</si>
  <si>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</si>
  <si>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</si>
  <si>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</si>
  <si>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</si>
  <si>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</si>
  <si>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</si>
  <si>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</si>
  <si>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</si>
  <si>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</si>
  <si>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</si>
  <si>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</si>
  <si>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</si>
  <si>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</si>
  <si>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</si>
  <si>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</si>
  <si>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</si>
  <si>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</si>
  <si>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</si>
  <si>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</si>
  <si>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</si>
  <si>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</si>
  <si>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</si>
  <si>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</si>
  <si>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</si>
  <si>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</si>
  <si>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</si>
  <si>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</si>
  <si>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</si>
  <si>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</si>
  <si>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</si>
  <si>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</si>
  <si>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</si>
  <si>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</si>
  <si>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</si>
  <si>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</si>
  <si>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</si>
  <si>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</si>
  <si>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</si>
  <si>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</si>
  <si>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</si>
  <si>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</si>
  <si>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</si>
  <si>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</si>
  <si>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</si>
  <si>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</si>
  <si>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</si>
  <si>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</si>
  <si>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</si>
  <si>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</si>
  <si>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</si>
  <si>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</si>
  <si>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</si>
  <si>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</si>
  <si>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</si>
  <si>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</si>
  <si>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</si>
  <si>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</si>
  <si>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</si>
  <si>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</si>
  <si>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</si>
  <si>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</si>
  <si>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</si>
  <si>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</si>
  <si>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</si>
  <si>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</si>
  <si>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</si>
  <si>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</si>
  <si>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</si>
  <si>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</si>
  <si>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</si>
  <si>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</si>
  <si>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</si>
  <si>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</si>
  <si>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</si>
  <si>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</si>
  <si>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</si>
  <si>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</si>
  <si>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</si>
  <si>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</si>
  <si>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</si>
  <si>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</si>
  <si>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</si>
  <si>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</si>
  <si>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</si>
  <si>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</si>
  <si>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</si>
  <si>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</si>
  <si>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</si>
  <si>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</si>
  <si>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</si>
  <si>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</si>
  <si>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</si>
  <si>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</si>
  <si>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</si>
  <si>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</si>
  <si>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</si>
  <si>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</si>
  <si>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</si>
  <si>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</si>
  <si>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</si>
  <si>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</si>
  <si>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</si>
  <si>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</si>
  <si>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</si>
  <si>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</si>
  <si>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</si>
  <si>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</si>
  <si>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</si>
  <si>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</si>
  <si>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</si>
  <si>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</si>
  <si>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</si>
  <si>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</si>
  <si>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</si>
  <si>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</si>
  <si>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</si>
  <si>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</si>
  <si>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</si>
  <si>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</si>
  <si>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</si>
  <si>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</si>
  <si>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</si>
  <si>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</si>
  <si>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</si>
  <si>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</si>
  <si>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</si>
  <si>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</si>
  <si>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</si>
  <si>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</si>
  <si>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</si>
  <si>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</si>
  <si>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</si>
  <si>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</si>
  <si>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</si>
  <si>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</si>
  <si>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</si>
  <si>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</si>
  <si>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</si>
  <si>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</si>
  <si>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</si>
  <si>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</si>
  <si>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</si>
  <si>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</si>
  <si>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</si>
  <si>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</si>
  <si>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</si>
  <si>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</si>
  <si>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</si>
  <si>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</si>
  <si>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</si>
  <si>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</si>
  <si>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</si>
  <si>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</si>
  <si>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</si>
  <si>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</si>
  <si>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</si>
  <si>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</si>
  <si>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</si>
  <si>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</si>
  <si>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</si>
  <si>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</si>
  <si>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</si>
  <si>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</si>
  <si>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</si>
  <si>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</si>
  <si>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</si>
  <si>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</si>
  <si>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</si>
  <si>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</si>
  <si>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</si>
  <si>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</si>
  <si>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</si>
  <si>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</si>
  <si>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</si>
  <si>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</si>
  <si>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</si>
  <si>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</si>
  <si>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</si>
  <si>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</si>
  <si>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</si>
  <si>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</si>
  <si>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</si>
  <si>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</si>
  <si>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</si>
  <si>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</si>
  <si>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</si>
  <si>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</si>
  <si>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</si>
  <si>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</si>
  <si>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</si>
  <si>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</si>
  <si>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</si>
  <si>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</si>
  <si>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</si>
  <si>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</si>
  <si>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</si>
  <si>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</si>
  <si>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</si>
  <si>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</si>
  <si>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</si>
  <si>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</si>
  <si>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</si>
  <si>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</si>
  <si>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</si>
  <si>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</si>
  <si>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</si>
  <si>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</si>
  <si>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</si>
  <si>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</si>
  <si>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</si>
  <si>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</si>
  <si>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</si>
  <si>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</si>
  <si>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</si>
  <si>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</si>
  <si>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</si>
  <si>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</si>
  <si>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</si>
  <si>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</si>
  <si>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</si>
  <si>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</si>
  <si>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</si>
  <si>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</si>
  <si>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</si>
  <si>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</si>
  <si>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</si>
  <si>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</si>
  <si>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</si>
  <si>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</si>
  <si>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</si>
  <si>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</si>
  <si>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</si>
  <si>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</si>
  <si>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</si>
  <si>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</si>
  <si>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</si>
  <si>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</si>
  <si>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</si>
  <si>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</si>
  <si>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</si>
  <si>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</si>
  <si>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</si>
  <si>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</si>
  <si>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</si>
  <si>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</si>
  <si>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</si>
  <si>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</si>
  <si>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</si>
  <si>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</si>
  <si>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</si>
  <si>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</si>
  <si>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</si>
  <si>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</si>
  <si>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</si>
  <si>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</si>
  <si>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</si>
  <si>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</si>
  <si>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</si>
  <si>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</si>
  <si>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</si>
  <si>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</si>
  <si>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</si>
  <si>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</si>
  <si>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</si>
  <si>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</si>
  <si>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</si>
  <si>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</si>
  <si>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</si>
  <si>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</si>
  <si>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</si>
  <si>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</si>
  <si>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</si>
  <si>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</si>
  <si>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</si>
  <si>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</si>
  <si>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</si>
  <si>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</si>
  <si>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</si>
  <si>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</si>
  <si>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</si>
  <si>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</si>
  <si>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</si>
  <si>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</si>
  <si>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</si>
  <si>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</si>
  <si>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</si>
  <si>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</si>
  <si>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</si>
  <si>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</si>
  <si>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</si>
  <si>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</si>
  <si>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</si>
  <si>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</si>
  <si>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</si>
  <si>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</si>
  <si>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</si>
  <si>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</si>
  <si>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</si>
  <si>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</si>
  <si>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</si>
  <si>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</si>
  <si>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</si>
  <si>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</si>
  <si>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</si>
  <si>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</si>
  <si>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</si>
  <si>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>Prepaired by- Devendra</t>
  </si>
  <si>
    <t xml:space="preserve">Average </t>
  </si>
  <si>
    <t>20th Floor Project office</t>
  </si>
  <si>
    <t>Prepaired by ---Nilesh</t>
  </si>
  <si>
    <t>Prepaired by-- Nilesh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</si>
  <si>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</si>
  <si>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</si>
  <si>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</si>
  <si>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</si>
  <si>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</si>
  <si>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by---Prakash</t>
  </si>
  <si>
    <t xml:space="preserve">Prepaired by - Devendra </t>
  </si>
  <si>
    <t xml:space="preserve">Prepaired by- </t>
  </si>
  <si>
    <t xml:space="preserve">Prepaired by--Devendra </t>
  </si>
  <si>
    <t xml:space="preserve">    </t>
  </si>
  <si>
    <t>Prepaired by Ramesh</t>
  </si>
  <si>
    <t>Prepaired by-Ramesh</t>
  </si>
  <si>
    <t>Prepaired by--Ramesh</t>
  </si>
  <si>
    <t>Prepaired by------- Ramesh</t>
  </si>
  <si>
    <t>Prepaired by -- Prakash</t>
  </si>
  <si>
    <t>Prepaired by- Prakash</t>
  </si>
  <si>
    <t>Prepaired by---- Prakash</t>
  </si>
  <si>
    <t>Prepaired by----Prakash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</si>
  <si>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</si>
  <si>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</si>
  <si>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</si>
  <si>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</si>
  <si>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</si>
  <si>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</si>
  <si>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</si>
  <si>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</si>
  <si>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</si>
  <si>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>Prepaired by --- Ramesh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</si>
</sst>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91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10" borderId="1" xfId="0" applyFont="1" applyFill="1" applyBorder="1" applyAlignment="1">
      <alignment horizontal="center"/>
    </xf>
    <xf numFmtId="0" fontId="71" fillId="0" borderId="0" xfId="0" applyFont="1" applyAlignment="1">
      <alignment horizontal="center"/>
    </xf>
    <xf numFmtId="0" fontId="60" fillId="8" borderId="1" xfId="3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1" fontId="60" fillId="2" borderId="1" xfId="5" applyNumberFormat="1" applyFont="1" applyFill="1" applyBorder="1" applyAlignment="1">
      <alignment horizontal="center" vertic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12" borderId="1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1" fontId="71" fillId="21" borderId="1" xfId="4" applyNumberFormat="1" applyFont="1" applyFill="1" applyBorder="1" applyAlignment="1">
      <alignment horizontal="center"/>
    </xf>
    <xf numFmtId="0" fontId="60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0" fillId="0" borderId="2" xfId="4" applyFont="1" applyBorder="1" applyAlignment="1">
      <alignment horizontal="left"/>
    </xf>
    <xf numFmtId="2" fontId="74" fillId="8" borderId="1" xfId="3" applyNumberFormat="1" applyFont="1" applyFill="1" applyBorder="1" applyAlignment="1">
      <alignment horizontal="center"/>
    </xf>
    <xf numFmtId="0" fontId="68" fillId="0" borderId="1" xfId="0" applyFont="1" applyBorder="1"/>
    <xf numFmtId="0" fontId="136" fillId="8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center"/>
    </xf>
    <xf numFmtId="0" fontId="137" fillId="0" borderId="1" xfId="0" applyFont="1" applyBorder="1"/>
    <xf numFmtId="1" fontId="81" fillId="2" borderId="1" xfId="5" applyNumberFormat="1" applyFont="1" applyFill="1" applyBorder="1" applyAlignment="1">
      <alignment horizontal="center" vertical="center"/>
    </xf>
    <xf numFmtId="0" fontId="68" fillId="12" borderId="1" xfId="0" applyFont="1" applyFill="1" applyBorder="1" applyAlignment="1">
      <alignment horizontal="center"/>
    </xf>
    <xf numFmtId="0" fontId="60" fillId="8" borderId="21" xfId="3" applyFont="1" applyFill="1" applyBorder="1" applyAlignment="1">
      <alignment horizontal="left"/>
    </xf>
    <xf numFmtId="0" fontId="137" fillId="0" borderId="1" xfId="0" applyFont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138" fillId="0" borderId="0" xfId="0" applyFont="1" applyBorder="1"/>
    <xf numFmtId="0" fontId="138" fillId="0" borderId="0" xfId="0" applyFont="1"/>
    <xf numFmtId="1" fontId="138" fillId="0" borderId="0" xfId="0" applyNumberFormat="1" applyFont="1"/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3" xfId="0" applyFont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3" xfId="0" applyFont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7" fillId="0" borderId="2" xfId="0" applyFont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0" borderId="21" xfId="4" applyFont="1" applyBorder="1" applyAlignment="1">
      <alignment horizontal="left"/>
    </xf>
    <xf numFmtId="0" fontId="60" fillId="2" borderId="21" xfId="4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32.220000000001164</c:v>
                </c:pt>
                <c:pt idx="1">
                  <c:v>28.110000000000582</c:v>
                </c:pt>
                <c:pt idx="2">
                  <c:v>27.867999999994936</c:v>
                </c:pt>
                <c:pt idx="3">
                  <c:v>29.141999999999825</c:v>
                </c:pt>
                <c:pt idx="4">
                  <c:v>35.960000000006403</c:v>
                </c:pt>
                <c:pt idx="5">
                  <c:v>23.039999999998543</c:v>
                </c:pt>
                <c:pt idx="6">
                  <c:v>29.94999999999709</c:v>
                </c:pt>
                <c:pt idx="7">
                  <c:v>31.480000000003201</c:v>
                </c:pt>
                <c:pt idx="8">
                  <c:v>-833.2700000000018</c:v>
                </c:pt>
                <c:pt idx="9">
                  <c:v>23.44999999999709</c:v>
                </c:pt>
                <c:pt idx="10">
                  <c:v>23.970000000001164</c:v>
                </c:pt>
                <c:pt idx="11">
                  <c:v>23.979999999995925</c:v>
                </c:pt>
                <c:pt idx="12">
                  <c:v>29.100000000005821</c:v>
                </c:pt>
                <c:pt idx="13">
                  <c:v>31</c:v>
                </c:pt>
                <c:pt idx="14">
                  <c:v>24</c:v>
                </c:pt>
                <c:pt idx="15">
                  <c:v>24.309999999997672</c:v>
                </c:pt>
                <c:pt idx="16">
                  <c:v>25.959999999999127</c:v>
                </c:pt>
                <c:pt idx="17">
                  <c:v>29.930000000000291</c:v>
                </c:pt>
                <c:pt idx="18">
                  <c:v>31.319999999999709</c:v>
                </c:pt>
                <c:pt idx="19">
                  <c:v>32.640000000006694</c:v>
                </c:pt>
                <c:pt idx="20">
                  <c:v>32.040000000000873</c:v>
                </c:pt>
                <c:pt idx="21">
                  <c:v>30.290000000000873</c:v>
                </c:pt>
                <c:pt idx="22">
                  <c:v>29.510000000002037</c:v>
                </c:pt>
                <c:pt idx="23">
                  <c:v>30.999999999992724</c:v>
                </c:pt>
                <c:pt idx="24">
                  <c:v>24.44999999999709</c:v>
                </c:pt>
                <c:pt idx="25">
                  <c:v>34.960000000006403</c:v>
                </c:pt>
                <c:pt idx="26">
                  <c:v>34.759999999994761</c:v>
                </c:pt>
                <c:pt idx="27">
                  <c:v>25.830000000001746</c:v>
                </c:pt>
                <c:pt idx="28">
                  <c:v>27</c:v>
                </c:pt>
                <c:pt idx="29">
                  <c:v>26</c:v>
                </c:pt>
                <c:pt idx="30">
                  <c:v>2.0700000000033469</c:v>
                </c:pt>
                <c:pt idx="31">
                  <c:v>2.0700000000033469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31779968"/>
        <c:axId val="133760128"/>
      </c:lineChart>
      <c:catAx>
        <c:axId val="1317799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60128"/>
        <c:crosses val="autoZero"/>
        <c:auto val="1"/>
        <c:lblAlgn val="ctr"/>
        <c:lblOffset val="100"/>
      </c:catAx>
      <c:valAx>
        <c:axId val="133760128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31779968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10.169999999998254</c:v>
                </c:pt>
                <c:pt idx="1">
                  <c:v>0</c:v>
                </c:pt>
                <c:pt idx="2">
                  <c:v>10.130000000001019</c:v>
                </c:pt>
                <c:pt idx="3">
                  <c:v>6.1199999999989814</c:v>
                </c:pt>
                <c:pt idx="4">
                  <c:v>11.389999999999418</c:v>
                </c:pt>
                <c:pt idx="5">
                  <c:v>9.9999999998544808E-2</c:v>
                </c:pt>
                <c:pt idx="6">
                  <c:v>9.1100000000005821</c:v>
                </c:pt>
                <c:pt idx="7">
                  <c:v>8.069999999999709</c:v>
                </c:pt>
                <c:pt idx="8">
                  <c:v>-225.64999999999054</c:v>
                </c:pt>
                <c:pt idx="9">
                  <c:v>7.7999999999992724</c:v>
                </c:pt>
                <c:pt idx="10">
                  <c:v>7.5899999999965075</c:v>
                </c:pt>
                <c:pt idx="11">
                  <c:v>4.6499999999941792</c:v>
                </c:pt>
                <c:pt idx="12">
                  <c:v>8</c:v>
                </c:pt>
                <c:pt idx="13">
                  <c:v>8.9800000000032014</c:v>
                </c:pt>
                <c:pt idx="14">
                  <c:v>9.4900000000088767</c:v>
                </c:pt>
                <c:pt idx="15">
                  <c:v>0.49000000000160071</c:v>
                </c:pt>
                <c:pt idx="16">
                  <c:v>8.6099999999969441</c:v>
                </c:pt>
                <c:pt idx="17">
                  <c:v>12.829999999998108</c:v>
                </c:pt>
                <c:pt idx="18">
                  <c:v>12</c:v>
                </c:pt>
                <c:pt idx="19">
                  <c:v>10.950000000000728</c:v>
                </c:pt>
                <c:pt idx="20">
                  <c:v>10.739999999997963</c:v>
                </c:pt>
                <c:pt idx="21">
                  <c:v>9.6499999999941792</c:v>
                </c:pt>
                <c:pt idx="22">
                  <c:v>1.9400000000023283</c:v>
                </c:pt>
                <c:pt idx="23">
                  <c:v>10.510000000002037</c:v>
                </c:pt>
                <c:pt idx="24">
                  <c:v>10.510000000002037</c:v>
                </c:pt>
                <c:pt idx="25">
                  <c:v>8.4500000000007276</c:v>
                </c:pt>
                <c:pt idx="26">
                  <c:v>9.9500000000007276</c:v>
                </c:pt>
                <c:pt idx="27">
                  <c:v>7.8300000000053842</c:v>
                </c:pt>
                <c:pt idx="28">
                  <c:v>9.7399999999870488</c:v>
                </c:pt>
                <c:pt idx="29">
                  <c:v>7.0000000003346941E-2</c:v>
                </c:pt>
                <c:pt idx="30">
                  <c:v>9.8399999999996908</c:v>
                </c:pt>
                <c:pt idx="31">
                  <c:v>10.060000000000855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33797376"/>
        <c:axId val="133798912"/>
      </c:lineChart>
      <c:catAx>
        <c:axId val="13379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98912"/>
        <c:crosses val="autoZero"/>
        <c:auto val="1"/>
        <c:lblAlgn val="ctr"/>
        <c:lblOffset val="100"/>
      </c:catAx>
      <c:valAx>
        <c:axId val="13379891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9737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119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154</c:v>
                </c:pt>
                <c:pt idx="1">
                  <c:v>162</c:v>
                </c:pt>
                <c:pt idx="2">
                  <c:v>210</c:v>
                </c:pt>
                <c:pt idx="3">
                  <c:v>271</c:v>
                </c:pt>
                <c:pt idx="4">
                  <c:v>241</c:v>
                </c:pt>
                <c:pt idx="5">
                  <c:v>149</c:v>
                </c:pt>
                <c:pt idx="6">
                  <c:v>168</c:v>
                </c:pt>
                <c:pt idx="7">
                  <c:v>161</c:v>
                </c:pt>
                <c:pt idx="8">
                  <c:v>-1807</c:v>
                </c:pt>
                <c:pt idx="9">
                  <c:v>86</c:v>
                </c:pt>
                <c:pt idx="10">
                  <c:v>103</c:v>
                </c:pt>
                <c:pt idx="11">
                  <c:v>125</c:v>
                </c:pt>
                <c:pt idx="12">
                  <c:v>194</c:v>
                </c:pt>
                <c:pt idx="13">
                  <c:v>183</c:v>
                </c:pt>
                <c:pt idx="14">
                  <c:v>142</c:v>
                </c:pt>
                <c:pt idx="15">
                  <c:v>92</c:v>
                </c:pt>
                <c:pt idx="16">
                  <c:v>122</c:v>
                </c:pt>
                <c:pt idx="17">
                  <c:v>145</c:v>
                </c:pt>
                <c:pt idx="18">
                  <c:v>193</c:v>
                </c:pt>
                <c:pt idx="19">
                  <c:v>261</c:v>
                </c:pt>
                <c:pt idx="20">
                  <c:v>201</c:v>
                </c:pt>
                <c:pt idx="21">
                  <c:v>152</c:v>
                </c:pt>
                <c:pt idx="22">
                  <c:v>101</c:v>
                </c:pt>
                <c:pt idx="23">
                  <c:v>164</c:v>
                </c:pt>
                <c:pt idx="24">
                  <c:v>170</c:v>
                </c:pt>
                <c:pt idx="25">
                  <c:v>215</c:v>
                </c:pt>
                <c:pt idx="26">
                  <c:v>241</c:v>
                </c:pt>
                <c:pt idx="27">
                  <c:v>194</c:v>
                </c:pt>
                <c:pt idx="28">
                  <c:v>163</c:v>
                </c:pt>
                <c:pt idx="29">
                  <c:v>134</c:v>
                </c:pt>
                <c:pt idx="30">
                  <c:v>-1823</c:v>
                </c:pt>
                <c:pt idx="31">
                  <c:v>1267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33820416"/>
        <c:axId val="133821952"/>
      </c:lineChart>
      <c:catAx>
        <c:axId val="13382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21952"/>
        <c:crosses val="autoZero"/>
        <c:auto val="1"/>
        <c:lblAlgn val="ctr"/>
        <c:lblOffset val="100"/>
      </c:catAx>
      <c:valAx>
        <c:axId val="133821952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20416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14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918.37800000002608</c:v>
                </c:pt>
                <c:pt idx="1">
                  <c:v>510.87400000006892</c:v>
                </c:pt>
                <c:pt idx="2">
                  <c:v>940.26799999992363</c:v>
                </c:pt>
                <c:pt idx="3">
                  <c:v>786.87999999988824</c:v>
                </c:pt>
                <c:pt idx="4">
                  <c:v>925.06000000005588</c:v>
                </c:pt>
                <c:pt idx="5">
                  <c:v>430.95999999996275</c:v>
                </c:pt>
                <c:pt idx="6">
                  <c:v>850.19000000017695</c:v>
                </c:pt>
                <c:pt idx="7">
                  <c:v>821.54999999981374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700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  <c:pt idx="30">
                  <c:v>700</c:v>
                </c:pt>
                <c:pt idx="31">
                  <c:v>22284.159999999916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63259904"/>
        <c:axId val="163261440"/>
      </c:lineChart>
      <c:catAx>
        <c:axId val="16325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61440"/>
        <c:crosses val="autoZero"/>
        <c:auto val="1"/>
        <c:lblAlgn val="ctr"/>
        <c:lblOffset val="100"/>
      </c:catAx>
      <c:valAx>
        <c:axId val="16326144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59904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952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3790.429999999993</c:v>
                </c:pt>
                <c:pt idx="1">
                  <c:v>3743.4799999999814</c:v>
                </c:pt>
                <c:pt idx="2">
                  <c:v>3847.8400000000256</c:v>
                </c:pt>
                <c:pt idx="3">
                  <c:v>3681.5999999999767</c:v>
                </c:pt>
                <c:pt idx="4">
                  <c:v>3669.3600000000442</c:v>
                </c:pt>
                <c:pt idx="5">
                  <c:v>3628.7599999999511</c:v>
                </c:pt>
                <c:pt idx="6">
                  <c:v>3603.320000000007</c:v>
                </c:pt>
                <c:pt idx="7">
                  <c:v>3552.4000000000233</c:v>
                </c:pt>
                <c:pt idx="8">
                  <c:v>-102211.19</c:v>
                </c:pt>
                <c:pt idx="9">
                  <c:v>3175</c:v>
                </c:pt>
                <c:pt idx="10">
                  <c:v>3233</c:v>
                </c:pt>
                <c:pt idx="11">
                  <c:v>3517</c:v>
                </c:pt>
                <c:pt idx="12">
                  <c:v>3369</c:v>
                </c:pt>
                <c:pt idx="13">
                  <c:v>3252</c:v>
                </c:pt>
                <c:pt idx="14">
                  <c:v>2893</c:v>
                </c:pt>
                <c:pt idx="15">
                  <c:v>3172.9000000000233</c:v>
                </c:pt>
                <c:pt idx="16">
                  <c:v>3279.7699999999604</c:v>
                </c:pt>
                <c:pt idx="17">
                  <c:v>3490.7999999999884</c:v>
                </c:pt>
                <c:pt idx="18">
                  <c:v>3744.2800000000279</c:v>
                </c:pt>
                <c:pt idx="19">
                  <c:v>3610.7199999999721</c:v>
                </c:pt>
                <c:pt idx="20">
                  <c:v>3562.5200000000186</c:v>
                </c:pt>
                <c:pt idx="21">
                  <c:v>3410</c:v>
                </c:pt>
                <c:pt idx="22">
                  <c:v>3432.960000000021</c:v>
                </c:pt>
                <c:pt idx="23">
                  <c:v>3514.0499999999884</c:v>
                </c:pt>
                <c:pt idx="24">
                  <c:v>3655</c:v>
                </c:pt>
                <c:pt idx="25">
                  <c:v>3678</c:v>
                </c:pt>
                <c:pt idx="26">
                  <c:v>3715</c:v>
                </c:pt>
                <c:pt idx="27">
                  <c:v>3688</c:v>
                </c:pt>
                <c:pt idx="28">
                  <c:v>3564</c:v>
                </c:pt>
                <c:pt idx="29">
                  <c:v>3737</c:v>
                </c:pt>
                <c:pt idx="30">
                  <c:v>-96691</c:v>
                </c:pt>
                <c:pt idx="31">
                  <c:v>-96691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-0.40999999997438863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7.9999999958090484E-2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63307904"/>
        <c:axId val="163309440"/>
      </c:lineChart>
      <c:catAx>
        <c:axId val="16330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09440"/>
        <c:crosses val="autoZero"/>
        <c:auto val="1"/>
        <c:lblAlgn val="ctr"/>
        <c:lblOffset val="100"/>
      </c:catAx>
      <c:valAx>
        <c:axId val="16330944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07904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2908.0999999999767</c:v>
                </c:pt>
                <c:pt idx="1">
                  <c:v>2899.4000000000233</c:v>
                </c:pt>
                <c:pt idx="2">
                  <c:v>3065.4000000000233</c:v>
                </c:pt>
                <c:pt idx="3">
                  <c:v>2968.9000000000233</c:v>
                </c:pt>
                <c:pt idx="4">
                  <c:v>2828.6999999999534</c:v>
                </c:pt>
                <c:pt idx="5">
                  <c:v>2786.1999999999534</c:v>
                </c:pt>
                <c:pt idx="6">
                  <c:v>2919.1999999999534</c:v>
                </c:pt>
                <c:pt idx="7">
                  <c:v>3141.7000000001863</c:v>
                </c:pt>
                <c:pt idx="8">
                  <c:v>-79870.600000000093</c:v>
                </c:pt>
                <c:pt idx="9">
                  <c:v>2172</c:v>
                </c:pt>
                <c:pt idx="10">
                  <c:v>2190</c:v>
                </c:pt>
                <c:pt idx="11">
                  <c:v>2554</c:v>
                </c:pt>
                <c:pt idx="12">
                  <c:v>2615</c:v>
                </c:pt>
                <c:pt idx="13">
                  <c:v>2582</c:v>
                </c:pt>
                <c:pt idx="14">
                  <c:v>2472</c:v>
                </c:pt>
                <c:pt idx="15">
                  <c:v>2502.7900000000373</c:v>
                </c:pt>
                <c:pt idx="16">
                  <c:v>2468.5599999999395</c:v>
                </c:pt>
                <c:pt idx="17">
                  <c:v>2647.5200000000186</c:v>
                </c:pt>
                <c:pt idx="18">
                  <c:v>2958.1600000000326</c:v>
                </c:pt>
                <c:pt idx="19">
                  <c:v>2905.5699999999488</c:v>
                </c:pt>
                <c:pt idx="20">
                  <c:v>2750.5</c:v>
                </c:pt>
                <c:pt idx="21">
                  <c:v>2900.9000000000233</c:v>
                </c:pt>
                <c:pt idx="22">
                  <c:v>2677.5</c:v>
                </c:pt>
                <c:pt idx="23">
                  <c:v>2800.5</c:v>
                </c:pt>
                <c:pt idx="24">
                  <c:v>2719</c:v>
                </c:pt>
                <c:pt idx="25">
                  <c:v>3030</c:v>
                </c:pt>
                <c:pt idx="26">
                  <c:v>3062</c:v>
                </c:pt>
                <c:pt idx="27">
                  <c:v>2775</c:v>
                </c:pt>
                <c:pt idx="28">
                  <c:v>2867</c:v>
                </c:pt>
                <c:pt idx="29">
                  <c:v>2703</c:v>
                </c:pt>
                <c:pt idx="30">
                  <c:v>-78226</c:v>
                </c:pt>
                <c:pt idx="31">
                  <c:v>-78226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63338496"/>
        <c:axId val="163344384"/>
      </c:lineChart>
      <c:catAx>
        <c:axId val="16333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44384"/>
        <c:crosses val="autoZero"/>
        <c:auto val="1"/>
        <c:lblAlgn val="ctr"/>
        <c:lblOffset val="100"/>
      </c:catAx>
      <c:valAx>
        <c:axId val="163344384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384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0.60399999999999998</c:v>
                </c:pt>
                <c:pt idx="6">
                  <c:v>0.53</c:v>
                </c:pt>
                <c:pt idx="7">
                  <c:v>0.88</c:v>
                </c:pt>
                <c:pt idx="8">
                  <c:v>0.16</c:v>
                </c:pt>
                <c:pt idx="9">
                  <c:v>0.89</c:v>
                </c:pt>
                <c:pt idx="10">
                  <c:v>0.92</c:v>
                </c:pt>
                <c:pt idx="11">
                  <c:v>0.78</c:v>
                </c:pt>
                <c:pt idx="12">
                  <c:v>0.26</c:v>
                </c:pt>
                <c:pt idx="13">
                  <c:v>0.25</c:v>
                </c:pt>
                <c:pt idx="14">
                  <c:v>0.26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0.86</c:v>
                </c:pt>
                <c:pt idx="20">
                  <c:v>0.66</c:v>
                </c:pt>
                <c:pt idx="21">
                  <c:v>0.72</c:v>
                </c:pt>
                <c:pt idx="22">
                  <c:v>0.52</c:v>
                </c:pt>
                <c:pt idx="23">
                  <c:v>0.57999999999999996</c:v>
                </c:pt>
                <c:pt idx="24">
                  <c:v>0.88</c:v>
                </c:pt>
                <c:pt idx="25">
                  <c:v>1</c:v>
                </c:pt>
                <c:pt idx="26">
                  <c:v>0.67</c:v>
                </c:pt>
                <c:pt idx="27">
                  <c:v>0.31</c:v>
                </c:pt>
                <c:pt idx="28">
                  <c:v>0.31</c:v>
                </c:pt>
                <c:pt idx="29">
                  <c:v>0.32</c:v>
                </c:pt>
                <c:pt idx="30">
                  <c:v>29</c:v>
                </c:pt>
                <c:pt idx="31">
                  <c:v>1.4872258064516128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63381248"/>
        <c:axId val="163382784"/>
      </c:lineChart>
      <c:catAx>
        <c:axId val="16338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82784"/>
        <c:crosses val="autoZero"/>
        <c:auto val="1"/>
        <c:lblAlgn val="ctr"/>
        <c:lblOffset val="100"/>
      </c:catAx>
      <c:valAx>
        <c:axId val="1633827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633812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51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51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51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23260.790000000037</c:v>
                </c:pt>
                <c:pt idx="1">
                  <c:v>21035.119999999995</c:v>
                </c:pt>
                <c:pt idx="2">
                  <c:v>22104.089999999967</c:v>
                </c:pt>
                <c:pt idx="3">
                  <c:v>21866.599999999977</c:v>
                </c:pt>
                <c:pt idx="4">
                  <c:v>20992.61</c:v>
                </c:pt>
                <c:pt idx="5">
                  <c:v>19837.629999999997</c:v>
                </c:pt>
                <c:pt idx="6">
                  <c:v>21913.78</c:v>
                </c:pt>
                <c:pt idx="7">
                  <c:v>21721.17</c:v>
                </c:pt>
                <c:pt idx="8">
                  <c:v>21500</c:v>
                </c:pt>
                <c:pt idx="9">
                  <c:v>21499.999999999985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21500</c:v>
                </c:pt>
                <c:pt idx="22">
                  <c:v>21500</c:v>
                </c:pt>
                <c:pt idx="23">
                  <c:v>21500</c:v>
                </c:pt>
                <c:pt idx="24">
                  <c:v>21500</c:v>
                </c:pt>
                <c:pt idx="25">
                  <c:v>21500</c:v>
                </c:pt>
                <c:pt idx="26">
                  <c:v>21500</c:v>
                </c:pt>
                <c:pt idx="27">
                  <c:v>21500.000000000058</c:v>
                </c:pt>
                <c:pt idx="28">
                  <c:v>21500</c:v>
                </c:pt>
                <c:pt idx="29">
                  <c:v>21500</c:v>
                </c:pt>
                <c:pt idx="30">
                  <c:v>21500</c:v>
                </c:pt>
                <c:pt idx="31">
                  <c:v>667231.79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63432320"/>
        <c:axId val="163433856"/>
      </c:lineChart>
      <c:catAx>
        <c:axId val="16343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33856"/>
        <c:crosses val="autoZero"/>
        <c:auto val="1"/>
        <c:lblAlgn val="ctr"/>
        <c:lblOffset val="100"/>
      </c:catAx>
      <c:valAx>
        <c:axId val="163433856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32320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9.8800000000005639</c:v>
                </c:pt>
                <c:pt idx="1">
                  <c:v>9.6999999999998181</c:v>
                </c:pt>
                <c:pt idx="2">
                  <c:v>11.119999999999891</c:v>
                </c:pt>
                <c:pt idx="3">
                  <c:v>12.139999999999873</c:v>
                </c:pt>
                <c:pt idx="4">
                  <c:v>9.8200000000001637</c:v>
                </c:pt>
                <c:pt idx="5">
                  <c:v>9.8899999999998727</c:v>
                </c:pt>
                <c:pt idx="6">
                  <c:v>9.5599999999999454</c:v>
                </c:pt>
                <c:pt idx="7">
                  <c:v>9.2300000000000182</c:v>
                </c:pt>
                <c:pt idx="8">
                  <c:v>-292.84999999999991</c:v>
                </c:pt>
                <c:pt idx="9">
                  <c:v>7.9000000000000909</c:v>
                </c:pt>
                <c:pt idx="10">
                  <c:v>8.5999999999999091</c:v>
                </c:pt>
                <c:pt idx="11">
                  <c:v>9.0900000000001455</c:v>
                </c:pt>
                <c:pt idx="12">
                  <c:v>9.2199999999997999</c:v>
                </c:pt>
                <c:pt idx="13">
                  <c:v>9.7100000000000364</c:v>
                </c:pt>
                <c:pt idx="14">
                  <c:v>10.410000000000082</c:v>
                </c:pt>
                <c:pt idx="15">
                  <c:v>9.3999999999998636</c:v>
                </c:pt>
                <c:pt idx="16">
                  <c:v>11.300000000000182</c:v>
                </c:pt>
                <c:pt idx="17">
                  <c:v>10.289999999999964</c:v>
                </c:pt>
                <c:pt idx="18">
                  <c:v>10.629999999999882</c:v>
                </c:pt>
                <c:pt idx="19">
                  <c:v>11.680000000000064</c:v>
                </c:pt>
                <c:pt idx="20">
                  <c:v>10.160000000000082</c:v>
                </c:pt>
                <c:pt idx="21">
                  <c:v>9.9199999999998454</c:v>
                </c:pt>
                <c:pt idx="22">
                  <c:v>10.820000000000164</c:v>
                </c:pt>
                <c:pt idx="23">
                  <c:v>10.7199999999998</c:v>
                </c:pt>
                <c:pt idx="24">
                  <c:v>10.820000000000164</c:v>
                </c:pt>
                <c:pt idx="25">
                  <c:v>11.5</c:v>
                </c:pt>
                <c:pt idx="26">
                  <c:v>10.5</c:v>
                </c:pt>
                <c:pt idx="27">
                  <c:v>10.699999999999818</c:v>
                </c:pt>
                <c:pt idx="28">
                  <c:v>9.7600000000002183</c:v>
                </c:pt>
                <c:pt idx="29">
                  <c:v>9.8399999999996908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63499008"/>
        <c:axId val="163508992"/>
      </c:lineChart>
      <c:catAx>
        <c:axId val="16349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08992"/>
        <c:crosses val="autoZero"/>
        <c:auto val="1"/>
        <c:lblAlgn val="ctr"/>
        <c:lblOffset val="100"/>
      </c:catAx>
      <c:valAx>
        <c:axId val="16350899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9900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2728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327.72999999998137</c:v>
                </c:pt>
                <c:pt idx="1">
                  <c:v>265.82000000006519</c:v>
                </c:pt>
                <c:pt idx="2">
                  <c:v>261.8399999999674</c:v>
                </c:pt>
                <c:pt idx="3">
                  <c:v>259.97999999998137</c:v>
                </c:pt>
                <c:pt idx="4">
                  <c:v>251.29000000003725</c:v>
                </c:pt>
                <c:pt idx="5">
                  <c:v>-7859.1300000000047</c:v>
                </c:pt>
                <c:pt idx="6">
                  <c:v>211</c:v>
                </c:pt>
                <c:pt idx="7">
                  <c:v>230</c:v>
                </c:pt>
                <c:pt idx="8">
                  <c:v>238</c:v>
                </c:pt>
                <c:pt idx="9">
                  <c:v>245</c:v>
                </c:pt>
                <c:pt idx="10">
                  <c:v>259</c:v>
                </c:pt>
                <c:pt idx="11">
                  <c:v>259</c:v>
                </c:pt>
                <c:pt idx="12">
                  <c:v>262.6600000000326</c:v>
                </c:pt>
                <c:pt idx="13">
                  <c:v>303.17999999993481</c:v>
                </c:pt>
                <c:pt idx="14">
                  <c:v>272.86999999999534</c:v>
                </c:pt>
                <c:pt idx="15">
                  <c:v>287.67000000004191</c:v>
                </c:pt>
                <c:pt idx="16">
                  <c:v>312.82999999995809</c:v>
                </c:pt>
                <c:pt idx="17">
                  <c:v>270.79000000003725</c:v>
                </c:pt>
                <c:pt idx="18">
                  <c:v>264.77000000001863</c:v>
                </c:pt>
                <c:pt idx="19">
                  <c:v>283.38000000000466</c:v>
                </c:pt>
                <c:pt idx="20">
                  <c:v>288.84999999997672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340.71999999991021</c:v>
                </c:pt>
                <c:pt idx="1">
                  <c:v>570.0499999999829</c:v>
                </c:pt>
                <c:pt idx="2">
                  <c:v>65.789999999989959</c:v>
                </c:pt>
                <c:pt idx="3">
                  <c:v>473.09000000020387</c:v>
                </c:pt>
                <c:pt idx="4">
                  <c:v>445.57999999976528</c:v>
                </c:pt>
                <c:pt idx="5">
                  <c:v>11752.44000000001</c:v>
                </c:pt>
                <c:pt idx="6">
                  <c:v>423</c:v>
                </c:pt>
                <c:pt idx="7">
                  <c:v>404</c:v>
                </c:pt>
                <c:pt idx="8">
                  <c:v>400.39999999999418</c:v>
                </c:pt>
                <c:pt idx="9">
                  <c:v>325</c:v>
                </c:pt>
                <c:pt idx="10">
                  <c:v>342</c:v>
                </c:pt>
                <c:pt idx="11">
                  <c:v>352.60000000000582</c:v>
                </c:pt>
                <c:pt idx="12">
                  <c:v>338.45999999996275</c:v>
                </c:pt>
                <c:pt idx="13">
                  <c:v>297.22000000006483</c:v>
                </c:pt>
                <c:pt idx="14">
                  <c:v>323.13000000001739</c:v>
                </c:pt>
                <c:pt idx="15">
                  <c:v>277.74999999995816</c:v>
                </c:pt>
                <c:pt idx="16">
                  <c:v>252.48000000002685</c:v>
                </c:pt>
                <c:pt idx="17">
                  <c:v>318.90999999995802</c:v>
                </c:pt>
                <c:pt idx="18">
                  <c:v>322.16999999999462</c:v>
                </c:pt>
                <c:pt idx="19">
                  <c:v>289.00999999998021</c:v>
                </c:pt>
                <c:pt idx="20">
                  <c:v>300.27000000003136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79.529999999998836</c:v>
                </c:pt>
                <c:pt idx="1">
                  <c:v>61.290000000008149</c:v>
                </c:pt>
                <c:pt idx="2">
                  <c:v>67.130000000004657</c:v>
                </c:pt>
                <c:pt idx="3">
                  <c:v>79.419999999983702</c:v>
                </c:pt>
                <c:pt idx="4">
                  <c:v>86.580000000016298</c:v>
                </c:pt>
                <c:pt idx="5">
                  <c:v>-2188.9100000000035</c:v>
                </c:pt>
                <c:pt idx="6">
                  <c:v>66</c:v>
                </c:pt>
                <c:pt idx="7">
                  <c:v>66</c:v>
                </c:pt>
                <c:pt idx="8">
                  <c:v>62</c:v>
                </c:pt>
                <c:pt idx="9">
                  <c:v>60</c:v>
                </c:pt>
                <c:pt idx="10">
                  <c:v>72</c:v>
                </c:pt>
                <c:pt idx="11">
                  <c:v>64</c:v>
                </c:pt>
                <c:pt idx="12">
                  <c:v>63.380000000004657</c:v>
                </c:pt>
                <c:pt idx="13">
                  <c:v>69.5</c:v>
                </c:pt>
                <c:pt idx="14">
                  <c:v>67.799999999988358</c:v>
                </c:pt>
                <c:pt idx="15">
                  <c:v>91.779999999998836</c:v>
                </c:pt>
                <c:pt idx="16">
                  <c:v>80.39000000001397</c:v>
                </c:pt>
                <c:pt idx="17">
                  <c:v>71.100000000005821</c:v>
                </c:pt>
                <c:pt idx="18">
                  <c:v>76.85999999998603</c:v>
                </c:pt>
                <c:pt idx="19">
                  <c:v>88.610000000015134</c:v>
                </c:pt>
                <c:pt idx="20">
                  <c:v>73.579999999987194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63850496"/>
        <c:axId val="163864576"/>
      </c:lineChart>
      <c:catAx>
        <c:axId val="16385049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3864576"/>
        <c:crosses val="autoZero"/>
        <c:auto val="1"/>
        <c:lblAlgn val="ctr"/>
        <c:lblOffset val="100"/>
      </c:catAx>
      <c:valAx>
        <c:axId val="163864576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38504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716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17</c:v>
                </c:pt>
                <c:pt idx="1">
                  <c:v>100</c:v>
                </c:pt>
                <c:pt idx="2">
                  <c:v>102</c:v>
                </c:pt>
                <c:pt idx="3">
                  <c:v>147</c:v>
                </c:pt>
                <c:pt idx="4">
                  <c:v>0</c:v>
                </c:pt>
                <c:pt idx="5">
                  <c:v>59</c:v>
                </c:pt>
                <c:pt idx="6">
                  <c:v>76</c:v>
                </c:pt>
                <c:pt idx="7">
                  <c:v>80</c:v>
                </c:pt>
                <c:pt idx="8">
                  <c:v>-2064</c:v>
                </c:pt>
                <c:pt idx="9">
                  <c:v>59</c:v>
                </c:pt>
                <c:pt idx="10">
                  <c:v>46</c:v>
                </c:pt>
                <c:pt idx="11">
                  <c:v>36</c:v>
                </c:pt>
                <c:pt idx="12">
                  <c:v>64</c:v>
                </c:pt>
                <c:pt idx="13">
                  <c:v>68</c:v>
                </c:pt>
                <c:pt idx="14">
                  <c:v>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68511360"/>
        <c:axId val="168512896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120953.79</c:v>
                </c:pt>
                <c:pt idx="9">
                  <c:v>142453.78999999998</c:v>
                </c:pt>
                <c:pt idx="10">
                  <c:v>163953.78999999998</c:v>
                </c:pt>
                <c:pt idx="11">
                  <c:v>185453.78999999998</c:v>
                </c:pt>
                <c:pt idx="12">
                  <c:v>206953.78999999998</c:v>
                </c:pt>
                <c:pt idx="13">
                  <c:v>228453.78999999998</c:v>
                </c:pt>
                <c:pt idx="14">
                  <c:v>249953.78999999998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68518784"/>
        <c:axId val="168520320"/>
      </c:lineChart>
      <c:catAx>
        <c:axId val="16851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12896"/>
        <c:crosses val="autoZero"/>
        <c:auto val="1"/>
        <c:lblAlgn val="ctr"/>
        <c:lblOffset val="100"/>
      </c:catAx>
      <c:valAx>
        <c:axId val="16851289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11360"/>
        <c:crosses val="autoZero"/>
        <c:crossBetween val="between"/>
        <c:minorUnit val="50"/>
      </c:valAx>
      <c:catAx>
        <c:axId val="168518784"/>
        <c:scaling>
          <c:orientation val="minMax"/>
        </c:scaling>
        <c:delete val="1"/>
        <c:axPos val="b"/>
        <c:tickLblPos val="none"/>
        <c:crossAx val="168520320"/>
        <c:crosses val="autoZero"/>
        <c:auto val="1"/>
        <c:lblAlgn val="ctr"/>
        <c:lblOffset val="100"/>
      </c:catAx>
      <c:valAx>
        <c:axId val="16852032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18784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68102528"/>
        <c:axId val="168104320"/>
      </c:lineChart>
      <c:catAx>
        <c:axId val="16810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04320"/>
        <c:crosses val="autoZero"/>
        <c:auto val="1"/>
        <c:lblAlgn val="ctr"/>
        <c:lblOffset val="100"/>
      </c:catAx>
      <c:valAx>
        <c:axId val="168104320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0252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120953.79</c:v>
                </c:pt>
                <c:pt idx="9">
                  <c:v>142453.78999999998</c:v>
                </c:pt>
                <c:pt idx="10">
                  <c:v>163953.78999999998</c:v>
                </c:pt>
                <c:pt idx="11">
                  <c:v>185453.78999999998</c:v>
                </c:pt>
                <c:pt idx="12">
                  <c:v>206953.78999999998</c:v>
                </c:pt>
                <c:pt idx="13">
                  <c:v>228453.78999999998</c:v>
                </c:pt>
                <c:pt idx="14">
                  <c:v>249953.78999999998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68141568"/>
        <c:axId val="168143104"/>
      </c:lineChart>
      <c:catAx>
        <c:axId val="16814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43104"/>
        <c:crosses val="autoZero"/>
        <c:auto val="1"/>
        <c:lblAlgn val="ctr"/>
        <c:lblOffset val="100"/>
      </c:catAx>
      <c:valAx>
        <c:axId val="168143104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4156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4232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9</c:v>
                </c:pt>
                <c:pt idx="1">
                  <c:v>13</c:v>
                </c:pt>
                <c:pt idx="2">
                  <c:v>14</c:v>
                </c:pt>
                <c:pt idx="3">
                  <c:v>13</c:v>
                </c:pt>
                <c:pt idx="4">
                  <c:v>0</c:v>
                </c:pt>
                <c:pt idx="5">
                  <c:v>11</c:v>
                </c:pt>
                <c:pt idx="6">
                  <c:v>11</c:v>
                </c:pt>
                <c:pt idx="7">
                  <c:v>13</c:v>
                </c:pt>
                <c:pt idx="8">
                  <c:v>-354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68562688"/>
        <c:axId val="16856422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120953.79</c:v>
                </c:pt>
                <c:pt idx="9">
                  <c:v>142453.78999999998</c:v>
                </c:pt>
                <c:pt idx="10">
                  <c:v>163953.78999999998</c:v>
                </c:pt>
                <c:pt idx="11">
                  <c:v>185453.78999999998</c:v>
                </c:pt>
                <c:pt idx="12">
                  <c:v>206953.78999999998</c:v>
                </c:pt>
                <c:pt idx="13">
                  <c:v>228453.78999999998</c:v>
                </c:pt>
                <c:pt idx="14">
                  <c:v>249953.78999999998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68565760"/>
        <c:axId val="168571648"/>
      </c:lineChart>
      <c:catAx>
        <c:axId val="16856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64224"/>
        <c:crosses val="autoZero"/>
        <c:auto val="1"/>
        <c:lblAlgn val="ctr"/>
        <c:lblOffset val="100"/>
      </c:catAx>
      <c:valAx>
        <c:axId val="16856422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62688"/>
        <c:crosses val="autoZero"/>
        <c:crossBetween val="between"/>
      </c:valAx>
      <c:catAx>
        <c:axId val="168565760"/>
        <c:scaling>
          <c:orientation val="minMax"/>
        </c:scaling>
        <c:delete val="1"/>
        <c:axPos val="b"/>
        <c:tickLblPos val="none"/>
        <c:crossAx val="168571648"/>
        <c:crosses val="autoZero"/>
        <c:auto val="1"/>
        <c:lblAlgn val="ctr"/>
        <c:lblOffset val="100"/>
      </c:catAx>
      <c:valAx>
        <c:axId val="16857164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657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236.61999999999534</c:v>
                </c:pt>
                <c:pt idx="1">
                  <c:v>241.7100000000064</c:v>
                </c:pt>
                <c:pt idx="2">
                  <c:v>272.54000000000815</c:v>
                </c:pt>
                <c:pt idx="3">
                  <c:v>275.31999999999243</c:v>
                </c:pt>
                <c:pt idx="4">
                  <c:v>0</c:v>
                </c:pt>
                <c:pt idx="5">
                  <c:v>210.34000000001106</c:v>
                </c:pt>
                <c:pt idx="6">
                  <c:v>221.58999999999651</c:v>
                </c:pt>
                <c:pt idx="7">
                  <c:v>261.61999999999534</c:v>
                </c:pt>
                <c:pt idx="8">
                  <c:v>-6704.0599999999977</c:v>
                </c:pt>
                <c:pt idx="9">
                  <c:v>170</c:v>
                </c:pt>
                <c:pt idx="10">
                  <c:v>152</c:v>
                </c:pt>
                <c:pt idx="11">
                  <c:v>227</c:v>
                </c:pt>
                <c:pt idx="12">
                  <c:v>217</c:v>
                </c:pt>
                <c:pt idx="13">
                  <c:v>209</c:v>
                </c:pt>
                <c:pt idx="14">
                  <c:v>202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68639488"/>
        <c:axId val="16864537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120953.79</c:v>
                </c:pt>
                <c:pt idx="9">
                  <c:v>142453.78999999998</c:v>
                </c:pt>
                <c:pt idx="10">
                  <c:v>163953.78999999998</c:v>
                </c:pt>
                <c:pt idx="11">
                  <c:v>185453.78999999998</c:v>
                </c:pt>
                <c:pt idx="12">
                  <c:v>206953.78999999998</c:v>
                </c:pt>
                <c:pt idx="13">
                  <c:v>228453.78999999998</c:v>
                </c:pt>
                <c:pt idx="14">
                  <c:v>249953.78999999998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68646912"/>
        <c:axId val="168648704"/>
      </c:lineChart>
      <c:catAx>
        <c:axId val="16863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45376"/>
        <c:crosses val="autoZero"/>
        <c:auto val="1"/>
        <c:lblAlgn val="ctr"/>
        <c:lblOffset val="100"/>
      </c:catAx>
      <c:valAx>
        <c:axId val="16864537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39488"/>
        <c:crosses val="autoZero"/>
        <c:crossBetween val="between"/>
        <c:majorUnit val="2"/>
      </c:valAx>
      <c:catAx>
        <c:axId val="168646912"/>
        <c:scaling>
          <c:orientation val="minMax"/>
        </c:scaling>
        <c:delete val="1"/>
        <c:axPos val="b"/>
        <c:tickLblPos val="none"/>
        <c:crossAx val="168648704"/>
        <c:crosses val="autoZero"/>
        <c:auto val="1"/>
        <c:lblAlgn val="ctr"/>
        <c:lblOffset val="100"/>
      </c:catAx>
      <c:valAx>
        <c:axId val="16864870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4691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12" workbookViewId="0">
      <selection activeCell="C2" sqref="C2:C32"/>
    </sheetView>
  </sheetViews>
  <sheetFormatPr defaultColWidth="9" defaultRowHeight="15"/>
  <cols>
    <col min="1" max="1" width="9.6640625" style="1163" customWidth="1"/>
    <col min="2" max="3" width="9" style="1157"/>
    <col min="4" max="4" width="10.44140625" style="1158" customWidth="1"/>
    <col min="5" max="5" width="9.77734375" style="1159" customWidth="1"/>
    <col min="6" max="6" width="9.77734375" style="1163" customWidth="1"/>
    <col min="7" max="10" width="9" style="1163"/>
    <col min="11" max="12" width="9" style="1159"/>
    <col min="13" max="13" width="0" style="1162" hidden="1" customWidth="1"/>
    <col min="14" max="256" width="9" style="1162"/>
    <col min="257" max="257" width="9.6640625" style="1162" customWidth="1"/>
    <col min="258" max="259" width="9" style="1162"/>
    <col min="260" max="260" width="10.44140625" style="1162" customWidth="1"/>
    <col min="261" max="262" width="9.77734375" style="1162" customWidth="1"/>
    <col min="263" max="268" width="9" style="1162"/>
    <col min="269" max="269" width="0" style="1162" hidden="1" customWidth="1"/>
    <col min="270" max="512" width="9" style="1162"/>
    <col min="513" max="513" width="9.6640625" style="1162" customWidth="1"/>
    <col min="514" max="515" width="9" style="1162"/>
    <col min="516" max="516" width="10.44140625" style="1162" customWidth="1"/>
    <col min="517" max="518" width="9.77734375" style="1162" customWidth="1"/>
    <col min="519" max="524" width="9" style="1162"/>
    <col min="525" max="525" width="0" style="1162" hidden="1" customWidth="1"/>
    <col min="526" max="768" width="9" style="1162"/>
    <col min="769" max="769" width="9.6640625" style="1162" customWidth="1"/>
    <col min="770" max="771" width="9" style="1162"/>
    <col min="772" max="772" width="10.44140625" style="1162" customWidth="1"/>
    <col min="773" max="774" width="9.77734375" style="1162" customWidth="1"/>
    <col min="775" max="780" width="9" style="1162"/>
    <col min="781" max="781" width="0" style="1162" hidden="1" customWidth="1"/>
    <col min="782" max="1024" width="9" style="1162"/>
    <col min="1025" max="1025" width="9.6640625" style="1162" customWidth="1"/>
    <col min="1026" max="1027" width="9" style="1162"/>
    <col min="1028" max="1028" width="10.44140625" style="1162" customWidth="1"/>
    <col min="1029" max="1030" width="9.77734375" style="1162" customWidth="1"/>
    <col min="1031" max="1036" width="9" style="1162"/>
    <col min="1037" max="1037" width="0" style="1162" hidden="1" customWidth="1"/>
    <col min="1038" max="1280" width="9" style="1162"/>
    <col min="1281" max="1281" width="9.6640625" style="1162" customWidth="1"/>
    <col min="1282" max="1283" width="9" style="1162"/>
    <col min="1284" max="1284" width="10.44140625" style="1162" customWidth="1"/>
    <col min="1285" max="1286" width="9.77734375" style="1162" customWidth="1"/>
    <col min="1287" max="1292" width="9" style="1162"/>
    <col min="1293" max="1293" width="0" style="1162" hidden="1" customWidth="1"/>
    <col min="1294" max="1536" width="9" style="1162"/>
    <col min="1537" max="1537" width="9.6640625" style="1162" customWidth="1"/>
    <col min="1538" max="1539" width="9" style="1162"/>
    <col min="1540" max="1540" width="10.44140625" style="1162" customWidth="1"/>
    <col min="1541" max="1542" width="9.77734375" style="1162" customWidth="1"/>
    <col min="1543" max="1548" width="9" style="1162"/>
    <col min="1549" max="1549" width="0" style="1162" hidden="1" customWidth="1"/>
    <col min="1550" max="1792" width="9" style="1162"/>
    <col min="1793" max="1793" width="9.6640625" style="1162" customWidth="1"/>
    <col min="1794" max="1795" width="9" style="1162"/>
    <col min="1796" max="1796" width="10.44140625" style="1162" customWidth="1"/>
    <col min="1797" max="1798" width="9.77734375" style="1162" customWidth="1"/>
    <col min="1799" max="1804" width="9" style="1162"/>
    <col min="1805" max="1805" width="0" style="1162" hidden="1" customWidth="1"/>
    <col min="1806" max="2048" width="9" style="1162"/>
    <col min="2049" max="2049" width="9.6640625" style="1162" customWidth="1"/>
    <col min="2050" max="2051" width="9" style="1162"/>
    <col min="2052" max="2052" width="10.44140625" style="1162" customWidth="1"/>
    <col min="2053" max="2054" width="9.77734375" style="1162" customWidth="1"/>
    <col min="2055" max="2060" width="9" style="1162"/>
    <col min="2061" max="2061" width="0" style="1162" hidden="1" customWidth="1"/>
    <col min="2062" max="2304" width="9" style="1162"/>
    <col min="2305" max="2305" width="9.6640625" style="1162" customWidth="1"/>
    <col min="2306" max="2307" width="9" style="1162"/>
    <col min="2308" max="2308" width="10.44140625" style="1162" customWidth="1"/>
    <col min="2309" max="2310" width="9.77734375" style="1162" customWidth="1"/>
    <col min="2311" max="2316" width="9" style="1162"/>
    <col min="2317" max="2317" width="0" style="1162" hidden="1" customWidth="1"/>
    <col min="2318" max="2560" width="9" style="1162"/>
    <col min="2561" max="2561" width="9.6640625" style="1162" customWidth="1"/>
    <col min="2562" max="2563" width="9" style="1162"/>
    <col min="2564" max="2564" width="10.44140625" style="1162" customWidth="1"/>
    <col min="2565" max="2566" width="9.77734375" style="1162" customWidth="1"/>
    <col min="2567" max="2572" width="9" style="1162"/>
    <col min="2573" max="2573" width="0" style="1162" hidden="1" customWidth="1"/>
    <col min="2574" max="2816" width="9" style="1162"/>
    <col min="2817" max="2817" width="9.6640625" style="1162" customWidth="1"/>
    <col min="2818" max="2819" width="9" style="1162"/>
    <col min="2820" max="2820" width="10.44140625" style="1162" customWidth="1"/>
    <col min="2821" max="2822" width="9.77734375" style="1162" customWidth="1"/>
    <col min="2823" max="2828" width="9" style="1162"/>
    <col min="2829" max="2829" width="0" style="1162" hidden="1" customWidth="1"/>
    <col min="2830" max="3072" width="9" style="1162"/>
    <col min="3073" max="3073" width="9.6640625" style="1162" customWidth="1"/>
    <col min="3074" max="3075" width="9" style="1162"/>
    <col min="3076" max="3076" width="10.44140625" style="1162" customWidth="1"/>
    <col min="3077" max="3078" width="9.77734375" style="1162" customWidth="1"/>
    <col min="3079" max="3084" width="9" style="1162"/>
    <col min="3085" max="3085" width="0" style="1162" hidden="1" customWidth="1"/>
    <col min="3086" max="3328" width="9" style="1162"/>
    <col min="3329" max="3329" width="9.6640625" style="1162" customWidth="1"/>
    <col min="3330" max="3331" width="9" style="1162"/>
    <col min="3332" max="3332" width="10.44140625" style="1162" customWidth="1"/>
    <col min="3333" max="3334" width="9.77734375" style="1162" customWidth="1"/>
    <col min="3335" max="3340" width="9" style="1162"/>
    <col min="3341" max="3341" width="0" style="1162" hidden="1" customWidth="1"/>
    <col min="3342" max="3584" width="9" style="1162"/>
    <col min="3585" max="3585" width="9.6640625" style="1162" customWidth="1"/>
    <col min="3586" max="3587" width="9" style="1162"/>
    <col min="3588" max="3588" width="10.44140625" style="1162" customWidth="1"/>
    <col min="3589" max="3590" width="9.77734375" style="1162" customWidth="1"/>
    <col min="3591" max="3596" width="9" style="1162"/>
    <col min="3597" max="3597" width="0" style="1162" hidden="1" customWidth="1"/>
    <col min="3598" max="3840" width="9" style="1162"/>
    <col min="3841" max="3841" width="9.6640625" style="1162" customWidth="1"/>
    <col min="3842" max="3843" width="9" style="1162"/>
    <col min="3844" max="3844" width="10.44140625" style="1162" customWidth="1"/>
    <col min="3845" max="3846" width="9.77734375" style="1162" customWidth="1"/>
    <col min="3847" max="3852" width="9" style="1162"/>
    <col min="3853" max="3853" width="0" style="1162" hidden="1" customWidth="1"/>
    <col min="3854" max="4096" width="9" style="1162"/>
    <col min="4097" max="4097" width="9.6640625" style="1162" customWidth="1"/>
    <col min="4098" max="4099" width="9" style="1162"/>
    <col min="4100" max="4100" width="10.44140625" style="1162" customWidth="1"/>
    <col min="4101" max="4102" width="9.77734375" style="1162" customWidth="1"/>
    <col min="4103" max="4108" width="9" style="1162"/>
    <col min="4109" max="4109" width="0" style="1162" hidden="1" customWidth="1"/>
    <col min="4110" max="4352" width="9" style="1162"/>
    <col min="4353" max="4353" width="9.6640625" style="1162" customWidth="1"/>
    <col min="4354" max="4355" width="9" style="1162"/>
    <col min="4356" max="4356" width="10.44140625" style="1162" customWidth="1"/>
    <col min="4357" max="4358" width="9.77734375" style="1162" customWidth="1"/>
    <col min="4359" max="4364" width="9" style="1162"/>
    <col min="4365" max="4365" width="0" style="1162" hidden="1" customWidth="1"/>
    <col min="4366" max="4608" width="9" style="1162"/>
    <col min="4609" max="4609" width="9.6640625" style="1162" customWidth="1"/>
    <col min="4610" max="4611" width="9" style="1162"/>
    <col min="4612" max="4612" width="10.44140625" style="1162" customWidth="1"/>
    <col min="4613" max="4614" width="9.77734375" style="1162" customWidth="1"/>
    <col min="4615" max="4620" width="9" style="1162"/>
    <col min="4621" max="4621" width="0" style="1162" hidden="1" customWidth="1"/>
    <col min="4622" max="4864" width="9" style="1162"/>
    <col min="4865" max="4865" width="9.6640625" style="1162" customWidth="1"/>
    <col min="4866" max="4867" width="9" style="1162"/>
    <col min="4868" max="4868" width="10.44140625" style="1162" customWidth="1"/>
    <col min="4869" max="4870" width="9.77734375" style="1162" customWidth="1"/>
    <col min="4871" max="4876" width="9" style="1162"/>
    <col min="4877" max="4877" width="0" style="1162" hidden="1" customWidth="1"/>
    <col min="4878" max="5120" width="9" style="1162"/>
    <col min="5121" max="5121" width="9.6640625" style="1162" customWidth="1"/>
    <col min="5122" max="5123" width="9" style="1162"/>
    <col min="5124" max="5124" width="10.44140625" style="1162" customWidth="1"/>
    <col min="5125" max="5126" width="9.77734375" style="1162" customWidth="1"/>
    <col min="5127" max="5132" width="9" style="1162"/>
    <col min="5133" max="5133" width="0" style="1162" hidden="1" customWidth="1"/>
    <col min="5134" max="5376" width="9" style="1162"/>
    <col min="5377" max="5377" width="9.6640625" style="1162" customWidth="1"/>
    <col min="5378" max="5379" width="9" style="1162"/>
    <col min="5380" max="5380" width="10.44140625" style="1162" customWidth="1"/>
    <col min="5381" max="5382" width="9.77734375" style="1162" customWidth="1"/>
    <col min="5383" max="5388" width="9" style="1162"/>
    <col min="5389" max="5389" width="0" style="1162" hidden="1" customWidth="1"/>
    <col min="5390" max="5632" width="9" style="1162"/>
    <col min="5633" max="5633" width="9.6640625" style="1162" customWidth="1"/>
    <col min="5634" max="5635" width="9" style="1162"/>
    <col min="5636" max="5636" width="10.44140625" style="1162" customWidth="1"/>
    <col min="5637" max="5638" width="9.77734375" style="1162" customWidth="1"/>
    <col min="5639" max="5644" width="9" style="1162"/>
    <col min="5645" max="5645" width="0" style="1162" hidden="1" customWidth="1"/>
    <col min="5646" max="5888" width="9" style="1162"/>
    <col min="5889" max="5889" width="9.6640625" style="1162" customWidth="1"/>
    <col min="5890" max="5891" width="9" style="1162"/>
    <col min="5892" max="5892" width="10.44140625" style="1162" customWidth="1"/>
    <col min="5893" max="5894" width="9.77734375" style="1162" customWidth="1"/>
    <col min="5895" max="5900" width="9" style="1162"/>
    <col min="5901" max="5901" width="0" style="1162" hidden="1" customWidth="1"/>
    <col min="5902" max="6144" width="9" style="1162"/>
    <col min="6145" max="6145" width="9.6640625" style="1162" customWidth="1"/>
    <col min="6146" max="6147" width="9" style="1162"/>
    <col min="6148" max="6148" width="10.44140625" style="1162" customWidth="1"/>
    <col min="6149" max="6150" width="9.77734375" style="1162" customWidth="1"/>
    <col min="6151" max="6156" width="9" style="1162"/>
    <col min="6157" max="6157" width="0" style="1162" hidden="1" customWidth="1"/>
    <col min="6158" max="6400" width="9" style="1162"/>
    <col min="6401" max="6401" width="9.6640625" style="1162" customWidth="1"/>
    <col min="6402" max="6403" width="9" style="1162"/>
    <col min="6404" max="6404" width="10.44140625" style="1162" customWidth="1"/>
    <col min="6405" max="6406" width="9.77734375" style="1162" customWidth="1"/>
    <col min="6407" max="6412" width="9" style="1162"/>
    <col min="6413" max="6413" width="0" style="1162" hidden="1" customWidth="1"/>
    <col min="6414" max="6656" width="9" style="1162"/>
    <col min="6657" max="6657" width="9.6640625" style="1162" customWidth="1"/>
    <col min="6658" max="6659" width="9" style="1162"/>
    <col min="6660" max="6660" width="10.44140625" style="1162" customWidth="1"/>
    <col min="6661" max="6662" width="9.77734375" style="1162" customWidth="1"/>
    <col min="6663" max="6668" width="9" style="1162"/>
    <col min="6669" max="6669" width="0" style="1162" hidden="1" customWidth="1"/>
    <col min="6670" max="6912" width="9" style="1162"/>
    <col min="6913" max="6913" width="9.6640625" style="1162" customWidth="1"/>
    <col min="6914" max="6915" width="9" style="1162"/>
    <col min="6916" max="6916" width="10.44140625" style="1162" customWidth="1"/>
    <col min="6917" max="6918" width="9.77734375" style="1162" customWidth="1"/>
    <col min="6919" max="6924" width="9" style="1162"/>
    <col min="6925" max="6925" width="0" style="1162" hidden="1" customWidth="1"/>
    <col min="6926" max="7168" width="9" style="1162"/>
    <col min="7169" max="7169" width="9.6640625" style="1162" customWidth="1"/>
    <col min="7170" max="7171" width="9" style="1162"/>
    <col min="7172" max="7172" width="10.44140625" style="1162" customWidth="1"/>
    <col min="7173" max="7174" width="9.77734375" style="1162" customWidth="1"/>
    <col min="7175" max="7180" width="9" style="1162"/>
    <col min="7181" max="7181" width="0" style="1162" hidden="1" customWidth="1"/>
    <col min="7182" max="7424" width="9" style="1162"/>
    <col min="7425" max="7425" width="9.6640625" style="1162" customWidth="1"/>
    <col min="7426" max="7427" width="9" style="1162"/>
    <col min="7428" max="7428" width="10.44140625" style="1162" customWidth="1"/>
    <col min="7429" max="7430" width="9.77734375" style="1162" customWidth="1"/>
    <col min="7431" max="7436" width="9" style="1162"/>
    <col min="7437" max="7437" width="0" style="1162" hidden="1" customWidth="1"/>
    <col min="7438" max="7680" width="9" style="1162"/>
    <col min="7681" max="7681" width="9.6640625" style="1162" customWidth="1"/>
    <col min="7682" max="7683" width="9" style="1162"/>
    <col min="7684" max="7684" width="10.44140625" style="1162" customWidth="1"/>
    <col min="7685" max="7686" width="9.77734375" style="1162" customWidth="1"/>
    <col min="7687" max="7692" width="9" style="1162"/>
    <col min="7693" max="7693" width="0" style="1162" hidden="1" customWidth="1"/>
    <col min="7694" max="7936" width="9" style="1162"/>
    <col min="7937" max="7937" width="9.6640625" style="1162" customWidth="1"/>
    <col min="7938" max="7939" width="9" style="1162"/>
    <col min="7940" max="7940" width="10.44140625" style="1162" customWidth="1"/>
    <col min="7941" max="7942" width="9.77734375" style="1162" customWidth="1"/>
    <col min="7943" max="7948" width="9" style="1162"/>
    <col min="7949" max="7949" width="0" style="1162" hidden="1" customWidth="1"/>
    <col min="7950" max="8192" width="9" style="1162"/>
    <col min="8193" max="8193" width="9.6640625" style="1162" customWidth="1"/>
    <col min="8194" max="8195" width="9" style="1162"/>
    <col min="8196" max="8196" width="10.44140625" style="1162" customWidth="1"/>
    <col min="8197" max="8198" width="9.77734375" style="1162" customWidth="1"/>
    <col min="8199" max="8204" width="9" style="1162"/>
    <col min="8205" max="8205" width="0" style="1162" hidden="1" customWidth="1"/>
    <col min="8206" max="8448" width="9" style="1162"/>
    <col min="8449" max="8449" width="9.6640625" style="1162" customWidth="1"/>
    <col min="8450" max="8451" width="9" style="1162"/>
    <col min="8452" max="8452" width="10.44140625" style="1162" customWidth="1"/>
    <col min="8453" max="8454" width="9.77734375" style="1162" customWidth="1"/>
    <col min="8455" max="8460" width="9" style="1162"/>
    <col min="8461" max="8461" width="0" style="1162" hidden="1" customWidth="1"/>
    <col min="8462" max="8704" width="9" style="1162"/>
    <col min="8705" max="8705" width="9.6640625" style="1162" customWidth="1"/>
    <col min="8706" max="8707" width="9" style="1162"/>
    <col min="8708" max="8708" width="10.44140625" style="1162" customWidth="1"/>
    <col min="8709" max="8710" width="9.77734375" style="1162" customWidth="1"/>
    <col min="8711" max="8716" width="9" style="1162"/>
    <col min="8717" max="8717" width="0" style="1162" hidden="1" customWidth="1"/>
    <col min="8718" max="8960" width="9" style="1162"/>
    <col min="8961" max="8961" width="9.6640625" style="1162" customWidth="1"/>
    <col min="8962" max="8963" width="9" style="1162"/>
    <col min="8964" max="8964" width="10.44140625" style="1162" customWidth="1"/>
    <col min="8965" max="8966" width="9.77734375" style="1162" customWidth="1"/>
    <col min="8967" max="8972" width="9" style="1162"/>
    <col min="8973" max="8973" width="0" style="1162" hidden="1" customWidth="1"/>
    <col min="8974" max="9216" width="9" style="1162"/>
    <col min="9217" max="9217" width="9.6640625" style="1162" customWidth="1"/>
    <col min="9218" max="9219" width="9" style="1162"/>
    <col min="9220" max="9220" width="10.44140625" style="1162" customWidth="1"/>
    <col min="9221" max="9222" width="9.77734375" style="1162" customWidth="1"/>
    <col min="9223" max="9228" width="9" style="1162"/>
    <col min="9229" max="9229" width="0" style="1162" hidden="1" customWidth="1"/>
    <col min="9230" max="9472" width="9" style="1162"/>
    <col min="9473" max="9473" width="9.6640625" style="1162" customWidth="1"/>
    <col min="9474" max="9475" width="9" style="1162"/>
    <col min="9476" max="9476" width="10.44140625" style="1162" customWidth="1"/>
    <col min="9477" max="9478" width="9.77734375" style="1162" customWidth="1"/>
    <col min="9479" max="9484" width="9" style="1162"/>
    <col min="9485" max="9485" width="0" style="1162" hidden="1" customWidth="1"/>
    <col min="9486" max="9728" width="9" style="1162"/>
    <col min="9729" max="9729" width="9.6640625" style="1162" customWidth="1"/>
    <col min="9730" max="9731" width="9" style="1162"/>
    <col min="9732" max="9732" width="10.44140625" style="1162" customWidth="1"/>
    <col min="9733" max="9734" width="9.77734375" style="1162" customWidth="1"/>
    <col min="9735" max="9740" width="9" style="1162"/>
    <col min="9741" max="9741" width="0" style="1162" hidden="1" customWidth="1"/>
    <col min="9742" max="9984" width="9" style="1162"/>
    <col min="9985" max="9985" width="9.6640625" style="1162" customWidth="1"/>
    <col min="9986" max="9987" width="9" style="1162"/>
    <col min="9988" max="9988" width="10.44140625" style="1162" customWidth="1"/>
    <col min="9989" max="9990" width="9.77734375" style="1162" customWidth="1"/>
    <col min="9991" max="9996" width="9" style="1162"/>
    <col min="9997" max="9997" width="0" style="1162" hidden="1" customWidth="1"/>
    <col min="9998" max="10240" width="9" style="1162"/>
    <col min="10241" max="10241" width="9.6640625" style="1162" customWidth="1"/>
    <col min="10242" max="10243" width="9" style="1162"/>
    <col min="10244" max="10244" width="10.44140625" style="1162" customWidth="1"/>
    <col min="10245" max="10246" width="9.77734375" style="1162" customWidth="1"/>
    <col min="10247" max="10252" width="9" style="1162"/>
    <col min="10253" max="10253" width="0" style="1162" hidden="1" customWidth="1"/>
    <col min="10254" max="10496" width="9" style="1162"/>
    <col min="10497" max="10497" width="9.6640625" style="1162" customWidth="1"/>
    <col min="10498" max="10499" width="9" style="1162"/>
    <col min="10500" max="10500" width="10.44140625" style="1162" customWidth="1"/>
    <col min="10501" max="10502" width="9.77734375" style="1162" customWidth="1"/>
    <col min="10503" max="10508" width="9" style="1162"/>
    <col min="10509" max="10509" width="0" style="1162" hidden="1" customWidth="1"/>
    <col min="10510" max="10752" width="9" style="1162"/>
    <col min="10753" max="10753" width="9.6640625" style="1162" customWidth="1"/>
    <col min="10754" max="10755" width="9" style="1162"/>
    <col min="10756" max="10756" width="10.44140625" style="1162" customWidth="1"/>
    <col min="10757" max="10758" width="9.77734375" style="1162" customWidth="1"/>
    <col min="10759" max="10764" width="9" style="1162"/>
    <col min="10765" max="10765" width="0" style="1162" hidden="1" customWidth="1"/>
    <col min="10766" max="11008" width="9" style="1162"/>
    <col min="11009" max="11009" width="9.6640625" style="1162" customWidth="1"/>
    <col min="11010" max="11011" width="9" style="1162"/>
    <col min="11012" max="11012" width="10.44140625" style="1162" customWidth="1"/>
    <col min="11013" max="11014" width="9.77734375" style="1162" customWidth="1"/>
    <col min="11015" max="11020" width="9" style="1162"/>
    <col min="11021" max="11021" width="0" style="1162" hidden="1" customWidth="1"/>
    <col min="11022" max="11264" width="9" style="1162"/>
    <col min="11265" max="11265" width="9.6640625" style="1162" customWidth="1"/>
    <col min="11266" max="11267" width="9" style="1162"/>
    <col min="11268" max="11268" width="10.44140625" style="1162" customWidth="1"/>
    <col min="11269" max="11270" width="9.77734375" style="1162" customWidth="1"/>
    <col min="11271" max="11276" width="9" style="1162"/>
    <col min="11277" max="11277" width="0" style="1162" hidden="1" customWidth="1"/>
    <col min="11278" max="11520" width="9" style="1162"/>
    <col min="11521" max="11521" width="9.6640625" style="1162" customWidth="1"/>
    <col min="11522" max="11523" width="9" style="1162"/>
    <col min="11524" max="11524" width="10.44140625" style="1162" customWidth="1"/>
    <col min="11525" max="11526" width="9.77734375" style="1162" customWidth="1"/>
    <col min="11527" max="11532" width="9" style="1162"/>
    <col min="11533" max="11533" width="0" style="1162" hidden="1" customWidth="1"/>
    <col min="11534" max="11776" width="9" style="1162"/>
    <col min="11777" max="11777" width="9.6640625" style="1162" customWidth="1"/>
    <col min="11778" max="11779" width="9" style="1162"/>
    <col min="11780" max="11780" width="10.44140625" style="1162" customWidth="1"/>
    <col min="11781" max="11782" width="9.77734375" style="1162" customWidth="1"/>
    <col min="11783" max="11788" width="9" style="1162"/>
    <col min="11789" max="11789" width="0" style="1162" hidden="1" customWidth="1"/>
    <col min="11790" max="12032" width="9" style="1162"/>
    <col min="12033" max="12033" width="9.6640625" style="1162" customWidth="1"/>
    <col min="12034" max="12035" width="9" style="1162"/>
    <col min="12036" max="12036" width="10.44140625" style="1162" customWidth="1"/>
    <col min="12037" max="12038" width="9.77734375" style="1162" customWidth="1"/>
    <col min="12039" max="12044" width="9" style="1162"/>
    <col min="12045" max="12045" width="0" style="1162" hidden="1" customWidth="1"/>
    <col min="12046" max="12288" width="9" style="1162"/>
    <col min="12289" max="12289" width="9.6640625" style="1162" customWidth="1"/>
    <col min="12290" max="12291" width="9" style="1162"/>
    <col min="12292" max="12292" width="10.44140625" style="1162" customWidth="1"/>
    <col min="12293" max="12294" width="9.77734375" style="1162" customWidth="1"/>
    <col min="12295" max="12300" width="9" style="1162"/>
    <col min="12301" max="12301" width="0" style="1162" hidden="1" customWidth="1"/>
    <col min="12302" max="12544" width="9" style="1162"/>
    <col min="12545" max="12545" width="9.6640625" style="1162" customWidth="1"/>
    <col min="12546" max="12547" width="9" style="1162"/>
    <col min="12548" max="12548" width="10.44140625" style="1162" customWidth="1"/>
    <col min="12549" max="12550" width="9.77734375" style="1162" customWidth="1"/>
    <col min="12551" max="12556" width="9" style="1162"/>
    <col min="12557" max="12557" width="0" style="1162" hidden="1" customWidth="1"/>
    <col min="12558" max="12800" width="9" style="1162"/>
    <col min="12801" max="12801" width="9.6640625" style="1162" customWidth="1"/>
    <col min="12802" max="12803" width="9" style="1162"/>
    <col min="12804" max="12804" width="10.44140625" style="1162" customWidth="1"/>
    <col min="12805" max="12806" width="9.77734375" style="1162" customWidth="1"/>
    <col min="12807" max="12812" width="9" style="1162"/>
    <col min="12813" max="12813" width="0" style="1162" hidden="1" customWidth="1"/>
    <col min="12814" max="13056" width="9" style="1162"/>
    <col min="13057" max="13057" width="9.6640625" style="1162" customWidth="1"/>
    <col min="13058" max="13059" width="9" style="1162"/>
    <col min="13060" max="13060" width="10.44140625" style="1162" customWidth="1"/>
    <col min="13061" max="13062" width="9.77734375" style="1162" customWidth="1"/>
    <col min="13063" max="13068" width="9" style="1162"/>
    <col min="13069" max="13069" width="0" style="1162" hidden="1" customWidth="1"/>
    <col min="13070" max="13312" width="9" style="1162"/>
    <col min="13313" max="13313" width="9.6640625" style="1162" customWidth="1"/>
    <col min="13314" max="13315" width="9" style="1162"/>
    <col min="13316" max="13316" width="10.44140625" style="1162" customWidth="1"/>
    <col min="13317" max="13318" width="9.77734375" style="1162" customWidth="1"/>
    <col min="13319" max="13324" width="9" style="1162"/>
    <col min="13325" max="13325" width="0" style="1162" hidden="1" customWidth="1"/>
    <col min="13326" max="13568" width="9" style="1162"/>
    <col min="13569" max="13569" width="9.6640625" style="1162" customWidth="1"/>
    <col min="13570" max="13571" width="9" style="1162"/>
    <col min="13572" max="13572" width="10.44140625" style="1162" customWidth="1"/>
    <col min="13573" max="13574" width="9.77734375" style="1162" customWidth="1"/>
    <col min="13575" max="13580" width="9" style="1162"/>
    <col min="13581" max="13581" width="0" style="1162" hidden="1" customWidth="1"/>
    <col min="13582" max="13824" width="9" style="1162"/>
    <col min="13825" max="13825" width="9.6640625" style="1162" customWidth="1"/>
    <col min="13826" max="13827" width="9" style="1162"/>
    <col min="13828" max="13828" width="10.44140625" style="1162" customWidth="1"/>
    <col min="13829" max="13830" width="9.77734375" style="1162" customWidth="1"/>
    <col min="13831" max="13836" width="9" style="1162"/>
    <col min="13837" max="13837" width="0" style="1162" hidden="1" customWidth="1"/>
    <col min="13838" max="14080" width="9" style="1162"/>
    <col min="14081" max="14081" width="9.6640625" style="1162" customWidth="1"/>
    <col min="14082" max="14083" width="9" style="1162"/>
    <col min="14084" max="14084" width="10.44140625" style="1162" customWidth="1"/>
    <col min="14085" max="14086" width="9.77734375" style="1162" customWidth="1"/>
    <col min="14087" max="14092" width="9" style="1162"/>
    <col min="14093" max="14093" width="0" style="1162" hidden="1" customWidth="1"/>
    <col min="14094" max="14336" width="9" style="1162"/>
    <col min="14337" max="14337" width="9.6640625" style="1162" customWidth="1"/>
    <col min="14338" max="14339" width="9" style="1162"/>
    <col min="14340" max="14340" width="10.44140625" style="1162" customWidth="1"/>
    <col min="14341" max="14342" width="9.77734375" style="1162" customWidth="1"/>
    <col min="14343" max="14348" width="9" style="1162"/>
    <col min="14349" max="14349" width="0" style="1162" hidden="1" customWidth="1"/>
    <col min="14350" max="14592" width="9" style="1162"/>
    <col min="14593" max="14593" width="9.6640625" style="1162" customWidth="1"/>
    <col min="14594" max="14595" width="9" style="1162"/>
    <col min="14596" max="14596" width="10.44140625" style="1162" customWidth="1"/>
    <col min="14597" max="14598" width="9.77734375" style="1162" customWidth="1"/>
    <col min="14599" max="14604" width="9" style="1162"/>
    <col min="14605" max="14605" width="0" style="1162" hidden="1" customWidth="1"/>
    <col min="14606" max="14848" width="9" style="1162"/>
    <col min="14849" max="14849" width="9.6640625" style="1162" customWidth="1"/>
    <col min="14850" max="14851" width="9" style="1162"/>
    <col min="14852" max="14852" width="10.44140625" style="1162" customWidth="1"/>
    <col min="14853" max="14854" width="9.77734375" style="1162" customWidth="1"/>
    <col min="14855" max="14860" width="9" style="1162"/>
    <col min="14861" max="14861" width="0" style="1162" hidden="1" customWidth="1"/>
    <col min="14862" max="15104" width="9" style="1162"/>
    <col min="15105" max="15105" width="9.6640625" style="1162" customWidth="1"/>
    <col min="15106" max="15107" width="9" style="1162"/>
    <col min="15108" max="15108" width="10.44140625" style="1162" customWidth="1"/>
    <col min="15109" max="15110" width="9.77734375" style="1162" customWidth="1"/>
    <col min="15111" max="15116" width="9" style="1162"/>
    <col min="15117" max="15117" width="0" style="1162" hidden="1" customWidth="1"/>
    <col min="15118" max="15360" width="9" style="1162"/>
    <col min="15361" max="15361" width="9.6640625" style="1162" customWidth="1"/>
    <col min="15362" max="15363" width="9" style="1162"/>
    <col min="15364" max="15364" width="10.44140625" style="1162" customWidth="1"/>
    <col min="15365" max="15366" width="9.77734375" style="1162" customWidth="1"/>
    <col min="15367" max="15372" width="9" style="1162"/>
    <col min="15373" max="15373" width="0" style="1162" hidden="1" customWidth="1"/>
    <col min="15374" max="15616" width="9" style="1162"/>
    <col min="15617" max="15617" width="9.6640625" style="1162" customWidth="1"/>
    <col min="15618" max="15619" width="9" style="1162"/>
    <col min="15620" max="15620" width="10.44140625" style="1162" customWidth="1"/>
    <col min="15621" max="15622" width="9.77734375" style="1162" customWidth="1"/>
    <col min="15623" max="15628" width="9" style="1162"/>
    <col min="15629" max="15629" width="0" style="1162" hidden="1" customWidth="1"/>
    <col min="15630" max="15872" width="9" style="1162"/>
    <col min="15873" max="15873" width="9.6640625" style="1162" customWidth="1"/>
    <col min="15874" max="15875" width="9" style="1162"/>
    <col min="15876" max="15876" width="10.44140625" style="1162" customWidth="1"/>
    <col min="15877" max="15878" width="9.77734375" style="1162" customWidth="1"/>
    <col min="15879" max="15884" width="9" style="1162"/>
    <col min="15885" max="15885" width="0" style="1162" hidden="1" customWidth="1"/>
    <col min="15886" max="16128" width="9" style="1162"/>
    <col min="16129" max="16129" width="9.6640625" style="1162" customWidth="1"/>
    <col min="16130" max="16131" width="9" style="1162"/>
    <col min="16132" max="16132" width="10.44140625" style="1162" customWidth="1"/>
    <col min="16133" max="16134" width="9.77734375" style="1162" customWidth="1"/>
    <col min="16135" max="16140" width="9" style="1162"/>
    <col min="16141" max="16141" width="0" style="1162" hidden="1" customWidth="1"/>
    <col min="16142" max="16384" width="9" style="1162"/>
  </cols>
  <sheetData>
    <row r="1" spans="1:13" s="1155" customFormat="1" ht="60.75" thickBot="1">
      <c r="A1" s="1149" t="s">
        <v>289</v>
      </c>
      <c r="B1" s="1150" t="s">
        <v>290</v>
      </c>
      <c r="C1" s="1150" t="s">
        <v>291</v>
      </c>
      <c r="D1" s="1151" t="s">
        <v>292</v>
      </c>
      <c r="E1" s="1152" t="s">
        <v>293</v>
      </c>
      <c r="F1" s="1153" t="s">
        <v>294</v>
      </c>
      <c r="G1" s="1152" t="s">
        <v>301</v>
      </c>
      <c r="H1" s="1153" t="s">
        <v>302</v>
      </c>
      <c r="I1" s="1153" t="s">
        <v>295</v>
      </c>
      <c r="J1" s="1153" t="s">
        <v>296</v>
      </c>
      <c r="K1" s="1152" t="s">
        <v>297</v>
      </c>
      <c r="L1" s="1152" t="s">
        <v>298</v>
      </c>
      <c r="M1" s="1154" t="s">
        <v>299</v>
      </c>
    </row>
    <row r="2" spans="1:13">
      <c r="A2" s="1156" t="s">
        <v>300</v>
      </c>
      <c r="B2" s="1157">
        <v>1</v>
      </c>
      <c r="C2" s="1157">
        <v>7</v>
      </c>
      <c r="D2" s="1158">
        <v>2021</v>
      </c>
      <c r="E2" s="1159">
        <f>(IF('Daily HLP'!I4&gt;0,'Daily HLP'!I4,0))</f>
        <v>23260.790000000037</v>
      </c>
      <c r="F2" s="1160">
        <v>9</v>
      </c>
      <c r="G2" s="1160">
        <f>(IF('Daily HLP'!M4&gt;0,'Daily HLP'!M4,0))</f>
        <v>918.37800000002608</v>
      </c>
      <c r="H2" s="1160">
        <v>52</v>
      </c>
      <c r="I2" s="1160">
        <f>(IF('Daily HLP'!P4&gt;0,'Daily HLP'!P4,0))</f>
        <v>154</v>
      </c>
      <c r="J2" s="1160">
        <v>118</v>
      </c>
      <c r="K2" s="1234">
        <f>Occupancy!G2</f>
        <v>93</v>
      </c>
      <c r="L2" s="1159">
        <f>Occupancy!F2</f>
        <v>467</v>
      </c>
      <c r="M2" s="1161" t="e">
        <f>E2*F2+G2*H2+#REF!*#REF!+I2*J2</f>
        <v>#REF!</v>
      </c>
    </row>
    <row r="3" spans="1:13">
      <c r="A3" s="1156" t="s">
        <v>300</v>
      </c>
      <c r="B3" s="1157">
        <f>B2+1</f>
        <v>2</v>
      </c>
      <c r="C3" s="1157">
        <v>7</v>
      </c>
      <c r="D3" s="1158">
        <v>2021</v>
      </c>
      <c r="E3" s="1159">
        <f>(IF('Daily HLP'!I5&gt;0,'Daily HLP'!I5,0))</f>
        <v>21035.119999999995</v>
      </c>
      <c r="F3" s="1160">
        <v>9</v>
      </c>
      <c r="G3" s="1160">
        <f>(IF('Daily HLP'!M5&gt;0,'Daily HLP'!M5,0))</f>
        <v>510.87400000006892</v>
      </c>
      <c r="H3" s="1160">
        <v>52</v>
      </c>
      <c r="I3" s="1160">
        <f>(IF('Daily HLP'!P5&gt;0,'Daily HLP'!P5,0))</f>
        <v>162</v>
      </c>
      <c r="J3" s="1160">
        <v>118</v>
      </c>
      <c r="K3" s="1234">
        <f>Occupancy!G3</f>
        <v>144</v>
      </c>
      <c r="L3" s="1159">
        <f>Occupancy!F3</f>
        <v>417</v>
      </c>
      <c r="M3" s="1161" t="e">
        <f>E3*F3+G3*H3+#REF!*#REF!+I3*J3</f>
        <v>#REF!</v>
      </c>
    </row>
    <row r="4" spans="1:13">
      <c r="A4" s="1156" t="s">
        <v>300</v>
      </c>
      <c r="B4" s="1157">
        <f t="shared" ref="B4:B32" si="0">B3+1</f>
        <v>3</v>
      </c>
      <c r="C4" s="1157">
        <v>7</v>
      </c>
      <c r="D4" s="1158">
        <v>2021</v>
      </c>
      <c r="E4" s="1159">
        <f>(IF('Daily HLP'!I6&gt;0,'Daily HLP'!I6,0))</f>
        <v>22104.089999999967</v>
      </c>
      <c r="F4" s="1160">
        <v>9</v>
      </c>
      <c r="G4" s="1160">
        <f>(IF('Daily HLP'!M6&gt;0,'Daily HLP'!M6,0))</f>
        <v>940.26799999992363</v>
      </c>
      <c r="H4" s="1160">
        <v>52</v>
      </c>
      <c r="I4" s="1160">
        <f>(IF('Daily HLP'!P6&gt;0,'Daily HLP'!P6,0))</f>
        <v>210</v>
      </c>
      <c r="J4" s="1160">
        <v>118</v>
      </c>
      <c r="K4" s="1234">
        <f>Occupancy!G4</f>
        <v>187</v>
      </c>
      <c r="L4" s="1159">
        <f>Occupancy!F4</f>
        <v>483</v>
      </c>
      <c r="M4" s="1161" t="e">
        <f>E4*F4+G4*H4+#REF!*#REF!+I4*J4</f>
        <v>#REF!</v>
      </c>
    </row>
    <row r="5" spans="1:13">
      <c r="A5" s="1156" t="s">
        <v>300</v>
      </c>
      <c r="B5" s="1157">
        <f t="shared" si="0"/>
        <v>4</v>
      </c>
      <c r="C5" s="1157">
        <v>7</v>
      </c>
      <c r="D5" s="1158">
        <v>2021</v>
      </c>
      <c r="E5" s="1159">
        <f>(IF('Daily HLP'!I7&gt;0,'Daily HLP'!I7,0))</f>
        <v>21866.599999999977</v>
      </c>
      <c r="F5" s="1160">
        <v>9</v>
      </c>
      <c r="G5" s="1160">
        <f>(IF('Daily HLP'!M7&gt;0,'Daily HLP'!M7,0))</f>
        <v>786.87999999988824</v>
      </c>
      <c r="H5" s="1160">
        <v>52</v>
      </c>
      <c r="I5" s="1160">
        <f>(IF('Daily HLP'!P7&gt;0,'Daily HLP'!P7,0))</f>
        <v>271</v>
      </c>
      <c r="J5" s="1160">
        <v>118</v>
      </c>
      <c r="K5" s="1234">
        <f>Occupancy!G5</f>
        <v>92</v>
      </c>
      <c r="L5" s="1159">
        <f>Occupancy!F5</f>
        <v>378</v>
      </c>
      <c r="M5" s="1161" t="e">
        <f>E5*F5+G5*H5+#REF!*#REF!+I5*J5</f>
        <v>#REF!</v>
      </c>
    </row>
    <row r="6" spans="1:13">
      <c r="A6" s="1156" t="s">
        <v>300</v>
      </c>
      <c r="B6" s="1157">
        <f t="shared" si="0"/>
        <v>5</v>
      </c>
      <c r="C6" s="1157">
        <v>7</v>
      </c>
      <c r="D6" s="1158">
        <v>2021</v>
      </c>
      <c r="E6" s="1159">
        <f>(IF('Daily HLP'!I8&gt;0,'Daily HLP'!I8,0))</f>
        <v>20992.61</v>
      </c>
      <c r="F6" s="1160">
        <v>9</v>
      </c>
      <c r="G6" s="1160">
        <f>(IF('Daily HLP'!M8&gt;0,'Daily HLP'!M8,0))</f>
        <v>925.06000000005588</v>
      </c>
      <c r="H6" s="1160">
        <v>52</v>
      </c>
      <c r="I6" s="1160">
        <f>(IF('Daily HLP'!P8&gt;0,'Daily HLP'!P8,0))</f>
        <v>241</v>
      </c>
      <c r="J6" s="1160">
        <v>118</v>
      </c>
      <c r="K6" s="1234">
        <f>Occupancy!G6</f>
        <v>111</v>
      </c>
      <c r="L6" s="1159">
        <f>Occupancy!F6</f>
        <v>252</v>
      </c>
      <c r="M6" s="1161" t="e">
        <f>E6*F6+G6*H6+#REF!*#REF!+I6*J6</f>
        <v>#REF!</v>
      </c>
    </row>
    <row r="7" spans="1:13">
      <c r="A7" s="1156" t="s">
        <v>300</v>
      </c>
      <c r="B7" s="1157">
        <f t="shared" si="0"/>
        <v>6</v>
      </c>
      <c r="C7" s="1157">
        <v>7</v>
      </c>
      <c r="D7" s="1158">
        <v>2021</v>
      </c>
      <c r="E7" s="1159">
        <f>(IF('Daily HLP'!I9&gt;0,'Daily HLP'!I9,0))</f>
        <v>19837.629999999997</v>
      </c>
      <c r="F7" s="1160">
        <v>9</v>
      </c>
      <c r="G7" s="1160">
        <f>(IF('Daily HLP'!M9&gt;0,'Daily HLP'!M9,0))</f>
        <v>430.95999999996275</v>
      </c>
      <c r="H7" s="1160">
        <v>52</v>
      </c>
      <c r="I7" s="1160">
        <f>(IF('Daily HLP'!P9&gt;0,'Daily HLP'!P9,0))</f>
        <v>149</v>
      </c>
      <c r="J7" s="1160">
        <v>118</v>
      </c>
      <c r="K7" s="1234">
        <f>Occupancy!G7</f>
        <v>122</v>
      </c>
      <c r="L7" s="1159">
        <f>Occupancy!F7</f>
        <v>292</v>
      </c>
      <c r="M7" s="1161" t="e">
        <f>E7*F7+G7*H7+#REF!*#REF!+I7*J7</f>
        <v>#REF!</v>
      </c>
    </row>
    <row r="8" spans="1:13">
      <c r="A8" s="1156" t="s">
        <v>300</v>
      </c>
      <c r="B8" s="1157">
        <f t="shared" si="0"/>
        <v>7</v>
      </c>
      <c r="C8" s="1157">
        <v>7</v>
      </c>
      <c r="D8" s="1158">
        <v>2021</v>
      </c>
      <c r="E8" s="1159">
        <f>(IF('Daily HLP'!I10&gt;0,'Daily HLP'!I10,0))</f>
        <v>21913.78</v>
      </c>
      <c r="F8" s="1160">
        <v>9</v>
      </c>
      <c r="G8" s="1160">
        <f>(IF('Daily HLP'!M10&gt;0,'Daily HLP'!M10,0))</f>
        <v>850.19000000017695</v>
      </c>
      <c r="H8" s="1160">
        <v>52</v>
      </c>
      <c r="I8" s="1160">
        <f>(IF('Daily HLP'!P10&gt;0,'Daily HLP'!P10,0))</f>
        <v>168</v>
      </c>
      <c r="J8" s="1160">
        <v>118</v>
      </c>
      <c r="K8" s="1234">
        <f>Occupancy!G8</f>
        <v>136.27000000000001</v>
      </c>
      <c r="L8" s="1159">
        <f>Occupancy!F8</f>
        <v>402</v>
      </c>
      <c r="M8" s="1161" t="e">
        <f>E8*F8+G8*H8+#REF!*#REF!+I8*J8</f>
        <v>#REF!</v>
      </c>
    </row>
    <row r="9" spans="1:13">
      <c r="A9" s="1156" t="s">
        <v>300</v>
      </c>
      <c r="B9" s="1157">
        <f t="shared" si="0"/>
        <v>8</v>
      </c>
      <c r="C9" s="1157">
        <v>7</v>
      </c>
      <c r="D9" s="1158">
        <v>2021</v>
      </c>
      <c r="E9" s="1159">
        <f>(IF('Daily HLP'!I11&gt;0,'Daily HLP'!I11,0))</f>
        <v>21721.17</v>
      </c>
      <c r="F9" s="1160">
        <v>9</v>
      </c>
      <c r="G9" s="1160">
        <f>(IF('Daily HLP'!M11&gt;0,'Daily HLP'!M11,0))</f>
        <v>821.54999999981374</v>
      </c>
      <c r="H9" s="1160">
        <v>52</v>
      </c>
      <c r="I9" s="1160">
        <f>(IF('Daily HLP'!P11&gt;0,'Daily HLP'!P11,0))</f>
        <v>161</v>
      </c>
      <c r="J9" s="1160">
        <v>118</v>
      </c>
      <c r="K9" s="1234">
        <f>Occupancy!G9</f>
        <v>127</v>
      </c>
      <c r="L9" s="1159">
        <f>Occupancy!F9</f>
        <v>318</v>
      </c>
      <c r="M9" s="1161" t="e">
        <f>E9*F9+G9*H9+#REF!*#REF!+I9*J9</f>
        <v>#REF!</v>
      </c>
    </row>
    <row r="10" spans="1:13">
      <c r="A10" s="1156" t="s">
        <v>300</v>
      </c>
      <c r="B10" s="1157">
        <f t="shared" si="0"/>
        <v>9</v>
      </c>
      <c r="C10" s="1157">
        <v>7</v>
      </c>
      <c r="D10" s="1158">
        <v>2021</v>
      </c>
      <c r="E10" s="1159">
        <f>(IF('Daily HLP'!I12&gt;0,'Daily HLP'!I12,0))</f>
        <v>21500</v>
      </c>
      <c r="F10" s="1160">
        <v>9</v>
      </c>
      <c r="G10" s="1160">
        <f>(IF('Daily HLP'!M12&gt;0,'Daily HLP'!M12,0))</f>
        <v>700</v>
      </c>
      <c r="H10" s="1160">
        <v>52</v>
      </c>
      <c r="I10" s="1160">
        <f>(IF('Daily HLP'!P12&gt;0,'Daily HLP'!P12,0))</f>
        <v>0</v>
      </c>
      <c r="J10" s="1160">
        <v>118</v>
      </c>
      <c r="K10" s="1234">
        <f>Occupancy!G10</f>
        <v>0</v>
      </c>
      <c r="L10" s="1159">
        <f>Occupancy!F10</f>
        <v>0</v>
      </c>
      <c r="M10" s="1161" t="e">
        <f>E10*F10+G10*H10+#REF!*#REF!+I10*J10</f>
        <v>#REF!</v>
      </c>
    </row>
    <row r="11" spans="1:13">
      <c r="A11" s="1156" t="s">
        <v>300</v>
      </c>
      <c r="B11" s="1157">
        <f t="shared" si="0"/>
        <v>10</v>
      </c>
      <c r="C11" s="1157">
        <v>7</v>
      </c>
      <c r="D11" s="1158">
        <v>2021</v>
      </c>
      <c r="E11" s="1159">
        <f>(IF('Daily HLP'!I13&gt;0,'Daily HLP'!I13,0))</f>
        <v>21499.999999999985</v>
      </c>
      <c r="F11" s="1160">
        <v>9</v>
      </c>
      <c r="G11" s="1160">
        <f>(IF('Daily HLP'!M13&gt;0,'Daily HLP'!M13,0))</f>
        <v>700</v>
      </c>
      <c r="H11" s="1160">
        <v>52</v>
      </c>
      <c r="I11" s="1160">
        <f>(IF('Daily HLP'!P13&gt;0,'Daily HLP'!P13,0))</f>
        <v>86</v>
      </c>
      <c r="J11" s="1160">
        <v>118</v>
      </c>
      <c r="K11" s="1234">
        <f>Occupancy!G11</f>
        <v>0</v>
      </c>
      <c r="L11" s="1159">
        <f>Occupancy!F11</f>
        <v>0</v>
      </c>
      <c r="M11" s="1161" t="e">
        <f>E11*F11+G11*H11+#REF!*#REF!+I11*J11</f>
        <v>#REF!</v>
      </c>
    </row>
    <row r="12" spans="1:13">
      <c r="A12" s="1156" t="s">
        <v>300</v>
      </c>
      <c r="B12" s="1157">
        <f t="shared" si="0"/>
        <v>11</v>
      </c>
      <c r="C12" s="1157">
        <v>7</v>
      </c>
      <c r="D12" s="1158">
        <v>2021</v>
      </c>
      <c r="E12" s="1159">
        <f>(IF('Daily HLP'!I14&gt;0,'Daily HLP'!I14,0))</f>
        <v>21500</v>
      </c>
      <c r="F12" s="1160">
        <v>9</v>
      </c>
      <c r="G12" s="1160">
        <f>(IF('Daily HLP'!M14&gt;0,'Daily HLP'!M14,0))</f>
        <v>700</v>
      </c>
      <c r="H12" s="1160">
        <v>52</v>
      </c>
      <c r="I12" s="1160">
        <f>(IF('Daily HLP'!P14&gt;0,'Daily HLP'!P14,0))</f>
        <v>103</v>
      </c>
      <c r="J12" s="1160">
        <v>118</v>
      </c>
      <c r="K12" s="1234">
        <f>Occupancy!G12</f>
        <v>0</v>
      </c>
      <c r="L12" s="1159">
        <f>Occupancy!F12</f>
        <v>0</v>
      </c>
      <c r="M12" s="1161" t="e">
        <f>E12*F12+G12*H12+#REF!*#REF!+I12*J12</f>
        <v>#REF!</v>
      </c>
    </row>
    <row r="13" spans="1:13">
      <c r="A13" s="1156" t="s">
        <v>300</v>
      </c>
      <c r="B13" s="1157">
        <f t="shared" si="0"/>
        <v>12</v>
      </c>
      <c r="C13" s="1157">
        <v>7</v>
      </c>
      <c r="D13" s="1158">
        <v>2021</v>
      </c>
      <c r="E13" s="1159">
        <f>(IF('Daily HLP'!I15&gt;0,'Daily HLP'!I15,0))</f>
        <v>21500</v>
      </c>
      <c r="F13" s="1160">
        <v>9</v>
      </c>
      <c r="G13" s="1160">
        <f>(IF('Daily HLP'!M15&gt;0,'Daily HLP'!M15,0))</f>
        <v>700</v>
      </c>
      <c r="H13" s="1160">
        <v>52</v>
      </c>
      <c r="I13" s="1160">
        <f>(IF('Daily HLP'!P15&gt;0,'Daily HLP'!P15,0))</f>
        <v>125</v>
      </c>
      <c r="J13" s="1160">
        <v>118</v>
      </c>
      <c r="K13" s="1234">
        <f>Occupancy!G13</f>
        <v>0</v>
      </c>
      <c r="L13" s="1159">
        <f>Occupancy!F13</f>
        <v>0</v>
      </c>
      <c r="M13" s="1161" t="e">
        <f>E13*F13+G13*H13+#REF!*#REF!+I13*J13</f>
        <v>#REF!</v>
      </c>
    </row>
    <row r="14" spans="1:13">
      <c r="A14" s="1156" t="s">
        <v>300</v>
      </c>
      <c r="B14" s="1157">
        <f t="shared" si="0"/>
        <v>13</v>
      </c>
      <c r="C14" s="1157">
        <v>7</v>
      </c>
      <c r="D14" s="1158">
        <v>2021</v>
      </c>
      <c r="E14" s="1159">
        <f>(IF('Daily HLP'!I16&gt;0,'Daily HLP'!I16,0))</f>
        <v>21500</v>
      </c>
      <c r="F14" s="1160">
        <v>9</v>
      </c>
      <c r="G14" s="1160">
        <f>(IF('Daily HLP'!M16&gt;0,'Daily HLP'!M16,0))</f>
        <v>700</v>
      </c>
      <c r="H14" s="1160">
        <v>52</v>
      </c>
      <c r="I14" s="1160">
        <f>(IF('Daily HLP'!P16&gt;0,'Daily HLP'!P16,0))</f>
        <v>194</v>
      </c>
      <c r="J14" s="1160">
        <v>118</v>
      </c>
      <c r="K14" s="1234">
        <f>Occupancy!G14</f>
        <v>0</v>
      </c>
      <c r="L14" s="1159">
        <f>Occupancy!F14</f>
        <v>0</v>
      </c>
      <c r="M14" s="1161" t="e">
        <f>E14*F14+G14*H14+#REF!*#REF!+I14*J14</f>
        <v>#REF!</v>
      </c>
    </row>
    <row r="15" spans="1:13">
      <c r="A15" s="1156" t="s">
        <v>300</v>
      </c>
      <c r="B15" s="1157">
        <f t="shared" si="0"/>
        <v>14</v>
      </c>
      <c r="C15" s="1157">
        <v>7</v>
      </c>
      <c r="D15" s="1158">
        <v>2021</v>
      </c>
      <c r="E15" s="1159">
        <f>(IF('Daily HLP'!I17&gt;0,'Daily HLP'!I17,0))</f>
        <v>21500</v>
      </c>
      <c r="F15" s="1160">
        <v>9</v>
      </c>
      <c r="G15" s="1160">
        <f>(IF('Daily HLP'!M17&gt;0,'Daily HLP'!M17,0))</f>
        <v>700</v>
      </c>
      <c r="H15" s="1160">
        <v>52</v>
      </c>
      <c r="I15" s="1160">
        <f>(IF('Daily HLP'!P17&gt;0,'Daily HLP'!P17,0))</f>
        <v>183</v>
      </c>
      <c r="J15" s="1160">
        <v>118</v>
      </c>
      <c r="K15" s="1234">
        <f>Occupancy!G15</f>
        <v>0</v>
      </c>
      <c r="L15" s="1159">
        <f>Occupancy!F15</f>
        <v>0</v>
      </c>
      <c r="M15" s="1161" t="e">
        <f>E15*F15+G15*H15+#REF!*#REF!+I15*J15</f>
        <v>#REF!</v>
      </c>
    </row>
    <row r="16" spans="1:13">
      <c r="A16" s="1156" t="s">
        <v>300</v>
      </c>
      <c r="B16" s="1157">
        <f t="shared" si="0"/>
        <v>15</v>
      </c>
      <c r="C16" s="1157">
        <v>7</v>
      </c>
      <c r="D16" s="1158">
        <v>2021</v>
      </c>
      <c r="E16" s="1159">
        <f>(IF('Daily HLP'!I18&gt;0,'Daily HLP'!I18,0))</f>
        <v>21500</v>
      </c>
      <c r="F16" s="1160">
        <v>9</v>
      </c>
      <c r="G16" s="1160">
        <f>(IF('Daily HLP'!M18&gt;0,'Daily HLP'!M18,0))</f>
        <v>700</v>
      </c>
      <c r="H16" s="1160">
        <v>52</v>
      </c>
      <c r="I16" s="1160">
        <f>(IF('Daily HLP'!P18&gt;0,'Daily HLP'!P18,0))</f>
        <v>142</v>
      </c>
      <c r="J16" s="1160">
        <v>118</v>
      </c>
      <c r="K16" s="1234">
        <f>Occupancy!G16</f>
        <v>0</v>
      </c>
      <c r="L16" s="1159">
        <f>Occupancy!F16</f>
        <v>0</v>
      </c>
      <c r="M16" s="1161" t="e">
        <f>E16*F16+G16*H16+#REF!*#REF!+I16*J16</f>
        <v>#REF!</v>
      </c>
    </row>
    <row r="17" spans="1:13">
      <c r="A17" s="1156" t="s">
        <v>300</v>
      </c>
      <c r="B17" s="1157">
        <f t="shared" si="0"/>
        <v>16</v>
      </c>
      <c r="C17" s="1157">
        <v>7</v>
      </c>
      <c r="D17" s="1158">
        <v>2021</v>
      </c>
      <c r="E17" s="1159">
        <f>(IF('Daily HLP'!I19&gt;0,'Daily HLP'!I19,0))</f>
        <v>21500</v>
      </c>
      <c r="F17" s="1160">
        <v>9</v>
      </c>
      <c r="G17" s="1160">
        <f>(IF('Daily HLP'!M19&gt;0,'Daily HLP'!M19,0))</f>
        <v>700</v>
      </c>
      <c r="H17" s="1160">
        <v>52</v>
      </c>
      <c r="I17" s="1160">
        <f>(IF('Daily HLP'!P19&gt;0,'Daily HLP'!P19,0))</f>
        <v>92</v>
      </c>
      <c r="J17" s="1160">
        <v>118</v>
      </c>
      <c r="K17" s="1234">
        <f>Occupancy!G17</f>
        <v>0</v>
      </c>
      <c r="L17" s="1159">
        <f>Occupancy!F17</f>
        <v>0</v>
      </c>
      <c r="M17" s="1161" t="e">
        <f>E17*F17+G17*H17+#REF!*#REF!+I17*J17</f>
        <v>#REF!</v>
      </c>
    </row>
    <row r="18" spans="1:13">
      <c r="A18" s="1156" t="s">
        <v>300</v>
      </c>
      <c r="B18" s="1157">
        <f t="shared" si="0"/>
        <v>17</v>
      </c>
      <c r="C18" s="1157">
        <v>7</v>
      </c>
      <c r="D18" s="1158">
        <v>2021</v>
      </c>
      <c r="E18" s="1159">
        <f>(IF('Daily HLP'!I20&gt;0,'Daily HLP'!I20,0))</f>
        <v>21500</v>
      </c>
      <c r="F18" s="1160">
        <v>9</v>
      </c>
      <c r="G18" s="1160">
        <f>(IF('Daily HLP'!M20&gt;0,'Daily HLP'!M20,0))</f>
        <v>700</v>
      </c>
      <c r="H18" s="1160">
        <v>52</v>
      </c>
      <c r="I18" s="1160">
        <f>(IF('Daily HLP'!P20&gt;0,'Daily HLP'!P20,0))</f>
        <v>122</v>
      </c>
      <c r="J18" s="1160">
        <v>118</v>
      </c>
      <c r="K18" s="1234">
        <f>Occupancy!G18</f>
        <v>0</v>
      </c>
      <c r="L18" s="1159">
        <f>Occupancy!F18</f>
        <v>0</v>
      </c>
      <c r="M18" s="1161" t="e">
        <f>E18*F18+G18*H18+#REF!*#REF!+I18*J18</f>
        <v>#REF!</v>
      </c>
    </row>
    <row r="19" spans="1:13">
      <c r="A19" s="1156" t="s">
        <v>300</v>
      </c>
      <c r="B19" s="1157">
        <f t="shared" si="0"/>
        <v>18</v>
      </c>
      <c r="C19" s="1157">
        <v>7</v>
      </c>
      <c r="D19" s="1158">
        <v>2021</v>
      </c>
      <c r="E19" s="1159">
        <f>(IF('Daily HLP'!I21&gt;0,'Daily HLP'!I21,0))</f>
        <v>21500</v>
      </c>
      <c r="F19" s="1160">
        <v>9</v>
      </c>
      <c r="G19" s="1160">
        <f>(IF('Daily HLP'!M21&gt;0,'Daily HLP'!M21,0))</f>
        <v>700</v>
      </c>
      <c r="H19" s="1160">
        <v>52</v>
      </c>
      <c r="I19" s="1160">
        <f>(IF('Daily HLP'!P21&gt;0,'Daily HLP'!P21,0))</f>
        <v>145</v>
      </c>
      <c r="J19" s="1160">
        <v>118</v>
      </c>
      <c r="K19" s="1234">
        <f>Occupancy!G19</f>
        <v>0</v>
      </c>
      <c r="L19" s="1159">
        <f>Occupancy!F19</f>
        <v>0</v>
      </c>
      <c r="M19" s="1161" t="e">
        <f>E19*F19+G19*H19+#REF!*#REF!+I19*J19</f>
        <v>#REF!</v>
      </c>
    </row>
    <row r="20" spans="1:13">
      <c r="A20" s="1156" t="s">
        <v>300</v>
      </c>
      <c r="B20" s="1157">
        <f t="shared" si="0"/>
        <v>19</v>
      </c>
      <c r="C20" s="1157">
        <v>7</v>
      </c>
      <c r="D20" s="1158">
        <v>2021</v>
      </c>
      <c r="E20" s="1159">
        <f>(IF('Daily HLP'!I22&gt;0,'Daily HLP'!I22,0))</f>
        <v>21500</v>
      </c>
      <c r="F20" s="1160">
        <v>9</v>
      </c>
      <c r="G20" s="1160">
        <f>(IF('Daily HLP'!M22&gt;0,'Daily HLP'!M22,0))</f>
        <v>700</v>
      </c>
      <c r="H20" s="1160">
        <v>52</v>
      </c>
      <c r="I20" s="1160">
        <f>(IF('Daily HLP'!P22&gt;0,'Daily HLP'!P22,0))</f>
        <v>193</v>
      </c>
      <c r="J20" s="1160">
        <v>118</v>
      </c>
      <c r="K20" s="1234">
        <f>Occupancy!G20</f>
        <v>0</v>
      </c>
      <c r="L20" s="1159">
        <f>Occupancy!F20</f>
        <v>0</v>
      </c>
      <c r="M20" s="1161" t="e">
        <f>E20*F20+G20*H20+#REF!*#REF!+I20*J20</f>
        <v>#REF!</v>
      </c>
    </row>
    <row r="21" spans="1:13">
      <c r="A21" s="1156" t="s">
        <v>300</v>
      </c>
      <c r="B21" s="1157">
        <f t="shared" si="0"/>
        <v>20</v>
      </c>
      <c r="C21" s="1157">
        <v>7</v>
      </c>
      <c r="D21" s="1158">
        <v>2021</v>
      </c>
      <c r="E21" s="1159">
        <f>(IF('Daily HLP'!I23&gt;0,'Daily HLP'!I23,0))</f>
        <v>21500</v>
      </c>
      <c r="F21" s="1160">
        <v>9</v>
      </c>
      <c r="G21" s="1160">
        <f>(IF('Daily HLP'!M23&gt;0,'Daily HLP'!M23,0))</f>
        <v>700</v>
      </c>
      <c r="H21" s="1160">
        <v>52</v>
      </c>
      <c r="I21" s="1160">
        <f>(IF('Daily HLP'!P23&gt;0,'Daily HLP'!P23,0))</f>
        <v>261</v>
      </c>
      <c r="J21" s="1160">
        <v>118</v>
      </c>
      <c r="K21" s="1234">
        <f>Occupancy!G21</f>
        <v>0</v>
      </c>
      <c r="L21" s="1159">
        <f>Occupancy!F21</f>
        <v>0</v>
      </c>
      <c r="M21" s="1161" t="e">
        <f>E21*F21+G21*H21+#REF!*#REF!+I21*J21</f>
        <v>#REF!</v>
      </c>
    </row>
    <row r="22" spans="1:13">
      <c r="A22" s="1156" t="s">
        <v>300</v>
      </c>
      <c r="B22" s="1157">
        <f t="shared" si="0"/>
        <v>21</v>
      </c>
      <c r="C22" s="1157">
        <v>7</v>
      </c>
      <c r="D22" s="1158">
        <v>2021</v>
      </c>
      <c r="E22" s="1159">
        <f>(IF('Daily HLP'!I24&gt;0,'Daily HLP'!I24,0))</f>
        <v>21500</v>
      </c>
      <c r="F22" s="1160">
        <v>9</v>
      </c>
      <c r="G22" s="1160">
        <f>(IF('Daily HLP'!M24&gt;0,'Daily HLP'!M24,0))</f>
        <v>700</v>
      </c>
      <c r="H22" s="1160">
        <v>52</v>
      </c>
      <c r="I22" s="1160">
        <f>(IF('Daily HLP'!P24&gt;0,'Daily HLP'!P24,0))</f>
        <v>201</v>
      </c>
      <c r="J22" s="1160">
        <v>118</v>
      </c>
      <c r="K22" s="1234">
        <f>Occupancy!G22</f>
        <v>0</v>
      </c>
      <c r="L22" s="1159">
        <f>Occupancy!F22</f>
        <v>0</v>
      </c>
      <c r="M22" s="1161" t="e">
        <f>E22*F22+G22*H22+#REF!*#REF!+I22*J22</f>
        <v>#REF!</v>
      </c>
    </row>
    <row r="23" spans="1:13">
      <c r="A23" s="1156" t="s">
        <v>300</v>
      </c>
      <c r="B23" s="1157">
        <f t="shared" si="0"/>
        <v>22</v>
      </c>
      <c r="C23" s="1157">
        <v>7</v>
      </c>
      <c r="D23" s="1158">
        <v>2021</v>
      </c>
      <c r="E23" s="1159">
        <f>(IF('Daily HLP'!I25&gt;0,'Daily HLP'!I25,0))</f>
        <v>21500</v>
      </c>
      <c r="F23" s="1160">
        <v>9</v>
      </c>
      <c r="G23" s="1160">
        <f>(IF('Daily HLP'!M25&gt;0,'Daily HLP'!M25,0))</f>
        <v>700</v>
      </c>
      <c r="H23" s="1160">
        <v>52</v>
      </c>
      <c r="I23" s="1160">
        <f>(IF('Daily HLP'!P25&gt;0,'Daily HLP'!P25,0))</f>
        <v>152</v>
      </c>
      <c r="J23" s="1160">
        <v>118</v>
      </c>
      <c r="K23" s="1234">
        <f>Occupancy!G23</f>
        <v>0</v>
      </c>
      <c r="L23" s="1159">
        <f>Occupancy!F23</f>
        <v>0</v>
      </c>
      <c r="M23" s="1161" t="e">
        <f>E23*F23+G23*H23+#REF!*#REF!+I23*J23</f>
        <v>#REF!</v>
      </c>
    </row>
    <row r="24" spans="1:13">
      <c r="A24" s="1156" t="s">
        <v>300</v>
      </c>
      <c r="B24" s="1157">
        <f t="shared" si="0"/>
        <v>23</v>
      </c>
      <c r="C24" s="1157">
        <v>7</v>
      </c>
      <c r="D24" s="1158">
        <v>2021</v>
      </c>
      <c r="E24" s="1159">
        <f>(IF('Daily HLP'!I26&gt;0,'Daily HLP'!I26,0))</f>
        <v>21500</v>
      </c>
      <c r="F24" s="1160">
        <v>9</v>
      </c>
      <c r="G24" s="1160">
        <f>(IF('Daily HLP'!M26&gt;0,'Daily HLP'!M26,0))</f>
        <v>700</v>
      </c>
      <c r="H24" s="1160">
        <v>52</v>
      </c>
      <c r="I24" s="1160">
        <f>(IF('Daily HLP'!P26&gt;0,'Daily HLP'!P26,0))</f>
        <v>101</v>
      </c>
      <c r="J24" s="1160">
        <v>118</v>
      </c>
      <c r="K24" s="1234">
        <f>Occupancy!G24</f>
        <v>0</v>
      </c>
      <c r="L24" s="1159">
        <f>Occupancy!F24</f>
        <v>0</v>
      </c>
      <c r="M24" s="1161" t="e">
        <f>E24*F24+G24*H24+#REF!*#REF!+I24*J24</f>
        <v>#REF!</v>
      </c>
    </row>
    <row r="25" spans="1:13">
      <c r="A25" s="1156" t="s">
        <v>300</v>
      </c>
      <c r="B25" s="1157">
        <f t="shared" si="0"/>
        <v>24</v>
      </c>
      <c r="C25" s="1157">
        <v>7</v>
      </c>
      <c r="D25" s="1158">
        <v>2021</v>
      </c>
      <c r="E25" s="1159">
        <f>(IF('Daily HLP'!I27&gt;0,'Daily HLP'!I27,0))</f>
        <v>21500</v>
      </c>
      <c r="F25" s="1160">
        <v>9</v>
      </c>
      <c r="G25" s="1160">
        <f>(IF('Daily HLP'!M27&gt;0,'Daily HLP'!M27,0))</f>
        <v>700</v>
      </c>
      <c r="H25" s="1160">
        <v>52</v>
      </c>
      <c r="I25" s="1160">
        <f>(IF('Daily HLP'!P27&gt;0,'Daily HLP'!P27,0))</f>
        <v>164</v>
      </c>
      <c r="J25" s="1160">
        <v>118</v>
      </c>
      <c r="K25" s="1234">
        <f>Occupancy!G25</f>
        <v>0</v>
      </c>
      <c r="L25" s="1159">
        <f>Occupancy!F25</f>
        <v>0</v>
      </c>
      <c r="M25" s="1161" t="e">
        <f>E25*F25+G25*H25+#REF!*#REF!+I25*J25</f>
        <v>#REF!</v>
      </c>
    </row>
    <row r="26" spans="1:13">
      <c r="A26" s="1156" t="s">
        <v>300</v>
      </c>
      <c r="B26" s="1157">
        <f>B25+1</f>
        <v>25</v>
      </c>
      <c r="C26" s="1157">
        <v>7</v>
      </c>
      <c r="D26" s="1158">
        <v>2021</v>
      </c>
      <c r="E26" s="1159">
        <f>(IF('Daily HLP'!I28&gt;0,'Daily HLP'!I28,0))</f>
        <v>21500</v>
      </c>
      <c r="F26" s="1160">
        <v>9</v>
      </c>
      <c r="G26" s="1160">
        <f>(IF('Daily HLP'!M28&gt;0,'Daily HLP'!M28,0))</f>
        <v>700</v>
      </c>
      <c r="H26" s="1160">
        <v>52</v>
      </c>
      <c r="I26" s="1160">
        <f>(IF('Daily HLP'!P28&gt;0,'Daily HLP'!P28,0))</f>
        <v>170</v>
      </c>
      <c r="J26" s="1160">
        <v>118</v>
      </c>
      <c r="K26" s="1234">
        <f>Occupancy!G26</f>
        <v>0</v>
      </c>
      <c r="L26" s="1159">
        <f>Occupancy!F26</f>
        <v>0</v>
      </c>
      <c r="M26" s="1161" t="e">
        <f>E26*F26+G26*H26+#REF!*#REF!+I26*J26</f>
        <v>#REF!</v>
      </c>
    </row>
    <row r="27" spans="1:13">
      <c r="A27" s="1156" t="s">
        <v>300</v>
      </c>
      <c r="B27" s="1157">
        <f t="shared" si="0"/>
        <v>26</v>
      </c>
      <c r="C27" s="1157">
        <v>7</v>
      </c>
      <c r="D27" s="1158">
        <v>2021</v>
      </c>
      <c r="E27" s="1159">
        <f>(IF('Daily HLP'!I29&gt;0,'Daily HLP'!I29,0))</f>
        <v>21500</v>
      </c>
      <c r="F27" s="1160">
        <v>9</v>
      </c>
      <c r="G27" s="1160">
        <f>(IF('Daily HLP'!M29&gt;0,'Daily HLP'!M29,0))</f>
        <v>700</v>
      </c>
      <c r="H27" s="1160">
        <v>52</v>
      </c>
      <c r="I27" s="1160">
        <f>(IF('Daily HLP'!P29&gt;0,'Daily HLP'!P29,0))</f>
        <v>215</v>
      </c>
      <c r="J27" s="1160">
        <v>118</v>
      </c>
      <c r="K27" s="1234">
        <f>Occupancy!G27</f>
        <v>0</v>
      </c>
      <c r="L27" s="1159">
        <f>Occupancy!F27</f>
        <v>0</v>
      </c>
      <c r="M27" s="1161" t="e">
        <f>E27*F27+G27*H27+#REF!*#REF!+I27*J27</f>
        <v>#REF!</v>
      </c>
    </row>
    <row r="28" spans="1:13">
      <c r="A28" s="1156" t="s">
        <v>300</v>
      </c>
      <c r="B28" s="1157">
        <f t="shared" si="0"/>
        <v>27</v>
      </c>
      <c r="C28" s="1157">
        <v>7</v>
      </c>
      <c r="D28" s="1158">
        <v>2021</v>
      </c>
      <c r="E28" s="1159">
        <f>(IF('Daily HLP'!I30&gt;0,'Daily HLP'!I30,0))</f>
        <v>21500</v>
      </c>
      <c r="F28" s="1160">
        <v>9</v>
      </c>
      <c r="G28" s="1160">
        <f>(IF('Daily HLP'!M30&gt;0,'Daily HLP'!M30,0))</f>
        <v>700</v>
      </c>
      <c r="H28" s="1160">
        <v>52</v>
      </c>
      <c r="I28" s="1160">
        <f>(IF('Daily HLP'!P30&gt;0,'Daily HLP'!P30,0))</f>
        <v>241</v>
      </c>
      <c r="J28" s="1160">
        <v>118</v>
      </c>
      <c r="K28" s="1234">
        <f>Occupancy!G28</f>
        <v>0</v>
      </c>
      <c r="L28" s="1159">
        <f>Occupancy!F28</f>
        <v>0</v>
      </c>
      <c r="M28" s="1161" t="e">
        <f>E28*F28+G28*H28+#REF!*#REF!+I28*J28</f>
        <v>#REF!</v>
      </c>
    </row>
    <row r="29" spans="1:13">
      <c r="A29" s="1156" t="s">
        <v>300</v>
      </c>
      <c r="B29" s="1157">
        <f t="shared" si="0"/>
        <v>28</v>
      </c>
      <c r="C29" s="1157">
        <v>7</v>
      </c>
      <c r="D29" s="1158">
        <v>2021</v>
      </c>
      <c r="E29" s="1159">
        <f>(IF('Daily HLP'!I31&gt;0,'Daily HLP'!I31,0))</f>
        <v>21500.000000000058</v>
      </c>
      <c r="F29" s="1160">
        <v>9</v>
      </c>
      <c r="G29" s="1160">
        <f>(IF('Daily HLP'!M31&gt;0,'Daily HLP'!M31,0))</f>
        <v>700</v>
      </c>
      <c r="H29" s="1160">
        <v>52</v>
      </c>
      <c r="I29" s="1160">
        <f>(IF('Daily HLP'!P31&gt;0,'Daily HLP'!P31,0))</f>
        <v>194</v>
      </c>
      <c r="J29" s="1160">
        <v>118</v>
      </c>
      <c r="K29" s="1234">
        <f>Occupancy!G29</f>
        <v>0</v>
      </c>
      <c r="L29" s="1159">
        <f>Occupancy!F29</f>
        <v>0</v>
      </c>
      <c r="M29" s="1161" t="e">
        <f>E29*F29+G29*H29+#REF!*#REF!+I29*J29</f>
        <v>#REF!</v>
      </c>
    </row>
    <row r="30" spans="1:13">
      <c r="A30" s="1156" t="s">
        <v>300</v>
      </c>
      <c r="B30" s="1157">
        <f t="shared" si="0"/>
        <v>29</v>
      </c>
      <c r="C30" s="1157">
        <v>7</v>
      </c>
      <c r="D30" s="1158">
        <v>2021</v>
      </c>
      <c r="E30" s="1159">
        <f>(IF('Daily HLP'!I32&gt;0,'Daily HLP'!I32,0))</f>
        <v>21500</v>
      </c>
      <c r="F30" s="1160">
        <v>9</v>
      </c>
      <c r="G30" s="1160">
        <f>(IF('Daily HLP'!M32&gt;0,'Daily HLP'!M32,0))</f>
        <v>700</v>
      </c>
      <c r="H30" s="1160">
        <v>52</v>
      </c>
      <c r="I30" s="1160">
        <f>(IF('Daily HLP'!P32&gt;0,'Daily HLP'!P32,0))</f>
        <v>163</v>
      </c>
      <c r="J30" s="1160">
        <v>118</v>
      </c>
      <c r="K30" s="1234">
        <f>Occupancy!G30</f>
        <v>0</v>
      </c>
      <c r="L30" s="1159">
        <f>Occupancy!F30</f>
        <v>0</v>
      </c>
      <c r="M30" s="1161" t="e">
        <f>E30*F30+G30*H30+#REF!*#REF!+I30*J30</f>
        <v>#REF!</v>
      </c>
    </row>
    <row r="31" spans="1:13">
      <c r="A31" s="1156" t="s">
        <v>300</v>
      </c>
      <c r="B31" s="1157">
        <f t="shared" si="0"/>
        <v>30</v>
      </c>
      <c r="C31" s="1157">
        <v>7</v>
      </c>
      <c r="D31" s="1158">
        <v>2021</v>
      </c>
      <c r="E31" s="1159">
        <f>(IF('Daily HLP'!I33&gt;0,'Daily HLP'!I33,0))</f>
        <v>21500</v>
      </c>
      <c r="F31" s="1160">
        <v>9</v>
      </c>
      <c r="G31" s="1160">
        <f>(IF('Daily HLP'!M33&gt;0,'Daily HLP'!M33,0))</f>
        <v>700</v>
      </c>
      <c r="H31" s="1160">
        <v>52</v>
      </c>
      <c r="I31" s="1160">
        <f>(IF('Daily HLP'!P33&gt;0,'Daily HLP'!P33,0))</f>
        <v>134</v>
      </c>
      <c r="J31" s="1160">
        <v>118</v>
      </c>
      <c r="K31" s="1234">
        <f>Occupancy!G31</f>
        <v>0</v>
      </c>
      <c r="L31" s="1159">
        <f>Occupancy!F31</f>
        <v>0</v>
      </c>
      <c r="M31" s="1161" t="e">
        <f>E31*F31+G31*H31+#REF!*#REF!+I31*J31</f>
        <v>#REF!</v>
      </c>
    </row>
    <row r="32" spans="1:13" s="1159" customFormat="1">
      <c r="A32" s="1156" t="s">
        <v>300</v>
      </c>
      <c r="B32" s="1157">
        <f t="shared" si="0"/>
        <v>31</v>
      </c>
      <c r="C32" s="1157">
        <v>7</v>
      </c>
      <c r="D32" s="1158">
        <v>2021</v>
      </c>
      <c r="E32" s="1159">
        <f>(IF('Daily HLP'!I34&gt;0,'Daily HLP'!I34,0))</f>
        <v>21500</v>
      </c>
      <c r="F32" s="1160">
        <v>10</v>
      </c>
      <c r="G32" s="1160">
        <f>(IF('Daily HLP'!M34&gt;0,'Daily HLP'!M34,0))</f>
        <v>700</v>
      </c>
      <c r="H32" s="1160">
        <v>52</v>
      </c>
      <c r="I32" s="1160">
        <f>(IF('Daily HLP'!P34&gt;0,'Daily HLP'!P34,0))</f>
        <v>0</v>
      </c>
      <c r="J32" s="1160">
        <v>118</v>
      </c>
      <c r="K32" s="1234">
        <f>Occupancy!G32</f>
        <v>0</v>
      </c>
      <c r="L32" s="1159">
        <f>Occupancy!F32</f>
        <v>0</v>
      </c>
      <c r="M32" s="1162"/>
    </row>
    <row r="33" spans="1:13" s="1159" customFormat="1">
      <c r="A33" s="1163"/>
      <c r="B33" s="1157"/>
      <c r="C33" s="1157"/>
      <c r="D33" s="1158"/>
      <c r="F33" s="1160"/>
      <c r="G33" s="1160"/>
      <c r="H33" s="1160"/>
      <c r="I33" s="1160"/>
      <c r="J33" s="1160"/>
      <c r="M33" s="1162"/>
    </row>
    <row r="34" spans="1:13" s="1159" customFormat="1">
      <c r="A34" s="1163"/>
      <c r="B34" s="1157"/>
      <c r="C34" s="1157"/>
      <c r="D34" s="1158"/>
      <c r="F34" s="1160"/>
      <c r="G34" s="1160"/>
      <c r="H34" s="1160"/>
      <c r="I34" s="1160"/>
      <c r="J34" s="1160"/>
      <c r="M34" s="1162"/>
    </row>
    <row r="35" spans="1:13" s="1159" customFormat="1">
      <c r="A35" s="1163"/>
      <c r="B35" s="1157"/>
      <c r="C35" s="1157"/>
      <c r="D35" s="1158"/>
      <c r="F35" s="1160"/>
      <c r="G35" s="1160"/>
      <c r="H35" s="1160"/>
      <c r="I35" s="1160"/>
      <c r="J35" s="1160"/>
      <c r="M35" s="1162"/>
    </row>
    <row r="36" spans="1:13" s="1159" customFormat="1">
      <c r="A36" s="1163"/>
      <c r="B36" s="1157"/>
      <c r="C36" s="1157"/>
      <c r="D36" s="1158"/>
      <c r="F36" s="1160"/>
      <c r="G36" s="1160"/>
      <c r="H36" s="1160"/>
      <c r="I36" s="1160"/>
      <c r="J36" s="1160"/>
      <c r="M36" s="1162"/>
    </row>
    <row r="37" spans="1:13" s="1159" customFormat="1">
      <c r="A37" s="1163"/>
      <c r="B37" s="1157"/>
      <c r="C37" s="1157"/>
      <c r="D37" s="1158"/>
      <c r="F37" s="1160"/>
      <c r="G37" s="1160"/>
      <c r="H37" s="1160"/>
      <c r="I37" s="1160"/>
      <c r="J37" s="1160"/>
      <c r="M37" s="1162"/>
    </row>
    <row r="38" spans="1:13" s="1159" customFormat="1">
      <c r="A38" s="1163"/>
      <c r="B38" s="1157"/>
      <c r="C38" s="1157"/>
      <c r="D38" s="1158"/>
      <c r="F38" s="1160"/>
      <c r="G38" s="1160"/>
      <c r="H38" s="1160"/>
      <c r="I38" s="1160"/>
      <c r="J38" s="1160"/>
      <c r="M38" s="116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20.109375" style="1275" customWidth="1"/>
    <col min="2" max="3" width="9" style="1279" customWidth="1"/>
    <col min="4" max="4" width="10.44140625" style="1279" customWidth="1"/>
    <col min="5" max="29" width="9.77734375" style="1295" customWidth="1"/>
    <col min="30" max="30" width="9" style="1295"/>
    <col min="31" max="31" width="9" style="1296"/>
    <col min="32" max="32" width="9" style="1295"/>
    <col min="33" max="39" width="9" style="1297"/>
    <col min="40" max="40" width="9" style="1369"/>
    <col min="41" max="49" width="9" style="1297"/>
    <col min="50" max="58" width="9" style="1369"/>
    <col min="59" max="65" width="9" style="1297"/>
    <col min="66" max="16384" width="9" style="1278"/>
  </cols>
  <sheetData>
    <row r="1" spans="1:65" s="1275" customFormat="1" ht="60" customHeight="1">
      <c r="A1" s="1273" t="s">
        <v>289</v>
      </c>
      <c r="B1" s="1274" t="s">
        <v>290</v>
      </c>
      <c r="C1" s="1274" t="s">
        <v>291</v>
      </c>
      <c r="D1" s="1274" t="s">
        <v>292</v>
      </c>
      <c r="E1" s="1289" t="str">
        <f>'Section Load'!F4</f>
        <v>HVAC</v>
      </c>
      <c r="F1" s="1289" t="str">
        <f>'Section Load'!G4</f>
        <v>Fire &amp; Emergency PP</v>
      </c>
      <c r="G1" s="1289" t="str">
        <f>'Section Load'!H4</f>
        <v>Main PP</v>
      </c>
      <c r="H1" s="1289" t="str">
        <f>'Section Load'!I4</f>
        <v>Lighting PP</v>
      </c>
      <c r="I1" s="1289" t="str">
        <f>'Section Load'!J4</f>
        <v>CH-1+ CH2+CH3+CH4</v>
      </c>
      <c r="J1" s="1289" t="str">
        <f>'Section Load'!K4</f>
        <v>Chilled water Pump</v>
      </c>
      <c r="K1" s="1289" t="str">
        <f>'Section Load'!L4</f>
        <v>Ball Room-1</v>
      </c>
      <c r="L1" s="1289" t="str">
        <f>'Section Load'!M4</f>
        <v>Ball Room-2</v>
      </c>
      <c r="M1" s="1289" t="str">
        <f>'Section Load'!N4</f>
        <v>MK-1</v>
      </c>
      <c r="N1" s="1289" t="str">
        <f>'Section Load'!O4</f>
        <v>MK-2</v>
      </c>
      <c r="O1" s="1289" t="str">
        <f>'Section Load'!P4</f>
        <v>Prato</v>
      </c>
      <c r="P1" s="1289" t="str">
        <f>'Section Load'!Q4</f>
        <v>San- Qi Indian</v>
      </c>
      <c r="Q1" s="1289" t="str">
        <f>'Section Load'!R4</f>
        <v>San- Qi Japanese</v>
      </c>
      <c r="R1" s="1289" t="str">
        <f>'Section Load'!S4</f>
        <v>The club</v>
      </c>
      <c r="S1" s="1289" t="str">
        <f>'Section Load'!T4</f>
        <v>AER</v>
      </c>
      <c r="T1" s="1289" t="str">
        <f>'Section Load'!U4</f>
        <v>COLD ROOM'S</v>
      </c>
      <c r="U1" s="1289" t="str">
        <f>'Section Load'!V4</f>
        <v>Ball Room 1</v>
      </c>
      <c r="V1" s="1289" t="str">
        <f>'Section Load'!W4</f>
        <v>Ball Room 2</v>
      </c>
      <c r="W1" s="1289" t="str">
        <f>'Section Load'!X4</f>
        <v>B1 Laundry</v>
      </c>
      <c r="X1" s="1289" t="str">
        <f>'Section Load'!Y4</f>
        <v>B2 Laundry</v>
      </c>
      <c r="Y1" s="1289" t="str">
        <f>'Section Load'!Z4</f>
        <v>STP</v>
      </c>
      <c r="Z1" s="1289" t="str">
        <f>'Section Load'!AA4</f>
        <v>MOCK Up Room</v>
      </c>
      <c r="AA1" s="1289" t="str">
        <f>'Section Load'!AB4</f>
        <v>27th Floor</v>
      </c>
      <c r="AB1" s="1289" t="str">
        <f>'Section Load'!AC4</f>
        <v>Physic57</v>
      </c>
      <c r="AC1" s="1289" t="str">
        <f>'Section Load'!AD4</f>
        <v>Pinoor Legal- Power+lighting</v>
      </c>
      <c r="AD1" s="1289" t="str">
        <f>'Section Load'!AE4</f>
        <v>2nd floor plant room</v>
      </c>
      <c r="AE1" s="1289" t="str">
        <f>'Section Load'!AF4</f>
        <v>5th Floor</v>
      </c>
      <c r="AF1" s="1289" t="str">
        <f>'Section Load'!AG4</f>
        <v>5th Floor</v>
      </c>
      <c r="AG1" s="1289" t="str">
        <f>'Section Load'!AH4</f>
        <v>12th Floor</v>
      </c>
      <c r="AH1" s="1289" t="str">
        <f>'Section Load'!AI4</f>
        <v>20th Floor</v>
      </c>
      <c r="AI1" s="1289" t="str">
        <f>'Section Load'!AJ4</f>
        <v>27th Floor</v>
      </c>
      <c r="AJ1" s="1289" t="str">
        <f>'Section Load'!AK4</f>
        <v>34th Floor</v>
      </c>
      <c r="AK1" s="1289" t="str">
        <f>'Section Load'!AL4</f>
        <v>Sanqi</v>
      </c>
      <c r="AL1" s="1289" t="str">
        <f>'Section Load'!AM4</f>
        <v>Cooling Tower</v>
      </c>
      <c r="AM1" s="1290" t="s">
        <v>313</v>
      </c>
      <c r="AN1" s="1367" t="s">
        <v>206</v>
      </c>
      <c r="AO1" s="1290" t="s">
        <v>208</v>
      </c>
      <c r="AP1" s="1290" t="s">
        <v>209</v>
      </c>
      <c r="AQ1" s="1290" t="s">
        <v>210</v>
      </c>
      <c r="AR1" s="1290" t="s">
        <v>211</v>
      </c>
      <c r="AS1" s="1290" t="s">
        <v>212</v>
      </c>
      <c r="AT1" s="1290" t="s">
        <v>213</v>
      </c>
      <c r="AU1" s="1290" t="s">
        <v>218</v>
      </c>
      <c r="AV1" s="1290" t="s">
        <v>76</v>
      </c>
      <c r="AW1" s="1290" t="s">
        <v>77</v>
      </c>
      <c r="AX1" s="1367" t="s">
        <v>219</v>
      </c>
      <c r="AY1" s="1367" t="s">
        <v>220</v>
      </c>
      <c r="AZ1" s="1367" t="s">
        <v>221</v>
      </c>
      <c r="BA1" s="1367" t="s">
        <v>223</v>
      </c>
      <c r="BB1" s="1367" t="s">
        <v>224</v>
      </c>
      <c r="BC1" s="1367" t="s">
        <v>337</v>
      </c>
      <c r="BD1" s="1367" t="s">
        <v>335</v>
      </c>
      <c r="BE1" s="1367" t="s">
        <v>314</v>
      </c>
      <c r="BF1" s="1367" t="s">
        <v>315</v>
      </c>
      <c r="BG1" s="1291" t="str">
        <f>'Section Load'!AN4</f>
        <v>MGL</v>
      </c>
      <c r="BH1" s="1291" t="str">
        <f>'Section Load'!AO4</f>
        <v>HWG</v>
      </c>
      <c r="BI1" s="1291" t="str">
        <f>'Section Load'!AP4</f>
        <v>Prato</v>
      </c>
      <c r="BJ1" s="1291" t="str">
        <f>'Section Load'!AQ4</f>
        <v>BR-1</v>
      </c>
      <c r="BK1" s="1291" t="str">
        <f>'Section Load'!AR4</f>
        <v>SanQi IND</v>
      </c>
      <c r="BL1" s="1291" t="str">
        <f>'Section Load'!AS4</f>
        <v>SanQi JPN</v>
      </c>
      <c r="BM1" s="1291" t="str">
        <f>'Section Load'!AT4</f>
        <v>Boiler</v>
      </c>
    </row>
    <row r="2" spans="1:65" ht="15" customHeight="1">
      <c r="A2" s="1276" t="s">
        <v>300</v>
      </c>
      <c r="B2" s="1277">
        <v>1</v>
      </c>
      <c r="C2" s="1277">
        <v>7</v>
      </c>
      <c r="D2" s="1277">
        <v>2021</v>
      </c>
      <c r="E2" s="1292">
        <f>(IF('Section Load'!F5&gt;0,'Section Load'!F5,0))</f>
        <v>2908.2299999999814</v>
      </c>
      <c r="F2" s="1292">
        <f>(IF('Section Load'!G5&gt;0,'Section Load'!G5,0))</f>
        <v>1476.320000000007</v>
      </c>
      <c r="G2" s="1292">
        <f>(IF('Section Load'!H5&gt;0,'Section Load'!H5,0))</f>
        <v>1714.9899999999907</v>
      </c>
      <c r="H2" s="1292">
        <f>(IF('Section Load'!I5&gt;0,'Section Load'!I5,0))</f>
        <v>3790.0200000000186</v>
      </c>
      <c r="I2" s="1292">
        <f>(IF('Section Load'!J5&gt;0,'Section Load'!J5,0))</f>
        <v>7659.8599999999569</v>
      </c>
      <c r="J2" s="1292">
        <f>(IF('Section Load'!K5&gt;0,'Section Load'!K5,0))</f>
        <v>2635</v>
      </c>
      <c r="K2" s="1292">
        <f>(IF('Section Load'!L5&gt;0,'Section Load'!L5,0))</f>
        <v>1429.3499999999767</v>
      </c>
      <c r="L2" s="1292">
        <f>(IF('Section Load'!M5&gt;0,'Section Load'!M5,0))</f>
        <v>947.75</v>
      </c>
      <c r="M2" s="1292">
        <f>(IF('Section Load'!N5&gt;0,'Section Load'!N5,0))</f>
        <v>9</v>
      </c>
      <c r="N2" s="1292">
        <f>(IF('Section Load'!O5&gt;0,'Section Load'!O5,0))</f>
        <v>2</v>
      </c>
      <c r="O2" s="1292">
        <f>(IF('Section Load'!P5&gt;0,'Section Load'!P5,0))</f>
        <v>1.6999999999970896</v>
      </c>
      <c r="P2" s="1292">
        <f>(IF('Section Load'!Q5&gt;0,'Section Load'!Q5,0))</f>
        <v>143.18000000000029</v>
      </c>
      <c r="Q2" s="1292">
        <f>(IF('Section Load'!R5&gt;0,'Section Load'!R5,0))</f>
        <v>69.3799999999992</v>
      </c>
      <c r="R2" s="1292">
        <f>(IF('Section Load'!S5&gt;0,'Section Load'!S5,0))</f>
        <v>53</v>
      </c>
      <c r="S2" s="1292">
        <f>(IF('Section Load'!T5&gt;0,'Section Load'!T5,0))</f>
        <v>114</v>
      </c>
      <c r="T2" s="1292">
        <f>(IF('Section Load'!U5&gt;0,'Section Load'!U5,0))</f>
        <v>153</v>
      </c>
      <c r="U2" s="1292">
        <f>(IF('Section Load'!V5&gt;0,'Section Load'!V5,0))</f>
        <v>409.92000000004191</v>
      </c>
      <c r="V2" s="1292">
        <f>(IF('Section Load'!W5&gt;0,'Section Load'!W5,0))</f>
        <v>131.64000000001397</v>
      </c>
      <c r="W2" s="1292">
        <f>(IF('Section Load'!X5&gt;0,'Section Load'!X5,0))</f>
        <v>24.899999999994179</v>
      </c>
      <c r="X2" s="1292">
        <f>(IF('Section Load'!Y5&gt;0,'Section Load'!Y5,0))</f>
        <v>214.19999999999709</v>
      </c>
      <c r="Y2" s="1292">
        <f>(IF('Section Load'!Z5&gt;0,'Section Load'!Z5,0))</f>
        <v>351</v>
      </c>
      <c r="Z2" s="1292">
        <f>(IF('Section Load'!AA5&gt;0,'Section Load'!AA5,0))</f>
        <v>22.880000000004657</v>
      </c>
      <c r="AA2" s="1292">
        <f>(IF('Section Load'!AB5&gt;0,'Section Load'!AB5,0))</f>
        <v>33.30000000000291</v>
      </c>
      <c r="AB2" s="1292">
        <f>(IF('Section Load'!AC5&gt;0,'Section Load'!AC5,0))</f>
        <v>137.05999999999767</v>
      </c>
      <c r="AC2" s="1292">
        <f>(IF('Section Load'!AD5&gt;0,'Section Load'!AD5,0))</f>
        <v>39.79999999999427</v>
      </c>
      <c r="AD2" s="1292">
        <f>(IF('Section Load'!AE5&gt;0,'Section Load'!AE5,0))</f>
        <v>0</v>
      </c>
      <c r="AE2" s="1292">
        <f>(IF('Section Load'!AF5&gt;0,'Section Load'!AF5,0))</f>
        <v>0</v>
      </c>
      <c r="AF2" s="1292">
        <f>(IF('Section Load'!AG5&gt;0,'Section Load'!AG5,0))</f>
        <v>372.89000000001397</v>
      </c>
      <c r="AG2" s="1292">
        <f>(IF('Section Load'!AH5&gt;0,'Section Load'!AH5,0))</f>
        <v>431.97000000000116</v>
      </c>
      <c r="AH2" s="1292">
        <f>(IF('Section Load'!AI5&gt;0,'Section Load'!AI5,0))</f>
        <v>433.91999999999825</v>
      </c>
      <c r="AI2" s="1292">
        <f>(IF('Section Load'!AJ5&gt;0,'Section Load'!AJ5,0))</f>
        <v>472.40999999997439</v>
      </c>
      <c r="AJ2" s="1292">
        <f>(IF('Section Load'!AK5&gt;0,'Section Load'!AK5,0))</f>
        <v>0</v>
      </c>
      <c r="AK2" s="1292">
        <f>(IF('Section Load'!AL5&gt;0,'Section Load'!AL5,0))</f>
        <v>236.61999999999534</v>
      </c>
      <c r="AL2" s="1292">
        <f>(IF('Section Load'!AM5&gt;0,'Section Load'!AM5,0))</f>
        <v>816</v>
      </c>
      <c r="AM2" s="1293">
        <f>(IF('Water Report'!$D$7&gt;0,'Water Report'!$D$7,0))</f>
        <v>89</v>
      </c>
      <c r="AN2" s="1293">
        <f>(IF('Water Report'!$D$8&gt;0,'Water Report'!$D$8,0))</f>
        <v>97</v>
      </c>
      <c r="AO2" s="1293">
        <f>(IF('Water Report'!$D$9&gt;0,'Water Report'!$D$9,0))</f>
        <v>86</v>
      </c>
      <c r="AP2" s="1293">
        <f>(IF('Water Report'!$D$10&gt;0,'Water Report'!$D$10,0))</f>
        <v>17</v>
      </c>
      <c r="AQ2" s="1293">
        <f>(IF('Water Report'!$D$11&gt;0,'Water Report'!$D$11,0))</f>
        <v>18</v>
      </c>
      <c r="AR2" s="1293">
        <f>(IF('Water Report'!$D$13&gt;0,'Water Report'!$D$13,0))</f>
        <v>50</v>
      </c>
      <c r="AS2" s="1293">
        <f>(IF('Water Report'!$D$14&gt;0,'Water Report'!$D$14,0))</f>
        <v>6</v>
      </c>
      <c r="AT2" s="1293">
        <f>(IF('Water Report'!$D$15&gt;0,'Water Report'!$D$15,0))</f>
        <v>6</v>
      </c>
      <c r="AU2" s="1293">
        <f>(IF('Water Report'!$D$17&gt;0,'Water Report'!$D$17,0))</f>
        <v>0</v>
      </c>
      <c r="AV2" s="1293">
        <f>(IF('Water Report'!$D$18&gt;0,'Water Report'!$D$18,0))</f>
        <v>12</v>
      </c>
      <c r="AW2" s="1293">
        <f>(IF('Water Report'!$D$19&gt;0,'Water Report'!$D$19,0))</f>
        <v>5</v>
      </c>
      <c r="AX2" s="1368">
        <f>(IF('Water Report'!$D$21&gt;0,'Water Report'!$D$21,0))</f>
        <v>98</v>
      </c>
      <c r="AY2" s="1368">
        <f>(IF('Water Report'!$D$22&gt;0,'Water Report'!$D$22,0))</f>
        <v>40</v>
      </c>
      <c r="AZ2" s="1368">
        <f>(IF('Water Report'!$D$23&gt;0,'Water Report'!$D$23,0))</f>
        <v>0</v>
      </c>
      <c r="BA2" s="1368">
        <f>(IF('Water Report'!$D$14&gt;0,'Water Report'!$D$14,0))</f>
        <v>6</v>
      </c>
      <c r="BB2" s="1368">
        <f>(IF('Water Report'!$D$15&gt;0,'Water Report'!$D$15,0))</f>
        <v>6</v>
      </c>
      <c r="BC2" s="1368">
        <f>(IF('Water Report'!$D$13&gt;0,'Water Report'!$D$13,0))</f>
        <v>50</v>
      </c>
      <c r="BD2" s="1368">
        <f>(IF('Water Report'!$D$24&gt;0,'Water Report'!$D$24,0))</f>
        <v>154</v>
      </c>
      <c r="BE2" s="1368">
        <f>(IF('Water Report'!$D$25&gt;0,'Water Report'!$D$25,0))</f>
        <v>133</v>
      </c>
      <c r="BF2" s="1368">
        <f>(IF('Water Report'!$D$27&gt;0,'Water Report'!$D$27,0))</f>
        <v>148</v>
      </c>
      <c r="BG2" s="1294">
        <f>(IF('Section Load'!AN5&gt;0,'Section Load'!AN5,0))</f>
        <v>918.37800000002608</v>
      </c>
      <c r="BH2" s="1294">
        <f>(IF('Section Load'!AO5&gt;0,'Section Load'!AO5,0))</f>
        <v>269.55000000004657</v>
      </c>
      <c r="BI2" s="1294">
        <f>(IF('Section Load'!AP5&gt;0,'Section Load'!AP5,0))</f>
        <v>0</v>
      </c>
      <c r="BJ2" s="1294">
        <f>(IF('Section Load'!AQ5&gt;0,'Section Load'!AQ5,0))</f>
        <v>95.690000000002328</v>
      </c>
      <c r="BK2" s="1294">
        <f>(IF('Section Load'!AR5&gt;0,'Section Load'!AR5,0))</f>
        <v>33.200000000000728</v>
      </c>
      <c r="BL2" s="1294">
        <f>(IF('Section Load'!AS5&gt;0,'Section Load'!AS5,0))</f>
        <v>4.2999999999992724</v>
      </c>
      <c r="BM2" s="1294">
        <f>(IF('Section Load'!AT5&gt;0,'Section Load'!AT5,0))</f>
        <v>515.63799999997718</v>
      </c>
    </row>
    <row r="3" spans="1:65">
      <c r="A3" s="1276" t="s">
        <v>300</v>
      </c>
      <c r="B3" s="1277">
        <f>B2+1</f>
        <v>2</v>
      </c>
      <c r="C3" s="1277">
        <v>7</v>
      </c>
      <c r="D3" s="1277">
        <v>2021</v>
      </c>
      <c r="E3" s="1292">
        <f>(IF('Section Load'!F6&gt;0,'Section Load'!F6,0))</f>
        <v>2899.4000000000233</v>
      </c>
      <c r="F3" s="1292">
        <f>(IF('Section Load'!G6&gt;0,'Section Load'!G6,0))</f>
        <v>1439.8799999999756</v>
      </c>
      <c r="G3" s="1292">
        <f>(IF('Section Load'!H6&gt;0,'Section Load'!H6,0))</f>
        <v>1509.8399999999965</v>
      </c>
      <c r="H3" s="1292">
        <f>(IF('Section Load'!I6&gt;0,'Section Load'!I6,0))</f>
        <v>3743.4799999999814</v>
      </c>
      <c r="I3" s="1292">
        <f>(IF('Section Load'!J6&gt;0,'Section Load'!J6,0))</f>
        <v>6559.910000000069</v>
      </c>
      <c r="J3" s="1292">
        <f>(IF('Section Load'!K6&gt;0,'Section Load'!K6,0))</f>
        <v>2514.3999999999069</v>
      </c>
      <c r="K3" s="1292">
        <f>(IF('Section Load'!L6&gt;0,'Section Load'!L6,0))</f>
        <v>1047.9200000000419</v>
      </c>
      <c r="L3" s="1292">
        <f>(IF('Section Load'!M6&gt;0,'Section Load'!M6,0))</f>
        <v>884.90000000000146</v>
      </c>
      <c r="M3" s="1292">
        <f>(IF('Section Load'!N6&gt;0,'Section Load'!N6,0))</f>
        <v>13</v>
      </c>
      <c r="N3" s="1292">
        <f>(IF('Section Load'!O6&gt;0,'Section Load'!O6,0))</f>
        <v>1</v>
      </c>
      <c r="O3" s="1292">
        <f>(IF('Section Load'!P6&gt;0,'Section Load'!P6,0))</f>
        <v>1</v>
      </c>
      <c r="P3" s="1292">
        <f>(IF('Section Load'!Q6&gt;0,'Section Load'!Q6,0))</f>
        <v>152.95999999999913</v>
      </c>
      <c r="Q3" s="1292">
        <f>(IF('Section Load'!R6&gt;0,'Section Load'!R6,0))</f>
        <v>62.480000000001382</v>
      </c>
      <c r="R3" s="1292">
        <f>(IF('Section Load'!S6&gt;0,'Section Load'!S6,0))</f>
        <v>58</v>
      </c>
      <c r="S3" s="1292">
        <f>(IF('Section Load'!T6&gt;0,'Section Load'!T6,0))</f>
        <v>132</v>
      </c>
      <c r="T3" s="1292">
        <f>(IF('Section Load'!U6&gt;0,'Section Load'!U6,0))</f>
        <v>265</v>
      </c>
      <c r="U3" s="1292">
        <f>(IF('Section Load'!V6&gt;0,'Section Load'!V6,0))</f>
        <v>417.03999999992084</v>
      </c>
      <c r="V3" s="1292">
        <f>(IF('Section Load'!W6&gt;0,'Section Load'!W6,0))</f>
        <v>172.28000000002794</v>
      </c>
      <c r="W3" s="1292">
        <f>(IF('Section Load'!X6&gt;0,'Section Load'!X6,0))</f>
        <v>12.380000000004657</v>
      </c>
      <c r="X3" s="1292">
        <f>(IF('Section Load'!Y6&gt;0,'Section Load'!Y6,0))</f>
        <v>0.71000000000640284</v>
      </c>
      <c r="Y3" s="1292">
        <f>(IF('Section Load'!Z6&gt;0,'Section Load'!Z6,0))</f>
        <v>277</v>
      </c>
      <c r="Z3" s="1292">
        <f>(IF('Section Load'!AA6&gt;0,'Section Load'!AA6,0))</f>
        <v>16.71999999997206</v>
      </c>
      <c r="AA3" s="1292">
        <f>(IF('Section Load'!AB6&gt;0,'Section Load'!AB6,0))</f>
        <v>36.5</v>
      </c>
      <c r="AB3" s="1292">
        <f>(IF('Section Load'!AC6&gt;0,'Section Load'!AC6,0))</f>
        <v>163.67000000001281</v>
      </c>
      <c r="AC3" s="1292">
        <f>(IF('Section Load'!AD6&gt;0,'Section Load'!AD6,0))</f>
        <v>35.700000000008458</v>
      </c>
      <c r="AD3" s="1292">
        <f>(IF('Section Load'!AE6&gt;0,'Section Load'!AE6,0))</f>
        <v>0</v>
      </c>
      <c r="AE3" s="1292">
        <f>(IF('Section Load'!AF6&gt;0,'Section Load'!AF6,0))</f>
        <v>0</v>
      </c>
      <c r="AF3" s="1292">
        <f>(IF('Section Load'!AG6&gt;0,'Section Load'!AG6,0))</f>
        <v>375.4199999999837</v>
      </c>
      <c r="AG3" s="1292">
        <f>(IF('Section Load'!AH6&gt;0,'Section Load'!AH6,0))</f>
        <v>424.23999999999069</v>
      </c>
      <c r="AH3" s="1292">
        <f>(IF('Section Load'!AI6&gt;0,'Section Load'!AI6,0))</f>
        <v>424.19000000000233</v>
      </c>
      <c r="AI3" s="1292">
        <f>(IF('Section Load'!AJ6&gt;0,'Section Load'!AJ6,0))</f>
        <v>500.62000000005355</v>
      </c>
      <c r="AJ3" s="1292">
        <f>(IF('Section Load'!AK6&gt;0,'Section Load'!AK6,0))</f>
        <v>0</v>
      </c>
      <c r="AK3" s="1292">
        <f>(IF('Section Load'!AL6&gt;0,'Section Load'!AL6,0))</f>
        <v>241.7100000000064</v>
      </c>
      <c r="AL3" s="1292">
        <f>(IF('Section Load'!AM6&gt;0,'Section Load'!AM6,0))</f>
        <v>846</v>
      </c>
      <c r="AM3" s="1293">
        <f>(IF('Water Report'!$E$7&gt;0,'Water Report'!$E$7,0))</f>
        <v>88</v>
      </c>
      <c r="AN3" s="1293">
        <f>(IF('Water Report'!$E$8&gt;0,'Water Report'!$E$8,0))</f>
        <v>122</v>
      </c>
      <c r="AO3" s="1293">
        <f>(IF('Water Report'!$E$9&gt;0,'Water Report'!$E$9,0))</f>
        <v>100</v>
      </c>
      <c r="AP3" s="1293">
        <f>(IF('Water Report'!$E$10&gt;0,'Water Report'!$E$10,0))</f>
        <v>15</v>
      </c>
      <c r="AQ3" s="1293">
        <f>(IF('Water Report'!$E$11&gt;0,'Water Report'!$E$11,0))</f>
        <v>19</v>
      </c>
      <c r="AR3" s="1293">
        <f>(IF('Water Report'!$E$13&gt;0,'Water Report'!$E$13,0))</f>
        <v>40</v>
      </c>
      <c r="AS3" s="1293">
        <f>(IF('Water Report'!$E$14&gt;0,'Water Report'!$E$14,0))</f>
        <v>8</v>
      </c>
      <c r="AT3" s="1293">
        <f>(IF('Water Report'!$E$15&gt;0,'Water Report'!$E$15,0))</f>
        <v>5</v>
      </c>
      <c r="AU3" s="1293">
        <f>(IF('Water Report'!$E$17&gt;0,'Water Report'!$E$17,0))</f>
        <v>60</v>
      </c>
      <c r="AV3" s="1293">
        <f>(IF('Water Report'!$E$18&gt;0,'Water Report'!$E$18,0))</f>
        <v>0</v>
      </c>
      <c r="AW3" s="1293">
        <f>(IF('Water Report'!$E$19&gt;0,'Water Report'!$E$19,0))</f>
        <v>0</v>
      </c>
      <c r="AX3" s="1368">
        <f>(IF('Water Report'!$E$21&gt;0,'Water Report'!$E$21,0))</f>
        <v>64</v>
      </c>
      <c r="AY3" s="1368">
        <f>(IF('Water Report'!$E$22&gt;0,'Water Report'!$E$22,0))</f>
        <v>83</v>
      </c>
      <c r="AZ3" s="1368">
        <f>(IF('Water Report'!$E$23&gt;0,'Water Report'!$E$23,0))</f>
        <v>0</v>
      </c>
      <c r="BA3" s="1368">
        <f>(IF('Water Report'!$E$14&gt;0,'Water Report'!$E$14,0))</f>
        <v>8</v>
      </c>
      <c r="BB3" s="1368">
        <f>(IF('Water Report'!$E$15&gt;0,'Water Report'!$E$15,0))</f>
        <v>5</v>
      </c>
      <c r="BC3" s="1368">
        <f>(IF('Water Report'!$E$13&gt;0,'Water Report'!$E$13,0))</f>
        <v>40</v>
      </c>
      <c r="BD3" s="1368">
        <f>(IF('Water Report'!$E$24&gt;0,'Water Report'!$E$24,0))</f>
        <v>162</v>
      </c>
      <c r="BE3" s="1368">
        <f>(IF('Water Report'!$E$25&gt;0,'Water Report'!$E$25,0))</f>
        <v>147</v>
      </c>
      <c r="BF3" s="1368">
        <f>(IF('Water Report'!$E$27&gt;0,'Water Report'!$E$27,0))</f>
        <v>104</v>
      </c>
      <c r="BG3" s="1294">
        <f>(IF('Section Load'!AN6&gt;0,'Section Load'!AN6,0))</f>
        <v>510.87400000006892</v>
      </c>
      <c r="BH3" s="1294">
        <f>(IF('Section Load'!AO6&gt;0,'Section Load'!AO6,0))</f>
        <v>259.19999999995343</v>
      </c>
      <c r="BI3" s="1294">
        <f>(IF('Section Load'!AP6&gt;0,'Section Load'!AP6,0))</f>
        <v>0</v>
      </c>
      <c r="BJ3" s="1294">
        <f>(IF('Section Load'!AQ6&gt;0,'Section Load'!AQ6,0))</f>
        <v>98.730000000010477</v>
      </c>
      <c r="BK3" s="1294">
        <f>(IF('Section Load'!AR6&gt;0,'Section Load'!AR6,0))</f>
        <v>36.299999999999272</v>
      </c>
      <c r="BL3" s="1294">
        <f>(IF('Section Load'!AS6&gt;0,'Section Load'!AS6,0))</f>
        <v>2.6000000000003638</v>
      </c>
      <c r="BM3" s="1294">
        <f>(IF('Section Load'!AT6&gt;0,'Section Load'!AT6,0))</f>
        <v>114.04400000010537</v>
      </c>
    </row>
    <row r="4" spans="1:65">
      <c r="A4" s="1276" t="s">
        <v>300</v>
      </c>
      <c r="B4" s="1277">
        <f t="shared" ref="B4:B32" si="0">B3+1</f>
        <v>3</v>
      </c>
      <c r="C4" s="1277">
        <v>7</v>
      </c>
      <c r="D4" s="1277">
        <v>2021</v>
      </c>
      <c r="E4" s="1292">
        <f>(IF('Section Load'!F7&gt;0,'Section Load'!F7,0))</f>
        <v>3065.4000000000233</v>
      </c>
      <c r="F4" s="1292">
        <f>(IF('Section Load'!G7&gt;0,'Section Load'!G7,0))</f>
        <v>1600.140000000014</v>
      </c>
      <c r="G4" s="1292">
        <f>(IF('Section Load'!H7&gt;0,'Section Load'!H7,0))</f>
        <v>1669.2400000000198</v>
      </c>
      <c r="H4" s="1292">
        <f>(IF('Section Load'!I7&gt;0,'Section Load'!I7,0))</f>
        <v>3847.8400000000256</v>
      </c>
      <c r="I4" s="1292">
        <f>(IF('Section Load'!J7&gt;0,'Section Load'!J7,0))</f>
        <v>6902.2899999998917</v>
      </c>
      <c r="J4" s="1292">
        <f>(IF('Section Load'!K7&gt;0,'Section Load'!K7,0))</f>
        <v>2589.8000000000466</v>
      </c>
      <c r="K4" s="1292">
        <f>(IF('Section Load'!L7&gt;0,'Section Load'!L7,0))</f>
        <v>1085.7999999999302</v>
      </c>
      <c r="L4" s="1292">
        <f>(IF('Section Load'!M7&gt;0,'Section Load'!M7,0))</f>
        <v>680.21999999999753</v>
      </c>
      <c r="M4" s="1292">
        <f>(IF('Section Load'!N7&gt;0,'Section Load'!N7,0))</f>
        <v>13</v>
      </c>
      <c r="N4" s="1292">
        <f>(IF('Section Load'!O7&gt;0,'Section Load'!O7,0))</f>
        <v>2</v>
      </c>
      <c r="O4" s="1292">
        <f>(IF('Section Load'!P7&gt;0,'Section Load'!P7,0))</f>
        <v>1.1000000000058208</v>
      </c>
      <c r="P4" s="1292">
        <f>(IF('Section Load'!Q7&gt;0,'Section Load'!Q7,0))</f>
        <v>172.11000000000058</v>
      </c>
      <c r="Q4" s="1292">
        <f>(IF('Section Load'!R7&gt;0,'Section Load'!R7,0))</f>
        <v>68.260000000000218</v>
      </c>
      <c r="R4" s="1292">
        <f>(IF('Section Load'!S7&gt;0,'Section Load'!S7,0))</f>
        <v>55</v>
      </c>
      <c r="S4" s="1292">
        <f>(IF('Section Load'!T7&gt;0,'Section Load'!T7,0))</f>
        <v>140</v>
      </c>
      <c r="T4" s="1292">
        <f>(IF('Section Load'!U7&gt;0,'Section Load'!U7,0))</f>
        <v>37</v>
      </c>
      <c r="U4" s="1292">
        <f>(IF('Section Load'!V7&gt;0,'Section Load'!V7,0))</f>
        <v>423.35999999998603</v>
      </c>
      <c r="V4" s="1292">
        <f>(IF('Section Load'!W7&gt;0,'Section Load'!W7,0))</f>
        <v>163.11999999999534</v>
      </c>
      <c r="W4" s="1292">
        <f>(IF('Section Load'!X7&gt;0,'Section Load'!X7,0))</f>
        <v>28.130000000004657</v>
      </c>
      <c r="X4" s="1292">
        <f>(IF('Section Load'!Y7&gt;0,'Section Load'!Y7,0))</f>
        <v>218.60999999999331</v>
      </c>
      <c r="Y4" s="1292">
        <f>(IF('Section Load'!Z7&gt;0,'Section Load'!Z7,0))</f>
        <v>127</v>
      </c>
      <c r="Z4" s="1292">
        <f>(IF('Section Load'!AA7&gt;0,'Section Load'!AA7,0))</f>
        <v>16.440000000002328</v>
      </c>
      <c r="AA4" s="1292">
        <f>(IF('Section Load'!AB7&gt;0,'Section Load'!AB7,0))</f>
        <v>33.30000000000291</v>
      </c>
      <c r="AB4" s="1292">
        <f>(IF('Section Load'!AC7&gt;0,'Section Load'!AC7,0))</f>
        <v>120.92999999999302</v>
      </c>
      <c r="AC4" s="1292">
        <f>(IF('Section Load'!AD7&gt;0,'Section Load'!AD7,0))</f>
        <v>27.499999999997272</v>
      </c>
      <c r="AD4" s="1292">
        <f>(IF('Section Load'!AE7&gt;0,'Section Load'!AE7,0))</f>
        <v>0</v>
      </c>
      <c r="AE4" s="1292">
        <f>(IF('Section Load'!AF7&gt;0,'Section Load'!AF7,0))</f>
        <v>0</v>
      </c>
      <c r="AF4" s="1292">
        <f>(IF('Section Load'!AG7&gt;0,'Section Load'!AG7,0))</f>
        <v>378.98000000001048</v>
      </c>
      <c r="AG4" s="1292">
        <f>(IF('Section Load'!AH7&gt;0,'Section Load'!AH7,0))</f>
        <v>431.92000000001281</v>
      </c>
      <c r="AH4" s="1292">
        <f>(IF('Section Load'!AI7&gt;0,'Section Load'!AI7,0))</f>
        <v>421.44000000000233</v>
      </c>
      <c r="AI4" s="1292">
        <f>(IF('Section Load'!AJ7&gt;0,'Section Load'!AJ7,0))</f>
        <v>529.57999999995809</v>
      </c>
      <c r="AJ4" s="1292">
        <f>(IF('Section Load'!AK7&gt;0,'Section Load'!AK7,0))</f>
        <v>0</v>
      </c>
      <c r="AK4" s="1292">
        <f>(IF('Section Load'!AL7&gt;0,'Section Load'!AL7,0))</f>
        <v>275.31999999999243</v>
      </c>
      <c r="AL4" s="1292">
        <f>(IF('Section Load'!AM7&gt;0,'Section Load'!AM7,0))</f>
        <v>817</v>
      </c>
      <c r="AM4" s="1293">
        <f>(IF('Water Report'!$F$7&gt;0,'Water Report'!$F$7,0))</f>
        <v>123</v>
      </c>
      <c r="AN4" s="1293">
        <f>(IF('Water Report'!$F$8&gt;0,'Water Report'!$F$8,0))</f>
        <v>85</v>
      </c>
      <c r="AO4" s="1293">
        <f>(IF('Water Report'!$F$9&gt;0,'Water Report'!$G$9,0))</f>
        <v>147</v>
      </c>
      <c r="AP4" s="1293">
        <f>(IF('Water Report'!$F$10&gt;0,'Water Report'!$F$10,0))</f>
        <v>30</v>
      </c>
      <c r="AQ4" s="1293">
        <f>(IF('Water Report'!$F$11&gt;0,'Water Report'!$F$11,0))</f>
        <v>31</v>
      </c>
      <c r="AR4" s="1293">
        <f>(IF('Water Report'!$F$13&gt;0,'Water Report'!$F$13,0))</f>
        <v>32</v>
      </c>
      <c r="AS4" s="1293">
        <f>(IF('Water Report'!$F$14&gt;0,'Water Report'!$F$14,0))</f>
        <v>17</v>
      </c>
      <c r="AT4" s="1293">
        <f>(IF('Water Report'!$F$15&gt;0,'Water Report'!$F$15,0))</f>
        <v>7</v>
      </c>
      <c r="AU4" s="1293">
        <f>(IF('Water Report'!$F$17&gt;0,'Water Report'!$F$17,0))</f>
        <v>0</v>
      </c>
      <c r="AV4" s="1293">
        <f>(IF('Water Report'!$F$18&gt;0,'Water Report'!$F$18,0))</f>
        <v>12</v>
      </c>
      <c r="AW4" s="1293">
        <f>(IF('Water Report'!$F$19&gt;0,'Water Report'!$F$19,0))</f>
        <v>6</v>
      </c>
      <c r="AX4" s="1368">
        <f>(IF('Water Report'!$F$21&gt;0,'Water Report'!$F$21,0))</f>
        <v>43</v>
      </c>
      <c r="AY4" s="1368">
        <f>(IF('Water Report'!$F$22&gt;0,'Water Report'!$F$22,0))</f>
        <v>0</v>
      </c>
      <c r="AZ4" s="1368">
        <f>(IF('Water Report'!$F$23&gt;0,'Water Report'!$F$23,0))</f>
        <v>0.3000000000001819</v>
      </c>
      <c r="BA4" s="1368">
        <f>(IF('Water Report'!$F$14&gt;0,'Water Report'!$F$14,0))</f>
        <v>17</v>
      </c>
      <c r="BB4" s="1368">
        <f>(IF('Water Report'!$F$15&gt;0,'Water Report'!$F$15,0))</f>
        <v>7</v>
      </c>
      <c r="BC4" s="1368">
        <f>(IF('Water Report'!$F$13&gt;0,'Water Report'!$F$13,0))</f>
        <v>32</v>
      </c>
      <c r="BD4" s="1368">
        <f>(IF('Water Report'!$F$24&gt;0,'Water Report'!$F$24,0))</f>
        <v>210</v>
      </c>
      <c r="BE4" s="1368">
        <f>(IF('Water Report'!$F$25&gt;0,'Water Report'!$F$25,0))</f>
        <v>187</v>
      </c>
      <c r="BF4" s="1368">
        <f>(IF('Water Report'!$F$27&gt;0,'Water Report'!$F$27,0))</f>
        <v>75.300000000000182</v>
      </c>
      <c r="BG4" s="1294">
        <f>(IF('Section Load'!AN7&gt;0,'Section Load'!AN7,0))</f>
        <v>940.26799999992363</v>
      </c>
      <c r="BH4" s="1294">
        <f>(IF('Section Load'!AO7&gt;0,'Section Load'!AO7,0))</f>
        <v>301.71999999997206</v>
      </c>
      <c r="BI4" s="1294">
        <f>(IF('Section Load'!AP7&gt;0,'Section Load'!AP7,0))</f>
        <v>0</v>
      </c>
      <c r="BJ4" s="1294">
        <f>(IF('Section Load'!AQ7&gt;0,'Section Load'!AQ7,0))</f>
        <v>76.539999999979045</v>
      </c>
      <c r="BK4" s="1294">
        <f>(IF('Section Load'!AR7&gt;0,'Section Load'!AR7,0))</f>
        <v>41.700000000000728</v>
      </c>
      <c r="BL4" s="1294">
        <f>(IF('Section Load'!AS7&gt;0,'Section Load'!AS7,0))</f>
        <v>5.5</v>
      </c>
      <c r="BM4" s="1294">
        <f>(IF('Section Load'!AT7&gt;0,'Section Load'!AT7,0))</f>
        <v>514.8079999999718</v>
      </c>
    </row>
    <row r="5" spans="1:65">
      <c r="A5" s="1276" t="s">
        <v>300</v>
      </c>
      <c r="B5" s="1277">
        <f t="shared" si="0"/>
        <v>4</v>
      </c>
      <c r="C5" s="1277">
        <v>7</v>
      </c>
      <c r="D5" s="1277">
        <v>2021</v>
      </c>
      <c r="E5" s="1292">
        <f>(IF('Section Load'!F8&gt;0,'Section Load'!F8,0))</f>
        <v>2968.9000000000233</v>
      </c>
      <c r="F5" s="1292">
        <f>(IF('Section Load'!G8&gt;0,'Section Load'!G8,0))</f>
        <v>1478.6399999999849</v>
      </c>
      <c r="G5" s="1292">
        <f>(IF('Section Load'!H8&gt;0,'Section Load'!H8,0))</f>
        <v>1792.8899999999558</v>
      </c>
      <c r="H5" s="1292">
        <f>(IF('Section Load'!I8&gt;0,'Section Load'!I8,0))</f>
        <v>3681.5999999999767</v>
      </c>
      <c r="I5" s="1292">
        <f>(IF('Section Load'!J8&gt;0,'Section Load'!J8,0))</f>
        <v>6765.8400000000911</v>
      </c>
      <c r="J5" s="1292">
        <f>(IF('Section Load'!K8&gt;0,'Section Load'!K8,0))</f>
        <v>2614</v>
      </c>
      <c r="K5" s="1292">
        <f>(IF('Section Load'!L8&gt;0,'Section Load'!L8,0))</f>
        <v>1085.9300000000512</v>
      </c>
      <c r="L5" s="1292">
        <f>(IF('Section Load'!M8&gt;0,'Section Load'!M8,0))</f>
        <v>713.35000000000218</v>
      </c>
      <c r="M5" s="1292">
        <f>(IF('Section Load'!N8&gt;0,'Section Load'!N8,0))</f>
        <v>14</v>
      </c>
      <c r="N5" s="1292">
        <f>(IF('Section Load'!O8&gt;0,'Section Load'!O8,0))</f>
        <v>1</v>
      </c>
      <c r="O5" s="1292">
        <f>(IF('Section Load'!P8&gt;0,'Section Load'!P8,0))</f>
        <v>1.0999999999912689</v>
      </c>
      <c r="P5" s="1292">
        <f>(IF('Section Load'!Q8&gt;0,'Section Load'!Q8,0))</f>
        <v>140.72999999999956</v>
      </c>
      <c r="Q5" s="1292">
        <f>(IF('Section Load'!R8&gt;0,'Section Load'!R8,0))</f>
        <v>61.8799999999992</v>
      </c>
      <c r="R5" s="1292">
        <f>(IF('Section Load'!S8&gt;0,'Section Load'!S8,0))</f>
        <v>52</v>
      </c>
      <c r="S5" s="1292">
        <f>(IF('Section Load'!T8&gt;0,'Section Load'!T8,0))</f>
        <v>138</v>
      </c>
      <c r="T5" s="1292">
        <f>(IF('Section Load'!U8&gt;0,'Section Load'!U8,0))</f>
        <v>150</v>
      </c>
      <c r="U5" s="1292">
        <f>(IF('Section Load'!V8&gt;0,'Section Load'!V8,0))</f>
        <v>419.32000000006519</v>
      </c>
      <c r="V5" s="1292">
        <f>(IF('Section Load'!W8&gt;0,'Section Load'!W8,0))</f>
        <v>202.47999999998137</v>
      </c>
      <c r="W5" s="1292">
        <f>(IF('Section Load'!X8&gt;0,'Section Load'!X8,0))</f>
        <v>14.589999999996508</v>
      </c>
      <c r="X5" s="1292">
        <f>(IF('Section Load'!Y8&gt;0,'Section Load'!Y8,0))</f>
        <v>186.86000000000058</v>
      </c>
      <c r="Y5" s="1292">
        <f>(IF('Section Load'!Z8&gt;0,'Section Load'!Z8,0))</f>
        <v>313</v>
      </c>
      <c r="Z5" s="1292">
        <f>(IF('Section Load'!AA8&gt;0,'Section Load'!AA8,0))</f>
        <v>43.360000000044238</v>
      </c>
      <c r="AA5" s="1292">
        <f>(IF('Section Load'!AB8&gt;0,'Section Load'!AB8,0))</f>
        <v>14.80000000000291</v>
      </c>
      <c r="AB5" s="1292">
        <f>(IF('Section Load'!AC8&gt;0,'Section Load'!AC8,0))</f>
        <v>32.910000000003492</v>
      </c>
      <c r="AC5" s="1292">
        <f>(IF('Section Load'!AD8&gt;0,'Section Load'!AD8,0))</f>
        <v>16.899999999994179</v>
      </c>
      <c r="AD5" s="1292">
        <f>(IF('Section Load'!AE8&gt;0,'Section Load'!AE8,0))</f>
        <v>0</v>
      </c>
      <c r="AE5" s="1292">
        <f>(IF('Section Load'!AF8&gt;0,'Section Load'!AF8,0))</f>
        <v>0</v>
      </c>
      <c r="AF5" s="1292">
        <f>(IF('Section Load'!AG8&gt;0,'Section Load'!AG8,0))</f>
        <v>367.17999999999302</v>
      </c>
      <c r="AG5" s="1292">
        <f>(IF('Section Load'!AH8&gt;0,'Section Load'!AH8,0))</f>
        <v>422.88000000000466</v>
      </c>
      <c r="AH5" s="1292">
        <f>(IF('Section Load'!AI8&gt;0,'Section Load'!AI8,0))</f>
        <v>412.73999999999069</v>
      </c>
      <c r="AI5" s="1292">
        <f>(IF('Section Load'!AJ8&gt;0,'Section Load'!AJ8,0))</f>
        <v>442.14000000001397</v>
      </c>
      <c r="AJ5" s="1292">
        <f>(IF('Section Load'!AK8&gt;0,'Section Load'!AK8,0))</f>
        <v>0</v>
      </c>
      <c r="AK5" s="1292">
        <f>(IF('Section Load'!AL8&gt;0,'Section Load'!AL8,0))</f>
        <v>272.54000000000815</v>
      </c>
      <c r="AL5" s="1292">
        <f>(IF('Section Load'!AM8&gt;0,'Section Load'!AM8,0))</f>
        <v>844</v>
      </c>
      <c r="AM5" s="1293">
        <f>(IF('Water Report'!$G$7&gt;0,'Water Report'!$F$7,0))</f>
        <v>123</v>
      </c>
      <c r="AN5" s="1293">
        <f>(IF('Water Report'!$G$8&gt;0,'Water Report'!$F$8,0))</f>
        <v>85</v>
      </c>
      <c r="AO5" s="1293">
        <f>(IF('Water Report'!$G$9&gt;0,'Water Report'!$H$9,0))</f>
        <v>120</v>
      </c>
      <c r="AP5" s="1293">
        <f>(IF('Water Report'!$G$10&gt;0,'Water Report'!$G$10,0))</f>
        <v>39</v>
      </c>
      <c r="AQ5" s="1293">
        <f>(IF('Water Report'!$G$11&gt;0,'Water Report'!$G$11,0))</f>
        <v>32</v>
      </c>
      <c r="AR5" s="1293">
        <f>(IF('Water Report'!$G$13&gt;0,'Water Report'!$G$13,0))</f>
        <v>38</v>
      </c>
      <c r="AS5" s="1293">
        <f>(IF('Water Report'!$G$14&gt;0,'Water Report'!$G$14,0))</f>
        <v>28</v>
      </c>
      <c r="AT5" s="1293">
        <f>(IF('Water Report'!$G$15&gt;0,'Water Report'!$G$15,0))</f>
        <v>10</v>
      </c>
      <c r="AU5" s="1293">
        <f>(IF('Water Report'!$G$17&gt;0,'Water Report'!$G$17,0))</f>
        <v>0</v>
      </c>
      <c r="AV5" s="1293">
        <f>(IF('Water Report'!$G$18&gt;0,'Water Report'!$G$18,0))</f>
        <v>11</v>
      </c>
      <c r="AW5" s="1293">
        <f>(IF('Water Report'!$G$19&gt;0,'Water Report'!$G$19,0))</f>
        <v>5</v>
      </c>
      <c r="AX5" s="1368">
        <f>(IF('Water Report'!$G$21&gt;0,'Water Report'!$G$21,0))</f>
        <v>52</v>
      </c>
      <c r="AY5" s="1368">
        <f>(IF('Water Report'!$G$22&gt;0,'Water Report'!$G$22,0))</f>
        <v>50</v>
      </c>
      <c r="AZ5" s="1368">
        <f>(IF('Water Report'!$G$23&gt;0,'Water Report'!$G$23,0))</f>
        <v>0</v>
      </c>
      <c r="BA5" s="1368">
        <f>(IF('Water Report'!$G$14&gt;0,'Water Report'!$G$14,0))</f>
        <v>28</v>
      </c>
      <c r="BB5" s="1368">
        <f>(IF('Water Report'!$G$15&gt;0,'Water Report'!$G$15,0))</f>
        <v>10</v>
      </c>
      <c r="BC5" s="1368">
        <f>(IF('Water Report'!$G$13&gt;0,'Water Report'!$G$13,0))</f>
        <v>38</v>
      </c>
      <c r="BD5" s="1368">
        <f>(IF('Water Report'!$G$24&gt;0,'Water Report'!$G$24,0))</f>
        <v>271</v>
      </c>
      <c r="BE5" s="1368">
        <f>(IF('Water Report'!$G$25&gt;0,'Water Report'!$G$25,0))</f>
        <v>256</v>
      </c>
      <c r="BF5" s="1368">
        <f>(IF('Water Report'!$G$27&gt;0,'Water Report'!$G$27,0))</f>
        <v>90</v>
      </c>
      <c r="BG5" s="1294">
        <f>(IF('Section Load'!AN8&gt;0,'Section Load'!AN8,0))</f>
        <v>786.87999999988824</v>
      </c>
      <c r="BH5" s="1294">
        <f>(IF('Section Load'!AO8&gt;0,'Section Load'!AO8,0))</f>
        <v>327.72999999998137</v>
      </c>
      <c r="BI5" s="1294">
        <f>(IF('Section Load'!AP8&gt;0,'Section Load'!AP8,0))</f>
        <v>0</v>
      </c>
      <c r="BJ5" s="1294">
        <f>(IF('Section Load'!AQ8&gt;0,'Section Load'!AQ8,0))</f>
        <v>79.529999999998836</v>
      </c>
      <c r="BK5" s="1294">
        <f>(IF('Section Load'!AR8&gt;0,'Section Load'!AR8,0))</f>
        <v>37.399999999997817</v>
      </c>
      <c r="BL5" s="1294">
        <f>(IF('Section Load'!AS8&gt;0,'Section Load'!AS8,0))</f>
        <v>1.5</v>
      </c>
      <c r="BM5" s="1294">
        <f>(IF('Section Load'!AT8&gt;0,'Section Load'!AT8,0))</f>
        <v>340.71999999991021</v>
      </c>
    </row>
    <row r="6" spans="1:65">
      <c r="A6" s="1276" t="s">
        <v>300</v>
      </c>
      <c r="B6" s="1277">
        <f t="shared" si="0"/>
        <v>5</v>
      </c>
      <c r="C6" s="1277">
        <v>7</v>
      </c>
      <c r="D6" s="1277">
        <v>2021</v>
      </c>
      <c r="E6" s="1292">
        <f>(IF('Section Load'!F9&gt;0,'Section Load'!F9,0))</f>
        <v>2828.6999999999534</v>
      </c>
      <c r="F6" s="1292">
        <f>(IF('Section Load'!G9&gt;0,'Section Load'!G9,0))</f>
        <v>1447.6800000000221</v>
      </c>
      <c r="G6" s="1292">
        <f>(IF('Section Load'!H9&gt;0,'Section Load'!H9,0))</f>
        <v>1640.5</v>
      </c>
      <c r="H6" s="1292">
        <f>(IF('Section Load'!I9&gt;0,'Section Load'!I9,0))</f>
        <v>3669.3600000000442</v>
      </c>
      <c r="I6" s="1292">
        <f>(IF('Section Load'!J9&gt;0,'Section Load'!J9,0))</f>
        <v>6521.6600000000326</v>
      </c>
      <c r="J6" s="1292">
        <f>(IF('Section Load'!K9&gt;0,'Section Load'!K9,0))</f>
        <v>2554.6999999999534</v>
      </c>
      <c r="K6" s="1292">
        <f>(IF('Section Load'!L9&gt;0,'Section Load'!L9,0))</f>
        <v>1002.1300000000047</v>
      </c>
      <c r="L6" s="1292">
        <f>(IF('Section Load'!M9&gt;0,'Section Load'!M9,0))</f>
        <v>728.12999999999738</v>
      </c>
      <c r="M6" s="1292">
        <f>(IF('Section Load'!N9&gt;0,'Section Load'!N9,0))</f>
        <v>10</v>
      </c>
      <c r="N6" s="1292">
        <f>(IF('Section Load'!O9&gt;0,'Section Load'!O9,0))</f>
        <v>1</v>
      </c>
      <c r="O6" s="1292">
        <f>(IF('Section Load'!P9&gt;0,'Section Load'!P9,0))</f>
        <v>1.2000000000116415</v>
      </c>
      <c r="P6" s="1292">
        <f>(IF('Section Load'!Q9&gt;0,'Section Load'!Q9,0))</f>
        <v>142.04999999999927</v>
      </c>
      <c r="Q6" s="1292">
        <f>(IF('Section Load'!R9&gt;0,'Section Load'!R9,0))</f>
        <v>66.180000000000291</v>
      </c>
      <c r="R6" s="1292">
        <f>(IF('Section Load'!S9&gt;0,'Section Load'!S9,0))</f>
        <v>66</v>
      </c>
      <c r="S6" s="1292">
        <f>(IF('Section Load'!T9&gt;0,'Section Load'!T9,0))</f>
        <v>19</v>
      </c>
      <c r="T6" s="1292">
        <f>(IF('Section Load'!U9&gt;0,'Section Load'!U9,0))</f>
        <v>149</v>
      </c>
      <c r="U6" s="1292">
        <f>(IF('Section Load'!V9&gt;0,'Section Load'!V9,0))</f>
        <v>400.28000000002794</v>
      </c>
      <c r="V6" s="1292">
        <f>(IF('Section Load'!W9&gt;0,'Section Load'!W9,0))</f>
        <v>242.28000000002794</v>
      </c>
      <c r="W6" s="1292">
        <f>(IF('Section Load'!X9&gt;0,'Section Load'!X9,0))</f>
        <v>27.389999999999418</v>
      </c>
      <c r="X6" s="1292">
        <f>(IF('Section Load'!Y9&gt;0,'Section Load'!Y9,0))</f>
        <v>211.28000000000611</v>
      </c>
      <c r="Y6" s="1292">
        <f>(IF('Section Load'!Z9&gt;0,'Section Load'!Z9,0))</f>
        <v>256</v>
      </c>
      <c r="Z6" s="1292">
        <f>(IF('Section Load'!AA9&gt;0,'Section Load'!AA9,0))</f>
        <v>23.599999999976717</v>
      </c>
      <c r="AA6" s="1292">
        <f>(IF('Section Load'!AB9&gt;0,'Section Load'!AB9,0))</f>
        <v>30.80000000000291</v>
      </c>
      <c r="AB6" s="1292">
        <f>(IF('Section Load'!AC9&gt;0,'Section Load'!AC9,0))</f>
        <v>125.78999999997905</v>
      </c>
      <c r="AC6" s="1292">
        <f>(IF('Section Load'!AD9&gt;0,'Section Load'!AD9,0))</f>
        <v>26.800000000011551</v>
      </c>
      <c r="AD6" s="1292">
        <f>(IF('Section Load'!AE9&gt;0,'Section Load'!AE9,0))</f>
        <v>0</v>
      </c>
      <c r="AE6" s="1292">
        <f>(IF('Section Load'!AF9&gt;0,'Section Load'!AF9,0))</f>
        <v>0</v>
      </c>
      <c r="AF6" s="1292">
        <f>(IF('Section Load'!AG9&gt;0,'Section Load'!AG9,0))</f>
        <v>373.77999999999884</v>
      </c>
      <c r="AG6" s="1292">
        <f>(IF('Section Load'!AH9&gt;0,'Section Load'!AH9,0))</f>
        <v>436.66000000000349</v>
      </c>
      <c r="AH6" s="1292">
        <f>(IF('Section Load'!AI9&gt;0,'Section Load'!AI9,0))</f>
        <v>410.41000000000349</v>
      </c>
      <c r="AI6" s="1292">
        <f>(IF('Section Load'!AJ9&gt;0,'Section Load'!AJ9,0))</f>
        <v>450.53999999997905</v>
      </c>
      <c r="AJ6" s="1292">
        <f>(IF('Section Load'!AK9&gt;0,'Section Load'!AK9,0))</f>
        <v>0</v>
      </c>
      <c r="AK6" s="1292">
        <f>(IF('Section Load'!AL9&gt;0,'Section Load'!AL9,0))</f>
        <v>224.31999999999243</v>
      </c>
      <c r="AL6" s="1292">
        <f>(IF('Section Load'!AM9&gt;0,'Section Load'!AM9,0))</f>
        <v>825</v>
      </c>
      <c r="AM6" s="1293">
        <f>(IF('Water Report'!$H$7&gt;0,'Water Report'!$H$7,0))</f>
        <v>123</v>
      </c>
      <c r="AN6" s="1293">
        <f>(IF('Water Report'!$H$8&gt;0,'Water Report'!$H$8,0))</f>
        <v>124</v>
      </c>
      <c r="AO6" s="1293">
        <f>(IF('Water Report'!$H$9&gt;0,'Water Report'!$H$9,0))</f>
        <v>120</v>
      </c>
      <c r="AP6" s="1293">
        <f>(IF('Water Report'!$H$10&gt;0,'Water Report'!$H$10,0))</f>
        <v>12</v>
      </c>
      <c r="AQ6" s="1293">
        <f>(IF('Water Report'!$H$11&gt;0,'Water Report'!$H$11,0))</f>
        <v>18</v>
      </c>
      <c r="AR6" s="1293">
        <f>(IF('Water Report'!$H$13&gt;0,'Water Report'!$H$13,0))</f>
        <v>31</v>
      </c>
      <c r="AS6" s="1293">
        <f>(IF('Water Report'!$H$14&gt;0,'Water Report'!$H$14,0))</f>
        <v>8</v>
      </c>
      <c r="AT6" s="1293">
        <f>(IF('Water Report'!$H$15&gt;0,'Water Report'!$H$15,0))</f>
        <v>3</v>
      </c>
      <c r="AU6" s="1293">
        <f>(IF('Water Report'!$H$17&gt;0,'Water Report'!$H$17,0))</f>
        <v>40</v>
      </c>
      <c r="AV6" s="1293">
        <f>(IF('Water Report'!$H$18&gt;0,'Water Report'!$H$18,0))</f>
        <v>10</v>
      </c>
      <c r="AW6" s="1293">
        <f>(IF('Water Report'!$H$19&gt;0,'Water Report'!$H$19,0))</f>
        <v>5</v>
      </c>
      <c r="AX6" s="1368">
        <f>(IF('Water Report'!$H$21&gt;0,'Water Report'!$H$21,0))</f>
        <v>155</v>
      </c>
      <c r="AY6" s="1368">
        <f>(IF('Water Report'!$H$22&gt;0,'Water Report'!$H$22,0))</f>
        <v>25</v>
      </c>
      <c r="AZ6" s="1368">
        <f>(IF('Water Report'!$H$23&gt;0,'Water Report'!$H$23,0))</f>
        <v>0</v>
      </c>
      <c r="BA6" s="1368">
        <f>(IF('Water Report'!$H$14&gt;0,'Water Report'!$H$14,0))</f>
        <v>8</v>
      </c>
      <c r="BB6" s="1368">
        <f>(IF('Water Report'!$H$15&gt;0,'Water Report'!$H$15,0))</f>
        <v>3</v>
      </c>
      <c r="BC6" s="1368">
        <f>(IF('Water Report'!$H$13&gt;0,'Water Report'!$H$13,0))</f>
        <v>31</v>
      </c>
      <c r="BD6" s="1368">
        <f>(IF('Water Report'!$H$24&gt;0,'Water Report'!$H$24,0))</f>
        <v>241</v>
      </c>
      <c r="BE6" s="1368">
        <f>(IF('Water Report'!$H$25&gt;0,'Water Report'!$H$25,0))</f>
        <v>161</v>
      </c>
      <c r="BF6" s="1368">
        <f>(IF('Water Report'!$H$27&gt;0,'Water Report'!$H$27,0))</f>
        <v>186</v>
      </c>
      <c r="BG6" s="1294">
        <f>(IF('Section Load'!AN9&gt;0,'Section Load'!AN9,0))</f>
        <v>925.06000000005588</v>
      </c>
      <c r="BH6" s="1294">
        <f>(IF('Section Load'!AO9&gt;0,'Section Load'!AO9,0))</f>
        <v>265.82000000006519</v>
      </c>
      <c r="BI6" s="1294">
        <f>(IF('Section Load'!AP9&gt;0,'Section Load'!AP9,0))</f>
        <v>0</v>
      </c>
      <c r="BJ6" s="1294">
        <f>(IF('Section Load'!AQ9&gt;0,'Section Load'!AQ9,0))</f>
        <v>61.290000000008149</v>
      </c>
      <c r="BK6" s="1294">
        <f>(IF('Section Load'!AR9&gt;0,'Section Load'!AR9,0))</f>
        <v>27</v>
      </c>
      <c r="BL6" s="1294">
        <f>(IF('Section Load'!AS9&gt;0,'Section Load'!AS9,0))</f>
        <v>0.8999999999996362</v>
      </c>
      <c r="BM6" s="1294">
        <f>(IF('Section Load'!AT9&gt;0,'Section Load'!AT9,0))</f>
        <v>570.0499999999829</v>
      </c>
    </row>
    <row r="7" spans="1:65">
      <c r="A7" s="1276" t="s">
        <v>300</v>
      </c>
      <c r="B7" s="1277">
        <f t="shared" si="0"/>
        <v>6</v>
      </c>
      <c r="C7" s="1277">
        <v>7</v>
      </c>
      <c r="D7" s="1277">
        <v>2021</v>
      </c>
      <c r="E7" s="1292">
        <f>(IF('Section Load'!F10&gt;0,'Section Load'!F10,0))</f>
        <v>2786.1999999999534</v>
      </c>
      <c r="F7" s="1292">
        <f>(IF('Section Load'!G10&gt;0,'Section Load'!G10,0))</f>
        <v>1525.2599999999802</v>
      </c>
      <c r="G7" s="1292">
        <f>(IF('Section Load'!H10&gt;0,'Section Load'!H10,0))</f>
        <v>1382.5</v>
      </c>
      <c r="H7" s="1292">
        <f>(IF('Section Load'!I10&gt;0,'Section Load'!I10,0))</f>
        <v>3628.7599999999511</v>
      </c>
      <c r="I7" s="1292">
        <f>(IF('Section Load'!J10&gt;0,'Section Load'!J10,0))</f>
        <v>5789.6300000000192</v>
      </c>
      <c r="J7" s="1292">
        <f>(IF('Section Load'!K10&gt;0,'Section Load'!K10,0))</f>
        <v>2584.9000000001397</v>
      </c>
      <c r="K7" s="1292">
        <f>(IF('Section Load'!L10&gt;0,'Section Load'!L10,0))</f>
        <v>959.02000000001863</v>
      </c>
      <c r="L7" s="1292">
        <f>(IF('Section Load'!M10&gt;0,'Section Load'!M10,0))</f>
        <v>727.79000000000087</v>
      </c>
      <c r="M7" s="1292">
        <f>(IF('Section Load'!N10&gt;0,'Section Load'!N10,0))</f>
        <v>11</v>
      </c>
      <c r="N7" s="1292">
        <f>(IF('Section Load'!O10&gt;0,'Section Load'!O10,0))</f>
        <v>1</v>
      </c>
      <c r="O7" s="1292">
        <f>(IF('Section Load'!P10&gt;0,'Section Load'!P10,0))</f>
        <v>1.0999999999912689</v>
      </c>
      <c r="P7" s="1292">
        <f>(IF('Section Load'!Q10&gt;0,'Section Load'!Q10,0))</f>
        <v>141.79000000000087</v>
      </c>
      <c r="Q7" s="1292">
        <f>(IF('Section Load'!R10&gt;0,'Section Load'!R10,0))</f>
        <v>73.119999999998981</v>
      </c>
      <c r="R7" s="1292">
        <f>(IF('Section Load'!S10&gt;0,'Section Load'!S10,0))</f>
        <v>78</v>
      </c>
      <c r="S7" s="1292">
        <f>(IF('Section Load'!T10&gt;0,'Section Load'!T10,0))</f>
        <v>153</v>
      </c>
      <c r="T7" s="1292">
        <f>(IF('Section Load'!U10&gt;0,'Section Load'!U10,0))</f>
        <v>149</v>
      </c>
      <c r="U7" s="1292">
        <f>(IF('Section Load'!V10&gt;0,'Section Load'!V10,0))</f>
        <v>356.51999999990221</v>
      </c>
      <c r="V7" s="1292">
        <f>(IF('Section Load'!W10&gt;0,'Section Load'!W10,0))</f>
        <v>178.35999999998603</v>
      </c>
      <c r="W7" s="1292">
        <f>(IF('Section Load'!X10&gt;0,'Section Load'!X10,0))</f>
        <v>13.180000000007567</v>
      </c>
      <c r="X7" s="1292">
        <f>(IF('Section Load'!Y10&gt;0,'Section Load'!Y10,0))</f>
        <v>21.529999999998836</v>
      </c>
      <c r="Y7" s="1292">
        <f>(IF('Section Load'!Z10&gt;0,'Section Load'!Z10,0))</f>
        <v>163</v>
      </c>
      <c r="Z7" s="1292">
        <f>(IF('Section Load'!AA10&gt;0,'Section Load'!AA10,0))</f>
        <v>19.71999999997206</v>
      </c>
      <c r="AA7" s="1292">
        <f>(IF('Section Load'!AB10&gt;0,'Section Load'!AB10,0))</f>
        <v>29.899999999994179</v>
      </c>
      <c r="AB7" s="1292">
        <f>(IF('Section Load'!AC10&gt;0,'Section Load'!AC10,0))</f>
        <v>115.90000000002328</v>
      </c>
      <c r="AC7" s="1292">
        <f>(IF('Section Load'!AD10&gt;0,'Section Load'!AD10,0))</f>
        <v>49.299999999991542</v>
      </c>
      <c r="AD7" s="1292">
        <f>(IF('Section Load'!AE10&gt;0,'Section Load'!AE10,0))</f>
        <v>0</v>
      </c>
      <c r="AE7" s="1292">
        <f>(IF('Section Load'!AF10&gt;0,'Section Load'!AF10,0))</f>
        <v>0</v>
      </c>
      <c r="AF7" s="1292">
        <f>(IF('Section Load'!AG10&gt;0,'Section Load'!AG10,0))</f>
        <v>399.55999999999767</v>
      </c>
      <c r="AG7" s="1292">
        <f>(IF('Section Load'!AH10&gt;0,'Section Load'!AH10,0))</f>
        <v>261.95999999999185</v>
      </c>
      <c r="AH7" s="1292">
        <f>(IF('Section Load'!AI10&gt;0,'Section Load'!AI10,0))</f>
        <v>413.80999999999767</v>
      </c>
      <c r="AI7" s="1292">
        <f>(IF('Section Load'!AJ10&gt;0,'Section Load'!AJ10,0))</f>
        <v>529.70000000001164</v>
      </c>
      <c r="AJ7" s="1292">
        <f>(IF('Section Load'!AK10&gt;0,'Section Load'!AK10,0))</f>
        <v>0</v>
      </c>
      <c r="AK7" s="1292">
        <f>(IF('Section Load'!AL10&gt;0,'Section Load'!AL10,0))</f>
        <v>210.34000000001106</v>
      </c>
      <c r="AL7" s="1292">
        <f>(IF('Section Load'!AM10&gt;0,'Section Load'!AM10,0))</f>
        <v>809</v>
      </c>
      <c r="AM7" s="1293">
        <f>(IF('Water Report'!$I$7&gt;0,'Water Report'!$I$7,0))</f>
        <v>44</v>
      </c>
      <c r="AN7" s="1293">
        <f>(IF('Water Report'!$I$8&gt;0,'Water Report'!$I$8,0))</f>
        <v>91</v>
      </c>
      <c r="AO7" s="1293">
        <f>(IF('Water Report'!$I$9&gt;0,'Water Report'!$I$9,0))</f>
        <v>59</v>
      </c>
      <c r="AP7" s="1293">
        <f>(IF('Water Report'!$I$10&gt;0,'Water Report'!$I$10,0))</f>
        <v>18</v>
      </c>
      <c r="AQ7" s="1293">
        <f>(IF('Water Report'!$I$11&gt;0,'Water Report'!$I$11,0))</f>
        <v>21</v>
      </c>
      <c r="AR7" s="1293">
        <f>(IF('Water Report'!$I$13&gt;0,'Water Report'!$I$13,0))</f>
        <v>36</v>
      </c>
      <c r="AS7" s="1293">
        <f>(IF('Water Report'!$I$14&gt;0,'Water Report'!$I$14,0))</f>
        <v>11</v>
      </c>
      <c r="AT7" s="1293">
        <f>(IF('Water Report'!$I$15&gt;0,'Water Report'!$I$15,0))</f>
        <v>5</v>
      </c>
      <c r="AU7" s="1293">
        <f>(IF('Water Report'!$I$17&gt;0,'Water Report'!$I$17,0))</f>
        <v>30</v>
      </c>
      <c r="AV7" s="1293">
        <f>(IF('Water Report'!$I$18&gt;0,'Water Report'!$I$18,0))</f>
        <v>0</v>
      </c>
      <c r="AW7" s="1293">
        <f>(IF('Water Report'!$I$19&gt;0,'Water Report'!$I$19,0))</f>
        <v>0</v>
      </c>
      <c r="AX7" s="1368">
        <f>(IF('Water Report'!$I$21&gt;0,'Water Report'!$I$21,0))</f>
        <v>65</v>
      </c>
      <c r="AY7" s="1368">
        <f>(IF('Water Report'!$I$22&gt;0,'Water Report'!$I$22,0))</f>
        <v>22</v>
      </c>
      <c r="AZ7" s="1368">
        <f>(IF('Water Report'!$I$23&gt;0,'Water Report'!$I$23,0))</f>
        <v>0</v>
      </c>
      <c r="BA7" s="1368">
        <f>(IF('Water Report'!$I$14&gt;0,'Water Report'!$I$14,0))</f>
        <v>11</v>
      </c>
      <c r="BB7" s="1368">
        <f>(IF('Water Report'!$I$15&gt;0,'Water Report'!$I$15,0))</f>
        <v>5</v>
      </c>
      <c r="BC7" s="1368">
        <f>(IF('Water Report'!$I$13&gt;0,'Water Report'!$I$13,0))</f>
        <v>36</v>
      </c>
      <c r="BD7" s="1368">
        <f>(IF('Water Report'!$I$24&gt;0,'Water Report'!$I$24,0))</f>
        <v>149</v>
      </c>
      <c r="BE7" s="1368">
        <f>(IF('Water Report'!$I$25&gt;0,'Water Report'!$I$25,0))</f>
        <v>114</v>
      </c>
      <c r="BF7" s="1368">
        <f>(IF('Water Report'!$I$27&gt;0,'Water Report'!$I$27,0))</f>
        <v>101</v>
      </c>
      <c r="BG7" s="1294">
        <f>(IF('Section Load'!AN10&gt;0,'Section Load'!AN10,0))</f>
        <v>430.95999999996275</v>
      </c>
      <c r="BH7" s="1294">
        <f>(IF('Section Load'!AO10&gt;0,'Section Load'!AO10,0))</f>
        <v>261.8399999999674</v>
      </c>
      <c r="BI7" s="1294">
        <f>(IF('Section Load'!AP10&gt;0,'Section Load'!AP10,0))</f>
        <v>0</v>
      </c>
      <c r="BJ7" s="1294">
        <f>(IF('Section Load'!AQ10&gt;0,'Section Load'!AQ10,0))</f>
        <v>67.130000000004657</v>
      </c>
      <c r="BK7" s="1294">
        <f>(IF('Section Load'!AR10&gt;0,'Section Load'!AR10,0))</f>
        <v>35.200000000000728</v>
      </c>
      <c r="BL7" s="1294">
        <f>(IF('Section Load'!AS10&gt;0,'Section Load'!AS10,0))</f>
        <v>1</v>
      </c>
      <c r="BM7" s="1294">
        <f>(IF('Section Load'!AT10&gt;0,'Section Load'!AT10,0))</f>
        <v>65.789999999989959</v>
      </c>
    </row>
    <row r="8" spans="1:65">
      <c r="A8" s="1276" t="s">
        <v>300</v>
      </c>
      <c r="B8" s="1277">
        <f t="shared" si="0"/>
        <v>7</v>
      </c>
      <c r="C8" s="1277">
        <v>7</v>
      </c>
      <c r="D8" s="1277">
        <v>2021</v>
      </c>
      <c r="E8" s="1292">
        <f>(IF('Section Load'!F11&gt;0,'Section Load'!F11,0))</f>
        <v>2919.1999999999534</v>
      </c>
      <c r="F8" s="1292">
        <f>(IF('Section Load'!G11&gt;0,'Section Load'!G11,0))</f>
        <v>1587.7400000000198</v>
      </c>
      <c r="G8" s="1292">
        <f>(IF('Section Load'!H11&gt;0,'Section Load'!H11,0))</f>
        <v>1549.2399999999907</v>
      </c>
      <c r="H8" s="1292">
        <f>(IF('Section Load'!I11&gt;0,'Section Load'!I11,0))</f>
        <v>3603.3999999999651</v>
      </c>
      <c r="I8" s="1292">
        <f>(IF('Section Load'!J11&gt;0,'Section Load'!J11,0))</f>
        <v>6831.7899999999208</v>
      </c>
      <c r="J8" s="1292">
        <f>(IF('Section Load'!K11&gt;0,'Section Load'!K11,0))</f>
        <v>2722.6999999999534</v>
      </c>
      <c r="K8" s="1292">
        <f>(IF('Section Load'!L11&gt;0,'Section Load'!L11,0))</f>
        <v>1261.9199999999255</v>
      </c>
      <c r="L8" s="1292">
        <f>(IF('Section Load'!M11&gt;0,'Section Load'!M11,0))</f>
        <v>820.85000000000218</v>
      </c>
      <c r="M8" s="1292">
        <f>(IF('Section Load'!N11&gt;0,'Section Load'!N11,0))</f>
        <v>11</v>
      </c>
      <c r="N8" s="1292">
        <f>(IF('Section Load'!O11&gt;0,'Section Load'!O11,0))</f>
        <v>1</v>
      </c>
      <c r="O8" s="1292">
        <f>(IF('Section Load'!P11&gt;0,'Section Load'!P11,0))</f>
        <v>1.1000000000058208</v>
      </c>
      <c r="P8" s="1292">
        <f>(IF('Section Load'!Q11&gt;0,'Section Load'!Q11,0))</f>
        <v>140.84999999999854</v>
      </c>
      <c r="Q8" s="1292">
        <f>(IF('Section Load'!R11&gt;0,'Section Load'!R11,0))</f>
        <v>66.06000000000131</v>
      </c>
      <c r="R8" s="1292">
        <f>(IF('Section Load'!S11&gt;0,'Section Load'!S11,0))</f>
        <v>51</v>
      </c>
      <c r="S8" s="1292">
        <f>(IF('Section Load'!T11&gt;0,'Section Load'!T11,0))</f>
        <v>122</v>
      </c>
      <c r="T8" s="1292">
        <f>(IF('Section Load'!U11&gt;0,'Section Load'!U11,0))</f>
        <v>141</v>
      </c>
      <c r="U8" s="1292">
        <f>(IF('Section Load'!V11&gt;0,'Section Load'!V11,0))</f>
        <v>400.60000000009313</v>
      </c>
      <c r="V8" s="1292">
        <f>(IF('Section Load'!W11&gt;0,'Section Load'!W11,0))</f>
        <v>167.64000000001397</v>
      </c>
      <c r="W8" s="1292">
        <f>(IF('Section Load'!X11&gt;0,'Section Load'!X11,0))</f>
        <v>26.399999999994179</v>
      </c>
      <c r="X8" s="1292">
        <f>(IF('Section Load'!Y11&gt;0,'Section Load'!Y11,0))</f>
        <v>187.40999999999622</v>
      </c>
      <c r="Y8" s="1292">
        <f>(IF('Section Load'!Z11&gt;0,'Section Load'!Z11,0))</f>
        <v>215</v>
      </c>
      <c r="Z8" s="1292">
        <f>(IF('Section Load'!AA11&gt;0,'Section Load'!AA11,0))</f>
        <v>25.480000000039581</v>
      </c>
      <c r="AA8" s="1292">
        <f>(IF('Section Load'!AB11&gt;0,'Section Load'!AB11,0))</f>
        <v>32.200000000011642</v>
      </c>
      <c r="AB8" s="1292">
        <f>(IF('Section Load'!AC11&gt;0,'Section Load'!AC11,0))</f>
        <v>85.829999999987194</v>
      </c>
      <c r="AC8" s="1292">
        <f>(IF('Section Load'!AD11&gt;0,'Section Load'!AD11,0))</f>
        <v>81.400000000002819</v>
      </c>
      <c r="AD8" s="1292">
        <f>(IF('Section Load'!AE11&gt;0,'Section Load'!AE11,0))</f>
        <v>0</v>
      </c>
      <c r="AE8" s="1292">
        <f>(IF('Section Load'!AF11&gt;0,'Section Load'!AF11,0))</f>
        <v>0</v>
      </c>
      <c r="AF8" s="1292">
        <f>(IF('Section Load'!AG11&gt;0,'Section Load'!AG11,0))</f>
        <v>433.54000000000815</v>
      </c>
      <c r="AG8" s="1292">
        <f>(IF('Section Load'!AH11&gt;0,'Section Load'!AH11,0))</f>
        <v>267.29999999998836</v>
      </c>
      <c r="AH8" s="1292">
        <f>(IF('Section Load'!AI11&gt;0,'Section Load'!AI11,0))</f>
        <v>427.31000000001222</v>
      </c>
      <c r="AI8" s="1292">
        <f>(IF('Section Load'!AJ11&gt;0,'Section Load'!AJ11,0))</f>
        <v>492.70000000001164</v>
      </c>
      <c r="AJ8" s="1292">
        <f>(IF('Section Load'!AK11&gt;0,'Section Load'!AK11,0))</f>
        <v>0</v>
      </c>
      <c r="AK8" s="1292">
        <f>(IF('Section Load'!AL11&gt;0,'Section Load'!AL11,0))</f>
        <v>221.58999999999651</v>
      </c>
      <c r="AL8" s="1292">
        <f>(IF('Section Load'!AM11&gt;0,'Section Load'!AM11,0))</f>
        <v>792</v>
      </c>
      <c r="AM8" s="1293">
        <f>(IF('Water Report'!$J$7&gt;0,'Water Report'!$J$7,0))</f>
        <v>77</v>
      </c>
      <c r="AN8" s="1293">
        <f>(IF('Water Report'!$J$8&gt;0,'Water Report'!$J$8,0))</f>
        <v>113</v>
      </c>
      <c r="AO8" s="1293">
        <f>(IF('Water Report'!$J$9&gt;0,'Water Report'!$J$9,0))</f>
        <v>76</v>
      </c>
      <c r="AP8" s="1293">
        <f>(IF('Water Report'!$J$10&gt;0,'Water Report'!$J$10,0))</f>
        <v>15</v>
      </c>
      <c r="AQ8" s="1293">
        <f>(IF('Water Report'!$J$11&gt;0,'Water Report'!$J$11,0))</f>
        <v>22</v>
      </c>
      <c r="AR8" s="1293">
        <f>(IF('Water Report'!$J$13&gt;0,'Water Report'!$J$13,0))</f>
        <v>18</v>
      </c>
      <c r="AS8" s="1293">
        <f>(IF('Water Report'!$J$14&gt;0,'Water Report'!$J$14,0))</f>
        <v>10</v>
      </c>
      <c r="AT8" s="1293">
        <f>(IF('Water Report'!$J$15&gt;0,'Water Report'!$J$15,0))</f>
        <v>12</v>
      </c>
      <c r="AU8" s="1293">
        <f>(IF('Water Report'!$J$17&gt;0,'Water Report'!$J$17,0))</f>
        <v>0</v>
      </c>
      <c r="AV8" s="1293">
        <f>(IF('Water Report'!$J$18&gt;0,'Water Report'!$J$18,0))</f>
        <v>11</v>
      </c>
      <c r="AW8" s="1293">
        <f>(IF('Water Report'!$J$19&gt;0,'Water Report'!$J$19,0))</f>
        <v>5</v>
      </c>
      <c r="AX8" s="1368">
        <f>(IF('Water Report'!$J$21&gt;0,'Water Report'!$J$21,0))</f>
        <v>74</v>
      </c>
      <c r="AY8" s="1368">
        <f>(IF('Water Report'!$J$22&gt;0,'Water Report'!$J$22,0))</f>
        <v>25</v>
      </c>
      <c r="AZ8" s="1368">
        <f>(IF('Water Report'!$J$23&gt;0,'Water Report'!$J$23,0))</f>
        <v>0</v>
      </c>
      <c r="BA8" s="1368">
        <f>(IF('Water Report'!$J$14&gt;0,'Water Report'!$J$14,0))</f>
        <v>10</v>
      </c>
      <c r="BB8" s="1368">
        <f>(IF('Water Report'!$J$15&gt;0,'Water Report'!$J$15,0))</f>
        <v>12</v>
      </c>
      <c r="BC8" s="1368">
        <f>(IF('Water Report'!$J$13&gt;0,'Water Report'!$J$13,0))</f>
        <v>18</v>
      </c>
      <c r="BD8" s="1368">
        <f>(IF('Water Report'!$J$24&gt;0,'Water Report'!$J$24,0))</f>
        <v>168</v>
      </c>
      <c r="BE8" s="1368">
        <f>(IF('Water Report'!$J$25&gt;0,'Water Report'!$J$25,0))</f>
        <v>135</v>
      </c>
      <c r="BF8" s="1368">
        <f>(IF('Water Report'!$J$27&gt;0,'Water Report'!$J$27,0))</f>
        <v>92</v>
      </c>
      <c r="BG8" s="1294">
        <f>(IF('Section Load'!AN11&gt;0,'Section Load'!AN11,0))</f>
        <v>850.19000000017695</v>
      </c>
      <c r="BH8" s="1294">
        <f>(IF('Section Load'!AO11&gt;0,'Section Load'!AO11,0))</f>
        <v>259.97999999998137</v>
      </c>
      <c r="BI8" s="1294">
        <f>(IF('Section Load'!AP11&gt;0,'Section Load'!AP11,0))</f>
        <v>0</v>
      </c>
      <c r="BJ8" s="1294">
        <f>(IF('Section Load'!AQ11&gt;0,'Section Load'!AQ11,0))</f>
        <v>79.419999999983702</v>
      </c>
      <c r="BK8" s="1294">
        <f>(IF('Section Load'!AR11&gt;0,'Section Load'!AR11,0))</f>
        <v>36.700000000000728</v>
      </c>
      <c r="BL8" s="1294">
        <f>(IF('Section Load'!AS11&gt;0,'Section Load'!AS11,0))</f>
        <v>1.4000000000014552</v>
      </c>
      <c r="BM8" s="1294">
        <f>(IF('Section Load'!AT11&gt;0,'Section Load'!AT11,0))</f>
        <v>473.09000000020387</v>
      </c>
    </row>
    <row r="9" spans="1:65">
      <c r="A9" s="1276" t="s">
        <v>300</v>
      </c>
      <c r="B9" s="1277">
        <f t="shared" si="0"/>
        <v>8</v>
      </c>
      <c r="C9" s="1277">
        <v>7</v>
      </c>
      <c r="D9" s="1277">
        <v>2021</v>
      </c>
      <c r="E9" s="1292">
        <f>(IF('Section Load'!F12&gt;0,'Section Load'!F12,0))</f>
        <v>3141.7000000001863</v>
      </c>
      <c r="F9" s="1292">
        <f>(IF('Section Load'!G12&gt;0,'Section Load'!G12,0))</f>
        <v>1563.2200000000012</v>
      </c>
      <c r="G9" s="1292">
        <f>(IF('Section Load'!H12&gt;0,'Section Load'!H12,0))</f>
        <v>1545.1600000000035</v>
      </c>
      <c r="H9" s="1292">
        <f>(IF('Section Load'!I12&gt;0,'Section Load'!I12,0))</f>
        <v>3552.4000000000233</v>
      </c>
      <c r="I9" s="1292">
        <f>(IF('Section Load'!J12&gt;0,'Section Load'!J12,0))</f>
        <v>6741.3199999999779</v>
      </c>
      <c r="J9" s="1292">
        <f>(IF('Section Load'!K12&gt;0,'Section Load'!K12,0))</f>
        <v>2769</v>
      </c>
      <c r="K9" s="1292">
        <f>(IF('Section Load'!L12&gt;0,'Section Load'!L12,0))</f>
        <v>1089.6300000000047</v>
      </c>
      <c r="L9" s="1292">
        <f>(IF('Section Load'!M12&gt;0,'Section Load'!M12,0))</f>
        <v>674.62999999999738</v>
      </c>
      <c r="M9" s="1292">
        <f>(IF('Section Load'!N12&gt;0,'Section Load'!N12,0))</f>
        <v>13</v>
      </c>
      <c r="N9" s="1292">
        <f>(IF('Section Load'!O12&gt;0,'Section Load'!O12,0))</f>
        <v>1</v>
      </c>
      <c r="O9" s="1292">
        <f>(IF('Section Load'!P12&gt;0,'Section Load'!P12,0))</f>
        <v>1</v>
      </c>
      <c r="P9" s="1292">
        <f>(IF('Section Load'!Q12&gt;0,'Section Load'!Q12,0))</f>
        <v>144.14000000000306</v>
      </c>
      <c r="Q9" s="1292">
        <f>(IF('Section Load'!R12&gt;0,'Section Load'!R12,0))</f>
        <v>67.219999999999345</v>
      </c>
      <c r="R9" s="1292">
        <f>(IF('Section Load'!S12&gt;0,'Section Load'!S12,0))</f>
        <v>71</v>
      </c>
      <c r="S9" s="1292">
        <f>(IF('Section Load'!T12&gt;0,'Section Load'!T12,0))</f>
        <v>86</v>
      </c>
      <c r="T9" s="1292">
        <f>(IF('Section Load'!U12&gt;0,'Section Load'!U12,0))</f>
        <v>152</v>
      </c>
      <c r="U9" s="1292">
        <f>(IF('Section Load'!V12&gt;0,'Section Load'!V12,0))</f>
        <v>414.23999999999069</v>
      </c>
      <c r="V9" s="1292">
        <f>(IF('Section Load'!W12&gt;0,'Section Load'!W12,0))</f>
        <v>194.8399999999674</v>
      </c>
      <c r="W9" s="1292">
        <f>(IF('Section Load'!X12&gt;0,'Section Load'!X12,0))</f>
        <v>19.880000000004657</v>
      </c>
      <c r="X9" s="1292">
        <f>(IF('Section Load'!Y12&gt;0,'Section Load'!Y12,0))</f>
        <v>177.37000000000262</v>
      </c>
      <c r="Y9" s="1292">
        <f>(IF('Section Load'!Z12&gt;0,'Section Load'!Z12,0))</f>
        <v>225</v>
      </c>
      <c r="Z9" s="1292">
        <f>(IF('Section Load'!AA12&gt;0,'Section Load'!AA12,0))</f>
        <v>29.71999999997206</v>
      </c>
      <c r="AA9" s="1292">
        <f>(IF('Section Load'!AB12&gt;0,'Section Load'!AB12,0))</f>
        <v>31.399999999994179</v>
      </c>
      <c r="AB9" s="1292">
        <f>(IF('Section Load'!AC12&gt;0,'Section Load'!AC12,0))</f>
        <v>151.57000000000698</v>
      </c>
      <c r="AC9" s="1292">
        <f>(IF('Section Load'!AD12&gt;0,'Section Load'!AD12,0))</f>
        <v>183.10000000000582</v>
      </c>
      <c r="AD9" s="1292">
        <f>(IF('Section Load'!AE12&gt;0,'Section Load'!AE12,0))</f>
        <v>0</v>
      </c>
      <c r="AE9" s="1292">
        <f>(IF('Section Load'!AF12&gt;0,'Section Load'!AF12,0))</f>
        <v>0</v>
      </c>
      <c r="AF9" s="1292">
        <f>(IF('Section Load'!AG12&gt;0,'Section Load'!AG12,0))</f>
        <v>525.04000000000815</v>
      </c>
      <c r="AG9" s="1292">
        <f>(IF('Section Load'!AH12&gt;0,'Section Load'!AH12,0))</f>
        <v>271.82000000000698</v>
      </c>
      <c r="AH9" s="1292">
        <f>(IF('Section Load'!AI12&gt;0,'Section Load'!AI12,0))</f>
        <v>398.20999999999185</v>
      </c>
      <c r="AI9" s="1292">
        <f>(IF('Section Load'!AJ12&gt;0,'Section Load'!AJ12,0))</f>
        <v>444.44000000000233</v>
      </c>
      <c r="AJ9" s="1292">
        <f>(IF('Section Load'!AK12&gt;0,'Section Load'!AK12,0))</f>
        <v>0</v>
      </c>
      <c r="AK9" s="1292">
        <f>(IF('Section Load'!AL12&gt;0,'Section Load'!AL12,0))</f>
        <v>261.61999999999534</v>
      </c>
      <c r="AL9" s="1292">
        <f>(IF('Section Load'!AM12&gt;0,'Section Load'!AM12,0))</f>
        <v>809</v>
      </c>
      <c r="AM9" s="1293">
        <f>(IF('Water Report'!$K$7&gt;0,'Water Report'!$K$7,0))</f>
        <v>81</v>
      </c>
      <c r="AN9" s="1293">
        <f>(IF('Water Report'!$K$8&gt;0,'Water Report'!$K$8,0))</f>
        <v>121</v>
      </c>
      <c r="AO9" s="1293">
        <f>(IF('Water Report'!$K$9&gt;0,'Water Report'!$K$9,0))</f>
        <v>80</v>
      </c>
      <c r="AP9" s="1293">
        <f>(IF('Water Report'!$K$10&gt;0,'Water Report'!$K$10,0))</f>
        <v>17</v>
      </c>
      <c r="AQ9" s="1293">
        <f>(IF('Water Report'!$K$11&gt;0,'Water Report'!$K$11,0))</f>
        <v>24</v>
      </c>
      <c r="AR9" s="1293">
        <f>(IF('Water Report'!$K$13&gt;0,'Water Report'!$K$13,0))</f>
        <v>20</v>
      </c>
      <c r="AS9" s="1293">
        <f>(IF('Water Report'!$K$14&gt;0,'Water Report'!$K$14,0))</f>
        <v>11</v>
      </c>
      <c r="AT9" s="1293">
        <f>(IF('Water Report'!$K$15&gt;0,'Water Report'!$K$15,0))</f>
        <v>8</v>
      </c>
      <c r="AU9" s="1293">
        <f>(IF('Water Report'!$K$17&gt;0,'Water Report'!$K$17,0))</f>
        <v>0</v>
      </c>
      <c r="AV9" s="1293">
        <f>(IF('Water Report'!$K$18&gt;0,'Water Report'!$K$18,0))</f>
        <v>7</v>
      </c>
      <c r="AW9" s="1293">
        <f>(IF('Water Report'!$K$19&gt;0,'Water Report'!$K$19,0))</f>
        <v>5</v>
      </c>
      <c r="AX9" s="1368">
        <f>(IF('Water Report'!$K$21&gt;0,'Water Report'!$K$21,0))</f>
        <v>79</v>
      </c>
      <c r="AY9" s="1368">
        <f>(IF('Water Report'!$K$22&gt;0,'Water Report'!$K$22,0))</f>
        <v>21</v>
      </c>
      <c r="AZ9" s="1368">
        <f>(IF('Water Report'!$K$23&gt;0,'Water Report'!$K$23,0))</f>
        <v>0</v>
      </c>
      <c r="BA9" s="1368">
        <f>(IF('Water Report'!$K$14&gt;0,'Water Report'!$K$14,0))</f>
        <v>11</v>
      </c>
      <c r="BB9" s="1368">
        <f>(IF('Water Report'!$K$15&gt;0,'Water Report'!$K$15,0))</f>
        <v>8</v>
      </c>
      <c r="BC9" s="1368">
        <f>(IF('Water Report'!$K$13&gt;0,'Water Report'!$K$13,0))</f>
        <v>20</v>
      </c>
      <c r="BD9" s="1368">
        <f>(IF('Water Report'!$K$24&gt;0,'Water Report'!$K$24,0))</f>
        <v>161</v>
      </c>
      <c r="BE9" s="1368">
        <f>(IF('Water Report'!$K$25&gt;0,'Water Report'!$K$25,0))</f>
        <v>140</v>
      </c>
      <c r="BF9" s="1368">
        <f>(IF('Water Report'!$K$27&gt;0,'Water Report'!$K$27,0))</f>
        <v>99</v>
      </c>
      <c r="BG9" s="1294">
        <f>(IF('Section Load'!AN12&gt;0,'Section Load'!AN12,0))</f>
        <v>821.54999999981374</v>
      </c>
      <c r="BH9" s="1294">
        <f>(IF('Section Load'!AO12&gt;0,'Section Load'!AO12,0))</f>
        <v>251.29000000003725</v>
      </c>
      <c r="BI9" s="1294">
        <f>(IF('Section Load'!AP12&gt;0,'Section Load'!AP12,0))</f>
        <v>0.39999999999417923</v>
      </c>
      <c r="BJ9" s="1294">
        <f>(IF('Section Load'!AQ12&gt;0,'Section Load'!AQ12,0))</f>
        <v>86.580000000016298</v>
      </c>
      <c r="BK9" s="1294">
        <f>(IF('Section Load'!AR12&gt;0,'Section Load'!AR12,0))</f>
        <v>35.700000000000728</v>
      </c>
      <c r="BL9" s="1294">
        <f>(IF('Section Load'!AS12&gt;0,'Section Load'!AS12,0))</f>
        <v>2</v>
      </c>
      <c r="BM9" s="1294">
        <f>(IF('Section Load'!AT12&gt;0,'Section Load'!AT12,0))</f>
        <v>445.57999999976528</v>
      </c>
    </row>
    <row r="10" spans="1:65">
      <c r="A10" s="1276" t="s">
        <v>300</v>
      </c>
      <c r="B10" s="1277">
        <f t="shared" si="0"/>
        <v>9</v>
      </c>
      <c r="C10" s="1277">
        <v>7</v>
      </c>
      <c r="D10" s="1277">
        <v>2021</v>
      </c>
      <c r="E10" s="1292">
        <f>(IF('Section Load'!F13&gt;0,'Section Load'!F13,0))</f>
        <v>0</v>
      </c>
      <c r="F10" s="1292">
        <f>(IF('Section Load'!G13&gt;0,'Section Load'!G13,0))</f>
        <v>0</v>
      </c>
      <c r="G10" s="1292">
        <f>(IF('Section Load'!H13&gt;0,'Section Load'!H13,0))</f>
        <v>0</v>
      </c>
      <c r="H10" s="1292">
        <f>(IF('Section Load'!I13&gt;0,'Section Load'!I13,0))</f>
        <v>0</v>
      </c>
      <c r="I10" s="1292">
        <f>(IF('Section Load'!J13&gt;0,'Section Load'!J13,0))</f>
        <v>0</v>
      </c>
      <c r="J10" s="1292">
        <f>(IF('Section Load'!K13&gt;0,'Section Load'!K13,0))</f>
        <v>0</v>
      </c>
      <c r="K10" s="1292">
        <f>(IF('Section Load'!L13&gt;0,'Section Load'!L13,0))</f>
        <v>0</v>
      </c>
      <c r="L10" s="1292">
        <f>(IF('Section Load'!M13&gt;0,'Section Load'!M13,0))</f>
        <v>0</v>
      </c>
      <c r="M10" s="1292">
        <f>(IF('Section Load'!N13&gt;0,'Section Load'!N13,0))</f>
        <v>0</v>
      </c>
      <c r="N10" s="1292">
        <f>(IF('Section Load'!O13&gt;0,'Section Load'!O13,0))</f>
        <v>0</v>
      </c>
      <c r="O10" s="1292">
        <f>(IF('Section Load'!P13&gt;0,'Section Load'!P13,0))</f>
        <v>0</v>
      </c>
      <c r="P10" s="1292">
        <f>(IF('Section Load'!Q13&gt;0,'Section Load'!Q13,0))</f>
        <v>0</v>
      </c>
      <c r="Q10" s="1292">
        <f>(IF('Section Load'!R13&gt;0,'Section Load'!R13,0))</f>
        <v>0</v>
      </c>
      <c r="R10" s="1292">
        <f>(IF('Section Load'!S13&gt;0,'Section Load'!S13,0))</f>
        <v>0</v>
      </c>
      <c r="S10" s="1292">
        <f>(IF('Section Load'!T13&gt;0,'Section Load'!T13,0))</f>
        <v>0</v>
      </c>
      <c r="T10" s="1292">
        <f>(IF('Section Load'!U13&gt;0,'Section Load'!U13,0))</f>
        <v>0</v>
      </c>
      <c r="U10" s="1292">
        <f>(IF('Section Load'!V13&gt;0,'Section Load'!V13,0))</f>
        <v>0</v>
      </c>
      <c r="V10" s="1292">
        <f>(IF('Section Load'!W13&gt;0,'Section Load'!W13,0))</f>
        <v>0</v>
      </c>
      <c r="W10" s="1292">
        <f>(IF('Section Load'!X13&gt;0,'Section Load'!X13,0))</f>
        <v>0</v>
      </c>
      <c r="X10" s="1292">
        <f>(IF('Section Load'!Y13&gt;0,'Section Load'!Y13,0))</f>
        <v>0</v>
      </c>
      <c r="Y10" s="1292">
        <f>(IF('Section Load'!Z13&gt;0,'Section Load'!Z13,0))</f>
        <v>0</v>
      </c>
      <c r="Z10" s="1292">
        <f>(IF('Section Load'!AA13&gt;0,'Section Load'!AA13,0))</f>
        <v>0</v>
      </c>
      <c r="AA10" s="1292">
        <f>(IF('Section Load'!AB13&gt;0,'Section Load'!AB13,0))</f>
        <v>0</v>
      </c>
      <c r="AB10" s="1292">
        <f>(IF('Section Load'!AC13&gt;0,'Section Load'!AC13,0))</f>
        <v>0</v>
      </c>
      <c r="AC10" s="1292">
        <f>(IF('Section Load'!AD13&gt;0,'Section Load'!AD13,0))</f>
        <v>0</v>
      </c>
      <c r="AD10" s="1292">
        <f>(IF('Section Load'!AE13&gt;0,'Section Load'!AE13,0))</f>
        <v>0</v>
      </c>
      <c r="AE10" s="1292">
        <f>(IF('Section Load'!AF13&gt;0,'Section Load'!AF13,0))</f>
        <v>0</v>
      </c>
      <c r="AF10" s="1292">
        <f>(IF('Section Load'!AG13&gt;0,'Section Load'!AG13,0))</f>
        <v>0</v>
      </c>
      <c r="AG10" s="1292">
        <f>(IF('Section Load'!AH13&gt;0,'Section Load'!AH13,0))</f>
        <v>0</v>
      </c>
      <c r="AH10" s="1292">
        <f>(IF('Section Load'!AI13&gt;0,'Section Load'!AI13,0))</f>
        <v>0</v>
      </c>
      <c r="AI10" s="1292">
        <f>(IF('Section Load'!AJ13&gt;0,'Section Load'!AJ13,0))</f>
        <v>0</v>
      </c>
      <c r="AJ10" s="1292">
        <f>(IF('Section Load'!AK13&gt;0,'Section Load'!AK13,0))</f>
        <v>0</v>
      </c>
      <c r="AK10" s="1292">
        <f>(IF('Section Load'!AL13&gt;0,'Section Load'!AL13,0))</f>
        <v>0</v>
      </c>
      <c r="AL10" s="1292">
        <f>(IF('Section Load'!AM13&gt;0,'Section Load'!AM13,0))</f>
        <v>0</v>
      </c>
      <c r="AM10" s="1293">
        <f>(IF('Water Report'!$L$7&gt;0,'Water Report'!$L$7,0))</f>
        <v>0</v>
      </c>
      <c r="AN10" s="1293">
        <f>(IF('Water Report'!$L$8&gt;0,'Water Report'!$L$8,0))</f>
        <v>0</v>
      </c>
      <c r="AO10" s="1293">
        <f>(IF('Water Report'!$L$9&gt;0,'Water Report'!$L$9,0))</f>
        <v>0</v>
      </c>
      <c r="AP10" s="1293">
        <f>(IF('Water Report'!$L$10&gt;0,'Water Report'!$L$10,0))</f>
        <v>0</v>
      </c>
      <c r="AQ10" s="1293">
        <f>(IF('Water Report'!$L$11&gt;0,'Water Report'!$L$11,0))</f>
        <v>0</v>
      </c>
      <c r="AR10" s="1293">
        <f>(IF('Water Report'!$L$13&gt;0,'Water Report'!$L$13,0))</f>
        <v>0</v>
      </c>
      <c r="AS10" s="1293">
        <f>(IF('Water Report'!$L$14&gt;0,'Water Report'!$L$14,0))</f>
        <v>0</v>
      </c>
      <c r="AT10" s="1293">
        <f>(IF('Water Report'!$L$15&gt;0,'Water Report'!$L$15,0))</f>
        <v>0</v>
      </c>
      <c r="AU10" s="1293">
        <f>(IF('Water Report'!$L$17&gt;0,'Water Report'!$L$17,0))</f>
        <v>0</v>
      </c>
      <c r="AV10" s="1293">
        <f>(IF('Water Report'!$L$18&gt;0,'Water Report'!$L$18,0))</f>
        <v>0</v>
      </c>
      <c r="AW10" s="1293">
        <f>(IF('Water Report'!$L$19&gt;0,'Water Report'!$L$19,0))</f>
        <v>0</v>
      </c>
      <c r="AX10" s="1368">
        <f>(IF('Water Report'!$L$21&gt;0,'Water Report'!$L$21,0))</f>
        <v>0</v>
      </c>
      <c r="AY10" s="1368">
        <f>(IF('Water Report'!$L$22&gt;0,'Water Report'!$L$22,0))</f>
        <v>0</v>
      </c>
      <c r="AZ10" s="1368">
        <f>(IF('Water Report'!$L$23&gt;0,'Water Report'!$L$23,0))</f>
        <v>0</v>
      </c>
      <c r="BA10" s="1368">
        <f>(IF('Water Report'!$L$14&gt;0,'Water Report'!$L$14,0))</f>
        <v>0</v>
      </c>
      <c r="BB10" s="1368">
        <f>(IF('Water Report'!$L$15&gt;0,'Water Report'!$L$15,0))</f>
        <v>0</v>
      </c>
      <c r="BC10" s="1368">
        <f>(IF('Water Report'!$L$13&gt;0,'Water Report'!$L$13,0))</f>
        <v>0</v>
      </c>
      <c r="BD10" s="1368">
        <f>(IF('Water Report'!$L$24&gt;0,'Water Report'!$L$24,0))</f>
        <v>0</v>
      </c>
      <c r="BE10" s="1368">
        <f>(IF('Water Report'!$L$25&gt;0,'Water Report'!$L$25,0))</f>
        <v>0</v>
      </c>
      <c r="BF10" s="1368">
        <f>(IF('Water Report'!$L$27&gt;0,'Water Report'!$L$27,0))</f>
        <v>0</v>
      </c>
      <c r="BG10" s="1294">
        <f>(IF('Section Load'!AN13&gt;0,'Section Load'!AN13,0))</f>
        <v>700</v>
      </c>
      <c r="BH10" s="1294">
        <f>(IF('Section Load'!AO13&gt;0,'Section Load'!AO13,0))</f>
        <v>0</v>
      </c>
      <c r="BI10" s="1294">
        <f>(IF('Section Load'!AP13&gt;0,'Section Load'!AP13,0))</f>
        <v>0</v>
      </c>
      <c r="BJ10" s="1294">
        <f>(IF('Section Load'!AQ13&gt;0,'Section Load'!AQ13,0))</f>
        <v>0</v>
      </c>
      <c r="BK10" s="1294">
        <f>(IF('Section Load'!AR13&gt;0,'Section Load'!AR13,0))</f>
        <v>0</v>
      </c>
      <c r="BL10" s="1294">
        <f>(IF('Section Load'!AS13&gt;0,'Section Load'!AS13,0))</f>
        <v>0</v>
      </c>
      <c r="BM10" s="1294">
        <f>(IF('Section Load'!AT13&gt;0,'Section Load'!AT13,0))</f>
        <v>11752.44000000001</v>
      </c>
    </row>
    <row r="11" spans="1:65">
      <c r="A11" s="1276" t="s">
        <v>300</v>
      </c>
      <c r="B11" s="1277">
        <f t="shared" si="0"/>
        <v>10</v>
      </c>
      <c r="C11" s="1277">
        <v>7</v>
      </c>
      <c r="D11" s="1277">
        <v>2021</v>
      </c>
      <c r="E11" s="1292">
        <f>(IF('Section Load'!F14&gt;0,'Section Load'!F14,0))</f>
        <v>2172</v>
      </c>
      <c r="F11" s="1292">
        <f>(IF('Section Load'!G14&gt;0,'Section Load'!G14,0))</f>
        <v>1349</v>
      </c>
      <c r="G11" s="1292">
        <f>(IF('Section Load'!H14&gt;0,'Section Load'!H14,0))</f>
        <v>1210</v>
      </c>
      <c r="H11" s="1292">
        <f>(IF('Section Load'!I14&gt;0,'Section Load'!I14,0))</f>
        <v>3175.3300000000163</v>
      </c>
      <c r="I11" s="1292">
        <f>(IF('Section Load'!J14&gt;0,'Section Load'!J14,0))</f>
        <v>4704.3899999999994</v>
      </c>
      <c r="J11" s="1292">
        <f>(IF('Section Load'!K14&gt;0,'Section Load'!K14,0))</f>
        <v>2439</v>
      </c>
      <c r="K11" s="1292">
        <f>(IF('Section Load'!L14&gt;0,'Section Load'!L14,0))</f>
        <v>890</v>
      </c>
      <c r="L11" s="1292">
        <f>(IF('Section Load'!M14&gt;0,'Section Load'!M14,0))</f>
        <v>564</v>
      </c>
      <c r="M11" s="1292">
        <f>(IF('Section Load'!N14&gt;0,'Section Load'!N14,0))</f>
        <v>13</v>
      </c>
      <c r="N11" s="1292">
        <f>(IF('Section Load'!O14&gt;0,'Section Load'!O14,0))</f>
        <v>1</v>
      </c>
      <c r="O11" s="1292">
        <f>(IF('Section Load'!P14&gt;0,'Section Load'!P14,0))</f>
        <v>0</v>
      </c>
      <c r="P11" s="1292">
        <f>(IF('Section Load'!Q14&gt;0,'Section Load'!Q14,0))</f>
        <v>57</v>
      </c>
      <c r="Q11" s="1292">
        <f>(IF('Section Load'!R14&gt;0,'Section Load'!R14,0))</f>
        <v>55</v>
      </c>
      <c r="R11" s="1292">
        <f>(IF('Section Load'!S14&gt;0,'Section Load'!S14,0))</f>
        <v>51</v>
      </c>
      <c r="S11" s="1292">
        <f>(IF('Section Load'!T14&gt;0,'Section Load'!T14,0))</f>
        <v>52</v>
      </c>
      <c r="T11" s="1292">
        <f>(IF('Section Load'!U14&gt;0,'Section Load'!U14,0))</f>
        <v>132</v>
      </c>
      <c r="U11" s="1292">
        <f>(IF('Section Load'!V14&gt;0,'Section Load'!V14,0))</f>
        <v>371</v>
      </c>
      <c r="V11" s="1292">
        <f>(IF('Section Load'!W14&gt;0,'Section Load'!W14,0))</f>
        <v>102</v>
      </c>
      <c r="W11" s="1292">
        <f>(IF('Section Load'!X14&gt;0,'Section Load'!X14,0))</f>
        <v>11</v>
      </c>
      <c r="X11" s="1292">
        <f>(IF('Section Load'!Y14&gt;0,'Section Load'!Y14,0))</f>
        <v>239.20999999999913</v>
      </c>
      <c r="Y11" s="1292">
        <f>(IF('Section Load'!Z14&gt;0,'Section Load'!Z14,0))</f>
        <v>232</v>
      </c>
      <c r="Z11" s="1292">
        <f>(IF('Section Load'!AA14&gt;0,'Section Load'!AA14,0))</f>
        <v>30</v>
      </c>
      <c r="AA11" s="1292">
        <f>(IF('Section Load'!AB14&gt;0,'Section Load'!AB14,0))</f>
        <v>26</v>
      </c>
      <c r="AB11" s="1292">
        <f>(IF('Section Load'!AC14&gt;0,'Section Load'!AC14,0))</f>
        <v>29</v>
      </c>
      <c r="AC11" s="1292">
        <f>(IF('Section Load'!AD14&gt;0,'Section Load'!AD14,0))</f>
        <v>0</v>
      </c>
      <c r="AD11" s="1292">
        <f>(IF('Section Load'!AE14&gt;0,'Section Load'!AE14,0))</f>
        <v>0</v>
      </c>
      <c r="AE11" s="1292">
        <f>(IF('Section Load'!AF14&gt;0,'Section Load'!AF14,0))</f>
        <v>0</v>
      </c>
      <c r="AF11" s="1292">
        <f>(IF('Section Load'!AG14&gt;0,'Section Load'!AG14,0))</f>
        <v>352</v>
      </c>
      <c r="AG11" s="1292">
        <f>(IF('Section Load'!AH14&gt;0,'Section Load'!AH14,0))</f>
        <v>266</v>
      </c>
      <c r="AH11" s="1292">
        <f>(IF('Section Load'!AI14&gt;0,'Section Load'!AI14,0))</f>
        <v>415</v>
      </c>
      <c r="AI11" s="1292">
        <f>(IF('Section Load'!AJ14&gt;0,'Section Load'!AJ14,0))</f>
        <v>377</v>
      </c>
      <c r="AJ11" s="1292">
        <f>(IF('Section Load'!AK14&gt;0,'Section Load'!AK14,0))</f>
        <v>0</v>
      </c>
      <c r="AK11" s="1292">
        <f>(IF('Section Load'!AL14&gt;0,'Section Load'!AL14,0))</f>
        <v>170</v>
      </c>
      <c r="AL11" s="1292">
        <f>(IF('Section Load'!AM14&gt;0,'Section Load'!AM14,0))</f>
        <v>592</v>
      </c>
      <c r="AM11" s="1293">
        <f>(IF('Water Report'!$M$7&gt;0,'Water Report'!$M$7,0))</f>
        <v>41</v>
      </c>
      <c r="AN11" s="1293">
        <f>(IF('Water Report'!$M$8&gt;0,'Water Report'!$M$8,0))</f>
        <v>116</v>
      </c>
      <c r="AO11" s="1293">
        <f>(IF('Water Report'!$M$9&gt;0,'Water Report'!$M$9,0))</f>
        <v>59</v>
      </c>
      <c r="AP11" s="1293">
        <f>(IF('Water Report'!$M$10&gt;0,'Water Report'!$M$10,0))</f>
        <v>11</v>
      </c>
      <c r="AQ11" s="1293">
        <f>(IF('Water Report'!$M$11&gt;0,'Water Report'!$M$11,0))</f>
        <v>16</v>
      </c>
      <c r="AR11" s="1293">
        <f>(IF('Water Report'!$M$13&gt;0,'Water Report'!$M$13,0))</f>
        <v>4</v>
      </c>
      <c r="AS11" s="1293">
        <f>(IF('Water Report'!$M$14&gt;0,'Water Report'!$M$14,0))</f>
        <v>10</v>
      </c>
      <c r="AT11" s="1293">
        <f>(IF('Water Report'!$M$15&gt;0,'Water Report'!$M$15,0))</f>
        <v>5</v>
      </c>
      <c r="AU11" s="1293">
        <f>(IF('Water Report'!$M$17&gt;0,'Water Report'!$M$17,0))</f>
        <v>0</v>
      </c>
      <c r="AV11" s="1293">
        <f>(IF('Water Report'!$M$18&gt;0,'Water Report'!$M$18,0))</f>
        <v>17</v>
      </c>
      <c r="AW11" s="1293">
        <f>(IF('Water Report'!$M$19&gt;0,'Water Report'!$M$19,0))</f>
        <v>7</v>
      </c>
      <c r="AX11" s="1368">
        <f>(IF('Water Report'!$M$21&gt;0,'Water Report'!$M$21,0))</f>
        <v>62</v>
      </c>
      <c r="AY11" s="1368">
        <f>(IF('Water Report'!$M$22&gt;0,'Water Report'!$M$22,0))</f>
        <v>13</v>
      </c>
      <c r="AZ11" s="1368">
        <f>(IF('Water Report'!$M$23&gt;0,'Water Report'!$M$23,0))</f>
        <v>0</v>
      </c>
      <c r="BA11" s="1368">
        <f>(IF('Water Report'!$M$14&gt;0,'Water Report'!$M$14,0))</f>
        <v>10</v>
      </c>
      <c r="BB11" s="1368">
        <f>(IF('Water Report'!$M$15&gt;0,'Water Report'!$M$15,0))</f>
        <v>5</v>
      </c>
      <c r="BC11" s="1368">
        <f>(IF('Water Report'!$M$13&gt;0,'Water Report'!$M$13,0))</f>
        <v>4</v>
      </c>
      <c r="BD11" s="1368">
        <f>(IF('Water Report'!$M$24&gt;0,'Water Report'!$M$24,0))</f>
        <v>86</v>
      </c>
      <c r="BE11" s="1368">
        <f>(IF('Water Report'!$M$25&gt;0,'Water Report'!$M$25,0))</f>
        <v>101</v>
      </c>
      <c r="BF11" s="1368">
        <f>(IF('Water Report'!$M$27&gt;0,'Water Report'!$M$27,0))</f>
        <v>66</v>
      </c>
      <c r="BG11" s="1294">
        <f>(IF('Section Load'!AN14&gt;0,'Section Load'!AN14,0))</f>
        <v>700</v>
      </c>
      <c r="BH11" s="1294">
        <f>(IF('Section Load'!AO14&gt;0,'Section Load'!AO14,0))</f>
        <v>211</v>
      </c>
      <c r="BI11" s="1294">
        <f>(IF('Section Load'!AP14&gt;0,'Section Load'!AP14,0))</f>
        <v>0</v>
      </c>
      <c r="BJ11" s="1294">
        <f>(IF('Section Load'!AQ14&gt;0,'Section Load'!AQ14,0))</f>
        <v>66</v>
      </c>
      <c r="BK11" s="1294">
        <f>(IF('Section Load'!AR14&gt;0,'Section Load'!AR14,0))</f>
        <v>0</v>
      </c>
      <c r="BL11" s="1294">
        <f>(IF('Section Load'!AS14&gt;0,'Section Load'!AS14,0))</f>
        <v>0</v>
      </c>
      <c r="BM11" s="1294">
        <f>(IF('Section Load'!AT14&gt;0,'Section Load'!AT14,0))</f>
        <v>423</v>
      </c>
    </row>
    <row r="12" spans="1:65">
      <c r="A12" s="1276" t="s">
        <v>300</v>
      </c>
      <c r="B12" s="1277">
        <f t="shared" si="0"/>
        <v>11</v>
      </c>
      <c r="C12" s="1277">
        <v>7</v>
      </c>
      <c r="D12" s="1277">
        <v>2021</v>
      </c>
      <c r="E12" s="1292">
        <f>(IF('Section Load'!F15&gt;0,'Section Load'!F15,0))</f>
        <v>2190</v>
      </c>
      <c r="F12" s="1292">
        <f>(IF('Section Load'!G15&gt;0,'Section Load'!G15,0))</f>
        <v>1386</v>
      </c>
      <c r="G12" s="1292">
        <f>(IF('Section Load'!H15&gt;0,'Section Load'!H15,0))</f>
        <v>1184</v>
      </c>
      <c r="H12" s="1292">
        <f>(IF('Section Load'!I15&gt;0,'Section Load'!I15,0))</f>
        <v>3233</v>
      </c>
      <c r="I12" s="1292">
        <f>(IF('Section Load'!J15&gt;0,'Section Load'!J15,0))</f>
        <v>4819</v>
      </c>
      <c r="J12" s="1292">
        <f>(IF('Section Load'!K15&gt;0,'Section Load'!K15,0))</f>
        <v>2435</v>
      </c>
      <c r="K12" s="1292">
        <f>(IF('Section Load'!L15&gt;0,'Section Load'!L15,0))</f>
        <v>897</v>
      </c>
      <c r="L12" s="1292">
        <f>(IF('Section Load'!M15&gt;0,'Section Load'!M15,0))</f>
        <v>578</v>
      </c>
      <c r="M12" s="1292">
        <f>(IF('Section Load'!N15&gt;0,'Section Load'!N15,0))</f>
        <v>14</v>
      </c>
      <c r="N12" s="1292">
        <f>(IF('Section Load'!O15&gt;0,'Section Load'!O15,0))</f>
        <v>1</v>
      </c>
      <c r="O12" s="1292">
        <f>(IF('Section Load'!P15&gt;0,'Section Load'!P15,0))</f>
        <v>0</v>
      </c>
      <c r="P12" s="1292">
        <f>(IF('Section Load'!Q15&gt;0,'Section Load'!Q15,0))</f>
        <v>76</v>
      </c>
      <c r="Q12" s="1292">
        <f>(IF('Section Load'!R15&gt;0,'Section Load'!R15,0))</f>
        <v>59</v>
      </c>
      <c r="R12" s="1292">
        <f>(IF('Section Load'!S15&gt;0,'Section Load'!S15,0))</f>
        <v>51</v>
      </c>
      <c r="S12" s="1292">
        <f>(IF('Section Load'!T15&gt;0,'Section Load'!T15,0))</f>
        <v>47</v>
      </c>
      <c r="T12" s="1292">
        <f>(IF('Section Load'!U15&gt;0,'Section Load'!U15,0))</f>
        <v>138</v>
      </c>
      <c r="U12" s="1292">
        <f>(IF('Section Load'!V15&gt;0,'Section Load'!V15,0))</f>
        <v>324</v>
      </c>
      <c r="V12" s="1292">
        <f>(IF('Section Load'!W15&gt;0,'Section Load'!W15,0))</f>
        <v>108</v>
      </c>
      <c r="W12" s="1292">
        <f>(IF('Section Load'!X15&gt;0,'Section Load'!X15,0))</f>
        <v>25</v>
      </c>
      <c r="X12" s="1292">
        <f>(IF('Section Load'!Y15&gt;0,'Section Load'!Y15,0))</f>
        <v>97</v>
      </c>
      <c r="Y12" s="1292">
        <f>(IF('Section Load'!Z15&gt;0,'Section Load'!Z15,0))</f>
        <v>176</v>
      </c>
      <c r="Z12" s="1292">
        <f>(IF('Section Load'!AA15&gt;0,'Section Load'!AA15,0))</f>
        <v>28</v>
      </c>
      <c r="AA12" s="1292">
        <f>(IF('Section Load'!AB15&gt;0,'Section Load'!AB15,0))</f>
        <v>19.600000000005821</v>
      </c>
      <c r="AB12" s="1292">
        <f>(IF('Section Load'!AC15&gt;0,'Section Load'!AC15,0))</f>
        <v>24</v>
      </c>
      <c r="AC12" s="1292">
        <f>(IF('Section Load'!AD15&gt;0,'Section Load'!AD15,0))</f>
        <v>22.600000000005821</v>
      </c>
      <c r="AD12" s="1292">
        <f>(IF('Section Load'!AE15&gt;0,'Section Load'!AE15,0))</f>
        <v>0</v>
      </c>
      <c r="AE12" s="1292">
        <f>(IF('Section Load'!AF15&gt;0,'Section Load'!AF15,0))</f>
        <v>0</v>
      </c>
      <c r="AF12" s="1292">
        <f>(IF('Section Load'!AG15&gt;0,'Section Load'!AG15,0))</f>
        <v>353</v>
      </c>
      <c r="AG12" s="1292">
        <f>(IF('Section Load'!AH15&gt;0,'Section Load'!AH15,0))</f>
        <v>270</v>
      </c>
      <c r="AH12" s="1292">
        <f>(IF('Section Load'!AI15&gt;0,'Section Load'!AI15,0))</f>
        <v>420</v>
      </c>
      <c r="AI12" s="1292">
        <f>(IF('Section Load'!AJ15&gt;0,'Section Load'!AJ15,0))</f>
        <v>426</v>
      </c>
      <c r="AJ12" s="1292">
        <f>(IF('Section Load'!AK15&gt;0,'Section Load'!AK15,0))</f>
        <v>0</v>
      </c>
      <c r="AK12" s="1292">
        <f>(IF('Section Load'!AL15&gt;0,'Section Load'!AL15,0))</f>
        <v>152</v>
      </c>
      <c r="AL12" s="1292">
        <f>(IF('Section Load'!AM15&gt;0,'Section Load'!AM15,0))</f>
        <v>564</v>
      </c>
      <c r="AM12" s="1293">
        <f>(IF('Water Report'!$N$7&gt;0,'Water Report'!$N$7,0))</f>
        <v>18</v>
      </c>
      <c r="AN12" s="1293">
        <f>(IF('Water Report'!$N$8&gt;0,'Water Report'!$N$8,0))</f>
        <v>114</v>
      </c>
      <c r="AO12" s="1293">
        <f>(IF('Water Report'!$N$9&gt;0,'Water Report'!$N$9,0))</f>
        <v>46</v>
      </c>
      <c r="AP12" s="1293">
        <f>(IF('Water Report'!$N$10&gt;0,'Water Report'!$N$10,0))</f>
        <v>9</v>
      </c>
      <c r="AQ12" s="1293">
        <f>(IF('Water Report'!$N$11&gt;0,'Water Report'!$N$11,0))</f>
        <v>26</v>
      </c>
      <c r="AR12" s="1293">
        <f>(IF('Water Report'!$N$13&gt;0,'Water Report'!$N$13,0))</f>
        <v>19</v>
      </c>
      <c r="AS12" s="1293">
        <f>(IF('Water Report'!$N$14&gt;0,'Water Report'!$N$14,0))</f>
        <v>5</v>
      </c>
      <c r="AT12" s="1293">
        <f>(IF('Water Report'!$N$15&gt;0,'Water Report'!$N$15,0))</f>
        <v>5</v>
      </c>
      <c r="AU12" s="1293">
        <f>(IF('Water Report'!$N$17&gt;0,'Water Report'!$N$17,0))</f>
        <v>0</v>
      </c>
      <c r="AV12" s="1293">
        <f>(IF('Water Report'!$N$18&gt;0,'Water Report'!$N$18,0))</f>
        <v>0</v>
      </c>
      <c r="AW12" s="1293">
        <f>(IF('Water Report'!$N$19&gt;0,'Water Report'!$N$19,0))</f>
        <v>3</v>
      </c>
      <c r="AX12" s="1368">
        <f>(IF('Water Report'!$N$21&gt;0,'Water Report'!$N$21,0))</f>
        <v>27</v>
      </c>
      <c r="AY12" s="1368">
        <f>(IF('Water Report'!$N$22&gt;0,'Water Report'!$N$22,0))</f>
        <v>30</v>
      </c>
      <c r="AZ12" s="1368">
        <f>(IF('Water Report'!$N$23&gt;0,'Water Report'!$N$23,0))</f>
        <v>0</v>
      </c>
      <c r="BA12" s="1368">
        <f>(IF('Water Report'!$N$14&gt;0,'Water Report'!$N$14,0))</f>
        <v>5</v>
      </c>
      <c r="BB12" s="1368">
        <f>(IF('Water Report'!$N$15&gt;0,'Water Report'!$N$15,0))</f>
        <v>5</v>
      </c>
      <c r="BC12" s="1368">
        <f>(IF('Water Report'!$N$13&gt;0,'Water Report'!$N$13,0))</f>
        <v>19</v>
      </c>
      <c r="BD12" s="1368">
        <f>(IF('Water Report'!$N$24&gt;0,'Water Report'!$N$24,0))</f>
        <v>103</v>
      </c>
      <c r="BE12" s="1368">
        <f>(IF('Water Report'!$N$25&gt;0,'Water Report'!$N$25,0))</f>
        <v>91</v>
      </c>
      <c r="BF12" s="1368">
        <f>(IF('Water Report'!$N$27&gt;0,'Water Report'!$N$27,0))</f>
        <v>46</v>
      </c>
      <c r="BG12" s="1294">
        <f>(IF('Section Load'!AN15&gt;0,'Section Load'!AN15,0))</f>
        <v>700</v>
      </c>
      <c r="BH12" s="1294">
        <f>(IF('Section Load'!AO15&gt;0,'Section Load'!AO15,0))</f>
        <v>230</v>
      </c>
      <c r="BI12" s="1294">
        <f>(IF('Section Load'!AP15&gt;0,'Section Load'!AP15,0))</f>
        <v>0</v>
      </c>
      <c r="BJ12" s="1294">
        <f>(IF('Section Load'!AQ15&gt;0,'Section Load'!AQ15,0))</f>
        <v>66</v>
      </c>
      <c r="BK12" s="1294">
        <f>(IF('Section Load'!AR15&gt;0,'Section Load'!AR15,0))</f>
        <v>0</v>
      </c>
      <c r="BL12" s="1294">
        <f>(IF('Section Load'!AS15&gt;0,'Section Load'!AS15,0))</f>
        <v>0</v>
      </c>
      <c r="BM12" s="1294">
        <f>(IF('Section Load'!AT15&gt;0,'Section Load'!AT15,0))</f>
        <v>404</v>
      </c>
    </row>
    <row r="13" spans="1:65">
      <c r="A13" s="1276" t="s">
        <v>300</v>
      </c>
      <c r="B13" s="1277">
        <f t="shared" si="0"/>
        <v>12</v>
      </c>
      <c r="C13" s="1277">
        <v>7</v>
      </c>
      <c r="D13" s="1277">
        <v>2021</v>
      </c>
      <c r="E13" s="1292">
        <f>(IF('Section Load'!F16&gt;0,'Section Load'!F16,0))</f>
        <v>2554</v>
      </c>
      <c r="F13" s="1292">
        <f>(IF('Section Load'!G16&gt;0,'Section Load'!G16,0))</f>
        <v>1461</v>
      </c>
      <c r="G13" s="1292">
        <f>(IF('Section Load'!H16&gt;0,'Section Load'!H16,0))</f>
        <v>1383</v>
      </c>
      <c r="H13" s="1292">
        <f>(IF('Section Load'!I16&gt;0,'Section Load'!I16,0))</f>
        <v>3517</v>
      </c>
      <c r="I13" s="1292">
        <f>(IF('Section Load'!J16&gt;0,'Section Load'!J16,0))</f>
        <v>5598</v>
      </c>
      <c r="J13" s="1292">
        <f>(IF('Section Load'!K16&gt;0,'Section Load'!K16,0))</f>
        <v>2382</v>
      </c>
      <c r="K13" s="1292">
        <f>(IF('Section Load'!L16&gt;0,'Section Load'!L16,0))</f>
        <v>939</v>
      </c>
      <c r="L13" s="1292">
        <f>(IF('Section Load'!M16&gt;0,'Section Load'!M16,0))</f>
        <v>544</v>
      </c>
      <c r="M13" s="1292">
        <f>(IF('Section Load'!N16&gt;0,'Section Load'!N16,0))</f>
        <v>12</v>
      </c>
      <c r="N13" s="1292">
        <f>(IF('Section Load'!O16&gt;0,'Section Load'!O16,0))</f>
        <v>2</v>
      </c>
      <c r="O13" s="1292">
        <f>(IF('Section Load'!P16&gt;0,'Section Load'!P16,0))</f>
        <v>0</v>
      </c>
      <c r="P13" s="1292">
        <f>(IF('Section Load'!Q16&gt;0,'Section Load'!Q16,0))</f>
        <v>143</v>
      </c>
      <c r="Q13" s="1292">
        <f>(IF('Section Load'!R16&gt;0,'Section Load'!R16,0))</f>
        <v>54</v>
      </c>
      <c r="R13" s="1292">
        <f>(IF('Section Load'!S16&gt;0,'Section Load'!S16,0))</f>
        <v>47</v>
      </c>
      <c r="S13" s="1292">
        <f>(IF('Section Load'!T16&gt;0,'Section Load'!T16,0))</f>
        <v>41</v>
      </c>
      <c r="T13" s="1292">
        <f>(IF('Section Load'!U16&gt;0,'Section Load'!U16,0))</f>
        <v>140</v>
      </c>
      <c r="U13" s="1292">
        <f>(IF('Section Load'!V16&gt;0,'Section Load'!V16,0))</f>
        <v>376</v>
      </c>
      <c r="V13" s="1292">
        <f>(IF('Section Load'!W16&gt;0,'Section Load'!W16,0))</f>
        <v>111</v>
      </c>
      <c r="W13" s="1292">
        <f>(IF('Section Load'!X16&gt;0,'Section Load'!X16,0))</f>
        <v>12</v>
      </c>
      <c r="X13" s="1292">
        <f>(IF('Section Load'!Y16&gt;0,'Section Load'!Y16,0))</f>
        <v>37</v>
      </c>
      <c r="Y13" s="1292">
        <f>(IF('Section Load'!Z16&gt;0,'Section Load'!Z16,0))</f>
        <v>198</v>
      </c>
      <c r="Z13" s="1292">
        <f>(IF('Section Load'!AA16&gt;0,'Section Load'!AA16,0))</f>
        <v>30</v>
      </c>
      <c r="AA13" s="1292">
        <f>(IF('Section Load'!AB16&gt;0,'Section Load'!AB16,0))</f>
        <v>12.399999999994179</v>
      </c>
      <c r="AB13" s="1292">
        <f>(IF('Section Load'!AC16&gt;0,'Section Load'!AC16,0))</f>
        <v>24</v>
      </c>
      <c r="AC13" s="1292">
        <f>(IF('Section Load'!AD16&gt;0,'Section Load'!AD16,0))</f>
        <v>13.399999999994179</v>
      </c>
      <c r="AD13" s="1292">
        <f>(IF('Section Load'!AE16&gt;0,'Section Load'!AE16,0))</f>
        <v>0</v>
      </c>
      <c r="AE13" s="1292">
        <f>(IF('Section Load'!AF16&gt;0,'Section Load'!AF16,0))</f>
        <v>0</v>
      </c>
      <c r="AF13" s="1292">
        <f>(IF('Section Load'!AG16&gt;0,'Section Load'!AG16,0))</f>
        <v>334</v>
      </c>
      <c r="AG13" s="1292">
        <f>(IF('Section Load'!AH16&gt;0,'Section Load'!AH16,0))</f>
        <v>366</v>
      </c>
      <c r="AH13" s="1292">
        <f>(IF('Section Load'!AI16&gt;0,'Section Load'!AI16,0))</f>
        <v>427</v>
      </c>
      <c r="AI13" s="1292">
        <f>(IF('Section Load'!AJ16&gt;0,'Section Load'!AJ16,0))</f>
        <v>459</v>
      </c>
      <c r="AJ13" s="1292">
        <f>(IF('Section Load'!AK16&gt;0,'Section Load'!AK16,0))</f>
        <v>0</v>
      </c>
      <c r="AK13" s="1292">
        <f>(IF('Section Load'!AL16&gt;0,'Section Load'!AL16,0))</f>
        <v>227</v>
      </c>
      <c r="AL13" s="1292">
        <f>(IF('Section Load'!AM16&gt;0,'Section Load'!AM16,0))</f>
        <v>596</v>
      </c>
      <c r="AM13" s="1293">
        <f>(IF('Water Report'!$O$7&gt;0,'Water Report'!$O$7,0))</f>
        <v>55</v>
      </c>
      <c r="AN13" s="1293">
        <f>(IF('Water Report'!$O$8&gt;0,'Water Report'!$O$8,0))</f>
        <v>154</v>
      </c>
      <c r="AO13" s="1293">
        <f>(IF('Water Report'!$O$9&gt;0,'Water Report'!$O$9,0))</f>
        <v>36</v>
      </c>
      <c r="AP13" s="1293">
        <f>(IF('Water Report'!$O$10&gt;0,'Water Report'!$O$10,0))</f>
        <v>16</v>
      </c>
      <c r="AQ13" s="1293">
        <f>(IF('Water Report'!$O$11&gt;0,'Water Report'!$O$11,0))</f>
        <v>37</v>
      </c>
      <c r="AR13" s="1293">
        <f>(IF('Water Report'!$O$13&gt;0,'Water Report'!$O$13,0))</f>
        <v>20</v>
      </c>
      <c r="AS13" s="1293">
        <f>(IF('Water Report'!$O$14&gt;0,'Water Report'!$O$14,0))</f>
        <v>11</v>
      </c>
      <c r="AT13" s="1293">
        <f>(IF('Water Report'!$O$15&gt;0,'Water Report'!$O$15,0))</f>
        <v>21</v>
      </c>
      <c r="AU13" s="1293">
        <f>(IF('Water Report'!$O$17&gt;0,'Water Report'!$O$17,0))</f>
        <v>0</v>
      </c>
      <c r="AV13" s="1293">
        <f>(IF('Water Report'!$O$18&gt;0,'Water Report'!$O$18,0))</f>
        <v>0</v>
      </c>
      <c r="AW13" s="1293">
        <f>(IF('Water Report'!$O$19&gt;0,'Water Report'!$O$19,0))</f>
        <v>4</v>
      </c>
      <c r="AX13" s="1368">
        <f>(IF('Water Report'!$O$21&gt;0,'Water Report'!$O$21,0))</f>
        <v>33</v>
      </c>
      <c r="AY13" s="1368">
        <f>(IF('Water Report'!$O$22&gt;0,'Water Report'!$O$22,0))</f>
        <v>22</v>
      </c>
      <c r="AZ13" s="1368">
        <f>(IF('Water Report'!$O$23&gt;0,'Water Report'!$O$23,0))</f>
        <v>0</v>
      </c>
      <c r="BA13" s="1368">
        <f>(IF('Water Report'!$O$14&gt;0,'Water Report'!$O$14,0))</f>
        <v>11</v>
      </c>
      <c r="BB13" s="1368">
        <f>(IF('Water Report'!$O$15&gt;0,'Water Report'!$O$15,0))</f>
        <v>21</v>
      </c>
      <c r="BC13" s="1368">
        <f>(IF('Water Report'!$O$13&gt;0,'Water Report'!$O$13,0))</f>
        <v>20</v>
      </c>
      <c r="BD13" s="1368">
        <f>(IF('Water Report'!$O$24&gt;0,'Water Report'!$O$24,0))</f>
        <v>125</v>
      </c>
      <c r="BE13" s="1368">
        <f>(IF('Water Report'!$O$25&gt;0,'Water Report'!$O$25,0))</f>
        <v>121</v>
      </c>
      <c r="BF13" s="1368">
        <f>(IF('Water Report'!$O$27&gt;0,'Water Report'!$O$27,0))</f>
        <v>53</v>
      </c>
      <c r="BG13" s="1294">
        <f>(IF('Section Load'!AN16&gt;0,'Section Load'!AN16,0))</f>
        <v>700</v>
      </c>
      <c r="BH13" s="1294">
        <f>(IF('Section Load'!AO16&gt;0,'Section Load'!AO16,0))</f>
        <v>238</v>
      </c>
      <c r="BI13" s="1294">
        <f>(IF('Section Load'!AP16&gt;0,'Section Load'!AP16,0))</f>
        <v>0</v>
      </c>
      <c r="BJ13" s="1294">
        <f>(IF('Section Load'!AQ16&gt;0,'Section Load'!AQ16,0))</f>
        <v>62</v>
      </c>
      <c r="BK13" s="1294">
        <f>(IF('Section Load'!AR16&gt;0,'Section Load'!AR16,0))</f>
        <v>0</v>
      </c>
      <c r="BL13" s="1294">
        <f>(IF('Section Load'!AS16&gt;0,'Section Load'!AS16,0))</f>
        <v>0</v>
      </c>
      <c r="BM13" s="1294">
        <f>(IF('Section Load'!AT16&gt;0,'Section Load'!AT16,0))</f>
        <v>400.39999999999418</v>
      </c>
    </row>
    <row r="14" spans="1:65">
      <c r="A14" s="1276" t="s">
        <v>300</v>
      </c>
      <c r="B14" s="1277">
        <f t="shared" si="0"/>
        <v>13</v>
      </c>
      <c r="C14" s="1277">
        <v>7</v>
      </c>
      <c r="D14" s="1277">
        <v>2021</v>
      </c>
      <c r="E14" s="1292">
        <f>(IF('Section Load'!F17&gt;0,'Section Load'!F17,0))</f>
        <v>2615</v>
      </c>
      <c r="F14" s="1292">
        <f>(IF('Section Load'!G17&gt;0,'Section Load'!G17,0))</f>
        <v>1413</v>
      </c>
      <c r="G14" s="1292">
        <f>(IF('Section Load'!H17&gt;0,'Section Load'!H17,0))</f>
        <v>1494</v>
      </c>
      <c r="H14" s="1292">
        <f>(IF('Section Load'!I17&gt;0,'Section Load'!I17,0))</f>
        <v>3369</v>
      </c>
      <c r="I14" s="1292">
        <f>(IF('Section Load'!J17&gt;0,'Section Load'!J17,0))</f>
        <v>6701.4799999999959</v>
      </c>
      <c r="J14" s="1292">
        <f>(IF('Section Load'!K17&gt;0,'Section Load'!K17,0))</f>
        <v>2647.33</v>
      </c>
      <c r="K14" s="1292">
        <f>(IF('Section Load'!L17&gt;0,'Section Load'!L17,0))</f>
        <v>1050</v>
      </c>
      <c r="L14" s="1292">
        <f>(IF('Section Load'!M17&gt;0,'Section Load'!M17,0))</f>
        <v>557</v>
      </c>
      <c r="M14" s="1292">
        <f>(IF('Section Load'!N17&gt;0,'Section Load'!N17,0))</f>
        <v>13</v>
      </c>
      <c r="N14" s="1292">
        <f>(IF('Section Load'!O17&gt;0,'Section Load'!O17,0))</f>
        <v>1</v>
      </c>
      <c r="O14" s="1292">
        <f>(IF('Section Load'!P17&gt;0,'Section Load'!P17,0))</f>
        <v>0</v>
      </c>
      <c r="P14" s="1292">
        <f>(IF('Section Load'!Q17&gt;0,'Section Load'!Q17,0))</f>
        <v>129</v>
      </c>
      <c r="Q14" s="1292">
        <f>(IF('Section Load'!R17&gt;0,'Section Load'!R17,0))</f>
        <v>55</v>
      </c>
      <c r="R14" s="1292">
        <f>(IF('Section Load'!S17&gt;0,'Section Load'!S17,0))</f>
        <v>56</v>
      </c>
      <c r="S14" s="1292">
        <f>(IF('Section Load'!T17&gt;0,'Section Load'!T17,0))</f>
        <v>30</v>
      </c>
      <c r="T14" s="1292">
        <f>(IF('Section Load'!U17&gt;0,'Section Load'!U17,0))</f>
        <v>136</v>
      </c>
      <c r="U14" s="1292">
        <f>(IF('Section Load'!V17&gt;0,'Section Load'!V17,0))</f>
        <v>380.52000000001863</v>
      </c>
      <c r="V14" s="1292">
        <f>(IF('Section Load'!W17&gt;0,'Section Load'!W17,0))</f>
        <v>124.80000000004657</v>
      </c>
      <c r="W14" s="1292">
        <f>(IF('Section Load'!X17&gt;0,'Section Load'!X17,0))</f>
        <v>11</v>
      </c>
      <c r="X14" s="1292">
        <f>(IF('Section Load'!Y17&gt;0,'Section Load'!Y17,0))</f>
        <v>238</v>
      </c>
      <c r="Y14" s="1292">
        <f>(IF('Section Load'!Z17&gt;0,'Section Load'!Z17,0))</f>
        <v>236</v>
      </c>
      <c r="Z14" s="1292">
        <f>(IF('Section Load'!AA17&gt;0,'Section Load'!AA17,0))</f>
        <v>29.440000000002328</v>
      </c>
      <c r="AA14" s="1292">
        <f>(IF('Section Load'!AB17&gt;0,'Section Load'!AB17,0))</f>
        <v>11</v>
      </c>
      <c r="AB14" s="1292">
        <f>(IF('Section Load'!AC17&gt;0,'Section Load'!AC17,0))</f>
        <v>22.730000000010477</v>
      </c>
      <c r="AC14" s="1292">
        <f>(IF('Section Load'!AD17&gt;0,'Section Load'!AD17,0))</f>
        <v>12.900000000000091</v>
      </c>
      <c r="AD14" s="1292">
        <f>(IF('Section Load'!AE17&gt;0,'Section Load'!AE17,0))</f>
        <v>0</v>
      </c>
      <c r="AE14" s="1292">
        <f>(IF('Section Load'!AF17&gt;0,'Section Load'!AF17,0))</f>
        <v>0</v>
      </c>
      <c r="AF14" s="1292">
        <f>(IF('Section Load'!AG17&gt;0,'Section Load'!AG17,0))</f>
        <v>352</v>
      </c>
      <c r="AG14" s="1292">
        <f>(IF('Section Load'!AH17&gt;0,'Section Load'!AH17,0))</f>
        <v>411</v>
      </c>
      <c r="AH14" s="1292">
        <f>(IF('Section Load'!AI17&gt;0,'Section Load'!AI17,0))</f>
        <v>376</v>
      </c>
      <c r="AI14" s="1292">
        <f>(IF('Section Load'!AJ17&gt;0,'Section Load'!AJ17,0))</f>
        <v>429</v>
      </c>
      <c r="AJ14" s="1292">
        <f>(IF('Section Load'!AK17&gt;0,'Section Load'!AK17,0))</f>
        <v>0</v>
      </c>
      <c r="AK14" s="1292">
        <f>(IF('Section Load'!AL17&gt;0,'Section Load'!AL17,0))</f>
        <v>217</v>
      </c>
      <c r="AL14" s="1292">
        <f>(IF('Section Load'!AM17&gt;0,'Section Load'!AM17,0))</f>
        <v>687</v>
      </c>
      <c r="AM14" s="1293">
        <f>(IF('Water Report'!$P$7&gt;0,'Water Report'!$P$7,0))</f>
        <v>124</v>
      </c>
      <c r="AN14" s="1293">
        <f>(IF('Water Report'!$P$8&gt;0,'Water Report'!$P$8,0))</f>
        <v>109</v>
      </c>
      <c r="AO14" s="1293">
        <f>(IF('Water Report'!$P$9&gt;0,'Water Report'!$P$9,0))</f>
        <v>64</v>
      </c>
      <c r="AP14" s="1293">
        <f>(IF('Water Report'!$P$10&gt;0,'Water Report'!$P$10,0))</f>
        <v>34</v>
      </c>
      <c r="AQ14" s="1293">
        <f>(IF('Water Report'!$P$11&gt;0,'Water Report'!$P$11,0))</f>
        <v>47</v>
      </c>
      <c r="AR14" s="1293">
        <f>(IF('Water Report'!$P$13&gt;0,'Water Report'!$P$13,0))</f>
        <v>8</v>
      </c>
      <c r="AS14" s="1293">
        <f>(IF('Water Report'!$P$14&gt;0,'Water Report'!$P$14,0))</f>
        <v>16</v>
      </c>
      <c r="AT14" s="1293">
        <f>(IF('Water Report'!$P$15&gt;0,'Water Report'!$P$15,0))</f>
        <v>15</v>
      </c>
      <c r="AU14" s="1293">
        <f>(IF('Water Report'!$P$17&gt;0,'Water Report'!$P$17,0))</f>
        <v>0</v>
      </c>
      <c r="AV14" s="1293">
        <f>(IF('Water Report'!$P$18&gt;0,'Water Report'!$P$18,0))</f>
        <v>13</v>
      </c>
      <c r="AW14" s="1293">
        <f>(IF('Water Report'!$P$19&gt;0,'Water Report'!$P$19,0))</f>
        <v>5</v>
      </c>
      <c r="AX14" s="1368">
        <f>(IF('Water Report'!$P$21&gt;0,'Water Report'!$P$21,0))</f>
        <v>63</v>
      </c>
      <c r="AY14" s="1368">
        <f>(IF('Water Report'!$P$22&gt;0,'Water Report'!$P$22,0))</f>
        <v>0</v>
      </c>
      <c r="AZ14" s="1368">
        <f>(IF('Water Report'!$P$23&gt;0,'Water Report'!$P$23,0))</f>
        <v>0</v>
      </c>
      <c r="BA14" s="1368">
        <f>(IF('Water Report'!$P$14&gt;0,'Water Report'!$P$14,0))</f>
        <v>16</v>
      </c>
      <c r="BB14" s="1368">
        <f>(IF('Water Report'!$P$15&gt;0,'Water Report'!$P$15,0))</f>
        <v>15</v>
      </c>
      <c r="BC14" s="1368">
        <f>(IF('Water Report'!$P$13&gt;0,'Water Report'!$P$13,0))</f>
        <v>8</v>
      </c>
      <c r="BD14" s="1368">
        <f>(IF('Water Report'!$P$24&gt;0,'Water Report'!$P$24,0))</f>
        <v>194</v>
      </c>
      <c r="BE14" s="1368">
        <f>(IF('Water Report'!$P$25&gt;0,'Water Report'!$P$25,0))</f>
        <v>176</v>
      </c>
      <c r="BF14" s="1368">
        <f>(IF('Water Report'!$P$27&gt;0,'Water Report'!$P$27,0))</f>
        <v>71</v>
      </c>
      <c r="BG14" s="1294">
        <f>(IF('Section Load'!AN17&gt;0,'Section Load'!AN17,0))</f>
        <v>700</v>
      </c>
      <c r="BH14" s="1294">
        <f>(IF('Section Load'!AO17&gt;0,'Section Load'!AO17,0))</f>
        <v>245</v>
      </c>
      <c r="BI14" s="1294">
        <f>(IF('Section Load'!AP17&gt;0,'Section Load'!AP17,0))</f>
        <v>0</v>
      </c>
      <c r="BJ14" s="1294">
        <f>(IF('Section Load'!AQ17&gt;0,'Section Load'!AQ17,0))</f>
        <v>60</v>
      </c>
      <c r="BK14" s="1294">
        <f>(IF('Section Load'!AR17&gt;0,'Section Load'!AR17,0))</f>
        <v>68</v>
      </c>
      <c r="BL14" s="1294">
        <f>(IF('Section Load'!AS17&gt;0,'Section Load'!AS17,0))</f>
        <v>2</v>
      </c>
      <c r="BM14" s="1294">
        <f>(IF('Section Load'!AT17&gt;0,'Section Load'!AT17,0))</f>
        <v>325</v>
      </c>
    </row>
    <row r="15" spans="1:65">
      <c r="A15" s="1276" t="s">
        <v>300</v>
      </c>
      <c r="B15" s="1277">
        <f t="shared" si="0"/>
        <v>14</v>
      </c>
      <c r="C15" s="1277">
        <v>7</v>
      </c>
      <c r="D15" s="1277">
        <v>2021</v>
      </c>
      <c r="E15" s="1292">
        <f>(IF('Section Load'!F18&gt;0,'Section Load'!F18,0))</f>
        <v>2581.8699999999953</v>
      </c>
      <c r="F15" s="1292">
        <f>(IF('Section Load'!G18&gt;0,'Section Load'!G18,0))</f>
        <v>1388</v>
      </c>
      <c r="G15" s="1292">
        <f>(IF('Section Load'!H18&gt;0,'Section Load'!H18,0))</f>
        <v>1470</v>
      </c>
      <c r="H15" s="1292">
        <f>(IF('Section Load'!I18&gt;0,'Section Load'!I18,0))</f>
        <v>3252</v>
      </c>
      <c r="I15" s="1292">
        <f>(IF('Section Load'!J18&gt;0,'Section Load'!J18,0))</f>
        <v>6350</v>
      </c>
      <c r="J15" s="1292">
        <f>(IF('Section Load'!K18&gt;0,'Section Load'!K18,0))</f>
        <v>2656</v>
      </c>
      <c r="K15" s="1292">
        <f>(IF('Section Load'!L18&gt;0,'Section Load'!L18,0))</f>
        <v>947</v>
      </c>
      <c r="L15" s="1292">
        <f>(IF('Section Load'!M18&gt;0,'Section Load'!M18,0))</f>
        <v>648</v>
      </c>
      <c r="M15" s="1292">
        <f>(IF('Section Load'!N18&gt;0,'Section Load'!N18,0))</f>
        <v>13</v>
      </c>
      <c r="N15" s="1292">
        <f>(IF('Section Load'!O18&gt;0,'Section Load'!O18,0))</f>
        <v>1</v>
      </c>
      <c r="O15" s="1292">
        <f>(IF('Section Load'!P18&gt;0,'Section Load'!P18,0))</f>
        <v>0</v>
      </c>
      <c r="P15" s="1292">
        <f>(IF('Section Load'!Q18&gt;0,'Section Load'!Q18,0))</f>
        <v>129</v>
      </c>
      <c r="Q15" s="1292">
        <f>(IF('Section Load'!R18&gt;0,'Section Load'!R18,0))</f>
        <v>61</v>
      </c>
      <c r="R15" s="1292">
        <f>(IF('Section Load'!S18&gt;0,'Section Load'!S18,0))</f>
        <v>50</v>
      </c>
      <c r="S15" s="1292">
        <f>(IF('Section Load'!T18&gt;0,'Section Load'!T18,0))</f>
        <v>46</v>
      </c>
      <c r="T15" s="1292">
        <f>(IF('Section Load'!U18&gt;0,'Section Load'!U18,0))</f>
        <v>152</v>
      </c>
      <c r="U15" s="1292">
        <f>(IF('Section Load'!V18&gt;0,'Section Load'!V18,0))</f>
        <v>354.47999999998137</v>
      </c>
      <c r="V15" s="1292">
        <f>(IF('Section Load'!W18&gt;0,'Section Load'!W18,0))</f>
        <v>154.19999999995343</v>
      </c>
      <c r="W15" s="1292">
        <f>(IF('Section Load'!X18&gt;0,'Section Load'!X18,0))</f>
        <v>22</v>
      </c>
      <c r="X15" s="1292">
        <f>(IF('Section Load'!Y18&gt;0,'Section Load'!Y18,0))</f>
        <v>224</v>
      </c>
      <c r="Y15" s="1292">
        <f>(IF('Section Load'!Z18&gt;0,'Section Load'!Z18,0))</f>
        <v>262</v>
      </c>
      <c r="Z15" s="1292">
        <f>(IF('Section Load'!AA18&gt;0,'Section Load'!AA18,0))</f>
        <v>28.559999999997672</v>
      </c>
      <c r="AA15" s="1292">
        <f>(IF('Section Load'!AB18&gt;0,'Section Load'!AB18,0))</f>
        <v>28</v>
      </c>
      <c r="AB15" s="1292">
        <f>(IF('Section Load'!AC18&gt;0,'Section Load'!AC18,0))</f>
        <v>151.26999999998952</v>
      </c>
      <c r="AC15" s="1292">
        <f>(IF('Section Load'!AD18&gt;0,'Section Load'!AD18,0))</f>
        <v>31.099999999999909</v>
      </c>
      <c r="AD15" s="1292">
        <f>(IF('Section Load'!AE18&gt;0,'Section Load'!AE18,0))</f>
        <v>0</v>
      </c>
      <c r="AE15" s="1292">
        <f>(IF('Section Load'!AF18&gt;0,'Section Load'!AF18,0))</f>
        <v>0</v>
      </c>
      <c r="AF15" s="1292">
        <f>(IF('Section Load'!AG18&gt;0,'Section Load'!AG18,0))</f>
        <v>380</v>
      </c>
      <c r="AG15" s="1292">
        <f>(IF('Section Load'!AH18&gt;0,'Section Load'!AH18,0))</f>
        <v>326</v>
      </c>
      <c r="AH15" s="1292">
        <f>(IF('Section Load'!AI18&gt;0,'Section Load'!AI18,0))</f>
        <v>309</v>
      </c>
      <c r="AI15" s="1292">
        <f>(IF('Section Load'!AJ18&gt;0,'Section Load'!AJ18,0))</f>
        <v>449</v>
      </c>
      <c r="AJ15" s="1292">
        <f>(IF('Section Load'!AK18&gt;0,'Section Load'!AK18,0))</f>
        <v>0</v>
      </c>
      <c r="AK15" s="1292">
        <f>(IF('Section Load'!AL18&gt;0,'Section Load'!AL18,0))</f>
        <v>209</v>
      </c>
      <c r="AL15" s="1292">
        <f>(IF('Section Load'!AM18&gt;0,'Section Load'!AM18,0))</f>
        <v>754</v>
      </c>
      <c r="AM15" s="1293">
        <f>(IF('Water Report'!$Q$7&gt;0,'Water Report'!$Q$7,0))</f>
        <v>68</v>
      </c>
      <c r="AN15" s="1293">
        <f>(IF('Water Report'!$Q$8&gt;0,'Water Report'!$Q$8,0))</f>
        <v>154</v>
      </c>
      <c r="AO15" s="1293">
        <f>(IF('Water Report'!$Q$9&gt;0,'Water Report'!$Q$9,0))</f>
        <v>68</v>
      </c>
      <c r="AP15" s="1293">
        <f>(IF('Water Report'!$Q$10&gt;0,'Water Report'!$Q$10,0))</f>
        <v>23</v>
      </c>
      <c r="AQ15" s="1293">
        <f>(IF('Water Report'!$Q$11&gt;0,'Water Report'!$Q$11,0))</f>
        <v>21</v>
      </c>
      <c r="AR15" s="1293">
        <f>(IF('Water Report'!$Q$13&gt;0,'Water Report'!$Q$13,0))</f>
        <v>8</v>
      </c>
      <c r="AS15" s="1293">
        <f>(IF('Water Report'!$Q$14&gt;0,'Water Report'!$Q$14,0))</f>
        <v>10</v>
      </c>
      <c r="AT15" s="1293">
        <f>(IF('Water Report'!$Q$15&gt;0,'Water Report'!$Q$15,0))</f>
        <v>6</v>
      </c>
      <c r="AU15" s="1293">
        <f>(IF('Water Report'!$Q$17&gt;0,'Water Report'!$Q$17,0))</f>
        <v>0</v>
      </c>
      <c r="AV15" s="1293">
        <f>(IF('Water Report'!$Q$18&gt;0,'Water Report'!$Q$18,0))</f>
        <v>14</v>
      </c>
      <c r="AW15" s="1293">
        <f>(IF('Water Report'!$Q$19&gt;0,'Water Report'!$Q$19,0))</f>
        <v>5</v>
      </c>
      <c r="AX15" s="1368">
        <f>(IF('Water Report'!$Q$21&gt;0,'Water Report'!$Q$21,0))</f>
        <v>73</v>
      </c>
      <c r="AY15" s="1368">
        <f>(IF('Water Report'!$Q$22&gt;0,'Water Report'!$Q$22,0))</f>
        <v>0</v>
      </c>
      <c r="AZ15" s="1368">
        <f>(IF('Water Report'!$Q$23&gt;0,'Water Report'!$Q$23,0))</f>
        <v>0</v>
      </c>
      <c r="BA15" s="1368">
        <f>(IF('Water Report'!$Q$14&gt;0,'Water Report'!$Q$14,0))</f>
        <v>10</v>
      </c>
      <c r="BB15" s="1368">
        <f>(IF('Water Report'!$Q$15&gt;0,'Water Report'!$Q$15,0))</f>
        <v>6</v>
      </c>
      <c r="BC15" s="1368">
        <f>(IF('Water Report'!$Q$13&gt;0,'Water Report'!$Q$13,0))</f>
        <v>8</v>
      </c>
      <c r="BD15" s="1368">
        <f>(IF('Water Report'!$Q$24&gt;0,'Water Report'!$Q$24,0))</f>
        <v>183</v>
      </c>
      <c r="BE15" s="1368">
        <f>(IF('Water Report'!$Q$25&gt;0,'Water Report'!$Q$25,0))</f>
        <v>128</v>
      </c>
      <c r="BF15" s="1368">
        <f>(IF('Water Report'!$Q$27&gt;0,'Water Report'!$Q$27,0))</f>
        <v>81</v>
      </c>
      <c r="BG15" s="1294">
        <f>(IF('Section Load'!AN18&gt;0,'Section Load'!AN18,0))</f>
        <v>700</v>
      </c>
      <c r="BH15" s="1294">
        <f>(IF('Section Load'!AO18&gt;0,'Section Load'!AO18,0))</f>
        <v>259</v>
      </c>
      <c r="BI15" s="1294">
        <f>(IF('Section Load'!AP18&gt;0,'Section Load'!AP18,0))</f>
        <v>0</v>
      </c>
      <c r="BJ15" s="1294">
        <f>(IF('Section Load'!AQ18&gt;0,'Section Load'!AQ18,0))</f>
        <v>72</v>
      </c>
      <c r="BK15" s="1294">
        <f>(IF('Section Load'!AR18&gt;0,'Section Load'!AR18,0))</f>
        <v>26</v>
      </c>
      <c r="BL15" s="1294">
        <f>(IF('Section Load'!AS18&gt;0,'Section Load'!AS18,0))</f>
        <v>1</v>
      </c>
      <c r="BM15" s="1294">
        <f>(IF('Section Load'!AT18&gt;0,'Section Load'!AT18,0))</f>
        <v>342</v>
      </c>
    </row>
    <row r="16" spans="1:65">
      <c r="A16" s="1276" t="s">
        <v>300</v>
      </c>
      <c r="B16" s="1277">
        <f t="shared" si="0"/>
        <v>15</v>
      </c>
      <c r="C16" s="1277">
        <v>7</v>
      </c>
      <c r="D16" s="1277">
        <v>2021</v>
      </c>
      <c r="E16" s="1292">
        <f>(IF('Section Load'!F19&gt;0,'Section Load'!F19,0))</f>
        <v>2472</v>
      </c>
      <c r="F16" s="1292">
        <f>(IF('Section Load'!G19&gt;0,'Section Load'!G19,0))</f>
        <v>1405</v>
      </c>
      <c r="G16" s="1292">
        <f>(IF('Section Load'!H19&gt;0,'Section Load'!H19,0))</f>
        <v>1253.9300000000512</v>
      </c>
      <c r="H16" s="1292">
        <f>(IF('Section Load'!I19&gt;0,'Section Load'!I19,0))</f>
        <v>2893</v>
      </c>
      <c r="I16" s="1292">
        <f>(IF('Section Load'!J19&gt;0,'Section Load'!J19,0))</f>
        <v>5200</v>
      </c>
      <c r="J16" s="1292">
        <f>(IF('Section Load'!K19&gt;0,'Section Load'!K19,0))</f>
        <v>2467</v>
      </c>
      <c r="K16" s="1292">
        <f>(IF('Section Load'!L19&gt;0,'Section Load'!L19,0))</f>
        <v>1012</v>
      </c>
      <c r="L16" s="1292">
        <f>(IF('Section Load'!M19&gt;0,'Section Load'!M19,0))</f>
        <v>664</v>
      </c>
      <c r="M16" s="1292">
        <f>(IF('Section Load'!N19&gt;0,'Section Load'!N19,0))</f>
        <v>13</v>
      </c>
      <c r="N16" s="1292">
        <f>(IF('Section Load'!O19&gt;0,'Section Load'!O19,0))</f>
        <v>2</v>
      </c>
      <c r="O16" s="1292">
        <f>(IF('Section Load'!P19&gt;0,'Section Load'!P19,0))</f>
        <v>1</v>
      </c>
      <c r="P16" s="1292">
        <f>(IF('Section Load'!Q19&gt;0,'Section Load'!Q19,0))</f>
        <v>127</v>
      </c>
      <c r="Q16" s="1292">
        <f>(IF('Section Load'!R19&gt;0,'Section Load'!R19,0))</f>
        <v>58</v>
      </c>
      <c r="R16" s="1292">
        <f>(IF('Section Load'!S19&gt;0,'Section Load'!S19,0))</f>
        <v>46</v>
      </c>
      <c r="S16" s="1292">
        <f>(IF('Section Load'!T19&gt;0,'Section Load'!T19,0))</f>
        <v>49</v>
      </c>
      <c r="T16" s="1292">
        <f>(IF('Section Load'!U19&gt;0,'Section Load'!U19,0))</f>
        <v>139</v>
      </c>
      <c r="U16" s="1292">
        <f>(IF('Section Load'!V19&gt;0,'Section Load'!V19,0))</f>
        <v>335</v>
      </c>
      <c r="V16" s="1292">
        <f>(IF('Section Load'!W19&gt;0,'Section Load'!W19,0))</f>
        <v>138</v>
      </c>
      <c r="W16" s="1292">
        <f>(IF('Section Load'!X19&gt;0,'Section Load'!X19,0))</f>
        <v>27</v>
      </c>
      <c r="X16" s="1292">
        <f>(IF('Section Load'!Y19&gt;0,'Section Load'!Y19,0))</f>
        <v>104</v>
      </c>
      <c r="Y16" s="1292">
        <f>(IF('Section Load'!Z19&gt;0,'Section Load'!Z19,0))</f>
        <v>143</v>
      </c>
      <c r="Z16" s="1292">
        <f>(IF('Section Load'!AA19&gt;0,'Section Load'!AA19,0))</f>
        <v>30</v>
      </c>
      <c r="AA16" s="1292">
        <f>(IF('Section Load'!AB19&gt;0,'Section Load'!AB19,0))</f>
        <v>25</v>
      </c>
      <c r="AB16" s="1292">
        <f>(IF('Section Load'!AC19&gt;0,'Section Load'!AC19,0))</f>
        <v>237</v>
      </c>
      <c r="AC16" s="1292">
        <f>(IF('Section Load'!AD19&gt;0,'Section Load'!AD19,0))</f>
        <v>28</v>
      </c>
      <c r="AD16" s="1292">
        <f>(IF('Section Load'!AE19&gt;0,'Section Load'!AE19,0))</f>
        <v>0.18000000000029104</v>
      </c>
      <c r="AE16" s="1292">
        <f>(IF('Section Load'!AF19&gt;0,'Section Load'!AF19,0))</f>
        <v>0</v>
      </c>
      <c r="AF16" s="1292">
        <f>(IF('Section Load'!AG19&gt;0,'Section Load'!AG19,0))</f>
        <v>376</v>
      </c>
      <c r="AG16" s="1292">
        <f>(IF('Section Load'!AH19&gt;0,'Section Load'!AH19,0))</f>
        <v>150</v>
      </c>
      <c r="AH16" s="1292">
        <f>(IF('Section Load'!AI19&gt;0,'Section Load'!AI19,0))</f>
        <v>268</v>
      </c>
      <c r="AI16" s="1292">
        <f>(IF('Section Load'!AJ19&gt;0,'Section Load'!AJ19,0))</f>
        <v>406</v>
      </c>
      <c r="AJ16" s="1292">
        <f>(IF('Section Load'!AK19&gt;0,'Section Load'!AK19,0))</f>
        <v>0</v>
      </c>
      <c r="AK16" s="1292">
        <f>(IF('Section Load'!AL19&gt;0,'Section Load'!AL19,0))</f>
        <v>202</v>
      </c>
      <c r="AL16" s="1292">
        <f>(IF('Section Load'!AM19&gt;0,'Section Load'!AM19,0))</f>
        <v>683</v>
      </c>
      <c r="AM16" s="1293">
        <f>(IF('Water Report'!$R$7&gt;0,'Water Report'!$R$7,0))</f>
        <v>57</v>
      </c>
      <c r="AN16" s="1293">
        <f>(IF('Water Report'!$R$8&gt;0,'Water Report'!$R$8,0))</f>
        <v>72</v>
      </c>
      <c r="AO16" s="1293">
        <f>(IF('Water Report'!$R$9&gt;0,'Water Report'!$R$9,0))</f>
        <v>65</v>
      </c>
      <c r="AP16" s="1293">
        <f>(IF('Water Report'!$R$10&gt;0,'Water Report'!$R$10,0))</f>
        <v>10</v>
      </c>
      <c r="AQ16" s="1293">
        <f>(IF('Water Report'!$R$11&gt;0,'Water Report'!$R$11,0))</f>
        <v>17</v>
      </c>
      <c r="AR16" s="1293">
        <f>(IF('Water Report'!$R$13&gt;0,'Water Report'!$R$13,0))</f>
        <v>7</v>
      </c>
      <c r="AS16" s="1293">
        <f>(IF('Water Report'!$R$14&gt;0,'Water Report'!$R$14,0))</f>
        <v>4</v>
      </c>
      <c r="AT16" s="1293">
        <f>(IF('Water Report'!$R$15&gt;0,'Water Report'!$R$15,0))</f>
        <v>7</v>
      </c>
      <c r="AU16" s="1293">
        <f>(IF('Water Report'!$R$17&gt;0,'Water Report'!$R$17,0))</f>
        <v>0</v>
      </c>
      <c r="AV16" s="1293">
        <f>(IF('Water Report'!$R$18&gt;0,'Water Report'!$R$18,0))</f>
        <v>0</v>
      </c>
      <c r="AW16" s="1293">
        <f>(IF('Water Report'!$R$19&gt;0,'Water Report'!$R$19,0))</f>
        <v>5</v>
      </c>
      <c r="AX16" s="1368">
        <f>(IF('Water Report'!$R$21&gt;0,'Water Report'!$R$21,0))</f>
        <v>45</v>
      </c>
      <c r="AY16" s="1368">
        <f>(IF('Water Report'!$R$22&gt;0,'Water Report'!$R$22,0))</f>
        <v>13</v>
      </c>
      <c r="AZ16" s="1368">
        <f>(IF('Water Report'!$R$23&gt;0,'Water Report'!$R$23,0))</f>
        <v>0</v>
      </c>
      <c r="BA16" s="1368">
        <f>(IF('Water Report'!$R$14&gt;0,'Water Report'!$R$14,0))</f>
        <v>4</v>
      </c>
      <c r="BB16" s="1368">
        <f>(IF('Water Report'!$R$15&gt;0,'Water Report'!$R$15,0))</f>
        <v>7</v>
      </c>
      <c r="BC16" s="1368">
        <f>(IF('Water Report'!$R$13&gt;0,'Water Report'!$R$13,0))</f>
        <v>7</v>
      </c>
      <c r="BD16" s="1368">
        <f>(IF('Water Report'!$R$24&gt;0,'Water Report'!$R$24,0))</f>
        <v>142</v>
      </c>
      <c r="BE16" s="1368">
        <f>(IF('Water Report'!$R$25&gt;0,'Water Report'!$R$25,0))</f>
        <v>103</v>
      </c>
      <c r="BF16" s="1368">
        <f>(IF('Water Report'!$R$27&gt;0,'Water Report'!$R$27,0))</f>
        <v>52</v>
      </c>
      <c r="BG16" s="1294">
        <f>(IF('Section Load'!AN19&gt;0,'Section Load'!AN19,0))</f>
        <v>700</v>
      </c>
      <c r="BH16" s="1294">
        <f>(IF('Section Load'!AO19&gt;0,'Section Load'!AO19,0))</f>
        <v>259</v>
      </c>
      <c r="BI16" s="1294">
        <f>(IF('Section Load'!AP19&gt;0,'Section Load'!AP19,0))</f>
        <v>0.39999999999417923</v>
      </c>
      <c r="BJ16" s="1294">
        <f>(IF('Section Load'!AQ19&gt;0,'Section Load'!AQ19,0))</f>
        <v>64</v>
      </c>
      <c r="BK16" s="1294">
        <f>(IF('Section Load'!AR19&gt;0,'Section Load'!AR19,0))</f>
        <v>23</v>
      </c>
      <c r="BL16" s="1294">
        <f>(IF('Section Load'!AS19&gt;0,'Section Load'!AS19,0))</f>
        <v>1</v>
      </c>
      <c r="BM16" s="1294">
        <f>(IF('Section Load'!AT19&gt;0,'Section Load'!AT19,0))</f>
        <v>352.60000000000582</v>
      </c>
    </row>
    <row r="17" spans="1:65">
      <c r="A17" s="1276" t="s">
        <v>300</v>
      </c>
      <c r="B17" s="1277">
        <f t="shared" si="0"/>
        <v>16</v>
      </c>
      <c r="C17" s="1277">
        <v>7</v>
      </c>
      <c r="D17" s="1277">
        <v>2021</v>
      </c>
      <c r="E17" s="1292">
        <f>(IF('Section Load'!F20&gt;0,'Section Load'!F20,0))</f>
        <v>2502.9200000000419</v>
      </c>
      <c r="F17" s="1292">
        <f>(IF('Section Load'!G20&gt;0,'Section Load'!G20,0))</f>
        <v>1424.929999999993</v>
      </c>
      <c r="G17" s="1292">
        <f>(IF('Section Load'!H20&gt;0,'Section Load'!H20,0))</f>
        <v>1231.3799999999464</v>
      </c>
      <c r="H17" s="1292">
        <f>(IF('Section Load'!I20&gt;0,'Section Load'!I20,0))</f>
        <v>3172.4900000000489</v>
      </c>
      <c r="I17" s="1292">
        <f>(IF('Section Load'!J20&gt;0,'Section Load'!J20,0))</f>
        <v>5374.2500000000291</v>
      </c>
      <c r="J17" s="1292">
        <f>(IF('Section Load'!K20&gt;0,'Section Load'!K20,0))</f>
        <v>2435</v>
      </c>
      <c r="K17" s="1292">
        <f>(IF('Section Load'!L20&gt;0,'Section Load'!L20,0))</f>
        <v>1103.8699999999953</v>
      </c>
      <c r="L17" s="1292">
        <f>(IF('Section Load'!M20&gt;0,'Section Load'!M20,0))</f>
        <v>813.1200000000008</v>
      </c>
      <c r="M17" s="1292">
        <f>(IF('Section Load'!N20&gt;0,'Section Load'!N20,0))</f>
        <v>13</v>
      </c>
      <c r="N17" s="1292">
        <f>(IF('Section Load'!O20&gt;0,'Section Load'!O20,0))</f>
        <v>1</v>
      </c>
      <c r="O17" s="1292">
        <f>(IF('Section Load'!P20&gt;0,'Section Load'!P20,0))</f>
        <v>1.8000000000029104</v>
      </c>
      <c r="P17" s="1292">
        <f>(IF('Section Load'!Q20&gt;0,'Section Load'!Q20,0))</f>
        <v>133.48999999999978</v>
      </c>
      <c r="Q17" s="1292">
        <f>(IF('Section Load'!R20&gt;0,'Section Load'!R20,0))</f>
        <v>56.719999999999345</v>
      </c>
      <c r="R17" s="1292">
        <f>(IF('Section Load'!S20&gt;0,'Section Load'!S20,0))</f>
        <v>58</v>
      </c>
      <c r="S17" s="1292">
        <f>(IF('Section Load'!T20&gt;0,'Section Load'!T20,0))</f>
        <v>68</v>
      </c>
      <c r="T17" s="1292">
        <f>(IF('Section Load'!U20&gt;0,'Section Load'!U20,0))</f>
        <v>154</v>
      </c>
      <c r="U17" s="1292">
        <f>(IF('Section Load'!V20&gt;0,'Section Load'!V20,0))</f>
        <v>396</v>
      </c>
      <c r="V17" s="1292">
        <f>(IF('Section Load'!W20&gt;0,'Section Load'!W20,0))</f>
        <v>114.28000000002794</v>
      </c>
      <c r="W17" s="1292">
        <f>(IF('Section Load'!X20&gt;0,'Section Load'!X20,0))</f>
        <v>13.660000000003492</v>
      </c>
      <c r="X17" s="1292">
        <f>(IF('Section Load'!Y20&gt;0,'Section Load'!Y20,0))</f>
        <v>17.110000000000582</v>
      </c>
      <c r="Y17" s="1292">
        <f>(IF('Section Load'!Z20&gt;0,'Section Load'!Z20,0))</f>
        <v>217</v>
      </c>
      <c r="Z17" s="1292">
        <f>(IF('Section Load'!AA20&gt;0,'Section Load'!AA20,0))</f>
        <v>36.440000000002328</v>
      </c>
      <c r="AA17" s="1292">
        <f>(IF('Section Load'!AB20&gt;0,'Section Load'!AB20,0))</f>
        <v>31.19999999999709</v>
      </c>
      <c r="AB17" s="1292">
        <f>(IF('Section Load'!AC20&gt;0,'Section Load'!AC20,0))</f>
        <v>78.910000000003492</v>
      </c>
      <c r="AC17" s="1292">
        <f>(IF('Section Load'!AD20&gt;0,'Section Load'!AD20,0))</f>
        <v>35.499999999997272</v>
      </c>
      <c r="AD17" s="1292">
        <f>(IF('Section Load'!AE20&gt;0,'Section Load'!AE20,0))</f>
        <v>0</v>
      </c>
      <c r="AE17" s="1292">
        <f>(IF('Section Load'!AF20&gt;0,'Section Load'!AF20,0))</f>
        <v>0</v>
      </c>
      <c r="AF17" s="1292">
        <f>(IF('Section Load'!AG20&gt;0,'Section Load'!AG20,0))</f>
        <v>415.35000000000582</v>
      </c>
      <c r="AG17" s="1292">
        <f>(IF('Section Load'!AH20&gt;0,'Section Load'!AH20,0))</f>
        <v>265.25</v>
      </c>
      <c r="AH17" s="1292">
        <f>(IF('Section Load'!AI20&gt;0,'Section Load'!AI20,0))</f>
        <v>300.2300000000032</v>
      </c>
      <c r="AI17" s="1292">
        <f>(IF('Section Load'!AJ20&gt;0,'Section Load'!AJ20,0))</f>
        <v>392.39000000001397</v>
      </c>
      <c r="AJ17" s="1292">
        <f>(IF('Section Load'!AK20&gt;0,'Section Load'!AK20,0))</f>
        <v>0</v>
      </c>
      <c r="AK17" s="1292">
        <f>(IF('Section Load'!AL20&gt;0,'Section Load'!AL20,0))</f>
        <v>228.27000000000407</v>
      </c>
      <c r="AL17" s="1292">
        <f>(IF('Section Load'!AM20&gt;0,'Section Load'!AM20,0))</f>
        <v>735</v>
      </c>
      <c r="AM17" s="1293">
        <f>(IF('Water Report'!$S$7&gt;0,'Water Report'!$S$7,0))</f>
        <v>31</v>
      </c>
      <c r="AN17" s="1293">
        <f>(IF('Water Report'!$S$8&gt;0,'Water Report'!$S$8,0))</f>
        <v>66</v>
      </c>
      <c r="AO17" s="1293">
        <f>(IF('Water Report'!$S$9&gt;0,'Water Report'!$S$9,0))</f>
        <v>34</v>
      </c>
      <c r="AP17" s="1293">
        <f>(IF('Water Report'!$S$10&gt;0,'Water Report'!$D$10,0))</f>
        <v>17</v>
      </c>
      <c r="AQ17" s="1293">
        <f>(IF('Water Report'!$S$11&gt;0,'Water Report'!$D$11,0))</f>
        <v>18</v>
      </c>
      <c r="AR17" s="1293">
        <f>(IF('Water Report'!$S$13&gt;0,'Water Report'!$D$13,0))</f>
        <v>50</v>
      </c>
      <c r="AS17" s="1293">
        <f>(IF('Water Report'!$S$14&gt;0,'Water Report'!$D$14,0))</f>
        <v>6</v>
      </c>
      <c r="AT17" s="1293">
        <f>(IF('Water Report'!$S$15&gt;0,'Water Report'!$D$15,0))</f>
        <v>6</v>
      </c>
      <c r="AU17" s="1293">
        <f>(IF('Water Report'!$S$17&gt;0,'Water Report'!$D$17,0))</f>
        <v>0</v>
      </c>
      <c r="AV17" s="1293">
        <f>(IF('Water Report'!$S$18&gt;0,'Water Report'!$D$18,0))</f>
        <v>0</v>
      </c>
      <c r="AW17" s="1293">
        <f>(IF('Water Report'!$S$19&gt;0,'Water Report'!$D$19,0))</f>
        <v>5</v>
      </c>
      <c r="AX17" s="1368">
        <f>(IF('Water Report'!$S$21&gt;0,'Water Report'!$D$21,0))</f>
        <v>98</v>
      </c>
      <c r="AY17" s="1368">
        <f>(IF('Water Report'!$S$22&gt;0,'Water Report'!$D$22,0))</f>
        <v>0</v>
      </c>
      <c r="AZ17" s="1368">
        <f>(IF('Water Report'!$S$23&gt;0,'Water Report'!$D$23,0))</f>
        <v>0</v>
      </c>
      <c r="BA17" s="1368">
        <f>(IF('Water Report'!$S$14&gt;0,'Water Report'!$D$14,0))</f>
        <v>6</v>
      </c>
      <c r="BB17" s="1368">
        <f>(IF('Water Report'!$S$15&gt;0,'Water Report'!$D$15,0))</f>
        <v>6</v>
      </c>
      <c r="BC17" s="1368">
        <f>(IF('Water Report'!$S$13&gt;0,'Water Report'!$D$13,0))</f>
        <v>50</v>
      </c>
      <c r="BD17" s="1368">
        <f>(IF('Water Report'!$S$24&gt;0,'Water Report'!$D$24,0))</f>
        <v>154</v>
      </c>
      <c r="BE17" s="1368">
        <f>(IF('Water Report'!$S$25&gt;0,'Water Report'!$D$25,0))</f>
        <v>133</v>
      </c>
      <c r="BF17" s="1368">
        <f>(IF('Water Report'!$S$27&gt;0,'Water Report'!$D$27,0))</f>
        <v>148</v>
      </c>
      <c r="BG17" s="1294">
        <f>(IF('Section Load'!AN20&gt;0,'Section Load'!AN20,0))</f>
        <v>700</v>
      </c>
      <c r="BH17" s="1294">
        <f>(IF('Section Load'!AO20&gt;0,'Section Load'!AO20,0))</f>
        <v>262.6600000000326</v>
      </c>
      <c r="BI17" s="1294">
        <f>(IF('Section Load'!AP20&gt;0,'Section Load'!AP20,0))</f>
        <v>0</v>
      </c>
      <c r="BJ17" s="1294">
        <f>(IF('Section Load'!AQ20&gt;0,'Section Load'!AQ20,0))</f>
        <v>63.380000000004657</v>
      </c>
      <c r="BK17" s="1294">
        <f>(IF('Section Load'!AR20&gt;0,'Section Load'!AR20,0))</f>
        <v>35.200000000000728</v>
      </c>
      <c r="BL17" s="1294">
        <f>(IF('Section Load'!AS20&gt;0,'Section Load'!AS20,0))</f>
        <v>0.2999999999992724</v>
      </c>
      <c r="BM17" s="1294">
        <f>(IF('Section Load'!AT20&gt;0,'Section Load'!AT20,0))</f>
        <v>338.45999999996275</v>
      </c>
    </row>
    <row r="18" spans="1:65">
      <c r="A18" s="1276" t="s">
        <v>300</v>
      </c>
      <c r="B18" s="1277">
        <f t="shared" si="0"/>
        <v>17</v>
      </c>
      <c r="C18" s="1277">
        <v>7</v>
      </c>
      <c r="D18" s="1277">
        <v>2021</v>
      </c>
      <c r="E18" s="1292">
        <f>(IF('Section Load'!F21&gt;0,'Section Load'!F21,0))</f>
        <v>2468.5599999999395</v>
      </c>
      <c r="F18" s="1292">
        <f>(IF('Section Load'!G21&gt;0,'Section Load'!G21,0))</f>
        <v>1431.4800000000105</v>
      </c>
      <c r="G18" s="1292">
        <f>(IF('Section Load'!H21&gt;0,'Section Load'!H21,0))</f>
        <v>1378.820000000007</v>
      </c>
      <c r="H18" s="1292">
        <f>(IF('Section Load'!I21&gt;0,'Section Load'!I21,0))</f>
        <v>3280.1699999999255</v>
      </c>
      <c r="I18" s="1292">
        <f>(IF('Section Load'!J21&gt;0,'Section Load'!J21,0))</f>
        <v>5676.4399999999587</v>
      </c>
      <c r="J18" s="1292">
        <f>(IF('Section Load'!K21&gt;0,'Section Load'!K21,0))</f>
        <v>2523.5</v>
      </c>
      <c r="K18" s="1292">
        <f>(IF('Section Load'!L21&gt;0,'Section Load'!L21,0))</f>
        <v>940.28000000002794</v>
      </c>
      <c r="L18" s="1292">
        <f>(IF('Section Load'!M21&gt;0,'Section Load'!M21,0))</f>
        <v>775.75</v>
      </c>
      <c r="M18" s="1292">
        <f>(IF('Section Load'!N21&gt;0,'Section Load'!N21,0))</f>
        <v>12</v>
      </c>
      <c r="N18" s="1292">
        <f>(IF('Section Load'!O21&gt;0,'Section Load'!O21,0))</f>
        <v>2</v>
      </c>
      <c r="O18" s="1292">
        <f>(IF('Section Load'!P21&gt;0,'Section Load'!P21,0))</f>
        <v>0.89999999999417923</v>
      </c>
      <c r="P18" s="1292">
        <f>(IF('Section Load'!Q21&gt;0,'Section Load'!Q21,0))</f>
        <v>130.07999999999993</v>
      </c>
      <c r="Q18" s="1292">
        <f>(IF('Section Load'!R21&gt;0,'Section Load'!R21,0))</f>
        <v>58.079999999999927</v>
      </c>
      <c r="R18" s="1292">
        <f>(IF('Section Load'!S21&gt;0,'Section Load'!S21,0))</f>
        <v>48</v>
      </c>
      <c r="S18" s="1292">
        <f>(IF('Section Load'!T21&gt;0,'Section Load'!T21,0))</f>
        <v>103</v>
      </c>
      <c r="T18" s="1292">
        <f>(IF('Section Load'!U21&gt;0,'Section Load'!U21,0))</f>
        <v>133</v>
      </c>
      <c r="U18" s="1292">
        <f>(IF('Section Load'!V21&gt;0,'Section Load'!V21,0))</f>
        <v>334.52000000001863</v>
      </c>
      <c r="V18" s="1292">
        <f>(IF('Section Load'!W21&gt;0,'Section Load'!W21,0))</f>
        <v>143.28000000002794</v>
      </c>
      <c r="W18" s="1292">
        <f>(IF('Section Load'!X21&gt;0,'Section Load'!X21,0))</f>
        <v>13.679999999993015</v>
      </c>
      <c r="X18" s="1292">
        <f>(IF('Section Load'!Y21&gt;0,'Section Load'!Y21,0))</f>
        <v>246.62999999999738</v>
      </c>
      <c r="Y18" s="1292">
        <f>(IF('Section Load'!Z21&gt;0,'Section Load'!Z21,0))</f>
        <v>164</v>
      </c>
      <c r="Z18" s="1292">
        <f>(IF('Section Load'!AA21&gt;0,'Section Load'!AA21,0))</f>
        <v>26.840000000025611</v>
      </c>
      <c r="AA18" s="1292">
        <f>(IF('Section Load'!AB21&gt;0,'Section Load'!AB21,0))</f>
        <v>18.600000000005821</v>
      </c>
      <c r="AB18" s="1292">
        <f>(IF('Section Load'!AC21&gt;0,'Section Load'!AC21,0))</f>
        <v>71.75</v>
      </c>
      <c r="AC18" s="1292">
        <f>(IF('Section Load'!AD21&gt;0,'Section Load'!AD21,0))</f>
        <v>20.20000000000573</v>
      </c>
      <c r="AD18" s="1292">
        <f>(IF('Section Load'!AE21&gt;0,'Section Load'!AE21,0))</f>
        <v>0</v>
      </c>
      <c r="AE18" s="1292">
        <f>(IF('Section Load'!AF21&gt;0,'Section Load'!AF21,0))</f>
        <v>0</v>
      </c>
      <c r="AF18" s="1292">
        <f>(IF('Section Load'!AG21&gt;0,'Section Load'!AG21,0))</f>
        <v>344.57999999998719</v>
      </c>
      <c r="AG18" s="1292">
        <f>(IF('Section Load'!AH21&gt;0,'Section Load'!AH21,0))</f>
        <v>342.29999999998836</v>
      </c>
      <c r="AH18" s="1292">
        <f>(IF('Section Load'!AI21&gt;0,'Section Load'!AI21,0))</f>
        <v>331.43999999999505</v>
      </c>
      <c r="AI18" s="1292">
        <f>(IF('Section Load'!AJ21&gt;0,'Section Load'!AJ21,0))</f>
        <v>426.03999999997905</v>
      </c>
      <c r="AJ18" s="1292">
        <f>(IF('Section Load'!AK21&gt;0,'Section Load'!AK21,0))</f>
        <v>0</v>
      </c>
      <c r="AK18" s="1292">
        <f>(IF('Section Load'!AL21&gt;0,'Section Load'!AL21,0))</f>
        <v>174.15999999998894</v>
      </c>
      <c r="AL18" s="1292">
        <f>(IF('Section Load'!AM21&gt;0,'Section Load'!AM21,0))</f>
        <v>706</v>
      </c>
      <c r="AM18" s="1293">
        <f>(IF('Water Report'!$T$7&gt;0,'Water Report'!$T$7,0))</f>
        <v>57</v>
      </c>
      <c r="AN18" s="1293">
        <f>(IF('Water Report'!$T$8&gt;0,'Water Report'!$T$8,0))</f>
        <v>66</v>
      </c>
      <c r="AO18" s="1293">
        <f>(IF('Water Report'!$T$9&gt;0,'Water Report'!$T$9,0))</f>
        <v>72</v>
      </c>
      <c r="AP18" s="1293">
        <f>(IF('Water Report'!$T$10&gt;0,'Water Report'!$T$10,0))</f>
        <v>10</v>
      </c>
      <c r="AQ18" s="1293">
        <f>(IF('Water Report'!$T$11&gt;0,'Water Report'!$T$11,0))</f>
        <v>22</v>
      </c>
      <c r="AR18" s="1293">
        <f>(IF('Water Report'!$T$13&gt;0,'Water Report'!$T$13,0))</f>
        <v>6</v>
      </c>
      <c r="AS18" s="1293">
        <f>(IF('Water Report'!$T$14&gt;0,'Water Report'!$T$14,0))</f>
        <v>5</v>
      </c>
      <c r="AT18" s="1293">
        <f>(IF('Water Report'!$T$15&gt;0,'Water Report'!$T$15,0))</f>
        <v>6</v>
      </c>
      <c r="AU18" s="1293">
        <f>(IF('Water Report'!$T$17&gt;0,'Water Report'!$T$17,0))</f>
        <v>0</v>
      </c>
      <c r="AV18" s="1293">
        <f>(IF('Water Report'!$T$18&gt;0,'Water Report'!$T$18,0))</f>
        <v>20</v>
      </c>
      <c r="AW18" s="1293">
        <f>(IF('Water Report'!$T$19&gt;0,'Water Report'!$T$19,0))</f>
        <v>0</v>
      </c>
      <c r="AX18" s="1368">
        <f>(IF('Water Report'!$T$21&gt;0,'Water Report'!$T$21,0))</f>
        <v>61</v>
      </c>
      <c r="AY18" s="1368">
        <f>(IF('Water Report'!$T$22&gt;0,'Water Report'!$T$22,0))</f>
        <v>10</v>
      </c>
      <c r="AZ18" s="1368">
        <f>(IF('Water Report'!$T$23&gt;0,'Water Report'!$T$23,0))</f>
        <v>0</v>
      </c>
      <c r="BA18" s="1368">
        <f>(IF('Water Report'!$T$14&gt;0,'Water Report'!$T$14,0))</f>
        <v>5</v>
      </c>
      <c r="BB18" s="1368">
        <f>(IF('Water Report'!$T$15&gt;0,'Water Report'!$T$15,0))</f>
        <v>6</v>
      </c>
      <c r="BC18" s="1368">
        <f>(IF('Water Report'!$T$13&gt;0,'Water Report'!$T$13,0))</f>
        <v>6</v>
      </c>
      <c r="BD18" s="1368">
        <f>(IF('Water Report'!$T$24&gt;0,'Water Report'!$T$24,0))</f>
        <v>122</v>
      </c>
      <c r="BE18" s="1368">
        <f>(IF('Water Report'!$T$25&gt;0,'Water Report'!$T$25,0))</f>
        <v>115</v>
      </c>
      <c r="BF18" s="1368">
        <f>(IF('Water Report'!$T$27&gt;0,'Water Report'!$T$27,0))</f>
        <v>67</v>
      </c>
      <c r="BG18" s="1294">
        <f>(IF('Section Load'!AN21&gt;0,'Section Load'!AN21,0))</f>
        <v>700</v>
      </c>
      <c r="BH18" s="1294">
        <f>(IF('Section Load'!AO21&gt;0,'Section Load'!AO21,0))</f>
        <v>303.17999999993481</v>
      </c>
      <c r="BI18" s="1294">
        <f>(IF('Section Load'!AP21&gt;0,'Section Load'!AP21,0))</f>
        <v>0</v>
      </c>
      <c r="BJ18" s="1294">
        <f>(IF('Section Load'!AQ21&gt;0,'Section Load'!AQ21,0))</f>
        <v>69.5</v>
      </c>
      <c r="BK18" s="1294">
        <f>(IF('Section Load'!AR21&gt;0,'Section Load'!AR21,0))</f>
        <v>30</v>
      </c>
      <c r="BL18" s="1294">
        <f>(IF('Section Load'!AS21&gt;0,'Section Load'!AS21,0))</f>
        <v>0.1000000000003638</v>
      </c>
      <c r="BM18" s="1294">
        <f>(IF('Section Load'!AT21&gt;0,'Section Load'!AT21,0))</f>
        <v>297.22000000006483</v>
      </c>
    </row>
    <row r="19" spans="1:65">
      <c r="A19" s="1276" t="s">
        <v>300</v>
      </c>
      <c r="B19" s="1277">
        <f t="shared" si="0"/>
        <v>18</v>
      </c>
      <c r="C19" s="1277">
        <v>7</v>
      </c>
      <c r="D19" s="1277">
        <v>2021</v>
      </c>
      <c r="E19" s="1292">
        <f>(IF('Section Load'!F22&gt;0,'Section Load'!F22,0))</f>
        <v>2647.5200000000186</v>
      </c>
      <c r="F19" s="1292">
        <f>(IF('Section Load'!G22&gt;0,'Section Load'!G22,0))</f>
        <v>1451.5899999999965</v>
      </c>
      <c r="G19" s="1292">
        <f>(IF('Section Load'!H22&gt;0,'Section Load'!H22,0))</f>
        <v>1375.1300000000338</v>
      </c>
      <c r="H19" s="1292">
        <f>(IF('Section Load'!I22&gt;0,'Section Load'!I22,0))</f>
        <v>3490.4000000000233</v>
      </c>
      <c r="I19" s="1292">
        <f>(IF('Section Load'!J22&gt;0,'Section Load'!J22,0))</f>
        <v>6328.7099999999336</v>
      </c>
      <c r="J19" s="1292">
        <f>(IF('Section Load'!K22&gt;0,'Section Load'!K22,0))</f>
        <v>2756.8999999999069</v>
      </c>
      <c r="K19" s="1292">
        <f>(IF('Section Load'!L22&gt;0,'Section Load'!L22,0))</f>
        <v>968.8399999999674</v>
      </c>
      <c r="L19" s="1292">
        <f>(IF('Section Load'!M22&gt;0,'Section Load'!M22,0))</f>
        <v>615.31999999999971</v>
      </c>
      <c r="M19" s="1292">
        <f>(IF('Section Load'!N22&gt;0,'Section Load'!N22,0))</f>
        <v>12</v>
      </c>
      <c r="N19" s="1292">
        <f>(IF('Section Load'!O22&gt;0,'Section Load'!O22,0))</f>
        <v>0</v>
      </c>
      <c r="O19" s="1292">
        <f>(IF('Section Load'!P22&gt;0,'Section Load'!P22,0))</f>
        <v>0.60000000000582077</v>
      </c>
      <c r="P19" s="1292">
        <f>(IF('Section Load'!Q22&gt;0,'Section Load'!Q22,0))</f>
        <v>142.85000000000036</v>
      </c>
      <c r="Q19" s="1292">
        <f>(IF('Section Load'!R22&gt;0,'Section Load'!R22,0))</f>
        <v>58.680000000000291</v>
      </c>
      <c r="R19" s="1292">
        <f>(IF('Section Load'!S22&gt;0,'Section Load'!S22,0))</f>
        <v>54</v>
      </c>
      <c r="S19" s="1292">
        <f>(IF('Section Load'!T22&gt;0,'Section Load'!T22,0))</f>
        <v>120</v>
      </c>
      <c r="T19" s="1292">
        <f>(IF('Section Load'!U22&gt;0,'Section Load'!U22,0))</f>
        <v>143</v>
      </c>
      <c r="U19" s="1292">
        <f>(IF('Section Load'!V22&gt;0,'Section Load'!V22,0))</f>
        <v>390.31999999994878</v>
      </c>
      <c r="V19" s="1292">
        <f>(IF('Section Load'!W22&gt;0,'Section Load'!W22,0))</f>
        <v>141.7599999998929</v>
      </c>
      <c r="W19" s="1292">
        <f>(IF('Section Load'!X22&gt;0,'Section Load'!X22,0))</f>
        <v>25.270000000004075</v>
      </c>
      <c r="X19" s="1292">
        <f>(IF('Section Load'!Y22&gt;0,'Section Load'!Y22,0))</f>
        <v>154.40000000000146</v>
      </c>
      <c r="Y19" s="1292">
        <f>(IF('Section Load'!Z22&gt;0,'Section Load'!Z22,0))</f>
        <v>200</v>
      </c>
      <c r="Z19" s="1292">
        <f>(IF('Section Load'!AA22&gt;0,'Section Load'!AA22,0))</f>
        <v>21.919999999983702</v>
      </c>
      <c r="AA19" s="1292">
        <f>(IF('Section Load'!AB22&gt;0,'Section Load'!AB22,0))</f>
        <v>28.899999999994179</v>
      </c>
      <c r="AB19" s="1292">
        <f>(IF('Section Load'!AC22&gt;0,'Section Load'!AC22,0))</f>
        <v>94.850000000005821</v>
      </c>
      <c r="AC19" s="1292">
        <f>(IF('Section Load'!AD22&gt;0,'Section Load'!AD22,0))</f>
        <v>32.399999999994179</v>
      </c>
      <c r="AD19" s="1292">
        <f>(IF('Section Load'!AE22&gt;0,'Section Load'!AE22,0))</f>
        <v>0.18000000000029104</v>
      </c>
      <c r="AE19" s="1292">
        <f>(IF('Section Load'!AF22&gt;0,'Section Load'!AF22,0))</f>
        <v>0</v>
      </c>
      <c r="AF19" s="1292">
        <f>(IF('Section Load'!AG22&gt;0,'Section Load'!AG22,0))</f>
        <v>345.02000000001863</v>
      </c>
      <c r="AG19" s="1292">
        <f>(IF('Section Load'!AH22&gt;0,'Section Load'!AH22,0))</f>
        <v>371.55999999999767</v>
      </c>
      <c r="AH19" s="1292">
        <f>(IF('Section Load'!AI22&gt;0,'Section Load'!AI22,0))</f>
        <v>352.84000000000378</v>
      </c>
      <c r="AI19" s="1292">
        <f>(IF('Section Load'!AJ22&gt;0,'Section Load'!AJ22,0))</f>
        <v>476.02000000001863</v>
      </c>
      <c r="AJ19" s="1292">
        <f>(IF('Section Load'!AK22&gt;0,'Section Load'!AK22,0))</f>
        <v>0</v>
      </c>
      <c r="AK19" s="1292">
        <f>(IF('Section Load'!AL22&gt;0,'Section Load'!AL22,0))</f>
        <v>244.95000000001164</v>
      </c>
      <c r="AL19" s="1292">
        <f>(IF('Section Load'!AM22&gt;0,'Section Load'!AM22,0))</f>
        <v>747</v>
      </c>
      <c r="AM19" s="1293">
        <f>(IF('Water Report'!$U$7&gt;0,'Water Report'!$U$7,0))</f>
        <v>51</v>
      </c>
      <c r="AN19" s="1293">
        <f>(IF('Water Report'!$U$8&gt;0,'Water Report'!$U$8,0))</f>
        <v>75</v>
      </c>
      <c r="AO19" s="1293">
        <f>(IF('Water Report'!$U$9&gt;0,'Water Report'!$U$9,0))</f>
        <v>56</v>
      </c>
      <c r="AP19" s="1293">
        <f>(IF('Water Report'!$U$10&gt;0,'Water Report'!$U$10,0))</f>
        <v>14</v>
      </c>
      <c r="AQ19" s="1293">
        <f>(IF('Water Report'!$U$11&gt;0,'Water Report'!$U$11,0))</f>
        <v>28</v>
      </c>
      <c r="AR19" s="1293">
        <f>(IF('Water Report'!$U$13&gt;0,'Water Report'!$U$13,0))</f>
        <v>5</v>
      </c>
      <c r="AS19" s="1293">
        <f>(IF('Water Report'!$U$14&gt;0,'Water Report'!$U$14,0))</f>
        <v>9</v>
      </c>
      <c r="AT19" s="1293">
        <f>(IF('Water Report'!$U$15&gt;0,'Water Report'!$U$15,0))</f>
        <v>8</v>
      </c>
      <c r="AU19" s="1293">
        <f>(IF('Water Report'!$U$17&gt;0,'Water Report'!$U$17,0))</f>
        <v>0</v>
      </c>
      <c r="AV19" s="1293">
        <f>(IF('Water Report'!$U$18&gt;0,'Water Report'!$U$18,0))</f>
        <v>1</v>
      </c>
      <c r="AW19" s="1293">
        <f>(IF('Water Report'!$U$19&gt;0,'Water Report'!$U$19,0))</f>
        <v>2</v>
      </c>
      <c r="AX19" s="1368">
        <f>(IF('Water Report'!$U$21&gt;0,'Water Report'!$U$21,0))</f>
        <v>75</v>
      </c>
      <c r="AY19" s="1368">
        <f>(IF('Water Report'!$U$22&gt;0,'Water Report'!$U$22,0))</f>
        <v>10</v>
      </c>
      <c r="AZ19" s="1368">
        <f>(IF('Water Report'!$U$23&gt;0,'Water Report'!$U$23,0))</f>
        <v>0</v>
      </c>
      <c r="BA19" s="1368">
        <f>(IF('Water Report'!$U$14&gt;0,'Water Report'!$U$14,0))</f>
        <v>9</v>
      </c>
      <c r="BB19" s="1368">
        <f>(IF('Water Report'!$U$15&gt;0,'Water Report'!$U$15,0))</f>
        <v>8</v>
      </c>
      <c r="BC19" s="1368">
        <f>(IF('Water Report'!$U$13&gt;0,'Water Report'!$U$13,0))</f>
        <v>5</v>
      </c>
      <c r="BD19" s="1368">
        <f>(IF('Water Report'!$U$24&gt;0,'Water Report'!$U$24,0))</f>
        <v>145</v>
      </c>
      <c r="BE19" s="1368">
        <f>(IF('Water Report'!$U$25&gt;0,'Water Report'!$U$25,0))</f>
        <v>115</v>
      </c>
      <c r="BF19" s="1368">
        <f>(IF('Water Report'!$U$27&gt;0,'Water Report'!$U$27,0))</f>
        <v>80</v>
      </c>
      <c r="BG19" s="1294">
        <f>(IF('Section Load'!AN22&gt;0,'Section Load'!AN22,0))</f>
        <v>700</v>
      </c>
      <c r="BH19" s="1294">
        <f>(IF('Section Load'!AO22&gt;0,'Section Load'!AO22,0))</f>
        <v>272.86999999999534</v>
      </c>
      <c r="BI19" s="1294">
        <f>(IF('Section Load'!AP22&gt;0,'Section Load'!AP22,0))</f>
        <v>0</v>
      </c>
      <c r="BJ19" s="1294">
        <f>(IF('Section Load'!AQ22&gt;0,'Section Load'!AQ22,0))</f>
        <v>67.799999999988358</v>
      </c>
      <c r="BK19" s="1294">
        <f>(IF('Section Load'!AR22&gt;0,'Section Load'!AR22,0))</f>
        <v>33.899999999997817</v>
      </c>
      <c r="BL19" s="1294">
        <f>(IF('Section Load'!AS22&gt;0,'Section Load'!AS22,0))</f>
        <v>2.3000000000010914</v>
      </c>
      <c r="BM19" s="1294">
        <f>(IF('Section Load'!AT22&gt;0,'Section Load'!AT22,0))</f>
        <v>323.13000000001739</v>
      </c>
    </row>
    <row r="20" spans="1:65">
      <c r="A20" s="1276" t="s">
        <v>300</v>
      </c>
      <c r="B20" s="1277">
        <f t="shared" si="0"/>
        <v>19</v>
      </c>
      <c r="C20" s="1277">
        <v>7</v>
      </c>
      <c r="D20" s="1277">
        <v>2021</v>
      </c>
      <c r="E20" s="1292">
        <f>(IF('Section Load'!F23&gt;0,'Section Load'!F23,0))</f>
        <v>2958.1600000000326</v>
      </c>
      <c r="F20" s="1292">
        <f>(IF('Section Load'!G23&gt;0,'Section Load'!G23,0))</f>
        <v>1546.2600000000093</v>
      </c>
      <c r="G20" s="1292">
        <f>(IF('Section Load'!H23&gt;0,'Section Load'!H23,0))</f>
        <v>1613.0699999999488</v>
      </c>
      <c r="H20" s="1292">
        <f>(IF('Section Load'!I23&gt;0,'Section Load'!I23,0))</f>
        <v>3744.2800000000279</v>
      </c>
      <c r="I20" s="1292">
        <f>(IF('Section Load'!J23&gt;0,'Section Load'!J23,0))</f>
        <v>7021.7100000000355</v>
      </c>
      <c r="J20" s="1292">
        <f>(IF('Section Load'!K23&gt;0,'Section Load'!K23,0))</f>
        <v>2927.67</v>
      </c>
      <c r="K20" s="1292">
        <f>(IF('Section Load'!L23&gt;0,'Section Load'!L23,0))</f>
        <v>1573.2399999999907</v>
      </c>
      <c r="L20" s="1292">
        <f>(IF('Section Load'!M23&gt;0,'Section Load'!M23,0))</f>
        <v>1030.2799999999988</v>
      </c>
      <c r="M20" s="1292">
        <f>(IF('Section Load'!N23&gt;0,'Section Load'!N23,0))</f>
        <v>13</v>
      </c>
      <c r="N20" s="1292">
        <f>(IF('Section Load'!O23&gt;0,'Section Load'!O23,0))</f>
        <v>1</v>
      </c>
      <c r="O20" s="1292">
        <f>(IF('Section Load'!P23&gt;0,'Section Load'!P23,0))</f>
        <v>1.0999999999912689</v>
      </c>
      <c r="P20" s="1292">
        <f>(IF('Section Load'!Q23&gt;0,'Section Load'!Q23,0))</f>
        <v>174.47999999999956</v>
      </c>
      <c r="Q20" s="1292">
        <f>(IF('Section Load'!R23&gt;0,'Section Load'!R23,0))</f>
        <v>66.550000000001091</v>
      </c>
      <c r="R20" s="1292">
        <f>(IF('Section Load'!S23&gt;0,'Section Load'!S23,0))</f>
        <v>43</v>
      </c>
      <c r="S20" s="1292">
        <f>(IF('Section Load'!T23&gt;0,'Section Load'!T23,0))</f>
        <v>121</v>
      </c>
      <c r="T20" s="1292">
        <f>(IF('Section Load'!U23&gt;0,'Section Load'!U23,0))</f>
        <v>147</v>
      </c>
      <c r="U20" s="1292">
        <f>(IF('Section Load'!V23&gt;0,'Section Load'!V23,0))</f>
        <v>404.32000000006519</v>
      </c>
      <c r="V20" s="1292">
        <f>(IF('Section Load'!W23&gt;0,'Section Load'!W23,0))</f>
        <v>184.64000000001397</v>
      </c>
      <c r="W20" s="1292">
        <f>(IF('Section Load'!X23&gt;0,'Section Load'!X23,0))</f>
        <v>18.910000000003492</v>
      </c>
      <c r="X20" s="1292">
        <f>(IF('Section Load'!Y23&gt;0,'Section Load'!Y23,0))</f>
        <v>314.12999999999738</v>
      </c>
      <c r="Y20" s="1292">
        <f>(IF('Section Load'!Z23&gt;0,'Section Load'!Z23,0))</f>
        <v>307</v>
      </c>
      <c r="Z20" s="1292">
        <f>(IF('Section Load'!AA23&gt;0,'Section Load'!AA23,0))</f>
        <v>16.039999999979045</v>
      </c>
      <c r="AA20" s="1292">
        <f>(IF('Section Load'!AB23&gt;0,'Section Load'!AB23,0))</f>
        <v>19.100000000005821</v>
      </c>
      <c r="AB20" s="1292">
        <f>(IF('Section Load'!AC23&gt;0,'Section Load'!AC23,0))</f>
        <v>55.319999999977881</v>
      </c>
      <c r="AC20" s="1292">
        <f>(IF('Section Load'!AD23&gt;0,'Section Load'!AD23,0))</f>
        <v>20.400000000005548</v>
      </c>
      <c r="AD20" s="1292">
        <f>(IF('Section Load'!AE23&gt;0,'Section Load'!AE23,0))</f>
        <v>2.0000000000436557E-2</v>
      </c>
      <c r="AE20" s="1292">
        <f>(IF('Section Load'!AF23&gt;0,'Section Load'!AF23,0))</f>
        <v>0</v>
      </c>
      <c r="AF20" s="1292">
        <f>(IF('Section Load'!AG23&gt;0,'Section Load'!AG23,0))</f>
        <v>343.6699999999837</v>
      </c>
      <c r="AG20" s="1292">
        <f>(IF('Section Load'!AH23&gt;0,'Section Load'!AH23,0))</f>
        <v>422.76000000000931</v>
      </c>
      <c r="AH20" s="1292">
        <f>(IF('Section Load'!AI23&gt;0,'Section Load'!AI23,0))</f>
        <v>421.45999999999913</v>
      </c>
      <c r="AI20" s="1292">
        <f>(IF('Section Load'!AJ23&gt;0,'Section Load'!AJ23,0))</f>
        <v>490.75999999998021</v>
      </c>
      <c r="AJ20" s="1292">
        <f>(IF('Section Load'!AK23&gt;0,'Section Load'!AK23,0))</f>
        <v>0</v>
      </c>
      <c r="AK20" s="1292">
        <f>(IF('Section Load'!AL23&gt;0,'Section Load'!AL23,0))</f>
        <v>279.52999999999884</v>
      </c>
      <c r="AL20" s="1292">
        <f>(IF('Section Load'!AM23&gt;0,'Section Load'!AM23,0))</f>
        <v>791</v>
      </c>
      <c r="AM20" s="1293">
        <f>(IF('Water Report'!$V$7&gt;0,'Water Report'!$V$7,0))</f>
        <v>99</v>
      </c>
      <c r="AN20" s="1293">
        <f>(IF('Water Report'!$V$8&gt;0,'Water Report'!$V$8,0))</f>
        <v>181</v>
      </c>
      <c r="AO20" s="1293">
        <f>(IF('Water Report'!$V$9&gt;0,'Water Report'!$V$9,0))</f>
        <v>75</v>
      </c>
      <c r="AP20" s="1293">
        <f>(IF('Water Report'!$V$10&gt;0,'Water Report'!$V$10,0))</f>
        <v>22</v>
      </c>
      <c r="AQ20" s="1293">
        <f>(IF('Water Report'!$V$11&gt;0,'Water Report'!$V$11,0))</f>
        <v>39</v>
      </c>
      <c r="AR20" s="1293">
        <f>(IF('Water Report'!$V$13&gt;0,'Water Report'!$V$13,0))</f>
        <v>14</v>
      </c>
      <c r="AS20" s="1293">
        <f>(IF('Water Report'!$V$14&gt;0,'Water Report'!$V$14,0))</f>
        <v>15</v>
      </c>
      <c r="AT20" s="1293">
        <f>(IF('Water Report'!$V$15&gt;0,'Water Report'!$V$15,0))</f>
        <v>9</v>
      </c>
      <c r="AU20" s="1293">
        <f>(IF('Water Report'!$V$17&gt;0,'Water Report'!$V$17,0))</f>
        <v>0</v>
      </c>
      <c r="AV20" s="1293">
        <f>(IF('Water Report'!$V$18&gt;0,'Water Report'!$V$18,0))</f>
        <v>15</v>
      </c>
      <c r="AW20" s="1293">
        <f>(IF('Water Report'!$V$19&gt;0,'Water Report'!$V$19,0))</f>
        <v>5</v>
      </c>
      <c r="AX20" s="1368">
        <f>(IF('Water Report'!$V$21&gt;0,'Water Report'!$V$21,0))</f>
        <v>70</v>
      </c>
      <c r="AY20" s="1368">
        <f>(IF('Water Report'!$V$22&gt;0,'Water Report'!$V$22,0))</f>
        <v>20</v>
      </c>
      <c r="AZ20" s="1368">
        <f>(IF('Water Report'!$V$23&gt;0,'Water Report'!$V$23,0))</f>
        <v>0</v>
      </c>
      <c r="BA20" s="1368">
        <f>(IF('Water Report'!$V$14&gt;0,'Water Report'!$V$14,0))</f>
        <v>15</v>
      </c>
      <c r="BB20" s="1368">
        <f>(IF('Water Report'!$V$15&gt;0,'Water Report'!$V$15,0))</f>
        <v>9</v>
      </c>
      <c r="BC20" s="1368">
        <f>(IF('Water Report'!$V$13&gt;0,'Water Report'!$V$13,0))</f>
        <v>14</v>
      </c>
      <c r="BD20" s="1368">
        <f>(IF('Water Report'!$V$24&gt;0,'Water Report'!$V$24,0))</f>
        <v>193</v>
      </c>
      <c r="BE20" s="1368">
        <f>(IF('Water Report'!$V$25&gt;0,'Water Report'!$V$25,0))</f>
        <v>160</v>
      </c>
      <c r="BF20" s="1368">
        <f>(IF('Water Report'!$V$27&gt;0,'Water Report'!$V$27,0))</f>
        <v>84</v>
      </c>
      <c r="BG20" s="1294">
        <f>(IF('Section Load'!AN23&gt;0,'Section Load'!AN23,0))</f>
        <v>700</v>
      </c>
      <c r="BH20" s="1294">
        <f>(IF('Section Load'!AO23&gt;0,'Section Load'!AO23,0))</f>
        <v>287.67000000004191</v>
      </c>
      <c r="BI20" s="1294">
        <f>(IF('Section Load'!AP23&gt;0,'Section Load'!AP23,0))</f>
        <v>0</v>
      </c>
      <c r="BJ20" s="1294">
        <f>(IF('Section Load'!AQ23&gt;0,'Section Load'!AQ23,0))</f>
        <v>91.779999999998836</v>
      </c>
      <c r="BK20" s="1294">
        <f>(IF('Section Load'!AR23&gt;0,'Section Load'!AR23,0))</f>
        <v>40.600000000002183</v>
      </c>
      <c r="BL20" s="1294">
        <f>(IF('Section Load'!AS23&gt;0,'Section Load'!AS23,0))</f>
        <v>2.1999999999989086</v>
      </c>
      <c r="BM20" s="1294">
        <f>(IF('Section Load'!AT23&gt;0,'Section Load'!AT23,0))</f>
        <v>277.74999999995816</v>
      </c>
    </row>
    <row r="21" spans="1:65">
      <c r="A21" s="1276" t="s">
        <v>300</v>
      </c>
      <c r="B21" s="1277">
        <f t="shared" si="0"/>
        <v>20</v>
      </c>
      <c r="C21" s="1277">
        <v>7</v>
      </c>
      <c r="D21" s="1277">
        <v>2021</v>
      </c>
      <c r="E21" s="1292">
        <f>(IF('Section Load'!F24&gt;0,'Section Load'!F24,0))</f>
        <v>2905.5699999999488</v>
      </c>
      <c r="F21" s="1292">
        <f>(IF('Section Load'!G24&gt;0,'Section Load'!G24,0))</f>
        <v>1538.789999999979</v>
      </c>
      <c r="G21" s="1292">
        <f>(IF('Section Load'!H24&gt;0,'Section Load'!H24,0))</f>
        <v>1728.1000000000058</v>
      </c>
      <c r="H21" s="1292">
        <f>(IF('Section Load'!I24&gt;0,'Section Load'!I24,0))</f>
        <v>3610.7199999999721</v>
      </c>
      <c r="I21" s="1292">
        <f>(IF('Section Load'!J24&gt;0,'Section Load'!J24,0))</f>
        <v>7097.9600000000355</v>
      </c>
      <c r="J21" s="1292">
        <f>(IF('Section Load'!K24&gt;0,'Section Load'!K24,0))</f>
        <v>2928.3000000000466</v>
      </c>
      <c r="K21" s="1292">
        <f>(IF('Section Load'!L24&gt;0,'Section Load'!L24,0))</f>
        <v>1836.4000000000233</v>
      </c>
      <c r="L21" s="1292">
        <f>(IF('Section Load'!M24&gt;0,'Section Load'!M24,0))</f>
        <v>1025.4000000000015</v>
      </c>
      <c r="M21" s="1292">
        <f>(IF('Section Load'!N24&gt;0,'Section Load'!N24,0))</f>
        <v>13</v>
      </c>
      <c r="N21" s="1292">
        <f>(IF('Section Load'!O24&gt;0,'Section Load'!O24,0))</f>
        <v>1</v>
      </c>
      <c r="O21" s="1292">
        <f>(IF('Section Load'!P24&gt;0,'Section Load'!P24,0))</f>
        <v>1.6000000000058208</v>
      </c>
      <c r="P21" s="1292">
        <f>(IF('Section Load'!Q24&gt;0,'Section Load'!Q24,0))</f>
        <v>144.35000000000036</v>
      </c>
      <c r="Q21" s="1292">
        <f>(IF('Section Load'!R24&gt;0,'Section Load'!R24,0))</f>
        <v>63.799999999999272</v>
      </c>
      <c r="R21" s="1292">
        <f>(IF('Section Load'!S24&gt;0,'Section Load'!S24,0))</f>
        <v>53</v>
      </c>
      <c r="S21" s="1292">
        <f>(IF('Section Load'!T24&gt;0,'Section Load'!T24,0))</f>
        <v>120</v>
      </c>
      <c r="T21" s="1292">
        <f>(IF('Section Load'!U24&gt;0,'Section Load'!U24,0))</f>
        <v>149</v>
      </c>
      <c r="U21" s="1292">
        <f>(IF('Section Load'!V24&gt;0,'Section Load'!V24,0))</f>
        <v>441.8399999999674</v>
      </c>
      <c r="V21" s="1292">
        <f>(IF('Section Load'!W24&gt;0,'Section Load'!W24,0))</f>
        <v>202.04000000003725</v>
      </c>
      <c r="W21" s="1292">
        <f>(IF('Section Load'!X24&gt;0,'Section Load'!X24,0))</f>
        <v>24.830000000001746</v>
      </c>
      <c r="X21" s="1292">
        <f>(IF('Section Load'!Y24&gt;0,'Section Load'!Y24,0))</f>
        <v>194.25</v>
      </c>
      <c r="Y21" s="1292">
        <f>(IF('Section Load'!Z24&gt;0,'Section Load'!Z24,0))</f>
        <v>259</v>
      </c>
      <c r="Z21" s="1292">
        <f>(IF('Section Load'!AA24&gt;0,'Section Load'!AA24,0))</f>
        <v>15.760000000009313</v>
      </c>
      <c r="AA21" s="1292">
        <f>(IF('Section Load'!AB24&gt;0,'Section Load'!AB24,0))</f>
        <v>10.899999999994179</v>
      </c>
      <c r="AB21" s="1292">
        <f>(IF('Section Load'!AC24&gt;0,'Section Load'!AC24,0))</f>
        <v>32.170000000012806</v>
      </c>
      <c r="AC21" s="1292">
        <f>(IF('Section Load'!AD24&gt;0,'Section Load'!AD24,0))</f>
        <v>13.29999999999427</v>
      </c>
      <c r="AD21" s="1292">
        <f>(IF('Section Load'!AE24&gt;0,'Section Load'!AE24,0))</f>
        <v>0</v>
      </c>
      <c r="AE21" s="1292">
        <f>(IF('Section Load'!AF24&gt;0,'Section Load'!AF24,0))</f>
        <v>0</v>
      </c>
      <c r="AF21" s="1292">
        <f>(IF('Section Load'!AG24&gt;0,'Section Load'!AG24,0))</f>
        <v>346.64999999999418</v>
      </c>
      <c r="AG21" s="1292">
        <f>(IF('Section Load'!AH24&gt;0,'Section Load'!AH24,0))</f>
        <v>377.97000000000116</v>
      </c>
      <c r="AH21" s="1292">
        <f>(IF('Section Load'!AI24&gt;0,'Section Load'!AI24,0))</f>
        <v>394.52999999999884</v>
      </c>
      <c r="AI21" s="1292">
        <f>(IF('Section Load'!AJ24&gt;0,'Section Load'!AJ24,0))</f>
        <v>459.70000000001164</v>
      </c>
      <c r="AJ21" s="1292">
        <f>(IF('Section Load'!AK24&gt;0,'Section Load'!AK24,0))</f>
        <v>0</v>
      </c>
      <c r="AK21" s="1292">
        <f>(IF('Section Load'!AL24&gt;0,'Section Load'!AL24,0))</f>
        <v>257.59999999999127</v>
      </c>
      <c r="AL21" s="1292">
        <f>(IF('Section Load'!AM24&gt;0,'Section Load'!AM24,0))</f>
        <v>866</v>
      </c>
      <c r="AM21" s="1293">
        <f>(IF('Water Report'!$W$7&gt;0,'Water Report'!$W$7,0))</f>
        <v>147</v>
      </c>
      <c r="AN21" s="1293">
        <f>(IF('Water Report'!$W$8&gt;0,'Water Report'!$W$8,0))</f>
        <v>208</v>
      </c>
      <c r="AO21" s="1293">
        <f>(IF('Water Report'!$W$9&gt;0,'Water Report'!$W$9,0))</f>
        <v>82</v>
      </c>
      <c r="AP21" s="1293">
        <f>(IF('Water Report'!$W$10&gt;0,'Water Report'!$W$10,0))</f>
        <v>42</v>
      </c>
      <c r="AQ21" s="1293">
        <f>(IF('Water Report'!$W$11&gt;0,'Water Report'!$W$11,0))</f>
        <v>42</v>
      </c>
      <c r="AR21" s="1293">
        <f>(IF('Water Report'!$W$13&gt;0,'Water Report'!$W$13,0))</f>
        <v>43</v>
      </c>
      <c r="AS21" s="1293">
        <f>(IF('Water Report'!$W$14&gt;0,'Water Report'!$W$14,0))</f>
        <v>36</v>
      </c>
      <c r="AT21" s="1293">
        <f>(IF('Water Report'!$W$15&gt;0,'Water Report'!$W$15,0))</f>
        <v>11</v>
      </c>
      <c r="AU21" s="1293">
        <f>(IF('Water Report'!$W$17&gt;0,'Water Report'!$W$17,0))</f>
        <v>0</v>
      </c>
      <c r="AV21" s="1293">
        <f>(IF('Water Report'!$W$18&gt;0,'Water Report'!$W$18,0))</f>
        <v>8</v>
      </c>
      <c r="AW21" s="1293">
        <f>(IF('Water Report'!$W$19&gt;0,'Water Report'!$W$19,0))</f>
        <v>5</v>
      </c>
      <c r="AX21" s="1368">
        <f>(IF('Water Report'!$W$21&gt;0,'Water Report'!$W$21,0))</f>
        <v>76</v>
      </c>
      <c r="AY21" s="1368">
        <f>(IF('Water Report'!$W$22&gt;0,'Water Report'!$W$22,0))</f>
        <v>15</v>
      </c>
      <c r="AZ21" s="1368">
        <f>(IF('Water Report'!$W$23&gt;0,'Water Report'!$W$23,0))</f>
        <v>0</v>
      </c>
      <c r="BA21" s="1368">
        <f>(IF('Water Report'!$W$14&gt;0,'Water Report'!$W$14,0))</f>
        <v>36</v>
      </c>
      <c r="BB21" s="1368">
        <f>(IF('Water Report'!$W$15&gt;0,'Water Report'!$W$15,0))</f>
        <v>11</v>
      </c>
      <c r="BC21" s="1368">
        <f>(IF('Water Report'!$W$13&gt;0,'Water Report'!$W$13,0))</f>
        <v>43</v>
      </c>
      <c r="BD21" s="1368">
        <f>(IF('Water Report'!$W$24&gt;0,'Water Report'!$W$24,0))</f>
        <v>261</v>
      </c>
      <c r="BE21" s="1368">
        <f>(IF('Water Report'!$W$25&gt;0,'Water Report'!$W$25,0))</f>
        <v>213</v>
      </c>
      <c r="BF21" s="1368">
        <f>(IF('Water Report'!$W$27&gt;0,'Water Report'!$W$27,0))</f>
        <v>119</v>
      </c>
      <c r="BG21" s="1294">
        <f>(IF('Section Load'!AN24&gt;0,'Section Load'!AN24,0))</f>
        <v>700</v>
      </c>
      <c r="BH21" s="1294">
        <f>(IF('Section Load'!AO24&gt;0,'Section Load'!AO24,0))</f>
        <v>312.82999999995809</v>
      </c>
      <c r="BI21" s="1294">
        <f>(IF('Section Load'!AP24&gt;0,'Section Load'!AP24,0))</f>
        <v>0</v>
      </c>
      <c r="BJ21" s="1294">
        <f>(IF('Section Load'!AQ24&gt;0,'Section Load'!AQ24,0))</f>
        <v>80.39000000001397</v>
      </c>
      <c r="BK21" s="1294">
        <f>(IF('Section Load'!AR24&gt;0,'Section Load'!AR24,0))</f>
        <v>52.700000000000728</v>
      </c>
      <c r="BL21" s="1294">
        <f>(IF('Section Load'!AS24&gt;0,'Section Load'!AS24,0))</f>
        <v>1.6000000000003638</v>
      </c>
      <c r="BM21" s="1294">
        <f>(IF('Section Load'!AT24&gt;0,'Section Load'!AT24,0))</f>
        <v>252.48000000002685</v>
      </c>
    </row>
    <row r="22" spans="1:65">
      <c r="A22" s="1276" t="s">
        <v>300</v>
      </c>
      <c r="B22" s="1277">
        <f t="shared" si="0"/>
        <v>21</v>
      </c>
      <c r="C22" s="1277">
        <v>7</v>
      </c>
      <c r="D22" s="1277">
        <v>2021</v>
      </c>
      <c r="E22" s="1292">
        <f>(IF('Section Load'!F25&gt;0,'Section Load'!F25,0))</f>
        <v>2750.5</v>
      </c>
      <c r="F22" s="1292">
        <f>(IF('Section Load'!G25&gt;0,'Section Load'!G25,0))</f>
        <v>1488.1700000000128</v>
      </c>
      <c r="G22" s="1292">
        <f>(IF('Section Load'!H25&gt;0,'Section Load'!H25,0))</f>
        <v>1628.320000000007</v>
      </c>
      <c r="H22" s="1292">
        <f>(IF('Section Load'!I25&gt;0,'Section Load'!I25,0))</f>
        <v>3562.5200000000186</v>
      </c>
      <c r="I22" s="1292">
        <f>(IF('Section Load'!J25&gt;0,'Section Load'!J25,0))</f>
        <v>6708.1100000000006</v>
      </c>
      <c r="J22" s="1292">
        <f>(IF('Section Load'!K25&gt;0,'Section Load'!K25,0))</f>
        <v>2871.6999999999534</v>
      </c>
      <c r="K22" s="1292">
        <f>(IF('Section Load'!L25&gt;0,'Section Load'!L25,0))</f>
        <v>1491.1999999999534</v>
      </c>
      <c r="L22" s="1292">
        <f>(IF('Section Load'!M25&gt;0,'Section Load'!M25,0))</f>
        <v>741.27999999999884</v>
      </c>
      <c r="M22" s="1292">
        <f>(IF('Section Load'!N25&gt;0,'Section Load'!N25,0))</f>
        <v>13</v>
      </c>
      <c r="N22" s="1292">
        <f>(IF('Section Load'!O25&gt;0,'Section Load'!O25,0))</f>
        <v>1</v>
      </c>
      <c r="O22" s="1292">
        <f>(IF('Section Load'!P25&gt;0,'Section Load'!P25,0))</f>
        <v>1</v>
      </c>
      <c r="P22" s="1292">
        <f>(IF('Section Load'!Q25&gt;0,'Section Load'!Q25,0))</f>
        <v>138.1299999999992</v>
      </c>
      <c r="Q22" s="1292">
        <f>(IF('Section Load'!R25&gt;0,'Section Load'!R25,0))</f>
        <v>67.700000000000728</v>
      </c>
      <c r="R22" s="1292">
        <f>(IF('Section Load'!S25&gt;0,'Section Load'!S25,0))</f>
        <v>50</v>
      </c>
      <c r="S22" s="1292">
        <f>(IF('Section Load'!T25&gt;0,'Section Load'!T25,0))</f>
        <v>70</v>
      </c>
      <c r="T22" s="1292">
        <f>(IF('Section Load'!U25&gt;0,'Section Load'!U25,0))</f>
        <v>144</v>
      </c>
      <c r="U22" s="1292">
        <f>(IF('Section Load'!V25&gt;0,'Section Load'!V25,0))</f>
        <v>370</v>
      </c>
      <c r="V22" s="1292">
        <f>(IF('Section Load'!W25&gt;0,'Section Load'!W25,0))</f>
        <v>184</v>
      </c>
      <c r="W22" s="1292">
        <f>(IF('Section Load'!X25&gt;0,'Section Load'!X25,0))</f>
        <v>12.649999999994179</v>
      </c>
      <c r="X22" s="1292">
        <f>(IF('Section Load'!Y25&gt;0,'Section Load'!Y25,0))</f>
        <v>242.69000000000233</v>
      </c>
      <c r="Y22" s="1292">
        <f>(IF('Section Load'!Z25&gt;0,'Section Load'!Z25,0))</f>
        <v>368</v>
      </c>
      <c r="Z22" s="1292">
        <f>(IF('Section Load'!AA25&gt;0,'Section Load'!AA25,0))</f>
        <v>16</v>
      </c>
      <c r="AA22" s="1292">
        <f>(IF('Section Load'!AB25&gt;0,'Section Load'!AB25,0))</f>
        <v>30.80000000000291</v>
      </c>
      <c r="AB22" s="1292">
        <f>(IF('Section Load'!AC25&gt;0,'Section Load'!AC25,0))</f>
        <v>84</v>
      </c>
      <c r="AC22" s="1292">
        <f>(IF('Section Load'!AD25&gt;0,'Section Load'!AD25,0))</f>
        <v>38.200000000003001</v>
      </c>
      <c r="AD22" s="1292">
        <f>(IF('Section Load'!AE25&gt;0,'Section Load'!AE25,0))</f>
        <v>0</v>
      </c>
      <c r="AE22" s="1292">
        <f>(IF('Section Load'!AF25&gt;0,'Section Load'!AF25,0))</f>
        <v>0</v>
      </c>
      <c r="AF22" s="1292">
        <f>(IF('Section Load'!AG25&gt;0,'Section Load'!AG25,0))</f>
        <v>390.48000000001048</v>
      </c>
      <c r="AG22" s="1292">
        <f>(IF('Section Load'!AH25&gt;0,'Section Load'!AH25,0))</f>
        <v>312.89999999999418</v>
      </c>
      <c r="AH22" s="1292">
        <f>(IF('Section Load'!AI25&gt;0,'Section Load'!AI25,0))</f>
        <v>401.65000000000146</v>
      </c>
      <c r="AI22" s="1292">
        <f>(IF('Section Load'!AJ25&gt;0,'Section Load'!AJ25,0))</f>
        <v>471.08999999999651</v>
      </c>
      <c r="AJ22" s="1292">
        <f>(IF('Section Load'!AK25&gt;0,'Section Load'!AK25,0))</f>
        <v>0</v>
      </c>
      <c r="AK22" s="1292">
        <f>(IF('Section Load'!AL25&gt;0,'Section Load'!AL25,0))</f>
        <v>235.32000000000698</v>
      </c>
      <c r="AL22" s="1292">
        <f>(IF('Section Load'!AM25&gt;0,'Section Load'!AM25,0))</f>
        <v>777</v>
      </c>
      <c r="AM22" s="1293">
        <f>(IF('Water Report'!$X$7&gt;0,'Water Report'!$X$7,0))</f>
        <v>100</v>
      </c>
      <c r="AN22" s="1293">
        <f>(IF('Water Report'!$X$8&gt;0,'Water Report'!$X$8,0))</f>
        <v>203</v>
      </c>
      <c r="AO22" s="1293">
        <f>(IF('Water Report'!$X$9&gt;0,'Water Report'!$X$9,0))</f>
        <v>70</v>
      </c>
      <c r="AP22" s="1293">
        <f>(IF('Water Report'!$X$10&gt;0,'Water Report'!$X$10,0))</f>
        <v>23</v>
      </c>
      <c r="AQ22" s="1293">
        <f>(IF('Water Report'!$X$11&gt;0,'Water Report'!$X$11,0))</f>
        <v>25</v>
      </c>
      <c r="AR22" s="1293">
        <f>(IF('Water Report'!$X$13&gt;0,'Water Report'!$X$13,0))</f>
        <v>11</v>
      </c>
      <c r="AS22" s="1293">
        <f>(IF('Water Report'!$X$14&gt;0,'Water Report'!$X$14,0))</f>
        <v>28</v>
      </c>
      <c r="AT22" s="1293">
        <f>(IF('Water Report'!$X$15&gt;0,'Water Report'!$X$15,0))</f>
        <v>12</v>
      </c>
      <c r="AU22" s="1293">
        <f>(IF('Water Report'!$X$17&gt;0,'Water Report'!$X$17,0))</f>
        <v>0</v>
      </c>
      <c r="AV22" s="1293">
        <f>(IF('Water Report'!$X$18&gt;0,'Water Report'!$X$18,0))</f>
        <v>12</v>
      </c>
      <c r="AW22" s="1293">
        <f>(IF('Water Report'!$X$19&gt;0,'Water Report'!$X$19,0))</f>
        <v>7</v>
      </c>
      <c r="AX22" s="1368">
        <f>(IF('Water Report'!$X$21&gt;0,'Water Report'!$X$21,0))</f>
        <v>114</v>
      </c>
      <c r="AY22" s="1368">
        <f>(IF('Water Report'!$X$22&gt;0,'Water Report'!$X$22,0))</f>
        <v>31</v>
      </c>
      <c r="AZ22" s="1368">
        <f>(IF('Water Report'!$X$23&gt;0,'Water Report'!$X$23,0))</f>
        <v>0</v>
      </c>
      <c r="BA22" s="1368">
        <f>(IF('Water Report'!$X$14&gt;0,'Water Report'!$X$14,0))</f>
        <v>28</v>
      </c>
      <c r="BB22" s="1368">
        <f>(IF('Water Report'!$X$15&gt;0,'Water Report'!$X$15,0))</f>
        <v>12</v>
      </c>
      <c r="BC22" s="1368">
        <f>(IF('Water Report'!$X$13&gt;0,'Water Report'!$X$13,0))</f>
        <v>11</v>
      </c>
      <c r="BD22" s="1368">
        <f>(IF('Water Report'!$X$24&gt;0,'Water Report'!$X$24,0))</f>
        <v>201</v>
      </c>
      <c r="BE22" s="1368">
        <f>(IF('Water Report'!$X$25&gt;0,'Water Report'!$X$25,0))</f>
        <v>158</v>
      </c>
      <c r="BF22" s="1368">
        <f>(IF('Water Report'!$X$27&gt;0,'Water Report'!$X$27,0))</f>
        <v>125</v>
      </c>
      <c r="BG22" s="1294">
        <f>(IF('Section Load'!AN25&gt;0,'Section Load'!AN25,0))</f>
        <v>700</v>
      </c>
      <c r="BH22" s="1294">
        <f>(IF('Section Load'!AO25&gt;0,'Section Load'!AO25,0))</f>
        <v>270.79000000003725</v>
      </c>
      <c r="BI22" s="1294">
        <f>(IF('Section Load'!AP25&gt;0,'Section Load'!AP25,0))</f>
        <v>0</v>
      </c>
      <c r="BJ22" s="1294">
        <f>(IF('Section Load'!AQ25&gt;0,'Section Load'!AQ25,0))</f>
        <v>71.100000000005821</v>
      </c>
      <c r="BK22" s="1294">
        <f>(IF('Section Load'!AR25&gt;0,'Section Load'!AR25,0))</f>
        <v>38.599999999998545</v>
      </c>
      <c r="BL22" s="1294">
        <f>(IF('Section Load'!AS25&gt;0,'Section Load'!AS25,0))</f>
        <v>0.6000000000003638</v>
      </c>
      <c r="BM22" s="1294">
        <f>(IF('Section Load'!AT25&gt;0,'Section Load'!AT25,0))</f>
        <v>318.90999999995802</v>
      </c>
    </row>
    <row r="23" spans="1:65">
      <c r="A23" s="1276" t="s">
        <v>300</v>
      </c>
      <c r="B23" s="1277">
        <f t="shared" si="0"/>
        <v>22</v>
      </c>
      <c r="C23" s="1277">
        <v>7</v>
      </c>
      <c r="D23" s="1277">
        <v>2021</v>
      </c>
      <c r="E23" s="1292">
        <f>(IF('Section Load'!F26&gt;0,'Section Load'!F26,0))</f>
        <v>2900.9000000000233</v>
      </c>
      <c r="F23" s="1292">
        <f>(IF('Section Load'!G26&gt;0,'Section Load'!G26,0))</f>
        <v>1479.0299999999988</v>
      </c>
      <c r="G23" s="1292">
        <f>(IF('Section Load'!H26&gt;0,'Section Load'!H26,0))</f>
        <v>1578</v>
      </c>
      <c r="H23" s="1292">
        <f>(IF('Section Load'!I26&gt;0,'Section Load'!I26,0))</f>
        <v>3410</v>
      </c>
      <c r="I23" s="1292">
        <f>(IF('Section Load'!J26&gt;0,'Section Load'!J26,0))</f>
        <v>6088.5700000000506</v>
      </c>
      <c r="J23" s="1292">
        <f>(IF('Section Load'!K26&gt;0,'Section Load'!K26,0))</f>
        <v>2901.7000000001863</v>
      </c>
      <c r="K23" s="1292">
        <f>(IF('Section Load'!L26&gt;0,'Section Load'!L26,0))</f>
        <v>1064.1600000000326</v>
      </c>
      <c r="L23" s="1292">
        <f>(IF('Section Load'!M26&gt;0,'Section Load'!M26,0))</f>
        <v>741.52000000000044</v>
      </c>
      <c r="M23" s="1292">
        <f>(IF('Section Load'!N26&gt;0,'Section Load'!N26,0))</f>
        <v>13</v>
      </c>
      <c r="N23" s="1292">
        <f>(IF('Section Load'!O26&gt;0,'Section Load'!O26,0))</f>
        <v>1</v>
      </c>
      <c r="O23" s="1292">
        <f>(IF('Section Load'!P26&gt;0,'Section Load'!P26,0))</f>
        <v>1</v>
      </c>
      <c r="P23" s="1292">
        <f>(IF('Section Load'!Q26&gt;0,'Section Load'!Q26,0))</f>
        <v>133.92000000000007</v>
      </c>
      <c r="Q23" s="1292">
        <f>(IF('Section Load'!R26&gt;0,'Section Load'!R26,0))</f>
        <v>71.059999999999491</v>
      </c>
      <c r="R23" s="1292">
        <f>(IF('Section Load'!S26&gt;0,'Section Load'!S26,0))</f>
        <v>48</v>
      </c>
      <c r="S23" s="1292">
        <f>(IF('Section Load'!T26&gt;0,'Section Load'!T26,0))</f>
        <v>50</v>
      </c>
      <c r="T23" s="1292">
        <f>(IF('Section Load'!U26&gt;0,'Section Load'!U26,0))</f>
        <v>149</v>
      </c>
      <c r="U23" s="1292">
        <f>(IF('Section Load'!V26&gt;0,'Section Load'!V26,0))</f>
        <v>341</v>
      </c>
      <c r="V23" s="1292">
        <f>(IF('Section Load'!W26&gt;0,'Section Load'!W26,0))</f>
        <v>204</v>
      </c>
      <c r="W23" s="1292">
        <f>(IF('Section Load'!X26&gt;0,'Section Load'!X26,0))</f>
        <v>24</v>
      </c>
      <c r="X23" s="1292">
        <f>(IF('Section Load'!Y26&gt;0,'Section Load'!Y26,0))</f>
        <v>92.169999999998254</v>
      </c>
      <c r="Y23" s="1292">
        <f>(IF('Section Load'!Z26&gt;0,'Section Load'!Z26,0))</f>
        <v>335</v>
      </c>
      <c r="Z23" s="1292">
        <f>(IF('Section Load'!AA26&gt;0,'Section Load'!AA26,0))</f>
        <v>17.159999999974389</v>
      </c>
      <c r="AA23" s="1292">
        <f>(IF('Section Load'!AB26&gt;0,'Section Load'!AB26,0))</f>
        <v>31.600000000005821</v>
      </c>
      <c r="AB23" s="1292">
        <f>(IF('Section Load'!AC26&gt;0,'Section Load'!AC26,0))</f>
        <v>120</v>
      </c>
      <c r="AC23" s="1292">
        <f>(IF('Section Load'!AD26&gt;0,'Section Load'!AD26,0))</f>
        <v>43.900000000005548</v>
      </c>
      <c r="AD23" s="1292">
        <f>(IF('Section Load'!AE26&gt;0,'Section Load'!AE26,0))</f>
        <v>0</v>
      </c>
      <c r="AE23" s="1292">
        <f>(IF('Section Load'!AF26&gt;0,'Section Load'!AF26,0))</f>
        <v>0</v>
      </c>
      <c r="AF23" s="1292">
        <f>(IF('Section Load'!AG26&gt;0,'Section Load'!AG26,0))</f>
        <v>384.51000000000931</v>
      </c>
      <c r="AG23" s="1292">
        <f>(IF('Section Load'!AH26&gt;0,'Section Load'!AH26,0))</f>
        <v>261.02999999999884</v>
      </c>
      <c r="AH23" s="1292">
        <f>(IF('Section Load'!AI26&gt;0,'Section Load'!AI26,0))</f>
        <v>392.37999999999738</v>
      </c>
      <c r="AI23" s="1292">
        <f>(IF('Section Load'!AJ26&gt;0,'Section Load'!AJ26,0))</f>
        <v>434</v>
      </c>
      <c r="AJ23" s="1292">
        <f>(IF('Section Load'!AK26&gt;0,'Section Load'!AK26,0))</f>
        <v>0</v>
      </c>
      <c r="AK23" s="1292">
        <f>(IF('Section Load'!AL26&gt;0,'Section Load'!AL26,0))</f>
        <v>251.11999999999534</v>
      </c>
      <c r="AL23" s="1292">
        <f>(IF('Section Load'!AM26&gt;0,'Section Load'!AM26,0))</f>
        <v>819</v>
      </c>
      <c r="AM23" s="1293">
        <f>(IF('Water Report'!$Y$7&gt;0,'Water Report'!$Y$7,0))</f>
        <v>63</v>
      </c>
      <c r="AN23" s="1293">
        <f>(IF('Water Report'!$Y$8&gt;0,'Water Report'!$Y$8,0))</f>
        <v>177</v>
      </c>
      <c r="AO23" s="1293">
        <f>(IF('Water Report'!$Y$9&gt;0,'Water Report'!$Y$9,0))</f>
        <v>58</v>
      </c>
      <c r="AP23" s="1293">
        <f>(IF('Water Report'!$Y$10&gt;0,'Water Report'!$Y$10,0))</f>
        <v>17</v>
      </c>
      <c r="AQ23" s="1293">
        <f>(IF('Water Report'!$Y$11&gt;0,'Water Report'!$Y$11,0))</f>
        <v>21</v>
      </c>
      <c r="AR23" s="1293">
        <f>(IF('Water Report'!$Y$13&gt;0,'Water Report'!$Y$13,0))</f>
        <v>46</v>
      </c>
      <c r="AS23" s="1293">
        <f>(IF('Water Report'!$Y$14&gt;0,'Water Report'!$Y$14,0))</f>
        <v>28</v>
      </c>
      <c r="AT23" s="1293">
        <f>(IF('Water Report'!$Y$15&gt;0,'Water Report'!$Y$15,0))</f>
        <v>6</v>
      </c>
      <c r="AU23" s="1293">
        <f>(IF('Water Report'!$Y$17&gt;0,'Water Report'!$Y$17,0))</f>
        <v>0</v>
      </c>
      <c r="AV23" s="1293">
        <f>(IF('Water Report'!$Y$18&gt;0,'Water Report'!$Y$18,0))</f>
        <v>0</v>
      </c>
      <c r="AW23" s="1293">
        <f>(IF('Water Report'!$Y$19&gt;0,'Water Report'!$Y$19,0))</f>
        <v>3</v>
      </c>
      <c r="AX23" s="1368">
        <f>(IF('Water Report'!$Y$21&gt;0,'Water Report'!$Y$21,0))</f>
        <v>163</v>
      </c>
      <c r="AY23" s="1368">
        <f>(IF('Water Report'!$Y$22&gt;0,'Water Report'!$Y$22,0))</f>
        <v>37</v>
      </c>
      <c r="AZ23" s="1368">
        <f>(IF('Water Report'!$Y$23&gt;0,'Water Report'!$Y$23,0))</f>
        <v>0</v>
      </c>
      <c r="BA23" s="1368">
        <f>(IF('Water Report'!$Y$14&gt;0,'Water Report'!$Y$14,0))</f>
        <v>28</v>
      </c>
      <c r="BB23" s="1368">
        <f>(IF('Water Report'!$Y$15&gt;0,'Water Report'!$Y$15,0))</f>
        <v>6</v>
      </c>
      <c r="BC23" s="1368">
        <f>(IF('Water Report'!$Y$13&gt;0,'Water Report'!$Y$13,0))</f>
        <v>46</v>
      </c>
      <c r="BD23" s="1368">
        <f>(IF('Water Report'!$Y$24&gt;0,'Water Report'!$Y$24,0))</f>
        <v>152</v>
      </c>
      <c r="BE23" s="1368">
        <f>(IF('Water Report'!$Y$25&gt;0,'Water Report'!$Y$25,0))</f>
        <v>130</v>
      </c>
      <c r="BF23" s="1368">
        <f>(IF('Water Report'!$Y$27&gt;0,'Water Report'!$Y$27,0))</f>
        <v>209</v>
      </c>
      <c r="BG23" s="1294">
        <f>(IF('Section Load'!AN26&gt;0,'Section Load'!AN26,0))</f>
        <v>700</v>
      </c>
      <c r="BH23" s="1294">
        <f>(IF('Section Load'!AO26&gt;0,'Section Load'!AO26,0))</f>
        <v>264.77000000001863</v>
      </c>
      <c r="BI23" s="1294">
        <f>(IF('Section Load'!AP26&gt;0,'Section Load'!AP26,0))</f>
        <v>0</v>
      </c>
      <c r="BJ23" s="1294">
        <f>(IF('Section Load'!AQ26&gt;0,'Section Load'!AQ26,0))</f>
        <v>76.85999999998603</v>
      </c>
      <c r="BK23" s="1294">
        <f>(IF('Section Load'!AR26&gt;0,'Section Load'!AR26,0))</f>
        <v>34.700000000000728</v>
      </c>
      <c r="BL23" s="1294">
        <f>(IF('Section Load'!AS26&gt;0,'Section Load'!AS26,0))</f>
        <v>1.5</v>
      </c>
      <c r="BM23" s="1294">
        <f>(IF('Section Load'!AT26&gt;0,'Section Load'!AT26,0))</f>
        <v>322.16999999999462</v>
      </c>
    </row>
    <row r="24" spans="1:65">
      <c r="A24" s="1276" t="s">
        <v>300</v>
      </c>
      <c r="B24" s="1277">
        <f t="shared" si="0"/>
        <v>23</v>
      </c>
      <c r="C24" s="1277">
        <v>7</v>
      </c>
      <c r="D24" s="1277">
        <v>2021</v>
      </c>
      <c r="E24" s="1292">
        <f>(IF('Section Load'!F27&gt;0,'Section Load'!F27,0))</f>
        <v>2677.4899999999907</v>
      </c>
      <c r="F24" s="1292">
        <f>(IF('Section Load'!G27&gt;0,'Section Load'!G27,0))</f>
        <v>1414.3399999999965</v>
      </c>
      <c r="G24" s="1292">
        <f>(IF('Section Load'!H27&gt;0,'Section Load'!H27,0))</f>
        <v>1354.2200000000012</v>
      </c>
      <c r="H24" s="1292">
        <f>(IF('Section Load'!I27&gt;0,'Section Load'!I27,0))</f>
        <v>3432.960000000021</v>
      </c>
      <c r="I24" s="1292">
        <f>(IF('Section Load'!J27&gt;0,'Section Load'!J27,0))</f>
        <v>5831.9499999999389</v>
      </c>
      <c r="J24" s="1292">
        <f>(IF('Section Load'!K27&gt;0,'Section Load'!K27,0))</f>
        <v>2742.5999999998603</v>
      </c>
      <c r="K24" s="1292">
        <f>(IF('Section Load'!L27&gt;0,'Section Load'!L27,0))</f>
        <v>989.40000000002328</v>
      </c>
      <c r="L24" s="1292">
        <f>(IF('Section Load'!M27&gt;0,'Section Load'!M27,0))</f>
        <v>662.30999999999949</v>
      </c>
      <c r="M24" s="1292">
        <f>(IF('Section Load'!N27&gt;0,'Section Load'!N27,0))</f>
        <v>13</v>
      </c>
      <c r="N24" s="1292">
        <f>(IF('Section Load'!O27&gt;0,'Section Load'!O27,0))</f>
        <v>2</v>
      </c>
      <c r="O24" s="1292">
        <f>(IF('Section Load'!P27&gt;0,'Section Load'!P27,0))</f>
        <v>1</v>
      </c>
      <c r="P24" s="1292">
        <f>(IF('Section Load'!Q27&gt;0,'Section Load'!Q27,0))</f>
        <v>155</v>
      </c>
      <c r="Q24" s="1292">
        <f>(IF('Section Load'!R27&gt;0,'Section Load'!R27,0))</f>
        <v>68.200000000000728</v>
      </c>
      <c r="R24" s="1292">
        <f>(IF('Section Load'!S27&gt;0,'Section Load'!S27,0))</f>
        <v>51</v>
      </c>
      <c r="S24" s="1292">
        <f>(IF('Section Load'!T27&gt;0,'Section Load'!T27,0))</f>
        <v>66</v>
      </c>
      <c r="T24" s="1292">
        <f>(IF('Section Load'!U27&gt;0,'Section Load'!U27,0))</f>
        <v>151</v>
      </c>
      <c r="U24" s="1292">
        <f>(IF('Section Load'!V27&gt;0,'Section Load'!V27,0))</f>
        <v>391.31999999994878</v>
      </c>
      <c r="V24" s="1292">
        <f>(IF('Section Load'!W27&gt;0,'Section Load'!W27,0))</f>
        <v>175.64000000001397</v>
      </c>
      <c r="W24" s="1292">
        <f>(IF('Section Load'!X27&gt;0,'Section Load'!X27,0))</f>
        <v>12.720000000001164</v>
      </c>
      <c r="X24" s="1292">
        <f>(IF('Section Load'!Y27&gt;0,'Section Load'!Y27,0))</f>
        <v>82.040000000000873</v>
      </c>
      <c r="Y24" s="1292">
        <f>(IF('Section Load'!Z27&gt;0,'Section Load'!Z27,0))</f>
        <v>138</v>
      </c>
      <c r="Z24" s="1292">
        <f>(IF('Section Load'!AA27&gt;0,'Section Load'!AA27,0))</f>
        <v>25.480000000039581</v>
      </c>
      <c r="AA24" s="1292">
        <f>(IF('Section Load'!AB27&gt;0,'Section Load'!AB27,0))</f>
        <v>32.899999999994179</v>
      </c>
      <c r="AB24" s="1292">
        <f>(IF('Section Load'!AC27&gt;0,'Section Load'!AC27,0))</f>
        <v>81</v>
      </c>
      <c r="AC24" s="1292">
        <f>(IF('Section Load'!AD27&gt;0,'Section Load'!AD27,0))</f>
        <v>49.199999999993906</v>
      </c>
      <c r="AD24" s="1292">
        <f>(IF('Section Load'!AE27&gt;0,'Section Load'!AE27,0))</f>
        <v>0</v>
      </c>
      <c r="AE24" s="1292">
        <f>(IF('Section Load'!AF27&gt;0,'Section Load'!AF27,0))</f>
        <v>0</v>
      </c>
      <c r="AF24" s="1292">
        <f>(IF('Section Load'!AG27&gt;0,'Section Load'!AG27,0))</f>
        <v>382.32999999998719</v>
      </c>
      <c r="AG24" s="1292">
        <f>(IF('Section Load'!AH27&gt;0,'Section Load'!AH27,0))</f>
        <v>289.42000000001281</v>
      </c>
      <c r="AH24" s="1292">
        <f>(IF('Section Load'!AI27&gt;0,'Section Load'!AI27,0))</f>
        <v>388.12000000000262</v>
      </c>
      <c r="AI24" s="1292">
        <f>(IF('Section Load'!AJ27&gt;0,'Section Load'!AJ27,0))</f>
        <v>421.67000000001281</v>
      </c>
      <c r="AJ24" s="1292">
        <f>(IF('Section Load'!AK27&gt;0,'Section Load'!AK27,0))</f>
        <v>0</v>
      </c>
      <c r="AK24" s="1292">
        <f>(IF('Section Load'!AL27&gt;0,'Section Load'!AL27,0))</f>
        <v>260.80000000000291</v>
      </c>
      <c r="AL24" s="1292">
        <f>(IF('Section Load'!AM27&gt;0,'Section Load'!AM27,0))</f>
        <v>782</v>
      </c>
      <c r="AM24" s="1293">
        <f>(IF('Water Report'!$Z$7&gt;0,'Water Report'!$Z$7,0))</f>
        <v>32</v>
      </c>
      <c r="AN24" s="1293">
        <f>(IF('Water Report'!$Z$8&gt;0,'Water Report'!$Z$8,0))</f>
        <v>106</v>
      </c>
      <c r="AO24" s="1293">
        <f>(IF('Water Report'!$Z$9&gt;0,'Water Report'!$Z$9,0))</f>
        <v>43</v>
      </c>
      <c r="AP24" s="1293">
        <f>(IF('Water Report'!$Z$10&gt;0,'Water Report'!$Z$10,0))</f>
        <v>17</v>
      </c>
      <c r="AQ24" s="1293">
        <f>(IF('Water Report'!$Z$11&gt;0,'Water Report'!$Z$11,0))</f>
        <v>22</v>
      </c>
      <c r="AR24" s="1293">
        <f>(IF('Water Report'!$Z$13&gt;0,'Water Report'!$Z$13,0))</f>
        <v>55</v>
      </c>
      <c r="AS24" s="1293">
        <f>(IF('Water Report'!$Z$14&gt;0,'Water Report'!$Z$14,0))</f>
        <v>13</v>
      </c>
      <c r="AT24" s="1293">
        <f>(IF('Water Report'!$Z$15&gt;0,'Water Report'!$Z$15,0))</f>
        <v>5</v>
      </c>
      <c r="AU24" s="1293">
        <f>(IF('Water Report'!$Z$17&gt;0,'Water Report'!$Z$17,0))</f>
        <v>0</v>
      </c>
      <c r="AV24" s="1293">
        <f>(IF('Water Report'!$Z$18&gt;0,'Water Report'!$Z$18,0))</f>
        <v>2</v>
      </c>
      <c r="AW24" s="1293">
        <f>(IF('Water Report'!$Z$19&gt;0,'Water Report'!$Z$19,0))</f>
        <v>3</v>
      </c>
      <c r="AX24" s="1368">
        <f>(IF('Water Report'!$Z$21&gt;0,'Water Report'!$Z$21,0))</f>
        <v>56</v>
      </c>
      <c r="AY24" s="1368">
        <f>(IF('Water Report'!$Z$22&gt;0,'Water Report'!$Z$22,0))</f>
        <v>19</v>
      </c>
      <c r="AZ24" s="1368">
        <f>(IF('Water Report'!$Z$23&gt;0,'Water Report'!$Z$23,0))</f>
        <v>0</v>
      </c>
      <c r="BA24" s="1368">
        <f>(IF('Water Report'!$Z$14&gt;0,'Water Report'!$Z$14,0))</f>
        <v>13</v>
      </c>
      <c r="BB24" s="1368">
        <f>(IF('Water Report'!$Z$15&gt;0,'Water Report'!$Z$15,0))</f>
        <v>5</v>
      </c>
      <c r="BC24" s="1368">
        <f>(IF('Water Report'!$Z$13&gt;0,'Water Report'!$Z$13,0))</f>
        <v>55</v>
      </c>
      <c r="BD24" s="1368">
        <f>(IF('Water Report'!$Z$24&gt;0,'Water Report'!$Z$24,0))</f>
        <v>101</v>
      </c>
      <c r="BE24" s="1368">
        <f>(IF('Water Report'!$Z$25&gt;0,'Water Report'!$Z$25,0))</f>
        <v>100</v>
      </c>
      <c r="BF24" s="1368">
        <f>(IF('Water Report'!$Z$27&gt;0,'Water Report'!$Z$27,0))</f>
        <v>111</v>
      </c>
      <c r="BG24" s="1294">
        <f>(IF('Section Load'!AN27&gt;0,'Section Load'!AN27,0))</f>
        <v>700</v>
      </c>
      <c r="BH24" s="1294">
        <f>(IF('Section Load'!AO27&gt;0,'Section Load'!AO27,0))</f>
        <v>283.38000000000466</v>
      </c>
      <c r="BI24" s="1294">
        <f>(IF('Section Load'!AP27&gt;0,'Section Load'!AP27,0))</f>
        <v>0</v>
      </c>
      <c r="BJ24" s="1294">
        <f>(IF('Section Load'!AQ27&gt;0,'Section Load'!AQ27,0))</f>
        <v>88.610000000015134</v>
      </c>
      <c r="BK24" s="1294">
        <f>(IF('Section Load'!AR27&gt;0,'Section Load'!AR27,0))</f>
        <v>36.5</v>
      </c>
      <c r="BL24" s="1294">
        <f>(IF('Section Load'!AS27&gt;0,'Section Load'!AS27,0))</f>
        <v>2.5</v>
      </c>
      <c r="BM24" s="1294">
        <f>(IF('Section Load'!AT27&gt;0,'Section Load'!AT27,0))</f>
        <v>289.00999999998021</v>
      </c>
    </row>
    <row r="25" spans="1:65">
      <c r="A25" s="1276" t="s">
        <v>300</v>
      </c>
      <c r="B25" s="1277">
        <f t="shared" si="0"/>
        <v>24</v>
      </c>
      <c r="C25" s="1277">
        <v>7</v>
      </c>
      <c r="D25" s="1277">
        <v>2021</v>
      </c>
      <c r="E25" s="1292">
        <f>(IF('Section Load'!F28&gt;0,'Section Load'!F28,0))</f>
        <v>2800.5</v>
      </c>
      <c r="F25" s="1292">
        <f>(IF('Section Load'!G28&gt;0,'Section Load'!G28,0))</f>
        <v>1486.5400000000081</v>
      </c>
      <c r="G25" s="1292">
        <f>(IF('Section Load'!H28&gt;0,'Section Load'!H28,0))</f>
        <v>1527.9600000000501</v>
      </c>
      <c r="H25" s="1292">
        <f>(IF('Section Load'!I28&gt;0,'Section Load'!I28,0))</f>
        <v>3514.4599999999627</v>
      </c>
      <c r="I25" s="1292">
        <f>(IF('Section Load'!J28&gt;0,'Section Load'!J28,0))</f>
        <v>6559.3000000000175</v>
      </c>
      <c r="J25" s="1292">
        <f>(IF('Section Load'!K28&gt;0,'Section Load'!K28,0))</f>
        <v>2919.3000000000466</v>
      </c>
      <c r="K25" s="1292">
        <f>(IF('Section Load'!L28&gt;0,'Section Load'!L28,0))</f>
        <v>1520.609999999986</v>
      </c>
      <c r="L25" s="1292">
        <f>(IF('Section Load'!M28&gt;0,'Section Load'!M28,0))</f>
        <v>1173.0200000000004</v>
      </c>
      <c r="M25" s="1292">
        <f>(IF('Section Load'!N28&gt;0,'Section Load'!N28,0))</f>
        <v>14</v>
      </c>
      <c r="N25" s="1292">
        <f>(IF('Section Load'!O28&gt;0,'Section Load'!O28,0))</f>
        <v>1</v>
      </c>
      <c r="O25" s="1292">
        <f>(IF('Section Load'!P28&gt;0,'Section Load'!P28,0))</f>
        <v>0</v>
      </c>
      <c r="P25" s="1292">
        <f>(IF('Section Load'!Q28&gt;0,'Section Load'!Q28,0))</f>
        <v>157.70000000000073</v>
      </c>
      <c r="Q25" s="1292">
        <f>(IF('Section Load'!R28&gt;0,'Section Load'!R28,0))</f>
        <v>69.209999999999127</v>
      </c>
      <c r="R25" s="1292">
        <f>(IF('Section Load'!S28&gt;0,'Section Load'!S28,0))</f>
        <v>45</v>
      </c>
      <c r="S25" s="1292">
        <f>(IF('Section Load'!T28&gt;0,'Section Load'!T28,0))</f>
        <v>76</v>
      </c>
      <c r="T25" s="1292">
        <f>(IF('Section Load'!U28&gt;0,'Section Load'!U28,0))</f>
        <v>168</v>
      </c>
      <c r="U25" s="1292">
        <f>(IF('Section Load'!V28&gt;0,'Section Load'!V28,0))</f>
        <v>399.68000000005122</v>
      </c>
      <c r="V25" s="1292">
        <f>(IF('Section Load'!W28&gt;0,'Section Load'!W28,0))</f>
        <v>185.35999999998603</v>
      </c>
      <c r="W25" s="1292">
        <f>(IF('Section Load'!X28&gt;0,'Section Load'!X28,0))</f>
        <v>14.279999999998836</v>
      </c>
      <c r="X25" s="1292">
        <f>(IF('Section Load'!Y28&gt;0,'Section Load'!Y28,0))</f>
        <v>220.58000000000175</v>
      </c>
      <c r="Y25" s="1292">
        <f>(IF('Section Load'!Z28&gt;0,'Section Load'!Z28,0))</f>
        <v>259</v>
      </c>
      <c r="Z25" s="1292">
        <f>(IF('Section Load'!AA28&gt;0,'Section Load'!AA28,0))</f>
        <v>39.35999999998603</v>
      </c>
      <c r="AA25" s="1292">
        <f>(IF('Section Load'!AB28&gt;0,'Section Load'!AB28,0))</f>
        <v>31</v>
      </c>
      <c r="AB25" s="1292">
        <f>(IF('Section Load'!AC28&gt;0,'Section Load'!AC28,0))</f>
        <v>147</v>
      </c>
      <c r="AC25" s="1292">
        <f>(IF('Section Load'!AD28&gt;0,'Section Load'!AD28,0))</f>
        <v>35.300000000000182</v>
      </c>
      <c r="AD25" s="1292">
        <f>(IF('Section Load'!AE28&gt;0,'Section Load'!AE28,0))</f>
        <v>0</v>
      </c>
      <c r="AE25" s="1292">
        <f>(IF('Section Load'!AF28&gt;0,'Section Load'!AF28,0))</f>
        <v>0</v>
      </c>
      <c r="AF25" s="1292">
        <f>(IF('Section Load'!AG28&gt;0,'Section Load'!AG28,0))</f>
        <v>404.41000000000349</v>
      </c>
      <c r="AG25" s="1292">
        <f>(IF('Section Load'!AH28&gt;0,'Section Load'!AH28,0))</f>
        <v>316.80999999999767</v>
      </c>
      <c r="AH25" s="1292">
        <f>(IF('Section Load'!AI28&gt;0,'Section Load'!AI28,0))</f>
        <v>407.34999999999854</v>
      </c>
      <c r="AI25" s="1292">
        <f>(IF('Section Load'!AJ28&gt;0,'Section Load'!AJ28,0))</f>
        <v>432.32999999998719</v>
      </c>
      <c r="AJ25" s="1292">
        <f>(IF('Section Load'!AK28&gt;0,'Section Load'!AK28,0))</f>
        <v>0</v>
      </c>
      <c r="AK25" s="1292">
        <f>(IF('Section Load'!AL28&gt;0,'Section Load'!AL28,0))</f>
        <v>237.25</v>
      </c>
      <c r="AL25" s="1292">
        <f>(IF('Section Load'!AM28&gt;0,'Section Load'!AM28,0))</f>
        <v>750</v>
      </c>
      <c r="AM25" s="1293">
        <f>(IF('Water Report'!$AA$7&gt;0,'Water Report'!$AA$7,0))</f>
        <v>75</v>
      </c>
      <c r="AN25" s="1293">
        <f>(IF('Water Report'!$AA$8&gt;0,'Water Report'!$AA$8,0))</f>
        <v>99</v>
      </c>
      <c r="AO25" s="1293">
        <f>(IF('Water Report'!$AA$9&gt;0,'Water Report'!$AA$9,0))</f>
        <v>73</v>
      </c>
      <c r="AP25" s="1293">
        <f>(IF('Water Report'!$AA$10&gt;0,'Water Report'!$AA$10,0))</f>
        <v>19</v>
      </c>
      <c r="AQ25" s="1293">
        <f>(IF('Water Report'!$AA$11&gt;0,'Water Report'!$AA$11,0))</f>
        <v>20</v>
      </c>
      <c r="AR25" s="1293">
        <f>(IF('Water Report'!$AA$13&gt;0,'Water Report'!$AA$13,0))</f>
        <v>23</v>
      </c>
      <c r="AS25" s="1293">
        <f>(IF('Water Report'!$AA$14&gt;0,'Water Report'!$AA$14,0))</f>
        <v>10</v>
      </c>
      <c r="AT25" s="1293">
        <f>(IF('Water Report'!$AA$15&gt;0,'Water Report'!$AA$15,0))</f>
        <v>6</v>
      </c>
      <c r="AU25" s="1293">
        <f>(IF('Water Report'!$AA$17&gt;0,'Water Report'!$AA$17,0))</f>
        <v>0</v>
      </c>
      <c r="AV25" s="1293">
        <f>(IF('Water Report'!$AA$18&gt;0,'Water Report'!$AA$18,0))</f>
        <v>25</v>
      </c>
      <c r="AW25" s="1293">
        <f>(IF('Water Report'!$AA$19&gt;0,'Water Report'!$AA$19,0))</f>
        <v>3</v>
      </c>
      <c r="AX25" s="1368">
        <f>(IF('Water Report'!$AA$21&gt;0,'Water Report'!$AA$21,0))</f>
        <v>55</v>
      </c>
      <c r="AY25" s="1368">
        <f>(IF('Water Report'!$AA$22&gt;0,'Water Report'!$AA$22,0))</f>
        <v>57</v>
      </c>
      <c r="AZ25" s="1368">
        <f>(IF('Water Report'!$AA$23&gt;0,'Water Report'!$AA$23,0))</f>
        <v>0</v>
      </c>
      <c r="BA25" s="1368">
        <f>(IF('Water Report'!$AA$14&gt;0,'Water Report'!$AA$14,0))</f>
        <v>10</v>
      </c>
      <c r="BB25" s="1368">
        <f>(IF('Water Report'!$AA$15&gt;0,'Water Report'!$AA$15,0))</f>
        <v>6</v>
      </c>
      <c r="BC25" s="1368">
        <f>(IF('Water Report'!$AA$13&gt;0,'Water Report'!$AA$13,0))</f>
        <v>23</v>
      </c>
      <c r="BD25" s="1368">
        <f>(IF('Water Report'!$AA$24&gt;0,'Water Report'!$AA$24,0))</f>
        <v>164</v>
      </c>
      <c r="BE25" s="1368">
        <f>(IF('Water Report'!$AA$25&gt;0,'Water Report'!$AA$25,0))</f>
        <v>128</v>
      </c>
      <c r="BF25" s="1368">
        <f>(IF('Water Report'!$AA$27&gt;0,'Water Report'!$AA$27,0))</f>
        <v>78</v>
      </c>
      <c r="BG25" s="1294">
        <f>(IF('Section Load'!AN28&gt;0,'Section Load'!AN28,0))</f>
        <v>700</v>
      </c>
      <c r="BH25" s="1294">
        <f>(IF('Section Load'!AO28&gt;0,'Section Load'!AO28,0))</f>
        <v>288.84999999997672</v>
      </c>
      <c r="BI25" s="1294">
        <f>(IF('Section Load'!AP28&gt;0,'Section Load'!AP28,0))</f>
        <v>0</v>
      </c>
      <c r="BJ25" s="1294">
        <f>(IF('Section Load'!AQ28&gt;0,'Section Load'!AQ28,0))</f>
        <v>73.579999999987194</v>
      </c>
      <c r="BK25" s="1294">
        <f>(IF('Section Load'!AR28&gt;0,'Section Load'!AR28,0))</f>
        <v>34.799999999999272</v>
      </c>
      <c r="BL25" s="1294">
        <f>(IF('Section Load'!AS28&gt;0,'Section Load'!AS28,0))</f>
        <v>2.8999999999996362</v>
      </c>
      <c r="BM25" s="1294">
        <f>(IF('Section Load'!AT28&gt;0,'Section Load'!AT28,0))</f>
        <v>300.27000000003136</v>
      </c>
    </row>
    <row r="26" spans="1:65">
      <c r="A26" s="1276" t="s">
        <v>300</v>
      </c>
      <c r="B26" s="1277">
        <f>B25+1</f>
        <v>25</v>
      </c>
      <c r="C26" s="1277">
        <v>7</v>
      </c>
      <c r="D26" s="1277">
        <v>2021</v>
      </c>
      <c r="E26" s="1292">
        <f>(IF('Section Load'!F29&gt;0,'Section Load'!F29,0))</f>
        <v>2719.0100000000093</v>
      </c>
      <c r="F26" s="1292">
        <f>(IF('Section Load'!G29&gt;0,'Section Load'!G29,0))</f>
        <v>1517.8699999999953</v>
      </c>
      <c r="G26" s="1292">
        <f>(IF('Section Load'!H29&gt;0,'Section Load'!H29,0))</f>
        <v>1537.0699999999488</v>
      </c>
      <c r="H26" s="1292">
        <f>(IF('Section Load'!I29&gt;0,'Section Load'!I29,0))</f>
        <v>3655</v>
      </c>
      <c r="I26" s="1292">
        <f>(IF('Section Load'!J29&gt;0,'Section Load'!J29,0))</f>
        <v>5087</v>
      </c>
      <c r="J26" s="1292">
        <f>(IF('Section Load'!K29&gt;0,'Section Load'!K29,0))</f>
        <v>2649</v>
      </c>
      <c r="K26" s="1292">
        <f>(IF('Section Load'!L29&gt;0,'Section Load'!L29,0))</f>
        <v>1032</v>
      </c>
      <c r="L26" s="1292">
        <f>(IF('Section Load'!M29&gt;0,'Section Load'!M29,0))</f>
        <v>642</v>
      </c>
      <c r="M26" s="1292">
        <f>(IF('Section Load'!N29&gt;0,'Section Load'!N29,0))</f>
        <v>12</v>
      </c>
      <c r="N26" s="1292">
        <f>(IF('Section Load'!O29&gt;0,'Section Load'!O29,0))</f>
        <v>1</v>
      </c>
      <c r="O26" s="1292">
        <f>(IF('Section Load'!P29&gt;0,'Section Load'!P29,0))</f>
        <v>0</v>
      </c>
      <c r="P26" s="1292">
        <f>(IF('Section Load'!Q29&gt;0,'Section Load'!Q29,0))</f>
        <v>149</v>
      </c>
      <c r="Q26" s="1292">
        <f>(IF('Section Load'!R29&gt;0,'Section Load'!R29,0))</f>
        <v>74</v>
      </c>
      <c r="R26" s="1292">
        <f>(IF('Section Load'!S29&gt;0,'Section Load'!S29,0))</f>
        <v>54</v>
      </c>
      <c r="S26" s="1292">
        <f>(IF('Section Load'!T29&gt;0,'Section Load'!T29,0))</f>
        <v>84</v>
      </c>
      <c r="T26" s="1292">
        <f>(IF('Section Load'!U29&gt;0,'Section Load'!U29,0))</f>
        <v>140</v>
      </c>
      <c r="U26" s="1292">
        <f>(IF('Section Load'!V29&gt;0,'Section Load'!V29,0))</f>
        <v>406</v>
      </c>
      <c r="V26" s="1292">
        <f>(IF('Section Load'!W29&gt;0,'Section Load'!W29,0))</f>
        <v>118</v>
      </c>
      <c r="W26" s="1292">
        <f>(IF('Section Load'!X29&gt;0,'Section Load'!X29,0))</f>
        <v>26</v>
      </c>
      <c r="X26" s="1292">
        <f>(IF('Section Load'!Y29&gt;0,'Section Load'!Y29,0))</f>
        <v>133</v>
      </c>
      <c r="Y26" s="1292">
        <f>(IF('Section Load'!Z29&gt;0,'Section Load'!Z29,0))</f>
        <v>171</v>
      </c>
      <c r="Z26" s="1292">
        <f>(IF('Section Load'!AA29&gt;0,'Section Load'!AA29,0))</f>
        <v>29</v>
      </c>
      <c r="AA26" s="1292">
        <f>(IF('Section Load'!AB29&gt;0,'Section Load'!AB29,0))</f>
        <v>36</v>
      </c>
      <c r="AB26" s="1292">
        <f>(IF('Section Load'!AC29&gt;0,'Section Load'!AC29,0))</f>
        <v>131</v>
      </c>
      <c r="AC26" s="1292">
        <f>(IF('Section Load'!AD29&gt;0,'Section Load'!AD29,0))</f>
        <v>40</v>
      </c>
      <c r="AD26" s="1292">
        <f>(IF('Section Load'!AE29&gt;0,'Section Load'!AE29,0))</f>
        <v>0</v>
      </c>
      <c r="AE26" s="1292">
        <f>(IF('Section Load'!AF29&gt;0,'Section Load'!AF29,0))</f>
        <v>0</v>
      </c>
      <c r="AF26" s="1292">
        <f>(IF('Section Load'!AG29&gt;0,'Section Load'!AG29,0))</f>
        <v>412</v>
      </c>
      <c r="AG26" s="1292">
        <f>(IF('Section Load'!AH29&gt;0,'Section Load'!AH29,0))</f>
        <v>399</v>
      </c>
      <c r="AH26" s="1292">
        <f>(IF('Section Load'!AI29&gt;0,'Section Load'!AI29,0))</f>
        <v>418</v>
      </c>
      <c r="AI26" s="1292">
        <f>(IF('Section Load'!AJ29&gt;0,'Section Load'!AJ29,0))</f>
        <v>458</v>
      </c>
      <c r="AJ26" s="1292">
        <f>(IF('Section Load'!AK29&gt;0,'Section Load'!AK29,0))</f>
        <v>0</v>
      </c>
      <c r="AK26" s="1292">
        <f>(IF('Section Load'!AL29&gt;0,'Section Load'!AL29,0))</f>
        <v>191</v>
      </c>
      <c r="AL26" s="1292">
        <f>(IF('Section Load'!AM29&gt;0,'Section Load'!AM29,0))</f>
        <v>732</v>
      </c>
      <c r="AM26" s="1293">
        <f>(IF('Water Report'!$AB$7&gt;0,'Water Report'!$AB$7,0))</f>
        <v>79</v>
      </c>
      <c r="AN26" s="1293">
        <f>(IF('Water Report'!$AB$8&gt;0,'Water Report'!$AB$8,0))</f>
        <v>91</v>
      </c>
      <c r="AO26" s="1293">
        <f>(IF('Water Report'!$AB$9&gt;0,'Water Report'!$AB$9,0))</f>
        <v>70</v>
      </c>
      <c r="AP26" s="1293">
        <f>(IF('Water Report'!$AB$10&gt;0,'Water Report'!$AB$10,0))</f>
        <v>21</v>
      </c>
      <c r="AQ26" s="1293">
        <f>(IF('Water Report'!$AB$11&gt;0,'Water Report'!$AB$11,0))</f>
        <v>19</v>
      </c>
      <c r="AR26" s="1293">
        <f>(IF('Water Report'!$AB$13&gt;0,'Water Report'!$AB$13,0))</f>
        <v>28</v>
      </c>
      <c r="AS26" s="1293">
        <f>(IF('Water Report'!$AB$14&gt;0,'Water Report'!$AB$14,0))</f>
        <v>29</v>
      </c>
      <c r="AT26" s="1293">
        <f>(IF('Water Report'!$AB$15&gt;0,'Water Report'!$AB$15,0))</f>
        <v>4</v>
      </c>
      <c r="AU26" s="1293">
        <f>(IF('Water Report'!$AB$17&gt;0,'Water Report'!$AB$17,0))</f>
        <v>0</v>
      </c>
      <c r="AV26" s="1293">
        <f>(IF('Water Report'!$AB$18&gt;0,'Water Report'!$AB$18,0))</f>
        <v>5</v>
      </c>
      <c r="AW26" s="1293">
        <f>(IF('Water Report'!$AB$19&gt;0,'Water Report'!$AB$19,0))</f>
        <v>5</v>
      </c>
      <c r="AX26" s="1368">
        <f>(IF('Water Report'!$AB$21&gt;0,'Water Report'!$AB$21,0))</f>
        <v>45</v>
      </c>
      <c r="AY26" s="1368">
        <f>(IF('Water Report'!$AB$22&gt;0,'Water Report'!$AB$22,0))</f>
        <v>16</v>
      </c>
      <c r="AZ26" s="1368">
        <f>(IF('Water Report'!$AB$23&gt;0,'Water Report'!$AB$23,0))</f>
        <v>0</v>
      </c>
      <c r="BA26" s="1368">
        <f>(IF('Water Report'!$AB$14&gt;0,'Water Report'!$AB$14,0))</f>
        <v>29</v>
      </c>
      <c r="BB26" s="1368">
        <f>(IF('Water Report'!$AB$15&gt;0,'Water Report'!$AB$15,0))</f>
        <v>4</v>
      </c>
      <c r="BC26" s="1368">
        <f>(IF('Water Report'!$AB$13&gt;0,'Water Report'!$AB$13,0))</f>
        <v>28</v>
      </c>
      <c r="BD26" s="1368">
        <f>(IF('Water Report'!$AB$24&gt;0,'Water Report'!$AB$24,0))</f>
        <v>170</v>
      </c>
      <c r="BE26" s="1368">
        <f>(IF('Water Report'!$AB$25&gt;0,'Water Report'!$AB$25,0))</f>
        <v>143</v>
      </c>
      <c r="BF26" s="1368">
        <f>(IF('Water Report'!$AB$27&gt;0,'Water Report'!$AB$27,0))</f>
        <v>73</v>
      </c>
      <c r="BG26" s="1294">
        <f>(IF('Section Load'!AN29&gt;0,'Section Load'!AN29,0))</f>
        <v>700</v>
      </c>
      <c r="BH26" s="1294">
        <f>(IF('Section Load'!AO29&gt;0,'Section Load'!AO29,0))</f>
        <v>265</v>
      </c>
      <c r="BI26" s="1294">
        <f>(IF('Section Load'!AP29&gt;0,'Section Load'!AP29,0))</f>
        <v>0</v>
      </c>
      <c r="BJ26" s="1294">
        <f>(IF('Section Load'!AQ29&gt;0,'Section Load'!AQ29,0))</f>
        <v>70</v>
      </c>
      <c r="BK26" s="1294">
        <f>(IF('Section Load'!AR29&gt;0,'Section Load'!AR29,0))</f>
        <v>39</v>
      </c>
      <c r="BL26" s="1294">
        <f>(IF('Section Load'!AS29&gt;0,'Section Load'!AS29,0))</f>
        <v>0</v>
      </c>
      <c r="BM26" s="1294">
        <f>(IF('Section Load'!AT29&gt;0,'Section Load'!AT29,0))</f>
        <v>326</v>
      </c>
    </row>
    <row r="27" spans="1:65">
      <c r="A27" s="1276" t="s">
        <v>300</v>
      </c>
      <c r="B27" s="1277">
        <f t="shared" si="0"/>
        <v>26</v>
      </c>
      <c r="C27" s="1277">
        <v>7</v>
      </c>
      <c r="D27" s="1277">
        <v>2021</v>
      </c>
      <c r="E27" s="1292">
        <f>(IF('Section Load'!F30&gt;0,'Section Load'!F30,0))</f>
        <v>3029.8699999999953</v>
      </c>
      <c r="F27" s="1292">
        <f>(IF('Section Load'!G30&gt;0,'Section Load'!G30,0))</f>
        <v>1521</v>
      </c>
      <c r="G27" s="1292">
        <f>(IF('Section Load'!H30&gt;0,'Section Load'!H30,0))</f>
        <v>1787</v>
      </c>
      <c r="H27" s="1292">
        <f>(IF('Section Load'!I30&gt;0,'Section Load'!I30,0))</f>
        <v>3678</v>
      </c>
      <c r="I27" s="1292">
        <f>(IF('Section Load'!J30&gt;0,'Section Load'!J30,0))</f>
        <v>6949</v>
      </c>
      <c r="J27" s="1292">
        <f>(IF('Section Load'!K30&gt;0,'Section Load'!K30,0))</f>
        <v>2958</v>
      </c>
      <c r="K27" s="1292">
        <f>(IF('Section Load'!L30&gt;0,'Section Load'!L30,0))</f>
        <v>1133</v>
      </c>
      <c r="L27" s="1292">
        <f>(IF('Section Load'!M30&gt;0,'Section Load'!M30,0))</f>
        <v>959</v>
      </c>
      <c r="M27" s="1292">
        <f>(IF('Section Load'!N30&gt;0,'Section Load'!N30,0))</f>
        <v>11</v>
      </c>
      <c r="N27" s="1292">
        <f>(IF('Section Load'!O30&gt;0,'Section Load'!O30,0))</f>
        <v>1</v>
      </c>
      <c r="O27" s="1292">
        <f>(IF('Section Load'!P30&gt;0,'Section Load'!P30,0))</f>
        <v>0</v>
      </c>
      <c r="P27" s="1292">
        <f>(IF('Section Load'!Q30&gt;0,'Section Load'!Q30,0))</f>
        <v>185</v>
      </c>
      <c r="Q27" s="1292">
        <f>(IF('Section Load'!R30&gt;0,'Section Load'!R30,0))</f>
        <v>81</v>
      </c>
      <c r="R27" s="1292">
        <f>(IF('Section Load'!S30&gt;0,'Section Load'!S30,0))</f>
        <v>60</v>
      </c>
      <c r="S27" s="1292">
        <f>(IF('Section Load'!T30&gt;0,'Section Load'!T30,0))</f>
        <v>117</v>
      </c>
      <c r="T27" s="1292">
        <f>(IF('Section Load'!U30&gt;0,'Section Load'!U30,0))</f>
        <v>150</v>
      </c>
      <c r="U27" s="1292">
        <f>(IF('Section Load'!V30&gt;0,'Section Load'!V30,0))</f>
        <v>428</v>
      </c>
      <c r="V27" s="1292">
        <f>(IF('Section Load'!W30&gt;0,'Section Load'!W30,0))</f>
        <v>157</v>
      </c>
      <c r="W27" s="1292">
        <f>(IF('Section Load'!X30&gt;0,'Section Load'!X30,0))</f>
        <v>14</v>
      </c>
      <c r="X27" s="1292">
        <f>(IF('Section Load'!Y30&gt;0,'Section Load'!Y30,0))</f>
        <v>252</v>
      </c>
      <c r="Y27" s="1292">
        <f>(IF('Section Load'!Z30&gt;0,'Section Load'!Z30,0))</f>
        <v>372</v>
      </c>
      <c r="Z27" s="1292">
        <f>(IF('Section Load'!AA30&gt;0,'Section Load'!AA30,0))</f>
        <v>27</v>
      </c>
      <c r="AA27" s="1292">
        <f>(IF('Section Load'!AB30&gt;0,'Section Load'!AB30,0))</f>
        <v>17</v>
      </c>
      <c r="AB27" s="1292">
        <f>(IF('Section Load'!AC30&gt;0,'Section Load'!AC30,0))</f>
        <v>126</v>
      </c>
      <c r="AC27" s="1292">
        <f>(IF('Section Load'!AD30&gt;0,'Section Load'!AD30,0))</f>
        <v>18</v>
      </c>
      <c r="AD27" s="1292">
        <f>(IF('Section Load'!AE30&gt;0,'Section Load'!AE30,0))</f>
        <v>0</v>
      </c>
      <c r="AE27" s="1292">
        <f>(IF('Section Load'!AF30&gt;0,'Section Load'!AF30,0))</f>
        <v>0</v>
      </c>
      <c r="AF27" s="1292">
        <f>(IF('Section Load'!AG30&gt;0,'Section Load'!AG30,0))</f>
        <v>321</v>
      </c>
      <c r="AG27" s="1292">
        <f>(IF('Section Load'!AH30&gt;0,'Section Load'!AH30,0))</f>
        <v>438</v>
      </c>
      <c r="AH27" s="1292">
        <f>(IF('Section Load'!AI30&gt;0,'Section Load'!AI30,0))</f>
        <v>448</v>
      </c>
      <c r="AI27" s="1292">
        <f>(IF('Section Load'!AJ30&gt;0,'Section Load'!AJ30,0))</f>
        <v>474</v>
      </c>
      <c r="AJ27" s="1292">
        <f>(IF('Section Load'!AK30&gt;0,'Section Load'!AK30,0))</f>
        <v>0</v>
      </c>
      <c r="AK27" s="1292">
        <f>(IF('Section Load'!AL30&gt;0,'Section Load'!AL30,0))</f>
        <v>209</v>
      </c>
      <c r="AL27" s="1292">
        <f>(IF('Section Load'!AM30&gt;0,'Section Load'!AM30,0))</f>
        <v>872</v>
      </c>
      <c r="AM27" s="1293">
        <f>(IF('Water Report'!$AC$7&gt;0,'Water Report'!$AC$7,0))</f>
        <v>117</v>
      </c>
      <c r="AN27" s="1293">
        <f>(IF('Water Report'!$AC$8&gt;0,'Water Report'!$AC$8,0))</f>
        <v>127</v>
      </c>
      <c r="AO27" s="1293">
        <f>(IF('Water Report'!$AC$9&gt;0,'Water Report'!$AC$9,0))</f>
        <v>79</v>
      </c>
      <c r="AP27" s="1293">
        <f>(IF('Water Report'!$AC$10&gt;0,'Water Report'!$AC$10,0))</f>
        <v>29</v>
      </c>
      <c r="AQ27" s="1293">
        <f>(IF('Water Report'!$AC$11&gt;0,'Water Report'!$AC$11,0))</f>
        <v>34</v>
      </c>
      <c r="AR27" s="1293">
        <f>(IF('Water Report'!$AC$13&gt;0,'Water Report'!$AC$13,0))</f>
        <v>63</v>
      </c>
      <c r="AS27" s="1293">
        <f>(IF('Water Report'!$AC$14&gt;0,'Water Report'!$AC$14,0))</f>
        <v>30</v>
      </c>
      <c r="AT27" s="1293">
        <f>(IF('Water Report'!$AC$15&gt;0,'Water Report'!$AC$15,0))</f>
        <v>9</v>
      </c>
      <c r="AU27" s="1293">
        <f>(IF('Water Report'!$AC$17&gt;0,'Water Report'!$AC$17,0))</f>
        <v>0</v>
      </c>
      <c r="AV27" s="1293">
        <f>(IF('Water Report'!$AC$18&gt;0,'Water Report'!$AC$18,0))</f>
        <v>16</v>
      </c>
      <c r="AW27" s="1293">
        <f>(IF('Water Report'!$AC$19&gt;0,'Water Report'!$AC$19,0))</f>
        <v>5</v>
      </c>
      <c r="AX27" s="1368">
        <f>(IF('Water Report'!$AC$21&gt;0,'Water Report'!$AC$21,0))</f>
        <v>54</v>
      </c>
      <c r="AY27" s="1368">
        <f>(IF('Water Report'!$AC$22&gt;0,'Water Report'!$AC$22,0))</f>
        <v>71</v>
      </c>
      <c r="AZ27" s="1368">
        <f>(IF('Water Report'!$AC$23&gt;0,'Water Report'!$AC$23,0))</f>
        <v>0</v>
      </c>
      <c r="BA27" s="1368">
        <f>(IF('Water Report'!$AC$14&gt;0,'Water Report'!$AC$14,0))</f>
        <v>30</v>
      </c>
      <c r="BB27" s="1368">
        <f>(IF('Water Report'!$AC$15&gt;0,'Water Report'!$AC$15,0))</f>
        <v>9</v>
      </c>
      <c r="BC27" s="1368">
        <f>(IF('Water Report'!$AC$13&gt;0,'Water Report'!$AC$13,0))</f>
        <v>63</v>
      </c>
      <c r="BD27" s="1368">
        <f>(IF('Water Report'!$AC$24&gt;0,'Water Report'!$AC$24,0))</f>
        <v>215</v>
      </c>
      <c r="BE27" s="1368">
        <f>(IF('Water Report'!$AC$25&gt;0,'Water Report'!$AC$25,0))</f>
        <v>181</v>
      </c>
      <c r="BF27" s="1368">
        <f>(IF('Water Report'!$AC$27&gt;0,'Water Report'!$AC$27,0))</f>
        <v>117</v>
      </c>
      <c r="BG27" s="1294">
        <f>(IF('Section Load'!AN30&gt;0,'Section Load'!AN30,0))</f>
        <v>700</v>
      </c>
      <c r="BH27" s="1294">
        <f>(IF('Section Load'!AO30&gt;0,'Section Load'!AO30,0))</f>
        <v>306</v>
      </c>
      <c r="BI27" s="1294">
        <f>(IF('Section Load'!AP30&gt;0,'Section Load'!AP30,0))</f>
        <v>0.39999999999417923</v>
      </c>
      <c r="BJ27" s="1294">
        <f>(IF('Section Load'!AQ30&gt;0,'Section Load'!AQ30,0))</f>
        <v>103</v>
      </c>
      <c r="BK27" s="1294">
        <f>(IF('Section Load'!AR30&gt;0,'Section Load'!AR30,0))</f>
        <v>37</v>
      </c>
      <c r="BL27" s="1294">
        <f>(IF('Section Load'!AS30&gt;0,'Section Load'!AS30,0))</f>
        <v>9</v>
      </c>
      <c r="BM27" s="1294">
        <f>(IF('Section Load'!AT30&gt;0,'Section Load'!AT30,0))</f>
        <v>244.60000000000582</v>
      </c>
    </row>
    <row r="28" spans="1:65">
      <c r="A28" s="1276" t="s">
        <v>300</v>
      </c>
      <c r="B28" s="1277">
        <f t="shared" si="0"/>
        <v>27</v>
      </c>
      <c r="C28" s="1277">
        <v>7</v>
      </c>
      <c r="D28" s="1277">
        <v>2021</v>
      </c>
      <c r="E28" s="1292">
        <f>(IF('Section Load'!F31&gt;0,'Section Load'!F31,0))</f>
        <v>3062.1300000000047</v>
      </c>
      <c r="F28" s="1292">
        <f>(IF('Section Load'!G31&gt;0,'Section Load'!G31,0))</f>
        <v>1492.1300000000047</v>
      </c>
      <c r="G28" s="1292">
        <f>(IF('Section Load'!H31&gt;0,'Section Load'!H31,0))</f>
        <v>1712.9300000000512</v>
      </c>
      <c r="H28" s="1292">
        <f>(IF('Section Load'!I31&gt;0,'Section Load'!I31,0))</f>
        <v>3715</v>
      </c>
      <c r="I28" s="1292">
        <f>(IF('Section Load'!J31&gt;0,'Section Load'!J31,0))</f>
        <v>6445</v>
      </c>
      <c r="J28" s="1292">
        <f>(IF('Section Load'!K31&gt;0,'Section Load'!K31,0))</f>
        <v>3057</v>
      </c>
      <c r="K28" s="1292">
        <f>(IF('Section Load'!L31&gt;0,'Section Load'!L31,0))</f>
        <v>1299</v>
      </c>
      <c r="L28" s="1292">
        <f>(IF('Section Load'!M31&gt;0,'Section Load'!M31,0))</f>
        <v>587</v>
      </c>
      <c r="M28" s="1292">
        <f>(IF('Section Load'!N31&gt;0,'Section Load'!N31,0))</f>
        <v>11</v>
      </c>
      <c r="N28" s="1292">
        <f>(IF('Section Load'!O31&gt;0,'Section Load'!O31,0))</f>
        <v>1</v>
      </c>
      <c r="O28" s="1292">
        <f>(IF('Section Load'!P31&gt;0,'Section Load'!P31,0))</f>
        <v>0</v>
      </c>
      <c r="P28" s="1292">
        <f>(IF('Section Load'!Q31&gt;0,'Section Load'!Q31,0))</f>
        <v>140</v>
      </c>
      <c r="Q28" s="1292">
        <f>(IF('Section Load'!R31&gt;0,'Section Load'!R31,0))</f>
        <v>77</v>
      </c>
      <c r="R28" s="1292">
        <f>(IF('Section Load'!S31&gt;0,'Section Load'!S31,0))</f>
        <v>57</v>
      </c>
      <c r="S28" s="1292">
        <f>(IF('Section Load'!T31&gt;0,'Section Load'!T31,0))</f>
        <v>152</v>
      </c>
      <c r="T28" s="1292">
        <f>(IF('Section Load'!U31&gt;0,'Section Load'!U31,0))</f>
        <v>139</v>
      </c>
      <c r="U28" s="1292">
        <f>(IF('Section Load'!V31&gt;0,'Section Load'!V31,0))</f>
        <v>460</v>
      </c>
      <c r="V28" s="1292">
        <f>(IF('Section Load'!W31&gt;0,'Section Load'!W31,0))</f>
        <v>131</v>
      </c>
      <c r="W28" s="1292">
        <f>(IF('Section Load'!X31&gt;0,'Section Load'!X31,0))</f>
        <v>25</v>
      </c>
      <c r="X28" s="1292">
        <f>(IF('Section Load'!Y31&gt;0,'Section Load'!Y31,0))</f>
        <v>141</v>
      </c>
      <c r="Y28" s="1292">
        <f>(IF('Section Load'!Z31&gt;0,'Section Load'!Z31,0))</f>
        <v>319</v>
      </c>
      <c r="Z28" s="1292">
        <f>(IF('Section Load'!AA31&gt;0,'Section Load'!AA31,0))</f>
        <v>39</v>
      </c>
      <c r="AA28" s="1292">
        <f>(IF('Section Load'!AB31&gt;0,'Section Load'!AB31,0))</f>
        <v>11</v>
      </c>
      <c r="AB28" s="1292">
        <f>(IF('Section Load'!AC31&gt;0,'Section Load'!AC31,0))</f>
        <v>34</v>
      </c>
      <c r="AC28" s="1292">
        <f>(IF('Section Load'!AD31&gt;0,'Section Load'!AD31,0))</f>
        <v>12</v>
      </c>
      <c r="AD28" s="1292">
        <f>(IF('Section Load'!AE31&gt;0,'Section Load'!AE31,0))</f>
        <v>0</v>
      </c>
      <c r="AE28" s="1292">
        <f>(IF('Section Load'!AF31&gt;0,'Section Load'!AF31,0))</f>
        <v>0</v>
      </c>
      <c r="AF28" s="1292">
        <f>(IF('Section Load'!AG31&gt;0,'Section Load'!AG31,0))</f>
        <v>385</v>
      </c>
      <c r="AG28" s="1292">
        <f>(IF('Section Load'!AH31&gt;0,'Section Load'!AH31,0))</f>
        <v>358</v>
      </c>
      <c r="AH28" s="1292">
        <f>(IF('Section Load'!AI31&gt;0,'Section Load'!AI31,0))</f>
        <v>374</v>
      </c>
      <c r="AI28" s="1292">
        <f>(IF('Section Load'!AJ31&gt;0,'Section Load'!AJ31,0))</f>
        <v>470</v>
      </c>
      <c r="AJ28" s="1292">
        <f>(IF('Section Load'!AK31&gt;0,'Section Load'!AK31,0))</f>
        <v>0</v>
      </c>
      <c r="AK28" s="1292">
        <f>(IF('Section Load'!AL31&gt;0,'Section Load'!AL31,0))</f>
        <v>323</v>
      </c>
      <c r="AL28" s="1292">
        <f>(IF('Section Load'!AM31&gt;0,'Section Load'!AM31,0))</f>
        <v>884</v>
      </c>
      <c r="AM28" s="1293">
        <f>(IF('Water Report'!$AD$7&gt;0,'Water Report'!$AD$7,0))</f>
        <v>130</v>
      </c>
      <c r="AN28" s="1293">
        <f>(IF('Water Report'!$AD$8&gt;0,'Water Report'!$AD$8,0))</f>
        <v>114</v>
      </c>
      <c r="AO28" s="1293">
        <f>(IF('Water Report'!$AD$9&gt;0,'Water Report'!$AD$9,0))</f>
        <v>73</v>
      </c>
      <c r="AP28" s="1293">
        <f>(IF('Water Report'!$AD$10&gt;0,'Water Report'!AD$10,0))</f>
        <v>35</v>
      </c>
      <c r="AQ28" s="1293">
        <f>(IF('Water Report'!$AD$11&gt;0,'Water Report'!AE$11,0))</f>
        <v>16</v>
      </c>
      <c r="AR28" s="1293">
        <f>(IF('Water Report'!$AD$13&gt;0,'Water Report'!AF$13,0))</f>
        <v>47</v>
      </c>
      <c r="AS28" s="1293">
        <f>(IF('Water Report'!$AD$14&gt;0,'Water Report'!AG$14,0))</f>
        <v>8</v>
      </c>
      <c r="AT28" s="1293">
        <f>(IF('Water Report'!$AD$15&gt;0,'Water Report'!AH$15,0))</f>
        <v>-243</v>
      </c>
      <c r="AU28" s="1293">
        <f>(IF('Water Report'!$AD$17&gt;0,'Water Report'!AI$17,0))</f>
        <v>0</v>
      </c>
      <c r="AV28" s="1293">
        <f>(IF('Water Report'!$AD$18&gt;0,'Water Report'!AJ$18,0))</f>
        <v>0</v>
      </c>
      <c r="AW28" s="1293">
        <f>(IF('Water Report'!$AD$19&gt;0,'Water Report'!AK$19,0))</f>
        <v>0</v>
      </c>
      <c r="AX28" s="1368">
        <f>(IF('Water Report'!$AD$21&gt;0,'Water Report'!AL$21,0))</f>
        <v>0</v>
      </c>
      <c r="AY28" s="1368">
        <f>(IF('Water Report'!$AD$22&gt;0,'Water Report'!AM$22,0))</f>
        <v>0</v>
      </c>
      <c r="AZ28" s="1368">
        <f>(IF('Water Report'!$AD$23&gt;0,'Water Report'!AN$23,0))</f>
        <v>0</v>
      </c>
      <c r="BA28" s="1368">
        <f>(IF('Water Report'!$AD$14&gt;0,'Water Report'!AO$14,0))</f>
        <v>0</v>
      </c>
      <c r="BB28" s="1368">
        <f>(IF('Water Report'!$AD$15&gt;0,'Water Report'!AP$15,0))</f>
        <v>0</v>
      </c>
      <c r="BC28" s="1368">
        <f>(IF('Water Report'!$AD$13&gt;0,'Water Report'!AQ$13,0))</f>
        <v>0</v>
      </c>
      <c r="BD28" s="1368">
        <f>(IF('Water Report'!$AD$24&gt;0,'Water Report'!AR$24,0))</f>
        <v>0</v>
      </c>
      <c r="BE28" s="1368">
        <f>(IF('Water Report'!$AD$25&gt;0,'Water Report'!AS$25,0))</f>
        <v>0</v>
      </c>
      <c r="BF28" s="1368">
        <f>(IF('Water Report'!$AD$27&gt;0,'Water Report'!AT$27,0))</f>
        <v>0</v>
      </c>
      <c r="BG28" s="1294">
        <f>(IF('Section Load'!AN31&gt;0,'Section Load'!AN31,0))</f>
        <v>700</v>
      </c>
      <c r="BH28" s="1294">
        <f>(IF('Section Load'!AO31&gt;0,'Section Load'!AO31,0))</f>
        <v>294</v>
      </c>
      <c r="BI28" s="1294">
        <f>(IF('Section Load'!AP31&gt;0,'Section Load'!AP31,0))</f>
        <v>0</v>
      </c>
      <c r="BJ28" s="1294">
        <f>(IF('Section Load'!AQ31&gt;0,'Section Load'!AQ31,0))</f>
        <v>92</v>
      </c>
      <c r="BK28" s="1294">
        <f>(IF('Section Load'!AR31&gt;0,'Section Load'!AR31,0))</f>
        <v>42</v>
      </c>
      <c r="BL28" s="1294">
        <f>(IF('Section Load'!AS31&gt;0,'Section Load'!AS31,0))</f>
        <v>7</v>
      </c>
      <c r="BM28" s="1294">
        <f>(IF('Section Load'!AT31&gt;0,'Section Load'!AT31,0))</f>
        <v>265</v>
      </c>
    </row>
    <row r="29" spans="1:65">
      <c r="A29" s="1276" t="s">
        <v>300</v>
      </c>
      <c r="B29" s="1277">
        <f t="shared" si="0"/>
        <v>28</v>
      </c>
      <c r="C29" s="1277">
        <v>7</v>
      </c>
      <c r="D29" s="1277">
        <v>2021</v>
      </c>
      <c r="E29" s="1292">
        <f>(IF('Section Load'!F32&gt;0,'Section Load'!F32,0))</f>
        <v>2775</v>
      </c>
      <c r="F29" s="1292">
        <f>(IF('Section Load'!G32&gt;0,'Section Load'!G32,0))</f>
        <v>1454</v>
      </c>
      <c r="G29" s="1292">
        <f>(IF('Section Load'!H32&gt;0,'Section Load'!H32,0))</f>
        <v>1688.0699999999488</v>
      </c>
      <c r="H29" s="1292">
        <f>(IF('Section Load'!I32&gt;0,'Section Load'!I32,0))</f>
        <v>3688</v>
      </c>
      <c r="I29" s="1292">
        <f>(IF('Section Load'!J32&gt;0,'Section Load'!J32,0))</f>
        <v>5515</v>
      </c>
      <c r="J29" s="1292">
        <f>(IF('Section Load'!K32&gt;0,'Section Load'!K32,0))</f>
        <v>2726.33</v>
      </c>
      <c r="K29" s="1292">
        <f>(IF('Section Load'!L32&gt;0,'Section Load'!L32,0))</f>
        <v>992</v>
      </c>
      <c r="L29" s="1292">
        <f>(IF('Section Load'!M32&gt;0,'Section Load'!M32,0))</f>
        <v>611</v>
      </c>
      <c r="M29" s="1292">
        <f>(IF('Section Load'!N32&gt;0,'Section Load'!N32,0))</f>
        <v>10</v>
      </c>
      <c r="N29" s="1292">
        <f>(IF('Section Load'!O32&gt;0,'Section Load'!O32,0))</f>
        <v>2</v>
      </c>
      <c r="O29" s="1292">
        <f>(IF('Section Load'!P32&gt;0,'Section Load'!P32,0))</f>
        <v>2</v>
      </c>
      <c r="P29" s="1292">
        <f>(IF('Section Load'!Q32&gt;0,'Section Load'!Q32,0))</f>
        <v>135</v>
      </c>
      <c r="Q29" s="1292">
        <f>(IF('Section Load'!R32&gt;0,'Section Load'!R32,0))</f>
        <v>76</v>
      </c>
      <c r="R29" s="1292">
        <f>(IF('Section Load'!S32&gt;0,'Section Load'!S32,0))</f>
        <v>57</v>
      </c>
      <c r="S29" s="1292">
        <f>(IF('Section Load'!T32&gt;0,'Section Load'!T32,0))</f>
        <v>70</v>
      </c>
      <c r="T29" s="1292">
        <f>(IF('Section Load'!U32&gt;0,'Section Load'!U32,0))</f>
        <v>141</v>
      </c>
      <c r="U29" s="1292">
        <f>(IF('Section Load'!V32&gt;0,'Section Load'!V32,0))</f>
        <v>374</v>
      </c>
      <c r="V29" s="1292">
        <f>(IF('Section Load'!W32&gt;0,'Section Load'!W32,0))</f>
        <v>138</v>
      </c>
      <c r="W29" s="1292">
        <f>(IF('Section Load'!X32&gt;0,'Section Load'!X32,0))</f>
        <v>13</v>
      </c>
      <c r="X29" s="1292">
        <f>(IF('Section Load'!Y32&gt;0,'Section Load'!Y32,0))</f>
        <v>230</v>
      </c>
      <c r="Y29" s="1292">
        <f>(IF('Section Load'!Z32&gt;0,'Section Load'!Z32,0))</f>
        <v>322</v>
      </c>
      <c r="Z29" s="1292">
        <f>(IF('Section Load'!AA32&gt;0,'Section Load'!AA32,0))</f>
        <v>39</v>
      </c>
      <c r="AA29" s="1292">
        <f>(IF('Section Load'!AB32&gt;0,'Section Load'!AB32,0))</f>
        <v>30</v>
      </c>
      <c r="AB29" s="1292">
        <f>(IF('Section Load'!AC32&gt;0,'Section Load'!AC32,0))</f>
        <v>139</v>
      </c>
      <c r="AC29" s="1292">
        <f>(IF('Section Load'!AD32&gt;0,'Section Load'!AD32,0))</f>
        <v>34</v>
      </c>
      <c r="AD29" s="1292">
        <f>(IF('Section Load'!AE32&gt;0,'Section Load'!AE32,0))</f>
        <v>0</v>
      </c>
      <c r="AE29" s="1292">
        <f>(IF('Section Load'!AF32&gt;0,'Section Load'!AF32,0))</f>
        <v>0</v>
      </c>
      <c r="AF29" s="1292">
        <f>(IF('Section Load'!AG32&gt;0,'Section Load'!AG32,0))</f>
        <v>387</v>
      </c>
      <c r="AG29" s="1292">
        <f>(IF('Section Load'!AH32&gt;0,'Section Load'!AH32,0))</f>
        <v>409</v>
      </c>
      <c r="AH29" s="1292">
        <f>(IF('Section Load'!AI32&gt;0,'Section Load'!AI32,0))</f>
        <v>441</v>
      </c>
      <c r="AI29" s="1292">
        <f>(IF('Section Load'!AJ32&gt;0,'Section Load'!AJ32,0))</f>
        <v>440</v>
      </c>
      <c r="AJ29" s="1292">
        <f>(IF('Section Load'!AK32&gt;0,'Section Load'!AK32,0))</f>
        <v>0</v>
      </c>
      <c r="AK29" s="1292">
        <f>(IF('Section Load'!AL32&gt;0,'Section Load'!AL32,0))</f>
        <v>233</v>
      </c>
      <c r="AL29" s="1292">
        <f>(IF('Section Load'!AM32&gt;0,'Section Load'!AM32,0))</f>
        <v>818</v>
      </c>
      <c r="AM29" s="1293">
        <f>(IF('Water Report'!$AE$7&gt;0,'Water Report'!$AE$7,0))</f>
        <v>86</v>
      </c>
      <c r="AN29" s="1293">
        <f>(IF('Water Report'!$AE$8&gt;0,'Water Report'!$AE$8,0))</f>
        <v>97</v>
      </c>
      <c r="AO29" s="1293">
        <f>(IF('Water Report'!$AE$9&gt;0,'Water Report'!$AE$9,0))</f>
        <v>71</v>
      </c>
      <c r="AP29" s="1293">
        <f>(IF('Water Report'!$AE$10&gt;0,'Water Report'!$AE$10,0))</f>
        <v>24</v>
      </c>
      <c r="AQ29" s="1293">
        <f>(IF('Water Report'!$AE$11&gt;0,'Water Report'!$AE$11,0))</f>
        <v>16</v>
      </c>
      <c r="AR29" s="1293">
        <f>(IF('Water Report'!$AE$13&gt;0,'Water Report'!$AE$13,0))</f>
        <v>33</v>
      </c>
      <c r="AS29" s="1293">
        <f>(IF('Water Report'!$AE$14&gt;0,'Water Report'!$AE$14,0))</f>
        <v>27</v>
      </c>
      <c r="AT29" s="1293">
        <f>(IF('Water Report'!$AE$15&gt;0,'Water Report'!$AE$15,0))</f>
        <v>18</v>
      </c>
      <c r="AU29" s="1293">
        <f>(IF('Water Report'!$AE$17&gt;0,'Water Report'!$AE$17,0))</f>
        <v>0</v>
      </c>
      <c r="AV29" s="1293">
        <f>(IF('Water Report'!$AE$18&gt;0,'Water Report'!$AE$18,0))</f>
        <v>13</v>
      </c>
      <c r="AW29" s="1293">
        <f>(IF('Water Report'!$AE$19&gt;0,'Water Report'!$AE$19,0))</f>
        <v>6</v>
      </c>
      <c r="AX29" s="1368">
        <f>(IF('Water Report'!$AE$21&gt;0,'Water Report'!$AE$21,0))</f>
        <v>84</v>
      </c>
      <c r="AY29" s="1368">
        <f>(IF('Water Report'!$AE$22&gt;0,'Water Report'!$AE$22,0))</f>
        <v>32</v>
      </c>
      <c r="AZ29" s="1368">
        <f>(IF('Water Report'!$AE$23&gt;0,'Water Report'!$AE$23,0))</f>
        <v>0</v>
      </c>
      <c r="BA29" s="1368">
        <f>(IF('Water Report'!$AE$14&gt;0,'Water Report'!$AE$14,0))</f>
        <v>27</v>
      </c>
      <c r="BB29" s="1368">
        <f>(IF('Water Report'!$AE$15&gt;0,'Water Report'!$AE$15,0))</f>
        <v>18</v>
      </c>
      <c r="BC29" s="1368">
        <f>(IF('Water Report'!$AE$13&gt;0,'Water Report'!$AE$13,0))</f>
        <v>33</v>
      </c>
      <c r="BD29" s="1368">
        <f>(IF('Water Report'!$AE$24&gt;0,'Water Report'!$AE$24,0))</f>
        <v>194</v>
      </c>
      <c r="BE29" s="1368">
        <f>(IF('Water Report'!$AE$25&gt;0,'Water Report'!$AE$25,0))</f>
        <v>156</v>
      </c>
      <c r="BF29" s="1368">
        <f>(IF('Water Report'!$AE$27&gt;0,'Water Report'!$AE$27,0))</f>
        <v>117</v>
      </c>
      <c r="BG29" s="1294">
        <f>(IF('Section Load'!AN32&gt;0,'Section Load'!AN32,0))</f>
        <v>700</v>
      </c>
      <c r="BH29" s="1294">
        <f>(IF('Section Load'!AO32&gt;0,'Section Load'!AO32,0))</f>
        <v>284</v>
      </c>
      <c r="BI29" s="1294">
        <f>(IF('Section Load'!AP32&gt;0,'Section Load'!AP32,0))</f>
        <v>0</v>
      </c>
      <c r="BJ29" s="1294">
        <f>(IF('Section Load'!AQ32&gt;0,'Section Load'!AQ32,0))</f>
        <v>62</v>
      </c>
      <c r="BK29" s="1294">
        <f>(IF('Section Load'!AR32&gt;0,'Section Load'!AR32,0))</f>
        <v>30</v>
      </c>
      <c r="BL29" s="1294">
        <f>(IF('Section Load'!AS32&gt;0,'Section Load'!AS32,0))</f>
        <v>3</v>
      </c>
      <c r="BM29" s="1294">
        <f>(IF('Section Load'!AT32&gt;0,'Section Load'!AT32,0))</f>
        <v>321</v>
      </c>
    </row>
    <row r="30" spans="1:65">
      <c r="A30" s="1276" t="s">
        <v>300</v>
      </c>
      <c r="B30" s="1277">
        <f t="shared" si="0"/>
        <v>29</v>
      </c>
      <c r="C30" s="1277">
        <v>7</v>
      </c>
      <c r="D30" s="1277">
        <v>2021</v>
      </c>
      <c r="E30" s="1292">
        <f>(IF('Section Load'!F33&gt;0,'Section Load'!F33,0))</f>
        <v>2867</v>
      </c>
      <c r="F30" s="1292">
        <f>(IF('Section Load'!G33&gt;0,'Section Load'!G33,0))</f>
        <v>1416.8699999999953</v>
      </c>
      <c r="G30" s="1292">
        <f>(IF('Section Load'!H33&gt;0,'Section Load'!H33,0))</f>
        <v>1582</v>
      </c>
      <c r="H30" s="1292">
        <f>(IF('Section Load'!I33&gt;0,'Section Load'!I33,0))</f>
        <v>3564</v>
      </c>
      <c r="I30" s="1292">
        <f>(IF('Section Load'!J33&gt;0,'Section Load'!J33,0))</f>
        <v>6013</v>
      </c>
      <c r="J30" s="1292">
        <f>(IF('Section Load'!K33&gt;0,'Section Load'!K33,0))</f>
        <v>2620.67</v>
      </c>
      <c r="K30" s="1292">
        <f>(IF('Section Load'!L33&gt;0,'Section Load'!L33,0))</f>
        <v>958</v>
      </c>
      <c r="L30" s="1292">
        <f>(IF('Section Load'!M33&gt;0,'Section Load'!M33,0))</f>
        <v>608</v>
      </c>
      <c r="M30" s="1292">
        <f>(IF('Section Load'!N33&gt;0,'Section Load'!N33,0))</f>
        <v>10</v>
      </c>
      <c r="N30" s="1292">
        <f>(IF('Section Load'!O33&gt;0,'Section Load'!O33,0))</f>
        <v>1</v>
      </c>
      <c r="O30" s="1292">
        <f>(IF('Section Load'!P33&gt;0,'Section Load'!P33,0))</f>
        <v>3</v>
      </c>
      <c r="P30" s="1292">
        <f>(IF('Section Load'!Q33&gt;0,'Section Load'!Q33,0))</f>
        <v>128</v>
      </c>
      <c r="Q30" s="1292">
        <f>(IF('Section Load'!R33&gt;0,'Section Load'!R33,0))</f>
        <v>80</v>
      </c>
      <c r="R30" s="1292">
        <f>(IF('Section Load'!S33&gt;0,'Section Load'!S33,0))</f>
        <v>52</v>
      </c>
      <c r="S30" s="1292">
        <f>(IF('Section Load'!T33&gt;0,'Section Load'!T33,0))</f>
        <v>62</v>
      </c>
      <c r="T30" s="1292">
        <f>(IF('Section Load'!U33&gt;0,'Section Load'!U33,0))</f>
        <v>143</v>
      </c>
      <c r="U30" s="1292">
        <f>(IF('Section Load'!V33&gt;0,'Section Load'!V33,0))</f>
        <v>355</v>
      </c>
      <c r="V30" s="1292">
        <f>(IF('Section Load'!W33&gt;0,'Section Load'!W33,0))</f>
        <v>130</v>
      </c>
      <c r="W30" s="1292">
        <f>(IF('Section Load'!X33&gt;0,'Section Load'!X33,0))</f>
        <v>24</v>
      </c>
      <c r="X30" s="1292">
        <f>(IF('Section Load'!Y33&gt;0,'Section Load'!Y33,0))</f>
        <v>166</v>
      </c>
      <c r="Y30" s="1292">
        <f>(IF('Section Load'!Z33&gt;0,'Section Load'!Z33,0))</f>
        <v>321</v>
      </c>
      <c r="Z30" s="1292">
        <f>(IF('Section Load'!AA33&gt;0,'Section Load'!AA33,0))</f>
        <v>47</v>
      </c>
      <c r="AA30" s="1292">
        <f>(IF('Section Load'!AB33&gt;0,'Section Load'!AB33,0))</f>
        <v>30</v>
      </c>
      <c r="AB30" s="1292">
        <f>(IF('Section Load'!AC33&gt;0,'Section Load'!AC33,0))</f>
        <v>112</v>
      </c>
      <c r="AC30" s="1292">
        <f>(IF('Section Load'!AD33&gt;0,'Section Load'!AD33,0))</f>
        <v>33</v>
      </c>
      <c r="AD30" s="1292">
        <f>(IF('Section Load'!AE33&gt;0,'Section Load'!AE33,0))</f>
        <v>0</v>
      </c>
      <c r="AE30" s="1292">
        <f>(IF('Section Load'!AF33&gt;0,'Section Load'!AF33,0))</f>
        <v>0</v>
      </c>
      <c r="AF30" s="1292">
        <f>(IF('Section Load'!AG33&gt;0,'Section Load'!AG33,0))</f>
        <v>365</v>
      </c>
      <c r="AG30" s="1292">
        <f>(IF('Section Load'!AH33&gt;0,'Section Load'!AH33,0))</f>
        <v>415</v>
      </c>
      <c r="AH30" s="1292">
        <f>(IF('Section Load'!AI33&gt;0,'Section Load'!AI33,0))</f>
        <v>436</v>
      </c>
      <c r="AI30" s="1292">
        <f>(IF('Section Load'!AJ33&gt;0,'Section Load'!AJ33,0))</f>
        <v>409</v>
      </c>
      <c r="AJ30" s="1292">
        <f>(IF('Section Load'!AK33&gt;0,'Section Load'!AK33,0))</f>
        <v>0</v>
      </c>
      <c r="AK30" s="1292">
        <f>(IF('Section Load'!AL33&gt;0,'Section Load'!AL33,0))</f>
        <v>206</v>
      </c>
      <c r="AL30" s="1292">
        <f>(IF('Section Load'!AM33&gt;0,'Section Load'!AM33,0))</f>
        <v>785</v>
      </c>
      <c r="AM30" s="1293">
        <f>(IF('Water Report'!$AF$7&gt;0,'Water Report'!$AF$7,0))</f>
        <v>72</v>
      </c>
      <c r="AN30" s="1293">
        <f>(IF('Water Report'!$AF$8&gt;0,'Water Report'!$AF$8,0))</f>
        <v>111</v>
      </c>
      <c r="AO30" s="1293">
        <f>(IF('Water Report'!$AF$9&gt;0,'Water Report'!$AF$9,0))</f>
        <v>61</v>
      </c>
      <c r="AP30" s="1293">
        <f>(IF('Water Report'!$AF$10&gt;0,'Water Report'!$AF$10,0))</f>
        <v>13</v>
      </c>
      <c r="AQ30" s="1293">
        <f>(IF('Water Report'!$AF$11&gt;0,'Water Report'!$AF$11,0))</f>
        <v>17</v>
      </c>
      <c r="AR30" s="1293">
        <f>(IF('Water Report'!$AF$13&gt;0,'Water Report'!$AF$13,0))</f>
        <v>47</v>
      </c>
      <c r="AS30" s="1293">
        <f>(IF('Water Report'!$AF$14&gt;0,'Water Report'!$AF$14,0))</f>
        <v>31</v>
      </c>
      <c r="AT30" s="1293">
        <f>(IF('Water Report'!$AF$15&gt;0,'Water Report'!$AF$15,0))</f>
        <v>11</v>
      </c>
      <c r="AU30" s="1293">
        <f>(IF('Water Report'!$AF$17&gt;0,'Water Report'!$AF$17,0))</f>
        <v>0</v>
      </c>
      <c r="AV30" s="1293">
        <f>(IF('Water Report'!$AF$18&gt;0,'Water Report'!$AF$18,0))</f>
        <v>6</v>
      </c>
      <c r="AW30" s="1293">
        <f>(IF('Water Report'!$AF$19&gt;0,'Water Report'!$AF$19,0))</f>
        <v>4</v>
      </c>
      <c r="AX30" s="1368">
        <f>(IF('Water Report'!$AF$21&gt;0,'Water Report'!$AF$21,0))</f>
        <v>87</v>
      </c>
      <c r="AY30" s="1368">
        <f>(IF('Water Report'!$AF$22&gt;0,'Water Report'!$AF$22,0))</f>
        <v>51</v>
      </c>
      <c r="AZ30" s="1368">
        <f>(IF('Water Report'!$AF$23&gt;0,'Water Report'!$AF$23,0))</f>
        <v>0</v>
      </c>
      <c r="BA30" s="1368">
        <f>(IF('Water Report'!$AF$14&gt;0,'Water Report'!$AF$14,0))</f>
        <v>31</v>
      </c>
      <c r="BB30" s="1368">
        <f>(IF('Water Report'!$AF$15&gt;0,'Water Report'!$AF$15,0))</f>
        <v>11</v>
      </c>
      <c r="BC30" s="1368">
        <f>(IF('Water Report'!$AF$13&gt;0,'Water Report'!$AF$13,0))</f>
        <v>47</v>
      </c>
      <c r="BD30" s="1368">
        <f>(IF('Water Report'!$AF$24&gt;0,'Water Report'!$AF$24,0))</f>
        <v>163</v>
      </c>
      <c r="BE30" s="1368">
        <f>(IF('Water Report'!$AF$25&gt;0,'Water Report'!$AF$25,0))</f>
        <v>133</v>
      </c>
      <c r="BF30" s="1368">
        <f>(IF('Water Report'!$AF$27&gt;0,'Water Report'!$AF$27,0))</f>
        <v>134</v>
      </c>
      <c r="BG30" s="1294">
        <f>(IF('Section Load'!AN33&gt;0,'Section Load'!AN33,0))</f>
        <v>700</v>
      </c>
      <c r="BH30" s="1294">
        <f>(IF('Section Load'!AO33&gt;0,'Section Load'!AO33,0))</f>
        <v>261</v>
      </c>
      <c r="BI30" s="1294">
        <f>(IF('Section Load'!AP33&gt;0,'Section Load'!AP33,0))</f>
        <v>0</v>
      </c>
      <c r="BJ30" s="1294">
        <f>(IF('Section Load'!AQ33&gt;0,'Section Load'!AQ33,0))</f>
        <v>60</v>
      </c>
      <c r="BK30" s="1294">
        <f>(IF('Section Load'!AR33&gt;0,'Section Load'!AR33,0))</f>
        <v>30</v>
      </c>
      <c r="BL30" s="1294">
        <f>(IF('Section Load'!AS33&gt;0,'Section Load'!AS33,0))</f>
        <v>2</v>
      </c>
      <c r="BM30" s="1294">
        <f>(IF('Section Load'!AT33&gt;0,'Section Load'!AT33,0))</f>
        <v>347.39999999999418</v>
      </c>
    </row>
    <row r="31" spans="1:65">
      <c r="A31" s="1276" t="s">
        <v>300</v>
      </c>
      <c r="B31" s="1277">
        <f t="shared" si="0"/>
        <v>30</v>
      </c>
      <c r="C31" s="1277">
        <v>7</v>
      </c>
      <c r="D31" s="1277">
        <v>2021</v>
      </c>
      <c r="E31" s="1292">
        <f>(IF('Section Load'!F34&gt;0,'Section Load'!F34,0))</f>
        <v>2702.8699999999953</v>
      </c>
      <c r="F31" s="1292">
        <f>(IF('Section Load'!G34&gt;0,'Section Load'!G34,0))</f>
        <v>1412.1300000000047</v>
      </c>
      <c r="G31" s="1292">
        <f>(IF('Section Load'!H34&gt;0,'Section Load'!H34,0))</f>
        <v>1353.9300000000512</v>
      </c>
      <c r="H31" s="1292">
        <f>(IF('Section Load'!I34&gt;0,'Section Load'!I34,0))</f>
        <v>3737</v>
      </c>
      <c r="I31" s="1292">
        <f>(IF('Section Load'!J34&gt;0,'Section Load'!J34,0))</f>
        <v>5709</v>
      </c>
      <c r="J31" s="1292">
        <f>(IF('Section Load'!K34&gt;0,'Section Load'!K34,0))</f>
        <v>2538</v>
      </c>
      <c r="K31" s="1292">
        <f>(IF('Section Load'!L34&gt;0,'Section Load'!L34,0))</f>
        <v>944</v>
      </c>
      <c r="L31" s="1292">
        <f>(IF('Section Load'!M34&gt;0,'Section Load'!M34,0))</f>
        <v>653</v>
      </c>
      <c r="M31" s="1292">
        <f>(IF('Section Load'!N34&gt;0,'Section Load'!N34,0))</f>
        <v>11</v>
      </c>
      <c r="N31" s="1292">
        <f>(IF('Section Load'!O34&gt;0,'Section Load'!O34,0))</f>
        <v>1</v>
      </c>
      <c r="O31" s="1292">
        <f>(IF('Section Load'!P34&gt;0,'Section Load'!P34,0))</f>
        <v>2</v>
      </c>
      <c r="P31" s="1292">
        <f>(IF('Section Load'!Q34&gt;0,'Section Load'!Q34,0))</f>
        <v>131</v>
      </c>
      <c r="Q31" s="1292">
        <f>(IF('Section Load'!R34&gt;0,'Section Load'!R34,0))</f>
        <v>75</v>
      </c>
      <c r="R31" s="1292">
        <f>(IF('Section Load'!S34&gt;0,'Section Load'!S34,0))</f>
        <v>60</v>
      </c>
      <c r="S31" s="1292">
        <f>(IF('Section Load'!T34&gt;0,'Section Load'!T34,0))</f>
        <v>115</v>
      </c>
      <c r="T31" s="1292">
        <f>(IF('Section Load'!U34&gt;0,'Section Load'!U34,0))</f>
        <v>159</v>
      </c>
      <c r="U31" s="1292">
        <f>(IF('Section Load'!V34&gt;0,'Section Load'!V34,0))</f>
        <v>381</v>
      </c>
      <c r="V31" s="1292">
        <f>(IF('Section Load'!W34&gt;0,'Section Load'!W34,0))</f>
        <v>140</v>
      </c>
      <c r="W31" s="1292">
        <f>(IF('Section Load'!X34&gt;0,'Section Load'!X34,0))</f>
        <v>11</v>
      </c>
      <c r="X31" s="1292">
        <f>(IF('Section Load'!Y34&gt;0,'Section Load'!Y34,0))</f>
        <v>0</v>
      </c>
      <c r="Y31" s="1292">
        <f>(IF('Section Load'!Z34&gt;0,'Section Load'!Z34,0))</f>
        <v>274</v>
      </c>
      <c r="Z31" s="1292">
        <f>(IF('Section Load'!AA34&gt;0,'Section Load'!AA34,0))</f>
        <v>30</v>
      </c>
      <c r="AA31" s="1292">
        <f>(IF('Section Load'!AB34&gt;0,'Section Load'!AB34,0))</f>
        <v>35</v>
      </c>
      <c r="AB31" s="1292">
        <f>(IF('Section Load'!AC34&gt;0,'Section Load'!AC34,0))</f>
        <v>89</v>
      </c>
      <c r="AC31" s="1292">
        <f>(IF('Section Load'!AD34&gt;0,'Section Load'!AD34,0))</f>
        <v>41</v>
      </c>
      <c r="AD31" s="1292">
        <f>(IF('Section Load'!AE34&gt;0,'Section Load'!AE34,0))</f>
        <v>0</v>
      </c>
      <c r="AE31" s="1292">
        <f>(IF('Section Load'!AF34&gt;0,'Section Load'!AF34,0))</f>
        <v>0</v>
      </c>
      <c r="AF31" s="1292">
        <f>(IF('Section Load'!AG34&gt;0,'Section Load'!AG34,0))</f>
        <v>353</v>
      </c>
      <c r="AG31" s="1292">
        <f>(IF('Section Load'!AH34&gt;0,'Section Load'!AH34,0))</f>
        <v>435</v>
      </c>
      <c r="AH31" s="1292">
        <f>(IF('Section Load'!AI34&gt;0,'Section Load'!AI34,0))</f>
        <v>439</v>
      </c>
      <c r="AI31" s="1292">
        <f>(IF('Section Load'!AJ34&gt;0,'Section Load'!AJ34,0))</f>
        <v>462</v>
      </c>
      <c r="AJ31" s="1292">
        <f>(IF('Section Load'!AK34&gt;0,'Section Load'!AK34,0))</f>
        <v>0</v>
      </c>
      <c r="AK31" s="1292">
        <f>(IF('Section Load'!AL34&gt;0,'Section Load'!AL34,0))</f>
        <v>252</v>
      </c>
      <c r="AL31" s="1292">
        <f>(IF('Section Load'!AM34&gt;0,'Section Load'!AM34,0))</f>
        <v>840</v>
      </c>
      <c r="AM31" s="1293">
        <f>(IF('Water Report'!$AG$7&gt;0,'Water Report'!$AG$7,0))</f>
        <v>8</v>
      </c>
      <c r="AN31" s="1293">
        <f>(IF('Water Report'!$AG$8&gt;0,'Water Report'!$AG$8,0))</f>
        <v>110</v>
      </c>
      <c r="AO31" s="1293">
        <f>(IF('Water Report'!$AG$9&gt;0,'Water Report'!$AG$9,0))</f>
        <v>39</v>
      </c>
      <c r="AP31" s="1293">
        <f>(IF('Water Report'!$AG$10&gt;0,'Water Report'!$DAG$10,0))</f>
        <v>0</v>
      </c>
      <c r="AQ31" s="1293">
        <f>(IF('Water Report'!$AG$11&gt;0,'Water Report'!$DAG$11,0))</f>
        <v>0</v>
      </c>
      <c r="AR31" s="1293">
        <f>(IF('Water Report'!$AG$13&gt;0,'Water Report'!$DAG$13,0))</f>
        <v>0</v>
      </c>
      <c r="AS31" s="1293">
        <f>(IF('Water Report'!$AG$14&gt;0,'Water Report'!$DAG$14,0))</f>
        <v>0</v>
      </c>
      <c r="AT31" s="1293">
        <f>(IF('Water Report'!$AG$15&gt;0,'Water Report'!$DAG$15,0))</f>
        <v>0</v>
      </c>
      <c r="AU31" s="1293">
        <f>(IF('Water Report'!$AG$17&gt;0,'Water Report'!$DAG$17,0))</f>
        <v>0</v>
      </c>
      <c r="AV31" s="1293">
        <f>(IF('Water Report'!$AG$18&gt;0,'Water Report'!$DAG$18,0))</f>
        <v>0</v>
      </c>
      <c r="AW31" s="1293">
        <f>(IF('Water Report'!$AG$19&gt;0,'Water Report'!$DAG$19,0))</f>
        <v>0</v>
      </c>
      <c r="AX31" s="1368">
        <f>(IF('Water Report'!$AG$21&gt;0,'Water Report'!$DAG$21,0))</f>
        <v>0</v>
      </c>
      <c r="AY31" s="1368">
        <f>(IF('Water Report'!$AG$22&gt;0,'Water Report'!$DAG$22,0))</f>
        <v>0</v>
      </c>
      <c r="AZ31" s="1368">
        <f>(IF('Water Report'!$AG$23&gt;0,'Water Report'!$DAG$23,0))</f>
        <v>0</v>
      </c>
      <c r="BA31" s="1368">
        <f>(IF('Water Report'!$AG$14&gt;0,'Water Report'!$DAG$14,0))</f>
        <v>0</v>
      </c>
      <c r="BB31" s="1368">
        <f>(IF('Water Report'!$AG$15&gt;0,'Water Report'!$DAG$15,0))</f>
        <v>0</v>
      </c>
      <c r="BC31" s="1368">
        <f>(IF('Water Report'!$AG$13&gt;0,'Water Report'!$DAG$13,0))</f>
        <v>0</v>
      </c>
      <c r="BD31" s="1368">
        <f>(IF('Water Report'!$AG$24&gt;0,'Water Report'!$DAG$24,0))</f>
        <v>0</v>
      </c>
      <c r="BE31" s="1368">
        <f>(IF('Water Report'!$AG$25&gt;0,'Water Report'!$DAG$25,0))</f>
        <v>0</v>
      </c>
      <c r="BF31" s="1368">
        <f>(IF('Water Report'!$AG$27&gt;0,'Water Report'!$DAG$27,0))</f>
        <v>0</v>
      </c>
      <c r="BG31" s="1294">
        <f>(IF('Section Load'!AN34&gt;0,'Section Load'!AN34,0))</f>
        <v>700</v>
      </c>
      <c r="BH31" s="1294">
        <f>(IF('Section Load'!AO34&gt;0,'Section Load'!AO34,0))</f>
        <v>263</v>
      </c>
      <c r="BI31" s="1294">
        <f>(IF('Section Load'!AP34&gt;0,'Section Load'!AP34,0))</f>
        <v>0.39999999999417923</v>
      </c>
      <c r="BJ31" s="1294">
        <f>(IF('Section Load'!AQ34&gt;0,'Section Load'!AQ34,0))</f>
        <v>84</v>
      </c>
      <c r="BK31" s="1294">
        <f>(IF('Section Load'!AR34&gt;0,'Section Load'!AR34,0))</f>
        <v>30</v>
      </c>
      <c r="BL31" s="1294">
        <f>(IF('Section Load'!AS34&gt;0,'Section Load'!AS34,0))</f>
        <v>1</v>
      </c>
      <c r="BM31" s="1294">
        <f>(IF('Section Load'!AT34&gt;0,'Section Load'!AT34,0))</f>
        <v>321.60000000000582</v>
      </c>
    </row>
    <row r="32" spans="1:65">
      <c r="A32" s="1276" t="s">
        <v>300</v>
      </c>
      <c r="B32" s="1277">
        <f t="shared" si="0"/>
        <v>31</v>
      </c>
      <c r="C32" s="1277">
        <v>7</v>
      </c>
      <c r="D32" s="1277">
        <v>2021</v>
      </c>
      <c r="E32" s="1292">
        <f>(IF('Section Load'!F35&gt;0,'Section Load'!F35,0))</f>
        <v>0</v>
      </c>
      <c r="F32" s="1292">
        <f>(IF('Section Load'!G35&gt;0,'Section Load'!G35,0))</f>
        <v>0</v>
      </c>
      <c r="G32" s="1292">
        <f>(IF('Section Load'!H35&gt;0,'Section Load'!H35,0))</f>
        <v>1249</v>
      </c>
      <c r="H32" s="1292">
        <f>(IF('Section Load'!I35&gt;0,'Section Load'!I35,0))</f>
        <v>0</v>
      </c>
      <c r="I32" s="1292">
        <f>(IF('Section Load'!J35&gt;0,'Section Load'!J35,0))</f>
        <v>0</v>
      </c>
      <c r="J32" s="1292">
        <f>(IF('Section Load'!K35&gt;0,'Section Load'!K35,0))</f>
        <v>0</v>
      </c>
      <c r="K32" s="1292">
        <f>(IF('Section Load'!L35&gt;0,'Section Load'!L35,0))</f>
        <v>0</v>
      </c>
      <c r="L32" s="1292">
        <f>(IF('Section Load'!M35&gt;0,'Section Load'!M35,0))</f>
        <v>173</v>
      </c>
      <c r="M32" s="1292">
        <f>(IF('Section Load'!N35&gt;0,'Section Load'!N35,0))</f>
        <v>0</v>
      </c>
      <c r="N32" s="1292">
        <f>(IF('Section Load'!O35&gt;0,'Section Load'!O35,0))</f>
        <v>0</v>
      </c>
      <c r="O32" s="1292">
        <f>(IF('Section Load'!P35&gt;0,'Section Load'!P35,0))</f>
        <v>0</v>
      </c>
      <c r="P32" s="1292">
        <f>(IF('Section Load'!Q35&gt;0,'Section Load'!Q35,0))</f>
        <v>0</v>
      </c>
      <c r="Q32" s="1292">
        <f>(IF('Section Load'!R35&gt;0,'Section Load'!R35,0))</f>
        <v>0</v>
      </c>
      <c r="R32" s="1292">
        <f>(IF('Section Load'!S35&gt;0,'Section Load'!S35,0))</f>
        <v>0</v>
      </c>
      <c r="S32" s="1292">
        <f>(IF('Section Load'!T35&gt;0,'Section Load'!T35,0))</f>
        <v>0</v>
      </c>
      <c r="T32" s="1292">
        <f>(IF('Section Load'!U35&gt;0,'Section Load'!U35,0))</f>
        <v>0</v>
      </c>
      <c r="U32" s="1292">
        <f>(IF('Section Load'!V35&gt;0,'Section Load'!V35,0))</f>
        <v>0</v>
      </c>
      <c r="V32" s="1292">
        <f>(IF('Section Load'!W35&gt;0,'Section Load'!W35,0))</f>
        <v>0</v>
      </c>
      <c r="W32" s="1292">
        <f>(IF('Section Load'!X35&gt;0,'Section Load'!X35,0))</f>
        <v>0</v>
      </c>
      <c r="X32" s="1292">
        <f>(IF('Section Load'!Y35&gt;0,'Section Load'!Y35,0))</f>
        <v>0</v>
      </c>
      <c r="Y32" s="1292">
        <f>(IF('Section Load'!Z35&gt;0,'Section Load'!Z35,0))</f>
        <v>0</v>
      </c>
      <c r="Z32" s="1292">
        <f>(IF('Section Load'!AA35&gt;0,'Section Load'!AA35,0))</f>
        <v>0</v>
      </c>
      <c r="AA32" s="1292">
        <f>(IF('Section Load'!AB35&gt;0,'Section Load'!AB35,0))</f>
        <v>0</v>
      </c>
      <c r="AB32" s="1292">
        <f>(IF('Section Load'!AC35&gt;0,'Section Load'!AC35,0))</f>
        <v>0</v>
      </c>
      <c r="AC32" s="1292">
        <f>(IF('Section Load'!AD35&gt;0,'Section Load'!AD35,0))</f>
        <v>0</v>
      </c>
      <c r="AD32" s="1292">
        <f>(IF('Section Load'!AE35&gt;0,'Section Load'!AE35,0))</f>
        <v>0</v>
      </c>
      <c r="AE32" s="1292">
        <f>(IF('Section Load'!AF35&gt;0,'Section Load'!AF35,0))</f>
        <v>0</v>
      </c>
      <c r="AF32" s="1292">
        <f>(IF('Section Load'!AG35&gt;0,'Section Load'!AG35,0))</f>
        <v>0</v>
      </c>
      <c r="AG32" s="1292">
        <f>(IF('Section Load'!AH35&gt;0,'Section Load'!AH35,0))</f>
        <v>0</v>
      </c>
      <c r="AH32" s="1292">
        <f>(IF('Section Load'!AI35&gt;0,'Section Load'!AI35,0))</f>
        <v>0</v>
      </c>
      <c r="AI32" s="1292">
        <f>(IF('Section Load'!AJ35&gt;0,'Section Load'!AJ35,0))</f>
        <v>0</v>
      </c>
      <c r="AJ32" s="1292">
        <f>(IF('Section Load'!AK35&gt;0,'Section Load'!AK35,0))</f>
        <v>0</v>
      </c>
      <c r="AK32" s="1292">
        <f>(IF('Section Load'!AL35&gt;0,'Section Load'!AL35,0))</f>
        <v>0</v>
      </c>
      <c r="AL32" s="1292">
        <f>(IF('Section Load'!AM35&gt;0,'Section Load'!AM35,0))</f>
        <v>0</v>
      </c>
      <c r="AM32" s="1293">
        <f>(IF('Water Report'!$AH$7&gt;0,'Water Report'!$AH$7,0))</f>
        <v>0</v>
      </c>
      <c r="AN32" s="1293">
        <f>(IF('Water Report'!$AH$8&gt;0,'Water Report'!$AH$8,0))</f>
        <v>0</v>
      </c>
      <c r="AO32" s="1293">
        <f>(IF('Water Report'!$AH$9&gt;0,'Water Report'!$AH$9,0))</f>
        <v>0</v>
      </c>
      <c r="AP32" s="1293">
        <f>(IF('Water Report'!$AH$10&gt;0,'Water Report'!$DAH$10,0))</f>
        <v>0</v>
      </c>
      <c r="AQ32" s="1293">
        <f>(IF('Water Report'!$AH$11&gt;0,'Water Report'!$DAH$11,0))</f>
        <v>0</v>
      </c>
      <c r="AR32" s="1293">
        <f>(IF('Water Report'!$AH$13&gt;0,'Water Report'!$DAH$13,0))</f>
        <v>0</v>
      </c>
      <c r="AS32" s="1293">
        <f>(IF('Water Report'!$AH$14&gt;0,'Water Report'!$DAH$14,0))</f>
        <v>0</v>
      </c>
      <c r="AT32" s="1293">
        <f>(IF('Water Report'!$AH$15&gt;0,'Water Report'!$DAH$15,0))</f>
        <v>0</v>
      </c>
      <c r="AU32" s="1293">
        <f>(IF('Water Report'!$AH$17&gt;0,'Water Report'!$DAH$17,0))</f>
        <v>0</v>
      </c>
      <c r="AV32" s="1293">
        <f>(IF('Water Report'!$AH$18&gt;0,'Water Report'!$DAH$18,0))</f>
        <v>0</v>
      </c>
      <c r="AW32" s="1293">
        <f>(IF('Water Report'!$AH$19&gt;0,'Water Report'!$DAH$19,0))</f>
        <v>0</v>
      </c>
      <c r="AX32" s="1368">
        <f>(IF('Water Report'!$AH$21&gt;0,'Water Report'!$DAH$21,0))</f>
        <v>0</v>
      </c>
      <c r="AY32" s="1368">
        <f>(IF('Water Report'!$AH$22&gt;0,'Water Report'!$DAH$22,0))</f>
        <v>0</v>
      </c>
      <c r="AZ32" s="1368">
        <f>(IF('Water Report'!$AH$23&gt;0,'Water Report'!$DAH$23,0))</f>
        <v>0</v>
      </c>
      <c r="BA32" s="1368">
        <f>(IF('Water Report'!$AH$14&gt;0,'Water Report'!$DAH$14,0))</f>
        <v>0</v>
      </c>
      <c r="BB32" s="1368">
        <f>(IF('Water Report'!$AH$15&gt;0,'Water Report'!$DAH$15,0))</f>
        <v>0</v>
      </c>
      <c r="BC32" s="1368">
        <f>(IF('Water Report'!$AH$13&gt;0,'Water Report'!$DAH$13,0))</f>
        <v>0</v>
      </c>
      <c r="BD32" s="1368">
        <f>(IF('Water Report'!$AH$24&gt;0,'Water Report'!$DAH$24,0))</f>
        <v>0</v>
      </c>
      <c r="BE32" s="1368">
        <f>(IF('Water Report'!$AH$25&gt;0,'Water Report'!$DAH$25,0))</f>
        <v>0</v>
      </c>
      <c r="BF32" s="1368">
        <f>(IF('Water Report'!$AH$27&gt;0,'Water Report'!$DAH$27,0))</f>
        <v>0</v>
      </c>
      <c r="BG32" s="1294">
        <f>(IF('Section Load'!AN35&gt;0,'Section Load'!AN35,0))</f>
        <v>700</v>
      </c>
      <c r="BH32" s="1294">
        <f>(IF('Section Load'!AO35&gt;0,'Section Load'!AO35,0))</f>
        <v>0</v>
      </c>
      <c r="BI32" s="1294">
        <f>(IF('Section Load'!AP35&gt;0,'Section Load'!AP35,0))</f>
        <v>0</v>
      </c>
      <c r="BJ32" s="1294">
        <f>(IF('Section Load'!AQ35&gt;0,'Section Load'!AQ35,0))</f>
        <v>0</v>
      </c>
      <c r="BK32" s="1294">
        <f>(IF('Section Load'!AR35&gt;0,'Section Load'!AR35,0))</f>
        <v>0</v>
      </c>
      <c r="BL32" s="1294">
        <f>(IF('Section Load'!AS35&gt;0,'Section Load'!AS35,0))</f>
        <v>0</v>
      </c>
      <c r="BM32" s="1294">
        <f>(IF('Section Load'!AT35&gt;0,'Section Load'!AT35,0))</f>
        <v>10815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R4" activeCellId="2" sqref="K4:K7 O4:O7 R4:R7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21"/>
      <c r="B1" s="1521"/>
      <c r="C1" s="1521"/>
      <c r="D1" s="1521"/>
      <c r="E1" s="1521"/>
      <c r="F1" s="1521"/>
      <c r="G1" s="1521"/>
      <c r="H1" s="1521"/>
      <c r="I1" s="1521"/>
      <c r="J1" s="1521"/>
      <c r="K1" s="1521"/>
      <c r="L1" s="1521"/>
      <c r="M1" s="1521"/>
      <c r="N1" s="1521"/>
      <c r="O1" s="1521"/>
      <c r="P1" s="1521"/>
      <c r="Q1" s="1521"/>
      <c r="R1" s="1521"/>
      <c r="S1" s="1521"/>
      <c r="T1" s="1521"/>
      <c r="U1" s="1521"/>
      <c r="V1" s="1521"/>
      <c r="W1" s="1521"/>
      <c r="X1" s="1521"/>
      <c r="Y1" s="1521"/>
      <c r="Z1" s="1521"/>
      <c r="AA1" s="1521"/>
      <c r="AB1" s="1521"/>
      <c r="AC1" s="1521"/>
      <c r="AD1" s="1521"/>
      <c r="AE1" s="1521"/>
      <c r="AF1" s="1521"/>
      <c r="AG1" s="1521"/>
      <c r="AH1" s="1521"/>
      <c r="AI1" s="1521"/>
      <c r="AJ1" s="1521"/>
      <c r="AK1" s="1521"/>
      <c r="AL1" s="1521"/>
      <c r="AM1" s="1521"/>
      <c r="AN1" s="1521"/>
      <c r="AO1" s="1521"/>
      <c r="AP1" s="1521"/>
      <c r="AQ1" s="1521"/>
      <c r="AR1" s="1521"/>
      <c r="AS1" s="1521"/>
      <c r="AT1" s="1521"/>
      <c r="AU1" s="1521"/>
      <c r="AV1" s="1521"/>
      <c r="AW1" s="1521"/>
      <c r="AX1" s="1521"/>
      <c r="AY1" s="1521"/>
      <c r="AZ1" s="1521"/>
      <c r="BA1" s="1521"/>
      <c r="BB1" s="1521"/>
      <c r="BC1" s="1521"/>
      <c r="BD1" s="1521"/>
      <c r="BE1" s="1521"/>
      <c r="BF1" s="1521"/>
      <c r="BG1" s="1521"/>
      <c r="BH1" s="1521"/>
      <c r="BI1" s="1521"/>
      <c r="BJ1" s="1521"/>
      <c r="BK1" s="1521"/>
      <c r="BL1" s="1521"/>
      <c r="BM1" s="1521"/>
      <c r="BN1" s="1521"/>
      <c r="BO1" s="1521"/>
    </row>
    <row r="2" spans="1:70" ht="28.5" customHeight="1">
      <c r="A2" s="1" t="s">
        <v>0</v>
      </c>
      <c r="B2" s="1" t="s">
        <v>0</v>
      </c>
      <c r="C2" s="1113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22" t="s">
        <v>6</v>
      </c>
      <c r="J2" s="1522"/>
      <c r="K2" s="1522"/>
      <c r="L2" s="237"/>
      <c r="M2" s="1523" t="s">
        <v>7</v>
      </c>
      <c r="N2" s="1523"/>
      <c r="O2" s="1523"/>
      <c r="P2" s="1524" t="s">
        <v>8</v>
      </c>
      <c r="Q2" s="1524"/>
      <c r="R2" s="1524"/>
      <c r="S2" s="237" t="s">
        <v>9</v>
      </c>
      <c r="T2" s="1525" t="s">
        <v>10</v>
      </c>
      <c r="U2" s="1525"/>
      <c r="V2" s="1525"/>
      <c r="W2" s="1526" t="s">
        <v>11</v>
      </c>
      <c r="X2" s="1527"/>
      <c r="Y2" s="1528"/>
      <c r="Z2" s="1112"/>
      <c r="AA2" s="1529" t="s">
        <v>12</v>
      </c>
      <c r="AB2" s="1529"/>
      <c r="AC2" s="1529"/>
      <c r="AD2" s="1529"/>
      <c r="AE2" s="1113"/>
      <c r="AF2" s="1113" t="s">
        <v>13</v>
      </c>
      <c r="AG2" s="1113" t="s">
        <v>14</v>
      </c>
      <c r="AH2" s="1529" t="s">
        <v>15</v>
      </c>
      <c r="AI2" s="1529"/>
      <c r="AJ2" s="1529"/>
      <c r="AK2" s="1113" t="s">
        <v>16</v>
      </c>
      <c r="AL2" s="1529" t="s">
        <v>17</v>
      </c>
      <c r="AM2" s="1529"/>
      <c r="AN2" s="1529"/>
      <c r="AO2" s="1113" t="s">
        <v>18</v>
      </c>
      <c r="AP2" s="5" t="s">
        <v>19</v>
      </c>
      <c r="AQ2" s="1530" t="s">
        <v>20</v>
      </c>
      <c r="AR2" s="1531"/>
      <c r="AS2" s="1531"/>
      <c r="AT2" s="1531"/>
      <c r="AU2" s="1531"/>
      <c r="AV2" s="1531"/>
      <c r="AW2" s="1531"/>
      <c r="AX2" s="1531"/>
      <c r="AY2" s="1531"/>
      <c r="AZ2" s="1532"/>
      <c r="BA2" s="1530" t="s">
        <v>21</v>
      </c>
      <c r="BB2" s="1531"/>
      <c r="BC2" s="1531"/>
      <c r="BD2" s="1531"/>
      <c r="BE2" s="1531"/>
      <c r="BF2" s="1531"/>
      <c r="BG2" s="1531"/>
      <c r="BH2" s="1531"/>
      <c r="BI2" s="1531"/>
      <c r="BJ2" s="438"/>
      <c r="BK2" s="420"/>
      <c r="BL2" s="232"/>
      <c r="BM2" s="232"/>
      <c r="BN2" s="232"/>
      <c r="BO2" s="1113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373</v>
      </c>
      <c r="I3" s="11" t="s">
        <v>372</v>
      </c>
      <c r="J3" s="11" t="s">
        <v>26</v>
      </c>
      <c r="K3" s="233" t="s">
        <v>27</v>
      </c>
      <c r="L3" s="233" t="s">
        <v>28</v>
      </c>
      <c r="M3" s="11" t="s">
        <v>29</v>
      </c>
      <c r="N3" s="11" t="s">
        <v>26</v>
      </c>
      <c r="O3" s="233" t="s">
        <v>27</v>
      </c>
      <c r="P3" s="11" t="s">
        <v>30</v>
      </c>
      <c r="Q3" s="11" t="s">
        <v>26</v>
      </c>
      <c r="R3" s="233" t="s">
        <v>27</v>
      </c>
      <c r="S3" s="233"/>
      <c r="T3" s="7" t="s">
        <v>31</v>
      </c>
      <c r="U3" s="7" t="s">
        <v>26</v>
      </c>
      <c r="V3" s="233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257"/>
      <c r="AQ3" s="259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260" t="s">
        <v>54</v>
      </c>
      <c r="BA3" s="259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419" t="s">
        <v>61</v>
      </c>
      <c r="BJ3" s="419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0.73</v>
      </c>
      <c r="G4" s="19">
        <f>'1'!G8</f>
        <v>23260.790000000037</v>
      </c>
      <c r="H4" s="19">
        <f>'1'!G7</f>
        <v>23102.75</v>
      </c>
      <c r="I4" s="19">
        <f>'1'!G8</f>
        <v>23260.790000000037</v>
      </c>
      <c r="J4" s="19">
        <v>9</v>
      </c>
      <c r="K4" s="242">
        <f>I4*J4</f>
        <v>209347.11000000034</v>
      </c>
      <c r="L4" s="238">
        <f>I4/202</f>
        <v>115.15242574257444</v>
      </c>
      <c r="M4" s="19">
        <f>'1'!G15</f>
        <v>918.37800000002608</v>
      </c>
      <c r="N4" s="19">
        <v>53</v>
      </c>
      <c r="O4" s="238">
        <f>M4*N4</f>
        <v>48674.034000001382</v>
      </c>
      <c r="P4" s="19">
        <f>'1'!G20</f>
        <v>154</v>
      </c>
      <c r="Q4" s="19">
        <v>108</v>
      </c>
      <c r="R4" s="239">
        <f t="shared" ref="R4:R33" si="0">P4*Q4</f>
        <v>16632</v>
      </c>
      <c r="S4" s="240">
        <f t="shared" ref="S4:S33" si="1">P4/(F4*202/100)</f>
        <v>104.435101044351</v>
      </c>
      <c r="T4" s="19">
        <f>'1'!G24</f>
        <v>0</v>
      </c>
      <c r="U4" s="19">
        <v>69</v>
      </c>
      <c r="V4" s="241">
        <f>T4*U4</f>
        <v>0</v>
      </c>
      <c r="W4" s="22">
        <f>'1'!G96</f>
        <v>86</v>
      </c>
      <c r="X4" s="22">
        <f>'1'!G97</f>
        <v>17</v>
      </c>
      <c r="Y4" s="22">
        <f>'1'!G98</f>
        <v>18</v>
      </c>
      <c r="Z4" s="22">
        <f>W4+X4+Y4</f>
        <v>121</v>
      </c>
      <c r="AA4" s="19">
        <f>'1'!G133</f>
        <v>18.010000000002037</v>
      </c>
      <c r="AB4" s="19">
        <f>'1'!G134</f>
        <v>0</v>
      </c>
      <c r="AC4" s="19">
        <f>'1'!G135</f>
        <v>14.209999999999127</v>
      </c>
      <c r="AD4" s="19">
        <f>'1'!G136</f>
        <v>0</v>
      </c>
      <c r="AE4" s="19">
        <f>AA4+AB4+AC4+AD4</f>
        <v>32.220000000001164</v>
      </c>
      <c r="AF4" s="23">
        <f t="shared" ref="AF4:AF33" si="2">AV4+AW4+BF4+BG4</f>
        <v>7659.8599999999569</v>
      </c>
      <c r="AG4" s="23">
        <f>AF4/AE4</f>
        <v>237.73618870265923</v>
      </c>
      <c r="AH4" s="19">
        <f>'1'!G137</f>
        <v>10.169999999998254</v>
      </c>
      <c r="AI4" s="19">
        <f>'1'!G138</f>
        <v>0</v>
      </c>
      <c r="AJ4" s="19">
        <f>'1'!G139</f>
        <v>0</v>
      </c>
      <c r="AK4" s="19">
        <f>AH4+AI4+AJ4</f>
        <v>10.169999999998254</v>
      </c>
      <c r="AL4" s="19">
        <f>'1'!G140</f>
        <v>9.9100000000003092</v>
      </c>
      <c r="AM4" s="19">
        <f>'1'!G141</f>
        <v>-2.9999999999745341E-2</v>
      </c>
      <c r="AN4" s="19"/>
      <c r="AO4" s="19">
        <f>AL4+AM4</f>
        <v>9.8800000000005639</v>
      </c>
      <c r="AP4" s="258">
        <f>'1'!G124</f>
        <v>269.55000000004657</v>
      </c>
      <c r="AQ4" s="261">
        <f>'1'!G35</f>
        <v>2908.0999999999767</v>
      </c>
      <c r="AR4" s="19">
        <f>'1'!G37</f>
        <v>1476.4500000000116</v>
      </c>
      <c r="AS4" s="19">
        <f>'1'!G38</f>
        <v>1714.9899999999907</v>
      </c>
      <c r="AT4" s="19">
        <f>'1'!G39</f>
        <v>3790.429999999993</v>
      </c>
      <c r="AU4" s="19">
        <f>'1'!G40</f>
        <v>485.05000000000018</v>
      </c>
      <c r="AV4" s="19">
        <f>'1'!G41</f>
        <v>4092.0499999999884</v>
      </c>
      <c r="AW4" s="19">
        <f>'1'!G42</f>
        <v>8.000000000174623E-2</v>
      </c>
      <c r="AX4" s="19">
        <f>'1'!G43</f>
        <v>2635</v>
      </c>
      <c r="AY4" s="19">
        <f>'1'!G44</f>
        <v>0</v>
      </c>
      <c r="AZ4" s="262">
        <f>'1'!G36</f>
        <v>947.75</v>
      </c>
      <c r="BA4" s="261">
        <f>'1'!G49</f>
        <v>0.13000000000465661</v>
      </c>
      <c r="BB4" s="19">
        <f>'1'!G51</f>
        <v>-0.13000000000465661</v>
      </c>
      <c r="BC4" s="19">
        <f>'1'!G52</f>
        <v>0</v>
      </c>
      <c r="BD4" s="19">
        <f>'1'!G53</f>
        <v>-0.40999999997438863</v>
      </c>
      <c r="BE4" s="19">
        <f>'1'!G54</f>
        <v>0</v>
      </c>
      <c r="BF4" s="19">
        <f>'1'!G55</f>
        <v>3556.2599999999948</v>
      </c>
      <c r="BG4" s="19">
        <f>'1'!G56</f>
        <v>11.46999999997206</v>
      </c>
      <c r="BH4" s="19">
        <f>'1'!G57</f>
        <v>0</v>
      </c>
      <c r="BI4" s="262">
        <f>'1'!G50</f>
        <v>1429.3499999999767</v>
      </c>
      <c r="BJ4" s="370">
        <f>SUM(AV4,AW4,BF4,BG4)</f>
        <v>7659.8599999999569</v>
      </c>
      <c r="BK4" s="370">
        <f>'1'!G84</f>
        <v>816</v>
      </c>
      <c r="BL4" s="23">
        <f>SUM(AQ4,AV4,AW4,AX4,BA4,BF4,BG4,BH4)/I4%</f>
        <v>56.761141818484745</v>
      </c>
      <c r="BM4" s="23">
        <f>SUM(AT4,BD4)/I4%</f>
        <v>16.293599658481128</v>
      </c>
      <c r="BN4" s="24">
        <f>(AS4+BC4)/I4</f>
        <v>7.3728794249893828E-2</v>
      </c>
      <c r="BO4" s="25">
        <f>K4+O4+R4+V4</f>
        <v>274653.14400000172</v>
      </c>
      <c r="BP4" s="213">
        <f>SUM(AV4,AW4,AX4,BF4,BG4,BH4,BK4)</f>
        <v>11110.859999999957</v>
      </c>
      <c r="BQ4">
        <f>BP4/(AE4*280)</f>
        <v>1.2315841979249307</v>
      </c>
      <c r="BR4" s="213">
        <f>SUM(AV4,AW4,BF4,BG4)/(AE4*400)</f>
        <v>0.59434047175664806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21035.119999999995</v>
      </c>
      <c r="H5" s="19">
        <f>'2'!G7</f>
        <v>20930</v>
      </c>
      <c r="I5" s="19">
        <f>'2'!G8</f>
        <v>21035.119999999995</v>
      </c>
      <c r="J5" s="19">
        <v>9</v>
      </c>
      <c r="K5" s="242">
        <f t="shared" ref="K5:K34" si="3">I5*J5</f>
        <v>189316.07999999996</v>
      </c>
      <c r="L5" s="238">
        <f t="shared" ref="L5:L33" si="4">I5/202</f>
        <v>104.13425742574255</v>
      </c>
      <c r="M5" s="19">
        <f>'2'!G15</f>
        <v>510.87400000006892</v>
      </c>
      <c r="N5" s="19">
        <v>53</v>
      </c>
      <c r="O5" s="238">
        <f t="shared" ref="O5:O33" si="5">M5*N5</f>
        <v>27076.322000003653</v>
      </c>
      <c r="P5" s="19">
        <f>'2'!G20</f>
        <v>162</v>
      </c>
      <c r="Q5" s="19">
        <v>108</v>
      </c>
      <c r="R5" s="239">
        <f t="shared" si="0"/>
        <v>17496</v>
      </c>
      <c r="S5" s="240">
        <f t="shared" si="1"/>
        <v>133.66336633663366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100</v>
      </c>
      <c r="X5" s="22">
        <f>'2'!G97</f>
        <v>15</v>
      </c>
      <c r="Y5" s="22">
        <f>'2'!G98</f>
        <v>19</v>
      </c>
      <c r="Z5" s="22">
        <f t="shared" ref="Z5:Z33" si="7">W5+X5+Y5</f>
        <v>134</v>
      </c>
      <c r="AA5" s="19">
        <f>'2'!G133</f>
        <v>11.279999999998836</v>
      </c>
      <c r="AB5" s="19">
        <f>'2'!G134</f>
        <v>0</v>
      </c>
      <c r="AC5" s="19">
        <f>'2'!G135</f>
        <v>16.830000000001746</v>
      </c>
      <c r="AD5" s="19">
        <f>'2'!G136</f>
        <v>0</v>
      </c>
      <c r="AE5" s="19">
        <f t="shared" ref="AE5:AE33" si="8">AA5+AB5+AC5+AD5</f>
        <v>28.110000000000582</v>
      </c>
      <c r="AF5" s="23">
        <f t="shared" si="2"/>
        <v>6559.910000000069</v>
      </c>
      <c r="AG5" s="23">
        <f t="shared" ref="AG5:AG33" si="9">AF5/AE5</f>
        <v>233.36570615439106</v>
      </c>
      <c r="AH5" s="19">
        <f>'2'!G137</f>
        <v>0</v>
      </c>
      <c r="AI5" s="19">
        <f>'2'!G138</f>
        <v>0</v>
      </c>
      <c r="AJ5" s="19">
        <f>'2'!G139</f>
        <v>0</v>
      </c>
      <c r="AK5" s="19">
        <f t="shared" ref="AK5:AK33" si="10">AH5+AI5+AJ5</f>
        <v>0</v>
      </c>
      <c r="AL5" s="19">
        <f>'2'!G140</f>
        <v>9.6999999999998181</v>
      </c>
      <c r="AM5" s="19">
        <f>'2'!G141</f>
        <v>0</v>
      </c>
      <c r="AN5" s="19"/>
      <c r="AO5" s="19">
        <f t="shared" ref="AO5:AO33" si="11">AL5+AM5</f>
        <v>9.6999999999998181</v>
      </c>
      <c r="AP5" s="258">
        <f>'2'!G124</f>
        <v>259.19999999995343</v>
      </c>
      <c r="AQ5" s="261">
        <f>'2'!G35</f>
        <v>2899.4000000000233</v>
      </c>
      <c r="AR5" s="19">
        <f>'2'!G37</f>
        <v>1439.8799999999756</v>
      </c>
      <c r="AS5" s="19">
        <f>'2'!G38</f>
        <v>1509.8399999999965</v>
      </c>
      <c r="AT5" s="19">
        <f>'2'!G39</f>
        <v>3743.4799999999814</v>
      </c>
      <c r="AU5" s="19">
        <f>'2'!G40</f>
        <v>304.25</v>
      </c>
      <c r="AV5" s="19">
        <f>'2'!G41</f>
        <v>2743.7800000000279</v>
      </c>
      <c r="AW5" s="19">
        <f>'2'!G42</f>
        <v>11.909999999996217</v>
      </c>
      <c r="AX5" s="19">
        <f>'2'!G43</f>
        <v>2514.3999999999069</v>
      </c>
      <c r="AY5" s="19">
        <f>'2'!G44</f>
        <v>0</v>
      </c>
      <c r="AZ5" s="262">
        <f>'2'!G36</f>
        <v>884.90000000000146</v>
      </c>
      <c r="BA5" s="261">
        <f>'2'!G49</f>
        <v>0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0</v>
      </c>
      <c r="BF5" s="19">
        <f>'2'!G55</f>
        <v>3794.1800000000076</v>
      </c>
      <c r="BG5" s="19">
        <f>'2'!G56</f>
        <v>10.040000000037253</v>
      </c>
      <c r="BH5" s="19">
        <f>'2'!G57</f>
        <v>0</v>
      </c>
      <c r="BI5" s="262">
        <f>'2'!G50</f>
        <v>1047.9200000000419</v>
      </c>
      <c r="BJ5" s="370">
        <f t="shared" ref="BJ5:BJ32" si="12">SUM(AV5,AW5,BF5,BG5)</f>
        <v>6559.910000000069</v>
      </c>
      <c r="BK5" s="370">
        <f>'2'!G84</f>
        <v>846</v>
      </c>
      <c r="BL5" s="23">
        <f t="shared" ref="BL5:BL33" si="13">SUM(AQ5,AV5,AW5,AX5,BA5,BF5,BG5,BH5)/I5%</f>
        <v>56.922470611054287</v>
      </c>
      <c r="BM5" s="23">
        <f t="shared" ref="BM5:BM33" si="14">SUM(AT5,BD5)/I5%</f>
        <v>17.796332989780815</v>
      </c>
      <c r="BN5" s="24">
        <f t="shared" ref="BN5:BN33" si="15">(AS5+BC5)/I5</f>
        <v>7.1777104195269475E-2</v>
      </c>
      <c r="BO5" s="25">
        <f t="shared" ref="BO5:BO33" si="16">K5+O5+R5+V5</f>
        <v>233888.40200000361</v>
      </c>
      <c r="BP5" s="213">
        <f t="shared" ref="BP5:BP35" si="17">SUM(AV5,AW5,AX5,BF5,BG5,BH5,BK5)</f>
        <v>9920.3099999999758</v>
      </c>
      <c r="BQ5">
        <f t="shared" ref="BQ5:BQ35" si="18">BP5/(AE5*280)</f>
        <v>1.260394114956519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22104.089999999967</v>
      </c>
      <c r="H6" s="19">
        <f>'3'!G7</f>
        <v>22034.25</v>
      </c>
      <c r="I6" s="19">
        <f>'3'!G8</f>
        <v>22104.089999999967</v>
      </c>
      <c r="J6" s="19">
        <v>9</v>
      </c>
      <c r="K6" s="242">
        <f t="shared" si="3"/>
        <v>198936.80999999971</v>
      </c>
      <c r="L6" s="238">
        <f t="shared" si="4"/>
        <v>109.42618811881172</v>
      </c>
      <c r="M6" s="19">
        <f>'3'!G15</f>
        <v>940.26799999992363</v>
      </c>
      <c r="N6" s="19">
        <v>53</v>
      </c>
      <c r="O6" s="238">
        <f t="shared" si="5"/>
        <v>49834.203999995952</v>
      </c>
      <c r="P6" s="19">
        <f>'3'!G20</f>
        <v>210</v>
      </c>
      <c r="Q6" s="19">
        <v>108</v>
      </c>
      <c r="R6" s="239">
        <f t="shared" si="0"/>
        <v>22680</v>
      </c>
      <c r="S6" s="240">
        <f t="shared" si="1"/>
        <v>182.38665971860348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102</v>
      </c>
      <c r="X6" s="22">
        <f>'3'!G97</f>
        <v>30</v>
      </c>
      <c r="Y6" s="22">
        <f>'3'!G98</f>
        <v>31</v>
      </c>
      <c r="Z6" s="22">
        <f>W6+X6+Y6</f>
        <v>163</v>
      </c>
      <c r="AA6" s="19">
        <f>'3'!G133</f>
        <v>23.709999999999127</v>
      </c>
      <c r="AB6" s="19">
        <f>'3'!G134</f>
        <v>0</v>
      </c>
      <c r="AC6" s="19">
        <f>'3'!G135</f>
        <v>4.157999999995809</v>
      </c>
      <c r="AD6" s="19">
        <f>'3'!G136</f>
        <v>0</v>
      </c>
      <c r="AE6" s="19">
        <f t="shared" si="8"/>
        <v>27.867999999994936</v>
      </c>
      <c r="AF6" s="23">
        <f t="shared" si="2"/>
        <v>6902.2899999998917</v>
      </c>
      <c r="AG6" s="23">
        <f t="shared" si="9"/>
        <v>247.67798191478204</v>
      </c>
      <c r="AH6" s="19">
        <f>'3'!G137</f>
        <v>10.130000000001019</v>
      </c>
      <c r="AI6" s="19">
        <f>'3'!G138</f>
        <v>0</v>
      </c>
      <c r="AJ6" s="19">
        <f>'3'!G139</f>
        <v>0</v>
      </c>
      <c r="AK6" s="19">
        <f t="shared" si="10"/>
        <v>10.130000000001019</v>
      </c>
      <c r="AL6" s="19">
        <f>'3'!G140</f>
        <v>11.119999999999891</v>
      </c>
      <c r="AM6" s="19">
        <f>'3'!G141</f>
        <v>0</v>
      </c>
      <c r="AN6" s="19"/>
      <c r="AO6" s="19">
        <f t="shared" si="11"/>
        <v>11.119999999999891</v>
      </c>
      <c r="AP6" s="258">
        <f>'3'!G124</f>
        <v>301.71999999997206</v>
      </c>
      <c r="AQ6" s="261">
        <f>'3'!G35</f>
        <v>3065.4000000000233</v>
      </c>
      <c r="AR6" s="19">
        <f>'3'!G37</f>
        <v>1600.140000000014</v>
      </c>
      <c r="AS6" s="19">
        <f>'3'!G38</f>
        <v>1669.2400000000198</v>
      </c>
      <c r="AT6" s="19">
        <f>'3'!G39</f>
        <v>3847.8400000000256</v>
      </c>
      <c r="AU6" s="19">
        <f>'3'!G40</f>
        <v>319.07999999999902</v>
      </c>
      <c r="AV6" s="19">
        <f>'3'!G41</f>
        <v>5975.0799999999581</v>
      </c>
      <c r="AW6" s="19">
        <f>'3'!G42</f>
        <v>0</v>
      </c>
      <c r="AX6" s="19">
        <f>'3'!G43</f>
        <v>2589.8000000000466</v>
      </c>
      <c r="AY6" s="19">
        <f>'3'!G44</f>
        <v>0</v>
      </c>
      <c r="AZ6" s="262">
        <f>'3'!G36</f>
        <v>680.21999999999753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0</v>
      </c>
      <c r="BF6" s="19">
        <f>'3'!G55</f>
        <v>916.52999999999884</v>
      </c>
      <c r="BG6" s="19">
        <f>'3'!G56</f>
        <v>10.679999999934807</v>
      </c>
      <c r="BH6" s="19">
        <f>'3'!G57</f>
        <v>0</v>
      </c>
      <c r="BI6" s="262">
        <f>'3'!G50</f>
        <v>1085.7999999999302</v>
      </c>
      <c r="BJ6" s="370">
        <f t="shared" si="12"/>
        <v>6902.2899999998917</v>
      </c>
      <c r="BK6" s="370">
        <f>'3'!G84</f>
        <v>817</v>
      </c>
      <c r="BL6" s="23">
        <f t="shared" si="13"/>
        <v>56.810707882568245</v>
      </c>
      <c r="BM6" s="23">
        <f t="shared" si="14"/>
        <v>17.407819095923113</v>
      </c>
      <c r="BN6" s="24">
        <f t="shared" si="15"/>
        <v>7.551724590336098E-2</v>
      </c>
      <c r="BO6" s="25">
        <f t="shared" si="16"/>
        <v>271451.01399999566</v>
      </c>
      <c r="BP6" s="213">
        <f t="shared" si="17"/>
        <v>10309.089999999938</v>
      </c>
      <c r="BQ6">
        <f t="shared" si="18"/>
        <v>1.3211632902050754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21866.599999999977</v>
      </c>
      <c r="H7" s="19">
        <f>'4'!G7</f>
        <v>21708.650000000023</v>
      </c>
      <c r="I7" s="19">
        <f>'4'!G8</f>
        <v>21866.599999999977</v>
      </c>
      <c r="J7" s="19">
        <v>9</v>
      </c>
      <c r="K7" s="242">
        <f t="shared" si="3"/>
        <v>196799.39999999979</v>
      </c>
      <c r="L7" s="238">
        <f t="shared" si="4"/>
        <v>108.25049504950483</v>
      </c>
      <c r="M7" s="19">
        <f>'4'!G15</f>
        <v>786.87999999988824</v>
      </c>
      <c r="N7" s="19">
        <v>53</v>
      </c>
      <c r="O7" s="238">
        <f t="shared" si="5"/>
        <v>41704.639999994077</v>
      </c>
      <c r="P7" s="19">
        <f>'4'!G20</f>
        <v>271</v>
      </c>
      <c r="Q7" s="19">
        <v>108</v>
      </c>
      <c r="R7" s="239">
        <f t="shared" si="0"/>
        <v>29268</v>
      </c>
      <c r="S7" s="240">
        <f t="shared" si="1"/>
        <v>1341.5841584158413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147</v>
      </c>
      <c r="X7" s="22">
        <f>'4'!G97</f>
        <v>39</v>
      </c>
      <c r="Y7" s="22">
        <f>'4'!G98</f>
        <v>32</v>
      </c>
      <c r="Z7" s="22">
        <f t="shared" si="7"/>
        <v>218</v>
      </c>
      <c r="AA7" s="19">
        <f>'4'!G133</f>
        <v>24</v>
      </c>
      <c r="AB7" s="19">
        <f>'4'!G134</f>
        <v>0</v>
      </c>
      <c r="AC7" s="19">
        <f>'4'!G135</f>
        <v>5.1419999999998254</v>
      </c>
      <c r="AD7" s="19">
        <f>'4'!G136</f>
        <v>0</v>
      </c>
      <c r="AE7" s="19">
        <f t="shared" si="8"/>
        <v>29.141999999999825</v>
      </c>
      <c r="AF7" s="23">
        <f t="shared" si="2"/>
        <v>6765.8400000000911</v>
      </c>
      <c r="AG7" s="23">
        <f t="shared" si="9"/>
        <v>232.16800494132633</v>
      </c>
      <c r="AH7" s="19">
        <f>'4'!G137</f>
        <v>6.1199999999989814</v>
      </c>
      <c r="AI7" s="19">
        <f>'4'!G138</f>
        <v>0</v>
      </c>
      <c r="AJ7" s="19">
        <f>'4'!G139</f>
        <v>0</v>
      </c>
      <c r="AK7" s="19">
        <f t="shared" si="10"/>
        <v>6.1199999999989814</v>
      </c>
      <c r="AL7" s="19">
        <f>'4'!G140</f>
        <v>12.110000000000127</v>
      </c>
      <c r="AM7" s="19">
        <f>'4'!G141</f>
        <v>2.9999999999745341E-2</v>
      </c>
      <c r="AN7" s="19"/>
      <c r="AO7" s="19">
        <f t="shared" si="11"/>
        <v>12.139999999999873</v>
      </c>
      <c r="AP7" s="258">
        <f>'4'!G124</f>
        <v>327.72999999998137</v>
      </c>
      <c r="AQ7" s="261">
        <f>'4'!G35</f>
        <v>2968.9000000000233</v>
      </c>
      <c r="AR7" s="19">
        <f>'4'!G37</f>
        <v>1478.6399999999849</v>
      </c>
      <c r="AS7" s="19">
        <f>'4'!G38</f>
        <v>1792.820000000007</v>
      </c>
      <c r="AT7" s="19">
        <f>'4'!G39</f>
        <v>3681.5999999999767</v>
      </c>
      <c r="AU7" s="19">
        <f>'4'!G40</f>
        <v>498.04000000000087</v>
      </c>
      <c r="AV7" s="19">
        <f>'4'!G41</f>
        <v>5702</v>
      </c>
      <c r="AW7" s="19">
        <f>'4'!G42</f>
        <v>-0.79999999999563443</v>
      </c>
      <c r="AX7" s="19">
        <f>'4'!G43</f>
        <v>2614</v>
      </c>
      <c r="AY7" s="19">
        <f>'4'!G44</f>
        <v>0</v>
      </c>
      <c r="AZ7" s="262">
        <f>'4'!G36</f>
        <v>713.35000000000218</v>
      </c>
      <c r="BA7" s="261">
        <f>'4'!G49</f>
        <v>0</v>
      </c>
      <c r="BB7" s="19">
        <f>'4'!G51</f>
        <v>0</v>
      </c>
      <c r="BC7" s="19">
        <f>'4'!G52</f>
        <v>6.9999999948777258E-2</v>
      </c>
      <c r="BD7" s="19">
        <f>'4'!G53</f>
        <v>0</v>
      </c>
      <c r="BE7" s="19">
        <f>'4'!G54</f>
        <v>0</v>
      </c>
      <c r="BF7" s="19">
        <f>'4'!G55</f>
        <v>1054.0399999999936</v>
      </c>
      <c r="BG7" s="19">
        <f>'4'!G56</f>
        <v>10.600000000093132</v>
      </c>
      <c r="BH7" s="19">
        <f>'4'!G57</f>
        <v>0</v>
      </c>
      <c r="BI7" s="262">
        <f>'4'!G50</f>
        <v>1085.9300000000512</v>
      </c>
      <c r="BJ7" s="370">
        <f t="shared" si="12"/>
        <v>6765.8400000000911</v>
      </c>
      <c r="BK7" s="370">
        <f>'3'!G84</f>
        <v>817</v>
      </c>
      <c r="BL7" s="23">
        <f t="shared" si="13"/>
        <v>56.47306851545337</v>
      </c>
      <c r="BM7" s="23">
        <f t="shared" si="14"/>
        <v>16.83663669706301</v>
      </c>
      <c r="BN7" s="24">
        <f t="shared" si="15"/>
        <v>8.1992170707835585E-2</v>
      </c>
      <c r="BO7" s="25">
        <f t="shared" si="16"/>
        <v>267772.03999999387</v>
      </c>
      <c r="BP7" s="213">
        <f t="shared" si="17"/>
        <v>10196.840000000091</v>
      </c>
      <c r="BQ7">
        <f t="shared" si="18"/>
        <v>1.2496494994951017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0.98</v>
      </c>
      <c r="G8" s="19">
        <f>'5'!G8</f>
        <v>20992.61</v>
      </c>
      <c r="H8" s="19">
        <f>'5'!G7</f>
        <v>20879.79</v>
      </c>
      <c r="I8" s="19">
        <f>'5'!G8</f>
        <v>20992.61</v>
      </c>
      <c r="J8" s="19">
        <v>9</v>
      </c>
      <c r="K8" s="242">
        <f t="shared" si="3"/>
        <v>188933.49</v>
      </c>
      <c r="L8" s="238">
        <f t="shared" si="4"/>
        <v>103.92381188118812</v>
      </c>
      <c r="M8" s="19">
        <f>'5'!G15</f>
        <v>925.06000000005588</v>
      </c>
      <c r="N8" s="19">
        <v>53</v>
      </c>
      <c r="O8" s="238">
        <f t="shared" si="5"/>
        <v>49028.180000002962</v>
      </c>
      <c r="P8" s="19">
        <f>'5'!G20</f>
        <v>241</v>
      </c>
      <c r="Q8" s="19">
        <v>108</v>
      </c>
      <c r="R8" s="239">
        <f t="shared" si="0"/>
        <v>26028</v>
      </c>
      <c r="S8" s="240">
        <f t="shared" si="1"/>
        <v>121.74176601333603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120</v>
      </c>
      <c r="X8" s="22">
        <f>'5'!G97</f>
        <v>12</v>
      </c>
      <c r="Y8" s="22">
        <f>'5'!G98</f>
        <v>18</v>
      </c>
      <c r="Z8" s="22">
        <f t="shared" si="7"/>
        <v>150</v>
      </c>
      <c r="AA8" s="19">
        <f>'5'!G133</f>
        <v>24.80000000000291</v>
      </c>
      <c r="AB8" s="19">
        <f>'5'!G134</f>
        <v>0</v>
      </c>
      <c r="AC8" s="19">
        <f>'5'!G135</f>
        <v>11.160000000003492</v>
      </c>
      <c r="AD8" s="19">
        <f>'5'!G136</f>
        <v>0</v>
      </c>
      <c r="AE8" s="19">
        <f t="shared" si="8"/>
        <v>35.960000000006403</v>
      </c>
      <c r="AF8" s="23">
        <f t="shared" si="2"/>
        <v>6521.6600000000326</v>
      </c>
      <c r="AG8" s="23">
        <f t="shared" si="9"/>
        <v>181.35873192432902</v>
      </c>
      <c r="AH8" s="19">
        <f>'5'!G137</f>
        <v>7.0900000000001455</v>
      </c>
      <c r="AI8" s="19">
        <f>'5'!G138</f>
        <v>3.6300000000010186</v>
      </c>
      <c r="AJ8" s="19">
        <f>'5'!G139</f>
        <v>0.66999999999825377</v>
      </c>
      <c r="AK8" s="19">
        <f t="shared" si="10"/>
        <v>11.389999999999418</v>
      </c>
      <c r="AL8" s="19">
        <f>'5'!G140</f>
        <v>9.8200000000001637</v>
      </c>
      <c r="AM8" s="19">
        <f>'5'!G141</f>
        <v>0</v>
      </c>
      <c r="AN8" s="19"/>
      <c r="AO8" s="19">
        <f t="shared" si="11"/>
        <v>9.8200000000001637</v>
      </c>
      <c r="AP8" s="258">
        <f>'5'!G124</f>
        <v>265.82000000006519</v>
      </c>
      <c r="AQ8" s="261">
        <f>'5'!G35</f>
        <v>2828.6999999999534</v>
      </c>
      <c r="AR8" s="19">
        <f>'5'!G37</f>
        <v>1447.6800000000221</v>
      </c>
      <c r="AS8" s="19">
        <f>'5'!G38</f>
        <v>1640.5</v>
      </c>
      <c r="AT8" s="19">
        <f>'5'!G39</f>
        <v>3669.3600000000442</v>
      </c>
      <c r="AU8" s="19">
        <f>'5'!G40</f>
        <v>325.56999999999971</v>
      </c>
      <c r="AV8" s="19">
        <f>'5'!G41</f>
        <v>4050.960000000021</v>
      </c>
      <c r="AW8" s="19">
        <f>'5'!G42</f>
        <v>0</v>
      </c>
      <c r="AX8" s="19">
        <f>'5'!G43</f>
        <v>2554.6999999999534</v>
      </c>
      <c r="AY8" s="19">
        <f>'5'!G44</f>
        <v>0</v>
      </c>
      <c r="AZ8" s="262">
        <f>'5'!G36</f>
        <v>728.12999999999738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0</v>
      </c>
      <c r="BF8" s="19">
        <f>'5'!G55</f>
        <v>2459.9400000000023</v>
      </c>
      <c r="BG8" s="19">
        <f>'5'!G56</f>
        <v>10.760000000009313</v>
      </c>
      <c r="BH8" s="19">
        <f>'5'!G57</f>
        <v>0</v>
      </c>
      <c r="BI8" s="262">
        <f>'5'!G50</f>
        <v>1002.1300000000047</v>
      </c>
      <c r="BJ8" s="370">
        <f t="shared" si="12"/>
        <v>6521.6600000000326</v>
      </c>
      <c r="BK8" s="370">
        <f>'5'!G84</f>
        <v>825</v>
      </c>
      <c r="BL8" s="23">
        <f t="shared" si="13"/>
        <v>56.71071867671499</v>
      </c>
      <c r="BM8" s="23">
        <f t="shared" si="14"/>
        <v>17.479293903902583</v>
      </c>
      <c r="BN8" s="24">
        <f t="shared" si="15"/>
        <v>7.8146547761331245E-2</v>
      </c>
      <c r="BO8" s="25">
        <f t="shared" si="16"/>
        <v>263989.67000000295</v>
      </c>
      <c r="BP8" s="213">
        <f t="shared" si="17"/>
        <v>9901.359999999986</v>
      </c>
      <c r="BQ8">
        <f t="shared" si="18"/>
        <v>0.9833704115682329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0.60399999999999998</v>
      </c>
      <c r="G9" s="19">
        <f>'6'!G8</f>
        <v>19837.629999999997</v>
      </c>
      <c r="H9" s="19">
        <f>'6'!G7</f>
        <v>19757.91</v>
      </c>
      <c r="I9" s="19">
        <f>'6'!G8</f>
        <v>19837.629999999997</v>
      </c>
      <c r="J9" s="19">
        <v>9</v>
      </c>
      <c r="K9" s="242">
        <f t="shared" si="3"/>
        <v>178538.66999999998</v>
      </c>
      <c r="L9" s="238">
        <f t="shared" si="4"/>
        <v>98.206089108910874</v>
      </c>
      <c r="M9" s="19">
        <f>'6'!G15</f>
        <v>430.95999999996275</v>
      </c>
      <c r="N9" s="19">
        <v>53</v>
      </c>
      <c r="O9" s="238">
        <f t="shared" si="5"/>
        <v>22840.879999998026</v>
      </c>
      <c r="P9" s="19">
        <f>'6'!G20</f>
        <v>149</v>
      </c>
      <c r="Q9" s="19">
        <v>108</v>
      </c>
      <c r="R9" s="239">
        <f t="shared" si="0"/>
        <v>16092</v>
      </c>
      <c r="S9" s="240">
        <f t="shared" si="1"/>
        <v>122.1231394662645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59</v>
      </c>
      <c r="X9" s="22">
        <f>'6'!G97</f>
        <v>18</v>
      </c>
      <c r="Y9" s="22">
        <f>'6'!G98</f>
        <v>21</v>
      </c>
      <c r="Z9" s="22">
        <f t="shared" si="7"/>
        <v>98</v>
      </c>
      <c r="AA9" s="19">
        <f>'6'!G133</f>
        <v>4.1999999999970896</v>
      </c>
      <c r="AB9" s="19">
        <f>'6'!G134</f>
        <v>0.18999999999999773</v>
      </c>
      <c r="AC9" s="19">
        <f>'6'!G135</f>
        <v>18.650000000001455</v>
      </c>
      <c r="AD9" s="19">
        <f>'6'!G136</f>
        <v>0</v>
      </c>
      <c r="AE9" s="19">
        <f t="shared" si="8"/>
        <v>23.039999999998543</v>
      </c>
      <c r="AF9" s="23">
        <f t="shared" si="2"/>
        <v>5789.6300000000192</v>
      </c>
      <c r="AG9" s="23">
        <f t="shared" si="9"/>
        <v>251.28602430557228</v>
      </c>
      <c r="AH9" s="19">
        <f>'6'!G137</f>
        <v>9.9999999998544808E-2</v>
      </c>
      <c r="AI9" s="19">
        <f>'6'!G138</f>
        <v>0</v>
      </c>
      <c r="AJ9" s="19">
        <f>'6'!G139</f>
        <v>0</v>
      </c>
      <c r="AK9" s="19">
        <f t="shared" si="10"/>
        <v>9.9999999998544808E-2</v>
      </c>
      <c r="AL9" s="19">
        <f>'6'!G140</f>
        <v>9.8899999999998727</v>
      </c>
      <c r="AM9" s="19">
        <f>'6'!G141</f>
        <v>0</v>
      </c>
      <c r="AN9" s="19"/>
      <c r="AO9" s="19">
        <f t="shared" si="11"/>
        <v>9.8899999999998727</v>
      </c>
      <c r="AP9" s="258">
        <f>'6'!G124</f>
        <v>261.8399999999674</v>
      </c>
      <c r="AQ9" s="261">
        <f>'6'!G35</f>
        <v>2786.1999999999534</v>
      </c>
      <c r="AR9" s="19">
        <f>'6'!G37</f>
        <v>1525.2599999999802</v>
      </c>
      <c r="AS9" s="19">
        <f>'6'!G38</f>
        <v>1382.5</v>
      </c>
      <c r="AT9" s="19">
        <f>'6'!G39</f>
        <v>3628.7599999999511</v>
      </c>
      <c r="AU9" s="19">
        <f>'6'!G40</f>
        <v>301.80000000000109</v>
      </c>
      <c r="AV9" s="19">
        <f>'6'!G41</f>
        <v>2061.2000000000116</v>
      </c>
      <c r="AW9" s="19">
        <f>'6'!G42</f>
        <v>0</v>
      </c>
      <c r="AX9" s="19">
        <f>'6'!G43</f>
        <v>2584.9000000001397</v>
      </c>
      <c r="AY9" s="19">
        <f>'6'!G44</f>
        <v>0</v>
      </c>
      <c r="AZ9" s="262">
        <f>'6'!G36</f>
        <v>727.79000000000087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0</v>
      </c>
      <c r="BF9" s="19">
        <f>'6'!G55</f>
        <v>3728.4300000000076</v>
      </c>
      <c r="BG9" s="19">
        <f>'6'!G56</f>
        <v>0</v>
      </c>
      <c r="BH9" s="19">
        <f>'6'!G57</f>
        <v>0</v>
      </c>
      <c r="BI9" s="262">
        <f>'6'!G50</f>
        <v>959.02000000001863</v>
      </c>
      <c r="BJ9" s="370">
        <f t="shared" si="12"/>
        <v>5789.6300000000192</v>
      </c>
      <c r="BK9" s="370">
        <f>'6'!G84</f>
        <v>809</v>
      </c>
      <c r="BL9" s="23">
        <f t="shared" si="13"/>
        <v>56.260400057870385</v>
      </c>
      <c r="BM9" s="23">
        <f t="shared" si="14"/>
        <v>18.292306086966796</v>
      </c>
      <c r="BN9" s="24">
        <f t="shared" si="15"/>
        <v>6.9690784635059747E-2</v>
      </c>
      <c r="BO9" s="25">
        <f t="shared" si="16"/>
        <v>217471.54999999801</v>
      </c>
      <c r="BP9" s="213">
        <f t="shared" si="17"/>
        <v>9183.5300000001589</v>
      </c>
      <c r="BQ9">
        <f t="shared" si="18"/>
        <v>1.4235382564485275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0.53</v>
      </c>
      <c r="G10" s="19">
        <f>'7'!G8</f>
        <v>21913.78</v>
      </c>
      <c r="H10" s="19">
        <f>'7'!G7</f>
        <v>21808.890000000007</v>
      </c>
      <c r="I10" s="19">
        <f>'7'!G8</f>
        <v>21913.78</v>
      </c>
      <c r="J10" s="19">
        <v>9</v>
      </c>
      <c r="K10" s="242">
        <f t="shared" si="3"/>
        <v>197224.02</v>
      </c>
      <c r="L10" s="238">
        <f t="shared" si="4"/>
        <v>108.48405940594058</v>
      </c>
      <c r="M10" s="19">
        <f>'7'!G15</f>
        <v>850.19000000017695</v>
      </c>
      <c r="N10" s="19">
        <v>53</v>
      </c>
      <c r="O10" s="238">
        <f t="shared" si="5"/>
        <v>45060.070000009378</v>
      </c>
      <c r="P10" s="19">
        <f>'7'!G20</f>
        <v>168</v>
      </c>
      <c r="Q10" s="19">
        <v>108</v>
      </c>
      <c r="R10" s="239">
        <f t="shared" si="0"/>
        <v>18144</v>
      </c>
      <c r="S10" s="240">
        <f t="shared" si="1"/>
        <v>156.92135251260976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76</v>
      </c>
      <c r="X10" s="22">
        <f>'7'!G97</f>
        <v>15</v>
      </c>
      <c r="Y10" s="22">
        <f>'7'!G98</f>
        <v>22</v>
      </c>
      <c r="Z10" s="22">
        <f t="shared" si="7"/>
        <v>113</v>
      </c>
      <c r="AA10" s="19">
        <f>'7'!G133</f>
        <v>17</v>
      </c>
      <c r="AB10" s="19">
        <f>'7'!G134</f>
        <v>0</v>
      </c>
      <c r="AC10" s="19">
        <f>'7'!G135</f>
        <v>12.94999999999709</v>
      </c>
      <c r="AD10" s="19">
        <f>'7'!G136</f>
        <v>0</v>
      </c>
      <c r="AE10" s="19">
        <f t="shared" si="8"/>
        <v>29.94999999999709</v>
      </c>
      <c r="AF10" s="23">
        <f t="shared" si="2"/>
        <v>6831.7899999999208</v>
      </c>
      <c r="AG10" s="23">
        <f t="shared" si="9"/>
        <v>228.10651085143854</v>
      </c>
      <c r="AH10" s="19">
        <f>'7'!G137</f>
        <v>9.1100000000005821</v>
      </c>
      <c r="AI10" s="19">
        <f>'7'!G138</f>
        <v>0</v>
      </c>
      <c r="AJ10" s="19">
        <f>'7'!G139</f>
        <v>0</v>
      </c>
      <c r="AK10" s="19">
        <f t="shared" si="10"/>
        <v>9.1100000000005821</v>
      </c>
      <c r="AL10" s="19">
        <f>'7'!G140</f>
        <v>9.5599999999999454</v>
      </c>
      <c r="AM10" s="19">
        <f>'7'!G141</f>
        <v>0</v>
      </c>
      <c r="AN10" s="19"/>
      <c r="AO10" s="19">
        <f t="shared" si="11"/>
        <v>9.5599999999999454</v>
      </c>
      <c r="AP10" s="258">
        <f>'7'!G124</f>
        <v>259.97999999998137</v>
      </c>
      <c r="AQ10" s="261">
        <f>'7'!G35</f>
        <v>2919.1999999999534</v>
      </c>
      <c r="AR10" s="19">
        <f>'7'!G37</f>
        <v>1587.7400000000198</v>
      </c>
      <c r="AS10" s="19">
        <f>'7'!G38</f>
        <v>1549.2399999999907</v>
      </c>
      <c r="AT10" s="19">
        <f>'7'!G39</f>
        <v>3603.320000000007</v>
      </c>
      <c r="AU10" s="19">
        <f>'7'!G40</f>
        <v>484.97999999999956</v>
      </c>
      <c r="AV10" s="19">
        <f>'7'!G41</f>
        <v>3876.2000000000116</v>
      </c>
      <c r="AW10" s="19">
        <f>'7'!G42</f>
        <v>0</v>
      </c>
      <c r="AX10" s="19">
        <f>'7'!G43</f>
        <v>2722.6999999999534</v>
      </c>
      <c r="AY10" s="19">
        <f>'7'!G44</f>
        <v>0</v>
      </c>
      <c r="AZ10" s="262">
        <f>'7'!G36</f>
        <v>820.85000000000218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7.9999999958090484E-2</v>
      </c>
      <c r="BE10" s="19">
        <f>'7'!G54</f>
        <v>0</v>
      </c>
      <c r="BF10" s="19">
        <f>'7'!G55</f>
        <v>2933.6699999999837</v>
      </c>
      <c r="BG10" s="19">
        <f>'7'!G56</f>
        <v>21.919999999925494</v>
      </c>
      <c r="BH10" s="19">
        <f>'7'!G57</f>
        <v>0</v>
      </c>
      <c r="BI10" s="262">
        <f>'7'!G50</f>
        <v>1261.9199999999255</v>
      </c>
      <c r="BJ10" s="370">
        <f t="shared" si="12"/>
        <v>6831.7899999999208</v>
      </c>
      <c r="BK10" s="370">
        <f>'7'!G84</f>
        <v>792</v>
      </c>
      <c r="BL10" s="23">
        <f t="shared" si="13"/>
        <v>56.921672116813383</v>
      </c>
      <c r="BM10" s="23">
        <f t="shared" si="14"/>
        <v>16.4435346161181</v>
      </c>
      <c r="BN10" s="24">
        <f t="shared" si="15"/>
        <v>7.0697068237428259E-2</v>
      </c>
      <c r="BO10" s="25">
        <f t="shared" si="16"/>
        <v>260428.09000000937</v>
      </c>
      <c r="BP10" s="213">
        <f t="shared" si="17"/>
        <v>10346.489999999874</v>
      </c>
      <c r="BQ10">
        <f t="shared" si="18"/>
        <v>1.2337813021703887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0.88</v>
      </c>
      <c r="G11" s="19">
        <f>'8'!G8</f>
        <v>21721.17</v>
      </c>
      <c r="H11" s="19">
        <f>'8'!G7</f>
        <v>21620.319999999992</v>
      </c>
      <c r="I11" s="19">
        <f>'8'!G8</f>
        <v>21721.17</v>
      </c>
      <c r="J11" s="19">
        <v>9</v>
      </c>
      <c r="K11" s="242">
        <f t="shared" si="3"/>
        <v>195490.52999999997</v>
      </c>
      <c r="L11" s="238">
        <f t="shared" si="4"/>
        <v>107.53054455445543</v>
      </c>
      <c r="M11" s="19">
        <f>'8'!G15</f>
        <v>821.54999999981374</v>
      </c>
      <c r="N11" s="19">
        <v>53</v>
      </c>
      <c r="O11" s="238">
        <f t="shared" si="5"/>
        <v>43542.149999990128</v>
      </c>
      <c r="P11" s="19">
        <f>'8'!G20</f>
        <v>161</v>
      </c>
      <c r="Q11" s="19">
        <v>108</v>
      </c>
      <c r="R11" s="239">
        <f t="shared" si="0"/>
        <v>17388</v>
      </c>
      <c r="S11" s="240">
        <f t="shared" si="1"/>
        <v>90.571557155715581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80</v>
      </c>
      <c r="X11" s="22">
        <f>'8'!G97</f>
        <v>17</v>
      </c>
      <c r="Y11" s="22">
        <f>'8'!G98</f>
        <v>24</v>
      </c>
      <c r="Z11" s="22">
        <f t="shared" si="7"/>
        <v>121</v>
      </c>
      <c r="AA11" s="19">
        <f>'8'!G133</f>
        <v>7.3799999999973807</v>
      </c>
      <c r="AB11" s="19">
        <f>'8'!G134</f>
        <v>0</v>
      </c>
      <c r="AC11" s="19">
        <f>'8'!G135</f>
        <v>24.05000000000291</v>
      </c>
      <c r="AD11" s="19">
        <f>'8'!G136</f>
        <v>5.0000000002910383E-2</v>
      </c>
      <c r="AE11" s="19">
        <f t="shared" si="8"/>
        <v>31.480000000003201</v>
      </c>
      <c r="AF11" s="23">
        <f t="shared" si="2"/>
        <v>6741.3199999999779</v>
      </c>
      <c r="AG11" s="23">
        <f t="shared" si="9"/>
        <v>214.1461245234845</v>
      </c>
      <c r="AH11" s="19">
        <f>'8'!G137</f>
        <v>8.069999999999709</v>
      </c>
      <c r="AI11" s="19">
        <f>'8'!G138</f>
        <v>0</v>
      </c>
      <c r="AJ11" s="19">
        <f>'8'!G139</f>
        <v>0</v>
      </c>
      <c r="AK11" s="19">
        <f t="shared" si="10"/>
        <v>8.069999999999709</v>
      </c>
      <c r="AL11" s="19">
        <f>'8'!G140</f>
        <v>9.2300000000000182</v>
      </c>
      <c r="AM11" s="19">
        <f>'8'!G141</f>
        <v>0</v>
      </c>
      <c r="AN11" s="19"/>
      <c r="AO11" s="19">
        <f t="shared" si="11"/>
        <v>9.2300000000000182</v>
      </c>
      <c r="AP11" s="258">
        <f>'8'!G124</f>
        <v>251.29000000003725</v>
      </c>
      <c r="AQ11" s="261">
        <f>'8'!G35</f>
        <v>3141.7000000001863</v>
      </c>
      <c r="AR11" s="19">
        <f>'8'!G37</f>
        <v>1563.2200000000012</v>
      </c>
      <c r="AS11" s="19">
        <f>'8'!G38</f>
        <v>1545.1600000000035</v>
      </c>
      <c r="AT11" s="19">
        <f>'8'!G39</f>
        <v>3552.4000000000233</v>
      </c>
      <c r="AU11" s="19">
        <f>'8'!G40</f>
        <v>387.1299999999992</v>
      </c>
      <c r="AV11" s="19">
        <f>'8'!G41</f>
        <v>1414.0799999999581</v>
      </c>
      <c r="AW11" s="19">
        <f>'8'!G42</f>
        <v>0</v>
      </c>
      <c r="AX11" s="19">
        <f>'8'!G43</f>
        <v>2769</v>
      </c>
      <c r="AY11" s="23">
        <f>'8'!G44</f>
        <v>0</v>
      </c>
      <c r="AZ11" s="262">
        <f>'8'!G36</f>
        <v>674.62999999999738</v>
      </c>
      <c r="BA11" s="261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0</v>
      </c>
      <c r="BF11" s="19">
        <f>'8'!G55</f>
        <v>5316.4800000000105</v>
      </c>
      <c r="BG11" s="19">
        <f>'8'!G56</f>
        <v>10.760000000009313</v>
      </c>
      <c r="BH11" s="19">
        <f>'8'!G57</f>
        <v>0</v>
      </c>
      <c r="BI11" s="262">
        <f>'8'!G50</f>
        <v>1089.6300000000047</v>
      </c>
      <c r="BJ11" s="370">
        <f t="shared" si="12"/>
        <v>6741.3199999999779</v>
      </c>
      <c r="BK11" s="370">
        <f>'8'!G84</f>
        <v>809</v>
      </c>
      <c r="BL11" s="23">
        <f t="shared" si="13"/>
        <v>58.247414849200872</v>
      </c>
      <c r="BM11" s="23">
        <f t="shared" si="14"/>
        <v>16.354551803609215</v>
      </c>
      <c r="BN11" s="24">
        <f t="shared" si="15"/>
        <v>7.1136131248915394E-2</v>
      </c>
      <c r="BO11" s="25">
        <f t="shared" si="16"/>
        <v>256420.6799999901</v>
      </c>
      <c r="BP11" s="213">
        <f t="shared" si="17"/>
        <v>10319.319999999978</v>
      </c>
      <c r="BQ11">
        <f t="shared" si="18"/>
        <v>1.1707342530403577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0.88</v>
      </c>
      <c r="F12" s="256">
        <f>'9'!D2</f>
        <v>0.16</v>
      </c>
      <c r="G12" s="19">
        <f>'9'!G8</f>
        <v>21500</v>
      </c>
      <c r="H12" s="19">
        <f>'9'!G7</f>
        <v>21500</v>
      </c>
      <c r="I12" s="19">
        <f>'9'!G8</f>
        <v>21500</v>
      </c>
      <c r="J12" s="19">
        <v>9</v>
      </c>
      <c r="K12" s="242">
        <f t="shared" si="3"/>
        <v>193500</v>
      </c>
      <c r="L12" s="238">
        <f t="shared" si="4"/>
        <v>106.43564356435644</v>
      </c>
      <c r="M12" s="19">
        <f>'9'!G15</f>
        <v>700</v>
      </c>
      <c r="N12" s="19">
        <v>53</v>
      </c>
      <c r="O12" s="238">
        <f t="shared" si="5"/>
        <v>37100</v>
      </c>
      <c r="P12" s="19">
        <f>'9'!G20</f>
        <v>-1807</v>
      </c>
      <c r="Q12" s="19">
        <v>108</v>
      </c>
      <c r="R12" s="239">
        <f t="shared" si="0"/>
        <v>-195156</v>
      </c>
      <c r="S12" s="240">
        <f t="shared" si="1"/>
        <v>-5590.9653465346537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-2064</v>
      </c>
      <c r="X12" s="22">
        <f>'9'!G97</f>
        <v>-576</v>
      </c>
      <c r="Y12" s="22">
        <f>'9'!G98</f>
        <v>-733</v>
      </c>
      <c r="Z12" s="22">
        <f t="shared" si="7"/>
        <v>-3373</v>
      </c>
      <c r="AA12" s="19">
        <f>'9'!G133</f>
        <v>-484.37999999999738</v>
      </c>
      <c r="AB12" s="19">
        <f>'9'!G134</f>
        <v>-0.18999999999999773</v>
      </c>
      <c r="AC12" s="19">
        <f>'9'!G135</f>
        <v>-348.70000000000437</v>
      </c>
      <c r="AD12" s="19">
        <f>'9'!G136</f>
        <v>0</v>
      </c>
      <c r="AE12" s="19">
        <f t="shared" si="8"/>
        <v>-833.2700000000018</v>
      </c>
      <c r="AF12" s="23">
        <f t="shared" si="2"/>
        <v>-179539.05999999994</v>
      </c>
      <c r="AG12" s="23">
        <f t="shared" si="9"/>
        <v>215.46324720678717</v>
      </c>
      <c r="AH12" s="19">
        <f>'9'!G137</f>
        <v>-116.56999999999971</v>
      </c>
      <c r="AI12" s="19">
        <f>'9'!G138</f>
        <v>-43.200000000000728</v>
      </c>
      <c r="AJ12" s="19">
        <f>'9'!G139</f>
        <v>-65.879999999990105</v>
      </c>
      <c r="AK12" s="19">
        <f t="shared" si="10"/>
        <v>-225.64999999999054</v>
      </c>
      <c r="AL12" s="19">
        <f>'9'!G140</f>
        <v>-292.73</v>
      </c>
      <c r="AM12" s="19">
        <f>'9'!G141</f>
        <v>-0.11999999999989086</v>
      </c>
      <c r="AN12" s="19"/>
      <c r="AO12" s="19">
        <f t="shared" si="11"/>
        <v>-292.84999999999991</v>
      </c>
      <c r="AP12" s="258">
        <f>'9'!G124</f>
        <v>-7859.1300000000047</v>
      </c>
      <c r="AQ12" s="261">
        <f>'9'!G35</f>
        <v>-79870.600000000093</v>
      </c>
      <c r="AR12" s="19">
        <f>'9'!G37</f>
        <v>-42596.010000000009</v>
      </c>
      <c r="AS12" s="19">
        <f>'9'!G38</f>
        <v>-43875.290000000008</v>
      </c>
      <c r="AT12" s="19">
        <f>'9'!G39</f>
        <v>-102211.19</v>
      </c>
      <c r="AU12" s="19">
        <f>'9'!G40</f>
        <v>-9161.9</v>
      </c>
      <c r="AV12" s="19">
        <f>'9'!G41</f>
        <v>-105977.34999999998</v>
      </c>
      <c r="AW12" s="19">
        <f>'9'!G42</f>
        <v>0.52999999999883585</v>
      </c>
      <c r="AX12" s="19">
        <f>'9'!G43</f>
        <v>-77566.5</v>
      </c>
      <c r="AY12" s="23">
        <f>'9'!G44</f>
        <v>0</v>
      </c>
      <c r="AZ12" s="262">
        <f>'9'!G36</f>
        <v>-21370.62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-467</v>
      </c>
      <c r="BF12" s="19">
        <f>'9'!G55</f>
        <v>-73259.009999999995</v>
      </c>
      <c r="BG12" s="19">
        <f>'9'!G56</f>
        <v>-303.22999999998137</v>
      </c>
      <c r="BH12" s="19">
        <f>'9'!G57</f>
        <v>0</v>
      </c>
      <c r="BI12" s="262">
        <f>'9'!G50</f>
        <v>-32542.699999999953</v>
      </c>
      <c r="BJ12" s="370">
        <f t="shared" si="12"/>
        <v>-179539.05999999994</v>
      </c>
      <c r="BK12" s="370">
        <f>'8'!G84</f>
        <v>809</v>
      </c>
      <c r="BL12" s="23">
        <f t="shared" si="13"/>
        <v>-1567.3309767441863</v>
      </c>
      <c r="BM12" s="23">
        <f t="shared" si="14"/>
        <v>-475.40088372093027</v>
      </c>
      <c r="BN12" s="24">
        <f t="shared" si="15"/>
        <v>-2.0407111627906982</v>
      </c>
      <c r="BO12" s="25">
        <f t="shared" si="16"/>
        <v>35444</v>
      </c>
      <c r="BP12" s="213">
        <f t="shared" si="17"/>
        <v>-256296.55999999994</v>
      </c>
      <c r="BQ12">
        <f t="shared" si="18"/>
        <v>1.0984973143673178</v>
      </c>
    </row>
    <row r="13" spans="1:70">
      <c r="A13" s="16">
        <v>10</v>
      </c>
      <c r="B13" s="27">
        <v>10</v>
      </c>
      <c r="C13" s="26"/>
      <c r="D13" s="19">
        <f>'10'!D3</f>
        <v>29</v>
      </c>
      <c r="E13" s="256">
        <f>'10'!D4</f>
        <v>0.78</v>
      </c>
      <c r="F13" s="256">
        <f>'10'!D2</f>
        <v>0.89</v>
      </c>
      <c r="G13" s="19">
        <f>'10'!G8</f>
        <v>21499.999999999985</v>
      </c>
      <c r="H13" s="19">
        <f>'10'!G7</f>
        <v>21500</v>
      </c>
      <c r="I13" s="19">
        <f>'10'!G8</f>
        <v>21499.999999999985</v>
      </c>
      <c r="J13" s="19">
        <v>9</v>
      </c>
      <c r="K13" s="242">
        <f t="shared" si="3"/>
        <v>193499.99999999988</v>
      </c>
      <c r="L13" s="238">
        <f t="shared" si="4"/>
        <v>106.43564356435637</v>
      </c>
      <c r="M13" s="19">
        <f>'10'!G15</f>
        <v>700</v>
      </c>
      <c r="N13" s="19">
        <v>53</v>
      </c>
      <c r="O13" s="238">
        <f t="shared" si="5"/>
        <v>37100</v>
      </c>
      <c r="P13" s="19">
        <f>'10'!G20</f>
        <v>86</v>
      </c>
      <c r="Q13" s="19">
        <v>108</v>
      </c>
      <c r="R13" s="239">
        <f t="shared" si="0"/>
        <v>9288</v>
      </c>
      <c r="S13" s="240">
        <f t="shared" si="1"/>
        <v>47.836244298587161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59</v>
      </c>
      <c r="X13" s="22">
        <f>'10'!G97</f>
        <v>11</v>
      </c>
      <c r="Y13" s="22">
        <f>'10'!G98</f>
        <v>16</v>
      </c>
      <c r="Z13" s="22">
        <f t="shared" si="7"/>
        <v>86</v>
      </c>
      <c r="AA13" s="19">
        <f>'10'!G133</f>
        <v>23.44999999999709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23.44999999999709</v>
      </c>
      <c r="AF13" s="23">
        <f t="shared" si="2"/>
        <v>4704.3899999999994</v>
      </c>
      <c r="AG13" s="23">
        <f t="shared" si="9"/>
        <v>200.61364605546197</v>
      </c>
      <c r="AH13" s="19">
        <f>'10'!G137</f>
        <v>7.7999999999992724</v>
      </c>
      <c r="AI13" s="19">
        <f>'10'!G138</f>
        <v>0</v>
      </c>
      <c r="AJ13" s="19">
        <f>'10'!G139</f>
        <v>0</v>
      </c>
      <c r="AK13" s="19">
        <f t="shared" si="10"/>
        <v>7.7999999999992724</v>
      </c>
      <c r="AL13" s="19">
        <f>'10'!G140</f>
        <v>7.9000000000000909</v>
      </c>
      <c r="AM13" s="19">
        <f>'10'!G141</f>
        <v>0</v>
      </c>
      <c r="AN13" s="19"/>
      <c r="AO13" s="19">
        <f t="shared" si="11"/>
        <v>7.9000000000000909</v>
      </c>
      <c r="AP13" s="258">
        <f>'10'!G124</f>
        <v>211</v>
      </c>
      <c r="AQ13" s="261">
        <f>'10'!G35</f>
        <v>2172</v>
      </c>
      <c r="AR13" s="19">
        <f>'10'!G37</f>
        <v>1349</v>
      </c>
      <c r="AS13" s="19">
        <f>'10'!G38</f>
        <v>1210</v>
      </c>
      <c r="AT13" s="19">
        <f>'10'!G39</f>
        <v>3175</v>
      </c>
      <c r="AU13" s="19">
        <f>'10'!G40</f>
        <v>0</v>
      </c>
      <c r="AV13" s="19">
        <f>'10'!G41</f>
        <v>4704</v>
      </c>
      <c r="AW13" s="19">
        <f>'10'!G42</f>
        <v>0.38999999999941792</v>
      </c>
      <c r="AX13" s="19">
        <f>'10'!G43</f>
        <v>2439</v>
      </c>
      <c r="AY13" s="23">
        <f>'10'!G44</f>
        <v>0</v>
      </c>
      <c r="AZ13" s="262">
        <f>'10'!G36</f>
        <v>564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79</v>
      </c>
      <c r="BF13" s="19">
        <f>'10'!G55</f>
        <v>0</v>
      </c>
      <c r="BG13" s="19">
        <f>'10'!G56</f>
        <v>0</v>
      </c>
      <c r="BH13" s="19">
        <f>'10'!G57</f>
        <v>0</v>
      </c>
      <c r="BI13" s="262">
        <f>'10'!G50</f>
        <v>890</v>
      </c>
      <c r="BJ13" s="370">
        <f t="shared" si="12"/>
        <v>4704.3899999999994</v>
      </c>
      <c r="BK13" s="370">
        <f>'8'!G84</f>
        <v>809</v>
      </c>
      <c r="BL13" s="23">
        <f t="shared" si="13"/>
        <v>43.327395348837236</v>
      </c>
      <c r="BM13" s="23">
        <f t="shared" si="14"/>
        <v>14.768976744186132</v>
      </c>
      <c r="BN13" s="24">
        <f t="shared" si="15"/>
        <v>5.6279069767441896E-2</v>
      </c>
      <c r="BO13" s="25">
        <f t="shared" si="16"/>
        <v>239887.99999999988</v>
      </c>
      <c r="BP13" s="213">
        <f t="shared" si="17"/>
        <v>7952.3899999999994</v>
      </c>
      <c r="BQ13">
        <f t="shared" si="18"/>
        <v>1.2111468169358797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0.92</v>
      </c>
      <c r="G14" s="19">
        <f>'11'!G8</f>
        <v>21500</v>
      </c>
      <c r="H14" s="19">
        <f>'11'!G7</f>
        <v>21500</v>
      </c>
      <c r="I14" s="19">
        <f>'11'!G8</f>
        <v>21500</v>
      </c>
      <c r="J14" s="19">
        <v>9</v>
      </c>
      <c r="K14" s="242">
        <f t="shared" si="3"/>
        <v>193500</v>
      </c>
      <c r="L14" s="238">
        <f t="shared" si="4"/>
        <v>106.43564356435644</v>
      </c>
      <c r="M14" s="19">
        <f>'11'!G15</f>
        <v>700</v>
      </c>
      <c r="N14" s="19">
        <v>53</v>
      </c>
      <c r="O14" s="238">
        <f t="shared" si="5"/>
        <v>37100</v>
      </c>
      <c r="P14" s="19">
        <f>'11'!G20</f>
        <v>103</v>
      </c>
      <c r="Q14" s="19">
        <v>108</v>
      </c>
      <c r="R14" s="239">
        <f t="shared" si="0"/>
        <v>11124</v>
      </c>
      <c r="S14" s="240">
        <f t="shared" si="1"/>
        <v>55.42402066293586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46</v>
      </c>
      <c r="X14" s="22">
        <f>'11'!G97</f>
        <v>9</v>
      </c>
      <c r="Y14" s="22">
        <f>'11'!G98</f>
        <v>26</v>
      </c>
      <c r="Z14" s="22">
        <f t="shared" si="7"/>
        <v>81</v>
      </c>
      <c r="AA14" s="19">
        <f>'11'!G133</f>
        <v>24.020000000004075</v>
      </c>
      <c r="AB14" s="19">
        <f>'11'!G134</f>
        <v>0</v>
      </c>
      <c r="AC14" s="19">
        <f>'11'!G135</f>
        <v>0</v>
      </c>
      <c r="AD14" s="19">
        <f>'11'!G136</f>
        <v>-5.0000000002910383E-2</v>
      </c>
      <c r="AE14" s="19">
        <f t="shared" si="8"/>
        <v>23.970000000001164</v>
      </c>
      <c r="AF14" s="23">
        <f t="shared" si="2"/>
        <v>4819</v>
      </c>
      <c r="AG14" s="23">
        <f t="shared" si="9"/>
        <v>201.04297037963144</v>
      </c>
      <c r="AH14" s="19">
        <f>'11'!G137</f>
        <v>0</v>
      </c>
      <c r="AI14" s="19">
        <f>'11'!G138</f>
        <v>0</v>
      </c>
      <c r="AJ14" s="19">
        <f>'11'!G139</f>
        <v>7.5899999999965075</v>
      </c>
      <c r="AK14" s="19">
        <f t="shared" si="10"/>
        <v>7.5899999999965075</v>
      </c>
      <c r="AL14" s="19">
        <f>'11'!G140</f>
        <v>8.5999999999999091</v>
      </c>
      <c r="AM14" s="19">
        <f>'11'!G141</f>
        <v>0</v>
      </c>
      <c r="AN14" s="19"/>
      <c r="AO14" s="19">
        <f t="shared" si="11"/>
        <v>8.5999999999999091</v>
      </c>
      <c r="AP14" s="258">
        <f>'11'!G124</f>
        <v>230</v>
      </c>
      <c r="AQ14" s="261">
        <f>'11'!G35</f>
        <v>2190</v>
      </c>
      <c r="AR14" s="19">
        <f>'11'!G37</f>
        <v>1386</v>
      </c>
      <c r="AS14" s="19">
        <f>'11'!G38</f>
        <v>1184</v>
      </c>
      <c r="AT14" s="19">
        <f>'11'!G39</f>
        <v>3233</v>
      </c>
      <c r="AU14" s="19">
        <f>'11'!G40</f>
        <v>0</v>
      </c>
      <c r="AV14" s="19">
        <f>'11'!G41</f>
        <v>4819</v>
      </c>
      <c r="AW14" s="19">
        <f>'11'!G42</f>
        <v>0</v>
      </c>
      <c r="AX14" s="19">
        <f>'11'!G43</f>
        <v>2435</v>
      </c>
      <c r="AY14" s="23">
        <f>'11'!G44</f>
        <v>0</v>
      </c>
      <c r="AZ14" s="262">
        <f>'11'!G36</f>
        <v>578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82</v>
      </c>
      <c r="BF14" s="19">
        <f>'11'!G55</f>
        <v>0</v>
      </c>
      <c r="BG14" s="19">
        <f>'11'!G56</f>
        <v>0</v>
      </c>
      <c r="BH14" s="19">
        <f>'11'!G57</f>
        <v>0</v>
      </c>
      <c r="BI14" s="262">
        <f>'11'!G50</f>
        <v>897</v>
      </c>
      <c r="BJ14" s="370">
        <f t="shared" si="12"/>
        <v>4819</v>
      </c>
      <c r="BK14" s="370">
        <f>'11'!G84</f>
        <v>564</v>
      </c>
      <c r="BL14" s="23">
        <f t="shared" si="13"/>
        <v>43.925581395348836</v>
      </c>
      <c r="BM14" s="23">
        <f t="shared" si="14"/>
        <v>15.037209302325582</v>
      </c>
      <c r="BN14" s="24">
        <f t="shared" si="15"/>
        <v>5.5069767441860464E-2</v>
      </c>
      <c r="BO14" s="25">
        <f t="shared" si="16"/>
        <v>241724</v>
      </c>
      <c r="BP14" s="213">
        <f t="shared" si="17"/>
        <v>7818</v>
      </c>
      <c r="BQ14">
        <f t="shared" si="18"/>
        <v>1.1648489182906641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256">
        <f>'12'!D4</f>
        <v>0.79</v>
      </c>
      <c r="F15" s="256">
        <f>'12'!D2</f>
        <v>0.78</v>
      </c>
      <c r="G15" s="19">
        <f>'12'!G8</f>
        <v>21500</v>
      </c>
      <c r="H15" s="19">
        <f>'12'!G7</f>
        <v>21500</v>
      </c>
      <c r="I15" s="19">
        <f>'12'!G8</f>
        <v>21500</v>
      </c>
      <c r="J15" s="19">
        <v>9</v>
      </c>
      <c r="K15" s="242">
        <f t="shared" si="3"/>
        <v>193500</v>
      </c>
      <c r="L15" s="238">
        <f t="shared" si="4"/>
        <v>106.43564356435644</v>
      </c>
      <c r="M15" s="19">
        <f>'12'!G15</f>
        <v>700</v>
      </c>
      <c r="N15" s="19">
        <v>53</v>
      </c>
      <c r="O15" s="234">
        <f t="shared" si="5"/>
        <v>37100</v>
      </c>
      <c r="P15" s="19">
        <f>'12'!G20</f>
        <v>125</v>
      </c>
      <c r="Q15" s="19">
        <v>108</v>
      </c>
      <c r="R15" s="239">
        <f t="shared" si="0"/>
        <v>13500</v>
      </c>
      <c r="S15" s="240">
        <f t="shared" si="1"/>
        <v>79.334856562579333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36</v>
      </c>
      <c r="X15" s="22">
        <f>'12'!G97</f>
        <v>16</v>
      </c>
      <c r="Y15" s="22">
        <f>'12'!G98</f>
        <v>37</v>
      </c>
      <c r="Z15" s="22">
        <f t="shared" si="7"/>
        <v>89</v>
      </c>
      <c r="AA15" s="19">
        <f>'12'!G133</f>
        <v>23.979999999995925</v>
      </c>
      <c r="AB15" s="19">
        <f>'12'!G134</f>
        <v>0</v>
      </c>
      <c r="AC15" s="19">
        <f>'12'!G135</f>
        <v>0</v>
      </c>
      <c r="AD15" s="19">
        <f>'12'!G136</f>
        <v>0</v>
      </c>
      <c r="AE15" s="19">
        <f t="shared" si="8"/>
        <v>23.979999999995925</v>
      </c>
      <c r="AF15" s="23">
        <f t="shared" si="2"/>
        <v>5598</v>
      </c>
      <c r="AG15" s="23">
        <f t="shared" si="9"/>
        <v>233.44453711430154</v>
      </c>
      <c r="AH15" s="19">
        <f>'12'!G137</f>
        <v>0</v>
      </c>
      <c r="AI15" s="19">
        <f>'12'!G138</f>
        <v>0</v>
      </c>
      <c r="AJ15" s="19">
        <f>'12'!G139</f>
        <v>4.6499999999941792</v>
      </c>
      <c r="AK15" s="19">
        <f t="shared" si="10"/>
        <v>4.6499999999941792</v>
      </c>
      <c r="AL15" s="19">
        <f>'12'!G140</f>
        <v>9.0900000000001455</v>
      </c>
      <c r="AM15" s="19">
        <f>'12'!G141</f>
        <v>0</v>
      </c>
      <c r="AN15" s="19"/>
      <c r="AO15" s="19">
        <f t="shared" si="11"/>
        <v>9.0900000000001455</v>
      </c>
      <c r="AP15" s="258">
        <f>'12'!G124</f>
        <v>238</v>
      </c>
      <c r="AQ15" s="261">
        <f>'12'!G35</f>
        <v>2554</v>
      </c>
      <c r="AR15" s="19">
        <f>'12'!G37</f>
        <v>1461</v>
      </c>
      <c r="AS15" s="19">
        <f>'12'!G38</f>
        <v>1383</v>
      </c>
      <c r="AT15" s="19">
        <f>'12'!G39</f>
        <v>3517</v>
      </c>
      <c r="AU15" s="19">
        <f>'12'!G40</f>
        <v>0</v>
      </c>
      <c r="AV15" s="19">
        <f>'12'!G41</f>
        <v>5598</v>
      </c>
      <c r="AW15" s="19">
        <f>'12'!G42</f>
        <v>0</v>
      </c>
      <c r="AX15" s="19">
        <f>'12'!G43</f>
        <v>2382</v>
      </c>
      <c r="AY15" s="23">
        <f>'12'!G44</f>
        <v>0</v>
      </c>
      <c r="AZ15" s="262">
        <f>'12'!G36</f>
        <v>544</v>
      </c>
      <c r="BA15" s="261">
        <f>'12'!G49</f>
        <v>0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83</v>
      </c>
      <c r="BF15" s="19">
        <f>'12'!G55</f>
        <v>0</v>
      </c>
      <c r="BG15" s="19">
        <f>'12'!G56</f>
        <v>0</v>
      </c>
      <c r="BH15" s="19">
        <f>'12'!G57</f>
        <v>0</v>
      </c>
      <c r="BI15" s="262">
        <f>'12'!G50</f>
        <v>939</v>
      </c>
      <c r="BJ15" s="370">
        <f t="shared" si="12"/>
        <v>5598</v>
      </c>
      <c r="BK15" s="370">
        <f>'12'!G84</f>
        <v>596</v>
      </c>
      <c r="BL15" s="23">
        <f t="shared" si="13"/>
        <v>48.995348837209299</v>
      </c>
      <c r="BM15" s="23">
        <f t="shared" si="14"/>
        <v>16.358139534883723</v>
      </c>
      <c r="BN15" s="24">
        <f t="shared" si="15"/>
        <v>6.4325581395348844E-2</v>
      </c>
      <c r="BO15" s="25">
        <f t="shared" si="16"/>
        <v>244100</v>
      </c>
      <c r="BP15" s="213">
        <f t="shared" si="17"/>
        <v>8576</v>
      </c>
      <c r="BQ15">
        <f t="shared" si="18"/>
        <v>1.2772548552367236</v>
      </c>
    </row>
    <row r="16" spans="1:70">
      <c r="A16" s="16">
        <v>13</v>
      </c>
      <c r="B16" s="26">
        <v>13</v>
      </c>
      <c r="C16" s="26"/>
      <c r="D16" s="19">
        <f>'13'!D3</f>
        <v>27</v>
      </c>
      <c r="E16" s="256">
        <f>'13'!D4</f>
        <v>0.92</v>
      </c>
      <c r="F16" s="256">
        <f>'13'!D2</f>
        <v>0.26</v>
      </c>
      <c r="G16" s="19">
        <f>'13'!G8</f>
        <v>21500</v>
      </c>
      <c r="H16" s="19">
        <f>'13'!G7</f>
        <v>21500</v>
      </c>
      <c r="I16" s="19">
        <f>'13'!G8</f>
        <v>21500</v>
      </c>
      <c r="J16" s="19">
        <v>9</v>
      </c>
      <c r="K16" s="242">
        <f t="shared" si="3"/>
        <v>193500</v>
      </c>
      <c r="L16" s="238">
        <f t="shared" si="4"/>
        <v>106.43564356435644</v>
      </c>
      <c r="M16" s="19">
        <f>'13'!G15</f>
        <v>700</v>
      </c>
      <c r="N16" s="19">
        <v>53</v>
      </c>
      <c r="O16" s="234">
        <f t="shared" si="5"/>
        <v>37100</v>
      </c>
      <c r="P16" s="19">
        <f>'13'!G20</f>
        <v>194</v>
      </c>
      <c r="Q16" s="19">
        <v>108</v>
      </c>
      <c r="R16" s="239">
        <f t="shared" si="0"/>
        <v>20952</v>
      </c>
      <c r="S16" s="240">
        <f t="shared" si="1"/>
        <v>369.38309215536941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64</v>
      </c>
      <c r="X16" s="22">
        <f>'13'!G97</f>
        <v>34</v>
      </c>
      <c r="Y16" s="22">
        <f>'13'!G98</f>
        <v>47</v>
      </c>
      <c r="Z16" s="22">
        <f t="shared" si="7"/>
        <v>145</v>
      </c>
      <c r="AA16" s="19">
        <f>'13'!G133</f>
        <v>23.55000000000291</v>
      </c>
      <c r="AB16" s="19">
        <f>'13'!G134</f>
        <v>0</v>
      </c>
      <c r="AC16" s="19">
        <f>'13'!G135</f>
        <v>5.5500000000029104</v>
      </c>
      <c r="AD16" s="19">
        <f>'13'!G136</f>
        <v>0</v>
      </c>
      <c r="AE16" s="19">
        <f t="shared" si="8"/>
        <v>29.100000000005821</v>
      </c>
      <c r="AF16" s="23">
        <f t="shared" si="2"/>
        <v>6701.4799999999959</v>
      </c>
      <c r="AG16" s="23">
        <f t="shared" si="9"/>
        <v>230.29140893466169</v>
      </c>
      <c r="AH16" s="19">
        <f>'13'!G137</f>
        <v>8</v>
      </c>
      <c r="AI16" s="19">
        <f>'13'!G138</f>
        <v>0</v>
      </c>
      <c r="AJ16" s="19">
        <f>'13'!G139</f>
        <v>0</v>
      </c>
      <c r="AK16" s="19">
        <f t="shared" si="10"/>
        <v>8</v>
      </c>
      <c r="AL16" s="19">
        <f>'13'!G140</f>
        <v>9.2199999999997999</v>
      </c>
      <c r="AM16" s="19">
        <f>'13'!G141</f>
        <v>0</v>
      </c>
      <c r="AN16" s="19"/>
      <c r="AO16" s="19">
        <f t="shared" si="11"/>
        <v>9.2199999999997999</v>
      </c>
      <c r="AP16" s="258">
        <f>'13'!G124</f>
        <v>245</v>
      </c>
      <c r="AQ16" s="261">
        <f>'13'!G35</f>
        <v>2615</v>
      </c>
      <c r="AR16" s="19">
        <f>'13'!G37</f>
        <v>1413</v>
      </c>
      <c r="AS16" s="19">
        <f>'13'!G38</f>
        <v>1494</v>
      </c>
      <c r="AT16" s="19">
        <f>'13'!G39</f>
        <v>3369</v>
      </c>
      <c r="AU16" s="19">
        <f>'13'!G40</f>
        <v>169</v>
      </c>
      <c r="AV16" s="19">
        <f>'13'!G41</f>
        <v>5498</v>
      </c>
      <c r="AW16" s="19">
        <f>'13'!G42</f>
        <v>0</v>
      </c>
      <c r="AX16" s="19">
        <f>'13'!G43</f>
        <v>2647</v>
      </c>
      <c r="AY16" s="23">
        <f>'13'!G44</f>
        <v>0</v>
      </c>
      <c r="AZ16" s="262">
        <f>'13'!G36</f>
        <v>557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81</v>
      </c>
      <c r="BF16" s="19">
        <f>'13'!G55</f>
        <v>1161.4799999999959</v>
      </c>
      <c r="BG16" s="19">
        <f>'13'!G56</f>
        <v>42</v>
      </c>
      <c r="BH16" s="19">
        <f>'13'!G57</f>
        <v>0.32999999999992724</v>
      </c>
      <c r="BI16" s="262">
        <f>'13'!G50</f>
        <v>1050</v>
      </c>
      <c r="BJ16" s="370">
        <f t="shared" si="12"/>
        <v>6701.4799999999959</v>
      </c>
      <c r="BK16" s="370">
        <f>'13'!G84</f>
        <v>687</v>
      </c>
      <c r="BL16" s="23">
        <f t="shared" si="13"/>
        <v>55.645627906976728</v>
      </c>
      <c r="BM16" s="23">
        <f t="shared" si="14"/>
        <v>15.669767441860465</v>
      </c>
      <c r="BN16" s="24">
        <f t="shared" si="15"/>
        <v>6.9488372093023262E-2</v>
      </c>
      <c r="BO16" s="25">
        <f t="shared" si="16"/>
        <v>251552</v>
      </c>
      <c r="BP16" s="213">
        <f t="shared" si="17"/>
        <v>10035.809999999996</v>
      </c>
      <c r="BQ16">
        <f t="shared" si="18"/>
        <v>1.2316899852722125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256">
        <f>'14'!D4</f>
        <v>0.85</v>
      </c>
      <c r="F17" s="256">
        <f>'14'!D2</f>
        <v>0.25</v>
      </c>
      <c r="G17" s="19">
        <f>'14'!G8</f>
        <v>21500</v>
      </c>
      <c r="H17" s="19">
        <f>'14'!G7</f>
        <v>21500</v>
      </c>
      <c r="I17" s="19">
        <f>'14'!G8</f>
        <v>21500</v>
      </c>
      <c r="J17" s="19">
        <v>9</v>
      </c>
      <c r="K17" s="242">
        <f t="shared" si="3"/>
        <v>193500</v>
      </c>
      <c r="L17" s="238">
        <f t="shared" si="4"/>
        <v>106.43564356435644</v>
      </c>
      <c r="M17" s="19">
        <f>'14'!G15</f>
        <v>700</v>
      </c>
      <c r="N17" s="19">
        <v>53</v>
      </c>
      <c r="O17" s="234">
        <f t="shared" si="5"/>
        <v>37100</v>
      </c>
      <c r="P17" s="19">
        <f>'14'!G20</f>
        <v>183</v>
      </c>
      <c r="Q17" s="19">
        <v>108</v>
      </c>
      <c r="R17" s="239">
        <f t="shared" si="0"/>
        <v>19764</v>
      </c>
      <c r="S17" s="240">
        <f t="shared" si="1"/>
        <v>362.37623762376239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68</v>
      </c>
      <c r="X17" s="22">
        <f>'14'!G97</f>
        <v>23</v>
      </c>
      <c r="Y17" s="22">
        <f>'14'!G98</f>
        <v>21</v>
      </c>
      <c r="Z17" s="22">
        <f>W17+X17+Y17</f>
        <v>112</v>
      </c>
      <c r="AA17" s="19">
        <f>'14'!G133</f>
        <v>24</v>
      </c>
      <c r="AB17" s="19">
        <f>'14'!G134</f>
        <v>0</v>
      </c>
      <c r="AC17" s="19">
        <f>'14'!G135</f>
        <v>7</v>
      </c>
      <c r="AD17" s="19">
        <f>'14'!G136</f>
        <v>0</v>
      </c>
      <c r="AE17" s="19">
        <f t="shared" si="8"/>
        <v>31</v>
      </c>
      <c r="AF17" s="23">
        <f t="shared" si="2"/>
        <v>6350</v>
      </c>
      <c r="AG17" s="23">
        <f t="shared" si="9"/>
        <v>204.83870967741936</v>
      </c>
      <c r="AH17" s="19">
        <f>'14'!G137</f>
        <v>8.9800000000032014</v>
      </c>
      <c r="AI17" s="19">
        <f>'14'!G138</f>
        <v>0</v>
      </c>
      <c r="AJ17" s="19">
        <f>'14'!G139</f>
        <v>0</v>
      </c>
      <c r="AK17" s="19">
        <f t="shared" si="10"/>
        <v>8.9800000000032014</v>
      </c>
      <c r="AL17" s="19">
        <f>'14'!G140</f>
        <v>9.7100000000000364</v>
      </c>
      <c r="AM17" s="19">
        <f>'14'!G141</f>
        <v>0</v>
      </c>
      <c r="AN17" s="19"/>
      <c r="AO17" s="19">
        <f t="shared" si="11"/>
        <v>9.7100000000000364</v>
      </c>
      <c r="AP17" s="258">
        <f>'14'!G124</f>
        <v>259</v>
      </c>
      <c r="AQ17" s="261">
        <f>'14'!G35</f>
        <v>2582</v>
      </c>
      <c r="AR17" s="19">
        <f>'14'!G37</f>
        <v>1388</v>
      </c>
      <c r="AS17" s="19">
        <f>'14'!G38</f>
        <v>1470</v>
      </c>
      <c r="AT17" s="19">
        <f>'14'!G39</f>
        <v>3252</v>
      </c>
      <c r="AU17" s="19">
        <f>'14'!G40</f>
        <v>232</v>
      </c>
      <c r="AV17" s="19">
        <f>'14'!G41</f>
        <v>5138</v>
      </c>
      <c r="AW17" s="19">
        <f>'14'!G42</f>
        <v>0</v>
      </c>
      <c r="AX17" s="19">
        <f>'14'!G43</f>
        <v>2656</v>
      </c>
      <c r="AY17" s="23">
        <f>'14'!G44</f>
        <v>0</v>
      </c>
      <c r="AZ17" s="262">
        <f>'14'!G36</f>
        <v>648</v>
      </c>
      <c r="BA17" s="261">
        <f>'14'!G49</f>
        <v>-0.13000000000465661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83</v>
      </c>
      <c r="BF17" s="19">
        <f>'14'!G55</f>
        <v>1202</v>
      </c>
      <c r="BG17" s="19">
        <f>'14'!G56</f>
        <v>10</v>
      </c>
      <c r="BH17" s="19">
        <f>'14'!G57</f>
        <v>0</v>
      </c>
      <c r="BI17" s="262">
        <f>'14'!G50</f>
        <v>947</v>
      </c>
      <c r="BJ17" s="370">
        <f t="shared" si="12"/>
        <v>6350</v>
      </c>
      <c r="BK17" s="370">
        <f>'14'!G84</f>
        <v>754</v>
      </c>
      <c r="BL17" s="23">
        <f t="shared" si="13"/>
        <v>53.897069767441842</v>
      </c>
      <c r="BM17" s="23">
        <f t="shared" si="14"/>
        <v>15.125581395348837</v>
      </c>
      <c r="BN17" s="24">
        <f t="shared" si="15"/>
        <v>6.8372093023255809E-2</v>
      </c>
      <c r="BO17" s="25">
        <f t="shared" si="16"/>
        <v>250364</v>
      </c>
      <c r="BP17" s="213">
        <f t="shared" si="17"/>
        <v>9760</v>
      </c>
      <c r="BQ17">
        <f t="shared" si="18"/>
        <v>1.1244239631336406</v>
      </c>
    </row>
    <row r="18" spans="1:69">
      <c r="A18" s="16">
        <v>15</v>
      </c>
      <c r="B18" s="26">
        <v>15</v>
      </c>
      <c r="C18" s="18"/>
      <c r="D18" s="19">
        <f>'15'!D3</f>
        <v>28</v>
      </c>
      <c r="E18" s="256">
        <f>'15'!D4</f>
        <v>0.89</v>
      </c>
      <c r="F18" s="256">
        <f>'15'!D2</f>
        <v>0.26</v>
      </c>
      <c r="G18" s="19">
        <f>'15'!G8</f>
        <v>21500</v>
      </c>
      <c r="H18" s="19">
        <f>'15'!G7</f>
        <v>21500</v>
      </c>
      <c r="I18" s="19">
        <f>'15'!G8</f>
        <v>21500</v>
      </c>
      <c r="J18" s="19">
        <v>9</v>
      </c>
      <c r="K18" s="242">
        <f t="shared" si="3"/>
        <v>193500</v>
      </c>
      <c r="L18" s="238">
        <f t="shared" si="4"/>
        <v>106.43564356435644</v>
      </c>
      <c r="M18" s="19">
        <f>'15'!G15</f>
        <v>700</v>
      </c>
      <c r="N18" s="19">
        <v>53</v>
      </c>
      <c r="O18" s="234">
        <f t="shared" si="5"/>
        <v>37100</v>
      </c>
      <c r="P18" s="19">
        <f>'15'!G20</f>
        <v>142</v>
      </c>
      <c r="Q18" s="19">
        <v>108</v>
      </c>
      <c r="R18" s="239">
        <f t="shared" si="0"/>
        <v>15336</v>
      </c>
      <c r="S18" s="240">
        <f t="shared" si="1"/>
        <v>270.37319116527038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65</v>
      </c>
      <c r="X18" s="22">
        <f>'15'!G97</f>
        <v>10</v>
      </c>
      <c r="Y18" s="22">
        <f>'15'!G98</f>
        <v>17</v>
      </c>
      <c r="Z18" s="22">
        <f t="shared" si="7"/>
        <v>92</v>
      </c>
      <c r="AA18" s="19">
        <f>'15'!G133</f>
        <v>24</v>
      </c>
      <c r="AB18" s="19">
        <f>'15'!G134</f>
        <v>0</v>
      </c>
      <c r="AC18" s="19">
        <f>'15'!G135</f>
        <v>0</v>
      </c>
      <c r="AD18" s="19">
        <f>'15'!G136</f>
        <v>0</v>
      </c>
      <c r="AE18" s="19">
        <f t="shared" si="8"/>
        <v>24</v>
      </c>
      <c r="AF18" s="23">
        <f t="shared" si="2"/>
        <v>5200</v>
      </c>
      <c r="AG18" s="23">
        <f t="shared" si="9"/>
        <v>216.66666666666666</v>
      </c>
      <c r="AH18" s="19">
        <f>'15'!G137</f>
        <v>-0.49000000000160071</v>
      </c>
      <c r="AI18" s="19">
        <f>'15'!G138</f>
        <v>0</v>
      </c>
      <c r="AJ18" s="19">
        <f>'15'!G139</f>
        <v>9.9800000000104774</v>
      </c>
      <c r="AK18" s="19">
        <f t="shared" si="10"/>
        <v>9.4900000000088767</v>
      </c>
      <c r="AL18" s="19">
        <f>'15'!G140</f>
        <v>10.410000000000082</v>
      </c>
      <c r="AM18" s="19">
        <f>'15'!G141</f>
        <v>0</v>
      </c>
      <c r="AN18" s="19"/>
      <c r="AO18" s="19">
        <f t="shared" si="11"/>
        <v>10.410000000000082</v>
      </c>
      <c r="AP18" s="258">
        <f>'15'!G124</f>
        <v>259</v>
      </c>
      <c r="AQ18" s="261">
        <f>'15'!G35</f>
        <v>2472</v>
      </c>
      <c r="AR18" s="19">
        <f>'15'!G37</f>
        <v>1405</v>
      </c>
      <c r="AS18" s="19">
        <f>'15'!G38</f>
        <v>1254</v>
      </c>
      <c r="AT18" s="19">
        <f>'15'!G39</f>
        <v>2893</v>
      </c>
      <c r="AU18" s="19">
        <f>'15'!G40</f>
        <v>220</v>
      </c>
      <c r="AV18" s="19">
        <f>'15'!G41</f>
        <v>5189</v>
      </c>
      <c r="AW18" s="19">
        <f>'15'!G42</f>
        <v>0</v>
      </c>
      <c r="AX18" s="19">
        <f>'15'!G43</f>
        <v>2467</v>
      </c>
      <c r="AY18" s="23">
        <f>'15'!G44</f>
        <v>0</v>
      </c>
      <c r="AZ18" s="262">
        <f>'15'!G36</f>
        <v>664</v>
      </c>
      <c r="BA18" s="261">
        <f>'15'!G49</f>
        <v>0</v>
      </c>
      <c r="BB18" s="19">
        <f>'15'!G51</f>
        <v>0</v>
      </c>
      <c r="BC18" s="19">
        <f>'15'!G52</f>
        <v>-6.9999999948777258E-2</v>
      </c>
      <c r="BD18" s="19">
        <f>'15'!G53</f>
        <v>0</v>
      </c>
      <c r="BE18" s="19">
        <f>'15'!G54</f>
        <v>59</v>
      </c>
      <c r="BF18" s="19">
        <f>'15'!G55</f>
        <v>0</v>
      </c>
      <c r="BG18" s="19">
        <f>'15'!G56</f>
        <v>11</v>
      </c>
      <c r="BH18" s="19">
        <f>'15'!G57</f>
        <v>0</v>
      </c>
      <c r="BI18" s="262">
        <f>'15'!G50</f>
        <v>1012</v>
      </c>
      <c r="BJ18" s="370">
        <f t="shared" si="12"/>
        <v>5200</v>
      </c>
      <c r="BK18" s="370">
        <f>'15'!G84</f>
        <v>683</v>
      </c>
      <c r="BL18" s="23">
        <f t="shared" si="13"/>
        <v>47.158139534883723</v>
      </c>
      <c r="BM18" s="23">
        <f t="shared" si="14"/>
        <v>13.455813953488372</v>
      </c>
      <c r="BN18" s="24">
        <f t="shared" si="15"/>
        <v>5.832232558139773E-2</v>
      </c>
      <c r="BO18" s="25">
        <f t="shared" si="16"/>
        <v>245936</v>
      </c>
      <c r="BP18" s="213">
        <f t="shared" si="17"/>
        <v>8350</v>
      </c>
      <c r="BQ18">
        <f t="shared" si="18"/>
        <v>1.2425595238095237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21500</v>
      </c>
      <c r="H19" s="19">
        <f>'16'!G7</f>
        <v>21500</v>
      </c>
      <c r="I19" s="19">
        <f>'16'!G8</f>
        <v>21500</v>
      </c>
      <c r="J19" s="19">
        <v>9</v>
      </c>
      <c r="K19" s="242">
        <f t="shared" si="3"/>
        <v>193500</v>
      </c>
      <c r="L19" s="238">
        <f t="shared" si="4"/>
        <v>106.43564356435644</v>
      </c>
      <c r="M19" s="19">
        <f>'16'!G15</f>
        <v>700</v>
      </c>
      <c r="N19" s="19">
        <v>53</v>
      </c>
      <c r="O19" s="234">
        <f t="shared" si="5"/>
        <v>37100</v>
      </c>
      <c r="P19" s="19">
        <f>'16'!G20</f>
        <v>92</v>
      </c>
      <c r="Q19" s="19">
        <v>108</v>
      </c>
      <c r="R19" s="239">
        <f t="shared" si="0"/>
        <v>9936</v>
      </c>
      <c r="S19" s="240">
        <f t="shared" si="1"/>
        <v>87.58568164508759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34</v>
      </c>
      <c r="X19" s="22">
        <f>'16'!G97</f>
        <v>12</v>
      </c>
      <c r="Y19" s="22">
        <f>'16'!G98</f>
        <v>20</v>
      </c>
      <c r="Z19" s="22">
        <f t="shared" si="7"/>
        <v>66</v>
      </c>
      <c r="AA19" s="19">
        <f>'16'!G133</f>
        <v>24.309999999997672</v>
      </c>
      <c r="AB19" s="19">
        <f>'16'!G134</f>
        <v>0</v>
      </c>
      <c r="AC19" s="19">
        <f>'16'!G135</f>
        <v>0</v>
      </c>
      <c r="AD19" s="19">
        <f>'16'!G136</f>
        <v>0</v>
      </c>
      <c r="AE19" s="19">
        <f t="shared" si="8"/>
        <v>24.309999999997672</v>
      </c>
      <c r="AF19" s="23">
        <f t="shared" si="2"/>
        <v>5374.2500000000291</v>
      </c>
      <c r="AG19" s="23">
        <f t="shared" si="9"/>
        <v>221.07157548336255</v>
      </c>
      <c r="AH19" s="19">
        <f>'16'!G137</f>
        <v>0.49000000000160071</v>
      </c>
      <c r="AI19" s="19">
        <f>'16'!G138</f>
        <v>0</v>
      </c>
      <c r="AJ19" s="19">
        <f>'16'!G139</f>
        <v>0</v>
      </c>
      <c r="AK19" s="19">
        <f t="shared" si="10"/>
        <v>0.49000000000160071</v>
      </c>
      <c r="AL19" s="19">
        <f>'16'!G140</f>
        <v>9.3999999999998636</v>
      </c>
      <c r="AM19" s="19">
        <f>'16'!G141</f>
        <v>0</v>
      </c>
      <c r="AN19" s="19"/>
      <c r="AO19" s="19">
        <f t="shared" si="11"/>
        <v>9.3999999999998636</v>
      </c>
      <c r="AP19" s="258">
        <f>'16'!G124</f>
        <v>262.6600000000326</v>
      </c>
      <c r="AQ19" s="261">
        <f>'16'!G35</f>
        <v>2502.7900000000373</v>
      </c>
      <c r="AR19" s="19">
        <f>'16'!G37</f>
        <v>1424.929999999993</v>
      </c>
      <c r="AS19" s="19">
        <f>'16'!G38</f>
        <v>1231.3099999999977</v>
      </c>
      <c r="AT19" s="19">
        <f>'16'!G39</f>
        <v>3172.9000000000233</v>
      </c>
      <c r="AU19" s="19">
        <f>'16'!G40</f>
        <v>119.94000000000005</v>
      </c>
      <c r="AV19" s="19">
        <f>'16'!G41</f>
        <v>5364.6500000000233</v>
      </c>
      <c r="AW19" s="19">
        <f>'16'!G42</f>
        <v>-0.91999999999825377</v>
      </c>
      <c r="AX19" s="19">
        <f>'16'!G43</f>
        <v>2435</v>
      </c>
      <c r="AY19" s="23">
        <f>'16'!G44</f>
        <v>0</v>
      </c>
      <c r="AZ19" s="262">
        <f>'16'!G36</f>
        <v>813.1200000000008</v>
      </c>
      <c r="BA19" s="261">
        <f>'16'!G49</f>
        <v>0.13000000000465661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9.9999999947613105E-3</v>
      </c>
      <c r="BG19" s="19">
        <f>'16'!G56</f>
        <v>10.510000000009313</v>
      </c>
      <c r="BH19" s="19">
        <f>'16'!G57</f>
        <v>0</v>
      </c>
      <c r="BI19" s="262">
        <f>'16'!G50</f>
        <v>1103.8699999999953</v>
      </c>
      <c r="BJ19" s="370">
        <f t="shared" si="12"/>
        <v>5374.2500000000291</v>
      </c>
      <c r="BK19" s="370">
        <f>'16'!G84</f>
        <v>735</v>
      </c>
      <c r="BL19" s="23">
        <f t="shared" si="13"/>
        <v>47.963581395349166</v>
      </c>
      <c r="BM19" s="23">
        <f t="shared" si="14"/>
        <v>14.755767441860693</v>
      </c>
      <c r="BN19" s="24">
        <f t="shared" si="15"/>
        <v>5.7273488372090529E-2</v>
      </c>
      <c r="BO19" s="25">
        <f t="shared" si="16"/>
        <v>240536</v>
      </c>
      <c r="BP19" s="213">
        <f t="shared" si="17"/>
        <v>8544.2500000000291</v>
      </c>
      <c r="BQ19">
        <f t="shared" si="18"/>
        <v>1.2552521008404607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21500</v>
      </c>
      <c r="H20" s="19">
        <f>'17'!G7</f>
        <v>21500</v>
      </c>
      <c r="I20" s="19">
        <f>'17'!G8</f>
        <v>21500</v>
      </c>
      <c r="J20" s="19">
        <v>9</v>
      </c>
      <c r="K20" s="242">
        <f t="shared" si="3"/>
        <v>193500</v>
      </c>
      <c r="L20" s="238">
        <f t="shared" si="4"/>
        <v>106.43564356435644</v>
      </c>
      <c r="M20" s="19">
        <f>'17'!G15</f>
        <v>700</v>
      </c>
      <c r="N20" s="19">
        <v>53</v>
      </c>
      <c r="O20" s="234">
        <f t="shared" si="5"/>
        <v>37100</v>
      </c>
      <c r="P20" s="19">
        <f>'17'!G20</f>
        <v>122</v>
      </c>
      <c r="Q20" s="19">
        <v>108</v>
      </c>
      <c r="R20" s="239">
        <f t="shared" si="0"/>
        <v>13176</v>
      </c>
      <c r="S20" s="240">
        <f t="shared" si="1"/>
        <v>100.66006600660066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72</v>
      </c>
      <c r="X20" s="22">
        <f>'17'!G97</f>
        <v>10</v>
      </c>
      <c r="Y20" s="22">
        <f>'17'!G98</f>
        <v>22</v>
      </c>
      <c r="Z20" s="22">
        <f t="shared" si="7"/>
        <v>104</v>
      </c>
      <c r="AA20" s="19">
        <f>'17'!G133</f>
        <v>17.690000000002328</v>
      </c>
      <c r="AB20" s="19">
        <f>'17'!G134</f>
        <v>0</v>
      </c>
      <c r="AC20" s="19">
        <f>'17'!G135</f>
        <v>8.2699999999967986</v>
      </c>
      <c r="AD20" s="19">
        <f>'17'!G136</f>
        <v>0</v>
      </c>
      <c r="AE20" s="19">
        <f t="shared" si="8"/>
        <v>25.959999999999127</v>
      </c>
      <c r="AF20" s="23">
        <f t="shared" si="2"/>
        <v>5676.4399999999587</v>
      </c>
      <c r="AG20" s="23">
        <f t="shared" si="9"/>
        <v>218.6610169491583</v>
      </c>
      <c r="AH20" s="19">
        <f>'17'!G137</f>
        <v>8.6099999999969441</v>
      </c>
      <c r="AI20" s="19">
        <f>'17'!G138</f>
        <v>0</v>
      </c>
      <c r="AJ20" s="19">
        <f>'17'!G139</f>
        <v>0</v>
      </c>
      <c r="AK20" s="19">
        <f t="shared" si="10"/>
        <v>8.6099999999969441</v>
      </c>
      <c r="AL20" s="19">
        <f>'17'!G140</f>
        <v>11.300000000000182</v>
      </c>
      <c r="AM20" s="19">
        <f>'17'!G141</f>
        <v>0</v>
      </c>
      <c r="AN20" s="19"/>
      <c r="AO20" s="19">
        <f t="shared" si="11"/>
        <v>11.300000000000182</v>
      </c>
      <c r="AP20" s="258">
        <f>'17'!G124</f>
        <v>303.17999999993481</v>
      </c>
      <c r="AQ20" s="261">
        <f>'17'!G35</f>
        <v>2468.5599999999395</v>
      </c>
      <c r="AR20" s="19">
        <f>'17'!G37</f>
        <v>1431.3500000000058</v>
      </c>
      <c r="AS20" s="19">
        <f>'17'!G38</f>
        <v>1378.820000000007</v>
      </c>
      <c r="AT20" s="19">
        <f>'17'!G39</f>
        <v>3279.7699999999604</v>
      </c>
      <c r="AU20" s="19">
        <f>'17'!G40</f>
        <v>221.57999999999993</v>
      </c>
      <c r="AV20" s="19">
        <f>'17'!G41</f>
        <v>3934.2599999999511</v>
      </c>
      <c r="AW20" s="19">
        <f>'17'!G42</f>
        <v>0</v>
      </c>
      <c r="AX20" s="19">
        <f>'17'!G43</f>
        <v>2523.5</v>
      </c>
      <c r="AY20" s="23">
        <f>'17'!G44</f>
        <v>0</v>
      </c>
      <c r="AZ20" s="262">
        <f>'17'!G36</f>
        <v>775.75</v>
      </c>
      <c r="BA20" s="261">
        <f>'17'!G49</f>
        <v>0</v>
      </c>
      <c r="BB20" s="19">
        <f>'17'!G51</f>
        <v>0.13000000000465661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1732.0600000000122</v>
      </c>
      <c r="BG20" s="19">
        <f>'17'!G56</f>
        <v>10.119999999995343</v>
      </c>
      <c r="BH20" s="19">
        <f>'17'!G57</f>
        <v>0</v>
      </c>
      <c r="BI20" s="262">
        <f>'17'!G50</f>
        <v>940.28000000002794</v>
      </c>
      <c r="BJ20" s="370">
        <f t="shared" si="12"/>
        <v>5676.4399999999587</v>
      </c>
      <c r="BK20" s="370">
        <f>'17'!G84</f>
        <v>706</v>
      </c>
      <c r="BL20" s="23">
        <f t="shared" si="13"/>
        <v>49.620930232557669</v>
      </c>
      <c r="BM20" s="23">
        <f t="shared" si="14"/>
        <v>15.256604651162444</v>
      </c>
      <c r="BN20" s="24">
        <f t="shared" si="15"/>
        <v>6.4131162790697999E-2</v>
      </c>
      <c r="BO20" s="25">
        <f t="shared" si="16"/>
        <v>243776</v>
      </c>
      <c r="BP20" s="213">
        <f t="shared" si="17"/>
        <v>8905.9399999999587</v>
      </c>
      <c r="BQ20">
        <f t="shared" si="18"/>
        <v>1.2252283733216291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21500</v>
      </c>
      <c r="H21" s="19">
        <f>'18'!G7</f>
        <v>21500</v>
      </c>
      <c r="I21" s="19">
        <f>'18'!G8</f>
        <v>21500</v>
      </c>
      <c r="J21" s="19">
        <v>9</v>
      </c>
      <c r="K21" s="242">
        <f t="shared" si="3"/>
        <v>193500</v>
      </c>
      <c r="L21" s="238">
        <f t="shared" si="4"/>
        <v>106.43564356435644</v>
      </c>
      <c r="M21" s="19">
        <f>'18'!G15</f>
        <v>700</v>
      </c>
      <c r="N21" s="19">
        <v>53</v>
      </c>
      <c r="O21" s="234">
        <f t="shared" si="5"/>
        <v>37100</v>
      </c>
      <c r="P21" s="19">
        <f>'18'!G20</f>
        <v>145</v>
      </c>
      <c r="Q21" s="19">
        <v>108</v>
      </c>
      <c r="R21" s="239">
        <f t="shared" si="0"/>
        <v>15660</v>
      </c>
      <c r="S21" s="240">
        <f t="shared" si="1"/>
        <v>132.92995966263291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56</v>
      </c>
      <c r="X21" s="22">
        <f>'18'!G97</f>
        <v>14</v>
      </c>
      <c r="Y21" s="22">
        <f>'18'!G98</f>
        <v>28</v>
      </c>
      <c r="Z21" s="22">
        <f t="shared" si="7"/>
        <v>98</v>
      </c>
      <c r="AA21" s="19">
        <f>'18'!G133</f>
        <v>6</v>
      </c>
      <c r="AB21" s="19">
        <f>'18'!G134</f>
        <v>0</v>
      </c>
      <c r="AC21" s="19">
        <f>'18'!G135</f>
        <v>23.930000000000291</v>
      </c>
      <c r="AD21" s="19">
        <f>'18'!G136</f>
        <v>0</v>
      </c>
      <c r="AE21" s="19">
        <f t="shared" si="8"/>
        <v>29.930000000000291</v>
      </c>
      <c r="AF21" s="23">
        <f t="shared" si="2"/>
        <v>6328.7099999999336</v>
      </c>
      <c r="AG21" s="23">
        <f t="shared" si="9"/>
        <v>211.45038422986542</v>
      </c>
      <c r="AH21" s="19">
        <f>'18'!G137</f>
        <v>0</v>
      </c>
      <c r="AI21" s="19">
        <f>'18'!G138</f>
        <v>4.9999999999272404E-2</v>
      </c>
      <c r="AJ21" s="19">
        <f>'18'!G139</f>
        <v>12.779999999998836</v>
      </c>
      <c r="AK21" s="19">
        <f t="shared" si="10"/>
        <v>12.829999999998108</v>
      </c>
      <c r="AL21" s="19">
        <f>'18'!G140</f>
        <v>10.199999999999818</v>
      </c>
      <c r="AM21" s="19">
        <f>'18'!G141</f>
        <v>9.0000000000145519E-2</v>
      </c>
      <c r="AN21" s="19"/>
      <c r="AO21" s="19">
        <f t="shared" si="11"/>
        <v>10.289999999999964</v>
      </c>
      <c r="AP21" s="258">
        <f>'18'!G124</f>
        <v>272.86999999999534</v>
      </c>
      <c r="AQ21" s="261">
        <f>'18'!G35</f>
        <v>2647.5200000000186</v>
      </c>
      <c r="AR21" s="19">
        <f>'18'!G37</f>
        <v>1451.5899999999965</v>
      </c>
      <c r="AS21" s="19">
        <f>'18'!G38</f>
        <v>1375.1999999999825</v>
      </c>
      <c r="AT21" s="19">
        <f>'18'!G39</f>
        <v>3490.7999999999884</v>
      </c>
      <c r="AU21" s="19">
        <f>'18'!G40</f>
        <v>637.88999999999987</v>
      </c>
      <c r="AV21" s="19">
        <f>'18'!G41</f>
        <v>1273.9400000000023</v>
      </c>
      <c r="AW21" s="19">
        <f>'18'!G42</f>
        <v>0</v>
      </c>
      <c r="AX21" s="19">
        <f>'18'!G43</f>
        <v>2756.8999999999069</v>
      </c>
      <c r="AY21" s="23">
        <f>'18'!G44</f>
        <v>0</v>
      </c>
      <c r="AZ21" s="262">
        <f>'18'!G36</f>
        <v>615.31999999999971</v>
      </c>
      <c r="BA21" s="261">
        <f>'18'!G49</f>
        <v>0</v>
      </c>
      <c r="BB21" s="19">
        <f>'18'!G51</f>
        <v>0</v>
      </c>
      <c r="BC21" s="19">
        <f>'18'!G52</f>
        <v>-6.9999999948777258E-2</v>
      </c>
      <c r="BD21" s="19">
        <f>'18'!G53</f>
        <v>-0.3999999999650754</v>
      </c>
      <c r="BE21" s="19">
        <f>'18'!G54</f>
        <v>7.999999999992724E-2</v>
      </c>
      <c r="BF21" s="19">
        <f>'18'!G55</f>
        <v>5044.3299999999872</v>
      </c>
      <c r="BG21" s="19">
        <f>'18'!G56</f>
        <v>10.439999999944121</v>
      </c>
      <c r="BH21" s="19">
        <f>'18'!G57</f>
        <v>0</v>
      </c>
      <c r="BI21" s="262">
        <f>'18'!G50</f>
        <v>968.8399999999674</v>
      </c>
      <c r="BJ21" s="370">
        <f t="shared" si="12"/>
        <v>6328.7099999999336</v>
      </c>
      <c r="BK21" s="370">
        <f>'18'!G84</f>
        <v>747</v>
      </c>
      <c r="BL21" s="23">
        <f t="shared" si="13"/>
        <v>54.572697674417952</v>
      </c>
      <c r="BM21" s="23">
        <f t="shared" si="14"/>
        <v>16.234418604651271</v>
      </c>
      <c r="BN21" s="24">
        <f t="shared" si="15"/>
        <v>6.3959534883722496E-2</v>
      </c>
      <c r="BO21" s="25">
        <f t="shared" si="16"/>
        <v>246260</v>
      </c>
      <c r="BP21" s="213">
        <f t="shared" si="17"/>
        <v>9832.6099999998405</v>
      </c>
      <c r="BQ21">
        <f t="shared" si="18"/>
        <v>1.1732864779723813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0.84</v>
      </c>
      <c r="F22" s="256">
        <f>'19'!D2</f>
        <v>0.1</v>
      </c>
      <c r="G22" s="19">
        <f>'19'!G8</f>
        <v>21500</v>
      </c>
      <c r="H22" s="19">
        <f>'19'!G7</f>
        <v>21500</v>
      </c>
      <c r="I22" s="19">
        <f>'19'!G8</f>
        <v>21500</v>
      </c>
      <c r="J22" s="19">
        <v>9</v>
      </c>
      <c r="K22" s="242">
        <f t="shared" si="3"/>
        <v>193500</v>
      </c>
      <c r="L22" s="238">
        <f t="shared" si="4"/>
        <v>106.43564356435644</v>
      </c>
      <c r="M22" s="19">
        <f>'19'!G15</f>
        <v>700</v>
      </c>
      <c r="N22" s="19">
        <v>53</v>
      </c>
      <c r="O22" s="234">
        <f t="shared" si="5"/>
        <v>37100</v>
      </c>
      <c r="P22" s="19">
        <f>'19'!G20</f>
        <v>193</v>
      </c>
      <c r="Q22" s="19">
        <v>108</v>
      </c>
      <c r="R22" s="239">
        <f t="shared" si="0"/>
        <v>20844</v>
      </c>
      <c r="S22" s="240">
        <f t="shared" si="1"/>
        <v>955.4455445544553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75</v>
      </c>
      <c r="X22" s="22">
        <f>'19'!G97</f>
        <v>22</v>
      </c>
      <c r="Y22" s="22">
        <f>'19'!G98</f>
        <v>39</v>
      </c>
      <c r="Z22" s="22">
        <f t="shared" si="7"/>
        <v>136</v>
      </c>
      <c r="AA22" s="19">
        <f>'19'!G133</f>
        <v>7.5199999999967986</v>
      </c>
      <c r="AB22" s="19">
        <f>'19'!G134</f>
        <v>0</v>
      </c>
      <c r="AC22" s="19">
        <f>'19'!G135</f>
        <v>23.80000000000291</v>
      </c>
      <c r="AD22" s="19">
        <f>'19'!G136</f>
        <v>0</v>
      </c>
      <c r="AE22" s="19">
        <f t="shared" si="8"/>
        <v>31.319999999999709</v>
      </c>
      <c r="AF22" s="23">
        <f t="shared" si="2"/>
        <v>7021.7100000000355</v>
      </c>
      <c r="AG22" s="23">
        <f t="shared" si="9"/>
        <v>224.19252873563539</v>
      </c>
      <c r="AH22" s="19">
        <f>'19'!G137</f>
        <v>0</v>
      </c>
      <c r="AI22" s="19">
        <f>'19'!G138</f>
        <v>12</v>
      </c>
      <c r="AJ22" s="19">
        <f>'19'!G139</f>
        <v>0</v>
      </c>
      <c r="AK22" s="19">
        <f t="shared" si="10"/>
        <v>12</v>
      </c>
      <c r="AL22" s="19">
        <f>'19'!G140</f>
        <v>10.720000000000027</v>
      </c>
      <c r="AM22" s="19">
        <f>'19'!G141</f>
        <v>-9.0000000000145519E-2</v>
      </c>
      <c r="AN22" s="19"/>
      <c r="AO22" s="19">
        <f t="shared" si="11"/>
        <v>10.629999999999882</v>
      </c>
      <c r="AP22" s="258">
        <f>'19'!G124</f>
        <v>287.67000000004191</v>
      </c>
      <c r="AQ22" s="261">
        <f>'19'!G35</f>
        <v>2958.1600000000326</v>
      </c>
      <c r="AR22" s="19">
        <f>'19'!G37</f>
        <v>1546.390000000014</v>
      </c>
      <c r="AS22" s="19">
        <f>'19'!G38</f>
        <v>1613</v>
      </c>
      <c r="AT22" s="19">
        <f>'19'!G39</f>
        <v>3744.2800000000279</v>
      </c>
      <c r="AU22" s="19">
        <f>'19'!G40</f>
        <v>596.64000000000033</v>
      </c>
      <c r="AV22" s="19">
        <f>'19'!G41</f>
        <v>1510.6199999999953</v>
      </c>
      <c r="AW22" s="19">
        <f>'19'!G42</f>
        <v>0</v>
      </c>
      <c r="AX22" s="19">
        <f>'19'!G43</f>
        <v>2928</v>
      </c>
      <c r="AY22" s="23">
        <f>'19'!G44</f>
        <v>0</v>
      </c>
      <c r="AZ22" s="262">
        <f>'19'!G36</f>
        <v>1030.2799999999988</v>
      </c>
      <c r="BA22" s="261">
        <f>'19'!G49</f>
        <v>0</v>
      </c>
      <c r="BB22" s="19">
        <f>'19'!G51</f>
        <v>-0.13000000000465661</v>
      </c>
      <c r="BC22" s="19">
        <f>'19'!G52</f>
        <v>6.9999999948777258E-2</v>
      </c>
      <c r="BD22" s="19">
        <f>'19'!G53</f>
        <v>0</v>
      </c>
      <c r="BE22" s="19">
        <f>'19'!G54</f>
        <v>2.9999999998835847E-2</v>
      </c>
      <c r="BF22" s="19">
        <f>'19'!G55</f>
        <v>5500.9300000000076</v>
      </c>
      <c r="BG22" s="19">
        <f>'19'!G56</f>
        <v>10.160000000032596</v>
      </c>
      <c r="BH22" s="19">
        <f>'19'!G57</f>
        <v>-0.32999999999992724</v>
      </c>
      <c r="BI22" s="262">
        <f>'19'!G50</f>
        <v>1573.2399999999907</v>
      </c>
      <c r="BJ22" s="370">
        <f t="shared" si="12"/>
        <v>7021.7100000000355</v>
      </c>
      <c r="BK22" s="370">
        <f>'19'!G84</f>
        <v>791</v>
      </c>
      <c r="BL22" s="23">
        <f t="shared" si="13"/>
        <v>60.035069767442181</v>
      </c>
      <c r="BM22" s="23">
        <f t="shared" si="14"/>
        <v>17.415255813953618</v>
      </c>
      <c r="BN22" s="24">
        <f t="shared" si="15"/>
        <v>7.5026511627904593E-2</v>
      </c>
      <c r="BO22" s="25">
        <f t="shared" si="16"/>
        <v>251444</v>
      </c>
      <c r="BP22" s="213">
        <f t="shared" si="17"/>
        <v>10740.380000000036</v>
      </c>
      <c r="BQ22">
        <f t="shared" si="18"/>
        <v>1.2247286079182784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0.86</v>
      </c>
      <c r="G23" s="19">
        <f>'20'!G8</f>
        <v>21500</v>
      </c>
      <c r="H23" s="19">
        <f>'20'!G7</f>
        <v>21500</v>
      </c>
      <c r="I23" s="19">
        <f>'20'!G8</f>
        <v>21500</v>
      </c>
      <c r="J23" s="19">
        <v>9</v>
      </c>
      <c r="K23" s="242">
        <f t="shared" si="3"/>
        <v>193500</v>
      </c>
      <c r="L23" s="238">
        <f t="shared" si="4"/>
        <v>106.43564356435644</v>
      </c>
      <c r="M23" s="19">
        <f>'20'!G15</f>
        <v>700</v>
      </c>
      <c r="N23" s="19">
        <v>53</v>
      </c>
      <c r="O23" s="234">
        <f t="shared" si="5"/>
        <v>37100</v>
      </c>
      <c r="P23" s="19">
        <f>'20'!G20</f>
        <v>261</v>
      </c>
      <c r="Q23" s="19">
        <v>108</v>
      </c>
      <c r="R23" s="239">
        <f t="shared" si="0"/>
        <v>28188</v>
      </c>
      <c r="S23" s="240">
        <f t="shared" si="1"/>
        <v>150.24176836288279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82</v>
      </c>
      <c r="X23" s="22">
        <f>'20'!G97</f>
        <v>42</v>
      </c>
      <c r="Y23" s="22">
        <f>'20'!G98</f>
        <v>42</v>
      </c>
      <c r="Z23" s="22">
        <f t="shared" si="7"/>
        <v>166</v>
      </c>
      <c r="AA23" s="19">
        <f>'20'!G133</f>
        <v>13.55000000000291</v>
      </c>
      <c r="AB23" s="19">
        <f>'20'!G134</f>
        <v>0</v>
      </c>
      <c r="AC23" s="19">
        <f>'20'!G135</f>
        <v>19.040000000000873</v>
      </c>
      <c r="AD23" s="19">
        <f>'20'!G136</f>
        <v>5.0000000002910383E-2</v>
      </c>
      <c r="AE23" s="19">
        <f t="shared" si="8"/>
        <v>32.640000000006694</v>
      </c>
      <c r="AF23" s="23">
        <f t="shared" si="2"/>
        <v>7097.9600000000355</v>
      </c>
      <c r="AG23" s="23">
        <f t="shared" si="9"/>
        <v>217.46200980387806</v>
      </c>
      <c r="AH23" s="19">
        <f>'20'!G137</f>
        <v>0</v>
      </c>
      <c r="AI23" s="19">
        <f>'20'!G138</f>
        <v>7.2800000000024738</v>
      </c>
      <c r="AJ23" s="19">
        <f>'20'!G139</f>
        <v>3.6699999999982538</v>
      </c>
      <c r="AK23" s="19">
        <f t="shared" si="10"/>
        <v>10.950000000000728</v>
      </c>
      <c r="AL23" s="19">
        <f>'20'!G140</f>
        <v>11.680000000000064</v>
      </c>
      <c r="AM23" s="19">
        <f>'20'!G141</f>
        <v>0</v>
      </c>
      <c r="AN23" s="19"/>
      <c r="AO23" s="19">
        <f t="shared" si="11"/>
        <v>11.680000000000064</v>
      </c>
      <c r="AP23" s="258">
        <f>'20'!G124</f>
        <v>312.82999999995809</v>
      </c>
      <c r="AQ23" s="261">
        <f>'20'!G35</f>
        <v>2905.5699999999488</v>
      </c>
      <c r="AR23" s="19">
        <f>'20'!G37</f>
        <v>1538.789999999979</v>
      </c>
      <c r="AS23" s="19">
        <f>'20'!G38</f>
        <v>1728.1000000000058</v>
      </c>
      <c r="AT23" s="19">
        <f>'20'!G39</f>
        <v>3610.7199999999721</v>
      </c>
      <c r="AU23" s="19">
        <f>'20'!G40</f>
        <v>344.25999999999976</v>
      </c>
      <c r="AV23" s="19">
        <f>'20'!G41</f>
        <v>3099.9800000000396</v>
      </c>
      <c r="AW23" s="19">
        <f>'20'!G42</f>
        <v>0</v>
      </c>
      <c r="AX23" s="19">
        <f>'20'!G43</f>
        <v>2928.3000000000466</v>
      </c>
      <c r="AY23" s="23">
        <f>'20'!G44</f>
        <v>0</v>
      </c>
      <c r="AZ23" s="262">
        <f>'20'!G36</f>
        <v>1025.4000000000015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1.0000000000218279E-2</v>
      </c>
      <c r="BF23" s="19">
        <f>'20'!G55</f>
        <v>3987.9799999999959</v>
      </c>
      <c r="BG23" s="19">
        <f>'20'!G56</f>
        <v>10</v>
      </c>
      <c r="BH23" s="19">
        <f>'20'!G57</f>
        <v>0</v>
      </c>
      <c r="BI23" s="262">
        <f>'20'!G50</f>
        <v>1836.4000000000233</v>
      </c>
      <c r="BJ23" s="370">
        <f t="shared" si="12"/>
        <v>7097.9600000000355</v>
      </c>
      <c r="BK23" s="370">
        <f>'20'!G84</f>
        <v>866</v>
      </c>
      <c r="BL23" s="23">
        <f t="shared" si="13"/>
        <v>60.148046511628053</v>
      </c>
      <c r="BM23" s="23">
        <f t="shared" si="14"/>
        <v>16.794046511627776</v>
      </c>
      <c r="BN23" s="24">
        <f t="shared" si="15"/>
        <v>8.0376744186046789E-2</v>
      </c>
      <c r="BO23" s="25">
        <f t="shared" si="16"/>
        <v>258788</v>
      </c>
      <c r="BP23" s="213">
        <f t="shared" si="17"/>
        <v>10892.260000000082</v>
      </c>
      <c r="BQ23">
        <f t="shared" si="18"/>
        <v>1.1918176645655909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0.66</v>
      </c>
      <c r="G24" s="19">
        <f>'21'!G8</f>
        <v>21500</v>
      </c>
      <c r="H24" s="19">
        <f>'21'!G7</f>
        <v>21500</v>
      </c>
      <c r="I24" s="19">
        <f>'21'!G8</f>
        <v>21500</v>
      </c>
      <c r="J24" s="19">
        <v>9</v>
      </c>
      <c r="K24" s="242">
        <f t="shared" si="3"/>
        <v>193500</v>
      </c>
      <c r="L24" s="238">
        <f t="shared" si="4"/>
        <v>106.43564356435644</v>
      </c>
      <c r="M24" s="19">
        <f>'21'!G15</f>
        <v>700</v>
      </c>
      <c r="N24" s="19">
        <v>53</v>
      </c>
      <c r="O24" s="234">
        <f t="shared" si="5"/>
        <v>37100</v>
      </c>
      <c r="P24" s="19">
        <f>'21'!G20</f>
        <v>201</v>
      </c>
      <c r="Q24" s="19">
        <v>108</v>
      </c>
      <c r="R24" s="239">
        <f t="shared" si="0"/>
        <v>21708</v>
      </c>
      <c r="S24" s="240">
        <f t="shared" si="1"/>
        <v>150.76507650765078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70</v>
      </c>
      <c r="X24" s="22">
        <f>'21'!G97</f>
        <v>23</v>
      </c>
      <c r="Y24" s="22">
        <f>'21'!G98</f>
        <v>25</v>
      </c>
      <c r="Z24" s="22">
        <f t="shared" si="7"/>
        <v>118</v>
      </c>
      <c r="AA24" s="19">
        <f>'21'!G133</f>
        <v>24.029999999998836</v>
      </c>
      <c r="AB24" s="19">
        <f>'21'!G134</f>
        <v>0</v>
      </c>
      <c r="AC24" s="19">
        <f>'21'!G135</f>
        <v>8.0100000000020373</v>
      </c>
      <c r="AD24" s="19">
        <f>'21'!G136</f>
        <v>0</v>
      </c>
      <c r="AE24" s="19">
        <f t="shared" si="8"/>
        <v>32.040000000000873</v>
      </c>
      <c r="AF24" s="23">
        <f t="shared" si="2"/>
        <v>6708.1100000000006</v>
      </c>
      <c r="AG24" s="23">
        <f t="shared" si="9"/>
        <v>209.36672908863352</v>
      </c>
      <c r="AH24" s="19">
        <f>'21'!G137</f>
        <v>0</v>
      </c>
      <c r="AI24" s="19">
        <f>'21'!G138</f>
        <v>10.739999999997963</v>
      </c>
      <c r="AJ24" s="19">
        <f>'21'!G139</f>
        <v>0</v>
      </c>
      <c r="AK24" s="19">
        <f t="shared" si="10"/>
        <v>10.739999999997963</v>
      </c>
      <c r="AL24" s="19">
        <f>'21'!G140</f>
        <v>10.160000000000082</v>
      </c>
      <c r="AM24" s="19">
        <f>'21'!G141</f>
        <v>0</v>
      </c>
      <c r="AN24" s="19"/>
      <c r="AO24" s="19">
        <f t="shared" si="11"/>
        <v>10.160000000000082</v>
      </c>
      <c r="AP24" s="258">
        <f>'21'!G124</f>
        <v>270.79000000003725</v>
      </c>
      <c r="AQ24" s="261">
        <f>'21'!G35</f>
        <v>2750.5</v>
      </c>
      <c r="AR24" s="19">
        <f>'21'!G37</f>
        <v>1488.1700000000128</v>
      </c>
      <c r="AS24" s="19">
        <f>'21'!G38</f>
        <v>1628.320000000007</v>
      </c>
      <c r="AT24" s="19">
        <f>'21'!G39</f>
        <v>3562.5200000000186</v>
      </c>
      <c r="AU24" s="19">
        <f>'21'!G40</f>
        <v>388.65000000000009</v>
      </c>
      <c r="AV24" s="19">
        <f>'21'!G41</f>
        <v>5182.640000000014</v>
      </c>
      <c r="AW24" s="19">
        <f>'21'!G42</f>
        <v>0</v>
      </c>
      <c r="AX24" s="19">
        <f>'21'!G43</f>
        <v>2871.6999999999534</v>
      </c>
      <c r="AY24" s="23">
        <f>'21'!G44</f>
        <v>0</v>
      </c>
      <c r="AZ24" s="262">
        <f>'21'!G36</f>
        <v>741.27999999999884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0</v>
      </c>
      <c r="BF24" s="19">
        <f>'21'!G55</f>
        <v>1515.2299999999959</v>
      </c>
      <c r="BG24" s="19">
        <f>'21'!G56</f>
        <v>10.239999999990687</v>
      </c>
      <c r="BH24" s="19">
        <f>'21'!G57</f>
        <v>0</v>
      </c>
      <c r="BI24" s="262">
        <f>'21'!G50</f>
        <v>1491.1999999999534</v>
      </c>
      <c r="BJ24" s="370">
        <f t="shared" si="12"/>
        <v>6708.1100000000006</v>
      </c>
      <c r="BK24" s="370">
        <f>'21'!G84</f>
        <v>777</v>
      </c>
      <c r="BL24" s="23">
        <f t="shared" si="13"/>
        <v>57.350279069767225</v>
      </c>
      <c r="BM24" s="23">
        <f t="shared" si="14"/>
        <v>16.569860465116367</v>
      </c>
      <c r="BN24" s="24">
        <f t="shared" si="15"/>
        <v>7.5735813953488704E-2</v>
      </c>
      <c r="BO24" s="25">
        <f t="shared" si="16"/>
        <v>252308</v>
      </c>
      <c r="BP24" s="213">
        <f t="shared" si="17"/>
        <v>10356.809999999954</v>
      </c>
      <c r="BQ24">
        <f t="shared" si="18"/>
        <v>1.1544509095772775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0.72</v>
      </c>
      <c r="G25" s="19">
        <f>'22'!G8</f>
        <v>21500</v>
      </c>
      <c r="H25" s="19">
        <f>'22'!G7</f>
        <v>21500</v>
      </c>
      <c r="I25" s="19">
        <f>'22'!G8</f>
        <v>21500</v>
      </c>
      <c r="J25" s="19">
        <v>9</v>
      </c>
      <c r="K25" s="242">
        <f t="shared" si="3"/>
        <v>193500</v>
      </c>
      <c r="L25" s="238">
        <f t="shared" si="4"/>
        <v>106.43564356435644</v>
      </c>
      <c r="M25" s="19">
        <f>'22'!G15</f>
        <v>700</v>
      </c>
      <c r="N25" s="19">
        <v>53</v>
      </c>
      <c r="O25" s="234">
        <f t="shared" si="5"/>
        <v>37100</v>
      </c>
      <c r="P25" s="19">
        <f>'22'!G20</f>
        <v>152</v>
      </c>
      <c r="Q25" s="19">
        <v>108</v>
      </c>
      <c r="R25" s="239">
        <f t="shared" si="0"/>
        <v>16416</v>
      </c>
      <c r="S25" s="240">
        <f t="shared" si="1"/>
        <v>104.51045104510452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58</v>
      </c>
      <c r="X25" s="22">
        <f>'22'!G97</f>
        <v>17</v>
      </c>
      <c r="Y25" s="22">
        <f>'22'!G98</f>
        <v>21</v>
      </c>
      <c r="Z25" s="22">
        <f t="shared" si="7"/>
        <v>96</v>
      </c>
      <c r="AA25" s="19">
        <f>'22'!G133</f>
        <v>16.980000000003201</v>
      </c>
      <c r="AB25" s="19">
        <f>'22'!G134</f>
        <v>0</v>
      </c>
      <c r="AC25" s="19">
        <f>'22'!G135</f>
        <v>13.309999999997672</v>
      </c>
      <c r="AD25" s="19">
        <f>'22'!G136</f>
        <v>0</v>
      </c>
      <c r="AE25" s="19">
        <f t="shared" si="8"/>
        <v>30.290000000000873</v>
      </c>
      <c r="AF25" s="23">
        <f t="shared" si="2"/>
        <v>6088.5700000000506</v>
      </c>
      <c r="AG25" s="23">
        <f t="shared" si="9"/>
        <v>201.00924397490508</v>
      </c>
      <c r="AH25" s="19">
        <f>'22'!G137</f>
        <v>0</v>
      </c>
      <c r="AI25" s="19">
        <f>'22'!G138</f>
        <v>0</v>
      </c>
      <c r="AJ25" s="19">
        <f>'22'!G139</f>
        <v>9.6499999999941792</v>
      </c>
      <c r="AK25" s="19">
        <f t="shared" si="10"/>
        <v>9.6499999999941792</v>
      </c>
      <c r="AL25" s="19">
        <f>'22'!G140</f>
        <v>9.9199999999998454</v>
      </c>
      <c r="AM25" s="19">
        <f>'22'!G141</f>
        <v>0</v>
      </c>
      <c r="AN25" s="19"/>
      <c r="AO25" s="19">
        <f t="shared" si="11"/>
        <v>9.9199999999998454</v>
      </c>
      <c r="AP25" s="258">
        <f>'22'!G124</f>
        <v>264.77000000001863</v>
      </c>
      <c r="AQ25" s="261">
        <f>'22'!G35</f>
        <v>2900.9000000000233</v>
      </c>
      <c r="AR25" s="19">
        <f>'22'!G37</f>
        <v>1479.0299999999988</v>
      </c>
      <c r="AS25" s="19">
        <f>'22'!G38</f>
        <v>1578</v>
      </c>
      <c r="AT25" s="19">
        <f>'22'!G39</f>
        <v>3410</v>
      </c>
      <c r="AU25" s="19">
        <f>'22'!G40</f>
        <v>620.85999999999967</v>
      </c>
      <c r="AV25" s="19">
        <f>'22'!G41</f>
        <v>3460.1599999999744</v>
      </c>
      <c r="AW25" s="19">
        <f>'22'!G42</f>
        <v>0</v>
      </c>
      <c r="AX25" s="19">
        <f>'22'!G43</f>
        <v>2901.7000000001863</v>
      </c>
      <c r="AY25" s="23">
        <f>'22'!G44</f>
        <v>0</v>
      </c>
      <c r="AZ25" s="262">
        <f>'22'!G36</f>
        <v>741.52000000000044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</v>
      </c>
      <c r="BF25" s="19">
        <f>'22'!G55</f>
        <v>2618.0900000000111</v>
      </c>
      <c r="BG25" s="19">
        <f>'22'!G56</f>
        <v>10.320000000065193</v>
      </c>
      <c r="BH25" s="19">
        <f>'22'!G57</f>
        <v>0</v>
      </c>
      <c r="BI25" s="262">
        <f>'22'!G50</f>
        <v>1064.1600000000326</v>
      </c>
      <c r="BJ25" s="370">
        <f t="shared" si="12"/>
        <v>6088.5700000000506</v>
      </c>
      <c r="BK25" s="370">
        <f>'22'!G84</f>
        <v>819</v>
      </c>
      <c r="BL25" s="23">
        <f t="shared" si="13"/>
        <v>55.307767441861678</v>
      </c>
      <c r="BM25" s="23">
        <f t="shared" si="14"/>
        <v>15.86046511627907</v>
      </c>
      <c r="BN25" s="24">
        <f t="shared" si="15"/>
        <v>7.3395348837209301E-2</v>
      </c>
      <c r="BO25" s="25">
        <f t="shared" si="16"/>
        <v>247016</v>
      </c>
      <c r="BP25" s="213">
        <f t="shared" si="17"/>
        <v>9809.2700000002369</v>
      </c>
      <c r="BQ25">
        <f t="shared" si="18"/>
        <v>1.1565898693581043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21500</v>
      </c>
      <c r="H26" s="19">
        <f>'23'!G7</f>
        <v>21500</v>
      </c>
      <c r="I26" s="19">
        <f>'23'!G8</f>
        <v>21500</v>
      </c>
      <c r="J26" s="19">
        <v>9</v>
      </c>
      <c r="K26" s="242">
        <f t="shared" si="3"/>
        <v>193500</v>
      </c>
      <c r="L26" s="238">
        <f t="shared" si="4"/>
        <v>106.43564356435644</v>
      </c>
      <c r="M26" s="19">
        <f>'23'!G15</f>
        <v>700</v>
      </c>
      <c r="N26" s="19">
        <v>53</v>
      </c>
      <c r="O26" s="234">
        <f t="shared" si="5"/>
        <v>37100</v>
      </c>
      <c r="P26" s="19">
        <f>'23'!G20</f>
        <v>101</v>
      </c>
      <c r="Q26" s="19">
        <v>108</v>
      </c>
      <c r="R26" s="239">
        <f t="shared" si="0"/>
        <v>10908</v>
      </c>
      <c r="S26" s="240">
        <f t="shared" si="1"/>
        <v>96.15384615384616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43</v>
      </c>
      <c r="X26" s="22">
        <f>'23'!G97</f>
        <v>17</v>
      </c>
      <c r="Y26" s="22">
        <f>'23'!G98</f>
        <v>22</v>
      </c>
      <c r="Z26" s="22">
        <f t="shared" si="7"/>
        <v>82</v>
      </c>
      <c r="AA26" s="19">
        <f>'23'!G133</f>
        <v>5.430000000000291</v>
      </c>
      <c r="AB26" s="19">
        <f>'23'!G134</f>
        <v>0</v>
      </c>
      <c r="AC26" s="19">
        <f>'23'!G135</f>
        <v>24.080000000001746</v>
      </c>
      <c r="AD26" s="19">
        <f>'23'!G136</f>
        <v>0</v>
      </c>
      <c r="AE26" s="19">
        <f t="shared" si="8"/>
        <v>29.510000000002037</v>
      </c>
      <c r="AF26" s="23">
        <f t="shared" si="2"/>
        <v>5831.9499999999389</v>
      </c>
      <c r="AG26" s="23">
        <f t="shared" si="9"/>
        <v>197.62622839713779</v>
      </c>
      <c r="AH26" s="19">
        <f>'23'!G137</f>
        <v>1.9400000000023283</v>
      </c>
      <c r="AI26" s="19">
        <f>'23'!G138</f>
        <v>0</v>
      </c>
      <c r="AJ26" s="19">
        <f>'23'!G139</f>
        <v>0</v>
      </c>
      <c r="AK26" s="19">
        <f t="shared" si="10"/>
        <v>1.9400000000023283</v>
      </c>
      <c r="AL26" s="19">
        <f>'23'!G140</f>
        <v>10.820000000000164</v>
      </c>
      <c r="AM26" s="19">
        <f>'23'!G141</f>
        <v>0</v>
      </c>
      <c r="AN26" s="19"/>
      <c r="AO26" s="19">
        <f t="shared" si="11"/>
        <v>10.820000000000164</v>
      </c>
      <c r="AP26" s="258">
        <f>'23'!G124</f>
        <v>283.38000000000466</v>
      </c>
      <c r="AQ26" s="261">
        <f>'23'!G35</f>
        <v>2677.5</v>
      </c>
      <c r="AR26" s="19">
        <f>'23'!G37</f>
        <v>1414.3399999999965</v>
      </c>
      <c r="AS26" s="19">
        <f>'23'!G38</f>
        <v>1354.2200000000012</v>
      </c>
      <c r="AT26" s="19">
        <f>'23'!G39</f>
        <v>3432.960000000021</v>
      </c>
      <c r="AU26" s="19">
        <f>'23'!G40</f>
        <v>324.68000000000029</v>
      </c>
      <c r="AV26" s="19">
        <f>'23'!G41</f>
        <v>1074.179999999993</v>
      </c>
      <c r="AW26" s="19">
        <f>'23'!G42</f>
        <v>0</v>
      </c>
      <c r="AX26" s="19">
        <f>'23'!G43</f>
        <v>2742.5999999998603</v>
      </c>
      <c r="AY26" s="23">
        <f>'23'!G44</f>
        <v>0</v>
      </c>
      <c r="AZ26" s="262">
        <f>'23'!G36</f>
        <v>662.30999999999949</v>
      </c>
      <c r="BA26" s="261">
        <f>'23'!G49</f>
        <v>-1.0000000009313226E-2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2.0000000000436557E-2</v>
      </c>
      <c r="BF26" s="19">
        <f>'23'!G55</f>
        <v>4747.5699999999924</v>
      </c>
      <c r="BG26" s="19">
        <f>'23'!G56</f>
        <v>10.199999999953434</v>
      </c>
      <c r="BH26" s="19">
        <f>'23'!G57</f>
        <v>0</v>
      </c>
      <c r="BI26" s="262">
        <f>'23'!G50</f>
        <v>989.40000000002328</v>
      </c>
      <c r="BJ26" s="370">
        <f t="shared" si="12"/>
        <v>5831.9499999999389</v>
      </c>
      <c r="BK26" s="370">
        <f>'23'!G84</f>
        <v>782</v>
      </c>
      <c r="BL26" s="23">
        <f t="shared" si="13"/>
        <v>52.335069767440885</v>
      </c>
      <c r="BM26" s="23">
        <f t="shared" si="14"/>
        <v>15.967255813953585</v>
      </c>
      <c r="BN26" s="24">
        <f t="shared" si="15"/>
        <v>6.2986976744186102E-2</v>
      </c>
      <c r="BO26" s="25">
        <f t="shared" si="16"/>
        <v>241508</v>
      </c>
      <c r="BP26" s="213">
        <f t="shared" si="17"/>
        <v>9356.5499999997992</v>
      </c>
      <c r="BQ26">
        <f t="shared" si="18"/>
        <v>1.1323703829209413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0.57999999999999996</v>
      </c>
      <c r="G27" s="19">
        <f>'24'!G8</f>
        <v>21500</v>
      </c>
      <c r="H27" s="19">
        <f>'24'!G7</f>
        <v>21500</v>
      </c>
      <c r="I27" s="19">
        <f>'24'!G8</f>
        <v>21500</v>
      </c>
      <c r="J27" s="19">
        <v>9</v>
      </c>
      <c r="K27" s="242">
        <f t="shared" si="3"/>
        <v>193500</v>
      </c>
      <c r="L27" s="238">
        <f t="shared" si="4"/>
        <v>106.43564356435644</v>
      </c>
      <c r="M27" s="19">
        <f>'24'!G15</f>
        <v>700</v>
      </c>
      <c r="N27" s="19">
        <v>53</v>
      </c>
      <c r="O27" s="234">
        <f t="shared" si="5"/>
        <v>37100</v>
      </c>
      <c r="P27" s="19">
        <f>'24'!G20</f>
        <v>164</v>
      </c>
      <c r="Q27" s="19">
        <v>108</v>
      </c>
      <c r="R27" s="239">
        <f t="shared" si="0"/>
        <v>17712</v>
      </c>
      <c r="S27" s="240">
        <f t="shared" si="1"/>
        <v>139.97951519289862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73</v>
      </c>
      <c r="X27" s="22">
        <f>'24'!G97</f>
        <v>19</v>
      </c>
      <c r="Y27" s="22">
        <f>'24'!G98</f>
        <v>20</v>
      </c>
      <c r="Z27" s="22">
        <f t="shared" si="7"/>
        <v>112</v>
      </c>
      <c r="AA27" s="19">
        <f>'24'!G133</f>
        <v>7.4899999999979627</v>
      </c>
      <c r="AB27" s="19">
        <f>'24'!G134</f>
        <v>0</v>
      </c>
      <c r="AC27" s="19">
        <f>'24'!G135</f>
        <v>23.559999999997672</v>
      </c>
      <c r="AD27" s="19">
        <f>'24'!G136</f>
        <v>-5.0000000002910383E-2</v>
      </c>
      <c r="AE27" s="19">
        <f t="shared" si="8"/>
        <v>30.999999999992724</v>
      </c>
      <c r="AF27" s="23">
        <f t="shared" si="2"/>
        <v>6559.3000000000175</v>
      </c>
      <c r="AG27" s="23">
        <f t="shared" si="9"/>
        <v>211.59032258069539</v>
      </c>
      <c r="AH27" s="19">
        <f>'24'!G137</f>
        <v>-4.0000000000873115E-2</v>
      </c>
      <c r="AI27" s="19">
        <f>'24'!G138</f>
        <v>9.5</v>
      </c>
      <c r="AJ27" s="19">
        <f>'24'!G139</f>
        <v>1.0500000000029104</v>
      </c>
      <c r="AK27" s="19">
        <f t="shared" si="10"/>
        <v>10.510000000002037</v>
      </c>
      <c r="AL27" s="19">
        <f>'24'!G140</f>
        <v>10.7199999999998</v>
      </c>
      <c r="AM27" s="19">
        <f>'24'!G141</f>
        <v>0</v>
      </c>
      <c r="AN27" s="19"/>
      <c r="AO27" s="19">
        <f t="shared" si="11"/>
        <v>10.7199999999998</v>
      </c>
      <c r="AP27" s="258">
        <f>'24'!G124</f>
        <v>288.84999999997672</v>
      </c>
      <c r="AQ27" s="261">
        <f>'24'!G35</f>
        <v>2800.5</v>
      </c>
      <c r="AR27" s="19">
        <f>'24'!G37</f>
        <v>1486.4100000000035</v>
      </c>
      <c r="AS27" s="19">
        <f>'24'!G38</f>
        <v>1528.0299999999988</v>
      </c>
      <c r="AT27" s="19">
        <f>'24'!G39</f>
        <v>3514.0499999999884</v>
      </c>
      <c r="AU27" s="19">
        <f>'24'!G40</f>
        <v>520.5</v>
      </c>
      <c r="AV27" s="19">
        <f>'24'!G41</f>
        <v>1565.570000000007</v>
      </c>
      <c r="AW27" s="19">
        <f>'24'!G42</f>
        <v>-8.000000000174623E-2</v>
      </c>
      <c r="AX27" s="19">
        <f>'24'!G43</f>
        <v>2919.3000000000466</v>
      </c>
      <c r="AY27" s="23">
        <f>'24'!G44</f>
        <v>0</v>
      </c>
      <c r="AZ27" s="262">
        <f>'24'!G36</f>
        <v>1173.0200000000004</v>
      </c>
      <c r="BA27" s="261">
        <f>'24'!G49</f>
        <v>0</v>
      </c>
      <c r="BB27" s="19">
        <f>'24'!G51</f>
        <v>0.13000000000465661</v>
      </c>
      <c r="BC27" s="19">
        <f>'24'!G52</f>
        <v>-6.9999999948777258E-2</v>
      </c>
      <c r="BD27" s="19">
        <f>'24'!G53</f>
        <v>0.40999999997438863</v>
      </c>
      <c r="BE27" s="19">
        <f>'24'!G54</f>
        <v>-0.40999999999985448</v>
      </c>
      <c r="BF27" s="19">
        <f>'24'!G55</f>
        <v>4993.8000000000029</v>
      </c>
      <c r="BG27" s="19">
        <f>'24'!G56</f>
        <v>1.0000000009313226E-2</v>
      </c>
      <c r="BH27" s="19">
        <f>'24'!G57</f>
        <v>0</v>
      </c>
      <c r="BI27" s="262">
        <f>'24'!G50</f>
        <v>1520.609999999986</v>
      </c>
      <c r="BJ27" s="370">
        <f t="shared" si="12"/>
        <v>6559.3000000000175</v>
      </c>
      <c r="BK27" s="370">
        <f>'24'!G84</f>
        <v>750</v>
      </c>
      <c r="BL27" s="23">
        <f t="shared" si="13"/>
        <v>57.112093023256115</v>
      </c>
      <c r="BM27" s="23">
        <f t="shared" si="14"/>
        <v>16.346325581395174</v>
      </c>
      <c r="BN27" s="24">
        <f t="shared" si="15"/>
        <v>7.1067906976746517E-2</v>
      </c>
      <c r="BO27" s="25">
        <f t="shared" si="16"/>
        <v>248312</v>
      </c>
      <c r="BP27" s="213">
        <f t="shared" si="17"/>
        <v>10228.600000000064</v>
      </c>
      <c r="BQ27">
        <f t="shared" si="18"/>
        <v>1.1784101382491319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256">
        <f>'25'!D4</f>
        <v>0.8</v>
      </c>
      <c r="F28" s="256">
        <f>'25'!D2</f>
        <v>0.88</v>
      </c>
      <c r="G28" s="19">
        <f>'25'!G8</f>
        <v>21500</v>
      </c>
      <c r="H28" s="19">
        <f>'25'!G7</f>
        <v>21500</v>
      </c>
      <c r="I28" s="19">
        <f>'25'!G8</f>
        <v>21500</v>
      </c>
      <c r="J28" s="19">
        <v>9</v>
      </c>
      <c r="K28" s="242">
        <f t="shared" si="3"/>
        <v>193500</v>
      </c>
      <c r="L28" s="238">
        <f t="shared" si="4"/>
        <v>106.43564356435644</v>
      </c>
      <c r="M28" s="19">
        <f>'25'!G15</f>
        <v>700</v>
      </c>
      <c r="N28" s="19">
        <v>53</v>
      </c>
      <c r="O28" s="234">
        <f t="shared" si="5"/>
        <v>37100</v>
      </c>
      <c r="P28" s="19">
        <f>'25'!G20</f>
        <v>170</v>
      </c>
      <c r="Q28" s="19">
        <v>108</v>
      </c>
      <c r="R28" s="239">
        <f t="shared" si="0"/>
        <v>18360</v>
      </c>
      <c r="S28" s="240">
        <f t="shared" si="1"/>
        <v>95.634563456345646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70</v>
      </c>
      <c r="X28" s="22">
        <f>'25'!G97</f>
        <v>21</v>
      </c>
      <c r="Y28" s="22">
        <f>'25'!G98</f>
        <v>19</v>
      </c>
      <c r="Z28" s="22">
        <f t="shared" si="7"/>
        <v>110</v>
      </c>
      <c r="AA28" s="19">
        <f>'25'!G133</f>
        <v>0</v>
      </c>
      <c r="AB28" s="19">
        <f>'25'!G134</f>
        <v>0</v>
      </c>
      <c r="AC28" s="19">
        <f>'25'!G135</f>
        <v>24.44999999999709</v>
      </c>
      <c r="AD28" s="19">
        <f>'25'!G136</f>
        <v>0</v>
      </c>
      <c r="AE28" s="19">
        <f t="shared" si="8"/>
        <v>24.44999999999709</v>
      </c>
      <c r="AF28" s="23">
        <f t="shared" si="2"/>
        <v>5087</v>
      </c>
      <c r="AG28" s="23">
        <f t="shared" si="9"/>
        <v>208.05725971372621</v>
      </c>
      <c r="AH28" s="19">
        <f>'24'!G137</f>
        <v>-4.0000000000873115E-2</v>
      </c>
      <c r="AI28" s="19">
        <f>'24'!G138</f>
        <v>9.5</v>
      </c>
      <c r="AJ28" s="19">
        <f>'24'!G139</f>
        <v>1.0500000000029104</v>
      </c>
      <c r="AK28" s="19">
        <f t="shared" si="10"/>
        <v>10.510000000002037</v>
      </c>
      <c r="AL28" s="19">
        <f>'23'!G140</f>
        <v>10.820000000000164</v>
      </c>
      <c r="AM28" s="19">
        <f>'24'!G141</f>
        <v>0</v>
      </c>
      <c r="AN28" s="19"/>
      <c r="AO28" s="19">
        <f t="shared" si="11"/>
        <v>10.820000000000164</v>
      </c>
      <c r="AP28" s="258">
        <f>'25'!G124</f>
        <v>265</v>
      </c>
      <c r="AQ28" s="261">
        <f>'25'!G35</f>
        <v>2719</v>
      </c>
      <c r="AR28" s="19">
        <f>'25'!G37</f>
        <v>1518</v>
      </c>
      <c r="AS28" s="19">
        <f>'25'!G38</f>
        <v>1537</v>
      </c>
      <c r="AT28" s="19">
        <f>'25'!G39</f>
        <v>3655</v>
      </c>
      <c r="AU28" s="19">
        <f>'25'!G40</f>
        <v>0</v>
      </c>
      <c r="AV28" s="19">
        <f>'25'!G41</f>
        <v>0</v>
      </c>
      <c r="AW28" s="19"/>
      <c r="AX28" s="19">
        <f>'25'!G43</f>
        <v>2649</v>
      </c>
      <c r="AY28" s="23">
        <f>'25'!G44</f>
        <v>0</v>
      </c>
      <c r="AZ28" s="262">
        <f>'25'!G36</f>
        <v>642</v>
      </c>
      <c r="BA28" s="261">
        <f>'25'!G49</f>
        <v>1.0000000009313226E-2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-0.40999999999985448</v>
      </c>
      <c r="BF28" s="19">
        <f>'25'!G55</f>
        <v>5087</v>
      </c>
      <c r="BG28" s="19">
        <f>'25'!G56</f>
        <v>0</v>
      </c>
      <c r="BH28" s="19">
        <f>'25'!G57</f>
        <v>0</v>
      </c>
      <c r="BI28" s="262">
        <f>'25'!G50</f>
        <v>1032</v>
      </c>
      <c r="BJ28" s="370">
        <f t="shared" si="12"/>
        <v>5087</v>
      </c>
      <c r="BK28" s="370">
        <f>'25'!G84</f>
        <v>732</v>
      </c>
      <c r="BL28" s="23">
        <f t="shared" si="13"/>
        <v>48.627953488372135</v>
      </c>
      <c r="BM28" s="23">
        <f t="shared" si="14"/>
        <v>17</v>
      </c>
      <c r="BN28" s="24">
        <f t="shared" si="15"/>
        <v>7.1491627906974359E-2</v>
      </c>
      <c r="BO28" s="25">
        <f t="shared" si="16"/>
        <v>248960</v>
      </c>
      <c r="BP28" s="213">
        <f t="shared" si="17"/>
        <v>8468</v>
      </c>
      <c r="BQ28">
        <f t="shared" si="18"/>
        <v>1.2369266725096417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0.78</v>
      </c>
      <c r="F29" s="256">
        <f>'26'!D2</f>
        <v>1</v>
      </c>
      <c r="G29" s="19">
        <f>'26'!G8</f>
        <v>21500</v>
      </c>
      <c r="H29" s="19">
        <f>'26'!G7</f>
        <v>21500</v>
      </c>
      <c r="I29" s="19">
        <f>'26'!G8</f>
        <v>21500</v>
      </c>
      <c r="J29" s="19">
        <v>9</v>
      </c>
      <c r="K29" s="242">
        <f t="shared" si="3"/>
        <v>193500</v>
      </c>
      <c r="L29" s="238">
        <f t="shared" si="4"/>
        <v>106.43564356435644</v>
      </c>
      <c r="M29" s="19">
        <f>'26'!G15</f>
        <v>700</v>
      </c>
      <c r="N29" s="19">
        <v>53</v>
      </c>
      <c r="O29" s="234">
        <f t="shared" si="5"/>
        <v>37100</v>
      </c>
      <c r="P29" s="19">
        <f>'26'!G20</f>
        <v>215</v>
      </c>
      <c r="Q29" s="19">
        <v>108</v>
      </c>
      <c r="R29" s="239">
        <f t="shared" si="0"/>
        <v>23220</v>
      </c>
      <c r="S29" s="240">
        <f t="shared" si="1"/>
        <v>106.43564356435644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79</v>
      </c>
      <c r="X29" s="22">
        <f>'26'!G97</f>
        <v>29</v>
      </c>
      <c r="Y29" s="22">
        <f>'26'!G98</f>
        <v>34</v>
      </c>
      <c r="Z29" s="22">
        <f t="shared" si="7"/>
        <v>142</v>
      </c>
      <c r="AA29" s="19">
        <f>'26'!G133</f>
        <v>14</v>
      </c>
      <c r="AB29" s="19">
        <f>'26'!G134</f>
        <v>0</v>
      </c>
      <c r="AC29" s="19">
        <f>'26'!G135</f>
        <v>20.960000000006403</v>
      </c>
      <c r="AD29" s="19">
        <f>'26'!G136</f>
        <v>0</v>
      </c>
      <c r="AE29" s="19">
        <f t="shared" si="8"/>
        <v>34.960000000006403</v>
      </c>
      <c r="AF29" s="23">
        <f t="shared" si="2"/>
        <v>6949</v>
      </c>
      <c r="AG29" s="23">
        <f t="shared" si="9"/>
        <v>198.7700228832588</v>
      </c>
      <c r="AH29" s="19">
        <f>'26'!G137</f>
        <v>8.4500000000007276</v>
      </c>
      <c r="AI29" s="19">
        <f>'26'!G138</f>
        <v>0</v>
      </c>
      <c r="AJ29" s="19">
        <f>'26'!G139</f>
        <v>0</v>
      </c>
      <c r="AK29" s="19">
        <f t="shared" si="10"/>
        <v>8.4500000000007276</v>
      </c>
      <c r="AL29" s="19">
        <f>'26'!G140</f>
        <v>11.5</v>
      </c>
      <c r="AM29" s="19">
        <f>'26'!G141</f>
        <v>0</v>
      </c>
      <c r="AN29" s="19"/>
      <c r="AO29" s="19">
        <f t="shared" si="11"/>
        <v>11.5</v>
      </c>
      <c r="AP29" s="258">
        <f>'26'!G124</f>
        <v>306</v>
      </c>
      <c r="AQ29" s="261">
        <f>'26'!G35</f>
        <v>3030</v>
      </c>
      <c r="AR29" s="19">
        <f>'26'!G37</f>
        <v>1521</v>
      </c>
      <c r="AS29" s="19">
        <f>'26'!G38</f>
        <v>1787</v>
      </c>
      <c r="AT29" s="19">
        <f>'26'!G39</f>
        <v>3678</v>
      </c>
      <c r="AU29" s="19">
        <f>'26'!G40</f>
        <v>281</v>
      </c>
      <c r="AV29" s="19">
        <f>'26'!G41</f>
        <v>2890</v>
      </c>
      <c r="AW29" s="19">
        <f>'26'!G42</f>
        <v>0</v>
      </c>
      <c r="AX29" s="19">
        <f>'26'!G43</f>
        <v>2958</v>
      </c>
      <c r="AY29" s="23">
        <f>'26'!G44</f>
        <v>0</v>
      </c>
      <c r="AZ29" s="262">
        <f>'26'!G36</f>
        <v>959</v>
      </c>
      <c r="BA29" s="261">
        <f>'26'!G49</f>
        <v>-0.13000000000465661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4059</v>
      </c>
      <c r="BG29" s="19">
        <f>'26'!G56</f>
        <v>0</v>
      </c>
      <c r="BH29" s="19">
        <f>'26'!G57</f>
        <v>0</v>
      </c>
      <c r="BI29" s="262">
        <f>'26'!G50</f>
        <v>1133</v>
      </c>
      <c r="BJ29" s="370">
        <f t="shared" si="12"/>
        <v>6949</v>
      </c>
      <c r="BK29" s="370">
        <f>'26'!G84</f>
        <v>872</v>
      </c>
      <c r="BL29" s="23">
        <f t="shared" si="13"/>
        <v>60.171488372093002</v>
      </c>
      <c r="BM29" s="23">
        <f t="shared" si="14"/>
        <v>17.106976744186046</v>
      </c>
      <c r="BN29" s="24">
        <f t="shared" si="15"/>
        <v>8.3116279069767443E-2</v>
      </c>
      <c r="BO29" s="25">
        <f t="shared" si="16"/>
        <v>253820</v>
      </c>
      <c r="BP29" s="213">
        <f t="shared" si="17"/>
        <v>10779</v>
      </c>
      <c r="BQ29">
        <f t="shared" si="18"/>
        <v>1.1011564236676636</v>
      </c>
    </row>
    <row r="30" spans="1:69">
      <c r="A30" s="16">
        <v>27</v>
      </c>
      <c r="B30" s="17">
        <v>27</v>
      </c>
      <c r="C30" s="28"/>
      <c r="D30" s="19">
        <f>'27'!D3</f>
        <v>29</v>
      </c>
      <c r="E30" s="256">
        <f>'27'!D4</f>
        <v>0.79</v>
      </c>
      <c r="F30" s="256">
        <f>'27'!D2</f>
        <v>0.67</v>
      </c>
      <c r="G30" s="19">
        <f>'27'!G8</f>
        <v>21500</v>
      </c>
      <c r="H30" s="19">
        <f>'27'!G7</f>
        <v>21500</v>
      </c>
      <c r="I30" s="19">
        <f>'27'!G8</f>
        <v>21500</v>
      </c>
      <c r="J30" s="19">
        <v>9</v>
      </c>
      <c r="K30" s="242">
        <f t="shared" si="3"/>
        <v>193500</v>
      </c>
      <c r="L30" s="238">
        <f t="shared" si="4"/>
        <v>106.43564356435644</v>
      </c>
      <c r="M30" s="19">
        <f>'27'!G15</f>
        <v>700</v>
      </c>
      <c r="N30" s="19">
        <v>53</v>
      </c>
      <c r="O30" s="234">
        <f t="shared" si="5"/>
        <v>37100</v>
      </c>
      <c r="P30" s="19">
        <f>'27'!G20</f>
        <v>241</v>
      </c>
      <c r="Q30" s="19">
        <v>108</v>
      </c>
      <c r="R30" s="239">
        <f t="shared" si="0"/>
        <v>26028</v>
      </c>
      <c r="S30" s="240">
        <f t="shared" si="1"/>
        <v>178.07004581055122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73</v>
      </c>
      <c r="X30" s="22">
        <f>'27'!G97</f>
        <v>35</v>
      </c>
      <c r="Y30" s="22">
        <f>'27'!G98</f>
        <v>36</v>
      </c>
      <c r="Z30" s="22">
        <f t="shared" si="7"/>
        <v>144</v>
      </c>
      <c r="AA30" s="19">
        <f>'27'!G133</f>
        <v>24</v>
      </c>
      <c r="AB30" s="19">
        <f>'27'!G134</f>
        <v>0</v>
      </c>
      <c r="AC30" s="19">
        <f>'27'!G135</f>
        <v>10.759999999994761</v>
      </c>
      <c r="AD30" s="19">
        <f>'27'!G136</f>
        <v>0</v>
      </c>
      <c r="AE30" s="19">
        <f t="shared" si="8"/>
        <v>34.759999999994761</v>
      </c>
      <c r="AF30" s="23">
        <f t="shared" si="2"/>
        <v>6445</v>
      </c>
      <c r="AG30" s="23">
        <f t="shared" si="9"/>
        <v>185.41426927505671</v>
      </c>
      <c r="AH30" s="19">
        <f>'27'!G137</f>
        <v>4.4799999999995634</v>
      </c>
      <c r="AI30" s="19">
        <f>'27'!G138</f>
        <v>0.38999999999941792</v>
      </c>
      <c r="AJ30" s="19">
        <f>'27'!G139</f>
        <v>5.0800000000017462</v>
      </c>
      <c r="AK30" s="19">
        <f t="shared" si="10"/>
        <v>9.9500000000007276</v>
      </c>
      <c r="AL30" s="19">
        <f>'27'!G140</f>
        <v>10.5</v>
      </c>
      <c r="AM30" s="19">
        <f>'27'!G141</f>
        <v>0</v>
      </c>
      <c r="AN30" s="19"/>
      <c r="AO30" s="19">
        <f t="shared" si="11"/>
        <v>10.5</v>
      </c>
      <c r="AP30" s="258">
        <f>'27'!G124</f>
        <v>294</v>
      </c>
      <c r="AQ30" s="261">
        <f>'27'!G35</f>
        <v>3062</v>
      </c>
      <c r="AR30" s="19">
        <f>'27'!G37</f>
        <v>1492</v>
      </c>
      <c r="AS30" s="19">
        <f>'27'!G38</f>
        <v>1713</v>
      </c>
      <c r="AT30" s="19">
        <f>'27'!G39</f>
        <v>3715</v>
      </c>
      <c r="AU30" s="19">
        <f>'27'!G40</f>
        <v>380</v>
      </c>
      <c r="AV30" s="19">
        <f>'27'!G41</f>
        <v>4771</v>
      </c>
      <c r="AW30" s="19">
        <f>'27'!G42</f>
        <v>0</v>
      </c>
      <c r="AX30" s="19">
        <f>'27'!G43</f>
        <v>3057</v>
      </c>
      <c r="AY30" s="23">
        <f>'27'!G44</f>
        <v>0</v>
      </c>
      <c r="AZ30" s="262">
        <f>'27'!G36</f>
        <v>587</v>
      </c>
      <c r="BA30" s="261">
        <f>'27'!G49</f>
        <v>0.13000000000465661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1674</v>
      </c>
      <c r="BG30" s="19">
        <f>'27'!G56</f>
        <v>0</v>
      </c>
      <c r="BH30" s="19">
        <f>'27'!G57</f>
        <v>0</v>
      </c>
      <c r="BI30" s="262">
        <f>'27'!G50</f>
        <v>1299</v>
      </c>
      <c r="BJ30" s="370">
        <f t="shared" si="12"/>
        <v>6445</v>
      </c>
      <c r="BK30" s="370">
        <f>'27'!G84</f>
        <v>884</v>
      </c>
      <c r="BL30" s="23">
        <f t="shared" si="13"/>
        <v>58.437813953488394</v>
      </c>
      <c r="BM30" s="23">
        <f t="shared" si="14"/>
        <v>17.279069767441861</v>
      </c>
      <c r="BN30" s="24">
        <f t="shared" si="15"/>
        <v>7.9671162790700051E-2</v>
      </c>
      <c r="BO30" s="25">
        <f t="shared" si="16"/>
        <v>256628</v>
      </c>
      <c r="BP30" s="213">
        <f t="shared" si="17"/>
        <v>10386</v>
      </c>
      <c r="BQ30">
        <f t="shared" si="18"/>
        <v>1.0671132664805159</v>
      </c>
    </row>
    <row r="31" spans="1:69">
      <c r="A31" s="16">
        <v>28</v>
      </c>
      <c r="B31" s="26">
        <v>28</v>
      </c>
      <c r="C31" s="28"/>
      <c r="D31" s="19">
        <f>'28'!D3</f>
        <v>29</v>
      </c>
      <c r="E31" s="256">
        <f>'28'!D4</f>
        <v>0.8</v>
      </c>
      <c r="F31" s="256">
        <f>'28'!D2</f>
        <v>0.31</v>
      </c>
      <c r="G31" s="19">
        <f>'28'!G8</f>
        <v>21500.000000000058</v>
      </c>
      <c r="H31" s="19">
        <f>'28'!G7</f>
        <v>21500</v>
      </c>
      <c r="I31" s="19">
        <f>'28'!G8</f>
        <v>21500.000000000058</v>
      </c>
      <c r="J31" s="19">
        <v>9</v>
      </c>
      <c r="K31" s="242">
        <f t="shared" si="3"/>
        <v>193500.00000000052</v>
      </c>
      <c r="L31" s="238">
        <f t="shared" si="4"/>
        <v>106.43564356435672</v>
      </c>
      <c r="M31" s="19">
        <f>'28'!G15</f>
        <v>700</v>
      </c>
      <c r="N31" s="19">
        <v>53</v>
      </c>
      <c r="O31" s="234">
        <f t="shared" si="5"/>
        <v>37100</v>
      </c>
      <c r="P31" s="19">
        <f>'28'!G20</f>
        <v>194</v>
      </c>
      <c r="Q31" s="19">
        <v>108</v>
      </c>
      <c r="R31" s="239">
        <f t="shared" si="0"/>
        <v>20952</v>
      </c>
      <c r="S31" s="240">
        <f t="shared" si="1"/>
        <v>309.80517406579366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71</v>
      </c>
      <c r="X31" s="22">
        <f>'28'!G97</f>
        <v>24</v>
      </c>
      <c r="Y31" s="22">
        <f>'28'!G98</f>
        <v>16</v>
      </c>
      <c r="Z31" s="22">
        <f t="shared" si="7"/>
        <v>111</v>
      </c>
      <c r="AA31" s="19">
        <f>'28'!G133</f>
        <v>16</v>
      </c>
      <c r="AB31" s="19">
        <f>'28'!G134</f>
        <v>0</v>
      </c>
      <c r="AC31" s="19">
        <f>'28'!G135</f>
        <v>9.8300000000017462</v>
      </c>
      <c r="AD31" s="19">
        <f>'28'!G136</f>
        <v>0</v>
      </c>
      <c r="AE31" s="19">
        <f t="shared" si="8"/>
        <v>25.830000000001746</v>
      </c>
      <c r="AF31" s="23">
        <f t="shared" si="2"/>
        <v>5515</v>
      </c>
      <c r="AG31" s="23">
        <f t="shared" si="9"/>
        <v>213.51142082847957</v>
      </c>
      <c r="AH31" s="19">
        <f>'28'!G137</f>
        <v>7.7299999999995634</v>
      </c>
      <c r="AI31" s="19">
        <f>'28'!G138</f>
        <v>0</v>
      </c>
      <c r="AJ31" s="19">
        <f>'28'!G139</f>
        <v>0.10000000000582077</v>
      </c>
      <c r="AK31" s="19">
        <f t="shared" si="10"/>
        <v>7.8300000000053842</v>
      </c>
      <c r="AL31" s="19">
        <f>'28'!G140</f>
        <v>10.699999999999818</v>
      </c>
      <c r="AM31" s="19">
        <f>'28'!G141</f>
        <v>0</v>
      </c>
      <c r="AN31" s="19"/>
      <c r="AO31" s="19">
        <f t="shared" si="11"/>
        <v>10.699999999999818</v>
      </c>
      <c r="AP31" s="258">
        <f>'28'!G124</f>
        <v>284</v>
      </c>
      <c r="AQ31" s="261">
        <f>'28'!G35</f>
        <v>2775</v>
      </c>
      <c r="AR31" s="19">
        <f>'28'!G37</f>
        <v>1454</v>
      </c>
      <c r="AS31" s="19">
        <f>'28'!G38</f>
        <v>1688</v>
      </c>
      <c r="AT31" s="19">
        <f>'28'!G39</f>
        <v>3688</v>
      </c>
      <c r="AU31" s="19">
        <f>'28'!G40</f>
        <v>265</v>
      </c>
      <c r="AV31" s="19">
        <f>'28'!G41</f>
        <v>3371</v>
      </c>
      <c r="AW31" s="19">
        <f>'28'!G42</f>
        <v>0</v>
      </c>
      <c r="AX31" s="439">
        <f>'28'!G43</f>
        <v>2726</v>
      </c>
      <c r="AY31" s="23">
        <f>'28'!G44</f>
        <v>0</v>
      </c>
      <c r="AZ31" s="262">
        <f>'28'!G36</f>
        <v>611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2093</v>
      </c>
      <c r="BG31" s="19">
        <f>'28'!G56</f>
        <v>51</v>
      </c>
      <c r="BH31" s="19">
        <f>'28'!G57</f>
        <v>0.32999999999992724</v>
      </c>
      <c r="BI31" s="262">
        <f>'28'!G50</f>
        <v>992</v>
      </c>
      <c r="BJ31" s="370">
        <f t="shared" si="12"/>
        <v>5515</v>
      </c>
      <c r="BK31" s="370">
        <f>'28'!G84</f>
        <v>818</v>
      </c>
      <c r="BL31" s="23">
        <f>SUM(AQ31,AV31,AW31,AX31,BA31,BF31,BG31,BH31)/I31%</f>
        <v>51.238744186046375</v>
      </c>
      <c r="BM31" s="23">
        <f t="shared" si="14"/>
        <v>17.153488372092976</v>
      </c>
      <c r="BN31" s="24">
        <f t="shared" si="15"/>
        <v>7.8514883720927631E-2</v>
      </c>
      <c r="BO31" s="25">
        <f t="shared" si="16"/>
        <v>251552.00000000052</v>
      </c>
      <c r="BP31" s="213">
        <f t="shared" si="17"/>
        <v>9059.33</v>
      </c>
      <c r="BQ31">
        <f t="shared" si="18"/>
        <v>1.2526035617498186</v>
      </c>
    </row>
    <row r="32" spans="1:69">
      <c r="A32" s="16">
        <v>29</v>
      </c>
      <c r="B32" s="26">
        <v>29</v>
      </c>
      <c r="C32" s="28"/>
      <c r="D32" s="19">
        <f>'29'!D3</f>
        <v>29</v>
      </c>
      <c r="E32" s="256">
        <f>'29'!D4</f>
        <v>0.8</v>
      </c>
      <c r="F32" s="256">
        <f>'29'!D2</f>
        <v>0.31</v>
      </c>
      <c r="G32" s="19">
        <f>'29'!G8</f>
        <v>21500</v>
      </c>
      <c r="H32" s="19">
        <f>'29'!G7</f>
        <v>21500.000000000058</v>
      </c>
      <c r="I32" s="19">
        <f>'29'!G8</f>
        <v>21500</v>
      </c>
      <c r="J32" s="19">
        <v>9</v>
      </c>
      <c r="K32" s="242">
        <f t="shared" si="3"/>
        <v>193500</v>
      </c>
      <c r="L32" s="238">
        <f t="shared" si="4"/>
        <v>106.43564356435644</v>
      </c>
      <c r="M32" s="19">
        <f>'29'!G15</f>
        <v>700</v>
      </c>
      <c r="N32" s="19">
        <v>53</v>
      </c>
      <c r="O32" s="234">
        <f t="shared" si="5"/>
        <v>37100</v>
      </c>
      <c r="P32" s="19">
        <f>'29'!G20</f>
        <v>163</v>
      </c>
      <c r="Q32" s="19">
        <v>108</v>
      </c>
      <c r="R32" s="239">
        <f t="shared" si="0"/>
        <v>17604</v>
      </c>
      <c r="S32" s="240">
        <f t="shared" si="1"/>
        <v>260.30022357074421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61</v>
      </c>
      <c r="X32" s="22">
        <f>'29'!G97</f>
        <v>13</v>
      </c>
      <c r="Y32" s="22">
        <f>'29'!G98</f>
        <v>17</v>
      </c>
      <c r="Z32" s="22">
        <f t="shared" si="7"/>
        <v>91</v>
      </c>
      <c r="AA32" s="19">
        <f>'29'!G133</f>
        <v>10</v>
      </c>
      <c r="AB32" s="19">
        <f>'29'!G134</f>
        <v>0</v>
      </c>
      <c r="AC32" s="19">
        <f>'29'!G135</f>
        <v>17</v>
      </c>
      <c r="AD32" s="19">
        <f>'29'!G136</f>
        <v>0</v>
      </c>
      <c r="AE32" s="19">
        <f t="shared" si="8"/>
        <v>27</v>
      </c>
      <c r="AF32" s="23">
        <f t="shared" si="2"/>
        <v>6013</v>
      </c>
      <c r="AG32" s="23">
        <f t="shared" si="9"/>
        <v>222.7037037037037</v>
      </c>
      <c r="AH32" s="19">
        <f>'29'!G137</f>
        <v>5.2199999999975262</v>
      </c>
      <c r="AI32" s="19">
        <f>'29'!G138</f>
        <v>0</v>
      </c>
      <c r="AJ32" s="19">
        <f>'29'!G139</f>
        <v>4.5199999999895226</v>
      </c>
      <c r="AK32" s="19">
        <f t="shared" si="10"/>
        <v>9.7399999999870488</v>
      </c>
      <c r="AL32" s="19">
        <f>'29'!G140</f>
        <v>9.6400000000003274</v>
      </c>
      <c r="AM32" s="19">
        <f>'29'!G141</f>
        <v>0.11999999999989086</v>
      </c>
      <c r="AN32" s="19"/>
      <c r="AO32" s="19">
        <f t="shared" si="11"/>
        <v>9.7600000000002183</v>
      </c>
      <c r="AP32" s="258">
        <f>'29'!G124</f>
        <v>261</v>
      </c>
      <c r="AQ32" s="261">
        <f>'29'!G35</f>
        <v>2867</v>
      </c>
      <c r="AR32" s="19">
        <f>'29'!G37</f>
        <v>1417</v>
      </c>
      <c r="AS32" s="19">
        <f>'29'!G38</f>
        <v>1582</v>
      </c>
      <c r="AT32" s="19">
        <f>'29'!G39</f>
        <v>3564</v>
      </c>
      <c r="AU32" s="19">
        <f>'29'!G40</f>
        <v>458</v>
      </c>
      <c r="AV32" s="19">
        <f>'29'!G41</f>
        <v>2329</v>
      </c>
      <c r="AW32" s="19">
        <f>'29'!G42</f>
        <v>0</v>
      </c>
      <c r="AX32" s="19">
        <f>'29'!G43</f>
        <v>2621</v>
      </c>
      <c r="AY32" s="23">
        <f>'29'!G44</f>
        <v>0</v>
      </c>
      <c r="AZ32" s="262">
        <f>'29'!G36</f>
        <v>608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3673</v>
      </c>
      <c r="BG32" s="19">
        <f>'29'!G56</f>
        <v>11</v>
      </c>
      <c r="BH32" s="19">
        <f>'29'!G57</f>
        <v>-0.32999999999992724</v>
      </c>
      <c r="BI32" s="262">
        <f>'29'!G50</f>
        <v>958</v>
      </c>
      <c r="BJ32" s="370">
        <f t="shared" si="12"/>
        <v>6013</v>
      </c>
      <c r="BK32" s="370">
        <f>'29'!G84</f>
        <v>785</v>
      </c>
      <c r="BL32" s="23">
        <f t="shared" si="13"/>
        <v>53.491488372093023</v>
      </c>
      <c r="BM32" s="23">
        <f t="shared" si="14"/>
        <v>16.576744186046511</v>
      </c>
      <c r="BN32" s="24">
        <f t="shared" si="15"/>
        <v>7.3581395348837203E-2</v>
      </c>
      <c r="BO32" s="25">
        <f t="shared" si="16"/>
        <v>248204</v>
      </c>
      <c r="BP32" s="213">
        <f t="shared" si="17"/>
        <v>9418.67</v>
      </c>
      <c r="BQ32">
        <f t="shared" si="18"/>
        <v>1.2458558201058201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0.32</v>
      </c>
      <c r="G33" s="19">
        <f>'30'!G8</f>
        <v>21500</v>
      </c>
      <c r="H33" s="19">
        <f>'30'!G7</f>
        <v>21500</v>
      </c>
      <c r="I33" s="19">
        <f>'30'!G8</f>
        <v>21500</v>
      </c>
      <c r="J33" s="19">
        <v>9</v>
      </c>
      <c r="K33" s="242">
        <f t="shared" si="3"/>
        <v>193500</v>
      </c>
      <c r="L33" s="238">
        <f t="shared" si="4"/>
        <v>106.43564356435644</v>
      </c>
      <c r="M33" s="19">
        <f>'30'!G15</f>
        <v>700</v>
      </c>
      <c r="N33" s="19">
        <v>53</v>
      </c>
      <c r="O33" s="234">
        <f t="shared" si="5"/>
        <v>37100</v>
      </c>
      <c r="P33" s="19">
        <f>'30'!G20</f>
        <v>134</v>
      </c>
      <c r="Q33" s="19">
        <v>108</v>
      </c>
      <c r="R33" s="239">
        <f t="shared" si="0"/>
        <v>14472</v>
      </c>
      <c r="S33" s="240">
        <f t="shared" si="1"/>
        <v>207.30198019801981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39</v>
      </c>
      <c r="X33" s="22">
        <f>'30'!G97</f>
        <v>12</v>
      </c>
      <c r="Y33" s="22">
        <f>'30'!G98</f>
        <v>23</v>
      </c>
      <c r="Z33" s="22">
        <f t="shared" si="7"/>
        <v>74</v>
      </c>
      <c r="AA33" s="19">
        <f>'30'!G133</f>
        <v>24</v>
      </c>
      <c r="AB33" s="19">
        <f>'30'!G134</f>
        <v>0</v>
      </c>
      <c r="AC33" s="19">
        <f>'30'!G135</f>
        <v>2</v>
      </c>
      <c r="AD33" s="19">
        <f>'30'!G136</f>
        <v>0</v>
      </c>
      <c r="AE33" s="19">
        <f t="shared" si="8"/>
        <v>26</v>
      </c>
      <c r="AF33" s="23">
        <f t="shared" si="2"/>
        <v>5709</v>
      </c>
      <c r="AG33" s="23">
        <f t="shared" si="9"/>
        <v>219.57692307692307</v>
      </c>
      <c r="AH33" s="19">
        <f>'30'!G137</f>
        <v>7.0000000003346941E-2</v>
      </c>
      <c r="AI33" s="19">
        <f>'30'!G138</f>
        <v>0</v>
      </c>
      <c r="AJ33" s="19">
        <f>'30'!G139</f>
        <v>0</v>
      </c>
      <c r="AK33" s="19">
        <f t="shared" si="10"/>
        <v>7.0000000003346941E-2</v>
      </c>
      <c r="AL33" s="19">
        <f>'30'!G140</f>
        <v>9.8399999999996908</v>
      </c>
      <c r="AM33" s="19">
        <f>'30'!G141</f>
        <v>0</v>
      </c>
      <c r="AN33" s="19"/>
      <c r="AO33" s="19">
        <f t="shared" si="11"/>
        <v>9.8399999999996908</v>
      </c>
      <c r="AP33" s="258">
        <f>'30'!G124</f>
        <v>263</v>
      </c>
      <c r="AQ33" s="261">
        <f>'30'!G35</f>
        <v>2703</v>
      </c>
      <c r="AR33" s="19">
        <f>'30'!G37</f>
        <v>1412</v>
      </c>
      <c r="AS33" s="19">
        <f>'30'!G38</f>
        <v>1354</v>
      </c>
      <c r="AT33" s="19">
        <f>'30'!G39</f>
        <v>3737</v>
      </c>
      <c r="AU33" s="19">
        <f>'30'!G40</f>
        <v>276</v>
      </c>
      <c r="AV33" s="19">
        <f>'30'!G41</f>
        <v>5289</v>
      </c>
      <c r="AW33" s="19">
        <f>'30'!G42</f>
        <v>0</v>
      </c>
      <c r="AX33" s="19">
        <f>'30'!G43</f>
        <v>2538</v>
      </c>
      <c r="AY33" s="23">
        <f>'30'!G44</f>
        <v>0</v>
      </c>
      <c r="AZ33" s="262">
        <f>'30'!G36</f>
        <v>653</v>
      </c>
      <c r="BA33" s="261">
        <f>'30'!G49</f>
        <v>-0.13000000000465661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410</v>
      </c>
      <c r="BG33" s="19">
        <f>'30'!G56</f>
        <v>10</v>
      </c>
      <c r="BH33" s="19">
        <f>'30'!G57</f>
        <v>0</v>
      </c>
      <c r="BI33" s="262">
        <f>'30'!G50</f>
        <v>944</v>
      </c>
      <c r="BJ33" s="370">
        <f t="shared" ref="BJ33" si="19">SUM(AV33,AW33,BF33,BG33)</f>
        <v>5709</v>
      </c>
      <c r="BK33" s="370">
        <f>'30'!G84</f>
        <v>840</v>
      </c>
      <c r="BL33" s="23">
        <f t="shared" si="13"/>
        <v>50.929627906976719</v>
      </c>
      <c r="BM33" s="23">
        <f t="shared" si="14"/>
        <v>17.381395348837209</v>
      </c>
      <c r="BN33" s="24">
        <f t="shared" si="15"/>
        <v>6.2973488372095404E-2</v>
      </c>
      <c r="BO33" s="25">
        <f t="shared" si="16"/>
        <v>245072</v>
      </c>
      <c r="BP33" s="213">
        <f t="shared" si="17"/>
        <v>9087</v>
      </c>
      <c r="BQ33">
        <f t="shared" si="18"/>
        <v>1.2482142857142857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29</v>
      </c>
      <c r="G34" s="19">
        <f>'31'!G8</f>
        <v>21500</v>
      </c>
      <c r="H34" s="19">
        <f>'31'!G7</f>
        <v>21500</v>
      </c>
      <c r="I34" s="19">
        <f>'31'!G8</f>
        <v>21500</v>
      </c>
      <c r="J34" s="19">
        <v>9</v>
      </c>
      <c r="K34" s="242">
        <f t="shared" si="3"/>
        <v>193500</v>
      </c>
      <c r="L34" s="238">
        <f t="shared" ref="L34" si="20">I34/202</f>
        <v>106.43564356435644</v>
      </c>
      <c r="M34" s="19">
        <f>'31'!G15</f>
        <v>700</v>
      </c>
      <c r="N34" s="19">
        <v>53</v>
      </c>
      <c r="O34" s="234">
        <f t="shared" ref="O34" si="21">M34*N34</f>
        <v>37100</v>
      </c>
      <c r="P34" s="19">
        <f>'31'!G20</f>
        <v>-1823</v>
      </c>
      <c r="Q34" s="19">
        <v>108</v>
      </c>
      <c r="R34" s="239">
        <f t="shared" ref="R34" si="22">P34*Q34</f>
        <v>-196884</v>
      </c>
      <c r="S34" s="240">
        <f t="shared" ref="S34" si="23">P34/(F34*202/100)</f>
        <v>-31.119836121543191</v>
      </c>
      <c r="T34" s="19">
        <f>'30'!G25</f>
        <v>0</v>
      </c>
      <c r="U34" s="19">
        <v>70</v>
      </c>
      <c r="V34" s="241">
        <f t="shared" ref="V34" si="24">T34*U34</f>
        <v>0</v>
      </c>
      <c r="W34" s="22">
        <f>'30'!G97</f>
        <v>12</v>
      </c>
      <c r="X34" s="22">
        <f>'30'!G98</f>
        <v>23</v>
      </c>
      <c r="Y34" s="22">
        <f>'30'!G99</f>
        <v>11</v>
      </c>
      <c r="Z34" s="22">
        <f t="shared" ref="Z34" si="25">W34+X34+Y34</f>
        <v>46</v>
      </c>
      <c r="AA34" s="19">
        <f>'30'!G134</f>
        <v>0</v>
      </c>
      <c r="AB34" s="19">
        <f>'30'!G135</f>
        <v>2</v>
      </c>
      <c r="AC34" s="19">
        <f>'30'!G136</f>
        <v>0</v>
      </c>
      <c r="AD34" s="19">
        <f>'30'!G137</f>
        <v>7.0000000003346941E-2</v>
      </c>
      <c r="AE34" s="19">
        <f t="shared" ref="AE34" si="26">AA34+AB34+AC34+AD34</f>
        <v>2.0700000000033469</v>
      </c>
      <c r="AF34" s="23">
        <f t="shared" ref="AF34" si="27">AV34+AW34+BF34+BG34</f>
        <v>-170533</v>
      </c>
      <c r="AG34" s="23">
        <f t="shared" ref="AG34" si="28">AF34/AE34</f>
        <v>-82383.091787306417</v>
      </c>
      <c r="AH34" s="19">
        <f>'30'!G138</f>
        <v>0</v>
      </c>
      <c r="AI34" s="19">
        <f>'30'!G139</f>
        <v>0</v>
      </c>
      <c r="AJ34" s="19">
        <f>'30'!G140</f>
        <v>9.8399999999996908</v>
      </c>
      <c r="AK34" s="19">
        <f t="shared" ref="AK34" si="29">AH34+AI34+AJ34</f>
        <v>9.8399999999996908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258">
        <f>'30'!G125</f>
        <v>0.39999999999417923</v>
      </c>
      <c r="AQ34" s="261">
        <f>'31'!G35</f>
        <v>-78226</v>
      </c>
      <c r="AR34" s="19">
        <f>'31'!G37</f>
        <v>-42334</v>
      </c>
      <c r="AS34" s="19">
        <f>'31'!G38</f>
        <v>1249</v>
      </c>
      <c r="AT34" s="19">
        <f>'31'!G39</f>
        <v>-96691</v>
      </c>
      <c r="AU34" s="19">
        <f>'31'!G40</f>
        <v>-6224</v>
      </c>
      <c r="AV34" s="19">
        <f>'31'!G41</f>
        <v>-89164</v>
      </c>
      <c r="AW34" s="19">
        <f>'31'!G42</f>
        <v>-10</v>
      </c>
      <c r="AX34" s="19">
        <f>'31'!G43</f>
        <v>-78208</v>
      </c>
      <c r="AY34" s="23">
        <f>'31'!G44</f>
        <v>0</v>
      </c>
      <c r="AZ34" s="262">
        <f>'31'!G36</f>
        <v>173</v>
      </c>
      <c r="BA34" s="261">
        <f>'31'!G49</f>
        <v>0</v>
      </c>
      <c r="BB34" s="19">
        <f>'31'!G51</f>
        <v>0</v>
      </c>
      <c r="BC34" s="19">
        <f>'31'!G52</f>
        <v>0</v>
      </c>
      <c r="BD34" s="19">
        <f>'31'!G53</f>
        <v>-1664</v>
      </c>
      <c r="BE34" s="19">
        <f>'31'!G54</f>
        <v>-1217</v>
      </c>
      <c r="BF34" s="19">
        <f>'31'!G55</f>
        <v>-49525</v>
      </c>
      <c r="BG34" s="19">
        <f>'31'!G56</f>
        <v>-31834</v>
      </c>
      <c r="BH34" s="19">
        <f>'31'!G57</f>
        <v>0</v>
      </c>
      <c r="BI34" s="262">
        <f>'31'!G50</f>
        <v>-32127</v>
      </c>
      <c r="BJ34" s="370">
        <f t="shared" ref="BJ34" si="31">SUM(AV34,AW34,BF34,BG34)</f>
        <v>-170533</v>
      </c>
      <c r="BK34" s="370">
        <f>'31'!G84</f>
        <v>-22786</v>
      </c>
      <c r="BL34" s="23">
        <f t="shared" ref="BL34" si="32">SUM(AQ34,AV34,AW34,AX34,BA34,BF34,BG34,BH34)/I34%</f>
        <v>-1520.7767441860465</v>
      </c>
      <c r="BM34" s="23">
        <f t="shared" ref="BM34" si="33">SUM(AT34,BD34)/I34%</f>
        <v>-457.46511627906978</v>
      </c>
      <c r="BN34" s="24">
        <f t="shared" ref="BN34" si="34">(AS34+BC34)/I34</f>
        <v>5.8093023255813954E-2</v>
      </c>
      <c r="BO34" s="25">
        <f t="shared" ref="BO34" si="35">K34+O34+R34+V34</f>
        <v>33716</v>
      </c>
      <c r="BP34" s="213">
        <f t="shared" ref="BP34" si="36">SUM(AV34,AW34,AX34,BF34,BG34,BH34,BK34)</f>
        <v>-271527</v>
      </c>
      <c r="BQ34">
        <f t="shared" ref="BQ34" si="37">BP34/(AE34*280)</f>
        <v>-468.47308488537089</v>
      </c>
    </row>
    <row r="35" spans="1:69">
      <c r="A35" s="16" t="s">
        <v>201</v>
      </c>
      <c r="B35" s="30"/>
      <c r="C35" s="31"/>
      <c r="D35" s="32">
        <f>AVERAGE(D4:D34)</f>
        <v>29.06451612903226</v>
      </c>
      <c r="E35" s="33"/>
      <c r="F35" s="384">
        <f>AVERAGE(F4:F34)</f>
        <v>1.4872258064516128</v>
      </c>
      <c r="G35" s="34">
        <f>SUM(G4:G34)</f>
        <v>667231.79</v>
      </c>
      <c r="H35" s="34">
        <f>SUM(H4:H34)</f>
        <v>666342.56000000006</v>
      </c>
      <c r="I35" s="34">
        <f t="shared" ref="I35:BO35" si="38">SUM(I4:I34)</f>
        <v>667231.79</v>
      </c>
      <c r="J35" s="19">
        <v>9</v>
      </c>
      <c r="K35" s="34">
        <f t="shared" si="38"/>
        <v>6005086.1100000003</v>
      </c>
      <c r="L35" s="34">
        <f t="shared" si="38"/>
        <v>3303.1276732673255</v>
      </c>
      <c r="M35" s="34">
        <f t="shared" si="38"/>
        <v>22284.159999999916</v>
      </c>
      <c r="N35" s="34">
        <f t="shared" si="38"/>
        <v>1643</v>
      </c>
      <c r="O35" s="34">
        <f t="shared" si="38"/>
        <v>1181060.4799999956</v>
      </c>
      <c r="P35" s="34">
        <f t="shared" si="38"/>
        <v>1267</v>
      </c>
      <c r="Q35" s="34">
        <f t="shared" si="38"/>
        <v>3348</v>
      </c>
      <c r="R35" s="34">
        <f t="shared" si="38"/>
        <v>136836</v>
      </c>
      <c r="S35" s="34">
        <f t="shared" si="38"/>
        <v>891.88910027263341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12</v>
      </c>
      <c r="X35" s="34">
        <f t="shared" si="38"/>
        <v>23</v>
      </c>
      <c r="Y35" s="34">
        <f t="shared" si="38"/>
        <v>11</v>
      </c>
      <c r="Z35" s="34">
        <f t="shared" si="38"/>
        <v>46</v>
      </c>
      <c r="AA35" s="34">
        <f t="shared" si="38"/>
        <v>0</v>
      </c>
      <c r="AB35" s="34">
        <f t="shared" si="38"/>
        <v>2</v>
      </c>
      <c r="AC35" s="34">
        <f t="shared" si="38"/>
        <v>0</v>
      </c>
      <c r="AD35" s="34">
        <f t="shared" si="38"/>
        <v>7.0000000003346941E-2</v>
      </c>
      <c r="AE35" s="34">
        <f t="shared" si="38"/>
        <v>2.0700000000033469</v>
      </c>
      <c r="AF35" s="34">
        <f t="shared" si="38"/>
        <v>-170521.88999999998</v>
      </c>
      <c r="AG35" s="34">
        <f t="shared" si="38"/>
        <v>-75894.421689229086</v>
      </c>
      <c r="AH35" s="34">
        <f t="shared" si="38"/>
        <v>-4.5800000000017462</v>
      </c>
      <c r="AI35" s="34">
        <f t="shared" si="38"/>
        <v>9.8899999999994179</v>
      </c>
      <c r="AJ35" s="34">
        <f t="shared" si="38"/>
        <v>4.7500000000031832</v>
      </c>
      <c r="AK35" s="34">
        <f t="shared" si="38"/>
        <v>10.060000000000855</v>
      </c>
      <c r="AL35" s="34">
        <f t="shared" si="38"/>
        <v>1.4600000000000364</v>
      </c>
      <c r="AM35" s="34">
        <f t="shared" si="38"/>
        <v>0</v>
      </c>
      <c r="AN35" s="34">
        <f t="shared" si="38"/>
        <v>0</v>
      </c>
      <c r="AO35" s="34">
        <f t="shared" si="38"/>
        <v>1.4600000000000364</v>
      </c>
      <c r="AP35" s="34">
        <f t="shared" si="38"/>
        <v>0.39999999999417923</v>
      </c>
      <c r="AQ35" s="34">
        <f t="shared" si="38"/>
        <v>-78226</v>
      </c>
      <c r="AR35" s="34">
        <f t="shared" si="38"/>
        <v>-42334</v>
      </c>
      <c r="AS35" s="34">
        <f t="shared" si="38"/>
        <v>1249</v>
      </c>
      <c r="AT35" s="34">
        <f t="shared" si="38"/>
        <v>-96691</v>
      </c>
      <c r="AU35" s="34">
        <f t="shared" si="38"/>
        <v>-6224</v>
      </c>
      <c r="AV35" s="34">
        <f t="shared" si="38"/>
        <v>-89164</v>
      </c>
      <c r="AW35" s="34">
        <f t="shared" si="38"/>
        <v>1.1100000000005821</v>
      </c>
      <c r="AX35" s="34">
        <f t="shared" si="38"/>
        <v>-78208</v>
      </c>
      <c r="AY35" s="34">
        <f t="shared" si="38"/>
        <v>0</v>
      </c>
      <c r="AZ35" s="34">
        <f t="shared" si="38"/>
        <v>173</v>
      </c>
      <c r="BA35" s="34">
        <f t="shared" si="38"/>
        <v>0</v>
      </c>
      <c r="BB35" s="34">
        <f t="shared" si="38"/>
        <v>0</v>
      </c>
      <c r="BC35" s="34">
        <f t="shared" si="38"/>
        <v>0</v>
      </c>
      <c r="BD35" s="34">
        <f t="shared" si="38"/>
        <v>-1664</v>
      </c>
      <c r="BE35" s="34">
        <f t="shared" si="38"/>
        <v>-1217.4099999999999</v>
      </c>
      <c r="BF35" s="34">
        <f t="shared" si="38"/>
        <v>-49525</v>
      </c>
      <c r="BG35" s="34">
        <f t="shared" si="38"/>
        <v>-31834</v>
      </c>
      <c r="BH35" s="34">
        <f t="shared" si="38"/>
        <v>0</v>
      </c>
      <c r="BI35" s="34">
        <f t="shared" si="38"/>
        <v>-32127</v>
      </c>
      <c r="BJ35" s="34">
        <f t="shared" si="38"/>
        <v>-170521.88999999998</v>
      </c>
      <c r="BK35" s="34">
        <f t="shared" si="38"/>
        <v>551</v>
      </c>
      <c r="BL35" s="34">
        <f t="shared" si="38"/>
        <v>-1522.7083124485841</v>
      </c>
      <c r="BM35" s="34">
        <f t="shared" si="38"/>
        <v>-457.84876235745753</v>
      </c>
      <c r="BN35" s="34">
        <f t="shared" si="38"/>
        <v>5.5227242287933388E-2</v>
      </c>
      <c r="BO35" s="34">
        <f t="shared" si="38"/>
        <v>7322982.5899999961</v>
      </c>
      <c r="BP35" s="213">
        <f t="shared" si="17"/>
        <v>-248178.89</v>
      </c>
      <c r="BQ35">
        <f t="shared" si="18"/>
        <v>-428.1899413381621</v>
      </c>
    </row>
    <row r="36" spans="1:69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0</v>
      </c>
      <c r="E36" s="35">
        <f t="shared" si="39"/>
        <v>4.0000000000000036E-2</v>
      </c>
      <c r="F36" s="35">
        <f t="shared" si="39"/>
        <v>1.0000000000000009E-2</v>
      </c>
      <c r="G36" s="35"/>
      <c r="H36" s="35"/>
      <c r="I36" s="35">
        <f t="shared" ref="I36:AO36" si="40">I18-I17</f>
        <v>0</v>
      </c>
      <c r="J36" s="35">
        <f t="shared" si="40"/>
        <v>0</v>
      </c>
      <c r="K36" s="235">
        <f t="shared" si="40"/>
        <v>0</v>
      </c>
      <c r="L36" s="235">
        <f t="shared" si="40"/>
        <v>0</v>
      </c>
      <c r="M36" s="35">
        <f t="shared" si="40"/>
        <v>0</v>
      </c>
      <c r="N36" s="35">
        <f t="shared" si="40"/>
        <v>0</v>
      </c>
      <c r="O36" s="235">
        <f t="shared" si="40"/>
        <v>0</v>
      </c>
      <c r="P36" s="35">
        <f t="shared" si="40"/>
        <v>-41</v>
      </c>
      <c r="Q36" s="35">
        <f t="shared" si="40"/>
        <v>0</v>
      </c>
      <c r="R36" s="235">
        <f t="shared" si="40"/>
        <v>-4428</v>
      </c>
      <c r="S36" s="235">
        <f t="shared" si="40"/>
        <v>-92.003046458492008</v>
      </c>
      <c r="T36" s="35">
        <f t="shared" si="40"/>
        <v>0</v>
      </c>
      <c r="U36" s="35">
        <f t="shared" si="40"/>
        <v>0</v>
      </c>
      <c r="V36" s="235">
        <f t="shared" si="40"/>
        <v>0</v>
      </c>
      <c r="W36" s="35">
        <f t="shared" si="40"/>
        <v>-3</v>
      </c>
      <c r="X36" s="35">
        <f t="shared" si="40"/>
        <v>-13</v>
      </c>
      <c r="Y36" s="35">
        <f t="shared" si="40"/>
        <v>-4</v>
      </c>
      <c r="Z36" s="35">
        <f t="shared" si="40"/>
        <v>-20</v>
      </c>
      <c r="AA36" s="35">
        <f t="shared" si="40"/>
        <v>0</v>
      </c>
      <c r="AB36" s="35">
        <f t="shared" si="40"/>
        <v>0</v>
      </c>
      <c r="AC36" s="35">
        <f t="shared" si="40"/>
        <v>-7</v>
      </c>
      <c r="AD36" s="35">
        <f t="shared" si="40"/>
        <v>0</v>
      </c>
      <c r="AE36" s="35">
        <f t="shared" si="40"/>
        <v>-7</v>
      </c>
      <c r="AF36" s="35">
        <f t="shared" si="40"/>
        <v>-1150</v>
      </c>
      <c r="AG36" s="35">
        <f t="shared" si="40"/>
        <v>11.827956989247298</v>
      </c>
      <c r="AH36" s="35">
        <f t="shared" si="40"/>
        <v>-9.4700000000048021</v>
      </c>
      <c r="AI36" s="35">
        <f t="shared" si="40"/>
        <v>0</v>
      </c>
      <c r="AJ36" s="35">
        <f t="shared" si="40"/>
        <v>9.9800000000104774</v>
      </c>
      <c r="AK36" s="35">
        <f t="shared" si="40"/>
        <v>0.51000000000567525</v>
      </c>
      <c r="AL36" s="35">
        <f t="shared" si="40"/>
        <v>0.70000000000004547</v>
      </c>
      <c r="AM36" s="35">
        <f t="shared" si="40"/>
        <v>0</v>
      </c>
      <c r="AN36" s="35">
        <f t="shared" si="40"/>
        <v>0</v>
      </c>
      <c r="AO36" s="35">
        <f t="shared" si="40"/>
        <v>0.70000000000004547</v>
      </c>
      <c r="AP36" s="35"/>
      <c r="AQ36" s="35">
        <f t="shared" ref="AQ36:AX36" si="41">AQ18-AQ17</f>
        <v>-110</v>
      </c>
      <c r="AR36" s="35">
        <f t="shared" si="41"/>
        <v>17</v>
      </c>
      <c r="AS36" s="35">
        <f t="shared" si="41"/>
        <v>-216</v>
      </c>
      <c r="AT36" s="35">
        <f t="shared" si="41"/>
        <v>-359</v>
      </c>
      <c r="AU36" s="35">
        <f t="shared" si="41"/>
        <v>-12</v>
      </c>
      <c r="AV36" s="35">
        <f t="shared" si="41"/>
        <v>51</v>
      </c>
      <c r="AW36" s="35">
        <f t="shared" si="41"/>
        <v>0</v>
      </c>
      <c r="AX36" s="35">
        <f t="shared" si="41"/>
        <v>-189</v>
      </c>
      <c r="AY36" s="35"/>
      <c r="AZ36" s="35"/>
      <c r="BA36" s="35">
        <f t="shared" ref="BA36:BH36" si="42">BA18-BA17</f>
        <v>0.13000000000465661</v>
      </c>
      <c r="BB36" s="35">
        <f t="shared" si="42"/>
        <v>0</v>
      </c>
      <c r="BC36" s="35">
        <f t="shared" si="42"/>
        <v>-6.9999999948777258E-2</v>
      </c>
      <c r="BD36" s="35">
        <f t="shared" si="42"/>
        <v>0</v>
      </c>
      <c r="BE36" s="35">
        <f t="shared" si="42"/>
        <v>-24</v>
      </c>
      <c r="BF36" s="35">
        <f t="shared" si="42"/>
        <v>-1202</v>
      </c>
      <c r="BG36" s="35">
        <f t="shared" si="42"/>
        <v>1</v>
      </c>
      <c r="BH36" s="35">
        <f t="shared" si="42"/>
        <v>0</v>
      </c>
      <c r="BI36" s="35"/>
      <c r="BJ36" s="35"/>
      <c r="BK36" s="35"/>
      <c r="BL36" s="35">
        <f>BL18-BL17</f>
        <v>-6.7389302325581184</v>
      </c>
      <c r="BM36" s="35">
        <f>BM18-BM17</f>
        <v>-1.6697674418604649</v>
      </c>
      <c r="BN36" s="35"/>
      <c r="BO36" s="35">
        <f>BO18-BO17</f>
        <v>-4428</v>
      </c>
      <c r="BP36" s="35">
        <f>BP18-BP17</f>
        <v>-1410</v>
      </c>
    </row>
    <row r="37" spans="1:69">
      <c r="F37" s="213">
        <f>AVERAGE(F4:F35)</f>
        <v>1.4872258064516128</v>
      </c>
      <c r="G37" s="213"/>
      <c r="H37" s="213"/>
      <c r="I37" s="213">
        <f>AVERAGE(I4:I35)</f>
        <v>41701.986875000002</v>
      </c>
    </row>
    <row r="38" spans="1:69">
      <c r="B38" s="36" t="s">
        <v>67</v>
      </c>
      <c r="F38" s="383">
        <f>AVERAGE(F4:F35)</f>
        <v>1.4872258064516128</v>
      </c>
      <c r="G38" s="383"/>
      <c r="H38" s="383"/>
    </row>
    <row r="41" spans="1:69">
      <c r="BJ41">
        <f>(BJ31+BK31)/400</f>
        <v>15.8325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selection activeCell="B2" sqref="B2:B9"/>
    </sheetView>
  </sheetViews>
  <sheetFormatPr defaultRowHeight="15.75"/>
  <cols>
    <col min="2" max="2" width="8.5546875" style="1159" customWidth="1"/>
    <col min="3" max="3" width="7.44140625" style="1159" customWidth="1"/>
    <col min="4" max="4" width="7.5546875" style="1159" customWidth="1"/>
    <col min="5" max="5" width="7.88671875" style="1159" customWidth="1"/>
    <col min="6" max="6" width="10.6640625" style="1159" customWidth="1"/>
    <col min="8" max="8" width="7.5546875" customWidth="1"/>
  </cols>
  <sheetData>
    <row r="1" spans="1:11" ht="47.25">
      <c r="A1" s="1025"/>
      <c r="B1" s="1232" t="s">
        <v>371</v>
      </c>
      <c r="C1" s="1232" t="s">
        <v>303</v>
      </c>
      <c r="D1" s="1232" t="s">
        <v>304</v>
      </c>
      <c r="E1" s="1232" t="s">
        <v>306</v>
      </c>
      <c r="F1" s="1232" t="s">
        <v>305</v>
      </c>
      <c r="G1" s="1269" t="s">
        <v>308</v>
      </c>
      <c r="H1" s="1491" t="s">
        <v>351</v>
      </c>
    </row>
    <row r="2" spans="1:11">
      <c r="A2" s="1025">
        <v>1</v>
      </c>
      <c r="B2" s="1233">
        <f>C2/202%</f>
        <v>32.67326732673267</v>
      </c>
      <c r="C2" s="1233">
        <v>66</v>
      </c>
      <c r="D2" s="1233">
        <v>27</v>
      </c>
      <c r="E2" s="1233">
        <f>SUM(C2:D2)/202%</f>
        <v>46.039603960396036</v>
      </c>
      <c r="F2" s="1268">
        <v>467</v>
      </c>
      <c r="G2" s="1268">
        <f>C2+D2</f>
        <v>93</v>
      </c>
      <c r="H2" s="1492">
        <f>C2/202%</f>
        <v>32.67326732673267</v>
      </c>
      <c r="K2">
        <f>10/202</f>
        <v>4.9504950495049507E-2</v>
      </c>
    </row>
    <row r="3" spans="1:11">
      <c r="A3" s="1025">
        <v>2</v>
      </c>
      <c r="B3" s="1233">
        <f t="shared" ref="B3:B32" si="0">C3/202%</f>
        <v>58.415841584158414</v>
      </c>
      <c r="C3" s="1233">
        <v>118</v>
      </c>
      <c r="D3" s="1233">
        <v>26</v>
      </c>
      <c r="E3" s="1233">
        <f t="shared" ref="E3:E5" si="1">SUM(C3:D3)/202%</f>
        <v>71.287128712871294</v>
      </c>
      <c r="F3" s="1268">
        <v>417</v>
      </c>
      <c r="G3" s="1268">
        <f t="shared" ref="G3:G31" si="2">C3+D3</f>
        <v>144</v>
      </c>
      <c r="H3" s="1492">
        <f t="shared" ref="H3:H32" si="3">C3/202%</f>
        <v>58.415841584158414</v>
      </c>
    </row>
    <row r="4" spans="1:11">
      <c r="A4" s="1025">
        <v>3</v>
      </c>
      <c r="B4" s="1233">
        <f t="shared" si="0"/>
        <v>82.178217821782184</v>
      </c>
      <c r="C4" s="1233">
        <v>166</v>
      </c>
      <c r="D4" s="1233">
        <v>21</v>
      </c>
      <c r="E4" s="1233">
        <f t="shared" si="1"/>
        <v>92.574257425742573</v>
      </c>
      <c r="F4" s="1268">
        <v>483</v>
      </c>
      <c r="G4" s="1268">
        <f t="shared" si="2"/>
        <v>187</v>
      </c>
      <c r="H4" s="1492">
        <f t="shared" si="3"/>
        <v>82.178217821782184</v>
      </c>
    </row>
    <row r="5" spans="1:11">
      <c r="A5" s="1025">
        <v>4</v>
      </c>
      <c r="B5" s="1233">
        <f t="shared" si="0"/>
        <v>33.663366336633665</v>
      </c>
      <c r="C5" s="1233">
        <v>68</v>
      </c>
      <c r="D5" s="1233">
        <v>24</v>
      </c>
      <c r="E5" s="1233">
        <f t="shared" si="1"/>
        <v>45.544554455445542</v>
      </c>
      <c r="F5" s="1268">
        <v>378</v>
      </c>
      <c r="G5" s="1268">
        <f t="shared" si="2"/>
        <v>92</v>
      </c>
      <c r="H5" s="1492">
        <f t="shared" si="3"/>
        <v>33.663366336633665</v>
      </c>
    </row>
    <row r="6" spans="1:11">
      <c r="A6" s="1025">
        <v>5</v>
      </c>
      <c r="B6" s="1233">
        <f t="shared" si="0"/>
        <v>41.584158415841586</v>
      </c>
      <c r="C6" s="1233">
        <v>84</v>
      </c>
      <c r="D6" s="1233">
        <v>27</v>
      </c>
      <c r="E6" s="1233">
        <f t="shared" ref="E6:E31" si="4">SUM(C6:D6)/202%</f>
        <v>54.950495049504951</v>
      </c>
      <c r="F6" s="1268">
        <v>252</v>
      </c>
      <c r="G6" s="1268">
        <f t="shared" si="2"/>
        <v>111</v>
      </c>
      <c r="H6" s="1492">
        <f t="shared" si="3"/>
        <v>41.584158415841586</v>
      </c>
    </row>
    <row r="7" spans="1:11">
      <c r="A7" s="1025">
        <v>6</v>
      </c>
      <c r="B7" s="1233">
        <f t="shared" si="0"/>
        <v>46.534653465346537</v>
      </c>
      <c r="C7" s="1233">
        <v>94</v>
      </c>
      <c r="D7" s="1233">
        <v>28</v>
      </c>
      <c r="E7" s="1233">
        <f t="shared" si="4"/>
        <v>60.396039603960396</v>
      </c>
      <c r="F7" s="1268">
        <v>292</v>
      </c>
      <c r="G7" s="1268">
        <f t="shared" si="2"/>
        <v>122</v>
      </c>
      <c r="H7" s="1492">
        <f t="shared" si="3"/>
        <v>46.534653465346537</v>
      </c>
    </row>
    <row r="8" spans="1:11">
      <c r="A8" s="1025">
        <v>7</v>
      </c>
      <c r="B8" s="1233">
        <f t="shared" si="0"/>
        <v>53.465346534653463</v>
      </c>
      <c r="C8" s="1233">
        <v>108</v>
      </c>
      <c r="D8" s="1233">
        <v>28.27</v>
      </c>
      <c r="E8" s="1233">
        <f t="shared" si="4"/>
        <v>67.460396039603964</v>
      </c>
      <c r="F8" s="1268">
        <v>402</v>
      </c>
      <c r="G8" s="1268">
        <f t="shared" si="2"/>
        <v>136.27000000000001</v>
      </c>
      <c r="H8" s="1492">
        <f t="shared" si="3"/>
        <v>53.465346534653463</v>
      </c>
    </row>
    <row r="9" spans="1:11">
      <c r="A9" s="1025">
        <v>8</v>
      </c>
      <c r="B9" s="1233">
        <f t="shared" si="0"/>
        <v>49.504950495049506</v>
      </c>
      <c r="C9" s="1233">
        <v>100</v>
      </c>
      <c r="D9" s="1233">
        <v>27</v>
      </c>
      <c r="E9" s="1233">
        <f t="shared" si="4"/>
        <v>62.871287128712872</v>
      </c>
      <c r="F9" s="1268">
        <v>318</v>
      </c>
      <c r="G9" s="1268">
        <f t="shared" si="2"/>
        <v>127</v>
      </c>
      <c r="H9" s="1492">
        <f t="shared" si="3"/>
        <v>49.504950495049506</v>
      </c>
    </row>
    <row r="10" spans="1:11">
      <c r="A10" s="1025">
        <v>9</v>
      </c>
      <c r="B10" s="1233">
        <f t="shared" si="0"/>
        <v>0</v>
      </c>
      <c r="C10" s="1233"/>
      <c r="D10" s="1233"/>
      <c r="E10" s="1233">
        <f t="shared" si="4"/>
        <v>0</v>
      </c>
      <c r="F10" s="1268"/>
      <c r="G10" s="1268">
        <f t="shared" si="2"/>
        <v>0</v>
      </c>
      <c r="H10" s="1492">
        <f t="shared" si="3"/>
        <v>0</v>
      </c>
    </row>
    <row r="11" spans="1:11">
      <c r="A11" s="1025">
        <v>10</v>
      </c>
      <c r="B11" s="1233">
        <f t="shared" si="0"/>
        <v>0</v>
      </c>
      <c r="C11" s="1233"/>
      <c r="D11" s="1233"/>
      <c r="E11" s="1233">
        <f t="shared" si="4"/>
        <v>0</v>
      </c>
      <c r="F11" s="1268"/>
      <c r="G11" s="1268">
        <f t="shared" si="2"/>
        <v>0</v>
      </c>
      <c r="H11" s="1492">
        <f t="shared" si="3"/>
        <v>0</v>
      </c>
    </row>
    <row r="12" spans="1:11">
      <c r="A12" s="1025">
        <v>11</v>
      </c>
      <c r="B12" s="1233">
        <f t="shared" si="0"/>
        <v>0</v>
      </c>
      <c r="C12" s="1233"/>
      <c r="D12" s="1233"/>
      <c r="E12" s="1233">
        <f t="shared" si="4"/>
        <v>0</v>
      </c>
      <c r="F12" s="1268"/>
      <c r="G12" s="1268">
        <f t="shared" si="2"/>
        <v>0</v>
      </c>
      <c r="H12" s="1492">
        <f t="shared" si="3"/>
        <v>0</v>
      </c>
    </row>
    <row r="13" spans="1:11">
      <c r="A13" s="1025">
        <v>12</v>
      </c>
      <c r="B13" s="1233">
        <f t="shared" si="0"/>
        <v>0</v>
      </c>
      <c r="C13" s="1233"/>
      <c r="D13" s="1233"/>
      <c r="E13" s="1233">
        <f t="shared" si="4"/>
        <v>0</v>
      </c>
      <c r="F13" s="1233"/>
      <c r="G13" s="1268">
        <f t="shared" si="2"/>
        <v>0</v>
      </c>
      <c r="H13" s="1492">
        <f t="shared" si="3"/>
        <v>0</v>
      </c>
    </row>
    <row r="14" spans="1:11">
      <c r="A14" s="1025">
        <v>13</v>
      </c>
      <c r="B14" s="1233">
        <f t="shared" si="0"/>
        <v>0</v>
      </c>
      <c r="C14" s="1233"/>
      <c r="D14" s="1233"/>
      <c r="E14" s="1233">
        <f t="shared" si="4"/>
        <v>0</v>
      </c>
      <c r="F14" s="1233"/>
      <c r="G14" s="1268">
        <f t="shared" si="2"/>
        <v>0</v>
      </c>
      <c r="H14" s="1492">
        <f t="shared" si="3"/>
        <v>0</v>
      </c>
    </row>
    <row r="15" spans="1:11">
      <c r="A15" s="1025">
        <v>14</v>
      </c>
      <c r="B15" s="1233">
        <f t="shared" si="0"/>
        <v>0</v>
      </c>
      <c r="C15" s="1233"/>
      <c r="D15" s="1233"/>
      <c r="E15" s="1233">
        <f t="shared" si="4"/>
        <v>0</v>
      </c>
      <c r="F15" s="1233"/>
      <c r="G15" s="1268">
        <f t="shared" si="2"/>
        <v>0</v>
      </c>
      <c r="H15" s="1492">
        <f t="shared" si="3"/>
        <v>0</v>
      </c>
    </row>
    <row r="16" spans="1:11">
      <c r="A16" s="1025">
        <v>15</v>
      </c>
      <c r="B16" s="1233">
        <f t="shared" si="0"/>
        <v>0</v>
      </c>
      <c r="C16" s="1233"/>
      <c r="D16" s="1233"/>
      <c r="E16" s="1233">
        <f t="shared" si="4"/>
        <v>0</v>
      </c>
      <c r="F16" s="1233"/>
      <c r="G16" s="1268">
        <f t="shared" si="2"/>
        <v>0</v>
      </c>
      <c r="H16" s="1492">
        <f t="shared" si="3"/>
        <v>0</v>
      </c>
    </row>
    <row r="17" spans="1:10">
      <c r="A17" s="1025">
        <v>16</v>
      </c>
      <c r="B17" s="1233">
        <f t="shared" si="0"/>
        <v>0</v>
      </c>
      <c r="C17" s="1233"/>
      <c r="D17" s="1233"/>
      <c r="E17" s="1233">
        <f>SUM(C17:D17)/202%</f>
        <v>0</v>
      </c>
      <c r="F17" s="1233"/>
      <c r="G17" s="1268">
        <f t="shared" si="2"/>
        <v>0</v>
      </c>
      <c r="H17" s="1492">
        <f t="shared" si="3"/>
        <v>0</v>
      </c>
    </row>
    <row r="18" spans="1:10">
      <c r="A18" s="1025">
        <v>17</v>
      </c>
      <c r="B18" s="1233">
        <f t="shared" si="0"/>
        <v>0</v>
      </c>
      <c r="C18" s="1233"/>
      <c r="D18" s="1233"/>
      <c r="E18" s="1233">
        <f t="shared" si="4"/>
        <v>0</v>
      </c>
      <c r="F18" s="1233"/>
      <c r="G18" s="1268">
        <f t="shared" si="2"/>
        <v>0</v>
      </c>
      <c r="H18" s="1492">
        <f t="shared" si="3"/>
        <v>0</v>
      </c>
    </row>
    <row r="19" spans="1:10">
      <c r="A19" s="1025">
        <v>18</v>
      </c>
      <c r="B19" s="1233">
        <f t="shared" si="0"/>
        <v>0</v>
      </c>
      <c r="E19" s="1233">
        <f t="shared" si="4"/>
        <v>0</v>
      </c>
      <c r="G19" s="1268">
        <f t="shared" si="2"/>
        <v>0</v>
      </c>
      <c r="H19" s="1492">
        <f t="shared" si="3"/>
        <v>0</v>
      </c>
    </row>
    <row r="20" spans="1:10">
      <c r="A20" s="1025">
        <v>19</v>
      </c>
      <c r="B20" s="1233">
        <f t="shared" si="0"/>
        <v>0</v>
      </c>
      <c r="C20" s="1233"/>
      <c r="D20" s="1233"/>
      <c r="E20" s="1233">
        <f t="shared" si="4"/>
        <v>0</v>
      </c>
      <c r="F20" s="1233"/>
      <c r="G20" s="1268">
        <f t="shared" si="2"/>
        <v>0</v>
      </c>
      <c r="H20" s="1492">
        <f t="shared" si="3"/>
        <v>0</v>
      </c>
      <c r="J20">
        <f>165/192</f>
        <v>0.859375</v>
      </c>
    </row>
    <row r="21" spans="1:10">
      <c r="A21" s="1025">
        <v>20</v>
      </c>
      <c r="B21" s="1233">
        <f t="shared" si="0"/>
        <v>0</v>
      </c>
      <c r="C21" s="1233"/>
      <c r="D21" s="1233"/>
      <c r="E21" s="1233">
        <f t="shared" si="4"/>
        <v>0</v>
      </c>
      <c r="F21" s="1233"/>
      <c r="G21" s="1268">
        <f t="shared" si="2"/>
        <v>0</v>
      </c>
      <c r="H21" s="1492">
        <f t="shared" si="3"/>
        <v>0</v>
      </c>
    </row>
    <row r="22" spans="1:10">
      <c r="A22" s="1025">
        <v>21</v>
      </c>
      <c r="B22" s="1233">
        <f t="shared" si="0"/>
        <v>0</v>
      </c>
      <c r="C22" s="1233"/>
      <c r="D22" s="1233"/>
      <c r="E22" s="1233">
        <f t="shared" si="4"/>
        <v>0</v>
      </c>
      <c r="F22" s="1233"/>
      <c r="G22" s="1268">
        <f t="shared" si="2"/>
        <v>0</v>
      </c>
      <c r="H22" s="1492">
        <f t="shared" si="3"/>
        <v>0</v>
      </c>
    </row>
    <row r="23" spans="1:10">
      <c r="A23" s="1025">
        <v>22</v>
      </c>
      <c r="B23" s="1233">
        <f t="shared" si="0"/>
        <v>0</v>
      </c>
      <c r="C23" s="1233"/>
      <c r="D23" s="1233"/>
      <c r="E23" s="1233">
        <f t="shared" si="4"/>
        <v>0</v>
      </c>
      <c r="F23" s="1233"/>
      <c r="G23" s="1268">
        <f t="shared" si="2"/>
        <v>0</v>
      </c>
      <c r="H23" s="1492">
        <f t="shared" si="3"/>
        <v>0</v>
      </c>
    </row>
    <row r="24" spans="1:10">
      <c r="A24" s="1025">
        <v>23</v>
      </c>
      <c r="B24" s="1233">
        <f t="shared" si="0"/>
        <v>0</v>
      </c>
      <c r="C24" s="1233"/>
      <c r="D24" s="1233"/>
      <c r="E24" s="1233">
        <f t="shared" si="4"/>
        <v>0</v>
      </c>
      <c r="F24" s="1233"/>
      <c r="G24" s="1268">
        <f t="shared" si="2"/>
        <v>0</v>
      </c>
      <c r="H24" s="1492">
        <f t="shared" si="3"/>
        <v>0</v>
      </c>
    </row>
    <row r="25" spans="1:10">
      <c r="A25" s="1025">
        <v>24</v>
      </c>
      <c r="B25" s="1233">
        <f t="shared" si="0"/>
        <v>0</v>
      </c>
      <c r="C25" s="1233"/>
      <c r="D25" s="1233"/>
      <c r="E25" s="1233">
        <f t="shared" si="4"/>
        <v>0</v>
      </c>
      <c r="F25" s="1233"/>
      <c r="G25" s="1268">
        <f t="shared" si="2"/>
        <v>0</v>
      </c>
      <c r="H25" s="1492">
        <f t="shared" si="3"/>
        <v>0</v>
      </c>
    </row>
    <row r="26" spans="1:10">
      <c r="A26" s="1025">
        <v>25</v>
      </c>
      <c r="B26" s="1233">
        <f t="shared" si="0"/>
        <v>0</v>
      </c>
      <c r="C26" s="1233"/>
      <c r="D26" s="1233"/>
      <c r="E26" s="1233">
        <f t="shared" si="4"/>
        <v>0</v>
      </c>
      <c r="F26" s="1233"/>
      <c r="G26" s="1268">
        <f t="shared" si="2"/>
        <v>0</v>
      </c>
      <c r="H26" s="1492">
        <f t="shared" si="3"/>
        <v>0</v>
      </c>
    </row>
    <row r="27" spans="1:10">
      <c r="A27" s="1025">
        <v>26</v>
      </c>
      <c r="B27" s="1233">
        <f t="shared" si="0"/>
        <v>0</v>
      </c>
      <c r="C27" s="1233"/>
      <c r="D27" s="1233"/>
      <c r="E27" s="1233">
        <f t="shared" si="4"/>
        <v>0</v>
      </c>
      <c r="F27" s="1233"/>
      <c r="G27" s="1268">
        <f t="shared" si="2"/>
        <v>0</v>
      </c>
      <c r="H27" s="1492">
        <f t="shared" si="3"/>
        <v>0</v>
      </c>
    </row>
    <row r="28" spans="1:10">
      <c r="A28" s="1025">
        <v>27</v>
      </c>
      <c r="B28" s="1233">
        <f t="shared" si="0"/>
        <v>0</v>
      </c>
      <c r="C28" s="1233"/>
      <c r="D28" s="1233"/>
      <c r="E28" s="1233">
        <f t="shared" si="4"/>
        <v>0</v>
      </c>
      <c r="F28" s="1233"/>
      <c r="G28" s="1268">
        <f t="shared" si="2"/>
        <v>0</v>
      </c>
      <c r="H28" s="1492">
        <f t="shared" si="3"/>
        <v>0</v>
      </c>
    </row>
    <row r="29" spans="1:10">
      <c r="A29" s="1025">
        <v>28</v>
      </c>
      <c r="B29" s="1233">
        <f t="shared" si="0"/>
        <v>0</v>
      </c>
      <c r="C29" s="1233"/>
      <c r="D29" s="1233"/>
      <c r="E29" s="1233">
        <f t="shared" si="4"/>
        <v>0</v>
      </c>
      <c r="F29" s="1233"/>
      <c r="G29" s="1268">
        <f t="shared" si="2"/>
        <v>0</v>
      </c>
      <c r="H29" s="1492">
        <f t="shared" si="3"/>
        <v>0</v>
      </c>
    </row>
    <row r="30" spans="1:10">
      <c r="A30" s="1025">
        <v>29</v>
      </c>
      <c r="B30" s="1233">
        <f t="shared" si="0"/>
        <v>0</v>
      </c>
      <c r="C30" s="1233"/>
      <c r="D30" s="1233"/>
      <c r="E30" s="1233">
        <f t="shared" si="4"/>
        <v>0</v>
      </c>
      <c r="F30" s="1233"/>
      <c r="G30" s="1268">
        <f t="shared" si="2"/>
        <v>0</v>
      </c>
      <c r="H30" s="1492">
        <f t="shared" si="3"/>
        <v>0</v>
      </c>
    </row>
    <row r="31" spans="1:10">
      <c r="A31" s="1025">
        <v>30</v>
      </c>
      <c r="B31" s="1233">
        <f t="shared" si="0"/>
        <v>0</v>
      </c>
      <c r="C31" s="1233"/>
      <c r="D31" s="1233"/>
      <c r="E31" s="1233">
        <f t="shared" si="4"/>
        <v>0</v>
      </c>
      <c r="F31" s="1233"/>
      <c r="G31" s="1314">
        <f t="shared" si="2"/>
        <v>0</v>
      </c>
      <c r="H31" s="1492">
        <f t="shared" si="3"/>
        <v>0</v>
      </c>
    </row>
    <row r="32" spans="1:10">
      <c r="A32" s="1025">
        <v>31</v>
      </c>
      <c r="B32" s="1233">
        <f t="shared" si="0"/>
        <v>0</v>
      </c>
      <c r="C32" s="1233"/>
      <c r="D32" s="1233"/>
      <c r="E32" s="1233"/>
      <c r="F32" s="1233"/>
      <c r="G32" s="1314"/>
      <c r="H32" s="1492">
        <f t="shared" si="3"/>
        <v>0</v>
      </c>
    </row>
    <row r="33" spans="1:8">
      <c r="A33" t="s">
        <v>375</v>
      </c>
      <c r="B33" s="1159">
        <f>AVERAGE(B2:B31)</f>
        <v>13.267326732673267</v>
      </c>
      <c r="C33" s="1159">
        <f t="shared" ref="C33:H33" si="5">AVERAGE(C2:C31)</f>
        <v>100.5</v>
      </c>
      <c r="D33" s="1159">
        <f t="shared" si="5"/>
        <v>26.033750000000001</v>
      </c>
      <c r="E33" s="1159">
        <f t="shared" si="5"/>
        <v>16.704125412541252</v>
      </c>
      <c r="F33" s="1159">
        <f t="shared" si="5"/>
        <v>376.125</v>
      </c>
      <c r="G33" s="1159">
        <f t="shared" si="5"/>
        <v>33.742333333333335</v>
      </c>
      <c r="H33" s="1159">
        <f t="shared" si="5"/>
        <v>13.267326732673267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4" sqref="J14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67"/>
      <c r="C3" s="1068" t="s">
        <v>0</v>
      </c>
      <c r="D3" s="1027">
        <v>1</v>
      </c>
      <c r="E3" s="1027">
        <v>2</v>
      </c>
      <c r="F3" s="1027">
        <v>3</v>
      </c>
      <c r="G3" s="1027">
        <v>4</v>
      </c>
      <c r="H3" s="1027">
        <v>5</v>
      </c>
      <c r="I3" s="1027">
        <v>6</v>
      </c>
      <c r="J3" s="1027">
        <v>7</v>
      </c>
      <c r="K3" s="1027">
        <v>8</v>
      </c>
      <c r="L3" s="1027">
        <v>9</v>
      </c>
      <c r="M3" s="1027">
        <v>10</v>
      </c>
      <c r="N3" s="1027">
        <v>11</v>
      </c>
      <c r="O3" s="1027">
        <v>12</v>
      </c>
      <c r="P3" s="1027">
        <v>13</v>
      </c>
      <c r="Q3" s="1027">
        <v>14</v>
      </c>
      <c r="R3" s="1068">
        <v>15</v>
      </c>
      <c r="S3" s="1068">
        <v>16</v>
      </c>
      <c r="T3" s="1068">
        <v>17</v>
      </c>
      <c r="U3" s="1068">
        <v>18</v>
      </c>
      <c r="V3" s="1068">
        <v>19</v>
      </c>
      <c r="W3" s="1068">
        <v>20</v>
      </c>
      <c r="X3" s="1068">
        <v>21</v>
      </c>
      <c r="Y3" s="1068">
        <v>22</v>
      </c>
      <c r="Z3" s="1068">
        <v>23</v>
      </c>
      <c r="AA3" s="1068">
        <v>24</v>
      </c>
      <c r="AB3" s="1068">
        <v>25</v>
      </c>
      <c r="AC3" s="1068">
        <v>26</v>
      </c>
      <c r="AD3" s="1068">
        <v>27</v>
      </c>
      <c r="AE3" s="1068">
        <v>28</v>
      </c>
      <c r="AF3" s="1068">
        <v>29</v>
      </c>
      <c r="AG3" s="1068">
        <v>30</v>
      </c>
      <c r="AH3" s="1068">
        <v>31</v>
      </c>
      <c r="AI3" s="1068"/>
    </row>
    <row r="4" spans="2:35">
      <c r="B4" s="452"/>
      <c r="C4" s="448" t="s">
        <v>68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69</v>
      </c>
      <c r="D5" s="450">
        <f>'1'!G18</f>
        <v>90</v>
      </c>
      <c r="E5" s="450">
        <f>'2'!G18</f>
        <v>100</v>
      </c>
      <c r="F5" s="450">
        <f>'3'!G18</f>
        <v>150</v>
      </c>
      <c r="G5" s="450">
        <f>'4'!G18</f>
        <v>210</v>
      </c>
      <c r="H5" s="450">
        <f>'5'!G18</f>
        <v>180</v>
      </c>
      <c r="I5" s="450">
        <f>'6'!G18</f>
        <v>90</v>
      </c>
      <c r="J5" s="450">
        <f>'7'!G18</f>
        <v>110</v>
      </c>
      <c r="K5" s="450">
        <f>'8'!G18</f>
        <v>100</v>
      </c>
      <c r="L5" s="450">
        <f>'9'!G18</f>
        <v>0</v>
      </c>
      <c r="M5" s="450">
        <f>'10'!G18</f>
        <v>20</v>
      </c>
      <c r="N5" s="450">
        <f>'11'!G18</f>
        <v>40</v>
      </c>
      <c r="O5" s="450">
        <f>'12'!G18</f>
        <v>60</v>
      </c>
      <c r="P5" s="450">
        <f>'13'!G18</f>
        <v>130</v>
      </c>
      <c r="Q5" s="450">
        <f>'14'!G18</f>
        <v>120</v>
      </c>
      <c r="R5" s="450">
        <f>'15'!G18</f>
        <v>80</v>
      </c>
      <c r="S5" s="450">
        <f>'16'!G18</f>
        <v>30</v>
      </c>
      <c r="T5" s="450">
        <f>'17'!G18</f>
        <v>60</v>
      </c>
      <c r="U5" s="450">
        <f>'18'!G18</f>
        <v>80</v>
      </c>
      <c r="V5" s="450">
        <f>'19'!G18</f>
        <v>130</v>
      </c>
      <c r="W5" s="450">
        <f>'20'!G18</f>
        <v>200</v>
      </c>
      <c r="X5" s="450">
        <f>'21'!G18</f>
        <v>140</v>
      </c>
      <c r="Y5" s="450">
        <f>'22'!G18</f>
        <v>90</v>
      </c>
      <c r="Z5" s="450">
        <f>'23'!G18</f>
        <v>40</v>
      </c>
      <c r="AA5" s="450">
        <f>'24'!G18</f>
        <v>100</v>
      </c>
      <c r="AB5" s="450">
        <f>'25'!G18</f>
        <v>110</v>
      </c>
      <c r="AC5" s="450">
        <f>'26'!G18</f>
        <v>150</v>
      </c>
      <c r="AD5" s="450">
        <f>'27'!G18</f>
        <v>180</v>
      </c>
      <c r="AE5" s="450">
        <f>'28'!G18</f>
        <v>130</v>
      </c>
      <c r="AF5" s="450">
        <f>'29'!G18</f>
        <v>100</v>
      </c>
      <c r="AG5" s="450">
        <f>'30'!G18</f>
        <v>70</v>
      </c>
      <c r="AH5" s="450">
        <f>'31'!G18</f>
        <v>60</v>
      </c>
      <c r="AI5" s="448"/>
    </row>
    <row r="6" spans="2:35">
      <c r="B6" s="452"/>
      <c r="C6" s="448" t="s">
        <v>70</v>
      </c>
      <c r="D6" s="450">
        <f>'1'!G19</f>
        <v>64</v>
      </c>
      <c r="E6" s="450">
        <f>'2'!G19</f>
        <v>62</v>
      </c>
      <c r="F6" s="450">
        <f>'3'!G19</f>
        <v>60</v>
      </c>
      <c r="G6" s="450">
        <f>'4'!G19</f>
        <v>61</v>
      </c>
      <c r="H6" s="450">
        <f>'5'!G19</f>
        <v>61</v>
      </c>
      <c r="I6" s="450">
        <f>'6'!G19</f>
        <v>59</v>
      </c>
      <c r="J6" s="450">
        <f>'7'!G19</f>
        <v>58</v>
      </c>
      <c r="K6" s="450">
        <f>'8'!G19</f>
        <v>61</v>
      </c>
      <c r="L6" s="450">
        <f>'9'!G19</f>
        <v>-1807</v>
      </c>
      <c r="M6" s="450">
        <f>'10'!G19</f>
        <v>66</v>
      </c>
      <c r="N6" s="450">
        <f>'11'!G19</f>
        <v>63</v>
      </c>
      <c r="O6" s="450">
        <f>'12'!G19</f>
        <v>65</v>
      </c>
      <c r="P6" s="450">
        <f>'13'!G19</f>
        <v>64</v>
      </c>
      <c r="Q6" s="450">
        <f>'14'!G19</f>
        <v>63</v>
      </c>
      <c r="R6" s="450">
        <f>'15'!G19</f>
        <v>62</v>
      </c>
      <c r="S6" s="450">
        <f>'16'!G19</f>
        <v>62</v>
      </c>
      <c r="T6" s="450">
        <f>'17'!G19</f>
        <v>62</v>
      </c>
      <c r="U6" s="450">
        <f>'18'!G19</f>
        <v>65</v>
      </c>
      <c r="V6" s="450">
        <f>'19'!G19</f>
        <v>63</v>
      </c>
      <c r="W6" s="450">
        <f>'20'!G19</f>
        <v>61</v>
      </c>
      <c r="X6" s="450">
        <f>'21'!G19</f>
        <v>61</v>
      </c>
      <c r="Y6" s="450">
        <f>'22'!G19</f>
        <v>62</v>
      </c>
      <c r="Z6" s="450">
        <f>'23'!G19</f>
        <v>61</v>
      </c>
      <c r="AA6" s="450">
        <f>'24'!G19</f>
        <v>64</v>
      </c>
      <c r="AB6" s="450">
        <f>'25'!G19</f>
        <v>60</v>
      </c>
      <c r="AC6" s="450">
        <f>'26'!G19</f>
        <v>65</v>
      </c>
      <c r="AD6" s="450">
        <f>'27'!G19</f>
        <v>61</v>
      </c>
      <c r="AE6" s="450">
        <f>'28'!G19</f>
        <v>64</v>
      </c>
      <c r="AF6" s="450">
        <f>'29'!G19</f>
        <v>63</v>
      </c>
      <c r="AG6" s="450">
        <f>'30'!G19</f>
        <v>64</v>
      </c>
      <c r="AH6" s="450">
        <f>'31'!G19</f>
        <v>-1883</v>
      </c>
      <c r="AI6" s="448"/>
    </row>
    <row r="7" spans="2:35">
      <c r="B7" s="452"/>
      <c r="C7" s="448" t="s">
        <v>71</v>
      </c>
      <c r="D7" s="450">
        <f>'1'!G93</f>
        <v>89</v>
      </c>
      <c r="E7" s="450">
        <f>'2'!G93</f>
        <v>88</v>
      </c>
      <c r="F7" s="450">
        <f>'3'!G93</f>
        <v>123</v>
      </c>
      <c r="G7" s="450">
        <f>'4'!G93</f>
        <v>178</v>
      </c>
      <c r="H7" s="450">
        <f>'5'!G93</f>
        <v>123</v>
      </c>
      <c r="I7" s="450">
        <f>'6'!G93</f>
        <v>44</v>
      </c>
      <c r="J7" s="450">
        <f>'7'!G93</f>
        <v>77</v>
      </c>
      <c r="K7" s="450">
        <f>'8'!G93</f>
        <v>81</v>
      </c>
      <c r="L7" s="450">
        <f>'9'!G93</f>
        <v>-2313</v>
      </c>
      <c r="M7" s="450">
        <f>'10'!G93</f>
        <v>41</v>
      </c>
      <c r="N7" s="450">
        <f>'11'!G93</f>
        <v>18</v>
      </c>
      <c r="O7" s="450">
        <f>'12'!G93</f>
        <v>55</v>
      </c>
      <c r="P7" s="450">
        <f>'13'!G93</f>
        <v>124</v>
      </c>
      <c r="Q7" s="450">
        <f>'14'!G93</f>
        <v>68</v>
      </c>
      <c r="R7" s="450">
        <f>'15'!G93</f>
        <v>57</v>
      </c>
      <c r="S7" s="450">
        <f>'16'!G93</f>
        <v>31</v>
      </c>
      <c r="T7" s="450">
        <f>'17'!G93</f>
        <v>57</v>
      </c>
      <c r="U7" s="450">
        <f>'18'!G93</f>
        <v>51</v>
      </c>
      <c r="V7" s="450">
        <f>'19'!G93</f>
        <v>99</v>
      </c>
      <c r="W7" s="450">
        <f>'20'!G93</f>
        <v>147</v>
      </c>
      <c r="X7" s="450">
        <f>'21'!G93</f>
        <v>100</v>
      </c>
      <c r="Y7" s="450">
        <f>'22'!G93</f>
        <v>63</v>
      </c>
      <c r="Z7" s="450">
        <f>'23'!G93</f>
        <v>32</v>
      </c>
      <c r="AA7" s="450">
        <f>'24'!G93</f>
        <v>75</v>
      </c>
      <c r="AB7" s="450">
        <f>'25'!G93</f>
        <v>79</v>
      </c>
      <c r="AC7" s="450">
        <f>'26'!G93</f>
        <v>117</v>
      </c>
      <c r="AD7" s="450">
        <f>'27'!G93</f>
        <v>130</v>
      </c>
      <c r="AE7" s="450">
        <f>'28'!G93</f>
        <v>86</v>
      </c>
      <c r="AF7" s="450">
        <f>'29'!G93</f>
        <v>72</v>
      </c>
      <c r="AG7" s="450">
        <f>'30'!G93</f>
        <v>8</v>
      </c>
      <c r="AH7" s="450">
        <f>'31'!G93</f>
        <v>-1864</v>
      </c>
      <c r="AI7" s="448"/>
    </row>
    <row r="8" spans="2:35">
      <c r="B8" s="452"/>
      <c r="C8" s="448" t="s">
        <v>334</v>
      </c>
      <c r="D8" s="450">
        <f>'1'!G94</f>
        <v>97</v>
      </c>
      <c r="E8" s="450">
        <f>'2'!G94</f>
        <v>122</v>
      </c>
      <c r="F8" s="450">
        <f>'3'!G94</f>
        <v>85</v>
      </c>
      <c r="G8" s="450">
        <f>'4'!G94</f>
        <v>154</v>
      </c>
      <c r="H8" s="450">
        <f>'5'!G94</f>
        <v>124</v>
      </c>
      <c r="I8" s="450">
        <f>'6'!G94</f>
        <v>91</v>
      </c>
      <c r="J8" s="450">
        <f>'7'!G94</f>
        <v>113</v>
      </c>
      <c r="K8" s="450">
        <f>'8'!G94</f>
        <v>121</v>
      </c>
      <c r="L8" s="450">
        <f>'9'!G94</f>
        <v>-3457</v>
      </c>
      <c r="M8" s="450">
        <f>'10'!G94</f>
        <v>116</v>
      </c>
      <c r="N8" s="450">
        <f>'11'!G94</f>
        <v>114</v>
      </c>
      <c r="O8" s="450">
        <f>'12'!G94</f>
        <v>154</v>
      </c>
      <c r="P8" s="450">
        <f>'13'!G94</f>
        <v>109</v>
      </c>
      <c r="Q8" s="450">
        <f>'14'!G94</f>
        <v>154</v>
      </c>
      <c r="R8" s="450">
        <f>'15'!G94</f>
        <v>72</v>
      </c>
      <c r="S8" s="450">
        <f>'16'!G94</f>
        <v>66</v>
      </c>
      <c r="T8" s="450">
        <f>'17'!G94</f>
        <v>66</v>
      </c>
      <c r="U8" s="450">
        <f>'18'!G94</f>
        <v>75</v>
      </c>
      <c r="V8" s="450">
        <f>'19'!G94</f>
        <v>181</v>
      </c>
      <c r="W8" s="450">
        <f>'20'!G94</f>
        <v>208</v>
      </c>
      <c r="X8" s="450">
        <f>'21'!G94</f>
        <v>203</v>
      </c>
      <c r="Y8" s="450">
        <f>'22'!G94</f>
        <v>177</v>
      </c>
      <c r="Z8" s="450">
        <f>'23'!G94</f>
        <v>106</v>
      </c>
      <c r="AA8" s="450">
        <f>'24'!G94</f>
        <v>99</v>
      </c>
      <c r="AB8" s="450">
        <f>'25'!G94</f>
        <v>91</v>
      </c>
      <c r="AC8" s="450">
        <f>'26'!G94</f>
        <v>127</v>
      </c>
      <c r="AD8" s="450">
        <f>'27'!G94</f>
        <v>114</v>
      </c>
      <c r="AE8" s="450">
        <f>'28'!G94</f>
        <v>97</v>
      </c>
      <c r="AF8" s="450">
        <f>'29'!G94</f>
        <v>111</v>
      </c>
      <c r="AG8" s="450">
        <f>'30'!G94</f>
        <v>110</v>
      </c>
      <c r="AH8" s="450">
        <f>'31'!G94</f>
        <v>-3333</v>
      </c>
      <c r="AI8" s="448"/>
    </row>
    <row r="9" spans="2:35">
      <c r="B9" s="1533" t="s">
        <v>72</v>
      </c>
      <c r="C9" s="448" t="s">
        <v>32</v>
      </c>
      <c r="D9" s="450">
        <f>'1'!G96</f>
        <v>86</v>
      </c>
      <c r="E9" s="450">
        <f>'2'!G96</f>
        <v>100</v>
      </c>
      <c r="F9" s="450">
        <f>'3'!G96</f>
        <v>102</v>
      </c>
      <c r="G9" s="450">
        <f>'4'!G96</f>
        <v>147</v>
      </c>
      <c r="H9" s="450">
        <f>'5'!G96</f>
        <v>120</v>
      </c>
      <c r="I9" s="450">
        <f>'6'!G96</f>
        <v>59</v>
      </c>
      <c r="J9" s="450">
        <f>'7'!G96</f>
        <v>76</v>
      </c>
      <c r="K9" s="450">
        <f>'8'!G96</f>
        <v>80</v>
      </c>
      <c r="L9" s="450">
        <f>'9'!G96</f>
        <v>-2064</v>
      </c>
      <c r="M9" s="450">
        <f>'10'!G96</f>
        <v>59</v>
      </c>
      <c r="N9" s="450">
        <f>'11'!G96</f>
        <v>46</v>
      </c>
      <c r="O9" s="450">
        <f>'12'!G96</f>
        <v>36</v>
      </c>
      <c r="P9" s="450">
        <f>'13'!G96</f>
        <v>64</v>
      </c>
      <c r="Q9" s="450">
        <f>'14'!G96</f>
        <v>68</v>
      </c>
      <c r="R9" s="450">
        <f>'15'!G96</f>
        <v>65</v>
      </c>
      <c r="S9" s="450">
        <f>'16'!G96</f>
        <v>34</v>
      </c>
      <c r="T9" s="450">
        <f>'17'!G96</f>
        <v>72</v>
      </c>
      <c r="U9" s="450">
        <f>'18'!G96</f>
        <v>56</v>
      </c>
      <c r="V9" s="450">
        <f>'19'!G96</f>
        <v>75</v>
      </c>
      <c r="W9" s="450">
        <f>'20'!G96</f>
        <v>82</v>
      </c>
      <c r="X9" s="450">
        <f>'21'!G96</f>
        <v>70</v>
      </c>
      <c r="Y9" s="450">
        <f>'22'!G96</f>
        <v>58</v>
      </c>
      <c r="Z9" s="450">
        <f>'23'!G96</f>
        <v>43</v>
      </c>
      <c r="AA9" s="450">
        <f>'24'!G96</f>
        <v>73</v>
      </c>
      <c r="AB9" s="450">
        <f>'25'!G96</f>
        <v>70</v>
      </c>
      <c r="AC9" s="450">
        <f>'26'!G96</f>
        <v>79</v>
      </c>
      <c r="AD9" s="450">
        <f>'27'!G96</f>
        <v>73</v>
      </c>
      <c r="AE9" s="450">
        <f>'28'!G96</f>
        <v>71</v>
      </c>
      <c r="AF9" s="450">
        <f>'29'!G96</f>
        <v>61</v>
      </c>
      <c r="AG9" s="450">
        <f>'30'!G96</f>
        <v>39</v>
      </c>
      <c r="AH9" s="450">
        <f>'31'!G96</f>
        <v>-1716</v>
      </c>
      <c r="AI9" s="448"/>
    </row>
    <row r="10" spans="2:35">
      <c r="B10" s="1533"/>
      <c r="C10" s="448" t="s">
        <v>33</v>
      </c>
      <c r="D10" s="450">
        <f>'1'!G97</f>
        <v>17</v>
      </c>
      <c r="E10" s="450">
        <f>'2'!G97</f>
        <v>15</v>
      </c>
      <c r="F10" s="450">
        <f>'3'!G97</f>
        <v>30</v>
      </c>
      <c r="G10" s="450">
        <f>'4'!G97</f>
        <v>39</v>
      </c>
      <c r="H10" s="450">
        <f>'5'!G97</f>
        <v>12</v>
      </c>
      <c r="I10" s="450">
        <f>'6'!G97</f>
        <v>18</v>
      </c>
      <c r="J10" s="450">
        <f>'7'!G97</f>
        <v>15</v>
      </c>
      <c r="K10" s="450">
        <f>'8'!G97</f>
        <v>17</v>
      </c>
      <c r="L10" s="450">
        <f>'9'!G97</f>
        <v>-576</v>
      </c>
      <c r="M10" s="450">
        <f>'10'!G97</f>
        <v>11</v>
      </c>
      <c r="N10" s="450">
        <f>'11'!G97</f>
        <v>9</v>
      </c>
      <c r="O10" s="450">
        <f>'12'!G97</f>
        <v>16</v>
      </c>
      <c r="P10" s="450">
        <f>'13'!G97</f>
        <v>34</v>
      </c>
      <c r="Q10" s="450">
        <f>'14'!G97</f>
        <v>23</v>
      </c>
      <c r="R10" s="450">
        <f>'15'!G97</f>
        <v>10</v>
      </c>
      <c r="S10" s="450">
        <f>'16'!G97</f>
        <v>12</v>
      </c>
      <c r="T10" s="450">
        <f>'17'!G97</f>
        <v>10</v>
      </c>
      <c r="U10" s="450">
        <f>'18'!G97</f>
        <v>14</v>
      </c>
      <c r="V10" s="450">
        <f>'19'!G97</f>
        <v>22</v>
      </c>
      <c r="W10" s="450">
        <f>'20'!G97</f>
        <v>42</v>
      </c>
      <c r="X10" s="450">
        <f>'21'!G97</f>
        <v>23</v>
      </c>
      <c r="Y10" s="450">
        <f>'22'!G97</f>
        <v>17</v>
      </c>
      <c r="Z10" s="450">
        <f>'23'!G97</f>
        <v>17</v>
      </c>
      <c r="AA10" s="450">
        <f>'24'!G97</f>
        <v>19</v>
      </c>
      <c r="AB10" s="450">
        <f>'25'!G97</f>
        <v>21</v>
      </c>
      <c r="AC10" s="450">
        <f>'26'!G97</f>
        <v>29</v>
      </c>
      <c r="AD10" s="450">
        <f>'27'!G97</f>
        <v>35</v>
      </c>
      <c r="AE10" s="450">
        <f>'28'!G97</f>
        <v>24</v>
      </c>
      <c r="AF10" s="450">
        <f>'29'!G97</f>
        <v>13</v>
      </c>
      <c r="AG10" s="450">
        <f>'30'!G97</f>
        <v>12</v>
      </c>
      <c r="AH10" s="450">
        <f>'31'!G97</f>
        <v>-515</v>
      </c>
      <c r="AI10" s="448"/>
    </row>
    <row r="11" spans="2:35">
      <c r="B11" s="1533"/>
      <c r="C11" s="448" t="s">
        <v>34</v>
      </c>
      <c r="D11" s="450">
        <f>'1'!G98</f>
        <v>18</v>
      </c>
      <c r="E11" s="450">
        <f>'2'!G98</f>
        <v>19</v>
      </c>
      <c r="F11" s="450">
        <f>'3'!G98</f>
        <v>31</v>
      </c>
      <c r="G11" s="450">
        <f>'4'!G98</f>
        <v>32</v>
      </c>
      <c r="H11" s="450">
        <f>'5'!G98</f>
        <v>18</v>
      </c>
      <c r="I11" s="450">
        <f>'6'!G98</f>
        <v>21</v>
      </c>
      <c r="J11" s="450">
        <f>'7'!G98</f>
        <v>22</v>
      </c>
      <c r="K11" s="450">
        <f>'8'!G98</f>
        <v>24</v>
      </c>
      <c r="L11" s="450">
        <f>'9'!G98</f>
        <v>-733</v>
      </c>
      <c r="M11" s="450">
        <f>'10'!G98</f>
        <v>16</v>
      </c>
      <c r="N11" s="450">
        <f>'11'!G98</f>
        <v>26</v>
      </c>
      <c r="O11" s="450">
        <f>'12'!G98</f>
        <v>37</v>
      </c>
      <c r="P11" s="450">
        <f>'13'!G98</f>
        <v>47</v>
      </c>
      <c r="Q11" s="450">
        <f>'14'!G98</f>
        <v>21</v>
      </c>
      <c r="R11" s="450">
        <f>'15'!G98</f>
        <v>17</v>
      </c>
      <c r="S11" s="450">
        <f>'16'!G98</f>
        <v>20</v>
      </c>
      <c r="T11" s="450">
        <f>'17'!G98</f>
        <v>22</v>
      </c>
      <c r="U11" s="450">
        <f>'18'!G98</f>
        <v>28</v>
      </c>
      <c r="V11" s="450">
        <f>'19'!G98</f>
        <v>39</v>
      </c>
      <c r="W11" s="450">
        <f>'20'!G98</f>
        <v>42</v>
      </c>
      <c r="X11" s="450">
        <f>'21'!G98</f>
        <v>25</v>
      </c>
      <c r="Y11" s="450">
        <f>'22'!G98</f>
        <v>21</v>
      </c>
      <c r="Z11" s="450">
        <f>'23'!G98</f>
        <v>22</v>
      </c>
      <c r="AA11" s="450">
        <f>'24'!G98</f>
        <v>20</v>
      </c>
      <c r="AB11" s="450">
        <f>'25'!G98</f>
        <v>19</v>
      </c>
      <c r="AC11" s="450">
        <f>'26'!G98</f>
        <v>34</v>
      </c>
      <c r="AD11" s="450">
        <f>'27'!G98</f>
        <v>36</v>
      </c>
      <c r="AE11" s="450">
        <f>'28'!G98</f>
        <v>16</v>
      </c>
      <c r="AF11" s="450">
        <f>'29'!G98</f>
        <v>17</v>
      </c>
      <c r="AG11" s="450">
        <f>'30'!G98</f>
        <v>23</v>
      </c>
      <c r="AH11" s="450">
        <f>'31'!G98</f>
        <v>-707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33" t="s">
        <v>73</v>
      </c>
      <c r="C13" s="448" t="s">
        <v>32</v>
      </c>
      <c r="D13" s="450">
        <f>'1'!G99</f>
        <v>50</v>
      </c>
      <c r="E13" s="450">
        <f>'2'!G99</f>
        <v>40</v>
      </c>
      <c r="F13" s="450">
        <f>'3'!G99</f>
        <v>32</v>
      </c>
      <c r="G13" s="450">
        <f>'4'!G99</f>
        <v>38</v>
      </c>
      <c r="H13" s="450">
        <f>'5'!G99</f>
        <v>31</v>
      </c>
      <c r="I13" s="450">
        <f>'6'!G99</f>
        <v>36</v>
      </c>
      <c r="J13" s="450">
        <f>'7'!G99</f>
        <v>18</v>
      </c>
      <c r="K13" s="450">
        <f>'8'!G99</f>
        <v>20</v>
      </c>
      <c r="L13" s="450">
        <f>'9'!G99</f>
        <v>-756</v>
      </c>
      <c r="M13" s="450">
        <f>'10'!G99</f>
        <v>4</v>
      </c>
      <c r="N13" s="450">
        <f>'11'!G99</f>
        <v>19</v>
      </c>
      <c r="O13" s="450">
        <f>'12'!G99</f>
        <v>20</v>
      </c>
      <c r="P13" s="450">
        <f>'13'!G99</f>
        <v>8</v>
      </c>
      <c r="Q13" s="450">
        <f>'14'!G99</f>
        <v>8</v>
      </c>
      <c r="R13" s="450">
        <f>'15'!G99</f>
        <v>7</v>
      </c>
      <c r="S13" s="450">
        <f>'16'!G99</f>
        <v>3</v>
      </c>
      <c r="T13" s="450">
        <f>'17'!G99</f>
        <v>6</v>
      </c>
      <c r="U13" s="450">
        <f>'18'!G99</f>
        <v>5</v>
      </c>
      <c r="V13" s="450">
        <f>'19'!G99</f>
        <v>14</v>
      </c>
      <c r="W13" s="450">
        <f>'20'!G99</f>
        <v>43</v>
      </c>
      <c r="X13" s="450">
        <f>'21'!G99</f>
        <v>11</v>
      </c>
      <c r="Y13" s="450">
        <f>'22'!G99</f>
        <v>46</v>
      </c>
      <c r="Z13" s="450">
        <f>'23'!G99</f>
        <v>55</v>
      </c>
      <c r="AA13" s="450">
        <f>'24'!G99</f>
        <v>23</v>
      </c>
      <c r="AB13" s="450">
        <f>'25'!G99</f>
        <v>28</v>
      </c>
      <c r="AC13" s="450">
        <f>'26'!G99</f>
        <v>63</v>
      </c>
      <c r="AD13" s="450">
        <f>'27'!G99</f>
        <v>37</v>
      </c>
      <c r="AE13" s="450">
        <f>'28'!G99</f>
        <v>33</v>
      </c>
      <c r="AF13" s="450">
        <f>'29'!G99</f>
        <v>47</v>
      </c>
      <c r="AG13" s="450">
        <f>'30'!G99</f>
        <v>11</v>
      </c>
      <c r="AH13" s="450">
        <f>'31'!G99</f>
        <v>-553</v>
      </c>
      <c r="AI13" s="448"/>
    </row>
    <row r="14" spans="2:35">
      <c r="B14" s="1533"/>
      <c r="C14" s="448" t="s">
        <v>33</v>
      </c>
      <c r="D14" s="450">
        <f>'1'!G115</f>
        <v>6</v>
      </c>
      <c r="E14" s="450">
        <f>'2'!G115</f>
        <v>8</v>
      </c>
      <c r="F14" s="450">
        <f>'3'!G115</f>
        <v>17</v>
      </c>
      <c r="G14" s="450">
        <f>'4'!G115</f>
        <v>28</v>
      </c>
      <c r="H14" s="450">
        <f>'5'!G115</f>
        <v>8</v>
      </c>
      <c r="I14" s="450">
        <f>'6'!G115</f>
        <v>11</v>
      </c>
      <c r="J14" s="450">
        <f>'7'!G115</f>
        <v>10</v>
      </c>
      <c r="K14" s="450">
        <f>'8'!G115</f>
        <v>11</v>
      </c>
      <c r="L14" s="450">
        <f>'9'!G115</f>
        <v>-461</v>
      </c>
      <c r="M14" s="450">
        <f>'10'!G115</f>
        <v>10</v>
      </c>
      <c r="N14" s="450">
        <f>'11'!G115</f>
        <v>5</v>
      </c>
      <c r="O14" s="450">
        <f>'12'!G115</f>
        <v>11</v>
      </c>
      <c r="P14" s="450">
        <f>'13'!G115</f>
        <v>16</v>
      </c>
      <c r="Q14" s="450">
        <f>'14'!G115</f>
        <v>10</v>
      </c>
      <c r="R14" s="450">
        <f>'15'!G115</f>
        <v>4</v>
      </c>
      <c r="S14" s="450">
        <f>'16'!G115</f>
        <v>6</v>
      </c>
      <c r="T14" s="450">
        <f>'17'!G115</f>
        <v>5</v>
      </c>
      <c r="U14" s="450">
        <f>'18'!G115</f>
        <v>9</v>
      </c>
      <c r="V14" s="450">
        <f>'19'!G115</f>
        <v>15</v>
      </c>
      <c r="W14" s="450">
        <f>'20'!G115</f>
        <v>36</v>
      </c>
      <c r="X14" s="450">
        <f>'21'!G115</f>
        <v>28</v>
      </c>
      <c r="Y14" s="450">
        <f>'22'!G115</f>
        <v>28</v>
      </c>
      <c r="Z14" s="450">
        <f>'23'!G115</f>
        <v>13</v>
      </c>
      <c r="AA14" s="450">
        <f>'24'!G115</f>
        <v>10</v>
      </c>
      <c r="AB14" s="450">
        <f>'25'!G115</f>
        <v>29</v>
      </c>
      <c r="AC14" s="450">
        <f>'26'!G115</f>
        <v>30</v>
      </c>
      <c r="AD14" s="450">
        <f>'27'!G115</f>
        <v>31</v>
      </c>
      <c r="AE14" s="450">
        <f>'28'!G115</f>
        <v>27</v>
      </c>
      <c r="AF14" s="450">
        <f>'29'!G115</f>
        <v>31</v>
      </c>
      <c r="AG14" s="450">
        <f>'30'!G115</f>
        <v>8</v>
      </c>
      <c r="AH14" s="450">
        <f>'31'!G115</f>
        <v>-516</v>
      </c>
      <c r="AI14" s="448"/>
    </row>
    <row r="15" spans="2:35">
      <c r="B15" s="1533"/>
      <c r="C15" s="448" t="s">
        <v>34</v>
      </c>
      <c r="D15" s="450">
        <f>'1'!G116</f>
        <v>6</v>
      </c>
      <c r="E15" s="450">
        <f>'2'!G116</f>
        <v>5</v>
      </c>
      <c r="F15" s="450">
        <f>'3'!G116</f>
        <v>7</v>
      </c>
      <c r="G15" s="450">
        <f>'4'!G116</f>
        <v>10</v>
      </c>
      <c r="H15" s="450">
        <f>'5'!G116</f>
        <v>3</v>
      </c>
      <c r="I15" s="450">
        <f>'6'!G116</f>
        <v>5</v>
      </c>
      <c r="J15" s="450">
        <f>'7'!G116</f>
        <v>12</v>
      </c>
      <c r="K15" s="450">
        <f>'8'!G116</f>
        <v>8</v>
      </c>
      <c r="L15" s="450">
        <f>'9'!G116</f>
        <v>-245</v>
      </c>
      <c r="M15" s="450">
        <f>'10'!G116</f>
        <v>5</v>
      </c>
      <c r="N15" s="450">
        <f>'11'!G116</f>
        <v>5</v>
      </c>
      <c r="O15" s="450">
        <f>'12'!G116</f>
        <v>21</v>
      </c>
      <c r="P15" s="450">
        <f>'13'!G116</f>
        <v>15</v>
      </c>
      <c r="Q15" s="450">
        <f>'14'!G116</f>
        <v>6</v>
      </c>
      <c r="R15" s="450">
        <f>'15'!G116</f>
        <v>7</v>
      </c>
      <c r="S15" s="450">
        <f>'16'!G116</f>
        <v>6</v>
      </c>
      <c r="T15" s="450">
        <f>'17'!G116</f>
        <v>6</v>
      </c>
      <c r="U15" s="450">
        <f>'18'!G116</f>
        <v>8</v>
      </c>
      <c r="V15" s="450">
        <f>'19'!G116</f>
        <v>9</v>
      </c>
      <c r="W15" s="450">
        <f>'20'!G116</f>
        <v>11</v>
      </c>
      <c r="X15" s="450">
        <f>'21'!G116</f>
        <v>12</v>
      </c>
      <c r="Y15" s="450">
        <f>'22'!G116</f>
        <v>6</v>
      </c>
      <c r="Z15" s="450">
        <f>'23'!G116</f>
        <v>5</v>
      </c>
      <c r="AA15" s="450">
        <f>'24'!G116</f>
        <v>6</v>
      </c>
      <c r="AB15" s="450">
        <f>'25'!G116</f>
        <v>4</v>
      </c>
      <c r="AC15" s="450">
        <f>'26'!G116</f>
        <v>9</v>
      </c>
      <c r="AD15" s="450">
        <f>'27'!G116</f>
        <v>13</v>
      </c>
      <c r="AE15" s="450">
        <f>'28'!G116</f>
        <v>18</v>
      </c>
      <c r="AF15" s="450">
        <f>'29'!G116</f>
        <v>11</v>
      </c>
      <c r="AG15" s="450">
        <f>'30'!G116</f>
        <v>6</v>
      </c>
      <c r="AH15" s="450">
        <f>'31'!G116</f>
        <v>-243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33" t="s">
        <v>74</v>
      </c>
      <c r="C17" s="448" t="s">
        <v>75</v>
      </c>
      <c r="D17" s="448">
        <f>'1'!G105</f>
        <v>0</v>
      </c>
      <c r="E17" s="450">
        <f>'2'!G105</f>
        <v>60</v>
      </c>
      <c r="F17" s="450">
        <f>'3'!G105</f>
        <v>0</v>
      </c>
      <c r="G17" s="450">
        <f>'4'!G105</f>
        <v>0</v>
      </c>
      <c r="H17" s="450">
        <f>'5'!G105</f>
        <v>40</v>
      </c>
      <c r="I17" s="450">
        <f>'6'!G105</f>
        <v>30</v>
      </c>
      <c r="J17" s="450">
        <f>'7'!G105</f>
        <v>0</v>
      </c>
      <c r="K17" s="450">
        <f>'8'!G105</f>
        <v>0</v>
      </c>
      <c r="L17" s="450">
        <f>'9'!G105</f>
        <v>-283</v>
      </c>
      <c r="M17" s="450">
        <f>'10'!G105</f>
        <v>0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0</v>
      </c>
      <c r="Y17" s="450">
        <f>'22'!G105</f>
        <v>0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-153</v>
      </c>
      <c r="AI17" s="448"/>
    </row>
    <row r="18" spans="2:35">
      <c r="B18" s="1533"/>
      <c r="C18" s="448" t="s">
        <v>76</v>
      </c>
      <c r="D18" s="448">
        <f>'1'!G106</f>
        <v>12</v>
      </c>
      <c r="E18" s="450">
        <f>'2'!G106</f>
        <v>0</v>
      </c>
      <c r="F18" s="450">
        <f>'3'!G106</f>
        <v>12</v>
      </c>
      <c r="G18" s="450">
        <f>'4'!G106</f>
        <v>11</v>
      </c>
      <c r="H18" s="450">
        <f>'5'!G106</f>
        <v>10</v>
      </c>
      <c r="I18" s="450">
        <f>'6'!G106</f>
        <v>0</v>
      </c>
      <c r="J18" s="450">
        <f>'7'!G106</f>
        <v>11</v>
      </c>
      <c r="K18" s="450">
        <f>'8'!G106</f>
        <v>7</v>
      </c>
      <c r="L18" s="450">
        <f>'9'!G106</f>
        <v>-236</v>
      </c>
      <c r="M18" s="450">
        <f>'10'!G106</f>
        <v>17</v>
      </c>
      <c r="N18" s="450">
        <f>'11'!G106</f>
        <v>0</v>
      </c>
      <c r="O18" s="450">
        <f>'12'!G106</f>
        <v>0</v>
      </c>
      <c r="P18" s="450">
        <f>'13'!G106</f>
        <v>13</v>
      </c>
      <c r="Q18" s="450">
        <f>'14'!G106</f>
        <v>14</v>
      </c>
      <c r="R18" s="450">
        <f>'15'!G106</f>
        <v>0</v>
      </c>
      <c r="S18" s="450">
        <f>'16'!G106</f>
        <v>0</v>
      </c>
      <c r="T18" s="450">
        <f>'17'!G106</f>
        <v>20</v>
      </c>
      <c r="U18" s="450">
        <f>'18'!G106</f>
        <v>1</v>
      </c>
      <c r="V18" s="450">
        <f>'19'!G106</f>
        <v>15</v>
      </c>
      <c r="W18" s="450">
        <f>'20'!G106</f>
        <v>8</v>
      </c>
      <c r="X18" s="450">
        <f>'21'!G106</f>
        <v>12</v>
      </c>
      <c r="Y18" s="450">
        <f>'22'!G106</f>
        <v>0</v>
      </c>
      <c r="Z18" s="450">
        <f>'23'!G106</f>
        <v>2</v>
      </c>
      <c r="AA18" s="450">
        <f>'24'!G106</f>
        <v>25</v>
      </c>
      <c r="AB18" s="450">
        <f>'25'!G106</f>
        <v>5</v>
      </c>
      <c r="AC18" s="450">
        <f>'26'!G106</f>
        <v>16</v>
      </c>
      <c r="AD18" s="450">
        <f>'27'!G106</f>
        <v>6</v>
      </c>
      <c r="AE18" s="450">
        <f>'28'!G106</f>
        <v>13</v>
      </c>
      <c r="AF18" s="450">
        <f>'29'!G106</f>
        <v>6</v>
      </c>
      <c r="AG18" s="450">
        <f>'30'!G106</f>
        <v>0</v>
      </c>
      <c r="AH18" s="450">
        <f>'31'!G106</f>
        <v>-209</v>
      </c>
      <c r="AI18" s="448"/>
    </row>
    <row r="19" spans="2:35">
      <c r="B19" s="1533"/>
      <c r="C19" s="448" t="s">
        <v>77</v>
      </c>
      <c r="D19" s="448">
        <f>'1'!G107</f>
        <v>5</v>
      </c>
      <c r="E19" s="450">
        <f>'2'!G107</f>
        <v>0</v>
      </c>
      <c r="F19" s="450">
        <f>'3'!G107</f>
        <v>6</v>
      </c>
      <c r="G19" s="450">
        <f>'4'!G107</f>
        <v>5</v>
      </c>
      <c r="H19" s="450">
        <f>'5'!G107</f>
        <v>5</v>
      </c>
      <c r="I19" s="450">
        <f>'6'!G107</f>
        <v>0</v>
      </c>
      <c r="J19" s="450">
        <f>'7'!G107</f>
        <v>5</v>
      </c>
      <c r="K19" s="450">
        <f>'8'!G107</f>
        <v>5</v>
      </c>
      <c r="L19" s="450">
        <f>'9'!G107</f>
        <v>-121</v>
      </c>
      <c r="M19" s="450">
        <f>'10'!G107</f>
        <v>7</v>
      </c>
      <c r="N19" s="450">
        <f>'11'!G107</f>
        <v>3</v>
      </c>
      <c r="O19" s="450">
        <f>'12'!G107</f>
        <v>4</v>
      </c>
      <c r="P19" s="450">
        <f>'13'!G107</f>
        <v>5</v>
      </c>
      <c r="Q19" s="450">
        <f>'14'!G107</f>
        <v>5</v>
      </c>
      <c r="R19" s="450">
        <f>'15'!G107</f>
        <v>5</v>
      </c>
      <c r="S19" s="450">
        <f>'16'!G107</f>
        <v>8</v>
      </c>
      <c r="T19" s="450">
        <f>'17'!G107</f>
        <v>-2</v>
      </c>
      <c r="U19" s="450">
        <f>'18'!G107</f>
        <v>2</v>
      </c>
      <c r="V19" s="450">
        <f>'19'!G107</f>
        <v>5</v>
      </c>
      <c r="W19" s="450">
        <f>'20'!G107</f>
        <v>5</v>
      </c>
      <c r="X19" s="450">
        <f>'21'!G107</f>
        <v>7</v>
      </c>
      <c r="Y19" s="450">
        <f>'22'!G107</f>
        <v>3</v>
      </c>
      <c r="Z19" s="450">
        <f>'23'!G107</f>
        <v>3</v>
      </c>
      <c r="AA19" s="450">
        <f>'24'!G107</f>
        <v>3</v>
      </c>
      <c r="AB19" s="450">
        <f>'25'!G107</f>
        <v>5</v>
      </c>
      <c r="AC19" s="450">
        <f>'26'!G107</f>
        <v>5</v>
      </c>
      <c r="AD19" s="450">
        <f>'27'!G107</f>
        <v>5</v>
      </c>
      <c r="AE19" s="450">
        <f>'28'!G107</f>
        <v>6</v>
      </c>
      <c r="AF19" s="450">
        <f>'29'!G107</f>
        <v>4</v>
      </c>
      <c r="AG19" s="450">
        <f>'30'!G107</f>
        <v>2</v>
      </c>
      <c r="AH19" s="450">
        <f>'31'!G107</f>
        <v>-114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33" t="s">
        <v>78</v>
      </c>
      <c r="C21" s="448" t="s">
        <v>79</v>
      </c>
      <c r="D21" s="448">
        <f>'1'!G110</f>
        <v>98</v>
      </c>
      <c r="E21" s="450">
        <f>'2'!G110</f>
        <v>64</v>
      </c>
      <c r="F21" s="450">
        <f>'3'!G110</f>
        <v>43</v>
      </c>
      <c r="G21" s="450">
        <f>'4'!G110</f>
        <v>52</v>
      </c>
      <c r="H21" s="450">
        <f>'5'!G110</f>
        <v>155</v>
      </c>
      <c r="I21" s="450">
        <f>'6'!G110</f>
        <v>65</v>
      </c>
      <c r="J21" s="450">
        <f>'7'!G110</f>
        <v>74</v>
      </c>
      <c r="K21" s="450">
        <f>'8'!G110</f>
        <v>79</v>
      </c>
      <c r="L21" s="450">
        <f>'9'!G110</f>
        <v>-2046</v>
      </c>
      <c r="M21" s="450">
        <f>'10'!G110</f>
        <v>62</v>
      </c>
      <c r="N21" s="450">
        <f>'11'!G110</f>
        <v>27</v>
      </c>
      <c r="O21" s="450">
        <f>'12'!G110</f>
        <v>33</v>
      </c>
      <c r="P21" s="450">
        <f>'13'!G110</f>
        <v>63</v>
      </c>
      <c r="Q21" s="450">
        <f>'14'!G110</f>
        <v>73</v>
      </c>
      <c r="R21" s="450">
        <f>'15'!G110</f>
        <v>45</v>
      </c>
      <c r="S21" s="450">
        <f>'16'!G110</f>
        <v>41</v>
      </c>
      <c r="T21" s="450">
        <f>'17'!G110</f>
        <v>61</v>
      </c>
      <c r="U21" s="450">
        <f>'18'!G110</f>
        <v>75</v>
      </c>
      <c r="V21" s="450">
        <f>'19'!G110</f>
        <v>70</v>
      </c>
      <c r="W21" s="450">
        <f>'20'!G110</f>
        <v>76</v>
      </c>
      <c r="X21" s="450">
        <f>'21'!G110</f>
        <v>114</v>
      </c>
      <c r="Y21" s="450">
        <f>'22'!G110</f>
        <v>163</v>
      </c>
      <c r="Z21" s="450">
        <f>'23'!G110</f>
        <v>56</v>
      </c>
      <c r="AA21" s="450">
        <f>'24'!G110</f>
        <v>55</v>
      </c>
      <c r="AB21" s="450">
        <f>'25'!G110</f>
        <v>45</v>
      </c>
      <c r="AC21" s="450">
        <f>'26'!G110</f>
        <v>54</v>
      </c>
      <c r="AD21" s="450">
        <f>'27'!G110</f>
        <v>68</v>
      </c>
      <c r="AE21" s="450">
        <f>'28'!G110</f>
        <v>84</v>
      </c>
      <c r="AF21" s="450">
        <f>'29'!G110</f>
        <v>87</v>
      </c>
      <c r="AG21" s="450">
        <f>'30'!G110</f>
        <v>64</v>
      </c>
      <c r="AH21" s="450">
        <f>'31'!G110</f>
        <v>-2009</v>
      </c>
      <c r="AI21" s="448"/>
    </row>
    <row r="22" spans="2:35">
      <c r="B22" s="1533"/>
      <c r="C22" s="448" t="s">
        <v>80</v>
      </c>
      <c r="D22" s="448">
        <f>'1'!G111</f>
        <v>40</v>
      </c>
      <c r="E22" s="450">
        <f>'2'!G111</f>
        <v>83</v>
      </c>
      <c r="F22" s="450">
        <f>'3'!G111</f>
        <v>0</v>
      </c>
      <c r="G22" s="450">
        <f>'4'!G111</f>
        <v>50</v>
      </c>
      <c r="H22" s="450">
        <f>'5'!G111</f>
        <v>25</v>
      </c>
      <c r="I22" s="450">
        <f>'6'!G111</f>
        <v>22</v>
      </c>
      <c r="J22" s="450">
        <f>'7'!G111</f>
        <v>25</v>
      </c>
      <c r="K22" s="450">
        <f>'8'!G111</f>
        <v>21</v>
      </c>
      <c r="L22" s="450">
        <f>'9'!G111</f>
        <v>-763</v>
      </c>
      <c r="M22" s="450">
        <f>'10'!G111</f>
        <v>13</v>
      </c>
      <c r="N22" s="450">
        <f>'11'!G111</f>
        <v>30</v>
      </c>
      <c r="O22" s="450">
        <f>'12'!G111</f>
        <v>22</v>
      </c>
      <c r="P22" s="450">
        <f>'13'!G111</f>
        <v>0</v>
      </c>
      <c r="Q22" s="450">
        <f>'14'!G111</f>
        <v>0</v>
      </c>
      <c r="R22" s="450">
        <f>'15'!G111</f>
        <v>13</v>
      </c>
      <c r="S22" s="450">
        <f>'16'!G111</f>
        <v>0</v>
      </c>
      <c r="T22" s="450">
        <f>'17'!G111</f>
        <v>10</v>
      </c>
      <c r="U22" s="450">
        <f>'18'!G111</f>
        <v>10</v>
      </c>
      <c r="V22" s="450">
        <f>'19'!G111</f>
        <v>20</v>
      </c>
      <c r="W22" s="450">
        <f>'20'!G111</f>
        <v>15</v>
      </c>
      <c r="X22" s="450">
        <f>'21'!G111</f>
        <v>31</v>
      </c>
      <c r="Y22" s="450">
        <f>'22'!G111</f>
        <v>37</v>
      </c>
      <c r="Z22" s="450">
        <f>'23'!G111</f>
        <v>19</v>
      </c>
      <c r="AA22" s="450">
        <f>'24'!G111</f>
        <v>57</v>
      </c>
      <c r="AB22" s="450">
        <f>'25'!G111</f>
        <v>16</v>
      </c>
      <c r="AC22" s="450">
        <f>'26'!G111</f>
        <v>71</v>
      </c>
      <c r="AD22" s="450">
        <f>'27'!G111</f>
        <v>50</v>
      </c>
      <c r="AE22" s="450">
        <f>'28'!G111</f>
        <v>32</v>
      </c>
      <c r="AF22" s="450">
        <f>'29'!G111</f>
        <v>51</v>
      </c>
      <c r="AG22" s="450">
        <f>'30'!G111</f>
        <v>0</v>
      </c>
      <c r="AH22" s="450">
        <f>'31'!G111</f>
        <v>-551</v>
      </c>
      <c r="AI22" s="448"/>
    </row>
    <row r="23" spans="2:35">
      <c r="B23" s="1533"/>
      <c r="C23" s="448" t="s">
        <v>81</v>
      </c>
      <c r="D23" s="448">
        <f>'1'!G112</f>
        <v>0</v>
      </c>
      <c r="E23" s="450">
        <f>'2'!G112</f>
        <v>0</v>
      </c>
      <c r="F23" s="450">
        <f>'3'!G112</f>
        <v>0.3000000000001819</v>
      </c>
      <c r="G23" s="450">
        <f>'4'!G112</f>
        <v>0</v>
      </c>
      <c r="H23" s="450">
        <f>'5'!G112</f>
        <v>0</v>
      </c>
      <c r="I23" s="450">
        <f>'6'!G112</f>
        <v>0</v>
      </c>
      <c r="J23" s="450">
        <f>'7'!G112</f>
        <v>0</v>
      </c>
      <c r="K23" s="450">
        <f>'8'!G112</f>
        <v>0</v>
      </c>
      <c r="L23" s="450">
        <f>'9'!G112</f>
        <v>-0.3000000000001819</v>
      </c>
      <c r="M23" s="450">
        <f>'10'!G112</f>
        <v>0</v>
      </c>
      <c r="N23" s="450">
        <f>'11'!G112</f>
        <v>0</v>
      </c>
      <c r="O23" s="450">
        <f>'12'!G112</f>
        <v>0</v>
      </c>
      <c r="P23" s="450">
        <f>'13'!G112</f>
        <v>0</v>
      </c>
      <c r="Q23" s="450">
        <f>'14'!G112</f>
        <v>0</v>
      </c>
      <c r="R23" s="450">
        <f>'15'!G112</f>
        <v>0</v>
      </c>
      <c r="S23" s="450">
        <f>'16'!G112</f>
        <v>0</v>
      </c>
      <c r="T23" s="450">
        <f>'17'!G112</f>
        <v>0</v>
      </c>
      <c r="U23" s="450">
        <f>'18'!G112</f>
        <v>0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0</v>
      </c>
      <c r="Z23" s="450">
        <f>'23'!G112</f>
        <v>0</v>
      </c>
      <c r="AA23" s="450">
        <f>'24'!G112</f>
        <v>0</v>
      </c>
      <c r="AB23" s="450">
        <f>'25'!G112</f>
        <v>0</v>
      </c>
      <c r="AC23" s="450">
        <f>'26'!G112</f>
        <v>0</v>
      </c>
      <c r="AD23" s="450">
        <f>'27'!G112</f>
        <v>0</v>
      </c>
      <c r="AE23" s="450">
        <f>'28'!G112</f>
        <v>0</v>
      </c>
      <c r="AF23" s="450">
        <f>'29'!G112</f>
        <v>0</v>
      </c>
      <c r="AG23" s="450">
        <f>'30'!G112</f>
        <v>0</v>
      </c>
      <c r="AH23" s="450">
        <f>'31'!G112</f>
        <v>-45</v>
      </c>
      <c r="AI23" s="448"/>
    </row>
    <row r="24" spans="2:35" ht="30">
      <c r="B24" s="452" t="s">
        <v>336</v>
      </c>
      <c r="C24" s="448"/>
      <c r="D24" s="450">
        <f>SUM(D5:D6)</f>
        <v>154</v>
      </c>
      <c r="E24" s="450">
        <f t="shared" ref="E24:AH24" si="0">SUM(E5:E6)</f>
        <v>162</v>
      </c>
      <c r="F24" s="450">
        <f t="shared" si="0"/>
        <v>210</v>
      </c>
      <c r="G24" s="450">
        <f t="shared" si="0"/>
        <v>271</v>
      </c>
      <c r="H24" s="450">
        <f t="shared" si="0"/>
        <v>241</v>
      </c>
      <c r="I24" s="450">
        <f t="shared" si="0"/>
        <v>149</v>
      </c>
      <c r="J24" s="450">
        <f t="shared" si="0"/>
        <v>168</v>
      </c>
      <c r="K24" s="450">
        <f t="shared" si="0"/>
        <v>161</v>
      </c>
      <c r="L24" s="450">
        <f t="shared" si="0"/>
        <v>-1807</v>
      </c>
      <c r="M24" s="450">
        <f t="shared" si="0"/>
        <v>86</v>
      </c>
      <c r="N24" s="450">
        <f t="shared" si="0"/>
        <v>103</v>
      </c>
      <c r="O24" s="450">
        <f t="shared" si="0"/>
        <v>125</v>
      </c>
      <c r="P24" s="450">
        <f t="shared" si="0"/>
        <v>194</v>
      </c>
      <c r="Q24" s="450">
        <f t="shared" si="0"/>
        <v>183</v>
      </c>
      <c r="R24" s="450">
        <f t="shared" si="0"/>
        <v>142</v>
      </c>
      <c r="S24" s="450">
        <f t="shared" si="0"/>
        <v>92</v>
      </c>
      <c r="T24" s="450">
        <f t="shared" si="0"/>
        <v>122</v>
      </c>
      <c r="U24" s="450">
        <f t="shared" si="0"/>
        <v>145</v>
      </c>
      <c r="V24" s="450">
        <f t="shared" si="0"/>
        <v>193</v>
      </c>
      <c r="W24" s="450">
        <f t="shared" si="0"/>
        <v>261</v>
      </c>
      <c r="X24" s="450">
        <f t="shared" si="0"/>
        <v>201</v>
      </c>
      <c r="Y24" s="450">
        <f t="shared" si="0"/>
        <v>152</v>
      </c>
      <c r="Z24" s="450">
        <f t="shared" si="0"/>
        <v>101</v>
      </c>
      <c r="AA24" s="450">
        <f t="shared" si="0"/>
        <v>164</v>
      </c>
      <c r="AB24" s="450">
        <f t="shared" si="0"/>
        <v>170</v>
      </c>
      <c r="AC24" s="450">
        <f t="shared" si="0"/>
        <v>215</v>
      </c>
      <c r="AD24" s="450">
        <f t="shared" si="0"/>
        <v>241</v>
      </c>
      <c r="AE24" s="450">
        <f t="shared" si="0"/>
        <v>194</v>
      </c>
      <c r="AF24" s="450">
        <f t="shared" si="0"/>
        <v>163</v>
      </c>
      <c r="AG24" s="450">
        <f t="shared" si="0"/>
        <v>134</v>
      </c>
      <c r="AH24" s="450">
        <f t="shared" si="0"/>
        <v>-1823</v>
      </c>
      <c r="AI24" s="448"/>
    </row>
    <row r="25" spans="2:35" ht="30">
      <c r="B25" s="452" t="s">
        <v>82</v>
      </c>
      <c r="C25" s="448"/>
      <c r="D25" s="450">
        <f>SUM(D9:D11,D14:D15,)</f>
        <v>133</v>
      </c>
      <c r="E25" s="450">
        <f t="shared" ref="E25:AI25" si="1">SUM(E9:E11,E14:E15,)</f>
        <v>147</v>
      </c>
      <c r="F25" s="450">
        <f t="shared" si="1"/>
        <v>187</v>
      </c>
      <c r="G25" s="450">
        <f t="shared" si="1"/>
        <v>256</v>
      </c>
      <c r="H25" s="450">
        <f t="shared" si="1"/>
        <v>161</v>
      </c>
      <c r="I25" s="450">
        <f t="shared" si="1"/>
        <v>114</v>
      </c>
      <c r="J25" s="450">
        <f t="shared" si="1"/>
        <v>135</v>
      </c>
      <c r="K25" s="450">
        <f t="shared" si="1"/>
        <v>140</v>
      </c>
      <c r="L25" s="450">
        <f t="shared" si="1"/>
        <v>-4079</v>
      </c>
      <c r="M25" s="450">
        <f t="shared" si="1"/>
        <v>101</v>
      </c>
      <c r="N25" s="450">
        <f t="shared" si="1"/>
        <v>91</v>
      </c>
      <c r="O25" s="450">
        <f t="shared" si="1"/>
        <v>121</v>
      </c>
      <c r="P25" s="450">
        <f t="shared" si="1"/>
        <v>176</v>
      </c>
      <c r="Q25" s="450">
        <f t="shared" si="1"/>
        <v>128</v>
      </c>
      <c r="R25" s="450">
        <f t="shared" si="1"/>
        <v>103</v>
      </c>
      <c r="S25" s="450">
        <f t="shared" si="1"/>
        <v>78</v>
      </c>
      <c r="T25" s="450">
        <f>SUM(T9:T11,T14:T15,)</f>
        <v>115</v>
      </c>
      <c r="U25" s="450">
        <f t="shared" si="1"/>
        <v>115</v>
      </c>
      <c r="V25" s="450">
        <f t="shared" si="1"/>
        <v>160</v>
      </c>
      <c r="W25" s="450">
        <f t="shared" si="1"/>
        <v>213</v>
      </c>
      <c r="X25" s="450">
        <f t="shared" si="1"/>
        <v>158</v>
      </c>
      <c r="Y25" s="450">
        <f t="shared" si="1"/>
        <v>130</v>
      </c>
      <c r="Z25" s="450">
        <f t="shared" si="1"/>
        <v>100</v>
      </c>
      <c r="AA25" s="450">
        <f t="shared" si="1"/>
        <v>128</v>
      </c>
      <c r="AB25" s="450">
        <f t="shared" si="1"/>
        <v>143</v>
      </c>
      <c r="AC25" s="450">
        <f t="shared" si="1"/>
        <v>181</v>
      </c>
      <c r="AD25" s="450">
        <f t="shared" si="1"/>
        <v>188</v>
      </c>
      <c r="AE25" s="450">
        <f t="shared" si="1"/>
        <v>156</v>
      </c>
      <c r="AF25" s="450">
        <f t="shared" si="1"/>
        <v>133</v>
      </c>
      <c r="AG25" s="450">
        <f t="shared" si="1"/>
        <v>88</v>
      </c>
      <c r="AH25" s="450">
        <f t="shared" si="1"/>
        <v>-3697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83</v>
      </c>
      <c r="C27" s="448"/>
      <c r="D27" s="450">
        <f>SUM(D13,D21,D23)</f>
        <v>148</v>
      </c>
      <c r="E27" s="450">
        <f t="shared" ref="E27:AH27" si="2">SUM(E13,E21,E23)</f>
        <v>104</v>
      </c>
      <c r="F27" s="450">
        <f>SUM(F13,F21,F23)</f>
        <v>75.300000000000182</v>
      </c>
      <c r="G27" s="450">
        <f t="shared" si="2"/>
        <v>90</v>
      </c>
      <c r="H27" s="450">
        <f t="shared" si="2"/>
        <v>186</v>
      </c>
      <c r="I27" s="450">
        <f t="shared" si="2"/>
        <v>101</v>
      </c>
      <c r="J27" s="450">
        <f t="shared" si="2"/>
        <v>92</v>
      </c>
      <c r="K27" s="450">
        <f t="shared" si="2"/>
        <v>99</v>
      </c>
      <c r="L27" s="450">
        <f t="shared" si="2"/>
        <v>-2802.3</v>
      </c>
      <c r="M27" s="450">
        <f t="shared" si="2"/>
        <v>66</v>
      </c>
      <c r="N27" s="450">
        <f t="shared" si="2"/>
        <v>46</v>
      </c>
      <c r="O27" s="450">
        <f t="shared" si="2"/>
        <v>53</v>
      </c>
      <c r="P27" s="450">
        <f t="shared" si="2"/>
        <v>71</v>
      </c>
      <c r="Q27" s="450">
        <f t="shared" si="2"/>
        <v>81</v>
      </c>
      <c r="R27" s="450">
        <f t="shared" si="2"/>
        <v>52</v>
      </c>
      <c r="S27" s="450">
        <f t="shared" si="2"/>
        <v>44</v>
      </c>
      <c r="T27" s="450">
        <f t="shared" si="2"/>
        <v>67</v>
      </c>
      <c r="U27" s="450">
        <f t="shared" si="2"/>
        <v>80</v>
      </c>
      <c r="V27" s="450">
        <f t="shared" si="2"/>
        <v>84</v>
      </c>
      <c r="W27" s="450">
        <f t="shared" si="2"/>
        <v>119</v>
      </c>
      <c r="X27" s="450">
        <f t="shared" si="2"/>
        <v>125</v>
      </c>
      <c r="Y27" s="450">
        <f t="shared" si="2"/>
        <v>209</v>
      </c>
      <c r="Z27" s="450">
        <f t="shared" si="2"/>
        <v>111</v>
      </c>
      <c r="AA27" s="450">
        <f t="shared" si="2"/>
        <v>78</v>
      </c>
      <c r="AB27" s="450">
        <f t="shared" si="2"/>
        <v>73</v>
      </c>
      <c r="AC27" s="450">
        <f t="shared" si="2"/>
        <v>117</v>
      </c>
      <c r="AD27" s="450">
        <f t="shared" si="2"/>
        <v>105</v>
      </c>
      <c r="AE27" s="450">
        <f t="shared" si="2"/>
        <v>117</v>
      </c>
      <c r="AF27" s="450">
        <f t="shared" si="2"/>
        <v>134</v>
      </c>
      <c r="AG27" s="450">
        <f t="shared" si="2"/>
        <v>75</v>
      </c>
      <c r="AH27" s="450">
        <f t="shared" si="2"/>
        <v>-2607</v>
      </c>
      <c r="AI27" s="450">
        <f t="shared" ref="AI27" si="3">SUM(AI13)</f>
        <v>0</v>
      </c>
    </row>
    <row r="28" spans="2:35">
      <c r="B28" s="1024"/>
      <c r="C28" s="1025"/>
      <c r="D28" s="1025"/>
      <c r="E28" s="1025"/>
      <c r="F28" s="1025"/>
      <c r="G28" s="1025"/>
      <c r="H28" s="1025"/>
      <c r="I28" s="1025"/>
      <c r="J28" s="1025"/>
      <c r="K28" s="1025"/>
      <c r="L28" s="1025"/>
      <c r="M28" s="1025"/>
      <c r="N28" s="1025"/>
      <c r="O28" s="1025"/>
      <c r="P28" s="1025"/>
      <c r="Q28" s="1025"/>
      <c r="R28" s="1025"/>
      <c r="S28" s="1025"/>
      <c r="T28" s="1025"/>
      <c r="U28" s="1025"/>
      <c r="V28" s="1025"/>
      <c r="W28" s="1025"/>
      <c r="X28" s="1025"/>
      <c r="Y28" s="1025"/>
      <c r="Z28" s="1025"/>
      <c r="AA28" s="1025"/>
      <c r="AB28" s="1025"/>
      <c r="AC28" s="1025"/>
      <c r="AD28" s="1025"/>
      <c r="AE28" s="1025"/>
      <c r="AF28" s="1025"/>
      <c r="AG28" s="1025"/>
      <c r="AH28" s="1025"/>
      <c r="AI28" s="1025"/>
    </row>
    <row r="29" spans="2:35">
      <c r="B29" s="1024" t="s">
        <v>84</v>
      </c>
      <c r="C29" s="1025"/>
      <c r="D29" s="1026">
        <f>D9</f>
        <v>86</v>
      </c>
      <c r="E29" s="1026">
        <f t="shared" ref="E29:AH29" si="4">E9</f>
        <v>100</v>
      </c>
      <c r="F29" s="1026">
        <f t="shared" si="4"/>
        <v>102</v>
      </c>
      <c r="G29" s="1026">
        <f t="shared" si="4"/>
        <v>147</v>
      </c>
      <c r="H29" s="1026">
        <f t="shared" si="4"/>
        <v>120</v>
      </c>
      <c r="I29" s="1026">
        <f t="shared" si="4"/>
        <v>59</v>
      </c>
      <c r="J29" s="1026">
        <f t="shared" si="4"/>
        <v>76</v>
      </c>
      <c r="K29" s="1026">
        <f t="shared" si="4"/>
        <v>80</v>
      </c>
      <c r="L29" s="1026">
        <f t="shared" si="4"/>
        <v>-2064</v>
      </c>
      <c r="M29" s="1026">
        <f t="shared" si="4"/>
        <v>59</v>
      </c>
      <c r="N29" s="1026">
        <f t="shared" si="4"/>
        <v>46</v>
      </c>
      <c r="O29" s="1026">
        <f t="shared" si="4"/>
        <v>36</v>
      </c>
      <c r="P29" s="1026">
        <f t="shared" si="4"/>
        <v>64</v>
      </c>
      <c r="Q29" s="1026">
        <f t="shared" si="4"/>
        <v>68</v>
      </c>
      <c r="R29" s="1026">
        <f t="shared" si="4"/>
        <v>65</v>
      </c>
      <c r="S29" s="1026">
        <f t="shared" si="4"/>
        <v>34</v>
      </c>
      <c r="T29" s="1026">
        <f t="shared" si="4"/>
        <v>72</v>
      </c>
      <c r="U29" s="1026">
        <f t="shared" si="4"/>
        <v>56</v>
      </c>
      <c r="V29" s="1026">
        <f t="shared" si="4"/>
        <v>75</v>
      </c>
      <c r="W29" s="1026">
        <f t="shared" si="4"/>
        <v>82</v>
      </c>
      <c r="X29" s="1026">
        <f t="shared" si="4"/>
        <v>70</v>
      </c>
      <c r="Y29" s="1026">
        <f t="shared" si="4"/>
        <v>58</v>
      </c>
      <c r="Z29" s="1026">
        <f t="shared" si="4"/>
        <v>43</v>
      </c>
      <c r="AA29" s="1026">
        <f t="shared" si="4"/>
        <v>73</v>
      </c>
      <c r="AB29" s="1026">
        <f t="shared" si="4"/>
        <v>70</v>
      </c>
      <c r="AC29" s="1026">
        <f t="shared" si="4"/>
        <v>79</v>
      </c>
      <c r="AD29" s="1026">
        <f t="shared" si="4"/>
        <v>73</v>
      </c>
      <c r="AE29" s="1026">
        <f t="shared" si="4"/>
        <v>71</v>
      </c>
      <c r="AF29" s="1026">
        <f t="shared" si="4"/>
        <v>61</v>
      </c>
      <c r="AG29" s="1026">
        <f t="shared" si="4"/>
        <v>39</v>
      </c>
      <c r="AH29" s="1026">
        <f t="shared" si="4"/>
        <v>-1716</v>
      </c>
      <c r="AI29" s="1025"/>
    </row>
    <row r="30" spans="2:35">
      <c r="B30" s="1024" t="s">
        <v>85</v>
      </c>
      <c r="C30" s="1025"/>
      <c r="D30" s="1026">
        <f>SUM(D10:D11,D14:D15)</f>
        <v>47</v>
      </c>
      <c r="E30" s="1026">
        <f t="shared" ref="E30:AH30" si="5">SUM(E10:E11,E14:E15)</f>
        <v>47</v>
      </c>
      <c r="F30" s="1026">
        <f t="shared" si="5"/>
        <v>85</v>
      </c>
      <c r="G30" s="1026">
        <f t="shared" si="5"/>
        <v>109</v>
      </c>
      <c r="H30" s="1026">
        <f t="shared" si="5"/>
        <v>41</v>
      </c>
      <c r="I30" s="1026">
        <f t="shared" si="5"/>
        <v>55</v>
      </c>
      <c r="J30" s="1026">
        <f t="shared" si="5"/>
        <v>59</v>
      </c>
      <c r="K30" s="1026">
        <f t="shared" si="5"/>
        <v>60</v>
      </c>
      <c r="L30" s="1026">
        <f t="shared" si="5"/>
        <v>-2015</v>
      </c>
      <c r="M30" s="1026">
        <f t="shared" si="5"/>
        <v>42</v>
      </c>
      <c r="N30" s="1026">
        <f t="shared" si="5"/>
        <v>45</v>
      </c>
      <c r="O30" s="1026">
        <f t="shared" si="5"/>
        <v>85</v>
      </c>
      <c r="P30" s="1026">
        <f t="shared" si="5"/>
        <v>112</v>
      </c>
      <c r="Q30" s="1026">
        <f t="shared" si="5"/>
        <v>60</v>
      </c>
      <c r="R30" s="1026">
        <f t="shared" si="5"/>
        <v>38</v>
      </c>
      <c r="S30" s="1026">
        <f t="shared" si="5"/>
        <v>44</v>
      </c>
      <c r="T30" s="1026">
        <f t="shared" si="5"/>
        <v>43</v>
      </c>
      <c r="U30" s="1026">
        <f t="shared" si="5"/>
        <v>59</v>
      </c>
      <c r="V30" s="1026">
        <f t="shared" si="5"/>
        <v>85</v>
      </c>
      <c r="W30" s="1026">
        <f t="shared" si="5"/>
        <v>131</v>
      </c>
      <c r="X30" s="1026">
        <f t="shared" si="5"/>
        <v>88</v>
      </c>
      <c r="Y30" s="1026">
        <f t="shared" si="5"/>
        <v>72</v>
      </c>
      <c r="Z30" s="1026">
        <f t="shared" si="5"/>
        <v>57</v>
      </c>
      <c r="AA30" s="1026">
        <f t="shared" si="5"/>
        <v>55</v>
      </c>
      <c r="AB30" s="1026">
        <f t="shared" si="5"/>
        <v>73</v>
      </c>
      <c r="AC30" s="1026">
        <f t="shared" si="5"/>
        <v>102</v>
      </c>
      <c r="AD30" s="1026">
        <f t="shared" si="5"/>
        <v>115</v>
      </c>
      <c r="AE30" s="1026">
        <f t="shared" si="5"/>
        <v>85</v>
      </c>
      <c r="AF30" s="1026">
        <f t="shared" si="5"/>
        <v>72</v>
      </c>
      <c r="AG30" s="1026">
        <f t="shared" si="5"/>
        <v>49</v>
      </c>
      <c r="AH30" s="1026">
        <f t="shared" si="5"/>
        <v>-1981</v>
      </c>
      <c r="AI30" s="1025"/>
    </row>
    <row r="31" spans="2:35">
      <c r="B31" s="1024" t="s">
        <v>86</v>
      </c>
      <c r="C31" s="1025"/>
      <c r="D31" s="1025">
        <f>D30/SUM(D29:D30)%</f>
        <v>35.338345864661655</v>
      </c>
      <c r="E31" s="1025">
        <f t="shared" ref="E31:AH31" si="6">E30/SUM(E29:E30)%</f>
        <v>31.972789115646258</v>
      </c>
      <c r="F31" s="1025">
        <f t="shared" si="6"/>
        <v>45.454545454545453</v>
      </c>
      <c r="G31" s="1025">
        <f t="shared" si="6"/>
        <v>42.578125</v>
      </c>
      <c r="H31" s="1025">
        <f t="shared" si="6"/>
        <v>25.465838509316768</v>
      </c>
      <c r="I31" s="1025">
        <f t="shared" si="6"/>
        <v>48.245614035087726</v>
      </c>
      <c r="J31" s="1025">
        <f t="shared" si="6"/>
        <v>43.703703703703702</v>
      </c>
      <c r="K31" s="1025">
        <f t="shared" si="6"/>
        <v>42.857142857142861</v>
      </c>
      <c r="L31" s="1025">
        <f t="shared" si="6"/>
        <v>49.39936258886982</v>
      </c>
      <c r="M31" s="1025">
        <f t="shared" si="6"/>
        <v>41.584158415841586</v>
      </c>
      <c r="N31" s="1025">
        <f t="shared" si="6"/>
        <v>49.450549450549445</v>
      </c>
      <c r="O31" s="1025">
        <f t="shared" si="6"/>
        <v>70.247933884297524</v>
      </c>
      <c r="P31" s="1025">
        <f t="shared" si="6"/>
        <v>63.636363636363633</v>
      </c>
      <c r="Q31" s="1025">
        <f t="shared" si="6"/>
        <v>46.875</v>
      </c>
      <c r="R31" s="1025">
        <f t="shared" si="6"/>
        <v>36.893203883495147</v>
      </c>
      <c r="S31" s="1025">
        <f t="shared" si="6"/>
        <v>56.410256410256409</v>
      </c>
      <c r="T31" s="1025">
        <f t="shared" si="6"/>
        <v>37.391304347826093</v>
      </c>
      <c r="U31" s="1025">
        <f t="shared" si="6"/>
        <v>51.304347826086961</v>
      </c>
      <c r="V31" s="1025">
        <f t="shared" si="6"/>
        <v>53.125</v>
      </c>
      <c r="W31" s="1025">
        <f t="shared" si="6"/>
        <v>61.502347417840376</v>
      </c>
      <c r="X31" s="1025">
        <f t="shared" si="6"/>
        <v>55.696202531645568</v>
      </c>
      <c r="Y31" s="1025">
        <f t="shared" si="6"/>
        <v>55.38461538461538</v>
      </c>
      <c r="Z31" s="1025">
        <f t="shared" si="6"/>
        <v>57</v>
      </c>
      <c r="AA31" s="1025">
        <f t="shared" si="6"/>
        <v>42.96875</v>
      </c>
      <c r="AB31" s="1025">
        <f t="shared" si="6"/>
        <v>51.048951048951054</v>
      </c>
      <c r="AC31" s="1025">
        <f t="shared" si="6"/>
        <v>56.353591160220994</v>
      </c>
      <c r="AD31" s="1025">
        <f t="shared" si="6"/>
        <v>61.170212765957451</v>
      </c>
      <c r="AE31" s="1025">
        <f t="shared" si="6"/>
        <v>54.487179487179482</v>
      </c>
      <c r="AF31" s="1025">
        <f t="shared" si="6"/>
        <v>54.13533834586466</v>
      </c>
      <c r="AG31" s="1025">
        <f t="shared" si="6"/>
        <v>55.68181818181818</v>
      </c>
      <c r="AH31" s="1025">
        <f t="shared" si="6"/>
        <v>53.583987016499869</v>
      </c>
      <c r="AI31" s="1025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abSelected="1" topLeftCell="A4" zoomScale="70" zoomScaleNormal="70" workbookViewId="0">
      <pane ySplit="1" topLeftCell="A5" activePane="bottomLeft" state="frozen"/>
      <selection activeCell="A4" sqref="A4"/>
      <selection pane="bottomLeft" activeCell="C5" sqref="C5:C9"/>
    </sheetView>
  </sheetViews>
  <sheetFormatPr defaultRowHeight="15.75"/>
  <cols>
    <col min="1" max="5" width="8.88671875" style="1035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5" customWidth="1"/>
    <col min="33" max="51" width="7" style="1035" customWidth="1"/>
    <col min="52" max="16384" width="8.88671875" style="1035"/>
  </cols>
  <sheetData>
    <row r="1" spans="1:53" ht="16.5" thickBot="1">
      <c r="F1" s="1035"/>
      <c r="G1" s="1035"/>
      <c r="H1" s="1035"/>
      <c r="I1" s="1035"/>
      <c r="J1" s="1035"/>
      <c r="K1" s="1035"/>
      <c r="L1" s="1035"/>
      <c r="M1" s="1035"/>
    </row>
    <row r="2" spans="1:53">
      <c r="F2" s="1537" t="s">
        <v>343</v>
      </c>
      <c r="G2" s="1531"/>
      <c r="H2" s="1531"/>
      <c r="I2" s="1531"/>
      <c r="J2" s="1531"/>
      <c r="K2" s="1531"/>
      <c r="L2" s="1531"/>
      <c r="M2" s="1532"/>
      <c r="N2" s="1536" t="s">
        <v>87</v>
      </c>
      <c r="O2" s="1536"/>
      <c r="P2" s="1536"/>
      <c r="Q2" s="1536"/>
      <c r="R2" s="1536"/>
      <c r="S2" s="1536"/>
      <c r="T2" s="1536"/>
      <c r="U2" s="1536"/>
      <c r="V2" s="1536"/>
      <c r="W2" s="1536"/>
      <c r="X2" s="1536"/>
      <c r="Y2" s="1536"/>
      <c r="Z2" s="1536"/>
      <c r="AA2" s="1536"/>
      <c r="AB2" s="1536"/>
      <c r="AC2" s="1536"/>
      <c r="AD2" s="1536"/>
      <c r="AE2" s="1536"/>
      <c r="AF2" s="1536"/>
      <c r="AG2" s="1536"/>
      <c r="AH2" s="1536"/>
      <c r="AI2" s="1536"/>
      <c r="AJ2" s="1536"/>
      <c r="AK2" s="1536"/>
      <c r="AL2" s="1536"/>
      <c r="AM2" s="1536"/>
      <c r="AN2" s="1535"/>
      <c r="AO2" s="1535"/>
      <c r="AP2" s="1535"/>
      <c r="AQ2" s="1535"/>
      <c r="AR2" s="1535"/>
      <c r="AS2" s="1535"/>
      <c r="AT2" s="1535"/>
      <c r="AU2" s="1114"/>
      <c r="AV2" s="1534" t="s">
        <v>88</v>
      </c>
      <c r="AW2" s="1534"/>
      <c r="AX2" s="1534"/>
      <c r="AY2" s="1534"/>
    </row>
    <row r="3" spans="1:53">
      <c r="F3" s="1283"/>
      <c r="G3" s="438"/>
      <c r="H3" s="438"/>
      <c r="I3" s="438"/>
      <c r="J3" s="438"/>
      <c r="K3" s="438"/>
      <c r="L3" s="438"/>
      <c r="M3" s="1284"/>
      <c r="N3" s="1282"/>
      <c r="O3" s="1282"/>
      <c r="P3" s="1282"/>
      <c r="Q3" s="1282"/>
      <c r="R3" s="1282"/>
      <c r="S3" s="1282"/>
      <c r="T3" s="1282"/>
      <c r="U3" s="1282"/>
      <c r="V3" s="1282"/>
      <c r="W3" s="1282"/>
      <c r="X3" s="1282"/>
      <c r="Y3" s="1282"/>
      <c r="Z3" s="1282"/>
      <c r="AA3" s="1285"/>
      <c r="AB3" s="1285"/>
      <c r="AC3" s="1285"/>
      <c r="AD3" s="1285"/>
      <c r="AE3" s="1285"/>
      <c r="AF3" s="1285"/>
      <c r="AG3" s="1285"/>
      <c r="AH3" s="1285"/>
      <c r="AI3" s="1285"/>
      <c r="AJ3" s="1285"/>
      <c r="AK3" s="1285"/>
      <c r="AL3" s="1285"/>
      <c r="AM3" s="1282"/>
      <c r="AN3" s="1538" t="s">
        <v>139</v>
      </c>
      <c r="AO3" s="1538"/>
      <c r="AP3" s="1538"/>
      <c r="AQ3" s="1538"/>
      <c r="AR3" s="1538"/>
      <c r="AS3" s="1538"/>
      <c r="AT3" s="1538"/>
      <c r="AU3" s="1539" t="s">
        <v>317</v>
      </c>
      <c r="AV3" s="1539"/>
      <c r="AW3" s="1539"/>
      <c r="AX3" s="1539"/>
      <c r="AY3" s="1539"/>
    </row>
    <row r="4" spans="1:53" ht="34.5" customHeight="1">
      <c r="A4" s="1036"/>
      <c r="B4" s="1374" t="s">
        <v>339</v>
      </c>
      <c r="C4" s="1374" t="s">
        <v>340</v>
      </c>
      <c r="D4" s="1374" t="s">
        <v>342</v>
      </c>
      <c r="E4" s="1374" t="s">
        <v>341</v>
      </c>
      <c r="F4" s="1286" t="s">
        <v>318</v>
      </c>
      <c r="G4" s="1287" t="s">
        <v>319</v>
      </c>
      <c r="H4" s="1287" t="s">
        <v>320</v>
      </c>
      <c r="I4" s="1287" t="s">
        <v>321</v>
      </c>
      <c r="J4" s="1287" t="s">
        <v>316</v>
      </c>
      <c r="K4" s="1287" t="s">
        <v>52</v>
      </c>
      <c r="L4" s="1288" t="s">
        <v>61</v>
      </c>
      <c r="M4" s="1288" t="s">
        <v>54</v>
      </c>
      <c r="N4" s="1036" t="s">
        <v>89</v>
      </c>
      <c r="O4" s="1036" t="s">
        <v>90</v>
      </c>
      <c r="P4" s="1036" t="s">
        <v>105</v>
      </c>
      <c r="Q4" s="1036" t="s">
        <v>322</v>
      </c>
      <c r="R4" s="1036" t="s">
        <v>323</v>
      </c>
      <c r="S4" s="1036" t="s">
        <v>324</v>
      </c>
      <c r="T4" s="1036" t="s">
        <v>325</v>
      </c>
      <c r="U4" s="1036" t="s">
        <v>91</v>
      </c>
      <c r="V4" s="1036" t="s">
        <v>326</v>
      </c>
      <c r="W4" s="1036" t="s">
        <v>327</v>
      </c>
      <c r="X4" s="1036" t="s">
        <v>312</v>
      </c>
      <c r="Y4" s="1036" t="s">
        <v>76</v>
      </c>
      <c r="Z4" s="1036" t="s">
        <v>328</v>
      </c>
      <c r="AA4" s="1037" t="s">
        <v>329</v>
      </c>
      <c r="AB4" s="1037" t="s">
        <v>101</v>
      </c>
      <c r="AC4" s="1037" t="s">
        <v>95</v>
      </c>
      <c r="AD4" s="1037" t="s">
        <v>96</v>
      </c>
      <c r="AE4" s="433" t="s">
        <v>330</v>
      </c>
      <c r="AF4" s="434" t="s">
        <v>98</v>
      </c>
      <c r="AG4" s="434" t="s">
        <v>98</v>
      </c>
      <c r="AH4" s="434" t="s">
        <v>99</v>
      </c>
      <c r="AI4" s="434" t="s">
        <v>311</v>
      </c>
      <c r="AJ4" s="434" t="s">
        <v>101</v>
      </c>
      <c r="AK4" s="434" t="s">
        <v>102</v>
      </c>
      <c r="AL4" s="434" t="s">
        <v>103</v>
      </c>
      <c r="AM4" s="1036" t="s">
        <v>200</v>
      </c>
      <c r="AN4" s="1036" t="s">
        <v>331</v>
      </c>
      <c r="AO4" s="1036" t="s">
        <v>104</v>
      </c>
      <c r="AP4" s="1036" t="s">
        <v>105</v>
      </c>
      <c r="AQ4" s="1036" t="s">
        <v>106</v>
      </c>
      <c r="AR4" s="1036" t="s">
        <v>107</v>
      </c>
      <c r="AS4" s="1036" t="s">
        <v>108</v>
      </c>
      <c r="AT4" s="1036" t="s">
        <v>332</v>
      </c>
      <c r="AU4" s="1036" t="s">
        <v>104</v>
      </c>
      <c r="AV4" s="1036" t="s">
        <v>40</v>
      </c>
      <c r="AW4" s="1036" t="s">
        <v>41</v>
      </c>
      <c r="AX4" s="1036" t="s">
        <v>309</v>
      </c>
      <c r="AY4" s="1036" t="s">
        <v>109</v>
      </c>
    </row>
    <row r="5" spans="1:53">
      <c r="A5" s="1038">
        <v>44013</v>
      </c>
      <c r="B5" s="261">
        <f>'1'!G7</f>
        <v>23102.75</v>
      </c>
      <c r="C5" s="261">
        <f>'1'!G8</f>
        <v>23260.790000000037</v>
      </c>
      <c r="D5" s="261">
        <f>'1'!G15</f>
        <v>918.37800000002608</v>
      </c>
      <c r="E5" s="261">
        <f>'1'!G20</f>
        <v>154</v>
      </c>
      <c r="F5" s="261">
        <f>SUM('1'!G35,'1'!G49)</f>
        <v>2908.2299999999814</v>
      </c>
      <c r="G5" s="261">
        <f>SUM('1'!H37,'1'!H51)</f>
        <v>1476.320000000007</v>
      </c>
      <c r="H5" s="261">
        <f>SUM('1'!G38,'1'!G52)</f>
        <v>1714.9899999999907</v>
      </c>
      <c r="I5" s="261">
        <f>SUM('1'!G39,'1'!G53)</f>
        <v>3790.0200000000186</v>
      </c>
      <c r="J5" s="261">
        <f>SUM('1'!G41,'1'!G42,'1'!G55,'1'!G56)</f>
        <v>7659.8599999999569</v>
      </c>
      <c r="K5" s="261">
        <f>SUM('1'!G43,'1'!G57)</f>
        <v>2635</v>
      </c>
      <c r="L5" s="1039">
        <f>'1'!G50</f>
        <v>1429.3499999999767</v>
      </c>
      <c r="M5" s="1039">
        <f>'1'!G36</f>
        <v>947.75</v>
      </c>
      <c r="N5" s="1039">
        <f>'1'!G72</f>
        <v>9</v>
      </c>
      <c r="O5" s="1039">
        <f>'1'!$G$73</f>
        <v>2</v>
      </c>
      <c r="P5" s="1039">
        <f>'1'!$G$74</f>
        <v>1.6999999999970896</v>
      </c>
      <c r="Q5" s="1039">
        <f>'1'!$G$75</f>
        <v>143.18000000000029</v>
      </c>
      <c r="R5" s="1039">
        <f>'1'!$G$76</f>
        <v>69.3799999999992</v>
      </c>
      <c r="S5" s="1039">
        <f>'1'!$G$77</f>
        <v>53</v>
      </c>
      <c r="T5" s="1039">
        <f>'1'!$G$78</f>
        <v>114</v>
      </c>
      <c r="U5" s="1039">
        <f>'1'!$G$79</f>
        <v>153</v>
      </c>
      <c r="V5" s="1039">
        <f>'1'!$G$80</f>
        <v>409.92000000004191</v>
      </c>
      <c r="W5" s="1039">
        <f>'1'!$G$81</f>
        <v>131.64000000001397</v>
      </c>
      <c r="X5" s="1039">
        <f>'1'!$G$82</f>
        <v>24.899999999994179</v>
      </c>
      <c r="Y5" s="1039">
        <f>'1'!$G$58</f>
        <v>214.19999999999709</v>
      </c>
      <c r="Z5" s="1039">
        <f>'1'!$G$83</f>
        <v>351</v>
      </c>
      <c r="AA5" s="1039">
        <f>'1'!G86</f>
        <v>22.880000000004657</v>
      </c>
      <c r="AB5" s="1039">
        <f>'1'!G87</f>
        <v>33.30000000000291</v>
      </c>
      <c r="AC5" s="1039">
        <f>'1'!G88</f>
        <v>137.05999999999767</v>
      </c>
      <c r="AD5" s="1039">
        <f>'1'!G89+'1'!G90</f>
        <v>39.79999999999427</v>
      </c>
      <c r="AE5" s="1039">
        <f>'1'!$G$62</f>
        <v>0</v>
      </c>
      <c r="AF5" s="1039">
        <f>'1'!$G$63</f>
        <v>0</v>
      </c>
      <c r="AG5" s="1039">
        <f>'1'!$G$64</f>
        <v>372.89000000001397</v>
      </c>
      <c r="AH5" s="1039">
        <f>'1'!$G$65</f>
        <v>431.97000000000116</v>
      </c>
      <c r="AI5" s="1039">
        <f>'1'!$G$66</f>
        <v>433.91999999999825</v>
      </c>
      <c r="AJ5" s="1039">
        <f>'1'!$G$67</f>
        <v>472.40999999997439</v>
      </c>
      <c r="AK5" s="1039">
        <f>'1'!$G$68</f>
        <v>0</v>
      </c>
      <c r="AL5" s="1039">
        <f>'1'!$G$69</f>
        <v>236.61999999999534</v>
      </c>
      <c r="AM5" s="1039">
        <f>'1'!$G$84</f>
        <v>816</v>
      </c>
      <c r="AN5" s="1039">
        <f>'1'!$G$15</f>
        <v>918.37800000002608</v>
      </c>
      <c r="AO5" s="1039">
        <f>'1'!$G$124</f>
        <v>269.55000000004657</v>
      </c>
      <c r="AP5" s="1039">
        <f>'1'!$G$125</f>
        <v>0</v>
      </c>
      <c r="AQ5" s="1039">
        <f>'1'!$G$126</f>
        <v>95.690000000002328</v>
      </c>
      <c r="AR5" s="1039">
        <f>'1'!$G$127</f>
        <v>33.200000000000728</v>
      </c>
      <c r="AS5" s="1039">
        <f>'1'!$G$128</f>
        <v>4.2999999999992724</v>
      </c>
      <c r="AT5" s="1039">
        <f>AN5-SUM(AO5:AS5)</f>
        <v>515.63799999997718</v>
      </c>
      <c r="AU5" s="1039">
        <f>SUM('1'!G140:G141)</f>
        <v>9.8800000000005639</v>
      </c>
      <c r="AV5" s="1039">
        <f>'1'!$G$137</f>
        <v>10.169999999998254</v>
      </c>
      <c r="AW5" s="1039">
        <f>'1'!$G$138</f>
        <v>0</v>
      </c>
      <c r="AX5" s="1039">
        <f>'1'!$G$139</f>
        <v>0</v>
      </c>
      <c r="AY5" s="1036">
        <f>SUM(AV5:AX5)</f>
        <v>10.169999999998254</v>
      </c>
      <c r="AZ5" s="1035">
        <f>AO5/AU5</f>
        <v>27.282388663970767</v>
      </c>
    </row>
    <row r="6" spans="1:53">
      <c r="A6" s="1038">
        <v>44014</v>
      </c>
      <c r="B6" s="261">
        <f>'2'!G7</f>
        <v>20930</v>
      </c>
      <c r="C6" s="261">
        <f>'2'!G8</f>
        <v>21035.119999999995</v>
      </c>
      <c r="D6" s="261">
        <f>'2'!G15</f>
        <v>510.87400000006892</v>
      </c>
      <c r="E6" s="261">
        <f>'2'!G20</f>
        <v>162</v>
      </c>
      <c r="F6" s="261">
        <f>SUM('2'!G35,'2'!G49)</f>
        <v>2899.4000000000233</v>
      </c>
      <c r="G6" s="261">
        <f>SUM('2'!G37,'2'!G51)</f>
        <v>1439.8799999999756</v>
      </c>
      <c r="H6" s="261">
        <f>SUM('2'!G38,'2'!G52)</f>
        <v>1509.8399999999965</v>
      </c>
      <c r="I6" s="261">
        <f>SUM('2'!G39,'2'!G53)</f>
        <v>3743.4799999999814</v>
      </c>
      <c r="J6" s="261">
        <f>SUM('2'!G41,'2'!G42,'2'!G55,'2'!G56)</f>
        <v>6559.910000000069</v>
      </c>
      <c r="K6" s="261">
        <f>SUM('2'!G43,'2'!G57)</f>
        <v>2514.3999999999069</v>
      </c>
      <c r="L6" s="1039">
        <f>'2'!G50</f>
        <v>1047.9200000000419</v>
      </c>
      <c r="M6" s="1039">
        <f>'2'!G36</f>
        <v>884.90000000000146</v>
      </c>
      <c r="N6" s="1039">
        <f>'2'!G72</f>
        <v>13</v>
      </c>
      <c r="O6" s="1039">
        <f>'2'!$G$73</f>
        <v>1</v>
      </c>
      <c r="P6" s="1039">
        <f>'2'!$G$74</f>
        <v>1</v>
      </c>
      <c r="Q6" s="1039">
        <f>'2'!$G$75</f>
        <v>152.95999999999913</v>
      </c>
      <c r="R6" s="1039">
        <f>'2'!$G$76</f>
        <v>62.480000000001382</v>
      </c>
      <c r="S6" s="1039">
        <f>'2'!$G$77</f>
        <v>58</v>
      </c>
      <c r="T6" s="1039">
        <f>'2'!$G$78</f>
        <v>132</v>
      </c>
      <c r="U6" s="1039">
        <f>'2'!$G$79</f>
        <v>265</v>
      </c>
      <c r="V6" s="1039">
        <f>'2'!$G$80</f>
        <v>417.03999999992084</v>
      </c>
      <c r="W6" s="1030">
        <f>'2'!$G$81</f>
        <v>172.28000000002794</v>
      </c>
      <c r="X6" s="1030">
        <f>'2'!$G$82</f>
        <v>12.380000000004657</v>
      </c>
      <c r="Y6" s="1030">
        <f>'2'!$G$58</f>
        <v>0.71000000000640284</v>
      </c>
      <c r="Z6" s="1030">
        <f>'2'!$G$83</f>
        <v>277</v>
      </c>
      <c r="AA6" s="1030">
        <f>'2'!G86</f>
        <v>16.71999999997206</v>
      </c>
      <c r="AB6" s="1039">
        <f>'2'!G87</f>
        <v>36.5</v>
      </c>
      <c r="AC6" s="1039">
        <f>'2'!G88</f>
        <v>163.67000000001281</v>
      </c>
      <c r="AD6" s="1039">
        <f>'2'!G89+'2'!G90</f>
        <v>35.700000000008458</v>
      </c>
      <c r="AE6" s="1039">
        <f>'2'!$G$62</f>
        <v>0</v>
      </c>
      <c r="AF6" s="1039">
        <f>'2'!$G$63</f>
        <v>0</v>
      </c>
      <c r="AG6" s="1039">
        <f>'2'!$G$64</f>
        <v>375.4199999999837</v>
      </c>
      <c r="AH6" s="1039">
        <f>'2'!$G$65</f>
        <v>424.23999999999069</v>
      </c>
      <c r="AI6" s="1039">
        <f>'2'!$G$66</f>
        <v>424.19000000000233</v>
      </c>
      <c r="AJ6" s="1039">
        <f>'2'!$G$67</f>
        <v>500.62000000005355</v>
      </c>
      <c r="AK6" s="1039">
        <f>'2'!$G$68</f>
        <v>0</v>
      </c>
      <c r="AL6" s="1039">
        <f>'2'!$G$69</f>
        <v>241.7100000000064</v>
      </c>
      <c r="AM6" s="1039">
        <f>'2'!$G$84</f>
        <v>846</v>
      </c>
      <c r="AN6" s="1039">
        <f>'2'!$G$15</f>
        <v>510.87400000006892</v>
      </c>
      <c r="AO6" s="1039">
        <f>'2'!$G$124</f>
        <v>259.19999999995343</v>
      </c>
      <c r="AP6" s="1039">
        <f>'2'!$G$125</f>
        <v>0</v>
      </c>
      <c r="AQ6" s="1039">
        <f>'2'!$G$126</f>
        <v>98.730000000010477</v>
      </c>
      <c r="AR6" s="1039">
        <f>'2'!$G$127</f>
        <v>36.299999999999272</v>
      </c>
      <c r="AS6" s="1039">
        <f>'2'!$G$128</f>
        <v>2.6000000000003638</v>
      </c>
      <c r="AT6" s="1039">
        <f t="shared" ref="AT6:AT34" si="0">AN6-SUM(AO6:AS6)</f>
        <v>114.04400000010537</v>
      </c>
      <c r="AU6" s="1039">
        <f>SUM('2'!G140:G141)</f>
        <v>9.6999999999998181</v>
      </c>
      <c r="AV6" s="1039">
        <f>'2'!$G$137</f>
        <v>0</v>
      </c>
      <c r="AW6" s="1039">
        <f>'2'!$G$138</f>
        <v>0</v>
      </c>
      <c r="AX6" s="1039">
        <f>'2'!$G$139</f>
        <v>0</v>
      </c>
      <c r="AY6" s="1036">
        <f t="shared" ref="AY6:AY34" si="1">SUM(AV6:AX6)</f>
        <v>0</v>
      </c>
      <c r="AZ6" s="1035">
        <f t="shared" ref="AZ6:AZ9" si="2">AO6/AU6</f>
        <v>26.721649484531785</v>
      </c>
    </row>
    <row r="7" spans="1:53" s="1041" customFormat="1">
      <c r="A7" s="1038">
        <v>44015</v>
      </c>
      <c r="B7" s="261">
        <f>'3'!G7</f>
        <v>22034.25</v>
      </c>
      <c r="C7" s="261">
        <f>'3'!G8</f>
        <v>22104.089999999967</v>
      </c>
      <c r="D7" s="261">
        <f>'3'!G15</f>
        <v>940.26799999992363</v>
      </c>
      <c r="E7" s="261">
        <f>'3'!G20</f>
        <v>210</v>
      </c>
      <c r="F7" s="261">
        <f>SUM('3'!G35,'3'!G49)</f>
        <v>3065.4000000000233</v>
      </c>
      <c r="G7" s="261">
        <f>SUM('3'!G37,'3'!G51)</f>
        <v>1600.140000000014</v>
      </c>
      <c r="H7" s="261">
        <f>SUM('3'!G38,'3'!G52)</f>
        <v>1669.2400000000198</v>
      </c>
      <c r="I7" s="261">
        <f>SUM('3'!G39,'3'!G53)</f>
        <v>3847.8400000000256</v>
      </c>
      <c r="J7" s="261">
        <f>SUM('3'!G41,'3'!G42,'3'!G55,'3'!G56)</f>
        <v>6902.2899999998917</v>
      </c>
      <c r="K7" s="261">
        <f>SUM('3'!G43,'3'!G57)</f>
        <v>2589.8000000000466</v>
      </c>
      <c r="L7" s="1030">
        <f>'3'!G50</f>
        <v>1085.7999999999302</v>
      </c>
      <c r="M7" s="1030">
        <f>'3'!G36</f>
        <v>680.21999999999753</v>
      </c>
      <c r="N7" s="1030">
        <f>'3'!G72</f>
        <v>13</v>
      </c>
      <c r="O7" s="1030">
        <f>'3'!$G$73</f>
        <v>2</v>
      </c>
      <c r="P7" s="1030">
        <f>'3'!$G$74</f>
        <v>1.1000000000058208</v>
      </c>
      <c r="Q7" s="1030">
        <f>'3'!$G$75</f>
        <v>172.11000000000058</v>
      </c>
      <c r="R7" s="1030">
        <f>'3'!$G$76</f>
        <v>68.260000000000218</v>
      </c>
      <c r="S7" s="1030">
        <f>'3'!$G$77</f>
        <v>55</v>
      </c>
      <c r="T7" s="1030">
        <f>'3'!$G$78</f>
        <v>140</v>
      </c>
      <c r="U7" s="1030">
        <f>'3'!$G$79</f>
        <v>37</v>
      </c>
      <c r="V7" s="1030">
        <f>'3'!$G$80</f>
        <v>423.35999999998603</v>
      </c>
      <c r="W7" s="1030">
        <f>'3'!$G$81</f>
        <v>163.11999999999534</v>
      </c>
      <c r="X7" s="1030">
        <f>'3'!$G$82</f>
        <v>28.130000000004657</v>
      </c>
      <c r="Y7" s="1030">
        <f>'3'!$G$58</f>
        <v>218.60999999999331</v>
      </c>
      <c r="Z7" s="1030">
        <f>'3'!$G$83</f>
        <v>127</v>
      </c>
      <c r="AA7" s="1039">
        <f>'3'!G86</f>
        <v>16.440000000002328</v>
      </c>
      <c r="AB7" s="1039">
        <f>'1'!G87</f>
        <v>33.30000000000291</v>
      </c>
      <c r="AC7" s="1039">
        <f>'3'!G88</f>
        <v>120.92999999999302</v>
      </c>
      <c r="AD7" s="1039">
        <f>'3'!G89+'3'!G90</f>
        <v>27.499999999997272</v>
      </c>
      <c r="AE7" s="1030">
        <f>'3'!$G$62</f>
        <v>0</v>
      </c>
      <c r="AF7" s="1030">
        <f>'3'!$G$63</f>
        <v>0</v>
      </c>
      <c r="AG7" s="1030">
        <f>'3'!$G$64</f>
        <v>378.98000000001048</v>
      </c>
      <c r="AH7" s="1030">
        <f>'3'!$G$65</f>
        <v>431.92000000001281</v>
      </c>
      <c r="AI7" s="1030">
        <f>'3'!$G$66</f>
        <v>421.44000000000233</v>
      </c>
      <c r="AJ7" s="781">
        <f>'3'!$G$67</f>
        <v>529.57999999995809</v>
      </c>
      <c r="AK7" s="781">
        <f>'3'!$G$68</f>
        <v>0</v>
      </c>
      <c r="AL7" s="1030">
        <f>'3'!$G$69</f>
        <v>275.31999999999243</v>
      </c>
      <c r="AM7" s="1030">
        <f>'3'!$G$84</f>
        <v>817</v>
      </c>
      <c r="AN7" s="1030">
        <f>'3'!$G$15</f>
        <v>940.26799999992363</v>
      </c>
      <c r="AO7" s="1030">
        <f>'3'!$G$124</f>
        <v>301.71999999997206</v>
      </c>
      <c r="AP7" s="1030">
        <f>'3'!$G$125</f>
        <v>0</v>
      </c>
      <c r="AQ7" s="1030">
        <f>'3'!$G$126</f>
        <v>76.539999999979045</v>
      </c>
      <c r="AR7" s="1030">
        <f>'3'!$G$127</f>
        <v>41.700000000000728</v>
      </c>
      <c r="AS7" s="1030">
        <f>'3'!$G$128</f>
        <v>5.5</v>
      </c>
      <c r="AT7" s="1030">
        <f t="shared" si="0"/>
        <v>514.8079999999718</v>
      </c>
      <c r="AU7" s="1039">
        <f>SUM('3'!G140:G141)</f>
        <v>11.119999999999891</v>
      </c>
      <c r="AV7" s="1030">
        <f>'3'!$G$137</f>
        <v>10.130000000001019</v>
      </c>
      <c r="AW7" s="1030">
        <f>'3'!$G$138</f>
        <v>0</v>
      </c>
      <c r="AX7" s="1030">
        <f>'3'!$G$139</f>
        <v>0</v>
      </c>
      <c r="AY7" s="1040">
        <f t="shared" si="1"/>
        <v>10.130000000001019</v>
      </c>
      <c r="AZ7" s="1035">
        <f t="shared" si="2"/>
        <v>27.13309352517761</v>
      </c>
    </row>
    <row r="8" spans="1:53">
      <c r="A8" s="1038">
        <v>44016</v>
      </c>
      <c r="B8" s="261">
        <f>'4'!G7</f>
        <v>21708.650000000023</v>
      </c>
      <c r="C8" s="261">
        <f>'4'!G8</f>
        <v>21866.599999999977</v>
      </c>
      <c r="D8" s="261">
        <f>'4'!G15</f>
        <v>786.87999999988824</v>
      </c>
      <c r="E8" s="261">
        <f>'4'!G20</f>
        <v>271</v>
      </c>
      <c r="F8" s="261">
        <f>SUM('4'!G35,'4'!G49)</f>
        <v>2968.9000000000233</v>
      </c>
      <c r="G8" s="261">
        <f>SUM('4'!G37,'4'!G51)</f>
        <v>1478.6399999999849</v>
      </c>
      <c r="H8" s="261">
        <f>SUM('4'!G38,'4'!G52)</f>
        <v>1792.8899999999558</v>
      </c>
      <c r="I8" s="261">
        <f>SUM('4'!G39,'4'!G53)</f>
        <v>3681.5999999999767</v>
      </c>
      <c r="J8" s="261">
        <f>SUM('4'!G41,'4'!G42,'4'!G55,'4'!G56)</f>
        <v>6765.8400000000911</v>
      </c>
      <c r="K8" s="261">
        <f>SUM('4'!G43,'4'!G57)</f>
        <v>2614</v>
      </c>
      <c r="L8" s="1039">
        <f>'4'!G50</f>
        <v>1085.9300000000512</v>
      </c>
      <c r="M8" s="1039">
        <f>'4'!G36</f>
        <v>713.35000000000218</v>
      </c>
      <c r="N8" s="1039">
        <f>'4'!G72</f>
        <v>14</v>
      </c>
      <c r="O8" s="1039">
        <f>'4'!$G$73</f>
        <v>1</v>
      </c>
      <c r="P8" s="1039">
        <f>'4'!$G$74</f>
        <v>1.0999999999912689</v>
      </c>
      <c r="Q8" s="1039">
        <f>'4'!$G$75</f>
        <v>140.72999999999956</v>
      </c>
      <c r="R8" s="1039">
        <f>'4'!$G$76</f>
        <v>61.8799999999992</v>
      </c>
      <c r="S8" s="1039">
        <f>'4'!$G$77</f>
        <v>52</v>
      </c>
      <c r="T8" s="1039">
        <f>'4'!$G$78</f>
        <v>138</v>
      </c>
      <c r="U8" s="1039">
        <f>'4'!$G$79</f>
        <v>150</v>
      </c>
      <c r="V8" s="1030">
        <f>'4'!$G$80</f>
        <v>419.32000000006519</v>
      </c>
      <c r="W8" s="1030">
        <f>'4'!$G$81</f>
        <v>202.47999999998137</v>
      </c>
      <c r="X8" s="1039">
        <f>'4'!$G$82</f>
        <v>14.589999999996508</v>
      </c>
      <c r="Y8" s="1039">
        <f>'4'!$G$58</f>
        <v>186.86000000000058</v>
      </c>
      <c r="Z8" s="1039">
        <f>'4'!$G$83</f>
        <v>313</v>
      </c>
      <c r="AA8" s="1039">
        <f>'4'!G86</f>
        <v>43.360000000044238</v>
      </c>
      <c r="AB8" s="1039">
        <f>'4'!G87</f>
        <v>14.80000000000291</v>
      </c>
      <c r="AC8" s="1039">
        <f>'4'!G88</f>
        <v>32.910000000003492</v>
      </c>
      <c r="AD8" s="1039">
        <f>'4'!G89+'4'!G90</f>
        <v>16.899999999994179</v>
      </c>
      <c r="AE8" s="1039">
        <f>'4'!$G$62</f>
        <v>0</v>
      </c>
      <c r="AF8" s="1039">
        <f>'4'!$G$63</f>
        <v>0</v>
      </c>
      <c r="AG8" s="1039">
        <f>'4'!$G$64</f>
        <v>367.17999999999302</v>
      </c>
      <c r="AH8" s="1039">
        <f>'4'!$G$65</f>
        <v>422.88000000000466</v>
      </c>
      <c r="AI8" s="1039">
        <f>'4'!$G$66</f>
        <v>412.73999999999069</v>
      </c>
      <c r="AJ8" s="1039">
        <f>'4'!$G$67</f>
        <v>442.14000000001397</v>
      </c>
      <c r="AK8" s="1039">
        <f>'4'!$G$68</f>
        <v>0</v>
      </c>
      <c r="AL8" s="1039">
        <f>'4'!$G$69</f>
        <v>272.54000000000815</v>
      </c>
      <c r="AM8" s="1039">
        <f>'4'!$G$84</f>
        <v>844</v>
      </c>
      <c r="AN8" s="1039">
        <f>'4'!$G$15</f>
        <v>786.87999999988824</v>
      </c>
      <c r="AO8" s="1039">
        <f>'4'!$G$124</f>
        <v>327.72999999998137</v>
      </c>
      <c r="AP8" s="1039">
        <f>'4'!$G$125</f>
        <v>0</v>
      </c>
      <c r="AQ8" s="1039">
        <f>'4'!$G$126</f>
        <v>79.529999999998836</v>
      </c>
      <c r="AR8" s="1039">
        <f>'4'!$G$127</f>
        <v>37.399999999997817</v>
      </c>
      <c r="AS8" s="1039">
        <f>'4'!$G$128</f>
        <v>1.5</v>
      </c>
      <c r="AT8" s="1039">
        <f t="shared" si="0"/>
        <v>340.71999999991021</v>
      </c>
      <c r="AU8" s="1039">
        <f>SUM('4'!G140:G141)</f>
        <v>12.139999999999873</v>
      </c>
      <c r="AV8" s="1039">
        <f>'4'!$G$137</f>
        <v>6.1199999999989814</v>
      </c>
      <c r="AW8" s="1039">
        <f>'4'!$G$138</f>
        <v>0</v>
      </c>
      <c r="AX8" s="1039">
        <f>'4'!$G$139</f>
        <v>0</v>
      </c>
      <c r="AY8" s="1036">
        <f t="shared" si="1"/>
        <v>6.1199999999989814</v>
      </c>
      <c r="AZ8" s="1035">
        <f t="shared" si="2"/>
        <v>26.995881383853774</v>
      </c>
    </row>
    <row r="9" spans="1:53">
      <c r="A9" s="1038">
        <v>44017</v>
      </c>
      <c r="B9" s="261">
        <f>'5'!G7</f>
        <v>20879.79</v>
      </c>
      <c r="C9" s="261">
        <f>'5'!G8</f>
        <v>20992.61</v>
      </c>
      <c r="D9" s="261">
        <f>'5'!G15</f>
        <v>925.06000000005588</v>
      </c>
      <c r="E9" s="261">
        <f>'5'!G20</f>
        <v>241</v>
      </c>
      <c r="F9" s="261">
        <f>SUM('5'!G35,'5'!G49)</f>
        <v>2828.6999999999534</v>
      </c>
      <c r="G9" s="261">
        <f>SUM('5'!G37,'5'!G51)</f>
        <v>1447.6800000000221</v>
      </c>
      <c r="H9" s="261">
        <f>SUM('5'!G38,'5'!G52)</f>
        <v>1640.5</v>
      </c>
      <c r="I9" s="261">
        <f>SUM('5'!G39,'5'!G53)</f>
        <v>3669.3600000000442</v>
      </c>
      <c r="J9" s="261">
        <f>SUM('5'!G41,'5'!G42,'5'!G55,'5'!G56)</f>
        <v>6521.6600000000326</v>
      </c>
      <c r="K9" s="261">
        <f>SUM('5'!G43,'5'!G57)</f>
        <v>2554.6999999999534</v>
      </c>
      <c r="L9" s="1039">
        <f>'5'!G50</f>
        <v>1002.1300000000047</v>
      </c>
      <c r="M9" s="1039">
        <f>'5'!G36</f>
        <v>728.12999999999738</v>
      </c>
      <c r="N9" s="1039">
        <f>'5'!G72</f>
        <v>10</v>
      </c>
      <c r="O9" s="1039">
        <f>'5'!$G$73</f>
        <v>1</v>
      </c>
      <c r="P9" s="1039">
        <f>'5'!$G$74</f>
        <v>1.2000000000116415</v>
      </c>
      <c r="Q9" s="1050">
        <f>'5'!$G$75</f>
        <v>142.04999999999927</v>
      </c>
      <c r="R9" s="1039">
        <f>'5'!$G$76</f>
        <v>66.180000000000291</v>
      </c>
      <c r="S9" s="1030">
        <f>'5'!$G$77</f>
        <v>66</v>
      </c>
      <c r="T9" s="1049">
        <f>'5'!$G$78</f>
        <v>19</v>
      </c>
      <c r="U9" s="1049">
        <f>'5'!$G$79</f>
        <v>149</v>
      </c>
      <c r="V9" s="1042">
        <f>'5'!$G$80</f>
        <v>400.28000000002794</v>
      </c>
      <c r="W9" s="1049">
        <f>'5'!$G$81</f>
        <v>242.28000000002794</v>
      </c>
      <c r="X9" s="1039">
        <f>'5'!$G$82</f>
        <v>27.389999999999418</v>
      </c>
      <c r="Y9" s="1039">
        <f>'5'!$G$58</f>
        <v>211.28000000000611</v>
      </c>
      <c r="Z9" s="1039">
        <f>'5'!$G$83</f>
        <v>256</v>
      </c>
      <c r="AA9" s="1049">
        <f>'5'!G86</f>
        <v>23.599999999976717</v>
      </c>
      <c r="AB9" s="1039">
        <f>'5'!G87</f>
        <v>30.80000000000291</v>
      </c>
      <c r="AC9" s="1039">
        <f>'5'!G88</f>
        <v>125.78999999997905</v>
      </c>
      <c r="AD9" s="1039">
        <f>'5'!G89+'5'!G90</f>
        <v>26.800000000011551</v>
      </c>
      <c r="AE9" s="1039">
        <f>'5'!$G$62</f>
        <v>0</v>
      </c>
      <c r="AF9" s="1039">
        <f>'5'!$G$63</f>
        <v>0</v>
      </c>
      <c r="AG9" s="1039">
        <f>'5'!$G$64</f>
        <v>373.77999999999884</v>
      </c>
      <c r="AH9" s="1039">
        <f>'5'!$G$65</f>
        <v>436.66000000000349</v>
      </c>
      <c r="AI9" s="1039">
        <f>'5'!$G$66</f>
        <v>410.41000000000349</v>
      </c>
      <c r="AJ9" s="1039">
        <f>'5'!$G$67</f>
        <v>450.53999999997905</v>
      </c>
      <c r="AK9" s="1039">
        <f>'5'!$G$68</f>
        <v>0</v>
      </c>
      <c r="AL9" s="1039">
        <f>'5'!$G$69</f>
        <v>224.31999999999243</v>
      </c>
      <c r="AM9" s="1039">
        <f>'5'!$G$84</f>
        <v>825</v>
      </c>
      <c r="AN9" s="1049">
        <f>'5'!$G$15</f>
        <v>925.06000000005588</v>
      </c>
      <c r="AO9" s="1039">
        <f>'5'!$G$124</f>
        <v>265.82000000006519</v>
      </c>
      <c r="AP9" s="1039">
        <f>'5'!$G$125</f>
        <v>0</v>
      </c>
      <c r="AQ9" s="1039">
        <f>'5'!$G$126</f>
        <v>61.290000000008149</v>
      </c>
      <c r="AR9" s="1039">
        <f>'5'!$G$127</f>
        <v>27</v>
      </c>
      <c r="AS9" s="1039">
        <f>'5'!$G$128</f>
        <v>0.8999999999996362</v>
      </c>
      <c r="AT9" s="1039">
        <f t="shared" si="0"/>
        <v>570.0499999999829</v>
      </c>
      <c r="AU9" s="1039">
        <f>SUM('5'!G140:G141)</f>
        <v>9.8200000000001637</v>
      </c>
      <c r="AV9" s="1039">
        <f>'5'!$G$137</f>
        <v>7.0900000000001455</v>
      </c>
      <c r="AW9" s="1039">
        <f>'5'!$G$138</f>
        <v>3.6300000000010186</v>
      </c>
      <c r="AX9" s="1039">
        <f>'5'!$G$139</f>
        <v>0.66999999999825377</v>
      </c>
      <c r="AY9" s="1036">
        <f t="shared" si="1"/>
        <v>11.389999999999418</v>
      </c>
      <c r="AZ9" s="1035">
        <f t="shared" si="2"/>
        <v>27.069246435851401</v>
      </c>
    </row>
    <row r="10" spans="1:53">
      <c r="A10" s="1038">
        <v>44018</v>
      </c>
      <c r="B10" s="261">
        <f>'6'!G7</f>
        <v>19757.91</v>
      </c>
      <c r="C10" s="261">
        <f>'6'!G8</f>
        <v>19837.629999999997</v>
      </c>
      <c r="D10" s="261">
        <f>'6'!G15</f>
        <v>430.95999999996275</v>
      </c>
      <c r="E10" s="261">
        <f>'6'!G20</f>
        <v>149</v>
      </c>
      <c r="F10" s="261">
        <f>SUM('6'!G35,'6'!G49)</f>
        <v>2786.1999999999534</v>
      </c>
      <c r="G10" s="261">
        <f>SUM('6'!G37,'6'!G51)</f>
        <v>1525.2599999999802</v>
      </c>
      <c r="H10" s="261">
        <f>SUM('6'!G38,'6'!G52)</f>
        <v>1382.5</v>
      </c>
      <c r="I10" s="261">
        <f>SUM('6'!G39,'6'!G53)</f>
        <v>3628.7599999999511</v>
      </c>
      <c r="J10" s="261">
        <f>SUM('6'!G41,'6'!G42,'6'!G55,'6'!G56)</f>
        <v>5789.6300000000192</v>
      </c>
      <c r="K10" s="261">
        <f>SUM('6'!G43,'6'!G57)</f>
        <v>2584.9000000001397</v>
      </c>
      <c r="L10" s="1039">
        <f>'6'!G50</f>
        <v>959.02000000001863</v>
      </c>
      <c r="M10" s="1039">
        <f>'6'!G36</f>
        <v>727.79000000000087</v>
      </c>
      <c r="N10" s="1039">
        <f>'6'!G72</f>
        <v>11</v>
      </c>
      <c r="O10" s="1039">
        <f>'6'!$G$73</f>
        <v>1</v>
      </c>
      <c r="P10" s="1039">
        <f>'6'!$G$74</f>
        <v>1.0999999999912689</v>
      </c>
      <c r="Q10" s="1039">
        <f>'6'!$G$75</f>
        <v>141.79000000000087</v>
      </c>
      <c r="R10" s="1039">
        <f>'6'!$G$76</f>
        <v>73.119999999998981</v>
      </c>
      <c r="S10" s="1039">
        <f>'6'!$G$77</f>
        <v>78</v>
      </c>
      <c r="T10" s="1030">
        <f>'6'!$G$78</f>
        <v>153</v>
      </c>
      <c r="U10" s="1030">
        <f>'6'!$G$79</f>
        <v>149</v>
      </c>
      <c r="V10" s="1030">
        <f>'6'!$G$80</f>
        <v>356.51999999990221</v>
      </c>
      <c r="W10" s="1030">
        <f>'6'!$G$81</f>
        <v>178.35999999998603</v>
      </c>
      <c r="X10" s="1030">
        <f>'6'!$G$82</f>
        <v>13.180000000007567</v>
      </c>
      <c r="Y10" s="1030">
        <f>'6'!$G$58</f>
        <v>21.529999999998836</v>
      </c>
      <c r="Z10" s="1030">
        <f>'6'!$G$83</f>
        <v>163</v>
      </c>
      <c r="AA10" s="1030">
        <f>'6'!G86</f>
        <v>19.71999999997206</v>
      </c>
      <c r="AB10" s="1030">
        <f>'6'!G87</f>
        <v>29.899999999994179</v>
      </c>
      <c r="AC10" s="1030">
        <f>'6'!G88</f>
        <v>115.90000000002328</v>
      </c>
      <c r="AD10" s="1030">
        <f>'6'!G89+'6'!G90</f>
        <v>49.299999999991542</v>
      </c>
      <c r="AE10" s="1039">
        <f>'6'!$G$62</f>
        <v>0</v>
      </c>
      <c r="AF10" s="1039">
        <f>'6'!$G$63</f>
        <v>0</v>
      </c>
      <c r="AG10" s="1039">
        <f>'6'!$G$64</f>
        <v>399.55999999999767</v>
      </c>
      <c r="AH10" s="1039">
        <f>'6'!$G$65</f>
        <v>261.95999999999185</v>
      </c>
      <c r="AI10" s="1039">
        <f>'6'!$G$66</f>
        <v>413.80999999999767</v>
      </c>
      <c r="AJ10" s="1039">
        <f>'6'!$G$67</f>
        <v>529.70000000001164</v>
      </c>
      <c r="AK10" s="1039">
        <f>'6'!$G$68</f>
        <v>0</v>
      </c>
      <c r="AL10" s="1039">
        <f>'6'!$G$69</f>
        <v>210.34000000001106</v>
      </c>
      <c r="AM10" s="1039">
        <f>'6'!$G$84</f>
        <v>809</v>
      </c>
      <c r="AN10" s="1039">
        <f>'6'!$G$15</f>
        <v>430.95999999996275</v>
      </c>
      <c r="AO10" s="1077">
        <f>'6'!$G$124</f>
        <v>261.8399999999674</v>
      </c>
      <c r="AP10" s="1039">
        <f>'6'!$G$125</f>
        <v>0</v>
      </c>
      <c r="AQ10" s="1039">
        <f>'6'!$G$126</f>
        <v>67.130000000004657</v>
      </c>
      <c r="AR10" s="1039">
        <f>'6'!$G$127</f>
        <v>35.200000000000728</v>
      </c>
      <c r="AS10" s="1039">
        <f>'6'!$G$128</f>
        <v>1</v>
      </c>
      <c r="AT10" s="1039">
        <f t="shared" si="0"/>
        <v>65.789999999989959</v>
      </c>
      <c r="AU10" s="1039">
        <f>SUM('6'!G140:G141)</f>
        <v>9.8899999999998727</v>
      </c>
      <c r="AV10" s="1039">
        <f>'6'!$G$137</f>
        <v>9.9999999998544808E-2</v>
      </c>
      <c r="AW10" s="1039">
        <f>'6'!$G$138</f>
        <v>0</v>
      </c>
      <c r="AX10" s="1039">
        <f>'6'!$G$139</f>
        <v>0</v>
      </c>
      <c r="AY10" s="1036">
        <f t="shared" si="1"/>
        <v>9.9999999998544808E-2</v>
      </c>
    </row>
    <row r="11" spans="1:53">
      <c r="A11" s="1038">
        <v>44019</v>
      </c>
      <c r="B11" s="261">
        <f>'7'!G7</f>
        <v>21808.890000000007</v>
      </c>
      <c r="C11" s="261">
        <f>'7'!G8</f>
        <v>21913.78</v>
      </c>
      <c r="D11" s="261">
        <f>'7'!G15</f>
        <v>850.19000000017695</v>
      </c>
      <c r="E11" s="261">
        <f>'7'!G20</f>
        <v>168</v>
      </c>
      <c r="F11" s="261">
        <f>SUM('7'!G35,'7'!G49)</f>
        <v>2919.1999999999534</v>
      </c>
      <c r="G11" s="261">
        <f>SUM('7'!G37,'7'!G51)</f>
        <v>1587.7400000000198</v>
      </c>
      <c r="H11" s="261">
        <f>SUM('7'!G38,'7'!G52)</f>
        <v>1549.2399999999907</v>
      </c>
      <c r="I11" s="261">
        <f>SUM('7'!G39,'7'!G53)</f>
        <v>3603.3999999999651</v>
      </c>
      <c r="J11" s="261">
        <f>SUM('7'!G41,'7'!G42,'7'!G55,'7'!G56)</f>
        <v>6831.7899999999208</v>
      </c>
      <c r="K11" s="261">
        <f>SUM('7'!G43,'7'!G57)</f>
        <v>2722.6999999999534</v>
      </c>
      <c r="L11" s="1039">
        <f>'7'!G50</f>
        <v>1261.9199999999255</v>
      </c>
      <c r="M11" s="1039">
        <f>'7'!G36</f>
        <v>820.85000000000218</v>
      </c>
      <c r="N11" s="1039">
        <f>'7'!G72</f>
        <v>11</v>
      </c>
      <c r="O11" s="1039">
        <f>'7'!$G$73</f>
        <v>1</v>
      </c>
      <c r="P11" s="1039">
        <f>'7'!$G$74</f>
        <v>1.1000000000058208</v>
      </c>
      <c r="Q11" s="1039">
        <f>'7'!$G$75</f>
        <v>140.84999999999854</v>
      </c>
      <c r="R11" s="1039">
        <f>'7'!$G$76</f>
        <v>66.06000000000131</v>
      </c>
      <c r="S11" s="1039">
        <f>'7'!$G$77</f>
        <v>51</v>
      </c>
      <c r="T11" s="1030">
        <f>'7'!$G$78</f>
        <v>122</v>
      </c>
      <c r="U11" s="1030">
        <f>'7'!$G$79</f>
        <v>141</v>
      </c>
      <c r="V11" s="1030">
        <f>'7'!$G$80</f>
        <v>400.60000000009313</v>
      </c>
      <c r="W11" s="1030">
        <f>'7'!$G$81</f>
        <v>167.64000000001397</v>
      </c>
      <c r="X11" s="1030">
        <f>'7'!$G$82</f>
        <v>26.399999999994179</v>
      </c>
      <c r="Y11" s="1030">
        <f>'7'!$G$58</f>
        <v>187.40999999999622</v>
      </c>
      <c r="Z11" s="1042">
        <f>'7'!$G$83</f>
        <v>215</v>
      </c>
      <c r="AA11" s="1065">
        <f>'7'!G86</f>
        <v>25.480000000039581</v>
      </c>
      <c r="AB11" s="1030">
        <f>'7'!G87</f>
        <v>32.200000000011642</v>
      </c>
      <c r="AC11" s="1030">
        <f>'7'!G88</f>
        <v>85.829999999987194</v>
      </c>
      <c r="AD11" s="1030">
        <f>'7'!G89+'7'!G90</f>
        <v>81.400000000002819</v>
      </c>
      <c r="AE11" s="1039">
        <f>'7'!$G$62</f>
        <v>0</v>
      </c>
      <c r="AF11" s="1039">
        <f>'7'!$G$63</f>
        <v>0</v>
      </c>
      <c r="AG11" s="1039">
        <f>'7'!$G$64</f>
        <v>433.54000000000815</v>
      </c>
      <c r="AH11" s="1039">
        <f>'7'!$G$65</f>
        <v>267.29999999998836</v>
      </c>
      <c r="AI11" s="1039">
        <f>'7'!$G$66</f>
        <v>427.31000000001222</v>
      </c>
      <c r="AJ11" s="1039">
        <f>'7'!$G$67</f>
        <v>492.70000000001164</v>
      </c>
      <c r="AK11" s="1042">
        <f>'7'!$G$68</f>
        <v>0</v>
      </c>
      <c r="AL11" s="1039">
        <f>'7'!$G$69</f>
        <v>221.58999999999651</v>
      </c>
      <c r="AM11" s="1039">
        <f>'7'!$G$84</f>
        <v>792</v>
      </c>
      <c r="AN11" s="1039">
        <f>'7'!$G$15</f>
        <v>850.19000000017695</v>
      </c>
      <c r="AO11" s="1077">
        <f>'7'!$G$124</f>
        <v>259.97999999998137</v>
      </c>
      <c r="AP11" s="1039">
        <f>'7'!$G$125</f>
        <v>-0.39999999999417923</v>
      </c>
      <c r="AQ11" s="1039">
        <f>'7'!$G$126</f>
        <v>79.419999999983702</v>
      </c>
      <c r="AR11" s="1039">
        <f>'7'!$G$127</f>
        <v>36.700000000000728</v>
      </c>
      <c r="AS11" s="1039">
        <f>'7'!$G$128</f>
        <v>1.4000000000014552</v>
      </c>
      <c r="AT11" s="1039">
        <f t="shared" si="0"/>
        <v>473.09000000020387</v>
      </c>
      <c r="AU11" s="1039">
        <f>SUM('7'!G140:G141)</f>
        <v>9.5599999999999454</v>
      </c>
      <c r="AV11" s="1039">
        <f>'7'!$G$137</f>
        <v>9.1100000000005821</v>
      </c>
      <c r="AW11" s="1039">
        <f>'7'!$G$138</f>
        <v>0</v>
      </c>
      <c r="AX11" s="1039">
        <f>'7'!$G$139</f>
        <v>0</v>
      </c>
      <c r="AY11" s="1036">
        <f t="shared" si="1"/>
        <v>9.1100000000005821</v>
      </c>
    </row>
    <row r="12" spans="1:53">
      <c r="A12" s="1038">
        <v>44020</v>
      </c>
      <c r="B12" s="261">
        <f>'8'!G7</f>
        <v>21620.319999999992</v>
      </c>
      <c r="C12" s="261">
        <f>'8'!G8</f>
        <v>21721.17</v>
      </c>
      <c r="D12" s="261">
        <f>'8'!G15</f>
        <v>821.54999999981374</v>
      </c>
      <c r="E12" s="261">
        <f>'8'!G20</f>
        <v>161</v>
      </c>
      <c r="F12" s="261">
        <f>SUM('8'!G35,'8'!G49)</f>
        <v>3141.7000000001863</v>
      </c>
      <c r="G12" s="261">
        <f>SUM('8'!G37,'8'!G51)</f>
        <v>1563.2200000000012</v>
      </c>
      <c r="H12" s="261">
        <f>SUM('8'!G38,'8'!G52)</f>
        <v>1545.1600000000035</v>
      </c>
      <c r="I12" s="261">
        <f>SUM('8'!G39,'8'!G53)</f>
        <v>3552.4000000000233</v>
      </c>
      <c r="J12" s="261">
        <f>SUM('8'!G41,'8'!G42,'8'!G55,'8'!G56)</f>
        <v>6741.3199999999779</v>
      </c>
      <c r="K12" s="261">
        <f>SUM('8'!G43,'8'!G57)</f>
        <v>2769</v>
      </c>
      <c r="L12" s="1039">
        <f>'8'!G50</f>
        <v>1089.6300000000047</v>
      </c>
      <c r="M12" s="1039">
        <f>'8'!G36</f>
        <v>674.62999999999738</v>
      </c>
      <c r="N12" s="1039">
        <f>'8'!G72</f>
        <v>13</v>
      </c>
      <c r="O12" s="1039">
        <f>'8'!$G$73</f>
        <v>1</v>
      </c>
      <c r="P12" s="1039">
        <f>'8'!$G$74</f>
        <v>1</v>
      </c>
      <c r="Q12" s="1039">
        <f>'8'!$G$75</f>
        <v>144.14000000000306</v>
      </c>
      <c r="R12" s="1039">
        <f>'8'!$G$76</f>
        <v>67.219999999999345</v>
      </c>
      <c r="S12" s="1039">
        <f>'8'!$G$77</f>
        <v>71</v>
      </c>
      <c r="T12" s="1030">
        <f>'8'!$G$78</f>
        <v>86</v>
      </c>
      <c r="U12" s="1030">
        <f>'8'!$G$79</f>
        <v>152</v>
      </c>
      <c r="V12" s="1030">
        <f>'8'!$G$80</f>
        <v>414.23999999999069</v>
      </c>
      <c r="W12" s="1030">
        <f>'8'!$G$81</f>
        <v>194.8399999999674</v>
      </c>
      <c r="X12" s="1030">
        <f>'8'!$G$82</f>
        <v>19.880000000004657</v>
      </c>
      <c r="Y12" s="1030">
        <f>'8'!$G$58</f>
        <v>177.37000000000262</v>
      </c>
      <c r="Z12" s="1030">
        <f>'8'!$G$83</f>
        <v>225</v>
      </c>
      <c r="AA12" s="1030">
        <f>'8'!G86</f>
        <v>29.71999999997206</v>
      </c>
      <c r="AB12" s="1030">
        <f>'8'!G87</f>
        <v>31.399999999994179</v>
      </c>
      <c r="AC12" s="1030">
        <f>'8'!G88</f>
        <v>151.57000000000698</v>
      </c>
      <c r="AD12" s="1030">
        <f>'8'!G89+'8'!G90</f>
        <v>183.10000000000582</v>
      </c>
      <c r="AE12" s="1039">
        <f>'8'!$G$62</f>
        <v>0</v>
      </c>
      <c r="AF12" s="1039">
        <f>'8'!$G$63</f>
        <v>0</v>
      </c>
      <c r="AG12" s="1039">
        <f>'8'!$G$64</f>
        <v>525.04000000000815</v>
      </c>
      <c r="AH12" s="1039">
        <f>'8'!$G$65</f>
        <v>271.82000000000698</v>
      </c>
      <c r="AI12" s="1039">
        <f>'8'!$G$66</f>
        <v>398.20999999999185</v>
      </c>
      <c r="AJ12" s="1039">
        <f>'8'!$G$67</f>
        <v>444.44000000000233</v>
      </c>
      <c r="AK12" s="1039">
        <f>'8'!$G$68</f>
        <v>0</v>
      </c>
      <c r="AL12" s="1039">
        <f>'8'!$G$69</f>
        <v>261.61999999999534</v>
      </c>
      <c r="AM12" s="1039">
        <f>'8'!$G$84</f>
        <v>809</v>
      </c>
      <c r="AN12" s="1039">
        <f>'8'!$G$15</f>
        <v>821.54999999981374</v>
      </c>
      <c r="AO12" s="1039">
        <f>'8'!$G$124</f>
        <v>251.29000000003725</v>
      </c>
      <c r="AP12" s="1039">
        <f>'8'!$G$125</f>
        <v>0.39999999999417923</v>
      </c>
      <c r="AQ12" s="1039">
        <f>'8'!$G$126</f>
        <v>86.580000000016298</v>
      </c>
      <c r="AR12" s="1039">
        <f>'8'!$G$127</f>
        <v>35.700000000000728</v>
      </c>
      <c r="AS12" s="1039">
        <f>'8'!$G$128</f>
        <v>2</v>
      </c>
      <c r="AT12" s="1039">
        <f t="shared" si="0"/>
        <v>445.57999999976528</v>
      </c>
      <c r="AU12" s="1039">
        <f>SUM('8'!G140:G141)</f>
        <v>9.2300000000000182</v>
      </c>
      <c r="AV12" s="1039">
        <f>'8'!$G$137</f>
        <v>8.069999999999709</v>
      </c>
      <c r="AW12" s="1039">
        <f>'8'!$G$138</f>
        <v>0</v>
      </c>
      <c r="AX12" s="1039">
        <f>'8'!$G$139</f>
        <v>0</v>
      </c>
      <c r="AY12" s="1036">
        <f t="shared" si="1"/>
        <v>8.069999999999709</v>
      </c>
    </row>
    <row r="13" spans="1:53">
      <c r="A13" s="1038">
        <v>44021</v>
      </c>
      <c r="B13" s="261">
        <f>'9'!G7</f>
        <v>21500</v>
      </c>
      <c r="C13" s="261">
        <f>'9'!G8</f>
        <v>21500</v>
      </c>
      <c r="D13" s="261">
        <f>'9'!G15</f>
        <v>700</v>
      </c>
      <c r="E13" s="261">
        <f>'9'!G20</f>
        <v>-1807</v>
      </c>
      <c r="F13" s="261">
        <f>SUM('9'!G35,'9'!G49)</f>
        <v>-79870.600000000093</v>
      </c>
      <c r="G13" s="261">
        <f>SUM('9'!G37,'9'!G51)</f>
        <v>-42596.010000000009</v>
      </c>
      <c r="H13" s="261">
        <f>SUM('9'!G38,'9'!G52)</f>
        <v>-43875.290000000008</v>
      </c>
      <c r="I13" s="261">
        <f>SUM('9'!G39,'9'!G53)</f>
        <v>-102211.19</v>
      </c>
      <c r="J13" s="261">
        <f>SUM('9'!G41,'9'!G42,'9'!G55,'9'!G56)</f>
        <v>-179539.05999999994</v>
      </c>
      <c r="K13" s="261">
        <f>SUM('9'!G43,'9'!G57)</f>
        <v>-77566.5</v>
      </c>
      <c r="L13" s="1039">
        <f>'9'!G50</f>
        <v>-32542.699999999953</v>
      </c>
      <c r="M13" s="1039">
        <f>'9'!G36</f>
        <v>-21370.62</v>
      </c>
      <c r="N13" s="1039">
        <f>'9'!G72</f>
        <v>-354</v>
      </c>
      <c r="O13" s="1039">
        <f>'9'!$G$73</f>
        <v>-35</v>
      </c>
      <c r="P13" s="1039">
        <f>'9'!$G$74</f>
        <v>-86105.34</v>
      </c>
      <c r="Q13" s="1039">
        <f>'9'!$G$75</f>
        <v>-4016.8100000000013</v>
      </c>
      <c r="R13" s="1039">
        <f>'9'!$G$76</f>
        <v>-1919.58</v>
      </c>
      <c r="S13" s="1039">
        <f>'9'!$G$77</f>
        <v>-1575</v>
      </c>
      <c r="T13" s="1030">
        <f>'9'!$G$78</f>
        <v>-2563</v>
      </c>
      <c r="U13" s="1030">
        <f>'9'!$G$79</f>
        <v>-4243</v>
      </c>
      <c r="V13" s="1030">
        <f>'9'!$G$80</f>
        <v>-11255.280000000028</v>
      </c>
      <c r="W13" s="1030">
        <f>'9'!$G$81</f>
        <v>-4539.640000000014</v>
      </c>
      <c r="X13" s="1030">
        <f>'9'!$G$82</f>
        <v>-547.85000000000582</v>
      </c>
      <c r="Y13" s="1030">
        <f>'9'!$G$58</f>
        <v>-4643.18</v>
      </c>
      <c r="Z13" s="1030">
        <f>'9'!$G$83</f>
        <v>-7200</v>
      </c>
      <c r="AA13" s="1030">
        <f>'9'!G86</f>
        <v>-799.9199999999837</v>
      </c>
      <c r="AB13" s="1030">
        <f>'9'!G87</f>
        <v>-763</v>
      </c>
      <c r="AC13" s="1030">
        <f>'9'!G88</f>
        <v>-2817.6600000000035</v>
      </c>
      <c r="AD13" s="1030">
        <f>'9'!G89+'9'!H90</f>
        <v>-1041.5000000000059</v>
      </c>
      <c r="AE13" s="1039">
        <f>'9'!$G$62</f>
        <v>0</v>
      </c>
      <c r="AF13" s="1039">
        <f>'9'!$G$63</f>
        <v>0</v>
      </c>
      <c r="AG13" s="1039">
        <f>'9'!$G$64</f>
        <v>-10953.390000000014</v>
      </c>
      <c r="AH13" s="1049">
        <f>'9'!$G$65</f>
        <v>-10151.75</v>
      </c>
      <c r="AI13" s="1049">
        <f>'9'!$G$66</f>
        <v>-11503.029999999999</v>
      </c>
      <c r="AJ13" s="1039">
        <f>'9'!$G$67</f>
        <v>-13125.130000000005</v>
      </c>
      <c r="AK13" s="1039">
        <f>'9'!$G$68</f>
        <v>0</v>
      </c>
      <c r="AL13" s="1039">
        <f>'9'!$G$69</f>
        <v>-6704.0599999999977</v>
      </c>
      <c r="AM13" s="1039">
        <f>'9'!$G$84</f>
        <v>-22338</v>
      </c>
      <c r="AN13" s="1039">
        <f>'9'!$G$15</f>
        <v>700</v>
      </c>
      <c r="AO13" s="1039">
        <f>'9'!$G$124</f>
        <v>-7859.1300000000047</v>
      </c>
      <c r="AP13" s="1039">
        <f>'9'!$G$125</f>
        <v>0</v>
      </c>
      <c r="AQ13" s="1039">
        <f>'9'!$G$126</f>
        <v>-2188.9100000000035</v>
      </c>
      <c r="AR13" s="1039">
        <f>'9'!$G$127</f>
        <v>-945.20000000000073</v>
      </c>
      <c r="AS13" s="1039">
        <f>'9'!$G$128</f>
        <v>-59.200000000000728</v>
      </c>
      <c r="AT13" s="1039">
        <f t="shared" si="0"/>
        <v>11752.44000000001</v>
      </c>
      <c r="AU13" s="1039">
        <f>SUM('9'!G140:G141)</f>
        <v>-292.84999999999991</v>
      </c>
      <c r="AV13" s="1039">
        <f>'9'!$G$137</f>
        <v>-116.56999999999971</v>
      </c>
      <c r="AW13" s="1039">
        <f>'9'!$G$138</f>
        <v>-43.200000000000728</v>
      </c>
      <c r="AX13" s="1039">
        <f>'9'!$G$139</f>
        <v>-65.879999999990105</v>
      </c>
      <c r="AY13" s="1036">
        <f t="shared" si="1"/>
        <v>-225.64999999999054</v>
      </c>
    </row>
    <row r="14" spans="1:53">
      <c r="A14" s="1038">
        <v>44022</v>
      </c>
      <c r="B14" s="261">
        <f>'10'!G7</f>
        <v>21500</v>
      </c>
      <c r="C14" s="261">
        <f>'10'!G8</f>
        <v>21499.999999999985</v>
      </c>
      <c r="D14" s="261">
        <f>'10'!G15</f>
        <v>700</v>
      </c>
      <c r="E14" s="261">
        <f>'10'!G20</f>
        <v>86</v>
      </c>
      <c r="F14" s="261">
        <f>SUM('10'!G35,'10'!G49)</f>
        <v>2172</v>
      </c>
      <c r="G14" s="261">
        <f>SUM('10'!G37,'10'!G51)</f>
        <v>1349</v>
      </c>
      <c r="H14" s="261">
        <f>SUM('10'!G38,'10'!G52)</f>
        <v>1210</v>
      </c>
      <c r="I14" s="261">
        <f>SUM('10'!G39,'10'!G53)</f>
        <v>3175.3300000000163</v>
      </c>
      <c r="J14" s="261">
        <f>SUM('10'!G41,'10'!G42,'10'!G55,'10'!G56)</f>
        <v>4704.3899999999994</v>
      </c>
      <c r="K14" s="261">
        <f>SUM('10'!G43,'10'!G57)</f>
        <v>2439</v>
      </c>
      <c r="L14" s="1039">
        <f>'10'!G50</f>
        <v>890</v>
      </c>
      <c r="M14" s="1039">
        <f>'10'!G36</f>
        <v>564</v>
      </c>
      <c r="N14" s="1039">
        <f>'10'!G72</f>
        <v>13</v>
      </c>
      <c r="O14" s="1039">
        <f>'10'!$G$73</f>
        <v>1</v>
      </c>
      <c r="P14" s="1039">
        <f>'10'!$G$74</f>
        <v>0</v>
      </c>
      <c r="Q14" s="1039">
        <f>'10'!$G$75</f>
        <v>57</v>
      </c>
      <c r="R14" s="1039">
        <f>'10'!$G$76</f>
        <v>55</v>
      </c>
      <c r="S14" s="1039">
        <f>'10'!$G$77</f>
        <v>51</v>
      </c>
      <c r="T14" s="1030">
        <f>'10'!$G$78</f>
        <v>52</v>
      </c>
      <c r="U14" s="1030">
        <f>'10'!$G$79</f>
        <v>132</v>
      </c>
      <c r="V14" s="1043">
        <f>'10'!$G$80</f>
        <v>371</v>
      </c>
      <c r="W14" s="1043">
        <f>'10'!$G$81</f>
        <v>102</v>
      </c>
      <c r="X14" s="1030">
        <f>'10'!$G$82</f>
        <v>11</v>
      </c>
      <c r="Y14" s="1030">
        <f>'10'!$G$58</f>
        <v>239.20999999999913</v>
      </c>
      <c r="Z14" s="1030">
        <f>'10'!$G$83</f>
        <v>232</v>
      </c>
      <c r="AA14" s="1030">
        <f>'10'!G86</f>
        <v>30</v>
      </c>
      <c r="AB14" s="1030">
        <f>'10'!G87</f>
        <v>26</v>
      </c>
      <c r="AC14" s="1030">
        <f>'10'!G88</f>
        <v>29</v>
      </c>
      <c r="AD14" s="1030">
        <f>'10'!G87+'10'!H90</f>
        <v>-55.900000000000091</v>
      </c>
      <c r="AE14" s="1039">
        <f>'10'!$G$62</f>
        <v>0</v>
      </c>
      <c r="AF14" s="1039">
        <f>'10'!$G$63</f>
        <v>0</v>
      </c>
      <c r="AG14" s="1039">
        <f>'10'!$G$64</f>
        <v>352</v>
      </c>
      <c r="AH14" s="1039">
        <f>'10'!$G$65</f>
        <v>266</v>
      </c>
      <c r="AI14" s="1039">
        <f>'10'!$G$66</f>
        <v>415</v>
      </c>
      <c r="AJ14" s="1039">
        <f>'10'!$G$67</f>
        <v>377</v>
      </c>
      <c r="AK14" s="1039">
        <f>'10'!$G$68</f>
        <v>0</v>
      </c>
      <c r="AL14" s="1039">
        <f>'10'!$G$69</f>
        <v>170</v>
      </c>
      <c r="AM14" s="1039">
        <f>'10'!$G$84</f>
        <v>592</v>
      </c>
      <c r="AN14" s="1039">
        <f>'10'!$G$15</f>
        <v>700</v>
      </c>
      <c r="AO14" s="1039">
        <f>'10'!$G$124</f>
        <v>211</v>
      </c>
      <c r="AP14" s="1039">
        <f>'10'!$G$125</f>
        <v>0</v>
      </c>
      <c r="AQ14" s="1039">
        <f>'10'!$G$126</f>
        <v>66</v>
      </c>
      <c r="AR14" s="1039">
        <f>'10'!$G$127</f>
        <v>0</v>
      </c>
      <c r="AS14" s="1039">
        <f>'10'!$G$128</f>
        <v>0</v>
      </c>
      <c r="AT14" s="1039">
        <f t="shared" si="0"/>
        <v>423</v>
      </c>
      <c r="AU14" s="1039">
        <f>SUM('10'!G140:G141)</f>
        <v>7.9000000000000909</v>
      </c>
      <c r="AV14" s="1039">
        <f>'10'!$G$137</f>
        <v>7.7999999999992724</v>
      </c>
      <c r="AW14" s="1039">
        <f>'10'!$G$138</f>
        <v>0</v>
      </c>
      <c r="AX14" s="1039">
        <f>'10'!$G$139</f>
        <v>0</v>
      </c>
      <c r="AY14" s="1036">
        <f t="shared" si="1"/>
        <v>7.7999999999992724</v>
      </c>
    </row>
    <row r="15" spans="1:53">
      <c r="A15" s="1038">
        <v>44023</v>
      </c>
      <c r="B15" s="261">
        <f>'11'!G7</f>
        <v>21500</v>
      </c>
      <c r="C15" s="261">
        <f>'11'!G8</f>
        <v>21500</v>
      </c>
      <c r="D15" s="261">
        <f>'11'!G15</f>
        <v>700</v>
      </c>
      <c r="E15" s="261">
        <f>'11'!G20</f>
        <v>103</v>
      </c>
      <c r="F15" s="261">
        <f>SUM('11'!G35,'11'!G49)</f>
        <v>2190</v>
      </c>
      <c r="G15" s="261">
        <f>SUM('11'!G37,'11'!G51)</f>
        <v>1386</v>
      </c>
      <c r="H15" s="261">
        <f>SUM('11'!G38,'11'!G52)</f>
        <v>1184</v>
      </c>
      <c r="I15" s="261">
        <f>SUM('11'!G39,'11'!G53)</f>
        <v>3233</v>
      </c>
      <c r="J15" s="261">
        <f>SUM('11'!G41,'11'!G42,'11'!G55,'11'!G56)</f>
        <v>4819</v>
      </c>
      <c r="K15" s="261">
        <f>SUM('11'!G43,'11'!G57)</f>
        <v>2435</v>
      </c>
      <c r="L15" s="1039">
        <f>'11'!G50</f>
        <v>897</v>
      </c>
      <c r="M15" s="1039">
        <f>'11'!G36</f>
        <v>578</v>
      </c>
      <c r="N15" s="1039">
        <f>'11'!G72</f>
        <v>14</v>
      </c>
      <c r="O15" s="1039">
        <f>'11'!$G$73</f>
        <v>1</v>
      </c>
      <c r="P15" s="1039">
        <f>'11'!$G$74</f>
        <v>0</v>
      </c>
      <c r="Q15" s="1039">
        <f>'11'!$G$75</f>
        <v>76</v>
      </c>
      <c r="R15" s="1039">
        <f>'11'!$G$76</f>
        <v>59</v>
      </c>
      <c r="S15" s="1039">
        <f>'11'!$G$77</f>
        <v>51</v>
      </c>
      <c r="T15" s="1030">
        <f>'11'!$G$78</f>
        <v>47</v>
      </c>
      <c r="U15" s="1030">
        <f>'11'!$G$79</f>
        <v>138</v>
      </c>
      <c r="V15" s="1030">
        <f>'11'!$G$80</f>
        <v>324</v>
      </c>
      <c r="W15" s="1030">
        <f>'11'!$G$81</f>
        <v>108</v>
      </c>
      <c r="X15" s="1030">
        <f>'11'!$G$82</f>
        <v>25</v>
      </c>
      <c r="Y15" s="1030">
        <f>'11'!$G$58</f>
        <v>97</v>
      </c>
      <c r="Z15" s="1030">
        <f>'11'!$G$83</f>
        <v>176</v>
      </c>
      <c r="AA15" s="1030">
        <f>'11'!G86</f>
        <v>28</v>
      </c>
      <c r="AB15" s="1030">
        <f>'11'!G87</f>
        <v>19.600000000005821</v>
      </c>
      <c r="AC15" s="1030">
        <f>'11'!G88</f>
        <v>24</v>
      </c>
      <c r="AD15" s="1030">
        <f>'11'!G87+'11'!H90</f>
        <v>22.600000000005821</v>
      </c>
      <c r="AE15" s="1039">
        <f>'11'!$G$62</f>
        <v>0</v>
      </c>
      <c r="AF15" s="1039">
        <f>'11'!$G$63</f>
        <v>0</v>
      </c>
      <c r="AG15" s="1039">
        <f>'11'!$G$64</f>
        <v>353</v>
      </c>
      <c r="AH15" s="1039">
        <f>'11'!$G$65</f>
        <v>270</v>
      </c>
      <c r="AI15" s="1039">
        <f>'11'!$G$66</f>
        <v>420</v>
      </c>
      <c r="AJ15" s="1039">
        <f>'11'!$G$67</f>
        <v>426</v>
      </c>
      <c r="AK15" s="1039">
        <f>'11'!$G$68</f>
        <v>0</v>
      </c>
      <c r="AL15" s="1039">
        <f>'11'!$G$69</f>
        <v>152</v>
      </c>
      <c r="AM15" s="1039">
        <f>'11'!$G$84</f>
        <v>564</v>
      </c>
      <c r="AN15" s="1039">
        <f>'11'!$G$15</f>
        <v>700</v>
      </c>
      <c r="AO15" s="1039">
        <f>'11'!$G$124</f>
        <v>230</v>
      </c>
      <c r="AP15" s="1039">
        <f>'11'!$G$125</f>
        <v>0</v>
      </c>
      <c r="AQ15" s="1039">
        <f>'11'!$G$126</f>
        <v>66</v>
      </c>
      <c r="AR15" s="1039">
        <f>'11'!$G$127</f>
        <v>0</v>
      </c>
      <c r="AS15" s="1039">
        <f>'11'!$G$128</f>
        <v>0</v>
      </c>
      <c r="AT15" s="1039">
        <f t="shared" si="0"/>
        <v>404</v>
      </c>
      <c r="AU15" s="1039">
        <f>SUM('11'!G140:G141)</f>
        <v>8.5999999999999091</v>
      </c>
      <c r="AV15" s="1039">
        <f>'11'!$G$137</f>
        <v>0</v>
      </c>
      <c r="AW15" s="1039">
        <f>'11'!$G$138</f>
        <v>0</v>
      </c>
      <c r="AX15" s="1039">
        <f>'11'!$G$139</f>
        <v>7.5899999999965075</v>
      </c>
      <c r="AY15" s="1036">
        <f t="shared" si="1"/>
        <v>7.5899999999965075</v>
      </c>
    </row>
    <row r="16" spans="1:53">
      <c r="A16" s="1038">
        <v>44024</v>
      </c>
      <c r="B16" s="261">
        <f>'12'!G7</f>
        <v>21500</v>
      </c>
      <c r="C16" s="261">
        <f>'12'!G8</f>
        <v>21500</v>
      </c>
      <c r="D16" s="261">
        <f>'12'!G15</f>
        <v>700</v>
      </c>
      <c r="E16" s="261">
        <f>'12'!G20</f>
        <v>125</v>
      </c>
      <c r="F16" s="261">
        <f>SUM('12'!G35,'12'!G49)</f>
        <v>2554</v>
      </c>
      <c r="G16" s="261">
        <f>SUM('12'!G37,'12'!G51)</f>
        <v>1461</v>
      </c>
      <c r="H16" s="261">
        <f>SUM('12'!G38,'12'!G52)</f>
        <v>1383</v>
      </c>
      <c r="I16" s="261">
        <f>SUM('12'!G39,'12'!G53)</f>
        <v>3517</v>
      </c>
      <c r="J16" s="261">
        <f>SUM('12'!G41,'12'!G42,'12'!G55,'12'!G56)</f>
        <v>5598</v>
      </c>
      <c r="K16" s="261">
        <f>SUM('12'!G43,'12'!G57)</f>
        <v>2382</v>
      </c>
      <c r="L16" s="1039">
        <f>'12'!G50</f>
        <v>939</v>
      </c>
      <c r="M16" s="1039">
        <f>'12'!G36</f>
        <v>544</v>
      </c>
      <c r="N16" s="1039">
        <f>'12'!G72</f>
        <v>12</v>
      </c>
      <c r="O16" s="1039">
        <f>'12'!$G$73</f>
        <v>2</v>
      </c>
      <c r="P16" s="1039">
        <f>'12'!$G$74</f>
        <v>0</v>
      </c>
      <c r="Q16" s="1039">
        <f>'12'!$G$75</f>
        <v>143</v>
      </c>
      <c r="R16" s="1039">
        <f>'12'!$G$76</f>
        <v>54</v>
      </c>
      <c r="S16" s="1039">
        <f>'12'!$G$77</f>
        <v>47</v>
      </c>
      <c r="T16" s="1030">
        <f>'12'!$G$78</f>
        <v>41</v>
      </c>
      <c r="U16" s="1030">
        <f>'12'!$G$79</f>
        <v>140</v>
      </c>
      <c r="V16" s="1030">
        <f>'12'!$G$80</f>
        <v>376</v>
      </c>
      <c r="W16" s="1030">
        <f>'12'!$G$81</f>
        <v>111</v>
      </c>
      <c r="X16" s="1030">
        <f>'12'!$G$82</f>
        <v>12</v>
      </c>
      <c r="Y16" s="1030">
        <f>'12'!$G$58</f>
        <v>37</v>
      </c>
      <c r="Z16" s="1030">
        <f>'12'!$G$83</f>
        <v>198</v>
      </c>
      <c r="AA16" s="1030">
        <f>'12'!G86</f>
        <v>30</v>
      </c>
      <c r="AB16" s="1030">
        <f>'12'!G87</f>
        <v>12.399999999994179</v>
      </c>
      <c r="AC16" s="1030">
        <f>'12'!G88</f>
        <v>24</v>
      </c>
      <c r="AD16" s="1030">
        <f>'12'!G87+'12'!H90</f>
        <v>13.399999999994179</v>
      </c>
      <c r="AE16" s="1039">
        <f>'12'!$G$62</f>
        <v>0</v>
      </c>
      <c r="AF16" s="1039">
        <f>'12'!$G$63</f>
        <v>0</v>
      </c>
      <c r="AG16" s="1039">
        <f>'12'!$G$64</f>
        <v>334</v>
      </c>
      <c r="AH16" s="1039">
        <f>'12'!$G$65</f>
        <v>366</v>
      </c>
      <c r="AI16" s="1039">
        <f>'12'!$G$66</f>
        <v>427</v>
      </c>
      <c r="AJ16" s="1039">
        <f>'12'!$G$67</f>
        <v>459</v>
      </c>
      <c r="AK16" s="1039">
        <f>'12'!$G$68</f>
        <v>0</v>
      </c>
      <c r="AL16" s="1039">
        <f>'12'!$G$69</f>
        <v>227</v>
      </c>
      <c r="AM16" s="1039">
        <f>'12'!$G$84</f>
        <v>596</v>
      </c>
      <c r="AN16" s="1039">
        <f>'12'!$G$15</f>
        <v>700</v>
      </c>
      <c r="AO16" s="1077">
        <f>'12'!$G$124</f>
        <v>238</v>
      </c>
      <c r="AP16" s="1039">
        <f>'12'!$G$125</f>
        <v>-0.39999999999417923</v>
      </c>
      <c r="AQ16" s="1066">
        <f>'12'!$G$126</f>
        <v>62</v>
      </c>
      <c r="AR16" s="1039">
        <f>'12'!$G$127</f>
        <v>0</v>
      </c>
      <c r="AS16" s="1039">
        <f>'12'!$G$128</f>
        <v>0</v>
      </c>
      <c r="AT16" s="1039">
        <f t="shared" si="0"/>
        <v>400.39999999999418</v>
      </c>
      <c r="AU16" s="1039">
        <f>SUM('12'!G140:G141)</f>
        <v>9.0900000000001455</v>
      </c>
      <c r="AV16" s="1039">
        <f>'12'!$G$137</f>
        <v>0</v>
      </c>
      <c r="AW16" s="1039">
        <f>'12'!$G$138</f>
        <v>0</v>
      </c>
      <c r="AX16" s="1039">
        <f>'12'!$G$139</f>
        <v>4.6499999999941792</v>
      </c>
      <c r="AY16" s="1036">
        <f t="shared" si="1"/>
        <v>4.6499999999941792</v>
      </c>
      <c r="BA16" s="1044">
        <f>AO16-AQ16</f>
        <v>176</v>
      </c>
    </row>
    <row r="17" spans="1:53">
      <c r="A17" s="1038">
        <v>44025</v>
      </c>
      <c r="B17" s="261">
        <f>'13'!G7</f>
        <v>21500</v>
      </c>
      <c r="C17" s="261">
        <f>'13'!G8</f>
        <v>21500</v>
      </c>
      <c r="D17" s="261">
        <f>'13'!G15</f>
        <v>700</v>
      </c>
      <c r="E17" s="261">
        <f>'13'!G20</f>
        <v>194</v>
      </c>
      <c r="F17" s="261">
        <f>SUM('13'!G35,'13'!G49)</f>
        <v>2615</v>
      </c>
      <c r="G17" s="261">
        <f>SUM('13'!G37,'13'!G51)</f>
        <v>1413</v>
      </c>
      <c r="H17" s="261">
        <f>SUM('13'!G38,'13'!G52)</f>
        <v>1494</v>
      </c>
      <c r="I17" s="261">
        <f>SUM('13'!G39,'13'!G53)</f>
        <v>3369</v>
      </c>
      <c r="J17" s="261">
        <f>SUM('13'!G41,'13'!G42,'13'!G55,'13'!G56)</f>
        <v>6701.4799999999959</v>
      </c>
      <c r="K17" s="261">
        <f>SUM('13'!G43,'13'!G57)</f>
        <v>2647.33</v>
      </c>
      <c r="L17" s="1039">
        <f>'13'!G50</f>
        <v>1050</v>
      </c>
      <c r="M17" s="1039">
        <f>'13'!G36</f>
        <v>557</v>
      </c>
      <c r="N17" s="1039">
        <f>'13'!G72</f>
        <v>13</v>
      </c>
      <c r="O17" s="1039">
        <f>'13'!$G$73</f>
        <v>1</v>
      </c>
      <c r="P17" s="1039">
        <f>'13'!$G$74</f>
        <v>0</v>
      </c>
      <c r="Q17" s="1039">
        <f>'13'!$G$75</f>
        <v>129</v>
      </c>
      <c r="R17" s="1039">
        <f>'13'!$G$76</f>
        <v>55</v>
      </c>
      <c r="S17" s="1039">
        <f>'13'!$G$77</f>
        <v>56</v>
      </c>
      <c r="T17" s="1030">
        <f>'13'!$G$78</f>
        <v>30</v>
      </c>
      <c r="U17" s="1030">
        <f>'13'!$G$79</f>
        <v>136</v>
      </c>
      <c r="V17" s="1030">
        <f>'13'!$G$80</f>
        <v>380.52000000001863</v>
      </c>
      <c r="W17" s="1030">
        <f>'13'!$G$81</f>
        <v>124.80000000004657</v>
      </c>
      <c r="X17" s="1030">
        <f>'13'!$G$82</f>
        <v>11</v>
      </c>
      <c r="Y17" s="1030">
        <f>'13'!$G$58</f>
        <v>238</v>
      </c>
      <c r="Z17" s="1030">
        <f>'13'!$G$83</f>
        <v>236</v>
      </c>
      <c r="AA17" s="1030">
        <f>'13'!G86</f>
        <v>29.440000000002328</v>
      </c>
      <c r="AB17" s="1030">
        <f>'13'!G87</f>
        <v>11</v>
      </c>
      <c r="AC17" s="1030">
        <f>'13'!G88</f>
        <v>22.730000000010477</v>
      </c>
      <c r="AD17" s="1030">
        <f>'13'!G87+'13'!H90</f>
        <v>12.900000000000091</v>
      </c>
      <c r="AE17" s="1039">
        <f>'13'!$G$62</f>
        <v>0</v>
      </c>
      <c r="AF17" s="1039">
        <f>'13'!$G$63</f>
        <v>0</v>
      </c>
      <c r="AG17" s="1039">
        <f>'13'!$G$64</f>
        <v>352</v>
      </c>
      <c r="AH17" s="1039">
        <f>'13'!$G$65</f>
        <v>411</v>
      </c>
      <c r="AI17" s="1039">
        <f>'13'!$G$66</f>
        <v>376</v>
      </c>
      <c r="AJ17" s="1039">
        <f>'13'!$G$67</f>
        <v>429</v>
      </c>
      <c r="AK17" s="1039">
        <f>'13'!$G$68</f>
        <v>0</v>
      </c>
      <c r="AL17" s="1039">
        <f>'13'!$G$69</f>
        <v>217</v>
      </c>
      <c r="AM17" s="1039">
        <f>'13'!$G$84</f>
        <v>687</v>
      </c>
      <c r="AN17" s="1039">
        <f>'13'!$G$15</f>
        <v>700</v>
      </c>
      <c r="AO17" s="1077">
        <f>'13'!$G$124</f>
        <v>245</v>
      </c>
      <c r="AP17" s="1039">
        <f>'13'!$G$125</f>
        <v>0</v>
      </c>
      <c r="AQ17" s="1039">
        <f>'13'!$G$126</f>
        <v>60</v>
      </c>
      <c r="AR17" s="1039">
        <f>'13'!$G$127</f>
        <v>68</v>
      </c>
      <c r="AS17" s="1039">
        <f>'13'!$G$128</f>
        <v>2</v>
      </c>
      <c r="AT17" s="1039">
        <f t="shared" si="0"/>
        <v>325</v>
      </c>
      <c r="AU17" s="1039">
        <f>SUM('13'!G140:G141)</f>
        <v>9.2199999999997999</v>
      </c>
      <c r="AV17" s="1039">
        <f>'13'!$G$137</f>
        <v>8</v>
      </c>
      <c r="AW17" s="1039">
        <f>'13'!$G$138</f>
        <v>0</v>
      </c>
      <c r="AX17" s="1039">
        <f>'13'!$G$139</f>
        <v>0</v>
      </c>
      <c r="AY17" s="1036">
        <f t="shared" si="1"/>
        <v>8</v>
      </c>
      <c r="BA17" s="1044">
        <f t="shared" ref="BA17:BA34" si="3">AO17-AT17</f>
        <v>-80</v>
      </c>
    </row>
    <row r="18" spans="1:53">
      <c r="A18" s="1038">
        <v>44026</v>
      </c>
      <c r="B18" s="261">
        <f>'14'!G7</f>
        <v>21500</v>
      </c>
      <c r="C18" s="261">
        <f>'14'!G8</f>
        <v>21500</v>
      </c>
      <c r="D18" s="261">
        <f>'14'!G15</f>
        <v>700</v>
      </c>
      <c r="E18" s="261">
        <f>'14'!G20</f>
        <v>183</v>
      </c>
      <c r="F18" s="261">
        <f>SUM('14'!G35,'14'!G49)</f>
        <v>2581.8699999999953</v>
      </c>
      <c r="G18" s="261">
        <f>SUM('14'!G37,'14'!G51)</f>
        <v>1388</v>
      </c>
      <c r="H18" s="261">
        <f>SUM('14'!G38,'14'!G52)</f>
        <v>1470</v>
      </c>
      <c r="I18" s="261">
        <f>SUM('14'!G39,'14'!G53)</f>
        <v>3252</v>
      </c>
      <c r="J18" s="261">
        <f>SUM('14'!G41,'14'!G42,'14'!G55,'14'!G56)</f>
        <v>6350</v>
      </c>
      <c r="K18" s="261">
        <f>SUM('14'!G43,'14'!G57)</f>
        <v>2656</v>
      </c>
      <c r="L18" s="1039">
        <f>'14'!G50</f>
        <v>947</v>
      </c>
      <c r="M18" s="1039">
        <f>'14'!G36</f>
        <v>648</v>
      </c>
      <c r="N18" s="1039">
        <f>'14'!G72</f>
        <v>13</v>
      </c>
      <c r="O18" s="1039">
        <f>'14'!$G$73</f>
        <v>1</v>
      </c>
      <c r="P18" s="1039">
        <f>'14'!$G$74</f>
        <v>0</v>
      </c>
      <c r="Q18" s="1039">
        <f>'14'!$G$75</f>
        <v>129</v>
      </c>
      <c r="R18" s="1039">
        <f>'14'!$G$76</f>
        <v>61</v>
      </c>
      <c r="S18" s="1039">
        <f>'14'!$G$77</f>
        <v>50</v>
      </c>
      <c r="T18" s="1030">
        <f>'14'!$G$78</f>
        <v>46</v>
      </c>
      <c r="U18" s="1030">
        <f>'14'!$G$79</f>
        <v>152</v>
      </c>
      <c r="V18" s="1030">
        <f>'14'!$G$80</f>
        <v>354.47999999998137</v>
      </c>
      <c r="W18" s="1030">
        <f>'14'!$G$81</f>
        <v>154.19999999995343</v>
      </c>
      <c r="X18" s="1030">
        <f>'14'!$G$82</f>
        <v>22</v>
      </c>
      <c r="Y18" s="1030">
        <f>'14'!$G$58</f>
        <v>224</v>
      </c>
      <c r="Z18" s="1030">
        <f>'14'!$G$83</f>
        <v>262</v>
      </c>
      <c r="AA18" s="1030">
        <f>'14'!G86</f>
        <v>28.559999999997672</v>
      </c>
      <c r="AB18" s="1030">
        <f>'14'!G87</f>
        <v>28</v>
      </c>
      <c r="AC18" s="1030">
        <f>'14'!G88</f>
        <v>151.26999999998952</v>
      </c>
      <c r="AD18" s="1030">
        <f>'14'!G87+'14'!H90</f>
        <v>31.099999999999909</v>
      </c>
      <c r="AE18" s="1039">
        <f>'14'!$G$62</f>
        <v>0</v>
      </c>
      <c r="AF18" s="1039">
        <f>'14'!$G$63</f>
        <v>0</v>
      </c>
      <c r="AG18" s="1039">
        <f>'14'!$G$64</f>
        <v>380</v>
      </c>
      <c r="AH18" s="1039">
        <f>'14'!$G$65</f>
        <v>326</v>
      </c>
      <c r="AI18" s="1039">
        <f>'14'!$G$66</f>
        <v>309</v>
      </c>
      <c r="AJ18" s="1039">
        <f>'14'!$G$67</f>
        <v>449</v>
      </c>
      <c r="AK18" s="1039">
        <f>'14'!$G$68</f>
        <v>0</v>
      </c>
      <c r="AL18" s="1039">
        <f>'14'!$G$69</f>
        <v>209</v>
      </c>
      <c r="AM18" s="1039">
        <f>'14'!$G$84</f>
        <v>754</v>
      </c>
      <c r="AN18" s="1039">
        <f>'14'!$G$15</f>
        <v>700</v>
      </c>
      <c r="AO18" s="1039">
        <f>'14'!$G$124</f>
        <v>259</v>
      </c>
      <c r="AP18" s="1039">
        <f>'14'!$G$125</f>
        <v>0</v>
      </c>
      <c r="AQ18" s="1039">
        <f>'14'!$G$126</f>
        <v>72</v>
      </c>
      <c r="AR18" s="1039">
        <f>'14'!$G$127</f>
        <v>26</v>
      </c>
      <c r="AS18" s="1039">
        <f>'14'!$G$128</f>
        <v>1</v>
      </c>
      <c r="AT18" s="1039">
        <f t="shared" si="0"/>
        <v>342</v>
      </c>
      <c r="AU18" s="1039">
        <f>SUM('14'!G140:G141)</f>
        <v>9.7100000000000364</v>
      </c>
      <c r="AV18" s="1039">
        <f>'14'!$G$137</f>
        <v>8.9800000000032014</v>
      </c>
      <c r="AW18" s="1039">
        <f>'14'!$G$138</f>
        <v>0</v>
      </c>
      <c r="AX18" s="1039">
        <f>'14'!$G$139</f>
        <v>0</v>
      </c>
      <c r="AY18" s="1036">
        <f t="shared" si="1"/>
        <v>8.9800000000032014</v>
      </c>
      <c r="BA18" s="1044">
        <f>AO18-AT18</f>
        <v>-83</v>
      </c>
    </row>
    <row r="19" spans="1:53">
      <c r="A19" s="1038">
        <v>44027</v>
      </c>
      <c r="B19" s="261">
        <f>'15'!G7</f>
        <v>21500</v>
      </c>
      <c r="C19" s="261">
        <f>'15'!G8</f>
        <v>21500</v>
      </c>
      <c r="D19" s="1450">
        <f>'15'!G15</f>
        <v>700</v>
      </c>
      <c r="E19" s="261">
        <f>'15'!G20</f>
        <v>142</v>
      </c>
      <c r="F19" s="1450">
        <f>SUM('15'!G35,'15'!G49)</f>
        <v>2472</v>
      </c>
      <c r="G19" s="1450">
        <f>SUM('15'!G37,'15'!G51)</f>
        <v>1405</v>
      </c>
      <c r="H19" s="1450">
        <f>SUM('15'!G38,'15'!G52)</f>
        <v>1253.9300000000512</v>
      </c>
      <c r="I19" s="1450">
        <f>SUM('15'!G39,'15'!G53)</f>
        <v>2893</v>
      </c>
      <c r="J19" s="1450">
        <f>SUM('15'!G41,'15'!G42,'15'!G55,'15'!G56)</f>
        <v>5200</v>
      </c>
      <c r="K19" s="261">
        <f>SUM('15'!G43,'15'!G57)</f>
        <v>2467</v>
      </c>
      <c r="L19" s="1451">
        <f>'15'!G50</f>
        <v>1012</v>
      </c>
      <c r="M19" s="1039">
        <f>'15'!G36</f>
        <v>664</v>
      </c>
      <c r="N19" s="1039">
        <f>'15'!G72</f>
        <v>13</v>
      </c>
      <c r="O19" s="1039">
        <f>'15'!$G$73</f>
        <v>2</v>
      </c>
      <c r="P19" s="1039">
        <f>'15'!$G$74</f>
        <v>1</v>
      </c>
      <c r="Q19" s="1039">
        <f>'15'!$G$75</f>
        <v>127</v>
      </c>
      <c r="R19" s="1039">
        <f>'15'!$G$76</f>
        <v>58</v>
      </c>
      <c r="S19" s="1039">
        <f>'15'!$G$77</f>
        <v>46</v>
      </c>
      <c r="T19" s="1030">
        <f>'15'!$G$78</f>
        <v>49</v>
      </c>
      <c r="U19" s="1030">
        <f>'15'!$G$79</f>
        <v>139</v>
      </c>
      <c r="V19" s="1030">
        <f>'15'!$G$80</f>
        <v>335</v>
      </c>
      <c r="W19" s="1030">
        <f>'15'!$G$81</f>
        <v>138</v>
      </c>
      <c r="X19" s="1030">
        <f>'15'!$G$82</f>
        <v>27</v>
      </c>
      <c r="Y19" s="1030">
        <f>'15'!$G$58</f>
        <v>104</v>
      </c>
      <c r="Z19" s="1030">
        <f>'15'!$G$83</f>
        <v>143</v>
      </c>
      <c r="AA19" s="1030">
        <f>'15'!G86</f>
        <v>30</v>
      </c>
      <c r="AB19" s="1030">
        <f>'15'!G87</f>
        <v>25</v>
      </c>
      <c r="AC19" s="1030">
        <f>'15'!G88</f>
        <v>237</v>
      </c>
      <c r="AD19" s="1030">
        <f>'15'!G87+'15'!H90</f>
        <v>28</v>
      </c>
      <c r="AE19" s="1039">
        <f>'15'!$G$62</f>
        <v>0.18000000000029104</v>
      </c>
      <c r="AF19" s="1039">
        <f>'15'!$G$63</f>
        <v>0</v>
      </c>
      <c r="AG19" s="1039">
        <f>'15'!$G$64</f>
        <v>376</v>
      </c>
      <c r="AH19" s="1039">
        <f>'15'!$G$65</f>
        <v>150</v>
      </c>
      <c r="AI19" s="1039">
        <f>'15'!$G$66</f>
        <v>268</v>
      </c>
      <c r="AJ19" s="1039">
        <f>'15'!$G$67</f>
        <v>406</v>
      </c>
      <c r="AK19" s="1039">
        <f>'15'!$G$68</f>
        <v>0</v>
      </c>
      <c r="AL19" s="1039">
        <f>'15'!$G$69</f>
        <v>202</v>
      </c>
      <c r="AM19" s="1039">
        <f>'15'!$G$84</f>
        <v>683</v>
      </c>
      <c r="AN19" s="1039">
        <f>'15'!$G$15</f>
        <v>700</v>
      </c>
      <c r="AO19" s="1039">
        <f>'15'!$G$124</f>
        <v>259</v>
      </c>
      <c r="AP19" s="1039">
        <f>'15'!$G$125</f>
        <v>0.39999999999417923</v>
      </c>
      <c r="AQ19" s="1039">
        <f>'15'!$G$126</f>
        <v>64</v>
      </c>
      <c r="AR19" s="1039">
        <f>'15'!$G$127</f>
        <v>23</v>
      </c>
      <c r="AS19" s="1039">
        <f>'15'!$G$128</f>
        <v>1</v>
      </c>
      <c r="AT19" s="1039">
        <f t="shared" si="0"/>
        <v>352.60000000000582</v>
      </c>
      <c r="AU19" s="1039">
        <f>SUM('15'!G140:G141)</f>
        <v>10.410000000000082</v>
      </c>
      <c r="AV19" s="1039">
        <f>'15'!$G$137</f>
        <v>-0.49000000000160071</v>
      </c>
      <c r="AW19" s="1039">
        <f>'15'!$G$138</f>
        <v>0</v>
      </c>
      <c r="AX19" s="1039">
        <f>'15'!$G$139</f>
        <v>9.9800000000104774</v>
      </c>
      <c r="AY19" s="1036">
        <f t="shared" si="1"/>
        <v>9.4900000000088767</v>
      </c>
      <c r="BA19" s="1044">
        <f t="shared" si="3"/>
        <v>-93.600000000005821</v>
      </c>
    </row>
    <row r="20" spans="1:53">
      <c r="A20" s="1038">
        <v>44028</v>
      </c>
      <c r="B20" s="261">
        <f>'16'!G7</f>
        <v>21500</v>
      </c>
      <c r="C20" s="261">
        <f>'16'!G8</f>
        <v>21500</v>
      </c>
      <c r="D20" s="261">
        <f>'16'!G15</f>
        <v>700</v>
      </c>
      <c r="E20" s="261">
        <f>'16'!G20</f>
        <v>92</v>
      </c>
      <c r="F20" s="261">
        <f>SUM('16'!G35,'16'!G49)</f>
        <v>2502.9200000000419</v>
      </c>
      <c r="G20" s="261">
        <f>SUM('16'!G37,'16'!G51)</f>
        <v>1424.929999999993</v>
      </c>
      <c r="H20" s="261">
        <f>SUM('16'!G38,'16'!G52)</f>
        <v>1231.3799999999464</v>
      </c>
      <c r="I20" s="261">
        <f>SUM('16'!G39,'16'!G53)</f>
        <v>3172.4900000000489</v>
      </c>
      <c r="J20" s="261">
        <f>SUM('16'!G41,'16'!G42,'16'!G55,'16'!G56)</f>
        <v>5374.2500000000291</v>
      </c>
      <c r="K20" s="261">
        <f>SUM('16'!G43,'16'!G57)</f>
        <v>2435</v>
      </c>
      <c r="L20" s="1039">
        <f>'16'!G50</f>
        <v>1103.8699999999953</v>
      </c>
      <c r="M20" s="1039">
        <f>'16'!G36</f>
        <v>813.1200000000008</v>
      </c>
      <c r="N20" s="1039">
        <f>'16'!G72</f>
        <v>13</v>
      </c>
      <c r="O20" s="1039">
        <f>'16'!$G$73</f>
        <v>1</v>
      </c>
      <c r="P20" s="1039">
        <f>'16'!$G$74</f>
        <v>1.8000000000029104</v>
      </c>
      <c r="Q20" s="1039">
        <f>'16'!$G$75</f>
        <v>133.48999999999978</v>
      </c>
      <c r="R20" s="1039">
        <f>'16'!$G$76</f>
        <v>56.719999999999345</v>
      </c>
      <c r="S20" s="1039">
        <f>'16'!$G$77</f>
        <v>58</v>
      </c>
      <c r="T20" s="1030">
        <f>'16'!$G$78</f>
        <v>68</v>
      </c>
      <c r="U20" s="1030">
        <f>'16'!$G$79</f>
        <v>154</v>
      </c>
      <c r="V20" s="1030">
        <f>'16'!$G$80</f>
        <v>396</v>
      </c>
      <c r="W20" s="1030">
        <f>'16'!$G$81</f>
        <v>114.28000000002794</v>
      </c>
      <c r="X20" s="1030">
        <f>'16'!$G$82</f>
        <v>13.660000000003492</v>
      </c>
      <c r="Y20" s="1030">
        <f>'16'!$G$58</f>
        <v>17.110000000000582</v>
      </c>
      <c r="Z20" s="1030">
        <f>'16'!$G$83</f>
        <v>217</v>
      </c>
      <c r="AA20" s="1030">
        <f>'16'!G86</f>
        <v>36.440000000002328</v>
      </c>
      <c r="AB20" s="1030">
        <f>'16'!G87</f>
        <v>31.19999999999709</v>
      </c>
      <c r="AC20" s="1030">
        <f>'16'!G88</f>
        <v>78.910000000003492</v>
      </c>
      <c r="AD20" s="1030">
        <f>'16'!G87+'16'!H90</f>
        <v>35.499999999997272</v>
      </c>
      <c r="AE20" s="1039">
        <f>'16'!$G$62</f>
        <v>0</v>
      </c>
      <c r="AF20" s="1039">
        <f>'16'!$G$63</f>
        <v>0</v>
      </c>
      <c r="AG20" s="1039">
        <f>'16'!$G$64</f>
        <v>415.35000000000582</v>
      </c>
      <c r="AH20" s="1039">
        <f>'16'!$G$65</f>
        <v>265.25</v>
      </c>
      <c r="AI20" s="1039">
        <f>'16'!$G$66</f>
        <v>300.2300000000032</v>
      </c>
      <c r="AJ20" s="1039">
        <f>'16'!$G$67</f>
        <v>392.39000000001397</v>
      </c>
      <c r="AK20" s="1039">
        <f>'16'!$G$68</f>
        <v>0</v>
      </c>
      <c r="AL20" s="1039">
        <f>'16'!$G$69</f>
        <v>228.27000000000407</v>
      </c>
      <c r="AM20" s="1039">
        <f>'16'!$G$84</f>
        <v>735</v>
      </c>
      <c r="AN20" s="1039">
        <f>'16'!$G$15</f>
        <v>700</v>
      </c>
      <c r="AO20" s="1077">
        <f>'16'!$G$124</f>
        <v>262.6600000000326</v>
      </c>
      <c r="AP20" s="1039">
        <f>'16'!$G$125</f>
        <v>0</v>
      </c>
      <c r="AQ20" s="1039">
        <f>'16'!$G$126</f>
        <v>63.380000000004657</v>
      </c>
      <c r="AR20" s="1039">
        <f>'16'!$G$127</f>
        <v>35.200000000000728</v>
      </c>
      <c r="AS20" s="1039">
        <f>'16'!$G$128</f>
        <v>0.2999999999992724</v>
      </c>
      <c r="AT20" s="1039">
        <f t="shared" si="0"/>
        <v>338.45999999996275</v>
      </c>
      <c r="AU20" s="1039">
        <f>SUM('16'!G140:G141)</f>
        <v>9.3999999999998636</v>
      </c>
      <c r="AV20" s="1039">
        <f>'16'!$G$137</f>
        <v>0.49000000000160071</v>
      </c>
      <c r="AW20" s="1039">
        <f>'16'!$G$138</f>
        <v>0</v>
      </c>
      <c r="AX20" s="1039">
        <f>'16'!$G$139</f>
        <v>0</v>
      </c>
      <c r="AY20" s="1036">
        <f t="shared" si="1"/>
        <v>0.49000000000160071</v>
      </c>
      <c r="BA20" s="1044">
        <f t="shared" si="3"/>
        <v>-75.799999999930151</v>
      </c>
    </row>
    <row r="21" spans="1:53">
      <c r="A21" s="1038">
        <v>44029</v>
      </c>
      <c r="B21" s="261">
        <f>'17'!G7</f>
        <v>21500</v>
      </c>
      <c r="C21" s="261">
        <f>'17'!G8</f>
        <v>21500</v>
      </c>
      <c r="D21" s="261">
        <f>'17'!G15</f>
        <v>700</v>
      </c>
      <c r="E21" s="261">
        <f>'17'!G20</f>
        <v>122</v>
      </c>
      <c r="F21" s="261">
        <f>SUM('17'!G35,'17'!G49)</f>
        <v>2468.5599999999395</v>
      </c>
      <c r="G21" s="261">
        <f>SUM('17'!G37,'17'!G51)</f>
        <v>1431.4800000000105</v>
      </c>
      <c r="H21" s="261">
        <f>SUM('17'!G38,'17'!G52)</f>
        <v>1378.820000000007</v>
      </c>
      <c r="I21" s="261">
        <f>SUM('17'!G39,'17'!G53)</f>
        <v>3280.1699999999255</v>
      </c>
      <c r="J21" s="261">
        <f>SUM('17'!G41,'17'!G42,'17'!G55,'17'!G56)</f>
        <v>5676.4399999999587</v>
      </c>
      <c r="K21" s="261">
        <f>SUM('17'!G43,'17'!G57)</f>
        <v>2523.5</v>
      </c>
      <c r="L21" s="1039">
        <f>'17'!G50</f>
        <v>940.28000000002794</v>
      </c>
      <c r="M21" s="1039">
        <f>'17'!G36</f>
        <v>775.75</v>
      </c>
      <c r="N21" s="1039">
        <f>'18'!G72</f>
        <v>12</v>
      </c>
      <c r="O21" s="1039">
        <f>'17'!$G$73</f>
        <v>2</v>
      </c>
      <c r="P21" s="1039">
        <f>'17'!$G$74</f>
        <v>0.89999999999417923</v>
      </c>
      <c r="Q21" s="1039">
        <f>'17'!$G$75</f>
        <v>130.07999999999993</v>
      </c>
      <c r="R21" s="1039">
        <f>'17'!$G$76</f>
        <v>58.079999999999927</v>
      </c>
      <c r="S21" s="1039">
        <f>'17'!$G$77</f>
        <v>48</v>
      </c>
      <c r="T21" s="1030">
        <f>'17'!$G$78</f>
        <v>103</v>
      </c>
      <c r="U21" s="1030">
        <f>'17'!$G$79</f>
        <v>133</v>
      </c>
      <c r="V21" s="1030">
        <f>'17'!$G$80</f>
        <v>334.52000000001863</v>
      </c>
      <c r="W21" s="1030">
        <f>'17'!$G$81</f>
        <v>143.28000000002794</v>
      </c>
      <c r="X21" s="1030">
        <f>'17'!$G$82</f>
        <v>13.679999999993015</v>
      </c>
      <c r="Y21" s="1030">
        <f>'17'!$G$58</f>
        <v>246.62999999999738</v>
      </c>
      <c r="Z21" s="1030">
        <f>'17'!$G$83</f>
        <v>164</v>
      </c>
      <c r="AA21" s="1030">
        <f>'17'!G86</f>
        <v>26.840000000025611</v>
      </c>
      <c r="AB21" s="1030">
        <f>'17'!G87</f>
        <v>18.600000000005821</v>
      </c>
      <c r="AC21" s="1030">
        <f>'17'!G88</f>
        <v>71.75</v>
      </c>
      <c r="AD21" s="1030">
        <f>'17'!G87+'17'!H90</f>
        <v>20.20000000000573</v>
      </c>
      <c r="AE21" s="1039">
        <f>'17'!$G$62</f>
        <v>-0.18000000000029104</v>
      </c>
      <c r="AF21" s="1039">
        <f>'17'!$G$63</f>
        <v>0</v>
      </c>
      <c r="AG21" s="1039">
        <f>'17'!$G$64</f>
        <v>344.57999999998719</v>
      </c>
      <c r="AH21" s="1039">
        <f>'17'!$G$65</f>
        <v>342.29999999998836</v>
      </c>
      <c r="AI21" s="1039">
        <f>'17'!$G$66</f>
        <v>331.43999999999505</v>
      </c>
      <c r="AJ21" s="1039">
        <f>'17'!$G$67</f>
        <v>426.03999999997905</v>
      </c>
      <c r="AK21" s="1039">
        <f>'17'!$G$68</f>
        <v>0</v>
      </c>
      <c r="AL21" s="1039">
        <f>'17'!$G$69</f>
        <v>174.15999999998894</v>
      </c>
      <c r="AM21" s="1039">
        <f>'17'!$G$84</f>
        <v>706</v>
      </c>
      <c r="AN21" s="1039">
        <f>'17'!$G$15</f>
        <v>700</v>
      </c>
      <c r="AO21" s="1039">
        <f>'17'!$G$124</f>
        <v>303.17999999993481</v>
      </c>
      <c r="AP21" s="1039">
        <f>'17'!$G$125</f>
        <v>0</v>
      </c>
      <c r="AQ21" s="1039">
        <f>'17'!$G$126</f>
        <v>69.5</v>
      </c>
      <c r="AR21" s="1039">
        <f>'17'!$G$127</f>
        <v>30</v>
      </c>
      <c r="AS21" s="1039">
        <f>'17'!$G$128</f>
        <v>0.1000000000003638</v>
      </c>
      <c r="AT21" s="1039">
        <f t="shared" si="0"/>
        <v>297.22000000006483</v>
      </c>
      <c r="AU21" s="1039">
        <f>SUM('17'!G140:G141)</f>
        <v>11.300000000000182</v>
      </c>
      <c r="AV21" s="1039">
        <f>'17'!$G$137</f>
        <v>8.6099999999969441</v>
      </c>
      <c r="AW21" s="1039">
        <f>'17'!$G$138</f>
        <v>0</v>
      </c>
      <c r="AX21" s="1039">
        <f>'17'!$G$139</f>
        <v>0</v>
      </c>
      <c r="AY21" s="1036">
        <f t="shared" si="1"/>
        <v>8.6099999999969441</v>
      </c>
      <c r="BA21" s="1044">
        <f t="shared" si="3"/>
        <v>5.9599999998699786</v>
      </c>
    </row>
    <row r="22" spans="1:53">
      <c r="A22" s="1038">
        <v>44030</v>
      </c>
      <c r="B22" s="261">
        <f>'18'!G7</f>
        <v>21500</v>
      </c>
      <c r="C22" s="261">
        <f>'18'!G8</f>
        <v>21500</v>
      </c>
      <c r="D22" s="261">
        <f>'18'!G15</f>
        <v>700</v>
      </c>
      <c r="E22" s="261">
        <f>'18'!G20</f>
        <v>145</v>
      </c>
      <c r="F22" s="261">
        <f>SUM('18'!G35,'18'!G49)</f>
        <v>2647.5200000000186</v>
      </c>
      <c r="G22" s="261">
        <f>SUM('18'!G37,'18'!G51)</f>
        <v>1451.5899999999965</v>
      </c>
      <c r="H22" s="261">
        <f>SUM('18'!G38,'18'!G52)</f>
        <v>1375.1300000000338</v>
      </c>
      <c r="I22" s="261">
        <f>SUM('18'!G39,'18'!G53)</f>
        <v>3490.4000000000233</v>
      </c>
      <c r="J22" s="261">
        <f>SUM('18'!G41,'18'!G42,'18'!G55,'18'!G56)</f>
        <v>6328.7099999999336</v>
      </c>
      <c r="K22" s="261">
        <f>SUM('18'!G43,'18'!G57)</f>
        <v>2756.8999999999069</v>
      </c>
      <c r="L22" s="1039">
        <f>'18'!G50</f>
        <v>968.8399999999674</v>
      </c>
      <c r="M22" s="1039">
        <f>'18'!G36</f>
        <v>615.31999999999971</v>
      </c>
      <c r="N22" s="1039">
        <f>'18'!G72</f>
        <v>12</v>
      </c>
      <c r="O22" s="1039">
        <f>'18'!$G$73</f>
        <v>0</v>
      </c>
      <c r="P22" s="1039">
        <f>'18'!$G$74</f>
        <v>0.60000000000582077</v>
      </c>
      <c r="Q22" s="1039">
        <f>'18'!$G$75</f>
        <v>142.85000000000036</v>
      </c>
      <c r="R22" s="1039">
        <f>'18'!$G$76</f>
        <v>58.680000000000291</v>
      </c>
      <c r="S22" s="1039">
        <f>'18'!$G$77</f>
        <v>54</v>
      </c>
      <c r="T22" s="1030">
        <f>'18'!$G$78</f>
        <v>120</v>
      </c>
      <c r="U22" s="1030">
        <f>'18'!$G$79</f>
        <v>143</v>
      </c>
      <c r="V22" s="1042">
        <f>'18'!$G$80</f>
        <v>390.31999999994878</v>
      </c>
      <c r="W22" s="1042">
        <f>'18'!$G$81</f>
        <v>141.7599999998929</v>
      </c>
      <c r="X22" s="1042">
        <f>'18'!$G$82</f>
        <v>25.270000000004075</v>
      </c>
      <c r="Y22" s="1042">
        <f>'18'!$G$58</f>
        <v>154.40000000000146</v>
      </c>
      <c r="Z22" s="1042">
        <f>'18'!$G$83</f>
        <v>200</v>
      </c>
      <c r="AA22" s="1042">
        <f>'18'!G86</f>
        <v>21.919999999983702</v>
      </c>
      <c r="AB22" s="1030">
        <f>'18'!G87</f>
        <v>28.899999999994179</v>
      </c>
      <c r="AC22" s="1030">
        <f>'18'!G88</f>
        <v>94.850000000005821</v>
      </c>
      <c r="AD22" s="1030">
        <f>'18'!G87+'18'!H90</f>
        <v>32.399999999994179</v>
      </c>
      <c r="AE22" s="1039">
        <f>'18'!$G$62</f>
        <v>0.18000000000029104</v>
      </c>
      <c r="AF22" s="1039">
        <f>'18'!$G$63</f>
        <v>0</v>
      </c>
      <c r="AG22" s="1039">
        <f>'18'!$G$64</f>
        <v>345.02000000001863</v>
      </c>
      <c r="AH22" s="1039">
        <f>'18'!$G$65</f>
        <v>371.55999999999767</v>
      </c>
      <c r="AI22" s="1039">
        <f>'18'!$G$66</f>
        <v>352.84000000000378</v>
      </c>
      <c r="AJ22" s="1039">
        <f>'18'!$G$67</f>
        <v>476.02000000001863</v>
      </c>
      <c r="AK22" s="1039">
        <f>'18'!$G$68</f>
        <v>0</v>
      </c>
      <c r="AL22" s="1039">
        <f>'18'!$G$69</f>
        <v>244.95000000001164</v>
      </c>
      <c r="AM22" s="1039">
        <f>'18'!$G$84</f>
        <v>747</v>
      </c>
      <c r="AN22" s="1039">
        <f>'18'!$G$15</f>
        <v>700</v>
      </c>
      <c r="AO22" s="1039">
        <f>'18'!$G$124</f>
        <v>272.86999999999534</v>
      </c>
      <c r="AP22" s="1039">
        <f>'18'!$G$125</f>
        <v>0</v>
      </c>
      <c r="AQ22" s="1039">
        <f>'18'!$G$126</f>
        <v>67.799999999988358</v>
      </c>
      <c r="AR22" s="1039">
        <f>'18'!$G$127</f>
        <v>33.899999999997817</v>
      </c>
      <c r="AS22" s="1039">
        <f>'18'!$G$128</f>
        <v>2.3000000000010914</v>
      </c>
      <c r="AT22" s="1039">
        <f t="shared" si="0"/>
        <v>323.13000000001739</v>
      </c>
      <c r="AU22" s="1039">
        <f>SUM('18'!G140:G141)</f>
        <v>10.289999999999964</v>
      </c>
      <c r="AV22" s="1039">
        <f>'18'!$G$137</f>
        <v>0</v>
      </c>
      <c r="AW22" s="1039">
        <f>'18'!$G$138</f>
        <v>4.9999999999272404E-2</v>
      </c>
      <c r="AX22" s="1039">
        <f>'18'!$G$139</f>
        <v>12.779999999998836</v>
      </c>
      <c r="AY22" s="1036">
        <f t="shared" si="1"/>
        <v>12.829999999998108</v>
      </c>
      <c r="BA22" s="1044">
        <f t="shared" si="3"/>
        <v>-50.260000000022046</v>
      </c>
    </row>
    <row r="23" spans="1:53" s="1041" customFormat="1">
      <c r="A23" s="1038">
        <v>44031</v>
      </c>
      <c r="B23" s="261">
        <f>'19'!G7</f>
        <v>21500</v>
      </c>
      <c r="C23" s="261">
        <f>'19'!G8</f>
        <v>21500</v>
      </c>
      <c r="D23" s="261">
        <f>'19'!G15</f>
        <v>700</v>
      </c>
      <c r="E23" s="261">
        <f>'19'!G20</f>
        <v>193</v>
      </c>
      <c r="F23" s="261">
        <f>SUM('19'!G35,'19'!G49)</f>
        <v>2958.1600000000326</v>
      </c>
      <c r="G23" s="261">
        <f>SUM('19'!G37,'19'!G51)</f>
        <v>1546.2600000000093</v>
      </c>
      <c r="H23" s="261">
        <f>SUM('19'!G38,'19'!G52)</f>
        <v>1613.0699999999488</v>
      </c>
      <c r="I23" s="261">
        <f>SUM('19'!G39,'19'!G53)</f>
        <v>3744.2800000000279</v>
      </c>
      <c r="J23" s="261">
        <f>SUM('19'!G41,'19'!G42,'19'!G55,'19'!G56)</f>
        <v>7021.7100000000355</v>
      </c>
      <c r="K23" s="261">
        <f>SUM('19'!G43,'19'!G57)</f>
        <v>2927.67</v>
      </c>
      <c r="L23" s="1030">
        <f>'19'!G50</f>
        <v>1573.2399999999907</v>
      </c>
      <c r="M23" s="1030">
        <f>'19'!G36</f>
        <v>1030.2799999999988</v>
      </c>
      <c r="N23" s="1030">
        <f>'19'!G72</f>
        <v>13</v>
      </c>
      <c r="O23" s="1030">
        <f>'19'!$G$73</f>
        <v>1</v>
      </c>
      <c r="P23" s="1030">
        <f>'19'!$G$74</f>
        <v>1.0999999999912689</v>
      </c>
      <c r="Q23" s="1030">
        <f>'19'!$G$75</f>
        <v>174.47999999999956</v>
      </c>
      <c r="R23" s="1039">
        <f>'19'!G76</f>
        <v>66.550000000001091</v>
      </c>
      <c r="S23" s="1030">
        <f>'19'!$G$77</f>
        <v>43</v>
      </c>
      <c r="T23" s="1030">
        <f>'19'!$G$78</f>
        <v>121</v>
      </c>
      <c r="U23" s="1030">
        <f>'19'!$G$79</f>
        <v>147</v>
      </c>
      <c r="V23" s="1030">
        <f>'19'!$G$80</f>
        <v>404.32000000006519</v>
      </c>
      <c r="W23" s="1030">
        <f>'19'!$G$81</f>
        <v>184.64000000001397</v>
      </c>
      <c r="X23" s="1030">
        <f>'19'!$G$82</f>
        <v>18.910000000003492</v>
      </c>
      <c r="Y23" s="1030">
        <f>'19'!$G$58</f>
        <v>314.12999999999738</v>
      </c>
      <c r="Z23" s="1030">
        <f>'19'!$G$83</f>
        <v>307</v>
      </c>
      <c r="AA23" s="1030">
        <f>'19'!G86</f>
        <v>16.039999999979045</v>
      </c>
      <c r="AB23" s="1030">
        <f>'19'!G87</f>
        <v>19.100000000005821</v>
      </c>
      <c r="AC23" s="1030">
        <f>'19'!G88</f>
        <v>55.319999999977881</v>
      </c>
      <c r="AD23" s="1030">
        <f>'19'!G87+'19'!H90</f>
        <v>20.400000000005548</v>
      </c>
      <c r="AE23" s="1030">
        <f>'19'!$G$62</f>
        <v>2.0000000000436557E-2</v>
      </c>
      <c r="AF23" s="1030">
        <f>'19'!$G$63</f>
        <v>0</v>
      </c>
      <c r="AG23" s="1030">
        <f>'19'!$G$64</f>
        <v>343.6699999999837</v>
      </c>
      <c r="AH23" s="1030">
        <f>'19'!$G$65</f>
        <v>422.76000000000931</v>
      </c>
      <c r="AI23" s="1030">
        <f>'19'!$G$66</f>
        <v>421.45999999999913</v>
      </c>
      <c r="AJ23" s="1030">
        <f>'19'!$G$67</f>
        <v>490.75999999998021</v>
      </c>
      <c r="AK23" s="1030">
        <f>'19'!$G$68</f>
        <v>0</v>
      </c>
      <c r="AL23" s="1030">
        <f>'19'!$G$69</f>
        <v>279.52999999999884</v>
      </c>
      <c r="AM23" s="1030">
        <f>'19'!$G$84</f>
        <v>791</v>
      </c>
      <c r="AN23" s="1030">
        <f>'19'!$G$15</f>
        <v>700</v>
      </c>
      <c r="AO23" s="1030">
        <f>'19'!$G$124</f>
        <v>287.67000000004191</v>
      </c>
      <c r="AP23" s="1030">
        <f>'19'!$G$125</f>
        <v>0</v>
      </c>
      <c r="AQ23" s="1030">
        <f>'19'!$G$126</f>
        <v>91.779999999998836</v>
      </c>
      <c r="AR23" s="1030">
        <f>'19'!$G$127</f>
        <v>40.600000000002183</v>
      </c>
      <c r="AS23" s="1030">
        <f>'19'!$G$128</f>
        <v>2.1999999999989086</v>
      </c>
      <c r="AT23" s="1030">
        <f t="shared" si="0"/>
        <v>277.74999999995816</v>
      </c>
      <c r="AU23" s="1030">
        <f>SUM('19'!G140:G141)</f>
        <v>10.629999999999882</v>
      </c>
      <c r="AV23" s="1030">
        <f>'19'!$G$137</f>
        <v>0</v>
      </c>
      <c r="AW23" s="1030">
        <f>'19'!$G$138</f>
        <v>12</v>
      </c>
      <c r="AX23" s="1030">
        <f>'19'!$G$139</f>
        <v>0</v>
      </c>
      <c r="AY23" s="1040">
        <f t="shared" si="1"/>
        <v>12</v>
      </c>
      <c r="BA23" s="1045">
        <f t="shared" si="3"/>
        <v>9.9200000000837463</v>
      </c>
    </row>
    <row r="24" spans="1:53">
      <c r="A24" s="1038">
        <v>44032</v>
      </c>
      <c r="B24" s="261">
        <f>'20'!G7</f>
        <v>21500</v>
      </c>
      <c r="C24" s="261">
        <f>'20'!G8</f>
        <v>21500</v>
      </c>
      <c r="D24" s="261">
        <f>'20'!G15</f>
        <v>700</v>
      </c>
      <c r="E24" s="261">
        <f>'20'!G20</f>
        <v>261</v>
      </c>
      <c r="F24" s="261">
        <f>SUM('20'!G35,'20'!G49)</f>
        <v>2905.5699999999488</v>
      </c>
      <c r="G24" s="261">
        <f>SUM('20'!G37,'20'!G51)</f>
        <v>1538.789999999979</v>
      </c>
      <c r="H24" s="261">
        <f>SUM('20'!G38,'20'!G52)</f>
        <v>1728.1000000000058</v>
      </c>
      <c r="I24" s="261">
        <f>SUM('20'!G39,'20'!G53)</f>
        <v>3610.7199999999721</v>
      </c>
      <c r="J24" s="261">
        <f>SUM('20'!G41,'20'!G42,'20'!G55,'20'!G56)</f>
        <v>7097.9600000000355</v>
      </c>
      <c r="K24" s="261">
        <f>SUM('20'!G43,'20'!G57)</f>
        <v>2928.3000000000466</v>
      </c>
      <c r="L24" s="1039">
        <f>'20'!G50</f>
        <v>1836.4000000000233</v>
      </c>
      <c r="M24" s="1039">
        <f>'20'!G36</f>
        <v>1025.4000000000015</v>
      </c>
      <c r="N24" s="1039">
        <f>'20'!G72</f>
        <v>13</v>
      </c>
      <c r="O24" s="1039">
        <f>'20'!$G$73</f>
        <v>1</v>
      </c>
      <c r="P24" s="1039">
        <f>'20'!$G$74</f>
        <v>1.6000000000058208</v>
      </c>
      <c r="Q24" s="1039">
        <f>'20'!$G$75</f>
        <v>144.35000000000036</v>
      </c>
      <c r="R24" s="1039">
        <f>'20'!$G$76</f>
        <v>63.799999999999272</v>
      </c>
      <c r="S24" s="1039">
        <f>'20'!$G$77</f>
        <v>53</v>
      </c>
      <c r="T24" s="1030">
        <f>'20'!$G$78</f>
        <v>120</v>
      </c>
      <c r="U24" s="1030">
        <f>'20'!$G$79</f>
        <v>149</v>
      </c>
      <c r="V24" s="1030">
        <f>'20'!$G$80</f>
        <v>441.8399999999674</v>
      </c>
      <c r="W24" s="1030">
        <f>'20'!$G$81</f>
        <v>202.04000000003725</v>
      </c>
      <c r="X24" s="1030">
        <f>'20'!$G$82</f>
        <v>24.830000000001746</v>
      </c>
      <c r="Y24" s="1030">
        <f>'20'!$G$58</f>
        <v>194.25</v>
      </c>
      <c r="Z24" s="1030">
        <f>'20'!$G$83</f>
        <v>259</v>
      </c>
      <c r="AA24" s="1030">
        <f>'20'!G86</f>
        <v>15.760000000009313</v>
      </c>
      <c r="AB24" s="1030">
        <f>'20'!G87</f>
        <v>10.899999999994179</v>
      </c>
      <c r="AC24" s="1030">
        <f>'20'!G88</f>
        <v>32.170000000012806</v>
      </c>
      <c r="AD24" s="1030">
        <f>'20'!G87+'20'!H90</f>
        <v>13.29999999999427</v>
      </c>
      <c r="AE24" s="1039">
        <f>'20'!$G$62</f>
        <v>0</v>
      </c>
      <c r="AF24" s="1039">
        <f>'20'!$G$63</f>
        <v>0</v>
      </c>
      <c r="AG24" s="1039">
        <f>'20'!$G$64</f>
        <v>346.64999999999418</v>
      </c>
      <c r="AH24" s="1039">
        <f>'20'!$G$65</f>
        <v>377.97000000000116</v>
      </c>
      <c r="AI24" s="1039">
        <f>'20'!$G$66</f>
        <v>394.52999999999884</v>
      </c>
      <c r="AJ24" s="1039">
        <f>'20'!$G$67</f>
        <v>459.70000000001164</v>
      </c>
      <c r="AK24" s="1039">
        <f>'20'!$G$68</f>
        <v>0</v>
      </c>
      <c r="AL24" s="1039">
        <f>'20'!$G$69</f>
        <v>257.59999999999127</v>
      </c>
      <c r="AM24" s="1039">
        <f>'20'!$G$84</f>
        <v>866</v>
      </c>
      <c r="AN24" s="1039">
        <f>'20'!$G$15</f>
        <v>700</v>
      </c>
      <c r="AO24" s="1039">
        <f>'20'!$G$124</f>
        <v>312.82999999995809</v>
      </c>
      <c r="AP24" s="1039">
        <f>'20'!$G$125</f>
        <v>0</v>
      </c>
      <c r="AQ24" s="1039">
        <f>'20'!$G$126</f>
        <v>80.39000000001397</v>
      </c>
      <c r="AR24" s="1039">
        <f>'20'!$G$127</f>
        <v>52.700000000000728</v>
      </c>
      <c r="AS24" s="1039">
        <f>'20'!$G$128</f>
        <v>1.6000000000003638</v>
      </c>
      <c r="AT24" s="1039">
        <f t="shared" si="0"/>
        <v>252.48000000002685</v>
      </c>
      <c r="AU24" s="1039">
        <f>SUM('20'!G140:G141)</f>
        <v>11.680000000000064</v>
      </c>
      <c r="AV24" s="1039">
        <f>'20'!$G$137</f>
        <v>0</v>
      </c>
      <c r="AW24" s="1039">
        <f>'20'!$G$138</f>
        <v>7.2800000000024738</v>
      </c>
      <c r="AX24" s="1039">
        <f>'20'!$G$139</f>
        <v>3.6699999999982538</v>
      </c>
      <c r="AY24" s="1036">
        <f t="shared" si="1"/>
        <v>10.950000000000728</v>
      </c>
      <c r="BA24" s="1044">
        <f t="shared" si="3"/>
        <v>60.349999999931242</v>
      </c>
    </row>
    <row r="25" spans="1:53">
      <c r="A25" s="1038">
        <v>44033</v>
      </c>
      <c r="B25" s="261">
        <f>'21'!G7</f>
        <v>21500</v>
      </c>
      <c r="C25" s="261">
        <f>'21'!G8</f>
        <v>21500</v>
      </c>
      <c r="D25" s="261">
        <f>'21'!G15</f>
        <v>700</v>
      </c>
      <c r="E25" s="261">
        <f>'21'!G20</f>
        <v>201</v>
      </c>
      <c r="F25" s="261">
        <f>SUM('21'!G35,'21'!G49)</f>
        <v>2750.5</v>
      </c>
      <c r="G25" s="261">
        <f>SUM('21'!G37,'21'!G51)</f>
        <v>1488.1700000000128</v>
      </c>
      <c r="H25" s="261">
        <f>SUM('21'!G38,'21'!G52)</f>
        <v>1628.320000000007</v>
      </c>
      <c r="I25" s="261">
        <f>SUM('21'!G39,'21'!G53)</f>
        <v>3562.5200000000186</v>
      </c>
      <c r="J25" s="261">
        <f>SUM('21'!G41,'21'!G42,'21'!G55,'21'!G56)</f>
        <v>6708.1100000000006</v>
      </c>
      <c r="K25" s="261">
        <f>SUM('21'!G43,'21'!G57)</f>
        <v>2871.6999999999534</v>
      </c>
      <c r="L25" s="1039">
        <f>'21'!G50</f>
        <v>1491.1999999999534</v>
      </c>
      <c r="M25" s="1039">
        <f>'21'!G36</f>
        <v>741.27999999999884</v>
      </c>
      <c r="N25" s="1039">
        <f>'21'!G72</f>
        <v>13</v>
      </c>
      <c r="O25" s="1039">
        <f>'21'!$G$73</f>
        <v>1</v>
      </c>
      <c r="P25" s="1039">
        <f>'21'!$G$74</f>
        <v>1</v>
      </c>
      <c r="Q25" s="1039">
        <f>'21'!$G$75</f>
        <v>138.1299999999992</v>
      </c>
      <c r="R25" s="1039">
        <f>'21'!$G$76</f>
        <v>67.700000000000728</v>
      </c>
      <c r="S25" s="1039">
        <f>'21'!$G$77</f>
        <v>50</v>
      </c>
      <c r="T25" s="1030">
        <f>'21'!$G$78</f>
        <v>70</v>
      </c>
      <c r="U25" s="1030">
        <f>'21'!$G$79</f>
        <v>144</v>
      </c>
      <c r="V25" s="1030">
        <f>'21'!$G$80</f>
        <v>370</v>
      </c>
      <c r="W25" s="1030">
        <f>'21'!$G$81</f>
        <v>184</v>
      </c>
      <c r="X25" s="1030">
        <f>'21'!$G$82</f>
        <v>12.649999999994179</v>
      </c>
      <c r="Y25" s="1030">
        <f>'21'!$G$58</f>
        <v>242.69000000000233</v>
      </c>
      <c r="Z25" s="1030">
        <f>'21'!$G$83</f>
        <v>368</v>
      </c>
      <c r="AA25" s="1030">
        <f>'21'!G86</f>
        <v>16</v>
      </c>
      <c r="AB25" s="1030">
        <f>'21'!G87</f>
        <v>30.80000000000291</v>
      </c>
      <c r="AC25" s="1030">
        <f>'21'!G88</f>
        <v>84</v>
      </c>
      <c r="AD25" s="1030">
        <f>'21'!G87+'21'!H90</f>
        <v>38.200000000003001</v>
      </c>
      <c r="AE25" s="1039">
        <f>'21'!$G$62</f>
        <v>0</v>
      </c>
      <c r="AF25" s="1039">
        <f>'21'!$G$63</f>
        <v>0</v>
      </c>
      <c r="AG25" s="1039">
        <f>'21'!$G$64</f>
        <v>390.48000000001048</v>
      </c>
      <c r="AH25" s="1039">
        <f>'21'!$G$65</f>
        <v>312.89999999999418</v>
      </c>
      <c r="AI25" s="1039">
        <f>'21'!$G$66</f>
        <v>401.65000000000146</v>
      </c>
      <c r="AJ25" s="1039">
        <f>'21'!$G$67</f>
        <v>471.08999999999651</v>
      </c>
      <c r="AK25" s="1039">
        <f>'21'!$G$68</f>
        <v>0</v>
      </c>
      <c r="AL25" s="1039">
        <f>'21'!$G$69</f>
        <v>235.32000000000698</v>
      </c>
      <c r="AM25" s="1039">
        <f>'21'!$G$84</f>
        <v>777</v>
      </c>
      <c r="AN25" s="1039">
        <f>'21'!$G$15</f>
        <v>700</v>
      </c>
      <c r="AO25" s="1039">
        <f>'21'!$G$124</f>
        <v>270.79000000003725</v>
      </c>
      <c r="AP25" s="1039">
        <f>'21'!$G$125</f>
        <v>0</v>
      </c>
      <c r="AQ25" s="1039">
        <f>'21'!$G$126</f>
        <v>71.100000000005821</v>
      </c>
      <c r="AR25" s="1039">
        <f>'21'!$G$127</f>
        <v>38.599999999998545</v>
      </c>
      <c r="AS25" s="1039">
        <f>'21'!$G$128</f>
        <v>0.6000000000003638</v>
      </c>
      <c r="AT25" s="1039">
        <f t="shared" si="0"/>
        <v>318.90999999995802</v>
      </c>
      <c r="AU25" s="1039">
        <f>SUM('21'!G140:G141)</f>
        <v>10.160000000000082</v>
      </c>
      <c r="AV25" s="1039">
        <f>'21'!$G$137</f>
        <v>0</v>
      </c>
      <c r="AW25" s="1039">
        <f>'21'!$G$138</f>
        <v>10.739999999997963</v>
      </c>
      <c r="AX25" s="1039">
        <f>'21'!$G$139</f>
        <v>0</v>
      </c>
      <c r="AY25" s="1036">
        <f t="shared" si="1"/>
        <v>10.739999999997963</v>
      </c>
      <c r="BA25" s="1044">
        <f t="shared" si="3"/>
        <v>-48.119999999920765</v>
      </c>
    </row>
    <row r="26" spans="1:53">
      <c r="A26" s="1038">
        <v>44034</v>
      </c>
      <c r="B26" s="261">
        <f>'22'!G7</f>
        <v>21500</v>
      </c>
      <c r="C26" s="261">
        <f>'22'!G8</f>
        <v>21500</v>
      </c>
      <c r="D26" s="261">
        <f>'22'!G15</f>
        <v>700</v>
      </c>
      <c r="E26" s="261">
        <f>'22'!G20</f>
        <v>152</v>
      </c>
      <c r="F26" s="261">
        <f>SUM('22'!G35,'22'!G49)</f>
        <v>2900.9000000000233</v>
      </c>
      <c r="G26" s="261">
        <f>SUM('22'!G37,'22'!G51)</f>
        <v>1479.0299999999988</v>
      </c>
      <c r="H26" s="261">
        <f>SUM('22'!G38,'22'!G52)</f>
        <v>1578</v>
      </c>
      <c r="I26" s="261">
        <f>SUM('22'!G39,'22'!G53)</f>
        <v>3410</v>
      </c>
      <c r="J26" s="261">
        <f>SUM('22'!G41,'22'!G42,'22'!G55,'22'!G56)</f>
        <v>6088.5700000000506</v>
      </c>
      <c r="K26" s="261">
        <f>SUM('22'!G43,'22'!G57)</f>
        <v>2901.7000000001863</v>
      </c>
      <c r="L26" s="1039">
        <f>'22'!G50</f>
        <v>1064.1600000000326</v>
      </c>
      <c r="M26" s="1039">
        <f>'22'!G36</f>
        <v>741.52000000000044</v>
      </c>
      <c r="N26" s="1039">
        <f>'22'!G72</f>
        <v>13</v>
      </c>
      <c r="O26" s="1039">
        <f>'22'!$G$73</f>
        <v>1</v>
      </c>
      <c r="P26" s="1039">
        <f>'22'!$G$74</f>
        <v>1</v>
      </c>
      <c r="Q26" s="1039">
        <f>'22'!$G$75</f>
        <v>133.92000000000007</v>
      </c>
      <c r="R26" s="1039">
        <f>'22'!$G$76</f>
        <v>71.059999999999491</v>
      </c>
      <c r="S26" s="1039">
        <f>'22'!$G$77</f>
        <v>48</v>
      </c>
      <c r="T26" s="1030">
        <f>'22'!$G$78</f>
        <v>50</v>
      </c>
      <c r="U26" s="1030">
        <f>'22'!$G$79</f>
        <v>149</v>
      </c>
      <c r="V26" s="1030">
        <f>'22'!$G$80</f>
        <v>341</v>
      </c>
      <c r="W26" s="1030">
        <f>'22'!$G$81</f>
        <v>204</v>
      </c>
      <c r="X26" s="1030">
        <f>'22'!$G$82</f>
        <v>24</v>
      </c>
      <c r="Y26" s="1030">
        <f>'22'!$G$58</f>
        <v>92.169999999998254</v>
      </c>
      <c r="Z26" s="1030">
        <f>'22'!$G$83</f>
        <v>335</v>
      </c>
      <c r="AA26" s="1030">
        <f>'22'!G86</f>
        <v>17.159999999974389</v>
      </c>
      <c r="AB26" s="1030">
        <f>'22'!G87</f>
        <v>31.600000000005821</v>
      </c>
      <c r="AC26" s="1030">
        <f>'22'!G88</f>
        <v>120</v>
      </c>
      <c r="AD26" s="1030">
        <f>'22'!G87+'22'!H90</f>
        <v>43.900000000005548</v>
      </c>
      <c r="AE26" s="1039">
        <f>'22'!$G$62</f>
        <v>0</v>
      </c>
      <c r="AF26" s="1039">
        <f>'22'!$G$63</f>
        <v>0</v>
      </c>
      <c r="AG26" s="1039">
        <f>'22'!$G$64</f>
        <v>384.51000000000931</v>
      </c>
      <c r="AH26" s="1039">
        <f>'22'!$G$65</f>
        <v>261.02999999999884</v>
      </c>
      <c r="AI26" s="1039">
        <f>'22'!$G$66</f>
        <v>392.37999999999738</v>
      </c>
      <c r="AJ26" s="1039">
        <f>'22'!$G$67</f>
        <v>434</v>
      </c>
      <c r="AK26" s="1039">
        <f>'22'!$G$68</f>
        <v>0</v>
      </c>
      <c r="AL26" s="1039">
        <f>'22'!$G$69</f>
        <v>251.11999999999534</v>
      </c>
      <c r="AM26" s="1039">
        <f>'22'!$G$84</f>
        <v>819</v>
      </c>
      <c r="AN26" s="1039">
        <f>'22'!$G$15</f>
        <v>700</v>
      </c>
      <c r="AO26" s="1077">
        <f>'22'!$G$124</f>
        <v>264.77000000001863</v>
      </c>
      <c r="AP26" s="1039">
        <f>'22'!$G$125</f>
        <v>0</v>
      </c>
      <c r="AQ26" s="1039">
        <f>'22'!$G$126</f>
        <v>76.85999999998603</v>
      </c>
      <c r="AR26" s="1039">
        <f>'22'!$G$127</f>
        <v>34.700000000000728</v>
      </c>
      <c r="AS26" s="1039">
        <f>'22'!$G$128</f>
        <v>1.5</v>
      </c>
      <c r="AT26" s="1039">
        <f t="shared" si="0"/>
        <v>322.16999999999462</v>
      </c>
      <c r="AU26" s="1039">
        <f>SUM('22'!G140:G141)</f>
        <v>9.9199999999998454</v>
      </c>
      <c r="AV26" s="1039">
        <f>'22'!$G$137</f>
        <v>0</v>
      </c>
      <c r="AW26" s="1039">
        <f>'22'!$G$138</f>
        <v>0</v>
      </c>
      <c r="AX26" s="1039">
        <f>'22'!$G$139</f>
        <v>9.6499999999941792</v>
      </c>
      <c r="AY26" s="1036">
        <f t="shared" si="1"/>
        <v>9.6499999999941792</v>
      </c>
      <c r="BA26" s="1044">
        <f t="shared" si="3"/>
        <v>-57.399999999975989</v>
      </c>
    </row>
    <row r="27" spans="1:53">
      <c r="A27" s="1038">
        <v>44035</v>
      </c>
      <c r="B27" s="261">
        <f>'23'!G7</f>
        <v>21500</v>
      </c>
      <c r="C27" s="261">
        <f>'23'!G8</f>
        <v>21500</v>
      </c>
      <c r="D27" s="261">
        <f>'23'!G15</f>
        <v>700</v>
      </c>
      <c r="E27" s="261">
        <f>'23'!G20</f>
        <v>101</v>
      </c>
      <c r="F27" s="261">
        <f>SUM('23'!G35,'23'!G49)</f>
        <v>2677.4899999999907</v>
      </c>
      <c r="G27" s="261">
        <f>SUM('23'!G37,'23'!G51)</f>
        <v>1414.3399999999965</v>
      </c>
      <c r="H27" s="261">
        <f>SUM('23'!G38,'23'!G52)</f>
        <v>1354.2200000000012</v>
      </c>
      <c r="I27" s="261">
        <f>SUM('23'!G39,'23'!G53)</f>
        <v>3432.960000000021</v>
      </c>
      <c r="J27" s="261">
        <f>SUM('23'!G41,'23'!G42,'23'!G55,'23'!G56)</f>
        <v>5831.9499999999389</v>
      </c>
      <c r="K27" s="261">
        <f>SUM('23'!G43,'23'!G57)</f>
        <v>2742.5999999998603</v>
      </c>
      <c r="L27" s="1039">
        <f>'23'!G50</f>
        <v>989.40000000002328</v>
      </c>
      <c r="M27" s="1039">
        <f>'23'!G36</f>
        <v>662.30999999999949</v>
      </c>
      <c r="N27" s="1039">
        <f>'23'!G72</f>
        <v>13</v>
      </c>
      <c r="O27" s="1039">
        <f>'23'!G73</f>
        <v>2</v>
      </c>
      <c r="P27" s="1039">
        <f>'23'!$G$74</f>
        <v>1</v>
      </c>
      <c r="Q27" s="1039">
        <f>'23'!$G$75</f>
        <v>155</v>
      </c>
      <c r="R27" s="1039">
        <f>'23'!$G$76</f>
        <v>68.200000000000728</v>
      </c>
      <c r="S27" s="1039">
        <f>'23'!$G$77</f>
        <v>51</v>
      </c>
      <c r="T27" s="1030">
        <f>'23'!$G$78</f>
        <v>66</v>
      </c>
      <c r="U27" s="1030">
        <f>'23'!$G$79</f>
        <v>151</v>
      </c>
      <c r="V27" s="1030">
        <f>'23'!$G$80</f>
        <v>391.31999999994878</v>
      </c>
      <c r="W27" s="1030">
        <f>'23'!$G$81</f>
        <v>175.64000000001397</v>
      </c>
      <c r="X27" s="1030">
        <f>'23'!$G$82</f>
        <v>12.720000000001164</v>
      </c>
      <c r="Y27" s="1030">
        <f>'23'!$G$58</f>
        <v>82.040000000000873</v>
      </c>
      <c r="Z27" s="1075">
        <f>'23'!$G$83</f>
        <v>138</v>
      </c>
      <c r="AA27" s="1030">
        <f>'23'!$G$86</f>
        <v>25.480000000039581</v>
      </c>
      <c r="AB27" s="1030">
        <f>'23'!G87</f>
        <v>32.899999999994179</v>
      </c>
      <c r="AC27" s="1030">
        <f>'23'!G88</f>
        <v>81</v>
      </c>
      <c r="AD27" s="1030">
        <f>'23'!G87+'23'!H90</f>
        <v>49.199999999993906</v>
      </c>
      <c r="AE27" s="1039">
        <f>'23'!$G$62</f>
        <v>-0.2000000000007276</v>
      </c>
      <c r="AF27" s="1039">
        <f>'23'!$G$63</f>
        <v>0</v>
      </c>
      <c r="AG27" s="1039">
        <f>'23'!$G$64</f>
        <v>382.32999999998719</v>
      </c>
      <c r="AH27" s="1039">
        <f>'23'!$G$65</f>
        <v>289.42000000001281</v>
      </c>
      <c r="AI27" s="1039">
        <f>'23'!$G$66</f>
        <v>388.12000000000262</v>
      </c>
      <c r="AJ27" s="1039">
        <f>'23'!$G$67</f>
        <v>421.67000000001281</v>
      </c>
      <c r="AK27" s="1039">
        <f>'23'!$G$68</f>
        <v>0</v>
      </c>
      <c r="AL27" s="1039">
        <f>'23'!$G$69</f>
        <v>260.80000000000291</v>
      </c>
      <c r="AM27" s="1039">
        <f>'23'!$G$84</f>
        <v>782</v>
      </c>
      <c r="AN27" s="1039">
        <f>'23'!$G$15</f>
        <v>700</v>
      </c>
      <c r="AO27" s="1039">
        <f>'23'!$G$124</f>
        <v>283.38000000000466</v>
      </c>
      <c r="AP27" s="1039">
        <f>'23'!$G$125</f>
        <v>0</v>
      </c>
      <c r="AQ27" s="1039">
        <f>'23'!$G$126</f>
        <v>88.610000000015134</v>
      </c>
      <c r="AR27" s="1039">
        <f>'23'!$G$127</f>
        <v>36.5</v>
      </c>
      <c r="AS27" s="1039">
        <f>'23'!$G$128</f>
        <v>2.5</v>
      </c>
      <c r="AT27" s="1039">
        <f t="shared" si="0"/>
        <v>289.00999999998021</v>
      </c>
      <c r="AU27" s="1039">
        <f>SUM('23'!G140:G141)</f>
        <v>10.820000000000164</v>
      </c>
      <c r="AV27" s="1039">
        <f>'23'!$G$137</f>
        <v>1.9400000000023283</v>
      </c>
      <c r="AW27" s="1039">
        <f>'23'!$G$138</f>
        <v>0</v>
      </c>
      <c r="AX27" s="1039">
        <f>'23'!$G$139</f>
        <v>0</v>
      </c>
      <c r="AY27" s="1036">
        <f t="shared" si="1"/>
        <v>1.9400000000023283</v>
      </c>
      <c r="BA27" s="1044">
        <f t="shared" si="3"/>
        <v>-5.6299999999755528</v>
      </c>
    </row>
    <row r="28" spans="1:53" s="1078" customFormat="1">
      <c r="A28" s="1038">
        <v>44036</v>
      </c>
      <c r="B28" s="261">
        <f>'24'!G7</f>
        <v>21500</v>
      </c>
      <c r="C28" s="261">
        <f>'24'!G8</f>
        <v>21500</v>
      </c>
      <c r="D28" s="261">
        <f>'24'!G15</f>
        <v>700</v>
      </c>
      <c r="E28" s="261">
        <f>'24'!G20</f>
        <v>164</v>
      </c>
      <c r="F28" s="261">
        <f>SUM('24'!G35,'24'!G49)</f>
        <v>2800.5</v>
      </c>
      <c r="G28" s="261">
        <f>SUM('24'!G37,'24'!G51)</f>
        <v>1486.5400000000081</v>
      </c>
      <c r="H28" s="261">
        <f>SUM('24'!G38,'24'!G52)</f>
        <v>1527.9600000000501</v>
      </c>
      <c r="I28" s="261">
        <f>SUM('24'!G39,'24'!G53)</f>
        <v>3514.4599999999627</v>
      </c>
      <c r="J28" s="261">
        <f>SUM('24'!G41,'24'!G42,'24'!G55,'24'!G56)</f>
        <v>6559.3000000000175</v>
      </c>
      <c r="K28" s="261">
        <f>SUM('24'!G43,'24'!G57)</f>
        <v>2919.3000000000466</v>
      </c>
      <c r="L28" s="1039">
        <f>'24'!G50</f>
        <v>1520.609999999986</v>
      </c>
      <c r="M28" s="1030">
        <f>'24'!G36</f>
        <v>1173.0200000000004</v>
      </c>
      <c r="N28" s="1030">
        <f>'24'!G72</f>
        <v>14</v>
      </c>
      <c r="O28" s="1030">
        <f>'24'!G73</f>
        <v>1</v>
      </c>
      <c r="P28" s="1030">
        <f>'24'!$G$74</f>
        <v>0</v>
      </c>
      <c r="Q28" s="1030">
        <f>'24'!$G$75</f>
        <v>157.70000000000073</v>
      </c>
      <c r="R28" s="1030">
        <f>'24'!$G$76</f>
        <v>69.209999999999127</v>
      </c>
      <c r="S28" s="1030">
        <f>'24'!$G$77</f>
        <v>45</v>
      </c>
      <c r="T28" s="1030">
        <f>'24'!$G$78</f>
        <v>76</v>
      </c>
      <c r="U28" s="1030">
        <f>'24'!$G$79</f>
        <v>168</v>
      </c>
      <c r="V28" s="1030">
        <f>'24'!$G$80</f>
        <v>399.68000000005122</v>
      </c>
      <c r="W28" s="1030">
        <f>'24'!$G$81</f>
        <v>185.35999999998603</v>
      </c>
      <c r="X28" s="1030">
        <f>'24'!$G$82</f>
        <v>14.279999999998836</v>
      </c>
      <c r="Y28" s="1030">
        <f>'24'!$G$58</f>
        <v>220.58000000000175</v>
      </c>
      <c r="Z28" s="1030">
        <f>'24'!$G$83</f>
        <v>259</v>
      </c>
      <c r="AA28" s="1030">
        <f>'24'!G86</f>
        <v>39.35999999998603</v>
      </c>
      <c r="AB28" s="1030">
        <f>'24'!G87</f>
        <v>31</v>
      </c>
      <c r="AC28" s="1030">
        <f>'24'!G88</f>
        <v>147</v>
      </c>
      <c r="AD28" s="1030">
        <f>'24'!G87+'24'!H90</f>
        <v>35.300000000000182</v>
      </c>
      <c r="AE28" s="1030">
        <f>'24'!$G$62</f>
        <v>0</v>
      </c>
      <c r="AF28" s="1030">
        <f>'24'!$G$63</f>
        <v>0</v>
      </c>
      <c r="AG28" s="1030">
        <f>'24'!$G$64</f>
        <v>404.41000000000349</v>
      </c>
      <c r="AH28" s="1030">
        <f>'24'!$G$65</f>
        <v>316.80999999999767</v>
      </c>
      <c r="AI28" s="1030">
        <f>'24'!$G$66</f>
        <v>407.34999999999854</v>
      </c>
      <c r="AJ28" s="1030">
        <f>'24'!$G$67</f>
        <v>432.32999999998719</v>
      </c>
      <c r="AK28" s="1030">
        <f>'24'!$G$68</f>
        <v>0</v>
      </c>
      <c r="AL28" s="1030">
        <f>'24'!$G$69</f>
        <v>237.25</v>
      </c>
      <c r="AM28" s="1030">
        <f>'24'!$G$84</f>
        <v>750</v>
      </c>
      <c r="AN28" s="1030">
        <f>'24'!$G$15</f>
        <v>700</v>
      </c>
      <c r="AO28" s="1077">
        <f>'24'!$G$124</f>
        <v>288.84999999997672</v>
      </c>
      <c r="AP28" s="1077">
        <f>'24'!$G$125</f>
        <v>-0.39999999999417923</v>
      </c>
      <c r="AQ28" s="1077">
        <f>'24'!$G$126</f>
        <v>73.579999999987194</v>
      </c>
      <c r="AR28" s="1030">
        <f>'24'!$G$127</f>
        <v>34.799999999999272</v>
      </c>
      <c r="AS28" s="1030">
        <f>'24'!$G$128</f>
        <v>2.8999999999996362</v>
      </c>
      <c r="AT28" s="1077">
        <f>AN28-SUM(AO28:AS28)</f>
        <v>300.27000000003136</v>
      </c>
      <c r="AU28" s="1030">
        <f>SUM('24'!G140:G141)</f>
        <v>10.7199999999998</v>
      </c>
      <c r="AV28" s="1030">
        <f>'24'!$G$137</f>
        <v>-4.0000000000873115E-2</v>
      </c>
      <c r="AW28" s="1030">
        <f>'24'!$G$138</f>
        <v>9.5</v>
      </c>
      <c r="AX28" s="1030">
        <f>'24'!$G$139</f>
        <v>1.0500000000029104</v>
      </c>
      <c r="AY28" s="1040">
        <f t="shared" si="1"/>
        <v>10.510000000002037</v>
      </c>
      <c r="BA28" s="1079">
        <f t="shared" si="3"/>
        <v>-11.420000000054642</v>
      </c>
    </row>
    <row r="29" spans="1:53">
      <c r="A29" s="1038">
        <v>44037</v>
      </c>
      <c r="B29" s="261">
        <f>'25'!G7</f>
        <v>21500</v>
      </c>
      <c r="C29" s="261">
        <f>'25'!G8</f>
        <v>21500</v>
      </c>
      <c r="D29" s="261">
        <f>'25'!G15</f>
        <v>700</v>
      </c>
      <c r="E29" s="261">
        <f>'25'!G20</f>
        <v>170</v>
      </c>
      <c r="F29" s="261">
        <f>SUM('25'!G35,'25'!G49)</f>
        <v>2719.0100000000093</v>
      </c>
      <c r="G29" s="261">
        <f>SUM('25'!G37,'25'!G51)</f>
        <v>1517.8699999999953</v>
      </c>
      <c r="H29" s="261">
        <f>SUM('25'!G38,'25'!G52)</f>
        <v>1537.0699999999488</v>
      </c>
      <c r="I29" s="261">
        <f>SUM('25'!G39,'25'!G53)</f>
        <v>3655</v>
      </c>
      <c r="J29" s="261">
        <f>SUM('25'!G41,'25'!G42,'25'!G55,'25'!G56)</f>
        <v>5087</v>
      </c>
      <c r="K29" s="261">
        <f>SUM('25'!G43,'25'!G57)</f>
        <v>2649</v>
      </c>
      <c r="L29" s="1039">
        <f>'25'!G50</f>
        <v>1032</v>
      </c>
      <c r="M29" s="1039">
        <f>'25'!G36</f>
        <v>642</v>
      </c>
      <c r="N29" s="1039">
        <f>'25'!G72</f>
        <v>12</v>
      </c>
      <c r="O29" s="1039">
        <f>'25'!$G$73</f>
        <v>1</v>
      </c>
      <c r="P29" s="1039">
        <f>'25'!$G$74</f>
        <v>0</v>
      </c>
      <c r="Q29" s="1039">
        <f>'25'!$G$75</f>
        <v>149</v>
      </c>
      <c r="R29" s="1039">
        <f>'25'!$G$76</f>
        <v>74</v>
      </c>
      <c r="S29" s="1039">
        <f>'25'!$G$77</f>
        <v>54</v>
      </c>
      <c r="T29" s="1030">
        <f>'25'!$G$78</f>
        <v>84</v>
      </c>
      <c r="U29" s="1030">
        <f>'25'!$G$79</f>
        <v>140</v>
      </c>
      <c r="V29" s="1030">
        <f>'25'!$G$80</f>
        <v>406</v>
      </c>
      <c r="W29" s="1030">
        <f>'25'!$G$81</f>
        <v>118</v>
      </c>
      <c r="X29" s="1030">
        <f>'25'!$G$82</f>
        <v>26</v>
      </c>
      <c r="Y29" s="1030">
        <f>'25'!$G$58</f>
        <v>133</v>
      </c>
      <c r="Z29" s="1030">
        <f>'25'!$G$83</f>
        <v>171</v>
      </c>
      <c r="AA29" s="1030">
        <f>'25'!G86</f>
        <v>29</v>
      </c>
      <c r="AB29" s="1030">
        <f>'25'!G87</f>
        <v>36</v>
      </c>
      <c r="AC29" s="1030">
        <f>'25'!G88</f>
        <v>131</v>
      </c>
      <c r="AD29" s="1030">
        <f>'25'!G87+'25'!H90</f>
        <v>40</v>
      </c>
      <c r="AE29" s="1039">
        <f>'25'!$G$62</f>
        <v>0</v>
      </c>
      <c r="AF29" s="1039">
        <f>'25'!$G$63</f>
        <v>0</v>
      </c>
      <c r="AG29" s="1039">
        <f>'25'!$G$64</f>
        <v>412</v>
      </c>
      <c r="AH29" s="1039">
        <f>'25'!$G$65</f>
        <v>399</v>
      </c>
      <c r="AI29" s="1039">
        <f>'25'!$G$66</f>
        <v>418</v>
      </c>
      <c r="AJ29" s="1039">
        <f>'25'!$G$67</f>
        <v>458</v>
      </c>
      <c r="AK29" s="1039">
        <f>'25'!$G$68</f>
        <v>0</v>
      </c>
      <c r="AL29" s="1039">
        <f>'25'!$G$69</f>
        <v>191</v>
      </c>
      <c r="AM29" s="1039">
        <f>'25'!$G$84</f>
        <v>732</v>
      </c>
      <c r="AN29" s="1039">
        <f>'25'!$G$15</f>
        <v>700</v>
      </c>
      <c r="AO29" s="1039">
        <f>'25'!$G$124</f>
        <v>265</v>
      </c>
      <c r="AP29" s="1039">
        <f>'25'!$G$125</f>
        <v>0</v>
      </c>
      <c r="AQ29" s="1039">
        <f>'25'!$G$126</f>
        <v>70</v>
      </c>
      <c r="AR29" s="1039">
        <f>'25'!$G$127</f>
        <v>39</v>
      </c>
      <c r="AS29" s="1039">
        <f>'25'!$G$128</f>
        <v>0</v>
      </c>
      <c r="AT29" s="1039">
        <f t="shared" si="0"/>
        <v>326</v>
      </c>
      <c r="AU29" s="1039">
        <f>SUM('25'!G140:G141)</f>
        <v>9.3600000000001273</v>
      </c>
      <c r="AV29" s="1039">
        <f>'25'!$G$137</f>
        <v>4.5400000000008731</v>
      </c>
      <c r="AW29" s="1039">
        <f>'25'!$G$138</f>
        <v>-0.38999999999941792</v>
      </c>
      <c r="AX29" s="1039">
        <f>'25'!$G$139</f>
        <v>6.1399999999994179</v>
      </c>
      <c r="AY29" s="1036">
        <f t="shared" si="1"/>
        <v>10.290000000000873</v>
      </c>
      <c r="BA29" s="1044">
        <f t="shared" si="3"/>
        <v>-61</v>
      </c>
    </row>
    <row r="30" spans="1:53">
      <c r="A30" s="1038">
        <v>44038</v>
      </c>
      <c r="B30" s="261">
        <f>'26'!G7</f>
        <v>21500</v>
      </c>
      <c r="C30" s="261">
        <f>'26'!G8</f>
        <v>21500</v>
      </c>
      <c r="D30" s="261">
        <f>'26'!G15</f>
        <v>700</v>
      </c>
      <c r="E30" s="261">
        <f>'26'!G20</f>
        <v>215</v>
      </c>
      <c r="F30" s="261">
        <f>SUM('26'!G35,'26'!G49)</f>
        <v>3029.8699999999953</v>
      </c>
      <c r="G30" s="261">
        <f>SUM('26'!G37,'26'!G51)</f>
        <v>1521</v>
      </c>
      <c r="H30" s="261">
        <f>SUM('26'!G38,'26'!G52)</f>
        <v>1787</v>
      </c>
      <c r="I30" s="261">
        <f>SUM('26'!G39,'26'!G53)</f>
        <v>3678</v>
      </c>
      <c r="J30" s="261">
        <f>SUM('26'!G41,'26'!G42,'26'!G55,'26'!G56)</f>
        <v>6949</v>
      </c>
      <c r="K30" s="261">
        <f>SUM('26'!G43,'26'!G57)</f>
        <v>2958</v>
      </c>
      <c r="L30" s="1039">
        <f>'26'!G50</f>
        <v>1133</v>
      </c>
      <c r="M30" s="1039">
        <f>'26'!G36</f>
        <v>959</v>
      </c>
      <c r="N30" s="1039">
        <f>'26'!G72</f>
        <v>11</v>
      </c>
      <c r="O30" s="1039">
        <f>'26'!$G$73</f>
        <v>1</v>
      </c>
      <c r="P30" s="1039">
        <f>'26'!$G$74</f>
        <v>0</v>
      </c>
      <c r="Q30" s="1039">
        <f>'26'!$G$75</f>
        <v>185</v>
      </c>
      <c r="R30" s="1039">
        <f>'26'!$G$76</f>
        <v>81</v>
      </c>
      <c r="S30" s="1039">
        <f>'26'!$G$77</f>
        <v>60</v>
      </c>
      <c r="T30" s="1030">
        <f>'26'!$G$78</f>
        <v>117</v>
      </c>
      <c r="U30" s="1030">
        <f>'26'!$G$79</f>
        <v>150</v>
      </c>
      <c r="V30" s="1030">
        <f>'26'!$G$80</f>
        <v>428</v>
      </c>
      <c r="W30" s="1030">
        <f>'26'!$G$81</f>
        <v>157</v>
      </c>
      <c r="X30" s="1030">
        <f>'26'!$G$82</f>
        <v>14</v>
      </c>
      <c r="Y30" s="1030">
        <f>'26'!$G$58</f>
        <v>252</v>
      </c>
      <c r="Z30" s="1030">
        <f>'26'!$G$83</f>
        <v>372</v>
      </c>
      <c r="AA30" s="1030">
        <f>'26'!G86</f>
        <v>27</v>
      </c>
      <c r="AB30" s="1030">
        <f>'26'!G87</f>
        <v>17</v>
      </c>
      <c r="AC30" s="1030">
        <f>'26'!G88</f>
        <v>126</v>
      </c>
      <c r="AD30" s="1030">
        <f>'26'!G87+'26'!H90</f>
        <v>18</v>
      </c>
      <c r="AE30" s="1039">
        <f>'26'!$G$62</f>
        <v>0</v>
      </c>
      <c r="AF30" s="1039">
        <f>'26'!$G$63</f>
        <v>0</v>
      </c>
      <c r="AG30" s="1039">
        <f>'26'!$G$64</f>
        <v>321</v>
      </c>
      <c r="AH30" s="1039">
        <f>'26'!$G$65</f>
        <v>438</v>
      </c>
      <c r="AI30" s="1039">
        <f>'26'!$G$66</f>
        <v>448</v>
      </c>
      <c r="AJ30" s="1039">
        <f>'26'!$G$67</f>
        <v>474</v>
      </c>
      <c r="AK30" s="1039">
        <f>'26'!$G$68</f>
        <v>0</v>
      </c>
      <c r="AL30" s="1039">
        <f>'26'!$G$69</f>
        <v>209</v>
      </c>
      <c r="AM30" s="1039">
        <f>'26'!$G$84</f>
        <v>872</v>
      </c>
      <c r="AN30" s="1039">
        <f>'26'!$G$15</f>
        <v>700</v>
      </c>
      <c r="AO30" s="1039">
        <f>'26'!$G$124</f>
        <v>306</v>
      </c>
      <c r="AP30" s="1039">
        <f>'26'!$G$125</f>
        <v>0.39999999999417923</v>
      </c>
      <c r="AQ30" s="1039">
        <f>'26'!$G$126</f>
        <v>103</v>
      </c>
      <c r="AR30" s="1039">
        <f>'26'!$G$127</f>
        <v>37</v>
      </c>
      <c r="AS30" s="1039">
        <f>'26'!$G$128</f>
        <v>9</v>
      </c>
      <c r="AT30" s="1039">
        <f t="shared" si="0"/>
        <v>244.60000000000582</v>
      </c>
      <c r="AU30" s="1039">
        <f>SUM('26'!G140:G141)</f>
        <v>11.5</v>
      </c>
      <c r="AV30" s="1039">
        <f>'26'!$G$137</f>
        <v>8.4500000000007276</v>
      </c>
      <c r="AW30" s="1039">
        <f>'26'!$G$138</f>
        <v>0</v>
      </c>
      <c r="AX30" s="1039">
        <f>'26'!$G$139</f>
        <v>0</v>
      </c>
      <c r="AY30" s="1036">
        <f t="shared" si="1"/>
        <v>8.4500000000007276</v>
      </c>
      <c r="BA30" s="1044">
        <f t="shared" si="3"/>
        <v>61.399999999994179</v>
      </c>
    </row>
    <row r="31" spans="1:53">
      <c r="A31" s="1038">
        <v>44039</v>
      </c>
      <c r="B31" s="261">
        <f>'27'!G7</f>
        <v>21500</v>
      </c>
      <c r="C31" s="261">
        <f>'27'!G8</f>
        <v>21500</v>
      </c>
      <c r="D31" s="261">
        <f>'27'!G15</f>
        <v>700</v>
      </c>
      <c r="E31" s="261">
        <f>'27'!G20</f>
        <v>241</v>
      </c>
      <c r="F31" s="261">
        <f>SUM('27'!G35,'27'!G49)</f>
        <v>3062.1300000000047</v>
      </c>
      <c r="G31" s="261">
        <f>SUM('27'!G37,'27'!G51)</f>
        <v>1492.1300000000047</v>
      </c>
      <c r="H31" s="261">
        <f>SUM('27'!G38,'27'!G52)</f>
        <v>1712.9300000000512</v>
      </c>
      <c r="I31" s="261">
        <f>SUM('27'!G39,'27'!G53)</f>
        <v>3715</v>
      </c>
      <c r="J31" s="261">
        <f>SUM('27'!G41,'27'!G42,'27'!G55,'27'!G56)</f>
        <v>6445</v>
      </c>
      <c r="K31" s="261">
        <f>SUM('27'!G43,'27'!G57)</f>
        <v>3057</v>
      </c>
      <c r="L31" s="1039">
        <f>'27'!G50</f>
        <v>1299</v>
      </c>
      <c r="M31" s="1039">
        <f>'27'!G36</f>
        <v>587</v>
      </c>
      <c r="N31" s="1039">
        <f>'27'!G72</f>
        <v>11</v>
      </c>
      <c r="O31" s="1039">
        <f>'27'!$G$73</f>
        <v>1</v>
      </c>
      <c r="P31" s="1039">
        <f>'27'!$G$74</f>
        <v>0</v>
      </c>
      <c r="Q31" s="1039">
        <f>'27'!$G$75</f>
        <v>140</v>
      </c>
      <c r="R31" s="1039">
        <f>'27'!$G$76</f>
        <v>77</v>
      </c>
      <c r="S31" s="1039">
        <f>'27'!$G$77</f>
        <v>57</v>
      </c>
      <c r="T31" s="1030">
        <f>'27'!$G$78</f>
        <v>152</v>
      </c>
      <c r="U31" s="1030">
        <f>'27'!$G$79</f>
        <v>139</v>
      </c>
      <c r="V31" s="1030">
        <f>'27'!$G$80</f>
        <v>460</v>
      </c>
      <c r="W31" s="1030">
        <f>'27'!$G$81</f>
        <v>131</v>
      </c>
      <c r="X31" s="1030">
        <f>'27'!$G$82</f>
        <v>25</v>
      </c>
      <c r="Y31" s="1030">
        <f>'27'!$G$58</f>
        <v>141</v>
      </c>
      <c r="Z31" s="1030">
        <f>'27'!$G$83</f>
        <v>319</v>
      </c>
      <c r="AA31" s="1030">
        <f>'27'!G86</f>
        <v>39</v>
      </c>
      <c r="AB31" s="1030">
        <f>'27'!G87</f>
        <v>11</v>
      </c>
      <c r="AC31" s="1030">
        <f>'27'!G88</f>
        <v>34</v>
      </c>
      <c r="AD31" s="1030">
        <f>'27'!G87+'27'!H90</f>
        <v>12</v>
      </c>
      <c r="AE31" s="1039">
        <f>'27'!$G$62</f>
        <v>0</v>
      </c>
      <c r="AF31" s="1039">
        <f>'27'!$G$63</f>
        <v>0</v>
      </c>
      <c r="AG31" s="1039">
        <f>'27'!$G$64</f>
        <v>385</v>
      </c>
      <c r="AH31" s="1039">
        <f>'27'!$G$65</f>
        <v>358</v>
      </c>
      <c r="AI31" s="1039">
        <f>'27'!$G$66</f>
        <v>374</v>
      </c>
      <c r="AJ31" s="1039">
        <f>'27'!$G$67</f>
        <v>470</v>
      </c>
      <c r="AK31" s="1039">
        <f>'27'!$G$68</f>
        <v>0</v>
      </c>
      <c r="AL31" s="1039">
        <f>'27'!$G$69</f>
        <v>323</v>
      </c>
      <c r="AM31" s="1039">
        <f>'27'!$G$84</f>
        <v>884</v>
      </c>
      <c r="AN31" s="1039">
        <f>'27'!$G$15</f>
        <v>700</v>
      </c>
      <c r="AO31" s="1039">
        <f>'27'!$G$124</f>
        <v>294</v>
      </c>
      <c r="AP31" s="1039">
        <f>'27'!$G$125</f>
        <v>0</v>
      </c>
      <c r="AQ31" s="1039">
        <f>'27'!$G$126</f>
        <v>92</v>
      </c>
      <c r="AR31" s="1039">
        <f>'27'!$G$127</f>
        <v>42</v>
      </c>
      <c r="AS31" s="1039">
        <f>'27'!$G$128</f>
        <v>7</v>
      </c>
      <c r="AT31" s="1039">
        <f t="shared" si="0"/>
        <v>265</v>
      </c>
      <c r="AU31" s="1039">
        <f>SUM('27'!G140:G141)</f>
        <v>10.5</v>
      </c>
      <c r="AV31" s="1039">
        <f>'27'!$G$137</f>
        <v>4.4799999999995634</v>
      </c>
      <c r="AW31" s="1039">
        <f>'27'!$G$138</f>
        <v>0.38999999999941792</v>
      </c>
      <c r="AX31" s="1039">
        <f>'27'!$G$139</f>
        <v>5.0800000000017462</v>
      </c>
      <c r="AY31" s="1036">
        <f t="shared" si="1"/>
        <v>9.9500000000007276</v>
      </c>
      <c r="BA31" s="1044">
        <f t="shared" si="3"/>
        <v>29</v>
      </c>
    </row>
    <row r="32" spans="1:53">
      <c r="A32" s="1038">
        <v>44040</v>
      </c>
      <c r="B32" s="261">
        <f>'28'!G7</f>
        <v>21500</v>
      </c>
      <c r="C32" s="261">
        <f>'28'!G8</f>
        <v>21500.000000000058</v>
      </c>
      <c r="D32" s="261">
        <f>'28'!G15</f>
        <v>700</v>
      </c>
      <c r="E32" s="261">
        <f>'28'!G20</f>
        <v>194</v>
      </c>
      <c r="F32" s="261">
        <f>SUM('28'!G35,'28'!G49)</f>
        <v>2775</v>
      </c>
      <c r="G32" s="261">
        <f>SUM('28'!G37,'28'!G51)</f>
        <v>1454</v>
      </c>
      <c r="H32" s="261">
        <f>SUM('28'!G38,'28'!G52)</f>
        <v>1688.0699999999488</v>
      </c>
      <c r="I32" s="261">
        <f>SUM('28'!G39,'28'!G53)</f>
        <v>3688</v>
      </c>
      <c r="J32" s="261">
        <f>SUM('28'!G41,'28'!G42,'28'!G55,'28'!G56)</f>
        <v>5515</v>
      </c>
      <c r="K32" s="261">
        <f>SUM('28'!G43,'28'!G57)</f>
        <v>2726.33</v>
      </c>
      <c r="L32" s="1039">
        <f>'28'!G50</f>
        <v>992</v>
      </c>
      <c r="M32" s="1039">
        <f>'28'!G36</f>
        <v>611</v>
      </c>
      <c r="N32" s="1039">
        <f>'28'!G72</f>
        <v>10</v>
      </c>
      <c r="O32" s="1039">
        <f>'28'!$G$73</f>
        <v>2</v>
      </c>
      <c r="P32" s="1039">
        <f>'28'!$G$74</f>
        <v>2</v>
      </c>
      <c r="Q32" s="1039">
        <f>'28'!$G$75</f>
        <v>135</v>
      </c>
      <c r="R32" s="1039">
        <f>'28'!$G$76</f>
        <v>76</v>
      </c>
      <c r="S32" s="1039">
        <f>'28'!$G$77</f>
        <v>57</v>
      </c>
      <c r="T32" s="1030">
        <f>'28'!$G$78</f>
        <v>70</v>
      </c>
      <c r="U32" s="1030">
        <f>'28'!$G$79</f>
        <v>141</v>
      </c>
      <c r="V32" s="1030">
        <f>'28'!$G$80</f>
        <v>374</v>
      </c>
      <c r="W32" s="1030">
        <f>'28'!$G$81</f>
        <v>138</v>
      </c>
      <c r="X32" s="1030">
        <f>'28'!$G$82</f>
        <v>13</v>
      </c>
      <c r="Y32" s="1030">
        <f>'28'!$G$58</f>
        <v>230</v>
      </c>
      <c r="Z32" s="1030">
        <f>'28'!$G$83</f>
        <v>322</v>
      </c>
      <c r="AA32" s="1030">
        <f>'28'!G86</f>
        <v>39</v>
      </c>
      <c r="AB32" s="1030">
        <f>'28'!G87</f>
        <v>30</v>
      </c>
      <c r="AC32" s="1030">
        <f>'28'!G88</f>
        <v>139</v>
      </c>
      <c r="AD32" s="1030">
        <f>'28'!G87+'28'!H90</f>
        <v>34</v>
      </c>
      <c r="AE32" s="1039">
        <f>'28'!$G$62</f>
        <v>0</v>
      </c>
      <c r="AF32" s="1039">
        <f>'28'!$G$63</f>
        <v>0</v>
      </c>
      <c r="AG32" s="1039">
        <f>'28'!$G$64</f>
        <v>387</v>
      </c>
      <c r="AH32" s="1039">
        <f>'28'!$G$65</f>
        <v>409</v>
      </c>
      <c r="AI32" s="1039">
        <f>'28'!$G$66</f>
        <v>441</v>
      </c>
      <c r="AJ32" s="1039">
        <f>'28'!$G$67</f>
        <v>440</v>
      </c>
      <c r="AK32" s="1039">
        <f>'28'!$G$68</f>
        <v>0</v>
      </c>
      <c r="AL32" s="1039">
        <f>'28'!$G$69</f>
        <v>233</v>
      </c>
      <c r="AM32" s="1039">
        <f>'28'!$G$84</f>
        <v>818</v>
      </c>
      <c r="AN32" s="1039">
        <f>'28'!$G$15</f>
        <v>700</v>
      </c>
      <c r="AO32" s="1039">
        <f>'28'!$G$124</f>
        <v>284</v>
      </c>
      <c r="AP32" s="1039">
        <f>'28'!$G$125</f>
        <v>0</v>
      </c>
      <c r="AQ32" s="1039">
        <f>'28'!$G$126</f>
        <v>62</v>
      </c>
      <c r="AR32" s="1039">
        <f>'28'!$G$127</f>
        <v>30</v>
      </c>
      <c r="AS32" s="1039">
        <f>'28'!$G$128</f>
        <v>3</v>
      </c>
      <c r="AT32" s="1039">
        <f t="shared" si="0"/>
        <v>321</v>
      </c>
      <c r="AU32" s="1039">
        <f>SUM('28'!G140:G141)</f>
        <v>10.699999999999818</v>
      </c>
      <c r="AV32" s="1039">
        <f>'28'!$G$137</f>
        <v>7.7299999999995634</v>
      </c>
      <c r="AW32" s="1039">
        <f>'28'!$G$138</f>
        <v>0</v>
      </c>
      <c r="AX32" s="1039">
        <f>'28'!$G$139</f>
        <v>0.10000000000582077</v>
      </c>
      <c r="AY32" s="1036">
        <f t="shared" si="1"/>
        <v>7.8300000000053842</v>
      </c>
      <c r="BA32" s="1044">
        <f t="shared" si="3"/>
        <v>-37</v>
      </c>
    </row>
    <row r="33" spans="1:53">
      <c r="A33" s="1038">
        <v>44041</v>
      </c>
      <c r="B33" s="261">
        <f>'29'!G7</f>
        <v>21500.000000000058</v>
      </c>
      <c r="C33" s="261">
        <f>'29'!G8</f>
        <v>21500</v>
      </c>
      <c r="D33" s="261">
        <f>'29'!G15</f>
        <v>700</v>
      </c>
      <c r="E33" s="261">
        <f>'29'!G20</f>
        <v>163</v>
      </c>
      <c r="F33" s="261">
        <f>SUM('29'!G35,'29'!G49)</f>
        <v>2867</v>
      </c>
      <c r="G33" s="261">
        <f>SUM('29'!G37,'29'!G51)</f>
        <v>1416.8699999999953</v>
      </c>
      <c r="H33" s="261">
        <f>SUM('29'!G38,'29'!G52)</f>
        <v>1582</v>
      </c>
      <c r="I33" s="261">
        <f>SUM('29'!G39,'29'!G53)</f>
        <v>3564</v>
      </c>
      <c r="J33" s="261">
        <f>SUM('29'!G41,'29'!G42,'29'!G55,'29'!G56)</f>
        <v>6013</v>
      </c>
      <c r="K33" s="261">
        <f>SUM('29'!G43,'29'!G57)</f>
        <v>2620.67</v>
      </c>
      <c r="L33" s="1039">
        <f>'29'!G50</f>
        <v>958</v>
      </c>
      <c r="M33" s="1039">
        <f>'29'!G36</f>
        <v>608</v>
      </c>
      <c r="N33" s="1039">
        <f>'29'!G72</f>
        <v>10</v>
      </c>
      <c r="O33" s="1039">
        <f>'29'!$G$73</f>
        <v>1</v>
      </c>
      <c r="P33" s="1039">
        <f>'29'!$G$74</f>
        <v>3</v>
      </c>
      <c r="Q33" s="1039">
        <f>'29'!$G$75</f>
        <v>128</v>
      </c>
      <c r="R33" s="1039">
        <f>'29'!$G$76</f>
        <v>80</v>
      </c>
      <c r="S33" s="1039">
        <f>'29'!$G$77</f>
        <v>52</v>
      </c>
      <c r="T33" s="1039">
        <f>'29'!$G$78</f>
        <v>62</v>
      </c>
      <c r="U33" s="1039">
        <f>'29'!$G$79</f>
        <v>143</v>
      </c>
      <c r="V33" s="1039">
        <f>'29'!$G$80</f>
        <v>355</v>
      </c>
      <c r="W33" s="1039">
        <f>'29'!$G$81</f>
        <v>130</v>
      </c>
      <c r="X33" s="1039">
        <f>'29'!$G$82</f>
        <v>24</v>
      </c>
      <c r="Y33" s="1039">
        <f>'29'!$G$58</f>
        <v>166</v>
      </c>
      <c r="Z33" s="1039">
        <f>'29'!$G$83</f>
        <v>321</v>
      </c>
      <c r="AA33" s="1039">
        <f>'29'!G86</f>
        <v>47</v>
      </c>
      <c r="AB33" s="1039">
        <f>'29'!G87</f>
        <v>30</v>
      </c>
      <c r="AC33" s="1039">
        <f>'29'!G88</f>
        <v>112</v>
      </c>
      <c r="AD33" s="1039">
        <f>'29'!G87+'29'!H90</f>
        <v>33</v>
      </c>
      <c r="AE33" s="1039">
        <f>'29'!$G$62</f>
        <v>0</v>
      </c>
      <c r="AF33" s="1039">
        <f>'29'!$G$63</f>
        <v>0</v>
      </c>
      <c r="AG33" s="1039">
        <f>'29'!$G$64</f>
        <v>365</v>
      </c>
      <c r="AH33" s="1039">
        <f>'29'!$G$65</f>
        <v>415</v>
      </c>
      <c r="AI33" s="1039">
        <f>'29'!$G$66</f>
        <v>436</v>
      </c>
      <c r="AJ33" s="1039">
        <f>'29'!$G$67</f>
        <v>409</v>
      </c>
      <c r="AK33" s="1039">
        <f>'29'!$G$68</f>
        <v>0</v>
      </c>
      <c r="AL33" s="1039">
        <f>'29'!$G$69</f>
        <v>206</v>
      </c>
      <c r="AM33" s="1039">
        <f>'29'!$G$84</f>
        <v>785</v>
      </c>
      <c r="AN33" s="1039">
        <f>'29'!$G$15</f>
        <v>700</v>
      </c>
      <c r="AO33" s="1039">
        <f>'29'!$G$124</f>
        <v>261</v>
      </c>
      <c r="AP33" s="1039">
        <f>'29'!$G$125</f>
        <v>-0.39999999999417923</v>
      </c>
      <c r="AQ33" s="1039">
        <f>'29'!$G$126</f>
        <v>60</v>
      </c>
      <c r="AR33" s="1039">
        <f>'29'!$G$127</f>
        <v>30</v>
      </c>
      <c r="AS33" s="1039">
        <f>'29'!$G$128</f>
        <v>2</v>
      </c>
      <c r="AT33" s="1039">
        <f t="shared" si="0"/>
        <v>347.39999999999418</v>
      </c>
      <c r="AU33" s="1039">
        <f>SUM('29'!G140:G141)</f>
        <v>9.7600000000002183</v>
      </c>
      <c r="AV33" s="1039">
        <f>'29'!$G$137</f>
        <v>5.2199999999975262</v>
      </c>
      <c r="AW33" s="1039">
        <f>'29'!$G$138</f>
        <v>0</v>
      </c>
      <c r="AX33" s="1039">
        <f>'29'!$G$139</f>
        <v>4.5199999999895226</v>
      </c>
      <c r="AY33" s="1036">
        <f t="shared" si="1"/>
        <v>9.7399999999870488</v>
      </c>
      <c r="BA33" s="1044">
        <f t="shared" si="3"/>
        <v>-86.399999999994179</v>
      </c>
    </row>
    <row r="34" spans="1:53" s="1041" customFormat="1">
      <c r="A34" s="1038">
        <v>44042</v>
      </c>
      <c r="B34" s="261">
        <f>'30'!G7</f>
        <v>21500</v>
      </c>
      <c r="C34" s="261">
        <f>'30'!G8</f>
        <v>21500</v>
      </c>
      <c r="D34" s="261">
        <f>'30'!G15</f>
        <v>700</v>
      </c>
      <c r="E34" s="261">
        <f>'30'!G20</f>
        <v>134</v>
      </c>
      <c r="F34" s="1458">
        <f>SUM('30'!G35,'30'!G49)</f>
        <v>2702.8699999999953</v>
      </c>
      <c r="G34" s="1458">
        <f>SUM('30'!G37,'30'!G51)</f>
        <v>1412.1300000000047</v>
      </c>
      <c r="H34" s="1458">
        <f>SUM('30'!G38,'30'!G52)</f>
        <v>1353.9300000000512</v>
      </c>
      <c r="I34" s="261">
        <f>SUM('30'!G39,'30'!G53)</f>
        <v>3737</v>
      </c>
      <c r="J34" s="1458">
        <f>SUM('30'!G41,'30'!G42,'30'!G55,'30'!G56)</f>
        <v>5709</v>
      </c>
      <c r="K34" s="1458">
        <f>SUM('30'!G43,'30'!G57)</f>
        <v>2538</v>
      </c>
      <c r="L34" s="781">
        <f>'30'!G50</f>
        <v>944</v>
      </c>
      <c r="M34" s="781">
        <f>'30'!G36</f>
        <v>653</v>
      </c>
      <c r="N34" s="1030">
        <f>'30'!G72</f>
        <v>11</v>
      </c>
      <c r="O34" s="1030">
        <f>'30'!$G$73</f>
        <v>1</v>
      </c>
      <c r="P34" s="1030">
        <f>'30'!$G$74</f>
        <v>2</v>
      </c>
      <c r="Q34" s="1030">
        <f>'30'!$G$75</f>
        <v>131</v>
      </c>
      <c r="R34" s="1030">
        <f>'30'!$G$76</f>
        <v>75</v>
      </c>
      <c r="S34" s="1030">
        <f>'30'!$G$77</f>
        <v>60</v>
      </c>
      <c r="T34" s="1030">
        <f>'30'!$G$78</f>
        <v>115</v>
      </c>
      <c r="U34" s="1030">
        <f>'30'!$G$79</f>
        <v>159</v>
      </c>
      <c r="V34" s="1030">
        <f>'30'!$G$80</f>
        <v>381</v>
      </c>
      <c r="W34" s="1030">
        <f>'30'!$G$81</f>
        <v>140</v>
      </c>
      <c r="X34" s="1030">
        <f>'30'!$G$82</f>
        <v>11</v>
      </c>
      <c r="Y34" s="1030">
        <f>'30'!$G$58</f>
        <v>0</v>
      </c>
      <c r="Z34" s="1030">
        <f>'30'!$G$83</f>
        <v>274</v>
      </c>
      <c r="AA34" s="1030">
        <f>'30'!G86</f>
        <v>30</v>
      </c>
      <c r="AB34" s="1030">
        <f>'30'!G87</f>
        <v>35</v>
      </c>
      <c r="AC34" s="1030">
        <f>'30'!G88</f>
        <v>89</v>
      </c>
      <c r="AD34" s="1030">
        <f>'30'!G87+'30'!H90</f>
        <v>41</v>
      </c>
      <c r="AE34" s="1030">
        <f>'30'!$G$62</f>
        <v>0</v>
      </c>
      <c r="AF34" s="1030">
        <f>'30'!$G$63</f>
        <v>0</v>
      </c>
      <c r="AG34" s="1030">
        <f>'30'!$G$64</f>
        <v>353</v>
      </c>
      <c r="AH34" s="1030">
        <f>'30'!$G$65</f>
        <v>435</v>
      </c>
      <c r="AI34" s="1030">
        <f>'30'!$G$66</f>
        <v>439</v>
      </c>
      <c r="AJ34" s="1030">
        <f>'30'!$G$67</f>
        <v>462</v>
      </c>
      <c r="AK34" s="1030">
        <f>'30'!$G$68</f>
        <v>0</v>
      </c>
      <c r="AL34" s="1030">
        <f>'30'!$G$69</f>
        <v>252</v>
      </c>
      <c r="AM34" s="1030">
        <f>'30'!$G$84</f>
        <v>840</v>
      </c>
      <c r="AN34" s="1030">
        <f>'30'!$G$15</f>
        <v>700</v>
      </c>
      <c r="AO34" s="1030">
        <f>'30'!$G$124</f>
        <v>263</v>
      </c>
      <c r="AP34" s="1030">
        <f>'30'!$G$125</f>
        <v>0.39999999999417923</v>
      </c>
      <c r="AQ34" s="1030">
        <f>'30'!$G$126</f>
        <v>84</v>
      </c>
      <c r="AR34" s="1030">
        <f>'30'!$G$127</f>
        <v>30</v>
      </c>
      <c r="AS34" s="1030">
        <f>'30'!$G$128</f>
        <v>1</v>
      </c>
      <c r="AT34" s="1030">
        <f t="shared" si="0"/>
        <v>321.60000000000582</v>
      </c>
      <c r="AU34" s="1030">
        <f>SUM('30'!G140:G141)</f>
        <v>9.8399999999996908</v>
      </c>
      <c r="AV34" s="1030">
        <f>'30'!$G$137</f>
        <v>7.0000000003346941E-2</v>
      </c>
      <c r="AW34" s="1030">
        <f>'30'!$G$138</f>
        <v>0</v>
      </c>
      <c r="AX34" s="1030">
        <f>'30'!$G$139</f>
        <v>0</v>
      </c>
      <c r="AY34" s="1040">
        <f t="shared" si="1"/>
        <v>7.0000000003346941E-2</v>
      </c>
      <c r="BA34" s="1045">
        <f t="shared" si="3"/>
        <v>-58.600000000005821</v>
      </c>
    </row>
    <row r="35" spans="1:53">
      <c r="A35" s="1038">
        <v>44043</v>
      </c>
      <c r="B35" s="261">
        <f>'31'!G7</f>
        <v>21500</v>
      </c>
      <c r="C35" s="261">
        <f>'31'!G8</f>
        <v>21500</v>
      </c>
      <c r="D35" s="261">
        <f>'31'!G116</f>
        <v>-243</v>
      </c>
      <c r="E35" s="261">
        <f>'31'!G20</f>
        <v>-1823</v>
      </c>
      <c r="F35" s="1458">
        <f>SUM('31'!G35,'31'!G49)</f>
        <v>-78226</v>
      </c>
      <c r="G35" s="1458">
        <f>SUM('31'!G37,'31'!G51)</f>
        <v>-42334</v>
      </c>
      <c r="H35" s="1458">
        <f>SUM('31'!G38,'31'!G52)</f>
        <v>1249</v>
      </c>
      <c r="I35" s="261">
        <f>SUM('31'!G39,'31'!G53)</f>
        <v>-98355</v>
      </c>
      <c r="J35" s="1458">
        <f>SUM('31'!G41,'31'!G42,'31'!G55,'31'!G56)</f>
        <v>-170533</v>
      </c>
      <c r="K35" s="1458">
        <f>SUM('31'!G43,'31'!G57)</f>
        <v>-78208</v>
      </c>
      <c r="L35" s="781">
        <f>'31'!G50</f>
        <v>-32127</v>
      </c>
      <c r="M35" s="781">
        <f>'31'!G36</f>
        <v>173</v>
      </c>
      <c r="N35" s="1030">
        <f>'31'!G72</f>
        <v>-379</v>
      </c>
      <c r="O35" s="1030">
        <f>'31'!$G$73</f>
        <v>-35</v>
      </c>
      <c r="P35" s="1030">
        <f>'31'!$G$74</f>
        <v>-86110</v>
      </c>
      <c r="Q35" s="1030">
        <f>'31'!$G$75</f>
        <v>-3402</v>
      </c>
      <c r="R35" s="1030">
        <f>'31'!$G$76</f>
        <v>-1917</v>
      </c>
      <c r="S35" s="1030">
        <f>'31'!$G$77</f>
        <v>-1535</v>
      </c>
      <c r="T35" s="1030">
        <f>'31'!$G$78</f>
        <v>-2382</v>
      </c>
      <c r="U35" s="1030">
        <f>'31'!$G$79</f>
        <v>-4406</v>
      </c>
      <c r="V35" s="1030">
        <f>'31'!$G$80</f>
        <v>-11355</v>
      </c>
      <c r="W35" s="1030">
        <f>'31'!$G$81</f>
        <v>-4087</v>
      </c>
      <c r="X35" s="1030">
        <f>'31'!$G$82</f>
        <v>-523</v>
      </c>
      <c r="Y35" s="1030">
        <f>'31'!$G$58</f>
        <v>-4361</v>
      </c>
      <c r="Z35" s="1030">
        <f>'31'!$G$83</f>
        <v>-7045</v>
      </c>
      <c r="AA35" s="1030">
        <f>'31'!G87</f>
        <v>-698</v>
      </c>
      <c r="AB35" s="1030">
        <f>'31'!G88</f>
        <v>-2259</v>
      </c>
      <c r="AC35" s="1030">
        <f>'31'!G89</f>
        <v>-671.40000000000146</v>
      </c>
      <c r="AD35" s="1030">
        <f>'31'!G88+'31'!H92</f>
        <v>-2259</v>
      </c>
      <c r="AE35" s="1030">
        <f>'31'!$G$62</f>
        <v>0</v>
      </c>
      <c r="AF35" s="1030">
        <f>'31'!$G$63</f>
        <v>0</v>
      </c>
      <c r="AG35" s="1030">
        <f>'31'!$G$64</f>
        <v>-10090</v>
      </c>
      <c r="AH35" s="1030">
        <f>'31'!$G$65</f>
        <v>-9304</v>
      </c>
      <c r="AI35" s="1030">
        <f>'31'!$G$66</f>
        <v>-11165</v>
      </c>
      <c r="AJ35" s="1030">
        <f>'31'!$G$67</f>
        <v>-12767</v>
      </c>
      <c r="AK35" s="1030">
        <f>'31'!$G$68</f>
        <v>0</v>
      </c>
      <c r="AL35" s="1030">
        <f>'31'!$G$69</f>
        <v>-5766</v>
      </c>
      <c r="AM35" s="1030">
        <f>'31'!$G$84</f>
        <v>-22786</v>
      </c>
      <c r="AN35" s="1030">
        <f>'31'!$G$15</f>
        <v>700</v>
      </c>
      <c r="AO35" s="1030">
        <f>'31'!$G$124</f>
        <v>-7304</v>
      </c>
      <c r="AP35" s="1030">
        <f>'31'!$G$125</f>
        <v>0</v>
      </c>
      <c r="AQ35" s="1030">
        <f>'31'!$G$126</f>
        <v>-2106</v>
      </c>
      <c r="AR35" s="1030">
        <f>'31'!$G$127</f>
        <v>-665</v>
      </c>
      <c r="AS35" s="1030">
        <f>'31'!$G$128</f>
        <v>-40</v>
      </c>
      <c r="AT35" s="1030">
        <f t="shared" ref="AT35" si="4">AN35-SUM(AO35:AS35)</f>
        <v>10815</v>
      </c>
      <c r="AU35" s="1030">
        <f>SUM('31'!G141:G142)</f>
        <v>0</v>
      </c>
      <c r="AV35" s="1030">
        <f>'31'!$G$137</f>
        <v>-84.25</v>
      </c>
      <c r="AW35" s="1030">
        <f>'31'!$G$138</f>
        <v>-39.569999999999709</v>
      </c>
      <c r="AX35" s="1030">
        <f>'30'!$G$139</f>
        <v>0</v>
      </c>
      <c r="AY35" s="1040">
        <f t="shared" ref="AY35" si="5">SUM(AV35:AX35)</f>
        <v>-123.81999999999971</v>
      </c>
      <c r="BA35" s="1044"/>
    </row>
    <row r="36" spans="1:53" s="1456" customFormat="1">
      <c r="A36" s="1455" t="s">
        <v>347</v>
      </c>
      <c r="B36" s="1457">
        <f>AVERAGE(B5:B35)</f>
        <v>21494.921290322582</v>
      </c>
      <c r="C36" s="1455">
        <f t="shared" ref="C36:AY36" si="6">AVERAGE(C5:C35)</f>
        <v>21523.606129032258</v>
      </c>
      <c r="D36" s="1455">
        <f t="shared" si="6"/>
        <v>688.4245161290296</v>
      </c>
      <c r="E36" s="1455">
        <f t="shared" si="6"/>
        <v>40.87096774193548</v>
      </c>
      <c r="F36" s="1455">
        <f t="shared" si="6"/>
        <v>-2523.4193548387098</v>
      </c>
      <c r="G36" s="1455">
        <f t="shared" si="6"/>
        <v>-1365.6129032258063</v>
      </c>
      <c r="H36" s="1455">
        <f t="shared" si="6"/>
        <v>40.29032258064516</v>
      </c>
      <c r="I36" s="1455">
        <f t="shared" si="6"/>
        <v>-3172.7419354838707</v>
      </c>
      <c r="J36" s="1455">
        <f t="shared" si="6"/>
        <v>-5500.7061290322572</v>
      </c>
      <c r="K36" s="1455">
        <f t="shared" si="6"/>
        <v>-2522.8387096774195</v>
      </c>
      <c r="L36" s="1455">
        <f t="shared" si="6"/>
        <v>-1036.3548387096773</v>
      </c>
      <c r="M36" s="1455">
        <f t="shared" si="6"/>
        <v>5.580645161290323</v>
      </c>
      <c r="N36" s="1455">
        <f t="shared" si="6"/>
        <v>-12.258064516129032</v>
      </c>
      <c r="O36" s="1455">
        <f t="shared" si="6"/>
        <v>-1.1290322580645162</v>
      </c>
      <c r="P36" s="1455">
        <f t="shared" si="6"/>
        <v>-5554.4851612903221</v>
      </c>
      <c r="Q36" s="1455">
        <f t="shared" si="6"/>
        <v>-109.74193548387096</v>
      </c>
      <c r="R36" s="1455">
        <f t="shared" si="6"/>
        <v>-61.838709677419352</v>
      </c>
      <c r="S36" s="1455">
        <f t="shared" si="6"/>
        <v>-49.516129032258064</v>
      </c>
      <c r="T36" s="1455">
        <f t="shared" si="6"/>
        <v>-76.838709677419359</v>
      </c>
      <c r="U36" s="1455">
        <f t="shared" si="6"/>
        <v>-142.12903225806451</v>
      </c>
      <c r="V36" s="1455">
        <f t="shared" si="6"/>
        <v>-366.29032258064518</v>
      </c>
      <c r="W36" s="1455">
        <f t="shared" si="6"/>
        <v>-131.83870967741936</v>
      </c>
      <c r="X36" s="1455">
        <f t="shared" si="6"/>
        <v>-16.870967741935484</v>
      </c>
      <c r="Y36" s="1455">
        <f t="shared" si="6"/>
        <v>-140.67741935483872</v>
      </c>
      <c r="Z36" s="1455">
        <f t="shared" si="6"/>
        <v>-227.25806451612902</v>
      </c>
      <c r="AA36" s="1455">
        <f t="shared" si="6"/>
        <v>-22.516129032258064</v>
      </c>
      <c r="AB36" s="1455">
        <f t="shared" si="6"/>
        <v>-73.025806451612524</v>
      </c>
      <c r="AC36" s="1455">
        <f t="shared" si="6"/>
        <v>-21.65806451612908</v>
      </c>
      <c r="AD36" s="1455">
        <f t="shared" si="6"/>
        <v>-74.887096774193566</v>
      </c>
      <c r="AE36" s="1455">
        <f t="shared" si="6"/>
        <v>0</v>
      </c>
      <c r="AF36" s="1455">
        <f t="shared" si="6"/>
        <v>0</v>
      </c>
      <c r="AG36" s="1455">
        <f t="shared" si="6"/>
        <v>-325.48387096774195</v>
      </c>
      <c r="AH36" s="1455">
        <f t="shared" si="6"/>
        <v>-300.12903225806451</v>
      </c>
      <c r="AI36" s="1455">
        <f t="shared" si="6"/>
        <v>-360.16129032258067</v>
      </c>
      <c r="AJ36" s="1455">
        <f t="shared" si="6"/>
        <v>-411.83870967741933</v>
      </c>
      <c r="AK36" s="1455">
        <f t="shared" si="6"/>
        <v>0</v>
      </c>
      <c r="AL36" s="1455">
        <f t="shared" si="6"/>
        <v>-186</v>
      </c>
      <c r="AM36" s="1455">
        <f t="shared" si="6"/>
        <v>-735.0322580645161</v>
      </c>
      <c r="AN36" s="1455">
        <f t="shared" si="6"/>
        <v>718.84387096773924</v>
      </c>
      <c r="AO36" s="1455">
        <f t="shared" si="6"/>
        <v>-235.61290322580646</v>
      </c>
      <c r="AP36" s="1455">
        <f t="shared" si="6"/>
        <v>0</v>
      </c>
      <c r="AQ36" s="1455">
        <f t="shared" si="6"/>
        <v>-67.935483870967744</v>
      </c>
      <c r="AR36" s="1455">
        <f t="shared" si="6"/>
        <v>-21.451612903225808</v>
      </c>
      <c r="AS36" s="1455">
        <f t="shared" si="6"/>
        <v>-1.2903225806451613</v>
      </c>
      <c r="AT36" s="1455">
        <f t="shared" si="6"/>
        <v>1045.1341935483845</v>
      </c>
      <c r="AU36" s="1455">
        <f t="shared" si="6"/>
        <v>0</v>
      </c>
      <c r="AV36" s="1455">
        <f t="shared" si="6"/>
        <v>-2.717741935483871</v>
      </c>
      <c r="AW36" s="1455">
        <f t="shared" si="6"/>
        <v>-1.2764516129032164</v>
      </c>
      <c r="AX36" s="1455">
        <f t="shared" si="6"/>
        <v>0</v>
      </c>
      <c r="AY36" s="1455">
        <f t="shared" si="6"/>
        <v>-3.9941935483870874</v>
      </c>
    </row>
    <row r="37" spans="1:53">
      <c r="A37" s="1080"/>
      <c r="B37" s="1080"/>
      <c r="C37" s="1080"/>
      <c r="D37" s="1080"/>
      <c r="E37" s="1080"/>
      <c r="F37" s="35">
        <f t="shared" ref="F37:K37" si="7">F19-F18</f>
        <v>-109.86999999999534</v>
      </c>
      <c r="G37" s="35">
        <f t="shared" si="7"/>
        <v>17</v>
      </c>
      <c r="H37" s="35">
        <f t="shared" si="7"/>
        <v>-216.06999999994878</v>
      </c>
      <c r="I37" s="35">
        <f t="shared" si="7"/>
        <v>-359</v>
      </c>
      <c r="J37" s="35">
        <f t="shared" si="7"/>
        <v>-1150</v>
      </c>
      <c r="K37" s="35">
        <f t="shared" si="7"/>
        <v>-189</v>
      </c>
      <c r="L37" s="35"/>
      <c r="M37" s="35"/>
      <c r="AO37" s="1082" t="s">
        <v>110</v>
      </c>
      <c r="AP37" s="1083">
        <v>191</v>
      </c>
      <c r="AQ37" s="1083"/>
      <c r="AR37" s="1083"/>
    </row>
    <row r="38" spans="1:53">
      <c r="A38" s="1080"/>
      <c r="B38" s="1080"/>
      <c r="C38" s="1080"/>
      <c r="D38" s="1080"/>
      <c r="E38" s="1080"/>
      <c r="AO38" s="1083"/>
      <c r="AP38" s="1083">
        <v>88</v>
      </c>
      <c r="AQ38" s="1083"/>
      <c r="AR38" s="1083"/>
    </row>
    <row r="39" spans="1:53">
      <c r="A39" s="1080"/>
      <c r="B39" s="1080"/>
      <c r="C39" s="1080"/>
      <c r="D39" s="1080"/>
      <c r="E39" s="1080"/>
      <c r="AO39" s="1083"/>
      <c r="AP39" s="1084">
        <f>SUM(AP37:AP38)</f>
        <v>279</v>
      </c>
      <c r="AQ39" s="1085" t="s">
        <v>111</v>
      </c>
      <c r="AR39" s="1085">
        <v>335</v>
      </c>
    </row>
    <row r="40" spans="1:53">
      <c r="A40" s="1080"/>
      <c r="B40" s="1080"/>
      <c r="C40" s="1080"/>
      <c r="D40" s="1080"/>
      <c r="E40" s="1080"/>
      <c r="AO40" s="1083"/>
      <c r="AP40" s="1083"/>
      <c r="AQ40" s="1083"/>
      <c r="AR40" s="1083"/>
    </row>
    <row r="41" spans="1:53">
      <c r="A41" s="1080"/>
      <c r="B41" s="1080"/>
      <c r="C41" s="1080"/>
      <c r="D41" s="1080"/>
      <c r="E41" s="1080"/>
      <c r="N41" s="1044"/>
      <c r="O41" s="1044"/>
      <c r="P41" s="1044"/>
      <c r="Q41" s="1044"/>
      <c r="R41" s="1044"/>
      <c r="S41" s="1044"/>
      <c r="T41" s="1044"/>
      <c r="U41" s="1044"/>
      <c r="V41" s="1044"/>
      <c r="W41" s="1044"/>
      <c r="X41" s="1044"/>
      <c r="Y41" s="1044"/>
      <c r="Z41" s="1044"/>
      <c r="AA41" s="1044"/>
      <c r="AB41" s="1044"/>
      <c r="AC41" s="1044"/>
      <c r="AD41" s="1044"/>
      <c r="AE41" s="1044"/>
      <c r="AF41" s="1044"/>
      <c r="AG41" s="1044"/>
      <c r="AH41" s="1044"/>
      <c r="AI41" s="1044"/>
      <c r="AJ41" s="1044"/>
      <c r="AK41" s="1044"/>
      <c r="AL41" s="1044"/>
      <c r="AN41" s="1044"/>
      <c r="AO41" s="1082" t="s">
        <v>112</v>
      </c>
      <c r="AP41" s="1084">
        <v>168</v>
      </c>
      <c r="AQ41" s="1083"/>
      <c r="AR41" s="1083"/>
    </row>
    <row r="42" spans="1:53">
      <c r="A42" s="1080"/>
      <c r="B42" s="1080"/>
      <c r="C42" s="1080"/>
      <c r="D42" s="1080"/>
      <c r="E42" s="1080"/>
      <c r="AO42" s="1083"/>
      <c r="AP42" s="1083"/>
      <c r="AQ42" s="1085" t="s">
        <v>113</v>
      </c>
      <c r="AR42" s="1083"/>
    </row>
    <row r="43" spans="1:53">
      <c r="A43" s="1080"/>
      <c r="B43" s="1080"/>
      <c r="C43" s="1080"/>
      <c r="D43" s="1080"/>
      <c r="E43" s="1080"/>
      <c r="AO43" s="1083" t="s">
        <v>114</v>
      </c>
      <c r="AP43" s="1083">
        <f>20*38.68</f>
        <v>773.6</v>
      </c>
      <c r="AQ43" s="1083" t="s">
        <v>115</v>
      </c>
      <c r="AR43" s="1083"/>
    </row>
    <row r="44" spans="1:53">
      <c r="A44" s="1080"/>
      <c r="B44" s="1080"/>
      <c r="C44" s="1080"/>
      <c r="D44" s="1080"/>
      <c r="E44" s="1080"/>
    </row>
    <row r="45" spans="1:53">
      <c r="A45" s="1080"/>
      <c r="B45" s="1080"/>
      <c r="C45" s="1080"/>
      <c r="D45" s="1080"/>
      <c r="E45" s="1080"/>
    </row>
    <row r="46" spans="1:53">
      <c r="A46" s="1080"/>
      <c r="B46" s="1080"/>
      <c r="C46" s="1080"/>
      <c r="D46" s="1080"/>
      <c r="E46" s="1080"/>
    </row>
    <row r="47" spans="1:53">
      <c r="A47" s="1080"/>
      <c r="B47" s="1080"/>
      <c r="C47" s="1080"/>
      <c r="D47" s="1080"/>
      <c r="E47" s="1080"/>
    </row>
    <row r="48" spans="1:53">
      <c r="A48" s="1080"/>
      <c r="B48" s="1080"/>
      <c r="C48" s="1080"/>
      <c r="D48" s="1080"/>
      <c r="E48" s="1080"/>
    </row>
    <row r="49" spans="1:5">
      <c r="A49" s="1080"/>
      <c r="B49" s="1080"/>
      <c r="C49" s="1080"/>
      <c r="D49" s="1080"/>
      <c r="E49" s="1080"/>
    </row>
    <row r="50" spans="1:5">
      <c r="A50" s="1080"/>
      <c r="B50" s="1080"/>
      <c r="C50" s="1080"/>
      <c r="D50" s="1080"/>
      <c r="E50" s="1080"/>
    </row>
    <row r="51" spans="1:5">
      <c r="A51" s="1080"/>
      <c r="B51" s="1080"/>
      <c r="C51" s="1080"/>
      <c r="D51" s="1080"/>
      <c r="E51" s="1080"/>
    </row>
    <row r="52" spans="1:5">
      <c r="A52" s="1080"/>
      <c r="B52" s="1080"/>
      <c r="C52" s="1080"/>
      <c r="D52" s="1080"/>
      <c r="E52" s="1080"/>
    </row>
    <row r="53" spans="1:5">
      <c r="A53" s="1080"/>
      <c r="B53" s="1080"/>
      <c r="C53" s="1080"/>
      <c r="D53" s="1080"/>
      <c r="E53" s="1080"/>
    </row>
    <row r="54" spans="1:5">
      <c r="A54" s="1080"/>
      <c r="B54" s="1080"/>
      <c r="C54" s="1080"/>
      <c r="D54" s="1080"/>
      <c r="E54" s="1080"/>
    </row>
    <row r="55" spans="1:5">
      <c r="A55" s="1080"/>
      <c r="B55" s="1080"/>
      <c r="C55" s="1080"/>
      <c r="D55" s="1080"/>
      <c r="E55" s="1080"/>
    </row>
    <row r="56" spans="1:5">
      <c r="A56" s="1080"/>
      <c r="B56" s="1080"/>
      <c r="C56" s="1080"/>
      <c r="D56" s="1080"/>
      <c r="E56" s="1080"/>
    </row>
    <row r="57" spans="1:5">
      <c r="A57" s="1080"/>
      <c r="B57" s="1080"/>
      <c r="C57" s="1080"/>
      <c r="D57" s="1080"/>
      <c r="E57" s="1080"/>
    </row>
    <row r="58" spans="1:5">
      <c r="A58" s="1080"/>
      <c r="B58" s="1080"/>
      <c r="C58" s="1080"/>
      <c r="D58" s="1080"/>
      <c r="E58" s="1080"/>
    </row>
    <row r="59" spans="1:5">
      <c r="A59" s="1080"/>
      <c r="B59" s="1080"/>
      <c r="C59" s="1080"/>
      <c r="D59" s="1080"/>
      <c r="E59" s="1080"/>
    </row>
    <row r="60" spans="1:5">
      <c r="A60" s="1080"/>
      <c r="B60" s="1080"/>
      <c r="C60" s="1080"/>
      <c r="D60" s="1080"/>
      <c r="E60" s="1080"/>
    </row>
    <row r="61" spans="1:5">
      <c r="A61" s="1080"/>
      <c r="B61" s="1080"/>
      <c r="C61" s="1080"/>
      <c r="D61" s="1080"/>
      <c r="E61" s="1080"/>
    </row>
    <row r="62" spans="1:5">
      <c r="A62" s="1080"/>
      <c r="B62" s="1080"/>
      <c r="C62" s="1080"/>
      <c r="D62" s="1080"/>
      <c r="E62" s="1080"/>
    </row>
    <row r="63" spans="1:5">
      <c r="A63" s="1080"/>
      <c r="B63" s="1080"/>
      <c r="C63" s="1080"/>
      <c r="D63" s="1080"/>
      <c r="E63" s="1080"/>
    </row>
    <row r="64" spans="1:5">
      <c r="A64" s="1080"/>
      <c r="B64" s="1080"/>
      <c r="C64" s="1080"/>
      <c r="D64" s="1080"/>
      <c r="E64" s="1080"/>
    </row>
    <row r="65" spans="1:5">
      <c r="A65" s="1080"/>
      <c r="B65" s="1080"/>
      <c r="C65" s="1080"/>
      <c r="D65" s="1080"/>
      <c r="E65" s="1080"/>
    </row>
    <row r="66" spans="1:5">
      <c r="A66" s="1080"/>
      <c r="B66" s="1080"/>
      <c r="C66" s="1080"/>
      <c r="D66" s="1080"/>
      <c r="E66" s="1080"/>
    </row>
    <row r="67" spans="1:5">
      <c r="A67" s="1080"/>
      <c r="B67" s="1080"/>
      <c r="C67" s="1080"/>
      <c r="D67" s="1080"/>
      <c r="E67" s="1080"/>
    </row>
    <row r="68" spans="1:5">
      <c r="A68" s="1080"/>
      <c r="B68" s="1080"/>
      <c r="C68" s="1080"/>
      <c r="D68" s="1080"/>
      <c r="E68" s="1080"/>
    </row>
    <row r="69" spans="1:5">
      <c r="A69" s="1080"/>
      <c r="B69" s="1080"/>
      <c r="C69" s="1080"/>
      <c r="D69" s="1080"/>
      <c r="E69" s="1080"/>
    </row>
    <row r="70" spans="1:5">
      <c r="A70" s="1080"/>
      <c r="B70" s="1080"/>
      <c r="C70" s="1080"/>
      <c r="D70" s="1080"/>
      <c r="E70" s="1080"/>
    </row>
    <row r="71" spans="1:5">
      <c r="A71" s="1080"/>
      <c r="B71" s="1080"/>
      <c r="C71" s="1080"/>
      <c r="D71" s="1080"/>
      <c r="E71" s="1080"/>
    </row>
    <row r="72" spans="1:5">
      <c r="A72" s="1080"/>
      <c r="B72" s="1080"/>
      <c r="C72" s="1080"/>
      <c r="D72" s="1080"/>
      <c r="E72" s="1080"/>
    </row>
    <row r="73" spans="1:5">
      <c r="A73" s="1080"/>
      <c r="B73" s="1080"/>
      <c r="C73" s="1080"/>
      <c r="D73" s="1080"/>
      <c r="E73" s="1080"/>
    </row>
    <row r="74" spans="1:5">
      <c r="A74" s="1080"/>
      <c r="B74" s="1080"/>
      <c r="C74" s="1080"/>
      <c r="D74" s="1080"/>
      <c r="E74" s="1080"/>
    </row>
    <row r="75" spans="1:5">
      <c r="A75" s="1080"/>
      <c r="B75" s="1080"/>
      <c r="C75" s="1080"/>
      <c r="D75" s="1080"/>
      <c r="E75" s="1080"/>
    </row>
    <row r="76" spans="1:5">
      <c r="A76" s="1080"/>
      <c r="B76" s="1080"/>
      <c r="C76" s="1080"/>
      <c r="D76" s="1080"/>
      <c r="E76" s="1080"/>
    </row>
    <row r="77" spans="1:5">
      <c r="A77" s="1080"/>
      <c r="B77" s="1080"/>
      <c r="C77" s="1080"/>
      <c r="D77" s="1080"/>
      <c r="E77" s="1080"/>
    </row>
    <row r="78" spans="1:5">
      <c r="A78" s="1080"/>
      <c r="B78" s="1080"/>
      <c r="C78" s="1080"/>
      <c r="D78" s="1080"/>
      <c r="E78" s="1080"/>
    </row>
    <row r="79" spans="1:5">
      <c r="A79" s="1080"/>
      <c r="B79" s="1080"/>
      <c r="C79" s="1080"/>
      <c r="D79" s="1080"/>
      <c r="E79" s="1080"/>
    </row>
    <row r="80" spans="1:5">
      <c r="A80" s="1080"/>
      <c r="B80" s="1080"/>
      <c r="C80" s="1080"/>
      <c r="D80" s="1080"/>
      <c r="E80" s="1080"/>
    </row>
    <row r="81" spans="1:5">
      <c r="A81" s="1080"/>
      <c r="B81" s="1080"/>
      <c r="C81" s="1080"/>
      <c r="D81" s="1080"/>
      <c r="E81" s="1080"/>
    </row>
    <row r="82" spans="1:5">
      <c r="A82" s="1080"/>
      <c r="B82" s="1080"/>
      <c r="C82" s="1080"/>
      <c r="D82" s="1080"/>
      <c r="E82" s="1080"/>
    </row>
    <row r="83" spans="1:5">
      <c r="A83" s="1080"/>
      <c r="B83" s="1080"/>
      <c r="C83" s="1080"/>
      <c r="D83" s="1080"/>
      <c r="E83" s="1080"/>
    </row>
    <row r="84" spans="1:5">
      <c r="A84" s="1080"/>
      <c r="B84" s="1080"/>
      <c r="C84" s="1080"/>
      <c r="D84" s="1080"/>
      <c r="E84" s="1080"/>
    </row>
    <row r="85" spans="1:5">
      <c r="A85" s="1080"/>
      <c r="B85" s="1080"/>
      <c r="C85" s="1080"/>
      <c r="D85" s="1080"/>
      <c r="E85" s="1080"/>
    </row>
    <row r="86" spans="1:5">
      <c r="A86" s="1080"/>
      <c r="B86" s="1080"/>
      <c r="C86" s="1080"/>
      <c r="D86" s="1080"/>
      <c r="E86" s="1080"/>
    </row>
    <row r="87" spans="1:5">
      <c r="A87" s="1081"/>
      <c r="B87" s="1081"/>
      <c r="C87" s="1081"/>
      <c r="D87" s="1081"/>
      <c r="E87" s="1081"/>
    </row>
    <row r="88" spans="1:5">
      <c r="A88" s="1081"/>
      <c r="B88" s="1081"/>
      <c r="C88" s="1081"/>
      <c r="D88" s="1081"/>
      <c r="E88" s="1081"/>
    </row>
    <row r="89" spans="1:5">
      <c r="A89" s="1081"/>
      <c r="B89" s="1081"/>
      <c r="C89" s="1081"/>
      <c r="D89" s="1081"/>
      <c r="E89" s="1081"/>
    </row>
    <row r="90" spans="1:5">
      <c r="A90" s="1081"/>
      <c r="B90" s="1081"/>
      <c r="C90" s="1081"/>
      <c r="D90" s="1081"/>
      <c r="E90" s="1081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6" zoomScale="40" zoomScaleNormal="61" zoomScaleSheetLayoutView="40" zoomScalePageLayoutView="70" workbookViewId="0">
      <selection activeCell="E187" sqref="E187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5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214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274</v>
      </c>
      <c r="B2" s="1031">
        <v>44378</v>
      </c>
      <c r="C2" s="1304" t="s">
        <v>68</v>
      </c>
      <c r="D2" s="611">
        <v>0.73</v>
      </c>
      <c r="E2" s="736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4" t="s">
        <v>119</v>
      </c>
      <c r="D3" s="612">
        <v>30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4" t="s">
        <v>121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514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v>921953</v>
      </c>
      <c r="F7" s="455">
        <v>945055.75</v>
      </c>
      <c r="G7" s="473">
        <f>F7-E7</f>
        <v>23102.75</v>
      </c>
      <c r="H7" s="460">
        <f>G7</f>
        <v>23102.75</v>
      </c>
      <c r="I7" s="474">
        <v>12000</v>
      </c>
      <c r="J7" s="552">
        <f>H7/DAY(B2)</f>
        <v>23102.75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v>926722</v>
      </c>
      <c r="F8" s="475">
        <v>949982.79</v>
      </c>
      <c r="G8" s="476">
        <f>F8-E8</f>
        <v>23260.790000000037</v>
      </c>
      <c r="H8" s="460">
        <f>G8</f>
        <v>23260.790000000037</v>
      </c>
      <c r="I8" s="477">
        <v>12000</v>
      </c>
      <c r="J8" s="552">
        <f>H8/DAY(B2)</f>
        <v>23260.790000000037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v>2031002</v>
      </c>
      <c r="F9" s="478">
        <v>2055214.3</v>
      </c>
      <c r="G9" s="473">
        <f>F9-E9</f>
        <v>24212.300000000047</v>
      </c>
      <c r="H9" s="460">
        <f t="shared" ref="H9:H13" si="0">G9</f>
        <v>24212.300000000047</v>
      </c>
      <c r="I9" s="479">
        <f>I8-J8</f>
        <v>-11260.790000000037</v>
      </c>
      <c r="J9" s="552">
        <f>H9/DAY(B2)</f>
        <v>24212.300000000047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v>2323</v>
      </c>
      <c r="F10" s="478">
        <v>2323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24212.300000000047</v>
      </c>
      <c r="H13" s="460">
        <f t="shared" si="0"/>
        <v>24212.300000000047</v>
      </c>
      <c r="I13" s="482">
        <f>G7-G13</f>
        <v>-1109.5500000000466</v>
      </c>
      <c r="J13" s="552">
        <f>H13/DAY(B2)</f>
        <v>24212.300000000047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2" t="s">
        <v>139</v>
      </c>
      <c r="B15" s="589"/>
      <c r="C15" s="589"/>
      <c r="D15" s="523" t="s">
        <v>140</v>
      </c>
      <c r="E15" s="484">
        <v>1703683</v>
      </c>
      <c r="F15" s="484">
        <v>1704601.378</v>
      </c>
      <c r="G15" s="779">
        <f>(F15-E15)</f>
        <v>918.37800000002608</v>
      </c>
      <c r="H15" s="460">
        <f>G15</f>
        <v>918.37800000002608</v>
      </c>
      <c r="I15" s="474">
        <v>800</v>
      </c>
      <c r="J15" s="552">
        <f>H15/DAY(B2)</f>
        <v>918.37800000002608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-118.37800000002608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v>7</v>
      </c>
      <c r="F18" s="484">
        <v>9</v>
      </c>
      <c r="G18" s="481">
        <f>F18*10</f>
        <v>90</v>
      </c>
      <c r="H18" s="460">
        <f>G18</f>
        <v>90</v>
      </c>
      <c r="I18" s="474">
        <v>65</v>
      </c>
      <c r="J18" s="552">
        <f>H18/DAY(B2)</f>
        <v>90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v>141495</v>
      </c>
      <c r="F19" s="484">
        <v>141559</v>
      </c>
      <c r="G19" s="473">
        <f t="shared" ref="G19" si="2">F19-E19</f>
        <v>64</v>
      </c>
      <c r="H19" s="460">
        <f t="shared" ref="H19" si="3">G19</f>
        <v>64</v>
      </c>
      <c r="I19" s="489"/>
      <c r="J19" s="552">
        <f>H19/DAY(B2)</f>
        <v>64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154</v>
      </c>
      <c r="H20" s="460">
        <f>G20</f>
        <v>154</v>
      </c>
      <c r="I20" s="492">
        <f>I18-J20</f>
        <v>-89</v>
      </c>
      <c r="J20" s="552">
        <f>H20/DAY(B2)</f>
        <v>154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2" t="s">
        <v>146</v>
      </c>
      <c r="B22" s="589"/>
      <c r="C22" s="589"/>
      <c r="D22" s="523" t="s">
        <v>147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2" t="s">
        <v>148</v>
      </c>
      <c r="B23" s="589"/>
      <c r="C23" s="589"/>
      <c r="D23" s="523" t="s">
        <v>147</v>
      </c>
      <c r="E23" s="484">
        <v>2000</v>
      </c>
      <c r="F23" s="484">
        <v>2000</v>
      </c>
      <c r="G23" s="481">
        <f t="shared" ref="G23" si="4">(F23-E23)</f>
        <v>0</v>
      </c>
      <c r="H23" s="460">
        <f t="shared" ref="H23:H24" si="5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v>4970</v>
      </c>
      <c r="F24" s="493">
        <v>4850</v>
      </c>
      <c r="G24" s="481">
        <f>SUM(G22:G23)</f>
        <v>0</v>
      </c>
      <c r="H24" s="460">
        <f t="shared" si="5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23260.790000000037</v>
      </c>
      <c r="F27" s="501">
        <v>9</v>
      </c>
      <c r="G27" s="502">
        <f>E27*F27</f>
        <v>209347.11000000034</v>
      </c>
      <c r="H27" s="460">
        <f>G27</f>
        <v>209347.11000000034</v>
      </c>
      <c r="I27" s="503"/>
      <c r="J27" s="552">
        <f>H27/DAY(B2)</f>
        <v>209347.11000000034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918.37800000002608</v>
      </c>
      <c r="F28" s="501">
        <v>52</v>
      </c>
      <c r="G28" s="502">
        <f>E28*F28</f>
        <v>47755.656000001356</v>
      </c>
      <c r="H28" s="460">
        <f>G28</f>
        <v>47755.656000001356</v>
      </c>
      <c r="I28" s="505"/>
      <c r="J28" s="552">
        <f>H28/DAY(B2)</f>
        <v>47755.656000001356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v>60</v>
      </c>
      <c r="F30" s="501">
        <v>146</v>
      </c>
      <c r="G30" s="502">
        <f>E30*F30</f>
        <v>8760</v>
      </c>
      <c r="H30" s="460">
        <f>G30</f>
        <v>8760</v>
      </c>
      <c r="I30" s="505"/>
      <c r="J30" s="552">
        <f>H30/DAY(B2)</f>
        <v>8760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v>20</v>
      </c>
      <c r="F31" s="501">
        <v>80</v>
      </c>
      <c r="G31" s="502">
        <f>E31*F31</f>
        <v>1600</v>
      </c>
      <c r="H31" s="460">
        <f>G31</f>
        <v>1600</v>
      </c>
      <c r="I31" s="505"/>
      <c r="J31" s="552">
        <f>H31/DAY(B2)</f>
        <v>1600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267462.76600000169</v>
      </c>
      <c r="H32" s="460">
        <f t="shared" ref="H32" si="6">G32</f>
        <v>267462.76600000169</v>
      </c>
      <c r="I32" s="509"/>
      <c r="J32" s="552">
        <f>H32/DAY(B2)</f>
        <v>267462.76600000169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307"/>
      <c r="C34" s="1307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v>1028714</v>
      </c>
      <c r="F35" s="510">
        <v>1031622.1</v>
      </c>
      <c r="G35" s="473">
        <f>F35-E35</f>
        <v>2908.0999999999767</v>
      </c>
      <c r="H35" s="460">
        <f>G35</f>
        <v>2908.0999999999767</v>
      </c>
      <c r="I35" s="455"/>
      <c r="J35" s="552">
        <f>H35/DAY(B2)</f>
        <v>2908.0999999999767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v>20461</v>
      </c>
      <c r="F36" s="510">
        <v>21408.75</v>
      </c>
      <c r="G36" s="473">
        <f t="shared" ref="G36:G46" si="7">F36-E36</f>
        <v>947.75</v>
      </c>
      <c r="H36" s="460">
        <f t="shared" ref="H36:H47" si="8">G36</f>
        <v>947.75</v>
      </c>
      <c r="I36" s="455"/>
      <c r="J36" s="552">
        <f>H36/DAY(B2)</f>
        <v>947.75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v>176570</v>
      </c>
      <c r="F37" s="510">
        <v>178046.45</v>
      </c>
      <c r="G37" s="473">
        <f t="shared" si="7"/>
        <v>1476.4500000000116</v>
      </c>
      <c r="H37" s="460">
        <f t="shared" si="8"/>
        <v>1476.4500000000116</v>
      </c>
      <c r="I37" s="455"/>
      <c r="J37" s="552">
        <f>H37/DAY(B2)</f>
        <v>1476.4500000000116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v>198459</v>
      </c>
      <c r="F38" s="469">
        <v>200173.99</v>
      </c>
      <c r="G38" s="473">
        <f t="shared" si="7"/>
        <v>1714.9899999999907</v>
      </c>
      <c r="H38" s="460">
        <f t="shared" si="8"/>
        <v>1714.9899999999907</v>
      </c>
      <c r="I38" s="455"/>
      <c r="J38" s="552">
        <f>H38/DAY(B2)</f>
        <v>1714.9899999999907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v>404864</v>
      </c>
      <c r="F39" s="510">
        <v>408654.43</v>
      </c>
      <c r="G39" s="473">
        <f t="shared" si="7"/>
        <v>3790.429999999993</v>
      </c>
      <c r="H39" s="460">
        <f t="shared" si="8"/>
        <v>3790.429999999993</v>
      </c>
      <c r="I39" s="455"/>
      <c r="J39" s="552">
        <f>H39/DAY(B2)</f>
        <v>3790.429999999993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v>7113</v>
      </c>
      <c r="F40" s="510">
        <v>7598.05</v>
      </c>
      <c r="G40" s="473">
        <f t="shared" si="7"/>
        <v>485.05000000000018</v>
      </c>
      <c r="H40" s="460">
        <f t="shared" si="8"/>
        <v>485.05000000000018</v>
      </c>
      <c r="I40" s="455"/>
      <c r="J40" s="552">
        <f>H40/DAY(B2)</f>
        <v>485.05000000000018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v>329642</v>
      </c>
      <c r="F41" s="510">
        <v>333734.05</v>
      </c>
      <c r="G41" s="473">
        <f t="shared" si="7"/>
        <v>4092.0499999999884</v>
      </c>
      <c r="H41" s="460">
        <f t="shared" si="8"/>
        <v>4092.0499999999884</v>
      </c>
      <c r="I41" s="455"/>
      <c r="J41" s="552">
        <f>H41/DAY(B2)</f>
        <v>4092.0499999999884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v>59210</v>
      </c>
      <c r="F42" s="510">
        <v>59210.080000000002</v>
      </c>
      <c r="G42" s="473">
        <f t="shared" si="7"/>
        <v>8.000000000174623E-2</v>
      </c>
      <c r="H42" s="460">
        <f t="shared" si="8"/>
        <v>8.000000000174623E-2</v>
      </c>
      <c r="I42" s="455"/>
      <c r="J42" s="552">
        <f>H42/DAY(B2)</f>
        <v>8.000000000174623E-2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v>1120452</v>
      </c>
      <c r="F43" s="510">
        <v>1123087</v>
      </c>
      <c r="G43" s="473">
        <f t="shared" si="7"/>
        <v>2635</v>
      </c>
      <c r="H43" s="460">
        <f t="shared" si="8"/>
        <v>2635</v>
      </c>
      <c r="I43" s="455"/>
      <c r="J43" s="552">
        <f>H43/DAY(B2)</f>
        <v>2635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v>0</v>
      </c>
      <c r="F44" s="510">
        <v>0</v>
      </c>
      <c r="G44" s="473">
        <f t="shared" si="7"/>
        <v>0</v>
      </c>
      <c r="H44" s="460">
        <f t="shared" si="8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0</v>
      </c>
      <c r="F45" s="510">
        <v>614</v>
      </c>
      <c r="G45" s="473">
        <f t="shared" si="7"/>
        <v>614</v>
      </c>
      <c r="H45" s="460">
        <f t="shared" si="8"/>
        <v>614</v>
      </c>
      <c r="I45" s="455"/>
      <c r="J45" s="552">
        <f>H45/DAY(B2)</f>
        <v>614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0</v>
      </c>
      <c r="F46" s="510">
        <v>187</v>
      </c>
      <c r="G46" s="473">
        <f t="shared" si="7"/>
        <v>187</v>
      </c>
      <c r="H46" s="460">
        <f t="shared" si="8"/>
        <v>187</v>
      </c>
      <c r="I46" s="455"/>
      <c r="J46" s="552">
        <f>H46/DAY(B2)</f>
        <v>187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18850.899999999961</v>
      </c>
      <c r="H47" s="460">
        <f t="shared" si="8"/>
        <v>18850.899999999961</v>
      </c>
      <c r="I47" s="455"/>
      <c r="J47" s="552">
        <f>H47/DAY(B2)</f>
        <v>18850.899999999961</v>
      </c>
      <c r="K47" s="428"/>
      <c r="L47" s="377"/>
      <c r="N47" s="382"/>
      <c r="O47" s="382"/>
    </row>
    <row r="48" spans="1:15">
      <c r="A48" s="598" t="s">
        <v>176</v>
      </c>
      <c r="B48" s="1307"/>
      <c r="C48" s="1307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v>260732</v>
      </c>
      <c r="F49" s="510">
        <v>260732.13</v>
      </c>
      <c r="G49" s="473">
        <f t="shared" ref="G49:G58" si="9">F49-E49</f>
        <v>0.13000000000465661</v>
      </c>
      <c r="H49" s="460">
        <f>G49</f>
        <v>0.13000000000465661</v>
      </c>
      <c r="I49" s="455"/>
      <c r="J49" s="552">
        <f>H49/DAY(B2)</f>
        <v>0.13000000000465661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v>534663</v>
      </c>
      <c r="F50" s="510">
        <v>536092.35</v>
      </c>
      <c r="G50" s="473">
        <f t="shared" si="9"/>
        <v>1429.3499999999767</v>
      </c>
      <c r="H50" s="460">
        <f t="shared" ref="H50:H60" si="10">G50</f>
        <v>1429.3499999999767</v>
      </c>
      <c r="I50" s="455"/>
      <c r="J50" s="552">
        <f>H50/DAY(B2)</f>
        <v>1429.3499999999767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v>144640</v>
      </c>
      <c r="F51" s="510">
        <v>144639.87</v>
      </c>
      <c r="G51" s="473">
        <f t="shared" si="9"/>
        <v>-0.13000000000465661</v>
      </c>
      <c r="H51" s="460">
        <f t="shared" si="10"/>
        <v>-0.13000000000465661</v>
      </c>
      <c r="I51" s="455"/>
      <c r="J51" s="552">
        <f>H51/DAY(B2)</f>
        <v>-0.13000000000465661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v>539606</v>
      </c>
      <c r="F52" s="510">
        <v>539606</v>
      </c>
      <c r="G52" s="473">
        <f t="shared" si="9"/>
        <v>0</v>
      </c>
      <c r="H52" s="460">
        <f t="shared" si="10"/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v>434232</v>
      </c>
      <c r="F53" s="510">
        <v>434231.59</v>
      </c>
      <c r="G53" s="473">
        <f t="shared" si="9"/>
        <v>-0.40999999997438863</v>
      </c>
      <c r="H53" s="460">
        <f t="shared" si="10"/>
        <v>-0.40999999997438863</v>
      </c>
      <c r="I53" s="455"/>
      <c r="J53" s="552">
        <f>H53/DAY(B2)</f>
        <v>-0.40999999997438863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v>14967</v>
      </c>
      <c r="F54" s="510">
        <v>14967</v>
      </c>
      <c r="G54" s="473">
        <f t="shared" si="9"/>
        <v>0</v>
      </c>
      <c r="H54" s="460">
        <f t="shared" si="10"/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v>117636</v>
      </c>
      <c r="F55" s="510">
        <v>121192.26</v>
      </c>
      <c r="G55" s="473">
        <f t="shared" si="9"/>
        <v>3556.2599999999948</v>
      </c>
      <c r="H55" s="460">
        <f t="shared" si="10"/>
        <v>3556.2599999999948</v>
      </c>
      <c r="I55" s="455"/>
      <c r="J55" s="552">
        <f>H55/DAY(B2)</f>
        <v>3556.2599999999948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v>649032</v>
      </c>
      <c r="F56" s="510">
        <v>649043.47</v>
      </c>
      <c r="G56" s="473">
        <f t="shared" si="9"/>
        <v>11.46999999997206</v>
      </c>
      <c r="H56" s="460">
        <f t="shared" si="10"/>
        <v>11.46999999997206</v>
      </c>
      <c r="I56" s="455"/>
      <c r="J56" s="552">
        <f>H56/DAY(B2)</f>
        <v>11.46999999997206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v>7711</v>
      </c>
      <c r="F57" s="510">
        <v>7711</v>
      </c>
      <c r="G57" s="473">
        <f t="shared" si="9"/>
        <v>0</v>
      </c>
      <c r="H57" s="460">
        <f t="shared" si="10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v>53986</v>
      </c>
      <c r="F58" s="510">
        <v>54200.2</v>
      </c>
      <c r="G58" s="473">
        <f t="shared" si="9"/>
        <v>214.19999999999709</v>
      </c>
      <c r="H58" s="460">
        <f t="shared" si="10"/>
        <v>214.19999999999709</v>
      </c>
      <c r="I58" s="455"/>
      <c r="J58" s="552">
        <f>H58/DAY(B2)</f>
        <v>214.19999999999709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5210.8699999999662</v>
      </c>
      <c r="H59" s="460">
        <f t="shared" si="10"/>
        <v>5210.8699999999662</v>
      </c>
      <c r="I59" s="455">
        <f>G7-G60</f>
        <v>-959.01999999992768</v>
      </c>
      <c r="J59" s="552">
        <f>H59/DAY(B2)</f>
        <v>5210.8699999999662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24061.769999999928</v>
      </c>
      <c r="H60" s="460">
        <f t="shared" si="10"/>
        <v>24061.769999999928</v>
      </c>
      <c r="I60" s="455">
        <f>G13-G60</f>
        <v>150.53000000011889</v>
      </c>
      <c r="J60" s="552">
        <f>H60/DAY(B2)</f>
        <v>24061.769999999928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11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v>0</v>
      </c>
      <c r="F63" s="514">
        <v>0</v>
      </c>
      <c r="G63" s="473">
        <f t="shared" si="11"/>
        <v>0</v>
      </c>
      <c r="H63" s="460">
        <f t="shared" ref="H63:H70" si="12">G63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v>170022</v>
      </c>
      <c r="F64" s="484">
        <v>170394.89</v>
      </c>
      <c r="G64" s="473">
        <f t="shared" si="11"/>
        <v>372.89000000001397</v>
      </c>
      <c r="H64" s="460">
        <f t="shared" si="12"/>
        <v>372.89000000001397</v>
      </c>
      <c r="I64" s="480"/>
      <c r="J64" s="552">
        <f>H64/DAY(B2)</f>
        <v>372.89000000001397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v>170302</v>
      </c>
      <c r="F65" s="484">
        <v>170733.97</v>
      </c>
      <c r="G65" s="473">
        <f t="shared" si="11"/>
        <v>431.97000000000116</v>
      </c>
      <c r="H65" s="460">
        <f t="shared" si="12"/>
        <v>431.97000000000116</v>
      </c>
      <c r="I65" s="489"/>
      <c r="J65" s="552">
        <f>H65/DAY(B2)</f>
        <v>431.97000000000116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v>67970</v>
      </c>
      <c r="F66" s="484">
        <v>68403.92</v>
      </c>
      <c r="G66" s="473">
        <f t="shared" si="11"/>
        <v>433.91999999999825</v>
      </c>
      <c r="H66" s="460">
        <f t="shared" si="12"/>
        <v>433.91999999999825</v>
      </c>
      <c r="I66" s="480"/>
      <c r="J66" s="552">
        <f>H66/DAY(B2)</f>
        <v>433.91999999999825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v>264959</v>
      </c>
      <c r="F67" s="484">
        <v>265431.40999999997</v>
      </c>
      <c r="G67" s="473">
        <f t="shared" si="11"/>
        <v>472.40999999997439</v>
      </c>
      <c r="H67" s="460">
        <f t="shared" si="12"/>
        <v>472.40999999997439</v>
      </c>
      <c r="I67" s="489"/>
      <c r="J67" s="552">
        <f>H67/DAY(B2)</f>
        <v>472.40999999997439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v>85321</v>
      </c>
      <c r="F68" s="484">
        <v>85321</v>
      </c>
      <c r="G68" s="473">
        <f t="shared" si="11"/>
        <v>0</v>
      </c>
      <c r="H68" s="460">
        <f t="shared" si="12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v>87515</v>
      </c>
      <c r="F69" s="484">
        <v>87751.62</v>
      </c>
      <c r="G69" s="473">
        <f t="shared" si="11"/>
        <v>236.61999999999534</v>
      </c>
      <c r="H69" s="460">
        <f t="shared" si="12"/>
        <v>236.61999999999534</v>
      </c>
      <c r="I69" s="516"/>
      <c r="J69" s="552">
        <f>H69/DAY(B2)</f>
        <v>236.61999999999534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 t="shared" si="12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v>856222</v>
      </c>
      <c r="F72" s="519">
        <v>856231</v>
      </c>
      <c r="G72" s="473">
        <f t="shared" ref="G72:G84" si="13">F72-E72</f>
        <v>9</v>
      </c>
      <c r="H72" s="460">
        <f>G72</f>
        <v>9</v>
      </c>
      <c r="I72" s="480"/>
      <c r="J72" s="552">
        <f>H72/DAY(B2)</f>
        <v>9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20">
        <v>885972</v>
      </c>
      <c r="F73" s="520">
        <v>885974</v>
      </c>
      <c r="G73" s="473">
        <f t="shared" si="13"/>
        <v>2</v>
      </c>
      <c r="H73" s="460">
        <f t="shared" ref="H73:H88" si="14">G73</f>
        <v>2</v>
      </c>
      <c r="I73" s="480"/>
      <c r="J73" s="552">
        <f>H73/DAY(B2)</f>
        <v>2</v>
      </c>
      <c r="K73" s="430"/>
      <c r="L73" s="377"/>
      <c r="N73" s="382"/>
      <c r="O73" s="382"/>
    </row>
    <row r="74" spans="1:15" ht="27.75">
      <c r="A74" s="1581" t="s">
        <v>192</v>
      </c>
      <c r="B74" s="1582"/>
      <c r="C74" s="1583"/>
      <c r="D74" s="523" t="s">
        <v>186</v>
      </c>
      <c r="E74" s="521">
        <v>88696</v>
      </c>
      <c r="F74" s="521">
        <v>88697.7</v>
      </c>
      <c r="G74" s="473">
        <f t="shared" si="13"/>
        <v>1.6999999999970896</v>
      </c>
      <c r="H74" s="460">
        <f t="shared" si="14"/>
        <v>1.6999999999970896</v>
      </c>
      <c r="I74" s="480"/>
      <c r="J74" s="552">
        <f>H74/DAY(B2)</f>
        <v>1.6999999999970896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21">
        <v>16071</v>
      </c>
      <c r="F75" s="521">
        <v>16214.18</v>
      </c>
      <c r="G75" s="473">
        <f t="shared" si="13"/>
        <v>143.18000000000029</v>
      </c>
      <c r="H75" s="460">
        <f t="shared" si="14"/>
        <v>143.18000000000029</v>
      </c>
      <c r="I75" s="480"/>
      <c r="J75" s="552">
        <f>H75/DAY(B2)</f>
        <v>143.18000000000029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20">
        <v>9336</v>
      </c>
      <c r="F76" s="520">
        <v>9405.3799999999992</v>
      </c>
      <c r="G76" s="473">
        <f t="shared" si="13"/>
        <v>69.3799999999992</v>
      </c>
      <c r="H76" s="460">
        <f t="shared" si="14"/>
        <v>69.3799999999992</v>
      </c>
      <c r="I76" s="505"/>
      <c r="J76" s="552">
        <f>H76/DAY(B2)</f>
        <v>69.3799999999992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21">
        <v>704374</v>
      </c>
      <c r="F77" s="520">
        <v>704427</v>
      </c>
      <c r="G77" s="473">
        <f t="shared" si="13"/>
        <v>53</v>
      </c>
      <c r="H77" s="460">
        <f t="shared" si="14"/>
        <v>53</v>
      </c>
      <c r="I77" s="505"/>
      <c r="J77" s="552">
        <f>H77/DAY(B2)</f>
        <v>53</v>
      </c>
      <c r="K77" s="430"/>
      <c r="L77" s="377"/>
      <c r="N77" s="382"/>
      <c r="O77" s="382"/>
    </row>
    <row r="78" spans="1:15" ht="27.75">
      <c r="A78" s="1305" t="s">
        <v>196</v>
      </c>
      <c r="B78" s="1298"/>
      <c r="C78" s="1298"/>
      <c r="D78" s="523" t="s">
        <v>186</v>
      </c>
      <c r="E78" s="521">
        <v>675414</v>
      </c>
      <c r="F78" s="520">
        <v>675528</v>
      </c>
      <c r="G78" s="473">
        <f t="shared" si="13"/>
        <v>114</v>
      </c>
      <c r="H78" s="460">
        <f t="shared" si="14"/>
        <v>114</v>
      </c>
      <c r="I78" s="505"/>
      <c r="J78" s="552">
        <f>H78/DAY(B2)</f>
        <v>114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v>835416</v>
      </c>
      <c r="F79" s="520">
        <v>835569</v>
      </c>
      <c r="G79" s="473">
        <f t="shared" si="13"/>
        <v>153</v>
      </c>
      <c r="H79" s="460">
        <f t="shared" si="14"/>
        <v>153</v>
      </c>
      <c r="I79" s="505"/>
      <c r="J79" s="552">
        <f>H79/DAY(B2)</f>
        <v>153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v>539013</v>
      </c>
      <c r="F80" s="520">
        <v>539422.92000000004</v>
      </c>
      <c r="G80" s="473">
        <f t="shared" si="13"/>
        <v>409.92000000004191</v>
      </c>
      <c r="H80" s="460">
        <f t="shared" si="14"/>
        <v>409.92000000004191</v>
      </c>
      <c r="I80" s="505"/>
      <c r="J80" s="552">
        <f>H80/DAY(B2)</f>
        <v>409.92000000004191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v>642985</v>
      </c>
      <c r="F81" s="520">
        <v>643116.64</v>
      </c>
      <c r="G81" s="473">
        <f t="shared" si="13"/>
        <v>131.64000000001397</v>
      </c>
      <c r="H81" s="460">
        <f t="shared" si="14"/>
        <v>131.64000000001397</v>
      </c>
      <c r="I81" s="505"/>
      <c r="J81" s="552">
        <f>H81/DAY(B2)</f>
        <v>131.64000000001397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v>108681</v>
      </c>
      <c r="F82" s="541">
        <v>108705.9</v>
      </c>
      <c r="G82" s="473">
        <f t="shared" si="13"/>
        <v>24.899999999994179</v>
      </c>
      <c r="H82" s="460">
        <f t="shared" si="14"/>
        <v>24.899999999994179</v>
      </c>
      <c r="I82" s="486"/>
      <c r="J82" s="552">
        <f>H82/DAY(B2)</f>
        <v>24.899999999994179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v>27551</v>
      </c>
      <c r="F83" s="1387">
        <v>27902</v>
      </c>
      <c r="G83" s="473">
        <f t="shared" si="13"/>
        <v>351</v>
      </c>
      <c r="H83" s="460">
        <f t="shared" si="14"/>
        <v>351</v>
      </c>
      <c r="I83" s="481"/>
      <c r="J83" s="552">
        <f>H83/DAY(B2)</f>
        <v>351</v>
      </c>
      <c r="K83" s="429"/>
      <c r="L83" s="377"/>
      <c r="N83" s="382"/>
      <c r="O83" s="721"/>
    </row>
    <row r="84" spans="1:15">
      <c r="A84" s="1306" t="s">
        <v>200</v>
      </c>
      <c r="B84" s="571"/>
      <c r="C84" s="571"/>
      <c r="D84" s="478" t="s">
        <v>131</v>
      </c>
      <c r="E84" s="627">
        <v>523080</v>
      </c>
      <c r="F84" s="627">
        <v>523896</v>
      </c>
      <c r="G84" s="473">
        <f t="shared" si="13"/>
        <v>816</v>
      </c>
      <c r="H84" s="460">
        <f t="shared" si="14"/>
        <v>816</v>
      </c>
      <c r="I84" s="481"/>
      <c r="J84" s="552">
        <f>H84/DAY(B2)</f>
        <v>816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627"/>
      <c r="G85" s="460">
        <f xml:space="preserve"> SUM(G71:G84)</f>
        <v>2278.7200000000466</v>
      </c>
      <c r="H85" s="460">
        <f t="shared" si="14"/>
        <v>2278.7200000000466</v>
      </c>
      <c r="I85" s="481"/>
      <c r="J85" s="552">
        <f>H85/DAY(B2)</f>
        <v>2278.7200000000466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v>461821</v>
      </c>
      <c r="F86" s="647">
        <v>461843.88</v>
      </c>
      <c r="G86" s="705">
        <f t="shared" ref="G86:G91" si="15">F86-E86</f>
        <v>22.880000000004657</v>
      </c>
      <c r="H86" s="705">
        <f t="shared" si="14"/>
        <v>22.880000000004657</v>
      </c>
      <c r="I86" s="652"/>
      <c r="J86" s="707">
        <f>H86/DAY(B2)</f>
        <v>22.880000000004657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v>82073</v>
      </c>
      <c r="F87" s="647">
        <v>82106.3</v>
      </c>
      <c r="G87" s="705">
        <f t="shared" si="15"/>
        <v>33.30000000000291</v>
      </c>
      <c r="H87" s="705">
        <f t="shared" si="14"/>
        <v>33.30000000000291</v>
      </c>
      <c r="I87" s="652"/>
      <c r="J87" s="707">
        <f>H87/DAY(B2)</f>
        <v>33.30000000000291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v>155323</v>
      </c>
      <c r="F88" s="647">
        <v>155460.06</v>
      </c>
      <c r="G88" s="705">
        <f t="shared" si="15"/>
        <v>137.05999999999767</v>
      </c>
      <c r="H88" s="705">
        <f t="shared" si="14"/>
        <v>137.05999999999767</v>
      </c>
      <c r="I88" s="652"/>
      <c r="J88" s="707">
        <f>H88/DAY(B2)</f>
        <v>137.05999999999767</v>
      </c>
      <c r="K88" s="733"/>
      <c r="L88" s="734"/>
      <c r="N88" s="777"/>
      <c r="O88" s="382"/>
    </row>
    <row r="89" spans="1:15" s="735" customFormat="1">
      <c r="A89" s="730" t="s">
        <v>202</v>
      </c>
      <c r="B89" s="731"/>
      <c r="C89" s="731"/>
      <c r="D89" s="732" t="s">
        <v>182</v>
      </c>
      <c r="E89" s="647">
        <v>65846</v>
      </c>
      <c r="F89" s="647">
        <v>65880.399999999994</v>
      </c>
      <c r="G89" s="705">
        <f t="shared" si="15"/>
        <v>34.399999999994179</v>
      </c>
      <c r="H89" s="705">
        <f>G89</f>
        <v>34.399999999994179</v>
      </c>
      <c r="I89" s="652"/>
      <c r="J89" s="707">
        <f>H89/DAY(B2)</f>
        <v>34.399999999994179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v>3344</v>
      </c>
      <c r="F90" s="647">
        <v>3349.4</v>
      </c>
      <c r="G90" s="705">
        <f t="shared" si="15"/>
        <v>5.4000000000000909</v>
      </c>
      <c r="H90" s="705">
        <f>G90</f>
        <v>5.4000000000000909</v>
      </c>
      <c r="I90" s="652"/>
      <c r="J90" s="707">
        <f>H90/DAY(B2)</f>
        <v>5.4000000000000909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47">
        <v>28250</v>
      </c>
      <c r="F91" s="647">
        <v>28259.024000000001</v>
      </c>
      <c r="G91" s="705">
        <f t="shared" si="15"/>
        <v>9.0240000000012515</v>
      </c>
      <c r="H91" s="705">
        <f>G91</f>
        <v>9.0240000000012515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72"/>
      <c r="G92" s="488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v>247352</v>
      </c>
      <c r="F93" s="541">
        <v>247441</v>
      </c>
      <c r="G93" s="473">
        <f t="shared" ref="G93:G94" si="16">F93-E93</f>
        <v>89</v>
      </c>
      <c r="H93" s="460">
        <f t="shared" ref="H93" si="17">G93</f>
        <v>89</v>
      </c>
      <c r="I93" s="480"/>
      <c r="J93" s="552">
        <f>H93/DAY(B2)</f>
        <v>89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v>189454</v>
      </c>
      <c r="F94" s="541">
        <v>189551</v>
      </c>
      <c r="G94" s="473">
        <f t="shared" si="16"/>
        <v>97</v>
      </c>
      <c r="H94" s="460">
        <f>G94</f>
        <v>97</v>
      </c>
      <c r="I94" s="480"/>
      <c r="J94" s="552">
        <f>H94/DAY(B2)</f>
        <v>97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/>
      <c r="F95" s="541"/>
      <c r="G95" s="473">
        <f>G93+G94</f>
        <v>186</v>
      </c>
      <c r="H95" s="460"/>
      <c r="I95" s="480"/>
      <c r="J95" s="552"/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v>415999</v>
      </c>
      <c r="F96" s="484">
        <v>416085</v>
      </c>
      <c r="G96" s="473">
        <f t="shared" ref="G96:G101" si="18">F96-E96</f>
        <v>86</v>
      </c>
      <c r="H96" s="460">
        <f t="shared" ref="H96:H102" si="19">G96</f>
        <v>86</v>
      </c>
      <c r="I96" s="480"/>
      <c r="J96" s="552">
        <f>H96/DAY(B2)</f>
        <v>86</v>
      </c>
      <c r="K96" s="380"/>
      <c r="L96" s="377"/>
      <c r="N96" s="382"/>
      <c r="O96" s="382"/>
    </row>
    <row r="97" spans="1:15" ht="27.75">
      <c r="A97" s="1302" t="s">
        <v>209</v>
      </c>
      <c r="B97" s="1303"/>
      <c r="C97" s="1303"/>
      <c r="D97" s="523" t="s">
        <v>143</v>
      </c>
      <c r="E97" s="484">
        <v>103163</v>
      </c>
      <c r="F97" s="484">
        <v>103180</v>
      </c>
      <c r="G97" s="473">
        <f t="shared" si="18"/>
        <v>17</v>
      </c>
      <c r="H97" s="460">
        <f t="shared" si="19"/>
        <v>17</v>
      </c>
      <c r="I97" s="480"/>
      <c r="J97" s="552">
        <f>H97/DAY(B2)</f>
        <v>17</v>
      </c>
      <c r="K97" s="427"/>
      <c r="L97" s="377"/>
      <c r="N97" s="382"/>
      <c r="O97" s="382"/>
    </row>
    <row r="98" spans="1:15" ht="27.75">
      <c r="A98" s="1302" t="s">
        <v>210</v>
      </c>
      <c r="B98" s="1303"/>
      <c r="C98" s="1303"/>
      <c r="D98" s="523" t="s">
        <v>143</v>
      </c>
      <c r="E98" s="484">
        <v>98657</v>
      </c>
      <c r="F98" s="484">
        <v>98675</v>
      </c>
      <c r="G98" s="473">
        <f t="shared" si="18"/>
        <v>18</v>
      </c>
      <c r="H98" s="460">
        <f t="shared" si="19"/>
        <v>18</v>
      </c>
      <c r="I98" s="480"/>
      <c r="J98" s="552">
        <f>H98/DAY(B2)</f>
        <v>18</v>
      </c>
      <c r="K98" s="432"/>
      <c r="L98" s="377"/>
      <c r="N98" s="382"/>
      <c r="O98" s="382"/>
    </row>
    <row r="99" spans="1:15" ht="27.75">
      <c r="A99" s="1302" t="s">
        <v>211</v>
      </c>
      <c r="B99" s="1303"/>
      <c r="C99" s="1303"/>
      <c r="D99" s="523" t="s">
        <v>143</v>
      </c>
      <c r="E99" s="484">
        <v>150405</v>
      </c>
      <c r="F99" s="484">
        <v>150455</v>
      </c>
      <c r="G99" s="473">
        <f t="shared" si="18"/>
        <v>50</v>
      </c>
      <c r="H99" s="460">
        <f t="shared" si="19"/>
        <v>50</v>
      </c>
      <c r="I99" s="480"/>
      <c r="J99" s="552">
        <f>H99/DAY(B2)</f>
        <v>50</v>
      </c>
      <c r="K99" s="380"/>
      <c r="L99" s="377"/>
      <c r="N99" s="382"/>
      <c r="O99" s="382"/>
    </row>
    <row r="100" spans="1:15" ht="27.75">
      <c r="A100" s="1302" t="s">
        <v>212</v>
      </c>
      <c r="B100" s="1303"/>
      <c r="C100" s="1303"/>
      <c r="D100" s="523" t="s">
        <v>143</v>
      </c>
      <c r="E100" s="484">
        <v>7797</v>
      </c>
      <c r="F100" s="484">
        <v>7802</v>
      </c>
      <c r="G100" s="473">
        <f t="shared" si="18"/>
        <v>5</v>
      </c>
      <c r="H100" s="460">
        <f t="shared" si="19"/>
        <v>5</v>
      </c>
      <c r="I100" s="480"/>
      <c r="J100" s="552">
        <f>H100/DAY(B2)</f>
        <v>5</v>
      </c>
      <c r="K100" s="380"/>
      <c r="L100" s="377"/>
      <c r="N100" s="382"/>
      <c r="O100" s="382"/>
    </row>
    <row r="101" spans="1:15" ht="27.75">
      <c r="A101" s="1302" t="s">
        <v>213</v>
      </c>
      <c r="B101" s="1303"/>
      <c r="C101" s="1303"/>
      <c r="D101" s="523" t="s">
        <v>143</v>
      </c>
      <c r="E101" s="484">
        <v>5674</v>
      </c>
      <c r="F101" s="484">
        <v>5679</v>
      </c>
      <c r="G101" s="473">
        <f t="shared" si="18"/>
        <v>5</v>
      </c>
      <c r="H101" s="460">
        <f t="shared" si="19"/>
        <v>5</v>
      </c>
      <c r="I101" s="480" t="s">
        <v>214</v>
      </c>
      <c r="J101" s="552">
        <f>H101/DAY(B2)</f>
        <v>5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525">
        <f>SUM(G96:G101)</f>
        <v>181</v>
      </c>
      <c r="H102" s="460">
        <f t="shared" si="19"/>
        <v>181</v>
      </c>
      <c r="I102" s="526"/>
      <c r="J102" s="552">
        <f>H102/DAY(B2)</f>
        <v>181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300"/>
      <c r="D105" s="622" t="s">
        <v>143</v>
      </c>
      <c r="E105" s="532">
        <v>7637</v>
      </c>
      <c r="F105" s="534">
        <v>7637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51" t="s">
        <v>76</v>
      </c>
      <c r="B106" s="1552"/>
      <c r="C106" s="1300"/>
      <c r="D106" s="622" t="s">
        <v>143</v>
      </c>
      <c r="E106" s="534">
        <v>36162</v>
      </c>
      <c r="F106" s="534">
        <v>36174</v>
      </c>
      <c r="G106" s="532">
        <f t="shared" ref="G106:G107" si="20">F106-E106</f>
        <v>12</v>
      </c>
      <c r="H106" s="533">
        <f t="shared" ref="H106:H121" si="21">G106</f>
        <v>12</v>
      </c>
      <c r="I106" s="532"/>
      <c r="J106" s="558">
        <f>H106/DAY(B2)</f>
        <v>12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v>19822</v>
      </c>
      <c r="F107" s="534">
        <v>19827</v>
      </c>
      <c r="G107" s="532">
        <f t="shared" si="20"/>
        <v>5</v>
      </c>
      <c r="H107" s="533">
        <f t="shared" si="21"/>
        <v>5</v>
      </c>
      <c r="I107" s="532"/>
      <c r="J107" s="558">
        <f>G110/DAY(B2)</f>
        <v>98</v>
      </c>
      <c r="N107" s="444"/>
      <c r="O107" s="382"/>
    </row>
    <row r="108" spans="1:15" s="442" customFormat="1" ht="27.75">
      <c r="A108" s="1553" t="s">
        <v>201</v>
      </c>
      <c r="B108" s="1554"/>
      <c r="C108" s="1300"/>
      <c r="D108" s="622"/>
      <c r="E108" s="532"/>
      <c r="F108" s="534"/>
      <c r="G108" s="532">
        <f>SUM(G105:G107)</f>
        <v>17</v>
      </c>
      <c r="H108" s="533">
        <f t="shared" si="21"/>
        <v>17</v>
      </c>
      <c r="I108" s="532"/>
      <c r="J108" s="558">
        <f>H108/DAY(B2)</f>
        <v>17</v>
      </c>
      <c r="N108" s="444"/>
      <c r="O108" s="382"/>
    </row>
    <row r="109" spans="1:15" s="442" customFormat="1" ht="27.75">
      <c r="A109" s="1557" t="s">
        <v>78</v>
      </c>
      <c r="B109" s="1558"/>
      <c r="C109" s="1300"/>
      <c r="D109" s="622" t="s">
        <v>143</v>
      </c>
      <c r="E109" s="532"/>
      <c r="F109" s="534"/>
      <c r="G109" s="532"/>
      <c r="H109" s="533">
        <f t="shared" si="21"/>
        <v>0</v>
      </c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300"/>
      <c r="D110" s="622" t="s">
        <v>143</v>
      </c>
      <c r="E110" s="532">
        <v>64843</v>
      </c>
      <c r="F110" s="534">
        <v>64941</v>
      </c>
      <c r="G110" s="532">
        <f>F110-E110</f>
        <v>98</v>
      </c>
      <c r="H110" s="533">
        <f t="shared" si="21"/>
        <v>98</v>
      </c>
      <c r="I110" s="532"/>
      <c r="J110" s="558">
        <f>H110/DAY(B2)</f>
        <v>98</v>
      </c>
      <c r="N110" s="444"/>
      <c r="O110" s="382"/>
    </row>
    <row r="111" spans="1:15" s="442" customFormat="1" ht="27.75">
      <c r="A111" s="1551" t="s">
        <v>220</v>
      </c>
      <c r="B111" s="1552"/>
      <c r="C111" s="1300"/>
      <c r="D111" s="622" t="s">
        <v>143</v>
      </c>
      <c r="E111" s="532">
        <v>33129</v>
      </c>
      <c r="F111" s="534">
        <v>33169</v>
      </c>
      <c r="G111" s="532">
        <f>F111-E111</f>
        <v>40</v>
      </c>
      <c r="H111" s="533">
        <f t="shared" si="21"/>
        <v>40</v>
      </c>
      <c r="I111" s="532"/>
      <c r="J111" s="558">
        <f>H111/DAY(B2)</f>
        <v>40</v>
      </c>
      <c r="N111" s="444"/>
      <c r="O111" s="382"/>
    </row>
    <row r="112" spans="1:15" s="442" customFormat="1" ht="27.75">
      <c r="A112" s="1551" t="s">
        <v>221</v>
      </c>
      <c r="B112" s="1552"/>
      <c r="C112" s="1300"/>
      <c r="D112" s="622" t="s">
        <v>143</v>
      </c>
      <c r="E112" s="532">
        <v>4621</v>
      </c>
      <c r="F112" s="534">
        <v>4621</v>
      </c>
      <c r="G112" s="532">
        <f>F112-E112</f>
        <v>0</v>
      </c>
      <c r="H112" s="533">
        <f t="shared" si="21"/>
        <v>0</v>
      </c>
      <c r="I112" s="532"/>
      <c r="J112" s="558">
        <f>H112/DAY(B2)</f>
        <v>0</v>
      </c>
      <c r="N112" s="444"/>
      <c r="O112" s="382"/>
    </row>
    <row r="113" spans="1:15" s="442" customFormat="1" ht="27.75">
      <c r="A113" s="1555" t="s">
        <v>109</v>
      </c>
      <c r="B113" s="1556"/>
      <c r="C113" s="1300"/>
      <c r="D113" s="622"/>
      <c r="E113" s="532"/>
      <c r="F113" s="534"/>
      <c r="G113" s="532">
        <f>SUM(G110:G112)</f>
        <v>138</v>
      </c>
      <c r="H113" s="533">
        <f t="shared" si="21"/>
        <v>138</v>
      </c>
      <c r="I113" s="532"/>
      <c r="J113" s="558">
        <f>H113/DAY(B2)</f>
        <v>138</v>
      </c>
      <c r="N113" s="444"/>
      <c r="O113" s="382"/>
    </row>
    <row r="114" spans="1:15" s="442" customFormat="1" ht="27.75">
      <c r="A114" s="1557" t="s">
        <v>222</v>
      </c>
      <c r="B114" s="1558"/>
      <c r="C114" s="1300"/>
      <c r="D114" s="622"/>
      <c r="E114" s="532"/>
      <c r="F114" s="532"/>
      <c r="G114" s="532"/>
      <c r="H114" s="533">
        <f t="shared" si="21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v>12013</v>
      </c>
      <c r="F115" s="534">
        <v>12019</v>
      </c>
      <c r="G115" s="534">
        <f>F115-E115</f>
        <v>6</v>
      </c>
      <c r="H115" s="533">
        <f t="shared" si="21"/>
        <v>6</v>
      </c>
      <c r="I115" s="532"/>
      <c r="J115" s="558">
        <f>H115/DAY(B2)</f>
        <v>6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v>8555</v>
      </c>
      <c r="F116" s="534">
        <v>8561</v>
      </c>
      <c r="G116" s="534">
        <f t="shared" ref="G116:G117" si="22">F116-E116</f>
        <v>6</v>
      </c>
      <c r="H116" s="533">
        <f t="shared" si="21"/>
        <v>6</v>
      </c>
      <c r="I116" s="532"/>
      <c r="J116" s="558">
        <f>H116/DAY(B2)</f>
        <v>6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534">
        <f t="shared" si="22"/>
        <v>0</v>
      </c>
      <c r="H117" s="533">
        <f t="shared" si="21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534">
        <f>SUM(G115:G117)</f>
        <v>12</v>
      </c>
      <c r="H118" s="533">
        <f t="shared" si="21"/>
        <v>12</v>
      </c>
      <c r="I118" s="534"/>
      <c r="J118" s="558">
        <f>H118/DAY(B2)</f>
        <v>12</v>
      </c>
      <c r="N118" s="447"/>
      <c r="O118" s="382"/>
    </row>
    <row r="119" spans="1:15" s="446" customFormat="1" ht="27.75">
      <c r="A119" s="1547" t="s">
        <v>226</v>
      </c>
      <c r="B119" s="1548"/>
      <c r="C119" s="1299"/>
      <c r="D119" s="624" t="s">
        <v>143</v>
      </c>
      <c r="E119" s="536"/>
      <c r="F119" s="536">
        <f>SUM(G19+G93)</f>
        <v>153</v>
      </c>
      <c r="G119" s="536">
        <f>SUM(G19+G93)</f>
        <v>153</v>
      </c>
      <c r="H119" s="533">
        <f t="shared" si="21"/>
        <v>153</v>
      </c>
      <c r="I119" s="535"/>
      <c r="J119" s="559">
        <f>H119/DAY(B2)</f>
        <v>153</v>
      </c>
      <c r="N119" s="778"/>
      <c r="O119" s="382"/>
    </row>
    <row r="120" spans="1:15" s="446" customFormat="1" ht="27.75">
      <c r="A120" s="1547" t="s">
        <v>227</v>
      </c>
      <c r="B120" s="1548"/>
      <c r="C120" s="1299"/>
      <c r="D120" s="624" t="s">
        <v>143</v>
      </c>
      <c r="E120" s="536"/>
      <c r="F120" s="536">
        <f>SUM(G96,G97,G98,G100,G101)</f>
        <v>131</v>
      </c>
      <c r="G120" s="536">
        <f>SUM(G96,G97,G98,G100,G101)</f>
        <v>131</v>
      </c>
      <c r="H120" s="533">
        <f t="shared" si="21"/>
        <v>131</v>
      </c>
      <c r="I120" s="535"/>
      <c r="J120" s="559">
        <f>H120/DAY(B2)</f>
        <v>131</v>
      </c>
      <c r="N120" s="778"/>
      <c r="O120" s="382"/>
    </row>
    <row r="121" spans="1:15" s="446" customFormat="1" ht="27.75">
      <c r="A121" s="1547" t="s">
        <v>228</v>
      </c>
      <c r="B121" s="1548"/>
      <c r="C121" s="1299"/>
      <c r="D121" s="624" t="s">
        <v>143</v>
      </c>
      <c r="E121" s="534"/>
      <c r="F121" s="534">
        <f>SUM(G113)</f>
        <v>138</v>
      </c>
      <c r="G121" s="534">
        <f>SUM(G113)</f>
        <v>138</v>
      </c>
      <c r="H121" s="533">
        <f t="shared" si="21"/>
        <v>138</v>
      </c>
      <c r="I121" s="535"/>
      <c r="J121" s="559">
        <f>H121/DAY(B2)</f>
        <v>138</v>
      </c>
      <c r="N121" s="778"/>
      <c r="O121" s="382"/>
    </row>
    <row r="122" spans="1:15" s="442" customFormat="1" ht="27.75">
      <c r="A122" s="1549"/>
      <c r="B122" s="1550"/>
      <c r="C122" s="1300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2" t="s">
        <v>230</v>
      </c>
      <c r="B124" s="1303"/>
      <c r="C124" s="1303"/>
      <c r="D124" s="523" t="s">
        <v>140</v>
      </c>
      <c r="E124" s="651">
        <v>839670</v>
      </c>
      <c r="F124" s="651">
        <v>839939.55</v>
      </c>
      <c r="G124" s="473">
        <f>F124-E124</f>
        <v>269.55000000004657</v>
      </c>
      <c r="H124" s="460">
        <f>G124</f>
        <v>269.55000000004657</v>
      </c>
      <c r="I124" s="526"/>
      <c r="J124" s="552">
        <f>H124/DAY(B2)</f>
        <v>269.55000000004657</v>
      </c>
      <c r="K124" s="380"/>
      <c r="L124" s="377"/>
      <c r="N124" s="382"/>
      <c r="O124" s="382"/>
    </row>
    <row r="125" spans="1:15" ht="27.75">
      <c r="A125" s="1302" t="s">
        <v>231</v>
      </c>
      <c r="B125" s="1303"/>
      <c r="C125" s="1303"/>
      <c r="D125" s="523" t="s">
        <v>140</v>
      </c>
      <c r="E125" s="651">
        <v>73583.399999999994</v>
      </c>
      <c r="F125" s="651">
        <v>73583.399999999994</v>
      </c>
      <c r="G125" s="473">
        <f t="shared" ref="G125:G128" si="23">F125-E125</f>
        <v>0</v>
      </c>
      <c r="H125" s="460">
        <f t="shared" ref="H125:H129" si="24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651">
        <v>148597</v>
      </c>
      <c r="F126" s="651">
        <v>148692.69</v>
      </c>
      <c r="G126" s="473">
        <f t="shared" si="23"/>
        <v>95.690000000002328</v>
      </c>
      <c r="H126" s="460">
        <f t="shared" si="24"/>
        <v>95.690000000002328</v>
      </c>
      <c r="I126" s="526"/>
      <c r="J126" s="552">
        <f>H126/DAY(B2)</f>
        <v>95.690000000002328</v>
      </c>
      <c r="K126" s="380"/>
      <c r="L126" s="377"/>
      <c r="N126" s="382"/>
      <c r="O126" s="382"/>
    </row>
    <row r="127" spans="1:15" ht="27.75">
      <c r="A127" s="609" t="s">
        <v>233</v>
      </c>
      <c r="B127" s="1303"/>
      <c r="C127" s="1303"/>
      <c r="D127" s="523" t="s">
        <v>140</v>
      </c>
      <c r="E127" s="651">
        <v>32071</v>
      </c>
      <c r="F127" s="651">
        <v>32104.2</v>
      </c>
      <c r="G127" s="473">
        <f t="shared" si="23"/>
        <v>33.200000000000728</v>
      </c>
      <c r="H127" s="460">
        <f t="shared" si="24"/>
        <v>33.200000000000728</v>
      </c>
      <c r="I127" s="526"/>
      <c r="J127" s="552">
        <f>H127/DAY(B2)</f>
        <v>33.200000000000728</v>
      </c>
      <c r="K127" s="380"/>
      <c r="L127" s="377"/>
      <c r="N127" s="382"/>
      <c r="O127" s="382"/>
    </row>
    <row r="128" spans="1:15" ht="27.75">
      <c r="A128" s="609" t="s">
        <v>234</v>
      </c>
      <c r="B128" s="1303"/>
      <c r="C128" s="1303"/>
      <c r="D128" s="523" t="s">
        <v>140</v>
      </c>
      <c r="E128" s="651">
        <v>9012</v>
      </c>
      <c r="F128" s="651">
        <v>9016.2999999999993</v>
      </c>
      <c r="G128" s="473">
        <f t="shared" si="23"/>
        <v>4.2999999999992724</v>
      </c>
      <c r="H128" s="460">
        <f t="shared" si="24"/>
        <v>4.2999999999992724</v>
      </c>
      <c r="I128" s="480"/>
      <c r="J128" s="552">
        <f>H128/DAY(B2)</f>
        <v>4.2999999999992724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03"/>
      <c r="C129" s="1303"/>
      <c r="D129" s="523"/>
      <c r="E129" s="651"/>
      <c r="F129" s="651"/>
      <c r="G129" s="473">
        <f>G15-SUM(G124:G128)</f>
        <v>515.63799999997718</v>
      </c>
      <c r="H129" s="460">
        <f t="shared" si="24"/>
        <v>515.63799999997718</v>
      </c>
      <c r="I129" s="480"/>
      <c r="J129" s="552">
        <f>H129/DAY(B2)</f>
        <v>515.63799999997718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2" t="s">
        <v>237</v>
      </c>
      <c r="B131" s="1303"/>
      <c r="C131" s="1303"/>
      <c r="D131" s="523" t="s">
        <v>238</v>
      </c>
      <c r="E131" s="651">
        <v>0</v>
      </c>
      <c r="F131" s="484">
        <v>0</v>
      </c>
      <c r="G131" s="473">
        <f t="shared" ref="G131:G141" si="25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2" t="s">
        <v>239</v>
      </c>
      <c r="B132" s="1303"/>
      <c r="C132" s="1303"/>
      <c r="D132" s="523" t="s">
        <v>238</v>
      </c>
      <c r="E132" s="651">
        <v>0</v>
      </c>
      <c r="F132" s="484">
        <v>0</v>
      </c>
      <c r="G132" s="473">
        <f t="shared" si="25"/>
        <v>0</v>
      </c>
      <c r="H132" s="460">
        <f t="shared" ref="H132:H141" si="26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2" t="s">
        <v>240</v>
      </c>
      <c r="B133" s="1303"/>
      <c r="C133" s="1303"/>
      <c r="D133" s="523" t="s">
        <v>238</v>
      </c>
      <c r="E133" s="651">
        <v>40453</v>
      </c>
      <c r="F133" s="541">
        <v>40471.01</v>
      </c>
      <c r="G133" s="473">
        <f t="shared" si="25"/>
        <v>18.010000000002037</v>
      </c>
      <c r="H133" s="460">
        <f t="shared" si="26"/>
        <v>18.010000000002037</v>
      </c>
      <c r="I133" s="480"/>
      <c r="J133" s="552">
        <f>H133/DAY(B2)</f>
        <v>18.010000000002037</v>
      </c>
      <c r="N133" s="382"/>
      <c r="O133" s="382"/>
    </row>
    <row r="134" spans="1:15" s="775" customFormat="1" ht="27.75">
      <c r="A134" s="792" t="s">
        <v>241</v>
      </c>
      <c r="B134" s="1235"/>
      <c r="C134" s="1235"/>
      <c r="D134" s="524" t="s">
        <v>238</v>
      </c>
      <c r="E134" s="651">
        <v>300</v>
      </c>
      <c r="F134" s="522">
        <v>300</v>
      </c>
      <c r="G134" s="473">
        <f t="shared" si="25"/>
        <v>0</v>
      </c>
      <c r="H134" s="486">
        <f t="shared" si="26"/>
        <v>0</v>
      </c>
      <c r="I134" s="1236"/>
      <c r="J134" s="553">
        <f>H134/DAY(B2)</f>
        <v>0</v>
      </c>
      <c r="N134" s="721"/>
      <c r="O134" s="382"/>
    </row>
    <row r="135" spans="1:15" ht="27.75">
      <c r="A135" s="1302" t="s">
        <v>242</v>
      </c>
      <c r="B135" s="1303"/>
      <c r="C135" s="1303"/>
      <c r="D135" s="523" t="s">
        <v>238</v>
      </c>
      <c r="E135" s="651">
        <v>41972</v>
      </c>
      <c r="F135" s="541">
        <v>41986.21</v>
      </c>
      <c r="G135" s="473">
        <f t="shared" si="25"/>
        <v>14.209999999999127</v>
      </c>
      <c r="H135" s="460">
        <f t="shared" si="26"/>
        <v>14.209999999999127</v>
      </c>
      <c r="I135" s="480"/>
      <c r="J135" s="552">
        <f>H135/DAY(B2)</f>
        <v>14.209999999999127</v>
      </c>
      <c r="N135" s="382"/>
      <c r="O135" s="382"/>
    </row>
    <row r="136" spans="1:15" ht="27.75">
      <c r="A136" s="1302" t="s">
        <v>243</v>
      </c>
      <c r="B136" s="1303"/>
      <c r="C136" s="1303"/>
      <c r="D136" s="523" t="s">
        <v>238</v>
      </c>
      <c r="E136" s="541">
        <v>32874</v>
      </c>
      <c r="F136" s="541">
        <v>32874</v>
      </c>
      <c r="G136" s="473">
        <f t="shared" si="25"/>
        <v>0</v>
      </c>
      <c r="H136" s="460">
        <f t="shared" si="26"/>
        <v>0</v>
      </c>
      <c r="I136" s="480">
        <f>G133+G134+G135+G136</f>
        <v>32.220000000001164</v>
      </c>
      <c r="J136" s="552">
        <f>H136/DAY(B2)</f>
        <v>0</v>
      </c>
      <c r="N136" s="382"/>
      <c r="O136" s="382"/>
    </row>
    <row r="137" spans="1:15" ht="27.75">
      <c r="A137" s="1302" t="s">
        <v>244</v>
      </c>
      <c r="B137" s="1303"/>
      <c r="C137" s="1303"/>
      <c r="D137" s="523" t="s">
        <v>238</v>
      </c>
      <c r="E137" s="541">
        <v>22891.49</v>
      </c>
      <c r="F137" s="541">
        <v>22901.66</v>
      </c>
      <c r="G137" s="473">
        <f t="shared" si="25"/>
        <v>10.169999999998254</v>
      </c>
      <c r="H137" s="460">
        <f t="shared" si="26"/>
        <v>10.169999999998254</v>
      </c>
      <c r="I137" s="480"/>
      <c r="J137" s="552">
        <f>H137/DAY(B2)</f>
        <v>10.169999999998254</v>
      </c>
      <c r="N137" s="382"/>
      <c r="O137" s="382"/>
    </row>
    <row r="138" spans="1:15" ht="27.75">
      <c r="A138" s="1302" t="s">
        <v>245</v>
      </c>
      <c r="B138" s="1303"/>
      <c r="C138" s="1303"/>
      <c r="D138" s="523" t="s">
        <v>238</v>
      </c>
      <c r="E138" s="541">
        <v>25091.39</v>
      </c>
      <c r="F138" s="541">
        <v>25091.39</v>
      </c>
      <c r="G138" s="473">
        <f t="shared" si="25"/>
        <v>0</v>
      </c>
      <c r="H138" s="460">
        <f t="shared" si="26"/>
        <v>0</v>
      </c>
      <c r="I138" s="480"/>
      <c r="J138" s="552">
        <f>H138/DAY(B2)</f>
        <v>0</v>
      </c>
      <c r="N138" s="382"/>
      <c r="O138" s="382"/>
    </row>
    <row r="139" spans="1:15" ht="27.75">
      <c r="A139" s="1302" t="s">
        <v>246</v>
      </c>
      <c r="B139" s="1303"/>
      <c r="C139" s="1303"/>
      <c r="D139" s="523" t="s">
        <v>238</v>
      </c>
      <c r="E139" s="541">
        <v>70513.62</v>
      </c>
      <c r="F139" s="541">
        <v>70513.62</v>
      </c>
      <c r="G139" s="473">
        <f t="shared" si="25"/>
        <v>0</v>
      </c>
      <c r="H139" s="460">
        <f t="shared" si="26"/>
        <v>0</v>
      </c>
      <c r="I139" s="480">
        <f>G137+G138+G139</f>
        <v>10.169999999998254</v>
      </c>
      <c r="J139" s="552">
        <f>H139/DAY(B2)</f>
        <v>0</v>
      </c>
      <c r="N139" s="382"/>
      <c r="O139" s="382"/>
    </row>
    <row r="140" spans="1:15" ht="27.75">
      <c r="A140" s="1302" t="s">
        <v>247</v>
      </c>
      <c r="B140" s="1303"/>
      <c r="C140" s="1303"/>
      <c r="D140" s="523" t="s">
        <v>238</v>
      </c>
      <c r="E140" s="484">
        <v>2129.1799999999998</v>
      </c>
      <c r="F140" s="484">
        <v>2139.09</v>
      </c>
      <c r="G140" s="473">
        <f t="shared" si="25"/>
        <v>9.9100000000003092</v>
      </c>
      <c r="H140" s="460">
        <f t="shared" si="26"/>
        <v>9.9100000000003092</v>
      </c>
      <c r="I140" s="542"/>
      <c r="J140" s="552">
        <f>H140/DAY(B2)</f>
        <v>9.9100000000003092</v>
      </c>
      <c r="N140" s="382"/>
      <c r="O140" s="382"/>
    </row>
    <row r="141" spans="1:15" ht="27.75">
      <c r="A141" s="1302" t="s">
        <v>248</v>
      </c>
      <c r="B141" s="1303"/>
      <c r="C141" s="1303"/>
      <c r="D141" s="523" t="s">
        <v>238</v>
      </c>
      <c r="E141" s="484">
        <v>4637</v>
      </c>
      <c r="F141" s="484">
        <v>4636.97</v>
      </c>
      <c r="G141" s="473">
        <f t="shared" si="25"/>
        <v>-2.9999999999745341E-2</v>
      </c>
      <c r="H141" s="460">
        <f t="shared" si="26"/>
        <v>-2.9999999999745341E-2</v>
      </c>
      <c r="I141" s="542">
        <f>G140+G141</f>
        <v>9.8800000000005639</v>
      </c>
      <c r="J141" s="552">
        <f>H141/DAY(B2)</f>
        <v>-2.9999999999745341E-2</v>
      </c>
      <c r="N141" s="382"/>
      <c r="O141" s="382"/>
    </row>
    <row r="142" spans="1:15">
      <c r="A142" s="1562" t="s">
        <v>249</v>
      </c>
      <c r="B142" s="1563"/>
      <c r="C142" s="1308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5543.2299999999814</v>
      </c>
      <c r="H143" s="460">
        <f>G143</f>
        <v>5543.2299999999814</v>
      </c>
      <c r="I143" s="480"/>
      <c r="J143" s="552">
        <f>H143/DAY(B2)</f>
        <v>5543.2299999999814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0.23993810260683171</v>
      </c>
      <c r="H144" s="460">
        <f t="shared" ref="H144:H154" si="27">G144</f>
        <v>0.23993810260683171</v>
      </c>
      <c r="I144" s="544"/>
      <c r="J144" s="552">
        <f>H144/DAY(B2)</f>
        <v>0.23993810260683171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7659.8599999999569</v>
      </c>
      <c r="H145" s="460">
        <f t="shared" si="27"/>
        <v>7659.8599999999569</v>
      </c>
      <c r="I145" s="480"/>
      <c r="J145" s="552">
        <f>H145/DAY(B2)</f>
        <v>7659.8599999999569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0.33155620001947633</v>
      </c>
      <c r="H146" s="460">
        <f t="shared" si="27"/>
        <v>0.33155620001947633</v>
      </c>
      <c r="I146" s="544"/>
      <c r="J146" s="552">
        <f>H146/DAY(B2)</f>
        <v>0.33155620001947633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3790.0200000000186</v>
      </c>
      <c r="H147" s="460">
        <f t="shared" si="27"/>
        <v>3790.0200000000186</v>
      </c>
      <c r="I147" s="545"/>
      <c r="J147" s="552">
        <f>H147/DAY(B2)</f>
        <v>3790.0200000000186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0.16405060003679298</v>
      </c>
      <c r="H148" s="460">
        <f t="shared" si="27"/>
        <v>0.16405060003679298</v>
      </c>
      <c r="I148" s="545"/>
      <c r="J148" s="552">
        <f>H148/DAY(B2)</f>
        <v>0.16405060003679298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1714.9899999999907</v>
      </c>
      <c r="H149" s="460">
        <f t="shared" si="27"/>
        <v>1714.9899999999907</v>
      </c>
      <c r="I149" s="480"/>
      <c r="J149" s="552">
        <f>H149/DAY(B2)</f>
        <v>1714.9899999999907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7.4233154061745493E-2</v>
      </c>
      <c r="H150" s="460">
        <f t="shared" si="27"/>
        <v>7.4233154061745493E-2</v>
      </c>
      <c r="I150" s="545"/>
      <c r="J150" s="552">
        <f>H150/DAY(B2)</f>
        <v>7.4233154061745493E-2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2377.0999999999767</v>
      </c>
      <c r="H151" s="460">
        <f t="shared" si="27"/>
        <v>2377.0999999999767</v>
      </c>
      <c r="I151" s="545"/>
      <c r="J151" s="552">
        <f>H151/DAY(B2)</f>
        <v>2377.0999999999767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0.1028925127960947</v>
      </c>
      <c r="H152" s="460">
        <f t="shared" si="27"/>
        <v>0.1028925127960947</v>
      </c>
      <c r="I152" s="480"/>
      <c r="J152" s="552">
        <f>H152/DAY(B2)</f>
        <v>0.1028925127960947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1476.320000000007</v>
      </c>
      <c r="H153" s="460">
        <f t="shared" si="27"/>
        <v>1476.320000000007</v>
      </c>
      <c r="I153" s="480"/>
      <c r="J153" s="552">
        <f>H153/DAY(B2)</f>
        <v>1476.320000000007</v>
      </c>
      <c r="N153" s="382"/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6.3902349287422791E-2</v>
      </c>
      <c r="H154" s="460">
        <f t="shared" si="27"/>
        <v>6.3902349287422791E-2</v>
      </c>
      <c r="I154" s="568"/>
      <c r="J154" s="569">
        <f>H154/DAY(B2)</f>
        <v>6.3902349287422791E-2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15">
      <c r="A161" s="784" t="s">
        <v>262</v>
      </c>
      <c r="B161" s="785"/>
      <c r="C161" s="785"/>
      <c r="D161" s="511" t="s">
        <v>186</v>
      </c>
      <c r="E161" s="658">
        <v>40843</v>
      </c>
      <c r="F161" s="658">
        <v>40925.67</v>
      </c>
      <c r="G161" s="473">
        <f t="shared" ref="G161:G176" si="28">F161-E161</f>
        <v>82.669999999998254</v>
      </c>
    </row>
    <row r="162" spans="1:15">
      <c r="A162" s="784" t="s">
        <v>263</v>
      </c>
      <c r="B162" s="785"/>
      <c r="C162" s="785"/>
      <c r="D162" s="511" t="s">
        <v>186</v>
      </c>
      <c r="E162" s="658">
        <v>107766</v>
      </c>
      <c r="F162" s="658">
        <v>108241.17</v>
      </c>
      <c r="G162" s="473">
        <f t="shared" si="28"/>
        <v>475.16999999999825</v>
      </c>
    </row>
    <row r="163" spans="1:15">
      <c r="A163" s="784" t="s">
        <v>264</v>
      </c>
      <c r="B163" s="785"/>
      <c r="C163" s="785"/>
      <c r="D163" s="511" t="s">
        <v>186</v>
      </c>
      <c r="E163" s="658">
        <v>61230</v>
      </c>
      <c r="F163" s="658">
        <v>61440.46</v>
      </c>
      <c r="G163" s="473">
        <f>F163-E163</f>
        <v>210.45999999999913</v>
      </c>
    </row>
    <row r="164" spans="1:15">
      <c r="A164" s="784" t="s">
        <v>265</v>
      </c>
      <c r="B164" s="785"/>
      <c r="C164" s="785"/>
      <c r="D164" s="511" t="s">
        <v>186</v>
      </c>
      <c r="E164" s="658">
        <v>6853</v>
      </c>
      <c r="F164" s="658">
        <v>6862.09</v>
      </c>
      <c r="G164" s="473">
        <f t="shared" si="28"/>
        <v>9.0900000000001455</v>
      </c>
    </row>
    <row r="165" spans="1:15">
      <c r="A165" s="786" t="s">
        <v>97</v>
      </c>
      <c r="B165" s="604"/>
      <c r="C165" s="604"/>
      <c r="D165" s="511" t="s">
        <v>186</v>
      </c>
      <c r="E165" s="514">
        <v>20419</v>
      </c>
      <c r="F165" s="514">
        <v>20419</v>
      </c>
      <c r="G165" s="473">
        <f>F165-E165</f>
        <v>0</v>
      </c>
    </row>
    <row r="166" spans="1:15">
      <c r="A166" s="786" t="s">
        <v>187</v>
      </c>
      <c r="B166" s="604"/>
      <c r="C166" s="604"/>
      <c r="D166" s="511" t="s">
        <v>186</v>
      </c>
      <c r="E166" s="514">
        <v>0</v>
      </c>
      <c r="F166" s="514">
        <v>2472</v>
      </c>
      <c r="G166" s="473">
        <f t="shared" si="28"/>
        <v>2472</v>
      </c>
    </row>
    <row r="167" spans="1:15" ht="27.75">
      <c r="A167" s="1546" t="s">
        <v>98</v>
      </c>
      <c r="B167" s="1546"/>
      <c r="C167" s="1546"/>
      <c r="D167" s="523" t="s">
        <v>186</v>
      </c>
      <c r="E167" s="514">
        <v>170022</v>
      </c>
      <c r="F167" s="514">
        <f t="shared" ref="F167:F172" si="29">F64</f>
        <v>170394.89</v>
      </c>
      <c r="G167" s="473">
        <f t="shared" si="28"/>
        <v>372.89000000001397</v>
      </c>
    </row>
    <row r="168" spans="1:15" ht="27.75">
      <c r="A168" s="1546" t="s">
        <v>99</v>
      </c>
      <c r="B168" s="1546"/>
      <c r="C168" s="1546"/>
      <c r="D168" s="523" t="s">
        <v>186</v>
      </c>
      <c r="E168" s="514">
        <v>170302</v>
      </c>
      <c r="F168" s="514">
        <f t="shared" si="29"/>
        <v>170733.97</v>
      </c>
      <c r="G168" s="473">
        <f t="shared" si="28"/>
        <v>431.97000000000116</v>
      </c>
    </row>
    <row r="169" spans="1:15" ht="27.75">
      <c r="A169" s="1546" t="s">
        <v>100</v>
      </c>
      <c r="B169" s="1546"/>
      <c r="C169" s="1546"/>
      <c r="D169" s="523" t="s">
        <v>186</v>
      </c>
      <c r="E169" s="514">
        <v>67970</v>
      </c>
      <c r="F169" s="514">
        <f t="shared" si="29"/>
        <v>68403.92</v>
      </c>
      <c r="G169" s="473">
        <f t="shared" si="28"/>
        <v>433.91999999999825</v>
      </c>
    </row>
    <row r="170" spans="1:15" ht="27.75">
      <c r="A170" s="1546" t="s">
        <v>101</v>
      </c>
      <c r="B170" s="1546"/>
      <c r="C170" s="1546"/>
      <c r="D170" s="523" t="s">
        <v>186</v>
      </c>
      <c r="E170" s="514">
        <v>264959</v>
      </c>
      <c r="F170" s="514">
        <f t="shared" si="29"/>
        <v>265431.40999999997</v>
      </c>
      <c r="G170" s="473">
        <f t="shared" si="28"/>
        <v>472.40999999997439</v>
      </c>
    </row>
    <row r="171" spans="1:15" ht="27.75">
      <c r="A171" s="1546" t="s">
        <v>102</v>
      </c>
      <c r="B171" s="1546"/>
      <c r="C171" s="1546"/>
      <c r="D171" s="523" t="s">
        <v>186</v>
      </c>
      <c r="E171" s="514">
        <v>85321</v>
      </c>
      <c r="F171" s="514">
        <f t="shared" si="29"/>
        <v>85321</v>
      </c>
      <c r="G171" s="473">
        <f t="shared" si="28"/>
        <v>0</v>
      </c>
    </row>
    <row r="172" spans="1:15" ht="27.75">
      <c r="A172" s="1546" t="s">
        <v>103</v>
      </c>
      <c r="B172" s="1546"/>
      <c r="C172" s="1546"/>
      <c r="D172" s="523" t="s">
        <v>186</v>
      </c>
      <c r="E172" s="514">
        <v>87515</v>
      </c>
      <c r="F172" s="514">
        <f t="shared" si="29"/>
        <v>87751.62</v>
      </c>
      <c r="G172" s="473">
        <f t="shared" si="28"/>
        <v>236.61999999999534</v>
      </c>
    </row>
    <row r="173" spans="1:15" ht="27.75">
      <c r="A173" s="1505"/>
      <c r="B173" s="1503"/>
      <c r="C173" s="1504"/>
      <c r="D173" s="523"/>
      <c r="E173" s="514"/>
      <c r="F173" s="514"/>
      <c r="G173" s="473"/>
    </row>
    <row r="174" spans="1:15" ht="21.95" customHeight="1">
      <c r="A174" s="1587" t="s">
        <v>352</v>
      </c>
      <c r="B174" s="1550"/>
      <c r="C174" s="784"/>
      <c r="D174" s="1495" t="s">
        <v>186</v>
      </c>
      <c r="E174" s="1496">
        <v>19002</v>
      </c>
      <c r="F174" s="1496">
        <v>19007.5</v>
      </c>
      <c r="G174" s="1497">
        <f>F174-E174</f>
        <v>5.5</v>
      </c>
      <c r="O174" s="377"/>
    </row>
    <row r="175" spans="1:15" ht="21.95" customHeight="1">
      <c r="A175" s="1587" t="s">
        <v>353</v>
      </c>
      <c r="B175" s="1550"/>
      <c r="C175" s="454"/>
      <c r="D175" s="1495" t="s">
        <v>186</v>
      </c>
      <c r="E175" s="1500">
        <v>27630</v>
      </c>
      <c r="F175" s="1500">
        <v>27634</v>
      </c>
      <c r="G175" s="1497">
        <f t="shared" si="28"/>
        <v>4</v>
      </c>
      <c r="O175" s="377"/>
    </row>
    <row r="176" spans="1:15" ht="21.95" customHeight="1">
      <c r="A176" s="1587" t="s">
        <v>352</v>
      </c>
      <c r="B176" s="1550"/>
      <c r="C176" s="454"/>
      <c r="D176" s="1495" t="s">
        <v>186</v>
      </c>
      <c r="E176" s="1496">
        <v>70336</v>
      </c>
      <c r="F176" s="1496">
        <v>70341.899999999994</v>
      </c>
      <c r="G176" s="1497">
        <f t="shared" si="28"/>
        <v>5.8999999999941792</v>
      </c>
      <c r="O176" s="377"/>
    </row>
    <row r="177" spans="7:7">
      <c r="G177" s="539">
        <f>SUM(G161:G172)</f>
        <v>5197.1999999999789</v>
      </c>
    </row>
  </sheetData>
  <mergeCells count="77"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19:B119"/>
    <mergeCell ref="A111:B111"/>
    <mergeCell ref="A112:B112"/>
    <mergeCell ref="A113:B113"/>
    <mergeCell ref="A114:B114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72" zoomScale="40" zoomScaleSheetLayoutView="40" workbookViewId="0">
      <selection activeCell="F82" sqref="F82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274</v>
      </c>
      <c r="B2" s="1031">
        <v>44379</v>
      </c>
      <c r="C2" s="1304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4" t="s">
        <v>119</v>
      </c>
      <c r="D3" s="612">
        <v>30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4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'1'!F7</f>
        <v>945055.75</v>
      </c>
      <c r="F7" s="455">
        <v>965985.75</v>
      </c>
      <c r="G7" s="473">
        <f>F7-E7</f>
        <v>20930</v>
      </c>
      <c r="H7" s="460">
        <f>G7+'1'!H7</f>
        <v>44032.75</v>
      </c>
      <c r="I7" s="474">
        <f>'[2]1'!I7</f>
        <v>12000</v>
      </c>
      <c r="J7" s="552">
        <f>H7/DAY(B2)</f>
        <v>22016.375</v>
      </c>
      <c r="K7" s="549"/>
      <c r="L7" s="377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f>'1'!F8</f>
        <v>949982.79</v>
      </c>
      <c r="F8" s="475">
        <v>971017.91</v>
      </c>
      <c r="G8" s="476">
        <f>F8-E8</f>
        <v>21035.119999999995</v>
      </c>
      <c r="H8" s="460">
        <f>G8+'1'!H8</f>
        <v>44295.910000000033</v>
      </c>
      <c r="I8" s="477">
        <v>12000</v>
      </c>
      <c r="J8" s="552">
        <f>H8/DAY(B2)</f>
        <v>22147.955000000016</v>
      </c>
      <c r="K8" s="549"/>
      <c r="L8" s="425"/>
      <c r="M8" s="440"/>
      <c r="O8" s="382"/>
    </row>
    <row r="9" spans="1:15">
      <c r="A9" s="583" t="s">
        <v>133</v>
      </c>
      <c r="B9" s="584"/>
      <c r="C9" s="584"/>
      <c r="D9" s="523" t="s">
        <v>131</v>
      </c>
      <c r="E9" s="455">
        <f>'1'!F9</f>
        <v>2055214.3</v>
      </c>
      <c r="F9" s="478">
        <v>2075480.3</v>
      </c>
      <c r="G9" s="473">
        <f t="shared" ref="G9:G11" si="0">F9-E9</f>
        <v>20266</v>
      </c>
      <c r="H9" s="460">
        <f>G9+'1'!H9</f>
        <v>44478.300000000047</v>
      </c>
      <c r="I9" s="479">
        <f>I8-J8</f>
        <v>-10147.955000000016</v>
      </c>
      <c r="J9" s="552">
        <f>H9/DAY(B2)</f>
        <v>22239.150000000023</v>
      </c>
      <c r="K9" s="428"/>
      <c r="L9" s="377"/>
      <c r="O9" s="382"/>
    </row>
    <row r="10" spans="1:15">
      <c r="A10" s="578" t="s">
        <v>134</v>
      </c>
      <c r="B10" s="579"/>
      <c r="C10" s="579"/>
      <c r="D10" s="523" t="s">
        <v>131</v>
      </c>
      <c r="E10" s="455">
        <f>'1'!F10</f>
        <v>2323</v>
      </c>
      <c r="F10" s="478">
        <v>2323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136</v>
      </c>
      <c r="B12" s="579"/>
      <c r="C12" s="579"/>
      <c r="D12" s="523" t="s">
        <v>131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20266</v>
      </c>
      <c r="H13" s="460">
        <f>G13+'1'!H13</f>
        <v>44478.300000000047</v>
      </c>
      <c r="I13" s="482">
        <f>G7-G13</f>
        <v>664</v>
      </c>
      <c r="J13" s="552">
        <f>H13/DAY(B2)</f>
        <v>22239.150000000023</v>
      </c>
      <c r="K13" s="428"/>
      <c r="L13" s="377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2" t="s">
        <v>139</v>
      </c>
      <c r="B15" s="589"/>
      <c r="C15" s="589"/>
      <c r="D15" s="523" t="s">
        <v>140</v>
      </c>
      <c r="E15" s="455">
        <f>'1'!F15</f>
        <v>1704601.378</v>
      </c>
      <c r="F15" s="651">
        <v>1705112.2520000001</v>
      </c>
      <c r="G15" s="779">
        <f>(F15-E15)</f>
        <v>510.87400000006892</v>
      </c>
      <c r="H15" s="460">
        <f>G15+'1'!H15</f>
        <v>1429.252000000095</v>
      </c>
      <c r="I15" s="474">
        <v>800</v>
      </c>
      <c r="J15" s="552">
        <f>H15/DAY(B2)</f>
        <v>714.6260000000475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85.373999999952503</v>
      </c>
      <c r="J16" s="553"/>
      <c r="K16" s="428"/>
      <c r="L16" s="377"/>
      <c r="O16" s="382">
        <f>G15-150</f>
        <v>360.87400000006892</v>
      </c>
    </row>
    <row r="17" spans="1:1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v>8</v>
      </c>
      <c r="F18" s="478">
        <v>10</v>
      </c>
      <c r="G18" s="481">
        <f>F18*10</f>
        <v>100</v>
      </c>
      <c r="H18" s="460">
        <f>G18+'1'!H18</f>
        <v>190</v>
      </c>
      <c r="I18" s="474">
        <f>'[2]1'!I18</f>
        <v>65</v>
      </c>
      <c r="J18" s="552">
        <f>H18/DAY(B2)</f>
        <v>95</v>
      </c>
      <c r="K18" s="428"/>
      <c r="L18" s="377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55">
        <f>'1'!F19</f>
        <v>141559</v>
      </c>
      <c r="F19" s="478">
        <v>141621</v>
      </c>
      <c r="G19" s="473">
        <f>F19-E19</f>
        <v>62</v>
      </c>
      <c r="H19" s="460">
        <f>G19+'1'!H19</f>
        <v>126</v>
      </c>
      <c r="I19" s="489"/>
      <c r="J19" s="552">
        <f>H19/DAY(B2)</f>
        <v>63</v>
      </c>
      <c r="K19" s="428"/>
      <c r="L19" s="377"/>
      <c r="O19" s="382"/>
    </row>
    <row r="20" spans="1:15">
      <c r="A20" s="585" t="s">
        <v>144</v>
      </c>
      <c r="B20" s="586"/>
      <c r="C20" s="586"/>
      <c r="D20" s="490"/>
      <c r="E20" s="490"/>
      <c r="F20" s="523"/>
      <c r="G20" s="1033">
        <f>G18+G19</f>
        <v>162</v>
      </c>
      <c r="H20" s="460">
        <f>G20+'1'!H20</f>
        <v>316</v>
      </c>
      <c r="I20" s="492">
        <f>I18-J20</f>
        <v>-93</v>
      </c>
      <c r="J20" s="552">
        <f>H20/DAY(B2)</f>
        <v>158</v>
      </c>
      <c r="K20" s="428"/>
      <c r="L20" s="377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2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2" t="s">
        <v>148</v>
      </c>
      <c r="B23" s="589"/>
      <c r="C23" s="589"/>
      <c r="D23" s="523" t="s">
        <v>147</v>
      </c>
      <c r="E23" s="484">
        <f>'1'!F23</f>
        <v>2000</v>
      </c>
      <c r="F23" s="478">
        <v>1880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21035.119999999995</v>
      </c>
      <c r="F27" s="501">
        <v>9</v>
      </c>
      <c r="G27" s="502">
        <f>E27*F27</f>
        <v>189316.07999999996</v>
      </c>
      <c r="H27" s="460">
        <f>G27+'1'!H27</f>
        <v>398663.19000000029</v>
      </c>
      <c r="I27" s="503"/>
      <c r="J27" s="552">
        <f>H27/DAY(B2)</f>
        <v>199331.59500000015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510.87400000006892</v>
      </c>
      <c r="F28" s="501">
        <v>52</v>
      </c>
      <c r="G28" s="502">
        <f>E28*F28</f>
        <v>26565.448000003584</v>
      </c>
      <c r="H28" s="460">
        <f>G28+'1'!H28</f>
        <v>74321.10400000494</v>
      </c>
      <c r="I28" s="505"/>
      <c r="J28" s="552">
        <f>H28/DAY(B2)</f>
        <v>37160.55200000247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62</v>
      </c>
      <c r="F30" s="501">
        <v>146</v>
      </c>
      <c r="G30" s="502">
        <f>E30*F30</f>
        <v>9052</v>
      </c>
      <c r="H30" s="460">
        <f>G30+'1'!H30</f>
        <v>17812</v>
      </c>
      <c r="I30" s="505"/>
      <c r="J30" s="552">
        <f>H30/DAY(B2)</f>
        <v>8906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100</v>
      </c>
      <c r="F31" s="501">
        <v>80</v>
      </c>
      <c r="G31" s="502">
        <f>E31*F31</f>
        <v>8000</v>
      </c>
      <c r="H31" s="460">
        <f>G31+'1'!H31</f>
        <v>9600</v>
      </c>
      <c r="I31" s="505"/>
      <c r="J31" s="552">
        <f>H31/DAY(B2)</f>
        <v>4800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232933.52800000354</v>
      </c>
      <c r="H32" s="460">
        <f>G32+'1'!H32</f>
        <v>500396.29400000523</v>
      </c>
      <c r="I32" s="509"/>
      <c r="J32" s="552">
        <f>H32/DAY(B2)</f>
        <v>250198.14700000262</v>
      </c>
      <c r="K32" s="373"/>
      <c r="L32" s="443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O33" s="382"/>
    </row>
    <row r="34" spans="1:15">
      <c r="A34" s="598" t="s">
        <v>162</v>
      </c>
      <c r="B34" s="1307"/>
      <c r="C34" s="1307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'1'!F35</f>
        <v>1031622.1</v>
      </c>
      <c r="F35" s="510">
        <v>1034521.5</v>
      </c>
      <c r="G35" s="473">
        <f t="shared" ref="G35:G46" si="2">F35-E35</f>
        <v>2899.4000000000233</v>
      </c>
      <c r="H35" s="460">
        <f>G35+'1'!H35</f>
        <v>5807.5</v>
      </c>
      <c r="I35" s="455"/>
      <c r="J35" s="552">
        <f>H35/DAY(B2)</f>
        <v>2903.75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'1'!F36</f>
        <v>21408.75</v>
      </c>
      <c r="F36" s="510">
        <v>22293.65</v>
      </c>
      <c r="G36" s="473">
        <f t="shared" si="2"/>
        <v>884.90000000000146</v>
      </c>
      <c r="H36" s="460">
        <f>G36+'1'!H36</f>
        <v>1832.6500000000015</v>
      </c>
      <c r="I36" s="455"/>
      <c r="J36" s="552">
        <f>H36/DAY(B2)</f>
        <v>916.32500000000073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'1'!F37</f>
        <v>178046.45</v>
      </c>
      <c r="F37" s="510">
        <v>179486.33</v>
      </c>
      <c r="G37" s="473">
        <f t="shared" si="2"/>
        <v>1439.8799999999756</v>
      </c>
      <c r="H37" s="460">
        <f>G37+'1'!H37</f>
        <v>2916.3299999999872</v>
      </c>
      <c r="I37" s="455"/>
      <c r="J37" s="552">
        <f>H37/DAY(B2)</f>
        <v>1458.1649999999936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'1'!F38</f>
        <v>200173.99</v>
      </c>
      <c r="F38" s="469">
        <v>201683.83</v>
      </c>
      <c r="G38" s="473">
        <f t="shared" si="2"/>
        <v>1509.8399999999965</v>
      </c>
      <c r="H38" s="460">
        <f>G38+'1'!H38</f>
        <v>3224.8299999999872</v>
      </c>
      <c r="I38" s="455"/>
      <c r="J38" s="552">
        <f>H38/DAY(B2)</f>
        <v>1612.4149999999936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'1'!F39</f>
        <v>408654.43</v>
      </c>
      <c r="F39" s="510">
        <v>412397.91</v>
      </c>
      <c r="G39" s="473">
        <f t="shared" si="2"/>
        <v>3743.4799999999814</v>
      </c>
      <c r="H39" s="460">
        <f>G39+'1'!H39</f>
        <v>7533.9099999999744</v>
      </c>
      <c r="I39" s="455"/>
      <c r="J39" s="552">
        <f>H39/DAY(B2)</f>
        <v>3766.9549999999872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'1'!F40</f>
        <v>7598.05</v>
      </c>
      <c r="F40" s="510">
        <v>7902.3</v>
      </c>
      <c r="G40" s="473">
        <f t="shared" si="2"/>
        <v>304.25</v>
      </c>
      <c r="H40" s="460">
        <f>G40+'1'!H40</f>
        <v>789.30000000000018</v>
      </c>
      <c r="I40" s="455"/>
      <c r="J40" s="552">
        <f>H40/DAY(B2)</f>
        <v>394.65000000000009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'1'!F41</f>
        <v>333734.05</v>
      </c>
      <c r="F41" s="510">
        <v>336477.83</v>
      </c>
      <c r="G41" s="473">
        <f t="shared" si="2"/>
        <v>2743.7800000000279</v>
      </c>
      <c r="H41" s="460">
        <f>G41+'1'!H41</f>
        <v>6835.8300000000163</v>
      </c>
      <c r="I41" s="455"/>
      <c r="J41" s="552">
        <f>H41/DAY(B2)</f>
        <v>3417.9150000000081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v>59198.97</v>
      </c>
      <c r="F42" s="510">
        <v>59210.879999999997</v>
      </c>
      <c r="G42" s="473">
        <f t="shared" si="2"/>
        <v>11.909999999996217</v>
      </c>
      <c r="H42" s="460">
        <f>G42+'1'!H42</f>
        <v>11.989999999997963</v>
      </c>
      <c r="I42" s="455"/>
      <c r="J42" s="552">
        <f>H42/DAY(B2)</f>
        <v>5.9949999999989814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'1'!F43</f>
        <v>1123087</v>
      </c>
      <c r="F43" s="510">
        <v>1125601.3999999999</v>
      </c>
      <c r="G43" s="473">
        <f t="shared" si="2"/>
        <v>2514.3999999999069</v>
      </c>
      <c r="H43" s="460">
        <f>G43+'1'!H43</f>
        <v>5149.3999999999069</v>
      </c>
      <c r="I43" s="455"/>
      <c r="J43" s="552">
        <f>H43/DAY(B2)</f>
        <v>2574.6999999999534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614</v>
      </c>
      <c r="I45" s="455"/>
      <c r="J45" s="552">
        <f>H45/DAY(B2)</f>
        <v>307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187</v>
      </c>
      <c r="I46" s="455"/>
      <c r="J46" s="552">
        <f>H46/DAY(B2)</f>
        <v>93.5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16051.839999999909</v>
      </c>
      <c r="H47" s="460">
        <f>G47+'1'!H47</f>
        <v>34902.739999999874</v>
      </c>
      <c r="I47" s="455"/>
      <c r="J47" s="552">
        <f>H47/DAY(B2)</f>
        <v>17451.369999999937</v>
      </c>
      <c r="K47" s="428"/>
      <c r="L47" s="377"/>
      <c r="N47" s="382"/>
      <c r="O47" s="382"/>
    </row>
    <row r="48" spans="1:15">
      <c r="A48" s="598" t="s">
        <v>176</v>
      </c>
      <c r="B48" s="1307"/>
      <c r="C48" s="1307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'1'!F49</f>
        <v>260732.13</v>
      </c>
      <c r="F49" s="510">
        <v>260732.13</v>
      </c>
      <c r="G49" s="473">
        <f t="shared" ref="G49:G58" si="3">F49-E49</f>
        <v>0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'1'!F50</f>
        <v>536092.35</v>
      </c>
      <c r="F50" s="510">
        <v>537140.27</v>
      </c>
      <c r="G50" s="473">
        <f t="shared" si="3"/>
        <v>1047.9200000000419</v>
      </c>
      <c r="H50" s="460">
        <f>G50+'1'!H50</f>
        <v>2477.2700000000186</v>
      </c>
      <c r="I50" s="455"/>
      <c r="J50" s="552">
        <f>H50/DAY(B2)</f>
        <v>1238.6350000000093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'1'!F51</f>
        <v>144639.87</v>
      </c>
      <c r="F51" s="510">
        <v>144639.87</v>
      </c>
      <c r="G51" s="473">
        <f t="shared" si="3"/>
        <v>0</v>
      </c>
      <c r="H51" s="460">
        <f>G51+'1'!H51</f>
        <v>-0.13000000000465661</v>
      </c>
      <c r="I51" s="455"/>
      <c r="J51" s="552">
        <f>H51/DAY(B2)</f>
        <v>-6.5000000002328306E-2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'1'!F53</f>
        <v>434231.59</v>
      </c>
      <c r="F53" s="510">
        <v>434231.59</v>
      </c>
      <c r="G53" s="473">
        <f t="shared" si="3"/>
        <v>0</v>
      </c>
      <c r="H53" s="460">
        <f>G53+'1'!H53</f>
        <v>-0.40999999997438863</v>
      </c>
      <c r="I53" s="455"/>
      <c r="J53" s="552">
        <f>H53/DAY(B2)</f>
        <v>-0.20499999998719431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'1'!F54</f>
        <v>14967</v>
      </c>
      <c r="F54" s="510">
        <v>14967</v>
      </c>
      <c r="G54" s="473">
        <f t="shared" si="3"/>
        <v>0</v>
      </c>
      <c r="H54" s="460">
        <f>G54+'1'!H54</f>
        <v>0</v>
      </c>
      <c r="I54" s="455"/>
      <c r="J54" s="552">
        <f>H54/DAY(B2)</f>
        <v>0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'1'!F55</f>
        <v>121192.26</v>
      </c>
      <c r="F55" s="1032">
        <v>124986.44</v>
      </c>
      <c r="G55" s="473">
        <f t="shared" si="3"/>
        <v>3794.1800000000076</v>
      </c>
      <c r="H55" s="460">
        <f>G55+'1'!H55</f>
        <v>7350.4400000000023</v>
      </c>
      <c r="I55" s="455"/>
      <c r="J55" s="552">
        <f>H55/DAY(B2)</f>
        <v>3675.2200000000012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'1'!F56</f>
        <v>649043.47</v>
      </c>
      <c r="F56" s="1032">
        <v>649053.51</v>
      </c>
      <c r="G56" s="473">
        <f t="shared" si="3"/>
        <v>10.040000000037253</v>
      </c>
      <c r="H56" s="460">
        <f>G56+'1'!H56</f>
        <v>21.510000000009313</v>
      </c>
      <c r="I56" s="455"/>
      <c r="J56" s="552">
        <f>H56/DAY(B2)</f>
        <v>10.755000000004657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'1'!F58</f>
        <v>54200.2</v>
      </c>
      <c r="F58" s="653">
        <v>54200.91</v>
      </c>
      <c r="G58" s="473">
        <f t="shared" si="3"/>
        <v>0.71000000000640284</v>
      </c>
      <c r="H58" s="460">
        <f>G58+'1'!H58</f>
        <v>214.91000000000349</v>
      </c>
      <c r="I58" s="455"/>
      <c r="J58" s="552">
        <f>H58/DAY(B2)</f>
        <v>107.45500000000175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4852.8500000000931</v>
      </c>
      <c r="H59" s="460">
        <f>G59+'1'!H59</f>
        <v>10063.720000000059</v>
      </c>
      <c r="I59" s="455">
        <f>G7-G60</f>
        <v>25.309999999997672</v>
      </c>
      <c r="J59" s="552">
        <f>H59/DAY(B2)</f>
        <v>5031.8600000000297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20904.690000000002</v>
      </c>
      <c r="H60" s="460">
        <f>G60+'1'!H60</f>
        <v>44966.459999999934</v>
      </c>
      <c r="I60" s="455">
        <f>G13-G60</f>
        <v>-638.69000000000233</v>
      </c>
      <c r="J60" s="552">
        <f>H60/DAY(B2)</f>
        <v>22483.229999999967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'1'!F63</f>
        <v>0</v>
      </c>
      <c r="F63" s="514">
        <v>0</v>
      </c>
      <c r="G63" s="473">
        <f t="shared" si="4"/>
        <v>0</v>
      </c>
      <c r="H63" s="460">
        <f>G63+'1'!H63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55">
        <f>'1'!F64</f>
        <v>170394.89</v>
      </c>
      <c r="F64" s="478">
        <v>170770.31</v>
      </c>
      <c r="G64" s="473">
        <f t="shared" si="4"/>
        <v>375.4199999999837</v>
      </c>
      <c r="H64" s="460">
        <f>G64+'1'!H64</f>
        <v>748.30999999999767</v>
      </c>
      <c r="I64" s="480"/>
      <c r="J64" s="552">
        <f>H64/DAY(B2)</f>
        <v>374.15499999999884</v>
      </c>
      <c r="K64" s="428"/>
      <c r="L64" s="377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55">
        <f>'1'!F65</f>
        <v>170733.97</v>
      </c>
      <c r="F65" s="651">
        <v>171158.21</v>
      </c>
      <c r="G65" s="473">
        <f t="shared" si="4"/>
        <v>424.23999999999069</v>
      </c>
      <c r="H65" s="460">
        <f>G65+'1'!H65</f>
        <v>856.20999999999185</v>
      </c>
      <c r="I65" s="489"/>
      <c r="J65" s="552">
        <f>H65/DAY(B2)</f>
        <v>428.10499999999593</v>
      </c>
      <c r="K65" s="428"/>
      <c r="L65" s="377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55">
        <f>'1'!F66</f>
        <v>68403.92</v>
      </c>
      <c r="F66" s="478">
        <v>68828.11</v>
      </c>
      <c r="G66" s="473">
        <f t="shared" si="4"/>
        <v>424.19000000000233</v>
      </c>
      <c r="H66" s="460">
        <f>G66+'1'!H66</f>
        <v>858.11000000000058</v>
      </c>
      <c r="I66" s="480"/>
      <c r="J66" s="552">
        <f>H66/DAY(B2)</f>
        <v>429.05500000000029</v>
      </c>
      <c r="K66" s="428"/>
      <c r="L66" s="377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55">
        <f>'1'!F67</f>
        <v>265431.40999999997</v>
      </c>
      <c r="F67" s="478">
        <v>265932.03000000003</v>
      </c>
      <c r="G67" s="473">
        <f t="shared" si="4"/>
        <v>500.62000000005355</v>
      </c>
      <c r="H67" s="460">
        <f>G67+'1'!H67</f>
        <v>973.03000000002794</v>
      </c>
      <c r="I67" s="489"/>
      <c r="J67" s="552">
        <f>H67/DAY(B2)</f>
        <v>486.51500000001397</v>
      </c>
      <c r="K67" s="429"/>
      <c r="L67" s="377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55">
        <f>'1'!F69</f>
        <v>87751.62</v>
      </c>
      <c r="F69" s="478">
        <v>87993.33</v>
      </c>
      <c r="G69" s="473">
        <f t="shared" si="4"/>
        <v>241.7100000000064</v>
      </c>
      <c r="H69" s="460">
        <f>G69+'1'!H69</f>
        <v>478.33000000000175</v>
      </c>
      <c r="I69" s="516"/>
      <c r="J69" s="552">
        <f>H69/DAY(B2)</f>
        <v>239.16500000000087</v>
      </c>
      <c r="K69" s="431"/>
      <c r="L69" s="377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455">
        <f>'1'!F72</f>
        <v>856231</v>
      </c>
      <c r="F72" s="654">
        <v>856244</v>
      </c>
      <c r="G72" s="473">
        <f t="shared" ref="G72:G84" si="5">F72-E72</f>
        <v>13</v>
      </c>
      <c r="H72" s="460">
        <f>G72+'1'!H72</f>
        <v>22</v>
      </c>
      <c r="I72" s="480"/>
      <c r="J72" s="552">
        <f>H72/DAY(B2)</f>
        <v>11</v>
      </c>
      <c r="K72" s="431"/>
      <c r="L72" s="377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455">
        <f>'1'!F73</f>
        <v>885974</v>
      </c>
      <c r="F73" s="655">
        <v>885975</v>
      </c>
      <c r="G73" s="652">
        <f t="shared" si="5"/>
        <v>1</v>
      </c>
      <c r="H73" s="460">
        <f>G73+'1'!H73</f>
        <v>3</v>
      </c>
      <c r="I73" s="480"/>
      <c r="J73" s="552">
        <f>H73/DAY(B2)</f>
        <v>1.5</v>
      </c>
      <c r="K73" s="430"/>
      <c r="L73" s="377"/>
      <c r="O73" s="382"/>
    </row>
    <row r="74" spans="1:15" ht="27.75">
      <c r="A74" s="1540" t="s">
        <v>192</v>
      </c>
      <c r="B74" s="1541"/>
      <c r="C74" s="1542"/>
      <c r="D74" s="523" t="s">
        <v>186</v>
      </c>
      <c r="E74" s="455">
        <f>'1'!F74</f>
        <v>88697.7</v>
      </c>
      <c r="F74" s="654">
        <v>88698.7</v>
      </c>
      <c r="G74" s="473">
        <f t="shared" si="5"/>
        <v>1</v>
      </c>
      <c r="H74" s="460">
        <f>G74+'1'!H74</f>
        <v>2.6999999999970896</v>
      </c>
      <c r="I74" s="480"/>
      <c r="J74" s="552">
        <f>H74/DAY(B2)</f>
        <v>1.3499999999985448</v>
      </c>
      <c r="K74" s="431"/>
      <c r="L74" s="377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455">
        <f>'1'!F75</f>
        <v>16214.18</v>
      </c>
      <c r="F75" s="656">
        <v>16367.14</v>
      </c>
      <c r="G75" s="473">
        <f t="shared" si="5"/>
        <v>152.95999999999913</v>
      </c>
      <c r="H75" s="460">
        <f>G75+'1'!H75</f>
        <v>296.13999999999942</v>
      </c>
      <c r="I75" s="480"/>
      <c r="J75" s="552">
        <f>H75/DAY(B2)</f>
        <v>148.06999999999971</v>
      </c>
      <c r="K75" s="430"/>
      <c r="L75" s="377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455">
        <f>'1'!F76</f>
        <v>9405.3799999999992</v>
      </c>
      <c r="F76" s="655">
        <v>9467.86</v>
      </c>
      <c r="G76" s="473">
        <f t="shared" si="5"/>
        <v>62.480000000001382</v>
      </c>
      <c r="H76" s="460">
        <f>G76+'1'!H76</f>
        <v>131.86000000000058</v>
      </c>
      <c r="I76" s="505"/>
      <c r="J76" s="552">
        <f>H76/DAY(B2)</f>
        <v>65.930000000000291</v>
      </c>
      <c r="K76" s="430"/>
      <c r="L76" s="377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455">
        <f>'1'!F77</f>
        <v>704427</v>
      </c>
      <c r="F77" s="655">
        <v>704485</v>
      </c>
      <c r="G77" s="652">
        <f t="shared" si="5"/>
        <v>58</v>
      </c>
      <c r="H77" s="460">
        <f>G77+'1'!H77</f>
        <v>111</v>
      </c>
      <c r="I77" s="505"/>
      <c r="J77" s="552">
        <f>H77/DAY(B2)</f>
        <v>55.5</v>
      </c>
      <c r="K77" s="430"/>
      <c r="L77" s="377"/>
      <c r="O77" s="382"/>
    </row>
    <row r="78" spans="1:15" ht="27.75">
      <c r="A78" s="1305" t="s">
        <v>196</v>
      </c>
      <c r="B78" s="1298"/>
      <c r="C78" s="1298"/>
      <c r="D78" s="523" t="s">
        <v>186</v>
      </c>
      <c r="E78" s="455">
        <f>'1'!F78</f>
        <v>675528</v>
      </c>
      <c r="F78" s="656">
        <v>675660</v>
      </c>
      <c r="G78" s="473">
        <f t="shared" si="5"/>
        <v>132</v>
      </c>
      <c r="H78" s="460">
        <f>G78+'1'!H78</f>
        <v>246</v>
      </c>
      <c r="I78" s="505"/>
      <c r="J78" s="552">
        <f>H78/DAY(B2)</f>
        <v>123</v>
      </c>
      <c r="K78" s="430"/>
      <c r="L78" s="377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455">
        <f>'1'!F79</f>
        <v>835569</v>
      </c>
      <c r="F79" s="656">
        <v>835834</v>
      </c>
      <c r="G79" s="473">
        <f t="shared" si="5"/>
        <v>265</v>
      </c>
      <c r="H79" s="460">
        <f>G79+'1'!H79</f>
        <v>418</v>
      </c>
      <c r="I79" s="505"/>
      <c r="J79" s="552">
        <f>H79/DAY(B2)</f>
        <v>209</v>
      </c>
      <c r="K79" s="430"/>
      <c r="L79" s="377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455">
        <f>'1'!F80</f>
        <v>539422.92000000004</v>
      </c>
      <c r="F80" s="655">
        <v>539839.96</v>
      </c>
      <c r="G80" s="473">
        <f t="shared" si="5"/>
        <v>417.03999999992084</v>
      </c>
      <c r="H80" s="460">
        <f>G80+'1'!H80</f>
        <v>826.95999999996275</v>
      </c>
      <c r="I80" s="505"/>
      <c r="J80" s="552">
        <f>H80/DAY(B2)</f>
        <v>413.47999999998137</v>
      </c>
      <c r="K80" s="430"/>
      <c r="L80" s="377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455">
        <f>'1'!F81</f>
        <v>643116.64</v>
      </c>
      <c r="F81" s="655">
        <v>643288.92000000004</v>
      </c>
      <c r="G81" s="473">
        <f t="shared" si="5"/>
        <v>172.28000000002794</v>
      </c>
      <c r="H81" s="460">
        <f>G81+'1'!H81</f>
        <v>303.92000000004191</v>
      </c>
      <c r="I81" s="505"/>
      <c r="J81" s="552">
        <f>H81/DAY(B2)</f>
        <v>151.96000000002095</v>
      </c>
      <c r="K81" s="430"/>
      <c r="L81" s="377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455">
        <f>'1'!F82</f>
        <v>108705.9</v>
      </c>
      <c r="F82" s="651">
        <v>108718.28</v>
      </c>
      <c r="G82" s="473">
        <f t="shared" si="5"/>
        <v>12.380000000004657</v>
      </c>
      <c r="H82" s="460">
        <f>G82+'1'!H82</f>
        <v>37.279999999998836</v>
      </c>
      <c r="I82" s="486"/>
      <c r="J82" s="552">
        <f>H82/DAY(B2)</f>
        <v>18.639999999999418</v>
      </c>
      <c r="K82" s="430"/>
      <c r="L82" s="377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455">
        <f>'1'!F83</f>
        <v>27902</v>
      </c>
      <c r="F83" s="511">
        <v>28179</v>
      </c>
      <c r="G83" s="473">
        <f t="shared" si="5"/>
        <v>277</v>
      </c>
      <c r="H83" s="460">
        <f>G83+'1'!H83</f>
        <v>628</v>
      </c>
      <c r="I83" s="481"/>
      <c r="J83" s="552">
        <f>H83/DAY(B2)</f>
        <v>314</v>
      </c>
      <c r="K83" s="429"/>
      <c r="L83" s="377"/>
      <c r="O83" s="382"/>
    </row>
    <row r="84" spans="1:15">
      <c r="A84" s="1306" t="s">
        <v>200</v>
      </c>
      <c r="B84" s="571"/>
      <c r="C84" s="571"/>
      <c r="D84" s="478" t="s">
        <v>131</v>
      </c>
      <c r="E84" s="455">
        <f>'1'!F84</f>
        <v>523896</v>
      </c>
      <c r="F84" s="627">
        <v>524742</v>
      </c>
      <c r="G84" s="473">
        <f t="shared" si="5"/>
        <v>846</v>
      </c>
      <c r="H84" s="460">
        <f>G84+'1'!H84</f>
        <v>1662</v>
      </c>
      <c r="I84" s="481"/>
      <c r="J84" s="552">
        <f>H84/DAY(B2)</f>
        <v>831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2410.1399999999539</v>
      </c>
      <c r="H85" s="460">
        <f>G85+'1'!H85</f>
        <v>4688.8600000000006</v>
      </c>
      <c r="I85" s="481"/>
      <c r="J85" s="552">
        <f>H85/DAY(B2)</f>
        <v>2344.4300000000003</v>
      </c>
      <c r="K85" s="380"/>
      <c r="L85" s="378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455">
        <f>'1'!F86</f>
        <v>461843.88</v>
      </c>
      <c r="F86" s="647">
        <v>461860.6</v>
      </c>
      <c r="G86" s="705">
        <f t="shared" ref="G86:G91" si="6">F86-E86</f>
        <v>16.71999999997206</v>
      </c>
      <c r="H86" s="460">
        <f>G86+'1'!H86</f>
        <v>39.599999999976717</v>
      </c>
      <c r="I86" s="652"/>
      <c r="J86" s="707">
        <f>H86/DAY(B2)</f>
        <v>19.799999999988358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455">
        <f>'1'!F87</f>
        <v>82106.3</v>
      </c>
      <c r="F87" s="647">
        <v>82142.8</v>
      </c>
      <c r="G87" s="705">
        <f t="shared" si="6"/>
        <v>36.5</v>
      </c>
      <c r="H87" s="460">
        <f>G87+'1'!H87</f>
        <v>69.80000000000291</v>
      </c>
      <c r="I87" s="652"/>
      <c r="J87" s="707">
        <f>H87/DAY(B2)</f>
        <v>34.900000000001455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455">
        <f>'1'!F88</f>
        <v>155460.06</v>
      </c>
      <c r="F88" s="647">
        <v>155623.73000000001</v>
      </c>
      <c r="G88" s="705">
        <f t="shared" si="6"/>
        <v>163.67000000001281</v>
      </c>
      <c r="H88" s="460">
        <f>G88+'1'!H88</f>
        <v>300.73000000001048</v>
      </c>
      <c r="I88" s="652"/>
      <c r="J88" s="707">
        <f>H88/DAY(B2)</f>
        <v>150.36500000000524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455">
        <f>'1'!F89</f>
        <v>65880.399999999994</v>
      </c>
      <c r="F89" s="647">
        <v>65912.3</v>
      </c>
      <c r="G89" s="705">
        <f t="shared" si="6"/>
        <v>31.900000000008731</v>
      </c>
      <c r="H89" s="460">
        <f>G89+'1'!H89</f>
        <v>66.30000000000291</v>
      </c>
      <c r="I89" s="652"/>
      <c r="J89" s="707">
        <f>H89/DAY(B2)</f>
        <v>33.150000000001455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455">
        <f>'1'!F90</f>
        <v>3349.4</v>
      </c>
      <c r="F90" s="647">
        <v>3353.2</v>
      </c>
      <c r="G90" s="705">
        <f t="shared" si="6"/>
        <v>3.7999999999997272</v>
      </c>
      <c r="H90" s="460">
        <f>G90+'1'!H90</f>
        <v>9.1999999999998181</v>
      </c>
      <c r="I90" s="652"/>
      <c r="J90" s="707">
        <f>H90/DAY(B2)</f>
        <v>4.5999999999999091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455">
        <f>'1'!F91</f>
        <v>28259.024000000001</v>
      </c>
      <c r="F91" s="647">
        <v>28268.144</v>
      </c>
      <c r="G91" s="705">
        <f t="shared" si="6"/>
        <v>9.1199999999989814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55">
        <f>'1'!F93</f>
        <v>247441</v>
      </c>
      <c r="F93" s="478">
        <v>247529</v>
      </c>
      <c r="G93" s="473">
        <f t="shared" ref="G93:G94" si="7">F93-E93</f>
        <v>88</v>
      </c>
      <c r="H93" s="460">
        <f>G93+'1'!H93</f>
        <v>177</v>
      </c>
      <c r="I93" s="480"/>
      <c r="J93" s="552">
        <f>H93/DAY(B2)</f>
        <v>88.5</v>
      </c>
      <c r="K93" s="429"/>
      <c r="L93" s="377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55">
        <f>'1'!F94</f>
        <v>189551</v>
      </c>
      <c r="F94" s="478">
        <v>189673</v>
      </c>
      <c r="G94" s="473">
        <f t="shared" si="7"/>
        <v>122</v>
      </c>
      <c r="H94" s="460">
        <f>G94+'1'!H94</f>
        <v>219</v>
      </c>
      <c r="I94" s="480"/>
      <c r="J94" s="552">
        <f>H94/DAY(B2)</f>
        <v>109.5</v>
      </c>
      <c r="K94" s="380"/>
      <c r="L94" s="377"/>
      <c r="O94" s="382"/>
    </row>
    <row r="95" spans="1:15">
      <c r="A95" s="1591" t="s">
        <v>207</v>
      </c>
      <c r="B95" s="1592"/>
      <c r="C95" s="1593"/>
      <c r="D95" s="523"/>
      <c r="E95" s="455">
        <f>'1'!F95</f>
        <v>0</v>
      </c>
      <c r="F95" s="478"/>
      <c r="G95" s="473">
        <f>G93+G94</f>
        <v>210</v>
      </c>
      <c r="H95" s="460">
        <f>G95+'1'!H95</f>
        <v>210</v>
      </c>
      <c r="I95" s="480"/>
      <c r="J95" s="552">
        <f>H95/DAY(B2)</f>
        <v>105</v>
      </c>
      <c r="K95" s="380"/>
      <c r="L95" s="377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55">
        <f>'1'!F96</f>
        <v>416085</v>
      </c>
      <c r="F96" s="478">
        <v>416185</v>
      </c>
      <c r="G96" s="473">
        <f t="shared" ref="G96:G101" si="8">F96-E96</f>
        <v>100</v>
      </c>
      <c r="H96" s="460">
        <f>G96+'1'!H96</f>
        <v>186</v>
      </c>
      <c r="I96" s="480"/>
      <c r="J96" s="552">
        <f>H96/DAY(B2)</f>
        <v>93</v>
      </c>
      <c r="K96" s="380"/>
      <c r="L96" s="377"/>
      <c r="O96" s="382"/>
    </row>
    <row r="97" spans="1:15" ht="27.75">
      <c r="A97" s="1302" t="s">
        <v>209</v>
      </c>
      <c r="B97" s="1303"/>
      <c r="C97" s="1303"/>
      <c r="D97" s="523" t="s">
        <v>143</v>
      </c>
      <c r="E97" s="455">
        <f>'1'!F97</f>
        <v>103180</v>
      </c>
      <c r="F97" s="478">
        <v>103195</v>
      </c>
      <c r="G97" s="473">
        <f t="shared" si="8"/>
        <v>15</v>
      </c>
      <c r="H97" s="460">
        <f>G97+'1'!H97</f>
        <v>32</v>
      </c>
      <c r="I97" s="480"/>
      <c r="J97" s="552">
        <f>H97/DAY(B2)</f>
        <v>16</v>
      </c>
      <c r="K97" s="427"/>
      <c r="L97" s="377"/>
      <c r="O97" s="382"/>
    </row>
    <row r="98" spans="1:15" ht="27.75">
      <c r="A98" s="1302" t="s">
        <v>210</v>
      </c>
      <c r="B98" s="1303"/>
      <c r="C98" s="1303"/>
      <c r="D98" s="523" t="s">
        <v>143</v>
      </c>
      <c r="E98" s="455">
        <f>'1'!F98</f>
        <v>98675</v>
      </c>
      <c r="F98" s="478">
        <v>98694</v>
      </c>
      <c r="G98" s="473">
        <f t="shared" si="8"/>
        <v>19</v>
      </c>
      <c r="H98" s="460">
        <f>G98+'1'!H98</f>
        <v>37</v>
      </c>
      <c r="I98" s="480"/>
      <c r="J98" s="552">
        <f>H98/DAY(B2)</f>
        <v>18.5</v>
      </c>
      <c r="K98" s="432"/>
      <c r="L98" s="377"/>
      <c r="O98" s="382"/>
    </row>
    <row r="99" spans="1:15" ht="27.75">
      <c r="A99" s="1302" t="s">
        <v>211</v>
      </c>
      <c r="B99" s="1303"/>
      <c r="C99" s="1303"/>
      <c r="D99" s="523" t="s">
        <v>143</v>
      </c>
      <c r="E99" s="455">
        <f>'1'!F99</f>
        <v>150455</v>
      </c>
      <c r="F99" s="478">
        <v>150495</v>
      </c>
      <c r="G99" s="473">
        <f t="shared" si="8"/>
        <v>40</v>
      </c>
      <c r="H99" s="460">
        <f>G99+'1'!H99</f>
        <v>90</v>
      </c>
      <c r="I99" s="480"/>
      <c r="J99" s="552">
        <f>H99/DAY(B2)</f>
        <v>45</v>
      </c>
      <c r="K99" s="380"/>
      <c r="L99" s="377"/>
      <c r="O99" s="382"/>
    </row>
    <row r="100" spans="1:15" ht="27.75">
      <c r="A100" s="1302" t="s">
        <v>212</v>
      </c>
      <c r="B100" s="1303"/>
      <c r="C100" s="1303"/>
      <c r="D100" s="523" t="s">
        <v>143</v>
      </c>
      <c r="E100" s="455">
        <f>'1'!F100</f>
        <v>7802</v>
      </c>
      <c r="F100" s="478">
        <v>7808</v>
      </c>
      <c r="G100" s="473">
        <f t="shared" si="8"/>
        <v>6</v>
      </c>
      <c r="H100" s="460">
        <f>G100+'1'!H100</f>
        <v>11</v>
      </c>
      <c r="I100" s="480"/>
      <c r="J100" s="552">
        <f>H100/DAY(B2)</f>
        <v>5.5</v>
      </c>
      <c r="K100" s="380"/>
      <c r="L100" s="377"/>
      <c r="O100" s="382"/>
    </row>
    <row r="101" spans="1:15" ht="27.75">
      <c r="A101" s="1302" t="s">
        <v>213</v>
      </c>
      <c r="B101" s="1303"/>
      <c r="C101" s="1303"/>
      <c r="D101" s="523" t="s">
        <v>143</v>
      </c>
      <c r="E101" s="455">
        <f>'1'!F101</f>
        <v>5679</v>
      </c>
      <c r="F101" s="478">
        <v>5684</v>
      </c>
      <c r="G101" s="473">
        <f t="shared" si="8"/>
        <v>5</v>
      </c>
      <c r="H101" s="460">
        <f>G101+'1'!H101</f>
        <v>10</v>
      </c>
      <c r="I101" s="480"/>
      <c r="J101" s="552">
        <f>H101/DAY(B2)</f>
        <v>5</v>
      </c>
      <c r="K101" s="380"/>
      <c r="L101" s="377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525">
        <f>SUM(G96:G101)</f>
        <v>185</v>
      </c>
      <c r="H102" s="460">
        <f>G102+'1'!H102</f>
        <v>366</v>
      </c>
      <c r="I102" s="526"/>
      <c r="J102" s="552">
        <f>H102/DAY(B2)</f>
        <v>183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O104" s="382"/>
    </row>
    <row r="105" spans="1:15" s="442" customFormat="1" ht="27.75">
      <c r="A105" s="1551" t="s">
        <v>218</v>
      </c>
      <c r="B105" s="1552"/>
      <c r="C105" s="1300"/>
      <c r="D105" s="622" t="s">
        <v>143</v>
      </c>
      <c r="E105" s="1506">
        <f>'1'!F105</f>
        <v>7637</v>
      </c>
      <c r="F105" s="1312">
        <v>7697</v>
      </c>
      <c r="G105" s="532">
        <f>F105-E105</f>
        <v>60</v>
      </c>
      <c r="H105" s="460">
        <f>G105+'1'!H105</f>
        <v>60</v>
      </c>
      <c r="I105" s="532"/>
      <c r="J105" s="558">
        <f>H105/DAY(B2)</f>
        <v>30</v>
      </c>
      <c r="O105" s="382"/>
    </row>
    <row r="106" spans="1:15" s="442" customFormat="1" ht="27.75">
      <c r="A106" s="1551" t="s">
        <v>76</v>
      </c>
      <c r="B106" s="1552"/>
      <c r="C106" s="1300"/>
      <c r="D106" s="622" t="s">
        <v>143</v>
      </c>
      <c r="E106" s="455">
        <f>'1'!F106</f>
        <v>36174</v>
      </c>
      <c r="F106" s="659">
        <v>36174</v>
      </c>
      <c r="G106" s="532">
        <f t="shared" ref="G106:G107" si="9">F106-E106</f>
        <v>0</v>
      </c>
      <c r="H106" s="460">
        <f>G106+'1'!H106</f>
        <v>12</v>
      </c>
      <c r="I106" s="532"/>
      <c r="J106" s="558">
        <f>H106/DAY(B2)</f>
        <v>6</v>
      </c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455">
        <f>'1'!F107</f>
        <v>19827</v>
      </c>
      <c r="F107" s="658">
        <v>19827</v>
      </c>
      <c r="G107" s="532">
        <f t="shared" si="9"/>
        <v>0</v>
      </c>
      <c r="H107" s="460">
        <f>G107+'1'!H107</f>
        <v>5</v>
      </c>
      <c r="I107" s="532"/>
      <c r="J107" s="558">
        <f>H107/DAY(B2)</f>
        <v>2.5</v>
      </c>
      <c r="O107" s="382"/>
    </row>
    <row r="108" spans="1:15" s="442" customFormat="1" ht="27.75">
      <c r="A108" s="1553" t="s">
        <v>201</v>
      </c>
      <c r="B108" s="1554"/>
      <c r="C108" s="1300"/>
      <c r="D108" s="622"/>
      <c r="E108" s="532"/>
      <c r="F108" s="658"/>
      <c r="G108" s="532">
        <f>SUM(G105:G107)</f>
        <v>60</v>
      </c>
      <c r="H108" s="460">
        <f>G108+'1'!H108</f>
        <v>77</v>
      </c>
      <c r="I108" s="532"/>
      <c r="J108" s="558">
        <f>H108/DAY(B2)</f>
        <v>38.5</v>
      </c>
      <c r="O108" s="382"/>
    </row>
    <row r="109" spans="1:15" s="442" customFormat="1" ht="27.75">
      <c r="A109" s="1557" t="s">
        <v>78</v>
      </c>
      <c r="B109" s="1558"/>
      <c r="C109" s="1300"/>
      <c r="D109" s="622" t="s">
        <v>143</v>
      </c>
      <c r="E109" s="532"/>
      <c r="F109" s="658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51" t="s">
        <v>219</v>
      </c>
      <c r="B110" s="1552"/>
      <c r="C110" s="1300"/>
      <c r="D110" s="622" t="s">
        <v>143</v>
      </c>
      <c r="E110" s="455">
        <f>'1'!F110</f>
        <v>64941</v>
      </c>
      <c r="F110" s="658">
        <v>65005</v>
      </c>
      <c r="G110" s="532">
        <f>F110-E110</f>
        <v>64</v>
      </c>
      <c r="H110" s="460">
        <f>G110+'1'!H110</f>
        <v>162</v>
      </c>
      <c r="I110" s="532"/>
      <c r="J110" s="558">
        <f>H110/DAY(B2)</f>
        <v>81</v>
      </c>
      <c r="O110" s="382"/>
    </row>
    <row r="111" spans="1:15" s="442" customFormat="1" ht="27.75">
      <c r="A111" s="1551" t="s">
        <v>220</v>
      </c>
      <c r="B111" s="1552"/>
      <c r="C111" s="1300"/>
      <c r="D111" s="622" t="s">
        <v>143</v>
      </c>
      <c r="E111" s="455">
        <f>'1'!F111</f>
        <v>33169</v>
      </c>
      <c r="F111" s="658">
        <v>33252</v>
      </c>
      <c r="G111" s="532">
        <f t="shared" ref="G111:G112" si="10">F111-E111</f>
        <v>83</v>
      </c>
      <c r="H111" s="460">
        <f>G111+'1'!H111</f>
        <v>123</v>
      </c>
      <c r="I111" s="532"/>
      <c r="J111" s="558">
        <f>H111/DAY(B2)</f>
        <v>61.5</v>
      </c>
      <c r="O111" s="382"/>
    </row>
    <row r="112" spans="1:15" s="442" customFormat="1" ht="27.75">
      <c r="A112" s="1551" t="s">
        <v>221</v>
      </c>
      <c r="B112" s="1552"/>
      <c r="C112" s="1300"/>
      <c r="D112" s="622" t="s">
        <v>143</v>
      </c>
      <c r="E112" s="455">
        <f>'1'!F112</f>
        <v>4621</v>
      </c>
      <c r="F112" s="658">
        <v>4621</v>
      </c>
      <c r="G112" s="532">
        <f t="shared" si="10"/>
        <v>0</v>
      </c>
      <c r="H112" s="460">
        <f>G112+'1'!H112</f>
        <v>0</v>
      </c>
      <c r="I112" s="532"/>
      <c r="J112" s="558">
        <f>H112/DAY(B2)</f>
        <v>0</v>
      </c>
      <c r="O112" s="382"/>
    </row>
    <row r="113" spans="1:15" s="442" customFormat="1" ht="27.75">
      <c r="A113" s="1555" t="s">
        <v>109</v>
      </c>
      <c r="B113" s="1556"/>
      <c r="C113" s="1300"/>
      <c r="D113" s="622"/>
      <c r="E113" s="532"/>
      <c r="F113" s="658"/>
      <c r="G113" s="532">
        <f>SUM(G110:G112)</f>
        <v>147</v>
      </c>
      <c r="H113" s="460">
        <f>G113+'1'!H113</f>
        <v>285</v>
      </c>
      <c r="I113" s="532"/>
      <c r="J113" s="558">
        <f>H113/DAY(B2)</f>
        <v>142.5</v>
      </c>
      <c r="O113" s="382"/>
    </row>
    <row r="114" spans="1:15" s="442" customFormat="1" ht="27.75">
      <c r="A114" s="1557" t="s">
        <v>222</v>
      </c>
      <c r="B114" s="1558"/>
      <c r="C114" s="1300"/>
      <c r="D114" s="622"/>
      <c r="E114" s="532"/>
      <c r="F114" s="658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455">
        <f>'1'!F115</f>
        <v>12019</v>
      </c>
      <c r="F115" s="659">
        <v>12027</v>
      </c>
      <c r="G115" s="534">
        <f>F115-E115</f>
        <v>8</v>
      </c>
      <c r="H115" s="460">
        <f>G115+'1'!H115</f>
        <v>14</v>
      </c>
      <c r="I115" s="532"/>
      <c r="J115" s="558">
        <f>H115/DAY(B2)</f>
        <v>7</v>
      </c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455">
        <f>'1'!F116</f>
        <v>8561</v>
      </c>
      <c r="F116" s="659">
        <v>8566</v>
      </c>
      <c r="G116" s="534">
        <f t="shared" ref="G116:G117" si="11">F116-E116</f>
        <v>5</v>
      </c>
      <c r="H116" s="460">
        <f>G116+'1'!H116</f>
        <v>11</v>
      </c>
      <c r="I116" s="532"/>
      <c r="J116" s="558">
        <f>H116/DAY(B2)</f>
        <v>5.5</v>
      </c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13</v>
      </c>
      <c r="H118" s="460">
        <f>G118+'1'!H118</f>
        <v>25</v>
      </c>
      <c r="I118" s="534"/>
      <c r="J118" s="558">
        <f>H118/DAY(B2)</f>
        <v>12.5</v>
      </c>
      <c r="O118" s="382"/>
    </row>
    <row r="119" spans="1:15" s="446" customFormat="1" ht="27.75">
      <c r="A119" s="1547" t="s">
        <v>226</v>
      </c>
      <c r="B119" s="1548"/>
      <c r="C119" s="1299"/>
      <c r="D119" s="624" t="s">
        <v>143</v>
      </c>
      <c r="E119" s="536"/>
      <c r="F119" s="660">
        <f>SUM(G19+G93)</f>
        <v>150</v>
      </c>
      <c r="G119" s="536">
        <f>SUM(G19+G93)</f>
        <v>150</v>
      </c>
      <c r="H119" s="460">
        <f>G119+'1'!H119</f>
        <v>303</v>
      </c>
      <c r="I119" s="535"/>
      <c r="J119" s="559">
        <f>H119/DAY(B2)</f>
        <v>151.5</v>
      </c>
      <c r="O119" s="382"/>
    </row>
    <row r="120" spans="1:15" s="446" customFormat="1" ht="27.75">
      <c r="A120" s="1547" t="s">
        <v>227</v>
      </c>
      <c r="B120" s="1548"/>
      <c r="C120" s="1299"/>
      <c r="D120" s="624" t="s">
        <v>143</v>
      </c>
      <c r="E120" s="536"/>
      <c r="F120" s="660">
        <f>SUM(G96,G97,G98,G100,G101)</f>
        <v>145</v>
      </c>
      <c r="G120" s="536">
        <f>SUM(G96,G97,G98,G100,G101)</f>
        <v>145</v>
      </c>
      <c r="H120" s="460">
        <f>G120+'1'!H120</f>
        <v>276</v>
      </c>
      <c r="I120" s="535"/>
      <c r="J120" s="559">
        <f>H120/DAY(B2)</f>
        <v>138</v>
      </c>
      <c r="O120" s="382"/>
    </row>
    <row r="121" spans="1:15" s="446" customFormat="1" ht="27.75">
      <c r="A121" s="1547" t="s">
        <v>228</v>
      </c>
      <c r="B121" s="1548"/>
      <c r="C121" s="1299"/>
      <c r="D121" s="624" t="s">
        <v>143</v>
      </c>
      <c r="E121" s="534"/>
      <c r="F121" s="659">
        <f>SUM(G113)</f>
        <v>147</v>
      </c>
      <c r="G121" s="534">
        <f>SUM(G113)</f>
        <v>147</v>
      </c>
      <c r="H121" s="460">
        <f>G121+'1'!H121</f>
        <v>285</v>
      </c>
      <c r="I121" s="535"/>
      <c r="J121" s="559">
        <f>H121/DAY(B2)</f>
        <v>142.5</v>
      </c>
      <c r="O121" s="382"/>
    </row>
    <row r="122" spans="1:15" s="442" customFormat="1" ht="27.75">
      <c r="A122" s="1549"/>
      <c r="B122" s="1550"/>
      <c r="C122" s="1300"/>
      <c r="D122" s="560"/>
      <c r="E122" s="560"/>
      <c r="F122" s="661" t="s">
        <v>214</v>
      </c>
      <c r="G122" s="560"/>
      <c r="H122" s="561"/>
      <c r="I122" s="560"/>
      <c r="J122" s="562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2" t="s">
        <v>230</v>
      </c>
      <c r="B124" s="1303"/>
      <c r="C124" s="1303"/>
      <c r="D124" s="523" t="s">
        <v>140</v>
      </c>
      <c r="E124" s="455">
        <f>'1'!F124</f>
        <v>839939.55</v>
      </c>
      <c r="F124" s="478">
        <v>840198.75</v>
      </c>
      <c r="G124" s="473">
        <f t="shared" ref="G124:G128" si="12">F124-E124</f>
        <v>259.19999999995343</v>
      </c>
      <c r="H124" s="460">
        <f>G124+'1'!H124</f>
        <v>528.75</v>
      </c>
      <c r="I124" s="526"/>
      <c r="J124" s="552">
        <f>H124/DAY(B2)</f>
        <v>264.375</v>
      </c>
      <c r="K124" s="380"/>
      <c r="L124" s="377"/>
      <c r="O124" s="382"/>
    </row>
    <row r="125" spans="1:15" ht="27.75">
      <c r="A125" s="1302" t="s">
        <v>231</v>
      </c>
      <c r="B125" s="1303"/>
      <c r="C125" s="1303"/>
      <c r="D125" s="523" t="s">
        <v>140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55">
        <f>'1'!F126</f>
        <v>148692.69</v>
      </c>
      <c r="F126" s="478">
        <v>148791.42000000001</v>
      </c>
      <c r="G126" s="473">
        <f t="shared" si="12"/>
        <v>98.730000000010477</v>
      </c>
      <c r="H126" s="460">
        <f>G126+'1'!H126</f>
        <v>194.42000000001281</v>
      </c>
      <c r="I126" s="526"/>
      <c r="J126" s="552">
        <f>H126/DAY(B2)</f>
        <v>97.210000000006403</v>
      </c>
      <c r="K126" s="380"/>
      <c r="L126" s="377"/>
      <c r="O126" s="382"/>
    </row>
    <row r="127" spans="1:15" ht="27.75">
      <c r="A127" s="609" t="s">
        <v>233</v>
      </c>
      <c r="B127" s="1303"/>
      <c r="C127" s="1303"/>
      <c r="D127" s="523" t="s">
        <v>140</v>
      </c>
      <c r="E127" s="455">
        <f>'1'!F127</f>
        <v>32104.2</v>
      </c>
      <c r="F127" s="626">
        <v>32140.5</v>
      </c>
      <c r="G127" s="473">
        <f t="shared" si="12"/>
        <v>36.299999999999272</v>
      </c>
      <c r="H127" s="460">
        <f>G127+'1'!H127</f>
        <v>69.5</v>
      </c>
      <c r="I127" s="526"/>
      <c r="J127" s="552">
        <f>H127/DAY(B2)</f>
        <v>34.75</v>
      </c>
      <c r="K127" s="380"/>
      <c r="L127" s="377"/>
      <c r="O127" s="382"/>
    </row>
    <row r="128" spans="1:15" ht="27.75">
      <c r="A128" s="609" t="s">
        <v>234</v>
      </c>
      <c r="B128" s="1303"/>
      <c r="C128" s="1303"/>
      <c r="D128" s="523" t="s">
        <v>140</v>
      </c>
      <c r="E128" s="455">
        <f>'1'!F128</f>
        <v>9016.2999999999993</v>
      </c>
      <c r="F128" s="626">
        <v>9018.9</v>
      </c>
      <c r="G128" s="473">
        <f t="shared" si="12"/>
        <v>2.6000000000003638</v>
      </c>
      <c r="H128" s="460">
        <f>G128+'1'!H128</f>
        <v>6.8999999999996362</v>
      </c>
      <c r="I128" s="480"/>
      <c r="J128" s="552">
        <f>H128/DAY(B2)</f>
        <v>3.4499999999998181</v>
      </c>
      <c r="K128" s="380"/>
      <c r="L128" s="377"/>
      <c r="O128" s="382"/>
    </row>
    <row r="129" spans="1:15" s="281" customFormat="1" ht="27.75">
      <c r="A129" s="609" t="s">
        <v>235</v>
      </c>
      <c r="B129" s="1303"/>
      <c r="C129" s="1303"/>
      <c r="D129" s="523"/>
      <c r="E129" s="478"/>
      <c r="F129" s="478"/>
      <c r="G129" s="473">
        <f>G15-SUM(G124:G128)</f>
        <v>114.04400000010537</v>
      </c>
      <c r="H129" s="460">
        <f>G129+'1'!H129</f>
        <v>629.68200000008255</v>
      </c>
      <c r="I129" s="480"/>
      <c r="J129" s="552">
        <f>H129/DAY(B2)</f>
        <v>314.84100000004128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2" t="s">
        <v>237</v>
      </c>
      <c r="B131" s="1303"/>
      <c r="C131" s="1303"/>
      <c r="D131" s="523" t="s">
        <v>238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2" t="s">
        <v>239</v>
      </c>
      <c r="B132" s="1303"/>
      <c r="C132" s="1303"/>
      <c r="D132" s="523" t="s">
        <v>238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2" t="s">
        <v>240</v>
      </c>
      <c r="B133" s="1303"/>
      <c r="C133" s="1303"/>
      <c r="D133" s="523" t="s">
        <v>238</v>
      </c>
      <c r="E133" s="455">
        <f>'1'!F133</f>
        <v>40471.01</v>
      </c>
      <c r="F133" s="651">
        <v>40482.29</v>
      </c>
      <c r="G133" s="473">
        <f t="shared" si="13"/>
        <v>11.279999999998836</v>
      </c>
      <c r="H133" s="460">
        <f>G133+'1'!H133</f>
        <v>29.290000000000873</v>
      </c>
      <c r="I133" s="480"/>
      <c r="J133" s="552">
        <f>H133/DAY(B2)</f>
        <v>14.645000000000437</v>
      </c>
      <c r="O133" s="382"/>
    </row>
    <row r="134" spans="1:15" ht="27.75">
      <c r="A134" s="1302" t="s">
        <v>241</v>
      </c>
      <c r="B134" s="1303"/>
      <c r="C134" s="1303"/>
      <c r="D134" s="523" t="s">
        <v>238</v>
      </c>
      <c r="E134" s="455">
        <f>'1'!F134</f>
        <v>300</v>
      </c>
      <c r="F134" s="651">
        <v>300</v>
      </c>
      <c r="G134" s="473">
        <f t="shared" si="13"/>
        <v>0</v>
      </c>
      <c r="H134" s="460">
        <f>G134+'1'!H134</f>
        <v>0</v>
      </c>
      <c r="I134" s="480">
        <f>G133+G134+G135+G136</f>
        <v>28.110000000000582</v>
      </c>
      <c r="J134" s="552">
        <f>H134/DAY(B2)</f>
        <v>0</v>
      </c>
      <c r="O134" s="382"/>
    </row>
    <row r="135" spans="1:15" ht="27.75">
      <c r="A135" s="1302" t="s">
        <v>242</v>
      </c>
      <c r="B135" s="1303"/>
      <c r="C135" s="1303"/>
      <c r="D135" s="523" t="s">
        <v>238</v>
      </c>
      <c r="E135" s="455">
        <f>'1'!F135</f>
        <v>41986.21</v>
      </c>
      <c r="F135" s="651">
        <v>42003.040000000001</v>
      </c>
      <c r="G135" s="473">
        <f t="shared" si="13"/>
        <v>16.830000000001746</v>
      </c>
      <c r="H135" s="460">
        <f>G135+'1'!H135</f>
        <v>31.040000000000873</v>
      </c>
      <c r="I135" s="480"/>
      <c r="J135" s="552">
        <f>H135/DAY(B2)</f>
        <v>15.520000000000437</v>
      </c>
      <c r="O135" s="382"/>
    </row>
    <row r="136" spans="1:15" ht="27.75">
      <c r="A136" s="1302" t="s">
        <v>243</v>
      </c>
      <c r="B136" s="1303"/>
      <c r="C136" s="1303"/>
      <c r="D136" s="523" t="s">
        <v>238</v>
      </c>
      <c r="E136" s="455">
        <f>'1'!F136</f>
        <v>32874</v>
      </c>
      <c r="F136" s="651">
        <v>32874</v>
      </c>
      <c r="G136" s="473">
        <f t="shared" si="13"/>
        <v>0</v>
      </c>
      <c r="H136" s="460">
        <f>G136+'1'!H136</f>
        <v>0</v>
      </c>
      <c r="I136" s="480"/>
      <c r="J136" s="552">
        <f>H136/DAY(B2)</f>
        <v>0</v>
      </c>
      <c r="O136" s="382"/>
    </row>
    <row r="137" spans="1:15" ht="27.75">
      <c r="A137" s="1302" t="s">
        <v>244</v>
      </c>
      <c r="B137" s="1303"/>
      <c r="C137" s="1303"/>
      <c r="D137" s="523" t="s">
        <v>238</v>
      </c>
      <c r="E137" s="455">
        <f>'1'!F137</f>
        <v>22901.66</v>
      </c>
      <c r="F137" s="651">
        <v>22901.66</v>
      </c>
      <c r="G137" s="473">
        <f t="shared" si="13"/>
        <v>0</v>
      </c>
      <c r="H137" s="460">
        <f>G137+'1'!H137</f>
        <v>10.169999999998254</v>
      </c>
      <c r="I137" s="480"/>
      <c r="J137" s="552">
        <f>H137/DAY(B2)</f>
        <v>5.0849999999991269</v>
      </c>
      <c r="O137" s="382"/>
    </row>
    <row r="138" spans="1:15" ht="27.75">
      <c r="A138" s="1302" t="s">
        <v>245</v>
      </c>
      <c r="B138" s="1303"/>
      <c r="C138" s="1303"/>
      <c r="D138" s="523" t="s">
        <v>238</v>
      </c>
      <c r="E138" s="455">
        <f>'1'!F138</f>
        <v>25091.39</v>
      </c>
      <c r="F138" s="651">
        <v>25091.39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2" t="s">
        <v>246</v>
      </c>
      <c r="B139" s="1303"/>
      <c r="C139" s="1303"/>
      <c r="D139" s="523" t="s">
        <v>238</v>
      </c>
      <c r="E139" s="455">
        <f>'1'!F139</f>
        <v>70513.62</v>
      </c>
      <c r="F139" s="651">
        <v>70513.62</v>
      </c>
      <c r="G139" s="473">
        <f t="shared" si="13"/>
        <v>0</v>
      </c>
      <c r="H139" s="460">
        <f>G139+'1'!H139</f>
        <v>0</v>
      </c>
      <c r="I139" s="480">
        <f>G137+G138+G139</f>
        <v>0</v>
      </c>
      <c r="J139" s="552">
        <f>H139/DAY(B2)</f>
        <v>0</v>
      </c>
      <c r="O139" s="382"/>
    </row>
    <row r="140" spans="1:15" ht="27.75">
      <c r="A140" s="1302" t="s">
        <v>247</v>
      </c>
      <c r="B140" s="1303"/>
      <c r="C140" s="1303"/>
      <c r="D140" s="523" t="s">
        <v>238</v>
      </c>
      <c r="E140" s="455">
        <f>'1'!F140</f>
        <v>2139.09</v>
      </c>
      <c r="F140" s="478">
        <v>2148.79</v>
      </c>
      <c r="G140" s="473">
        <f t="shared" si="13"/>
        <v>9.6999999999998181</v>
      </c>
      <c r="H140" s="460">
        <f>G140+'1'!H140</f>
        <v>19.610000000000127</v>
      </c>
      <c r="I140" s="542"/>
      <c r="J140" s="552">
        <f>H140/DAY(B2)</f>
        <v>9.8050000000000637</v>
      </c>
      <c r="O140" s="382"/>
    </row>
    <row r="141" spans="1:15" ht="27.75">
      <c r="A141" s="1302" t="s">
        <v>248</v>
      </c>
      <c r="B141" s="1303"/>
      <c r="C141" s="1303"/>
      <c r="D141" s="523" t="s">
        <v>238</v>
      </c>
      <c r="E141" s="455">
        <f>'1'!F141</f>
        <v>4636.97</v>
      </c>
      <c r="F141" s="478">
        <v>4636.97</v>
      </c>
      <c r="G141" s="473">
        <f t="shared" si="13"/>
        <v>0</v>
      </c>
      <c r="H141" s="460">
        <f>G141+'1'!H141</f>
        <v>-2.9999999999745341E-2</v>
      </c>
      <c r="I141" s="542">
        <f>G140+G141</f>
        <v>9.6999999999998181</v>
      </c>
      <c r="J141" s="552">
        <f>H141/DAY(B2)</f>
        <v>-1.4999999999872671E-2</v>
      </c>
      <c r="O141" s="382"/>
    </row>
    <row r="142" spans="1:15">
      <c r="A142" s="1562" t="s">
        <v>249</v>
      </c>
      <c r="B142" s="1563"/>
      <c r="C142" s="1308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5413.7999999999302</v>
      </c>
      <c r="H143" s="460">
        <f>G143+'1'!H143</f>
        <v>10957.029999999912</v>
      </c>
      <c r="I143" s="480"/>
      <c r="J143" s="552">
        <f>H143/DAY(B2)</f>
        <v>5478.5149999999558</v>
      </c>
      <c r="K143" s="380"/>
      <c r="L143" s="377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0.25866220735785622</v>
      </c>
      <c r="H144" s="460">
        <f>G144+'1'!H144</f>
        <v>0.49860030996468796</v>
      </c>
      <c r="I144" s="544"/>
      <c r="J144" s="552">
        <f>H144/DAY(B2)</f>
        <v>0.24930015498234398</v>
      </c>
      <c r="K144" s="380"/>
      <c r="L144" s="377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6559.910000000069</v>
      </c>
      <c r="H145" s="460">
        <f>G145+'1'!H145</f>
        <v>14219.770000000026</v>
      </c>
      <c r="I145" s="480"/>
      <c r="J145" s="552">
        <f>H145/DAY(B2)</f>
        <v>7109.885000000013</v>
      </c>
      <c r="K145" s="380"/>
      <c r="L145" s="377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0.31342140468227753</v>
      </c>
      <c r="H146" s="460">
        <f>G146+'1'!H146</f>
        <v>0.64497760470175391</v>
      </c>
      <c r="I146" s="544"/>
      <c r="J146" s="552">
        <f>H146/DAY(B2)</f>
        <v>0.32248880235087696</v>
      </c>
      <c r="K146" s="380"/>
      <c r="L146" s="377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3743.4799999999814</v>
      </c>
      <c r="H147" s="460">
        <f>G147+'1'!H147</f>
        <v>7533.5</v>
      </c>
      <c r="I147" s="545"/>
      <c r="J147" s="552">
        <f>H147/DAY(B2)</f>
        <v>3766.75</v>
      </c>
      <c r="K147" s="380"/>
      <c r="L147" s="377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0.17885714285714197</v>
      </c>
      <c r="H148" s="460">
        <f>G148+'1'!H148</f>
        <v>0.34290774289393494</v>
      </c>
      <c r="I148" s="545"/>
      <c r="J148" s="552">
        <f>H148/DAY(B2)</f>
        <v>0.17145387144696747</v>
      </c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1509.8399999999965</v>
      </c>
      <c r="H149" s="460">
        <f>G149+'1'!H149</f>
        <v>3224.8299999999872</v>
      </c>
      <c r="I149" s="480"/>
      <c r="J149" s="552">
        <f>H149/DAY(B2)</f>
        <v>1612.4149999999936</v>
      </c>
      <c r="K149" s="381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7.2137601528905707E-2</v>
      </c>
      <c r="H150" s="460">
        <f>G150+'1'!H150</f>
        <v>0.14637075559065121</v>
      </c>
      <c r="I150" s="545"/>
      <c r="J150" s="552">
        <f>H150/DAY(B2)</f>
        <v>7.3185377795325607E-2</v>
      </c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1932.8200000000434</v>
      </c>
      <c r="H151" s="460">
        <f>G151+'1'!H151</f>
        <v>4309.9200000000201</v>
      </c>
      <c r="I151" s="545"/>
      <c r="J151" s="552">
        <f>H151/DAY(B2)</f>
        <v>2154.96000000001</v>
      </c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9.2346870520785634E-2</v>
      </c>
      <c r="H152" s="460">
        <f>G152+'1'!H152</f>
        <v>0.19523938331688034</v>
      </c>
      <c r="I152" s="480"/>
      <c r="J152" s="552">
        <f>H152/DAY(B2)</f>
        <v>9.7619691658440172E-2</v>
      </c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1439.8799999999756</v>
      </c>
      <c r="H153" s="460">
        <f>G153+'1'!H153</f>
        <v>2916.1999999999825</v>
      </c>
      <c r="I153" s="480"/>
      <c r="J153" s="552">
        <f>H153/DAY(B2)</f>
        <v>1458.0999999999913</v>
      </c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6.8795031055899458E-2</v>
      </c>
      <c r="H154" s="460">
        <f>G154+'1'!H154</f>
        <v>0.13269738034332224</v>
      </c>
      <c r="I154" s="568"/>
      <c r="J154" s="569">
        <f>H154/DAY(B2)</f>
        <v>6.6348690171661118E-2</v>
      </c>
      <c r="O154" s="382"/>
    </row>
    <row r="155" spans="1:15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O155" s="382"/>
    </row>
    <row r="158" spans="1:15" ht="29.25" customHeight="1">
      <c r="A158" s="1600" t="s">
        <v>266</v>
      </c>
      <c r="B158" s="1601"/>
      <c r="C158" s="1601"/>
      <c r="D158" s="1601"/>
      <c r="E158" s="1601"/>
      <c r="F158" s="1601"/>
      <c r="G158" s="1602"/>
    </row>
    <row r="159" spans="1:15">
      <c r="A159" s="784"/>
      <c r="B159" s="785"/>
      <c r="C159" s="785"/>
      <c r="D159" s="511"/>
      <c r="E159" s="455"/>
      <c r="F159" s="658"/>
      <c r="G159" s="473"/>
    </row>
    <row r="160" spans="1:15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455">
        <f>'1'!F161</f>
        <v>40925.67</v>
      </c>
      <c r="F161" s="658">
        <v>41004.730000000003</v>
      </c>
      <c r="G161" s="473">
        <f t="shared" ref="G161:G175" si="14">F161-E161</f>
        <v>79.060000000004948</v>
      </c>
    </row>
    <row r="162" spans="1:15">
      <c r="A162" s="784" t="s">
        <v>263</v>
      </c>
      <c r="B162" s="785"/>
      <c r="C162" s="785"/>
      <c r="D162" s="511" t="s">
        <v>186</v>
      </c>
      <c r="E162" s="455">
        <f>'1'!F162</f>
        <v>108241.17</v>
      </c>
      <c r="F162" s="658">
        <v>108697.57</v>
      </c>
      <c r="G162" s="473">
        <f t="shared" si="14"/>
        <v>456.40000000000873</v>
      </c>
    </row>
    <row r="163" spans="1:15">
      <c r="A163" s="784" t="s">
        <v>264</v>
      </c>
      <c r="B163" s="785"/>
      <c r="C163" s="785"/>
      <c r="D163" s="511" t="s">
        <v>186</v>
      </c>
      <c r="E163" s="455">
        <f>'1'!F163</f>
        <v>61440.46</v>
      </c>
      <c r="F163" s="658">
        <v>61641.7</v>
      </c>
      <c r="G163" s="473">
        <f t="shared" si="14"/>
        <v>201.23999999999796</v>
      </c>
    </row>
    <row r="164" spans="1:15">
      <c r="A164" s="784" t="s">
        <v>265</v>
      </c>
      <c r="B164" s="785"/>
      <c r="C164" s="785"/>
      <c r="D164" s="511" t="s">
        <v>186</v>
      </c>
      <c r="E164" s="455">
        <f>'1'!F164</f>
        <v>6862.09</v>
      </c>
      <c r="F164" s="658">
        <v>6869.59</v>
      </c>
      <c r="G164" s="473">
        <f t="shared" si="14"/>
        <v>7.5</v>
      </c>
    </row>
    <row r="165" spans="1:15">
      <c r="A165" s="786" t="s">
        <v>97</v>
      </c>
      <c r="B165" s="604"/>
      <c r="C165" s="604"/>
      <c r="D165" s="511" t="s">
        <v>186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15">
      <c r="A166" s="786" t="s">
        <v>187</v>
      </c>
      <c r="B166" s="604"/>
      <c r="C166" s="604"/>
      <c r="D166" s="511" t="s">
        <v>186</v>
      </c>
      <c r="E166" s="455">
        <v>0</v>
      </c>
      <c r="F166" s="514">
        <f t="shared" ref="F166:F172" si="15">F63</f>
        <v>0</v>
      </c>
      <c r="G166" s="473">
        <f t="shared" si="14"/>
        <v>0</v>
      </c>
    </row>
    <row r="167" spans="1:15" ht="27.75">
      <c r="A167" s="1546" t="s">
        <v>98</v>
      </c>
      <c r="B167" s="1546"/>
      <c r="C167" s="1546"/>
      <c r="D167" s="523" t="s">
        <v>186</v>
      </c>
      <c r="E167" s="455">
        <f>'1'!F167</f>
        <v>170394.89</v>
      </c>
      <c r="F167" s="514">
        <f t="shared" si="15"/>
        <v>170770.31</v>
      </c>
      <c r="G167" s="473">
        <f t="shared" si="14"/>
        <v>375.4199999999837</v>
      </c>
    </row>
    <row r="168" spans="1:15" ht="27.75">
      <c r="A168" s="1546" t="s">
        <v>99</v>
      </c>
      <c r="B168" s="1546"/>
      <c r="C168" s="1546"/>
      <c r="D168" s="523" t="s">
        <v>186</v>
      </c>
      <c r="E168" s="455">
        <f>'1'!F168</f>
        <v>170733.97</v>
      </c>
      <c r="F168" s="514">
        <f t="shared" si="15"/>
        <v>171158.21</v>
      </c>
      <c r="G168" s="473">
        <f t="shared" si="14"/>
        <v>424.23999999999069</v>
      </c>
    </row>
    <row r="169" spans="1:15" ht="27.75">
      <c r="A169" s="1546" t="s">
        <v>100</v>
      </c>
      <c r="B169" s="1546"/>
      <c r="C169" s="1546"/>
      <c r="D169" s="523" t="s">
        <v>186</v>
      </c>
      <c r="E169" s="455">
        <f>'1'!F169</f>
        <v>68403.92</v>
      </c>
      <c r="F169" s="514">
        <f t="shared" si="15"/>
        <v>68828.11</v>
      </c>
      <c r="G169" s="473">
        <f t="shared" si="14"/>
        <v>424.19000000000233</v>
      </c>
    </row>
    <row r="170" spans="1:15" ht="27.75">
      <c r="A170" s="1546" t="s">
        <v>101</v>
      </c>
      <c r="B170" s="1546"/>
      <c r="C170" s="1546"/>
      <c r="D170" s="523" t="s">
        <v>186</v>
      </c>
      <c r="E170" s="455">
        <f>'1'!F170</f>
        <v>265431.40999999997</v>
      </c>
      <c r="F170" s="514">
        <f t="shared" si="15"/>
        <v>265932.03000000003</v>
      </c>
      <c r="G170" s="473">
        <f t="shared" si="14"/>
        <v>500.62000000005355</v>
      </c>
    </row>
    <row r="171" spans="1:15" ht="27.75">
      <c r="A171" s="1546" t="s">
        <v>102</v>
      </c>
      <c r="B171" s="1546"/>
      <c r="C171" s="1546"/>
      <c r="D171" s="523" t="s">
        <v>186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15" ht="27.75">
      <c r="A172" s="1546" t="s">
        <v>103</v>
      </c>
      <c r="B172" s="1546"/>
      <c r="C172" s="1546"/>
      <c r="D172" s="523" t="s">
        <v>186</v>
      </c>
      <c r="E172" s="455">
        <f>'1'!F172</f>
        <v>87751.62</v>
      </c>
      <c r="F172" s="514">
        <f t="shared" si="15"/>
        <v>87993.33</v>
      </c>
      <c r="G172" s="473">
        <f t="shared" si="14"/>
        <v>241.7100000000064</v>
      </c>
    </row>
    <row r="173" spans="1:15" ht="21.95" customHeight="1">
      <c r="A173" s="1587" t="s">
        <v>352</v>
      </c>
      <c r="B173" s="1550"/>
      <c r="C173" s="784"/>
      <c r="D173" s="1495" t="s">
        <v>186</v>
      </c>
      <c r="E173" s="1496">
        <v>19007.5</v>
      </c>
      <c r="F173" s="376">
        <v>19012.2</v>
      </c>
      <c r="G173" s="473">
        <f t="shared" si="14"/>
        <v>4.7000000000007276</v>
      </c>
      <c r="O173" s="377"/>
    </row>
    <row r="174" spans="1:15" ht="21.95" customHeight="1">
      <c r="A174" s="1587" t="s">
        <v>353</v>
      </c>
      <c r="B174" s="1550"/>
      <c r="C174" s="454"/>
      <c r="D174" s="1495" t="s">
        <v>186</v>
      </c>
      <c r="E174" s="1500">
        <v>27634</v>
      </c>
      <c r="F174" s="376">
        <v>27638</v>
      </c>
      <c r="G174" s="473">
        <f t="shared" si="14"/>
        <v>4</v>
      </c>
      <c r="O174" s="377"/>
    </row>
    <row r="175" spans="1:15" ht="21.95" customHeight="1">
      <c r="A175" s="1587" t="s">
        <v>352</v>
      </c>
      <c r="B175" s="1550"/>
      <c r="C175" s="454"/>
      <c r="D175" s="1495" t="s">
        <v>186</v>
      </c>
      <c r="E175" s="1496">
        <v>70341.899999999994</v>
      </c>
      <c r="F175" s="376">
        <v>70348.2</v>
      </c>
      <c r="G175" s="473">
        <f t="shared" si="14"/>
        <v>6.3000000000029104</v>
      </c>
      <c r="O175" s="377"/>
    </row>
    <row r="176" spans="1:15" ht="18.75" customHeight="1"/>
    <row r="177" ht="18.75" customHeight="1"/>
    <row r="178" ht="18.75" customHeight="1"/>
    <row r="179" ht="18.75" customHeight="1"/>
    <row r="180" ht="18.7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5:B175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4"/>
  <sheetViews>
    <sheetView view="pageBreakPreview" topLeftCell="A69" zoomScale="40" zoomScaleSheetLayoutView="40" workbookViewId="0">
      <selection activeCell="F79" sqref="F79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376</v>
      </c>
      <c r="B2" s="1031">
        <v>44380</v>
      </c>
      <c r="C2" s="1304" t="s">
        <v>68</v>
      </c>
      <c r="D2" s="611">
        <v>0.56999999999999995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4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4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131</v>
      </c>
      <c r="E7" s="455">
        <f>'2'!F7</f>
        <v>965985.75</v>
      </c>
      <c r="F7" s="455">
        <v>988020</v>
      </c>
      <c r="G7" s="689">
        <f>F7-E7</f>
        <v>22034.25</v>
      </c>
      <c r="H7" s="679">
        <f>G7+'2'!H7</f>
        <v>66067</v>
      </c>
      <c r="I7" s="680">
        <f>'[2]1'!I7</f>
        <v>12000</v>
      </c>
      <c r="J7" s="681">
        <f>H7/DAY(B2)</f>
        <v>22022.333333333332</v>
      </c>
      <c r="K7" s="549"/>
      <c r="L7" s="377"/>
      <c r="O7" s="382"/>
    </row>
    <row r="8" spans="1:15" ht="27.75" thickBot="1">
      <c r="A8" s="682" t="s">
        <v>132</v>
      </c>
      <c r="B8" s="683"/>
      <c r="C8" s="684"/>
      <c r="D8" s="685" t="s">
        <v>25</v>
      </c>
      <c r="E8" s="455">
        <f>'2'!F8</f>
        <v>971017.91</v>
      </c>
      <c r="F8" s="475">
        <v>993122</v>
      </c>
      <c r="G8" s="689">
        <f>F8-E8</f>
        <v>22104.089999999967</v>
      </c>
      <c r="H8" s="679">
        <f>G8+'2'!H8</f>
        <v>66400</v>
      </c>
      <c r="I8" s="686">
        <v>12000</v>
      </c>
      <c r="J8" s="681">
        <f>H8/DAY(B2)</f>
        <v>22133.333333333332</v>
      </c>
      <c r="K8" s="549"/>
      <c r="L8" s="425"/>
      <c r="M8" s="440"/>
      <c r="O8" s="382"/>
    </row>
    <row r="9" spans="1:15">
      <c r="A9" s="687" t="s">
        <v>133</v>
      </c>
      <c r="B9" s="688"/>
      <c r="C9" s="688"/>
      <c r="D9" s="637" t="s">
        <v>131</v>
      </c>
      <c r="E9" s="455">
        <f>'2'!F9</f>
        <v>2075480.3</v>
      </c>
      <c r="F9" s="478">
        <v>2096807.9</v>
      </c>
      <c r="G9" s="702">
        <f t="shared" ref="G9:G12" si="0">F9-E9</f>
        <v>21327.59999999986</v>
      </c>
      <c r="H9" s="679">
        <f>G9+'2'!H9</f>
        <v>65805.899999999907</v>
      </c>
      <c r="I9" s="690">
        <f>I8-J8</f>
        <v>-10133.333333333332</v>
      </c>
      <c r="J9" s="681">
        <f>H9/DAY(B2)</f>
        <v>21935.29999999997</v>
      </c>
      <c r="K9" s="428"/>
      <c r="L9" s="377"/>
      <c r="O9" s="382"/>
    </row>
    <row r="10" spans="1:15">
      <c r="A10" s="676" t="s">
        <v>134</v>
      </c>
      <c r="B10" s="677"/>
      <c r="C10" s="677"/>
      <c r="D10" s="637" t="s">
        <v>131</v>
      </c>
      <c r="E10" s="455">
        <f>'2'!F10</f>
        <v>2323</v>
      </c>
      <c r="F10" s="478">
        <v>2323</v>
      </c>
      <c r="G10" s="689">
        <f t="shared" si="0"/>
        <v>0</v>
      </c>
      <c r="H10" s="679">
        <f>G10+'2'!H10</f>
        <v>0</v>
      </c>
      <c r="I10" s="691"/>
      <c r="J10" s="681">
        <f>H10/DAY(B2)</f>
        <v>0</v>
      </c>
      <c r="K10" s="428"/>
      <c r="L10" s="377"/>
      <c r="N10" s="382">
        <f>G7-G13</f>
        <v>706.6500000001397</v>
      </c>
      <c r="O10" s="382"/>
    </row>
    <row r="11" spans="1:15">
      <c r="A11" s="676" t="s">
        <v>135</v>
      </c>
      <c r="B11" s="677"/>
      <c r="C11" s="677"/>
      <c r="D11" s="637" t="s">
        <v>131</v>
      </c>
      <c r="E11" s="455">
        <f>'2'!F11</f>
        <v>37000</v>
      </c>
      <c r="F11" s="455">
        <v>37000</v>
      </c>
      <c r="G11" s="689">
        <f t="shared" si="0"/>
        <v>0</v>
      </c>
      <c r="H11" s="679">
        <f>G11+'2'!H11</f>
        <v>0</v>
      </c>
      <c r="I11" s="691"/>
      <c r="J11" s="681">
        <f>H11/DAY(B2)</f>
        <v>0</v>
      </c>
      <c r="K11" s="428"/>
      <c r="L11" s="377"/>
      <c r="O11" s="382"/>
    </row>
    <row r="12" spans="1:15">
      <c r="A12" s="676" t="s">
        <v>136</v>
      </c>
      <c r="B12" s="677"/>
      <c r="C12" s="677"/>
      <c r="D12" s="637" t="s">
        <v>131</v>
      </c>
      <c r="E12" s="455">
        <f>'2'!F12</f>
        <v>40010</v>
      </c>
      <c r="F12" s="478">
        <v>40010</v>
      </c>
      <c r="G12" s="689">
        <f t="shared" si="0"/>
        <v>0</v>
      </c>
      <c r="H12" s="679">
        <f>G12+'2'!H12</f>
        <v>0</v>
      </c>
      <c r="I12" s="691"/>
      <c r="J12" s="681">
        <f>H12/DAY(B2)</f>
        <v>0</v>
      </c>
      <c r="K12" s="428"/>
      <c r="L12" s="377"/>
      <c r="O12" s="382"/>
    </row>
    <row r="13" spans="1:15">
      <c r="A13" s="692" t="s">
        <v>137</v>
      </c>
      <c r="B13" s="693"/>
      <c r="C13" s="693"/>
      <c r="D13" s="637"/>
      <c r="E13" s="633"/>
      <c r="F13" s="455"/>
      <c r="G13" s="694">
        <f>G9+G10+G11+G12</f>
        <v>21327.59999999986</v>
      </c>
      <c r="H13" s="679">
        <f>G13+'2'!H13</f>
        <v>65805.899999999907</v>
      </c>
      <c r="I13" s="695">
        <f>G7-G13</f>
        <v>706.6500000001397</v>
      </c>
      <c r="J13" s="681">
        <f>H13/DAY(B2)</f>
        <v>21935.29999999997</v>
      </c>
      <c r="K13" s="428"/>
      <c r="L13" s="377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2" t="s">
        <v>139</v>
      </c>
      <c r="B15" s="787"/>
      <c r="C15" s="787"/>
      <c r="D15" s="524" t="s">
        <v>140</v>
      </c>
      <c r="E15" s="455">
        <f>'2'!F15</f>
        <v>1705112.2520000001</v>
      </c>
      <c r="F15" s="485">
        <v>1706052.52</v>
      </c>
      <c r="G15" s="779">
        <f>F15-E15</f>
        <v>940.26799999992363</v>
      </c>
      <c r="H15" s="679">
        <f>G15+'2'!H15</f>
        <v>2369.5200000000186</v>
      </c>
      <c r="I15" s="474">
        <v>800</v>
      </c>
      <c r="J15" s="553">
        <f>H15/DAY(B2)</f>
        <v>789.84000000000617</v>
      </c>
      <c r="K15" s="428"/>
      <c r="L15" s="377"/>
      <c r="O15" s="382"/>
    </row>
    <row r="16" spans="1:15">
      <c r="A16" s="790"/>
      <c r="B16" s="791"/>
      <c r="C16" s="791"/>
      <c r="D16" s="788"/>
      <c r="E16" s="789"/>
      <c r="F16" s="485"/>
      <c r="G16" s="1034"/>
      <c r="H16" s="486"/>
      <c r="I16" s="487">
        <f>I15-J15</f>
        <v>10.159999999993829</v>
      </c>
      <c r="J16" s="553"/>
      <c r="K16" s="428"/>
      <c r="L16" s="377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607" t="s">
        <v>142</v>
      </c>
      <c r="B18" s="1608"/>
      <c r="C18" s="1609"/>
      <c r="D18" s="637" t="s">
        <v>143</v>
      </c>
      <c r="E18" s="478">
        <v>6</v>
      </c>
      <c r="F18" s="478">
        <v>15</v>
      </c>
      <c r="G18" s="694">
        <f>F18*10</f>
        <v>150</v>
      </c>
      <c r="H18" s="679">
        <f>G18+'2'!H18</f>
        <v>340</v>
      </c>
      <c r="I18" s="680">
        <f>'[2]1'!I18</f>
        <v>65</v>
      </c>
      <c r="J18" s="681">
        <f>H18/DAY(B2)</f>
        <v>113.33333333333333</v>
      </c>
      <c r="K18" s="428"/>
      <c r="L18" s="377"/>
      <c r="O18" s="382"/>
    </row>
    <row r="19" spans="1:15" ht="27.75">
      <c r="A19" s="1607" t="s">
        <v>70</v>
      </c>
      <c r="B19" s="1608"/>
      <c r="C19" s="1609"/>
      <c r="D19" s="637" t="s">
        <v>143</v>
      </c>
      <c r="E19" s="455">
        <f>'2'!F19</f>
        <v>141621</v>
      </c>
      <c r="F19" s="478">
        <v>141681</v>
      </c>
      <c r="G19" s="689">
        <f>F19-E19</f>
        <v>60</v>
      </c>
      <c r="H19" s="679">
        <f>G19+'2'!H19</f>
        <v>186</v>
      </c>
      <c r="I19" s="696"/>
      <c r="J19" s="681">
        <f>H19/DAY(B2)</f>
        <v>62</v>
      </c>
      <c r="K19" s="428"/>
      <c r="L19" s="377"/>
      <c r="O19" s="382"/>
    </row>
    <row r="20" spans="1:15">
      <c r="A20" s="692" t="s">
        <v>144</v>
      </c>
      <c r="B20" s="693"/>
      <c r="C20" s="693"/>
      <c r="D20" s="637"/>
      <c r="E20" s="637"/>
      <c r="F20" s="523"/>
      <c r="G20" s="1033">
        <f>G18+G19</f>
        <v>210</v>
      </c>
      <c r="H20" s="679">
        <f>G20+'2'!H20</f>
        <v>526</v>
      </c>
      <c r="I20" s="698">
        <f>I18-J20</f>
        <v>-110.33333333333334</v>
      </c>
      <c r="J20" s="681">
        <f>H20/DAY(B2)</f>
        <v>175.33333333333334</v>
      </c>
      <c r="K20" s="428"/>
      <c r="L20" s="377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2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679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2" t="s">
        <v>148</v>
      </c>
      <c r="B23" s="589"/>
      <c r="C23" s="589"/>
      <c r="D23" s="523" t="s">
        <v>147</v>
      </c>
      <c r="E23" s="484">
        <f>'1'!F23</f>
        <v>2000</v>
      </c>
      <c r="F23" s="478">
        <v>1880</v>
      </c>
      <c r="G23" s="481">
        <v>0</v>
      </c>
      <c r="H23" s="679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679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699">
        <f>G8</f>
        <v>22104.089999999967</v>
      </c>
      <c r="F27" s="501">
        <v>9</v>
      </c>
      <c r="G27" s="502">
        <f>E27*F27</f>
        <v>198936.80999999971</v>
      </c>
      <c r="H27" s="679">
        <f>G27+'2'!H27</f>
        <v>597600</v>
      </c>
      <c r="I27" s="503"/>
      <c r="J27" s="552">
        <f>H27/DAY(B2)</f>
        <v>199200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699">
        <f>G15</f>
        <v>940.26799999992363</v>
      </c>
      <c r="F28" s="501">
        <v>52</v>
      </c>
      <c r="G28" s="502">
        <f>E28*F28</f>
        <v>48893.935999996029</v>
      </c>
      <c r="H28" s="679">
        <f>G28+'2'!H28</f>
        <v>123215.04000000097</v>
      </c>
      <c r="I28" s="505"/>
      <c r="J28" s="552">
        <f>H28/DAY(B2)</f>
        <v>41071.68000000032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679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699">
        <f>G19</f>
        <v>60</v>
      </c>
      <c r="F30" s="501">
        <v>146</v>
      </c>
      <c r="G30" s="502">
        <f>E30*F30</f>
        <v>8760</v>
      </c>
      <c r="H30" s="679">
        <f>G30+'2'!H30</f>
        <v>26572</v>
      </c>
      <c r="I30" s="505"/>
      <c r="J30" s="552">
        <f>H30/DAY(B2)</f>
        <v>8857.3333333333339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699">
        <f>G18</f>
        <v>150</v>
      </c>
      <c r="F31" s="501">
        <v>80</v>
      </c>
      <c r="G31" s="502">
        <f>E31*F31</f>
        <v>12000</v>
      </c>
      <c r="H31" s="679">
        <f>G31+'2'!H31</f>
        <v>21600</v>
      </c>
      <c r="I31" s="505"/>
      <c r="J31" s="552">
        <f>H31/DAY(B2)</f>
        <v>7200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268590.74599999574</v>
      </c>
      <c r="H32" s="679">
        <f>G32+'2'!H32</f>
        <v>768987.04000000097</v>
      </c>
      <c r="I32" s="509"/>
      <c r="J32" s="552">
        <f>H32/DAY(B2)</f>
        <v>256329.01333333366</v>
      </c>
      <c r="K32" s="373"/>
      <c r="L32" s="443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O33" s="382"/>
    </row>
    <row r="34" spans="1:15">
      <c r="A34" s="598" t="s">
        <v>162</v>
      </c>
      <c r="B34" s="1307"/>
      <c r="C34" s="1307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'2'!F35</f>
        <v>1034521.5</v>
      </c>
      <c r="F35" s="510">
        <v>1037586.9</v>
      </c>
      <c r="G35" s="473">
        <f t="shared" ref="G35:G46" si="2">F35-E35</f>
        <v>3065.4000000000233</v>
      </c>
      <c r="H35" s="679">
        <f>G35+'2'!H35</f>
        <v>8872.9000000000233</v>
      </c>
      <c r="I35" s="455"/>
      <c r="J35" s="552">
        <f>H35/DAY(B2)</f>
        <v>2957.6333333333409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'2'!F36</f>
        <v>22293.65</v>
      </c>
      <c r="F36" s="510">
        <v>22973.87</v>
      </c>
      <c r="G36" s="473">
        <f t="shared" si="2"/>
        <v>680.21999999999753</v>
      </c>
      <c r="H36" s="679">
        <f>G36+'2'!H36</f>
        <v>2512.869999999999</v>
      </c>
      <c r="I36" s="455"/>
      <c r="J36" s="552">
        <f>H36/DAY(B2)</f>
        <v>837.62333333333299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'2'!F37</f>
        <v>179486.33</v>
      </c>
      <c r="F37" s="510">
        <v>181086.47</v>
      </c>
      <c r="G37" s="473">
        <f t="shared" si="2"/>
        <v>1600.140000000014</v>
      </c>
      <c r="H37" s="679">
        <f>G37+'2'!H37</f>
        <v>4516.4700000000012</v>
      </c>
      <c r="I37" s="455"/>
      <c r="J37" s="552">
        <f>H37/DAY(B2)</f>
        <v>1505.4900000000005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'2'!F38</f>
        <v>201683.83</v>
      </c>
      <c r="F38" s="469">
        <v>203353.07</v>
      </c>
      <c r="G38" s="473">
        <f t="shared" si="2"/>
        <v>1669.2400000000198</v>
      </c>
      <c r="H38" s="679">
        <f>G38+'2'!H38</f>
        <v>4894.070000000007</v>
      </c>
      <c r="I38" s="455"/>
      <c r="J38" s="552">
        <f>H38/DAY(B2)</f>
        <v>1631.3566666666691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'2'!F39</f>
        <v>412397.91</v>
      </c>
      <c r="F39" s="510">
        <v>416245.75</v>
      </c>
      <c r="G39" s="473">
        <f t="shared" si="2"/>
        <v>3847.8400000000256</v>
      </c>
      <c r="H39" s="679">
        <f>G39+'2'!H39</f>
        <v>11381.75</v>
      </c>
      <c r="I39" s="455"/>
      <c r="J39" s="552">
        <f>H39/DAY(B2)</f>
        <v>3793.9166666666665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'2'!F40</f>
        <v>7902.3</v>
      </c>
      <c r="F40" s="510">
        <v>8221.3799999999992</v>
      </c>
      <c r="G40" s="473">
        <f t="shared" si="2"/>
        <v>319.07999999999902</v>
      </c>
      <c r="H40" s="679">
        <f>G40+'2'!H40</f>
        <v>1108.3799999999992</v>
      </c>
      <c r="I40" s="455"/>
      <c r="J40" s="552">
        <f>H40/DAY(B2)</f>
        <v>369.45999999999975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'2'!F41</f>
        <v>336477.83</v>
      </c>
      <c r="F41" s="510">
        <v>342452.91</v>
      </c>
      <c r="G41" s="473">
        <f t="shared" si="2"/>
        <v>5975.0799999999581</v>
      </c>
      <c r="H41" s="679">
        <f>G41+'2'!H41</f>
        <v>12810.909999999974</v>
      </c>
      <c r="I41" s="455"/>
      <c r="J41" s="552">
        <f>H41/DAY(B2)</f>
        <v>4270.3033333333251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f>'2'!F42</f>
        <v>59210.879999999997</v>
      </c>
      <c r="F42" s="510">
        <v>59210.879999999997</v>
      </c>
      <c r="G42" s="473">
        <f>F42-E42</f>
        <v>0</v>
      </c>
      <c r="H42" s="679">
        <f>G42+'2'!H42</f>
        <v>11.989999999997963</v>
      </c>
      <c r="I42" s="455"/>
      <c r="J42" s="552">
        <f>H42/DAY(B2)</f>
        <v>3.9966666666659876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'2'!F43</f>
        <v>1125601.3999999999</v>
      </c>
      <c r="F43" s="510">
        <v>1128191.2</v>
      </c>
      <c r="G43" s="473">
        <f t="shared" si="2"/>
        <v>2589.8000000000466</v>
      </c>
      <c r="H43" s="679">
        <f>G43+'2'!H43</f>
        <v>7739.1999999999534</v>
      </c>
      <c r="I43" s="455"/>
      <c r="J43" s="552">
        <f>H43/DAY(B2)</f>
        <v>2579.7333333333177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'2'!F44</f>
        <v>0</v>
      </c>
      <c r="F44" s="510">
        <v>0</v>
      </c>
      <c r="G44" s="473">
        <f t="shared" si="2"/>
        <v>0</v>
      </c>
      <c r="H44" s="679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'2'!F45</f>
        <v>614</v>
      </c>
      <c r="F45" s="510">
        <v>614</v>
      </c>
      <c r="G45" s="473">
        <f t="shared" si="2"/>
        <v>0</v>
      </c>
      <c r="H45" s="679">
        <f>G45+'2'!H45</f>
        <v>614</v>
      </c>
      <c r="I45" s="455"/>
      <c r="J45" s="552">
        <f>H45/DAY(B2)</f>
        <v>204.66666666666666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'2'!F46</f>
        <v>187</v>
      </c>
      <c r="F46" s="510">
        <v>187</v>
      </c>
      <c r="G46" s="473">
        <f t="shared" si="2"/>
        <v>0</v>
      </c>
      <c r="H46" s="679">
        <f>G46+'2'!H46</f>
        <v>187</v>
      </c>
      <c r="I46" s="455"/>
      <c r="J46" s="552">
        <f>H46/DAY(B2)</f>
        <v>62.333333333333336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19746.800000000083</v>
      </c>
      <c r="H47" s="679">
        <f>G47+'2'!H47</f>
        <v>54649.539999999957</v>
      </c>
      <c r="I47" s="455"/>
      <c r="J47" s="552">
        <f>H47/DAY(B2)</f>
        <v>18216.513333333318</v>
      </c>
      <c r="K47" s="428"/>
      <c r="L47" s="377"/>
      <c r="N47" s="382"/>
      <c r="O47" s="382"/>
    </row>
    <row r="48" spans="1:15">
      <c r="A48" s="598" t="s">
        <v>176</v>
      </c>
      <c r="B48" s="1307"/>
      <c r="C48" s="1307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'2'!F49</f>
        <v>260732.13</v>
      </c>
      <c r="F49" s="510">
        <v>260732.13</v>
      </c>
      <c r="G49" s="473">
        <f t="shared" ref="G49:G58" si="3">F49-E49</f>
        <v>0</v>
      </c>
      <c r="H49" s="679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'2'!F50</f>
        <v>537140.27</v>
      </c>
      <c r="F50" s="510">
        <v>538226.06999999995</v>
      </c>
      <c r="G50" s="473">
        <f t="shared" si="3"/>
        <v>1085.7999999999302</v>
      </c>
      <c r="H50" s="679">
        <f>G50+'2'!H50</f>
        <v>3563.0699999999488</v>
      </c>
      <c r="I50" s="455"/>
      <c r="J50" s="552">
        <f>H50/DAY(B2)</f>
        <v>1187.689999999983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'2'!F51</f>
        <v>144639.87</v>
      </c>
      <c r="F51" s="510">
        <v>144639.87</v>
      </c>
      <c r="G51" s="473">
        <f t="shared" si="3"/>
        <v>0</v>
      </c>
      <c r="H51" s="679">
        <f>G51+'2'!H51</f>
        <v>-0.13000000000465661</v>
      </c>
      <c r="I51" s="455"/>
      <c r="J51" s="552">
        <f>H51/DAY(B2)</f>
        <v>-4.3333333334885538E-2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'2'!F52</f>
        <v>539606</v>
      </c>
      <c r="F52" s="510">
        <v>539606</v>
      </c>
      <c r="G52" s="473">
        <f>F52-E52</f>
        <v>0</v>
      </c>
      <c r="H52" s="679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'2'!F53</f>
        <v>434231.59</v>
      </c>
      <c r="F53" s="510">
        <v>434231.59</v>
      </c>
      <c r="G53" s="473">
        <f t="shared" si="3"/>
        <v>0</v>
      </c>
      <c r="H53" s="679">
        <f>G53+'2'!H53</f>
        <v>-0.40999999997438863</v>
      </c>
      <c r="I53" s="455"/>
      <c r="J53" s="552">
        <f>H53/DAY(B2)</f>
        <v>-0.13666666665812954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'2'!F54</f>
        <v>14967</v>
      </c>
      <c r="F54" s="653">
        <v>14967</v>
      </c>
      <c r="G54" s="473">
        <f t="shared" si="3"/>
        <v>0</v>
      </c>
      <c r="H54" s="679">
        <f>G54+'2'!H54</f>
        <v>0</v>
      </c>
      <c r="I54" s="455"/>
      <c r="J54" s="552">
        <f>H54/DAY(B2)</f>
        <v>0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'2'!F55</f>
        <v>124986.44</v>
      </c>
      <c r="F55" s="653">
        <v>125902.97</v>
      </c>
      <c r="G55" s="473">
        <f t="shared" si="3"/>
        <v>916.52999999999884</v>
      </c>
      <c r="H55" s="679">
        <f>G55+'2'!H55</f>
        <v>8266.9700000000012</v>
      </c>
      <c r="I55" s="455"/>
      <c r="J55" s="552">
        <f>H55/DAY(B2)</f>
        <v>2755.6566666666672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'2'!F56</f>
        <v>649053.51</v>
      </c>
      <c r="F56" s="653">
        <v>649064.18999999994</v>
      </c>
      <c r="G56" s="473">
        <f t="shared" si="3"/>
        <v>10.679999999934807</v>
      </c>
      <c r="H56" s="679">
        <f>G56+'2'!H56</f>
        <v>32.189999999944121</v>
      </c>
      <c r="I56" s="455"/>
      <c r="J56" s="552">
        <f>H56/DAY(B2)</f>
        <v>10.729999999981374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'2'!F57</f>
        <v>7711</v>
      </c>
      <c r="F57" s="653">
        <v>7711</v>
      </c>
      <c r="G57" s="473">
        <f t="shared" si="3"/>
        <v>0</v>
      </c>
      <c r="H57" s="679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'2'!F58</f>
        <v>54200.91</v>
      </c>
      <c r="F58" s="653">
        <v>54419.519999999997</v>
      </c>
      <c r="G58" s="473">
        <f t="shared" si="3"/>
        <v>218.60999999999331</v>
      </c>
      <c r="H58" s="679">
        <f>G58+'2'!H58</f>
        <v>433.5199999999968</v>
      </c>
      <c r="I58" s="455"/>
      <c r="J58" s="552">
        <f>H58/DAY(B2)</f>
        <v>144.50666666666561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2231.6199999998571</v>
      </c>
      <c r="H59" s="679">
        <f>G59+'2'!H59</f>
        <v>12295.339999999916</v>
      </c>
      <c r="I59" s="455">
        <f>G7-G60</f>
        <v>55.830000000059954</v>
      </c>
      <c r="J59" s="552">
        <f>H59/DAY(B2)</f>
        <v>4098.4466666666385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21978.41999999994</v>
      </c>
      <c r="H60" s="679">
        <f>G60+'2'!H60</f>
        <v>66944.879999999874</v>
      </c>
      <c r="I60" s="455">
        <f>G13-G60</f>
        <v>-650.82000000007974</v>
      </c>
      <c r="J60" s="552">
        <f>H60/DAY(B2)</f>
        <v>22314.959999999959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4">F62-E62</f>
        <v>0</v>
      </c>
      <c r="H62" s="679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'2'!F63</f>
        <v>0</v>
      </c>
      <c r="F63" s="514">
        <v>0</v>
      </c>
      <c r="G63" s="473">
        <f t="shared" si="4"/>
        <v>0</v>
      </c>
      <c r="H63" s="679">
        <f>G63+'2'!H63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55">
        <f>'2'!F64</f>
        <v>170770.31</v>
      </c>
      <c r="F64" s="478">
        <v>171149.29</v>
      </c>
      <c r="G64" s="473">
        <f t="shared" si="4"/>
        <v>378.98000000001048</v>
      </c>
      <c r="H64" s="679">
        <f>G64+'2'!H64</f>
        <v>1127.2900000000081</v>
      </c>
      <c r="I64" s="480"/>
      <c r="J64" s="552">
        <f>H64/DAY(B2)</f>
        <v>375.76333333333605</v>
      </c>
      <c r="K64" s="428"/>
      <c r="L64" s="377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55">
        <f>'2'!F65</f>
        <v>171158.21</v>
      </c>
      <c r="F65" s="651">
        <v>171590.13</v>
      </c>
      <c r="G65" s="473">
        <f t="shared" si="4"/>
        <v>431.92000000001281</v>
      </c>
      <c r="H65" s="679">
        <f>G65+'2'!H65</f>
        <v>1288.1300000000047</v>
      </c>
      <c r="I65" s="489"/>
      <c r="J65" s="552">
        <f>H65/DAY(B2)</f>
        <v>429.3766666666682</v>
      </c>
      <c r="K65" s="428"/>
      <c r="L65" s="377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55">
        <f>'2'!F66</f>
        <v>68828.11</v>
      </c>
      <c r="F66" s="478">
        <v>69249.55</v>
      </c>
      <c r="G66" s="473">
        <f t="shared" si="4"/>
        <v>421.44000000000233</v>
      </c>
      <c r="H66" s="679">
        <f>G66+'2'!H66</f>
        <v>1279.5500000000029</v>
      </c>
      <c r="I66" s="480"/>
      <c r="J66" s="552">
        <f>H66/DAY(B2)</f>
        <v>426.51666666666762</v>
      </c>
      <c r="K66" s="428"/>
      <c r="L66" s="377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55">
        <f>'2'!F67</f>
        <v>265932.03000000003</v>
      </c>
      <c r="F67" s="478">
        <v>266461.61</v>
      </c>
      <c r="G67" s="473">
        <f t="shared" si="4"/>
        <v>529.57999999995809</v>
      </c>
      <c r="H67" s="679">
        <f>G67+'2'!H67</f>
        <v>1502.609999999986</v>
      </c>
      <c r="I67" s="489"/>
      <c r="J67" s="552">
        <f>H67/DAY(B2)</f>
        <v>500.86999999999534</v>
      </c>
      <c r="K67" s="429"/>
      <c r="L67" s="377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55">
        <f>'2'!F68</f>
        <v>85321</v>
      </c>
      <c r="F68" s="478">
        <v>85321</v>
      </c>
      <c r="G68" s="473">
        <f t="shared" si="4"/>
        <v>0</v>
      </c>
      <c r="H68" s="679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55">
        <f>'2'!F69</f>
        <v>87993.33</v>
      </c>
      <c r="F69" s="478">
        <v>88268.65</v>
      </c>
      <c r="G69" s="473">
        <f t="shared" si="4"/>
        <v>275.31999999999243</v>
      </c>
      <c r="H69" s="679">
        <f>G69+'2'!H69</f>
        <v>753.64999999999418</v>
      </c>
      <c r="I69" s="516"/>
      <c r="J69" s="552">
        <f>H69/DAY(B2)</f>
        <v>251.21666666666474</v>
      </c>
      <c r="K69" s="431"/>
      <c r="L69" s="377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455">
        <f>'2'!F72</f>
        <v>856244</v>
      </c>
      <c r="F72" s="654">
        <v>856257</v>
      </c>
      <c r="G72" s="473">
        <f t="shared" ref="G72:G84" si="5">F72-E72</f>
        <v>13</v>
      </c>
      <c r="H72" s="679">
        <f>G72+'2'!H72</f>
        <v>35</v>
      </c>
      <c r="I72" s="480"/>
      <c r="J72" s="552">
        <f>H72/DAY(B2)</f>
        <v>11.666666666666666</v>
      </c>
      <c r="K72" s="431"/>
      <c r="L72" s="377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455">
        <f>'2'!F73</f>
        <v>885975</v>
      </c>
      <c r="F73" s="655">
        <v>885977</v>
      </c>
      <c r="G73" s="652">
        <f t="shared" si="5"/>
        <v>2</v>
      </c>
      <c r="H73" s="679">
        <f>G73+'2'!H73</f>
        <v>5</v>
      </c>
      <c r="I73" s="480"/>
      <c r="J73" s="552">
        <f>H73/DAY(B2)</f>
        <v>1.6666666666666667</v>
      </c>
      <c r="K73" s="430"/>
      <c r="L73" s="377"/>
      <c r="O73" s="382"/>
    </row>
    <row r="74" spans="1:15" ht="27.75">
      <c r="A74" s="1540" t="s">
        <v>192</v>
      </c>
      <c r="B74" s="1541"/>
      <c r="C74" s="1542"/>
      <c r="D74" s="523" t="s">
        <v>186</v>
      </c>
      <c r="E74" s="455">
        <f>'2'!F74</f>
        <v>88698.7</v>
      </c>
      <c r="F74" s="656">
        <v>88699.8</v>
      </c>
      <c r="G74" s="473">
        <f t="shared" si="5"/>
        <v>1.1000000000058208</v>
      </c>
      <c r="H74" s="679">
        <f>G74+'2'!H74</f>
        <v>3.8000000000029104</v>
      </c>
      <c r="I74" s="480"/>
      <c r="J74" s="552">
        <f>H74/DAY(B2)</f>
        <v>1.2666666666676367</v>
      </c>
      <c r="K74" s="431"/>
      <c r="L74" s="377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455">
        <f>'2'!F75</f>
        <v>16367.14</v>
      </c>
      <c r="F75" s="656">
        <v>16539.25</v>
      </c>
      <c r="G75" s="473">
        <f t="shared" si="5"/>
        <v>172.11000000000058</v>
      </c>
      <c r="H75" s="679">
        <f>G75+'2'!H75</f>
        <v>468.25</v>
      </c>
      <c r="I75" s="480"/>
      <c r="J75" s="552">
        <f>H75/DAY(B2)</f>
        <v>156.08333333333334</v>
      </c>
      <c r="K75" s="430"/>
      <c r="L75" s="377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455">
        <f>'2'!F76</f>
        <v>9467.86</v>
      </c>
      <c r="F76" s="655">
        <v>9536.1200000000008</v>
      </c>
      <c r="G76" s="473">
        <f t="shared" si="5"/>
        <v>68.260000000000218</v>
      </c>
      <c r="H76" s="679">
        <f>G76+'2'!H76</f>
        <v>200.1200000000008</v>
      </c>
      <c r="I76" s="505"/>
      <c r="J76" s="552">
        <f>H76/DAY(B2)</f>
        <v>66.706666666666933</v>
      </c>
      <c r="K76" s="430"/>
      <c r="L76" s="377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455">
        <f>'2'!F77</f>
        <v>704485</v>
      </c>
      <c r="F77" s="655">
        <v>704540</v>
      </c>
      <c r="G77" s="652">
        <f t="shared" si="5"/>
        <v>55</v>
      </c>
      <c r="H77" s="679">
        <f>G77+'2'!H77</f>
        <v>166</v>
      </c>
      <c r="I77" s="505"/>
      <c r="J77" s="552">
        <f>H77/DAY(B2)</f>
        <v>55.333333333333336</v>
      </c>
      <c r="K77" s="430"/>
      <c r="L77" s="377"/>
      <c r="O77" s="382"/>
    </row>
    <row r="78" spans="1:15" ht="27.75">
      <c r="A78" s="1305" t="s">
        <v>196</v>
      </c>
      <c r="B78" s="1298"/>
      <c r="C78" s="1298"/>
      <c r="D78" s="523" t="s">
        <v>186</v>
      </c>
      <c r="E78" s="455">
        <f>'2'!F78</f>
        <v>675660</v>
      </c>
      <c r="F78" s="656">
        <v>675800</v>
      </c>
      <c r="G78" s="473">
        <f t="shared" si="5"/>
        <v>140</v>
      </c>
      <c r="H78" s="679">
        <f>G78+'2'!H78</f>
        <v>386</v>
      </c>
      <c r="I78" s="505"/>
      <c r="J78" s="552">
        <f>H78/DAY(B2)</f>
        <v>128.66666666666666</v>
      </c>
      <c r="K78" s="430"/>
      <c r="L78" s="377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455">
        <f>'2'!F79</f>
        <v>835834</v>
      </c>
      <c r="F79" s="656">
        <v>835871</v>
      </c>
      <c r="G79" s="473">
        <f t="shared" si="5"/>
        <v>37</v>
      </c>
      <c r="H79" s="679">
        <f>G79+'2'!H79</f>
        <v>455</v>
      </c>
      <c r="I79" s="505"/>
      <c r="J79" s="552">
        <f>H79/DAY(B2)</f>
        <v>151.66666666666666</v>
      </c>
      <c r="K79" s="430"/>
      <c r="L79" s="377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455">
        <f>'2'!F80</f>
        <v>539839.96</v>
      </c>
      <c r="F80" s="655">
        <v>540263.31999999995</v>
      </c>
      <c r="G80" s="473">
        <f t="shared" si="5"/>
        <v>423.35999999998603</v>
      </c>
      <c r="H80" s="679">
        <f>G80+'2'!H80</f>
        <v>1250.3199999999488</v>
      </c>
      <c r="I80" s="505"/>
      <c r="J80" s="552">
        <f>H80/DAY(B2)</f>
        <v>416.77333333331626</v>
      </c>
      <c r="K80" s="430"/>
      <c r="L80" s="377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455">
        <f>'2'!F81</f>
        <v>643288.92000000004</v>
      </c>
      <c r="F81" s="655">
        <v>643452.04</v>
      </c>
      <c r="G81" s="473">
        <f t="shared" si="5"/>
        <v>163.11999999999534</v>
      </c>
      <c r="H81" s="679">
        <f>G81+'2'!H81</f>
        <v>467.04000000003725</v>
      </c>
      <c r="I81" s="505"/>
      <c r="J81" s="552">
        <f>H81/DAY(B2)</f>
        <v>155.68000000001243</v>
      </c>
      <c r="K81" s="430"/>
      <c r="L81" s="377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455">
        <f>'2'!F82</f>
        <v>108718.28</v>
      </c>
      <c r="F82" s="651">
        <v>108746.41</v>
      </c>
      <c r="G82" s="473">
        <f t="shared" si="5"/>
        <v>28.130000000004657</v>
      </c>
      <c r="H82" s="679">
        <f>G82+'2'!H82</f>
        <v>65.410000000003492</v>
      </c>
      <c r="I82" s="486"/>
      <c r="J82" s="552">
        <f>H82/DAY(B2)</f>
        <v>21.803333333334496</v>
      </c>
      <c r="K82" s="430"/>
      <c r="L82" s="377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455">
        <f>'2'!F83</f>
        <v>28179</v>
      </c>
      <c r="F83" s="511">
        <v>28306</v>
      </c>
      <c r="G83" s="473">
        <f t="shared" si="5"/>
        <v>127</v>
      </c>
      <c r="H83" s="679">
        <f>G83+'2'!H83</f>
        <v>755</v>
      </c>
      <c r="I83" s="481"/>
      <c r="J83" s="552">
        <f>H83/DAY(B2)</f>
        <v>251.66666666666666</v>
      </c>
      <c r="K83" s="429"/>
      <c r="L83" s="377"/>
      <c r="O83" s="382"/>
    </row>
    <row r="84" spans="1:15">
      <c r="A84" s="1306" t="s">
        <v>200</v>
      </c>
      <c r="B84" s="571"/>
      <c r="C84" s="571"/>
      <c r="D84" s="478" t="s">
        <v>131</v>
      </c>
      <c r="E84" s="455">
        <f>'2'!F84</f>
        <v>524742</v>
      </c>
      <c r="F84" s="627">
        <v>525559</v>
      </c>
      <c r="G84" s="473">
        <f t="shared" si="5"/>
        <v>817</v>
      </c>
      <c r="H84" s="679">
        <f>G84+'2'!H84</f>
        <v>2479</v>
      </c>
      <c r="I84" s="481"/>
      <c r="J84" s="552">
        <f>H84/DAY(B2)</f>
        <v>826.33333333333337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2047.0799999999927</v>
      </c>
      <c r="H85" s="679">
        <f>G85+'2'!H85</f>
        <v>6735.9399999999932</v>
      </c>
      <c r="I85" s="481"/>
      <c r="J85" s="552">
        <f>H85/DAY(B2)</f>
        <v>2245.3133333333312</v>
      </c>
      <c r="K85" s="380"/>
      <c r="L85" s="378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455">
        <f>'2'!F86</f>
        <v>461860.6</v>
      </c>
      <c r="F86" s="647">
        <v>461877.04</v>
      </c>
      <c r="G86" s="705">
        <f t="shared" ref="G86:G91" si="6">F86-E86</f>
        <v>16.440000000002328</v>
      </c>
      <c r="H86" s="679">
        <f>G86+'2'!H86</f>
        <v>56.039999999979045</v>
      </c>
      <c r="I86" s="652"/>
      <c r="J86" s="707">
        <f>H86/DAY(B2)</f>
        <v>18.679999999993015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455">
        <f>'2'!F87</f>
        <v>82142.8</v>
      </c>
      <c r="F87" s="647">
        <v>82180.899999999994</v>
      </c>
      <c r="G87" s="705">
        <f t="shared" si="6"/>
        <v>38.099999999991269</v>
      </c>
      <c r="H87" s="679">
        <f>G87+'2'!H87</f>
        <v>107.89999999999418</v>
      </c>
      <c r="I87" s="652"/>
      <c r="J87" s="707">
        <f>H87/DAY(B2)</f>
        <v>35.966666666664729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455">
        <f>'2'!F88</f>
        <v>155623.73000000001</v>
      </c>
      <c r="F88" s="647">
        <v>155744.66</v>
      </c>
      <c r="G88" s="705">
        <f t="shared" si="6"/>
        <v>120.92999999999302</v>
      </c>
      <c r="H88" s="679">
        <f>G88+'2'!H88</f>
        <v>421.66000000000349</v>
      </c>
      <c r="I88" s="652"/>
      <c r="J88" s="707">
        <f>H88/DAY(B2)</f>
        <v>140.55333333333451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455">
        <f>'2'!F89</f>
        <v>65912.3</v>
      </c>
      <c r="F89" s="647">
        <v>65939</v>
      </c>
      <c r="G89" s="705">
        <f t="shared" si="6"/>
        <v>26.69999999999709</v>
      </c>
      <c r="H89" s="679">
        <f>G89+'2'!H89</f>
        <v>93</v>
      </c>
      <c r="I89" s="652"/>
      <c r="J89" s="707">
        <f>H89/DAY(B2)</f>
        <v>31</v>
      </c>
      <c r="K89" s="733" t="e">
        <f t="shared" ref="K89:K90" si="7">I89/DAY(C3)</f>
        <v>#VALUE!</v>
      </c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455">
        <f>'2'!F90</f>
        <v>3353.2</v>
      </c>
      <c r="F90" s="647">
        <v>3354</v>
      </c>
      <c r="G90" s="705">
        <f t="shared" si="6"/>
        <v>0.8000000000001819</v>
      </c>
      <c r="H90" s="679">
        <f>G90+'2'!H90</f>
        <v>10</v>
      </c>
      <c r="I90" s="652"/>
      <c r="J90" s="707">
        <f>H90/DAY(B2)</f>
        <v>3.3333333333333335</v>
      </c>
      <c r="K90" s="733" t="e">
        <f t="shared" si="7"/>
        <v>#VALUE!</v>
      </c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455">
        <f>'2'!F91</f>
        <v>28268.144</v>
      </c>
      <c r="F91" s="647">
        <v>28275.11</v>
      </c>
      <c r="G91" s="705">
        <f t="shared" si="6"/>
        <v>6.9660000000003492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55">
        <f>'2'!F93</f>
        <v>247529</v>
      </c>
      <c r="F93" s="478">
        <v>247652</v>
      </c>
      <c r="G93" s="473">
        <f t="shared" ref="G93:G94" si="8">F93-E93</f>
        <v>123</v>
      </c>
      <c r="H93" s="679">
        <f>G93+'2'!H93</f>
        <v>300</v>
      </c>
      <c r="I93" s="480"/>
      <c r="J93" s="552">
        <f>H93/DAY(B2)</f>
        <v>100</v>
      </c>
      <c r="K93" s="429"/>
      <c r="L93" s="377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55">
        <f>'2'!F94</f>
        <v>189673</v>
      </c>
      <c r="F94" s="478">
        <v>189758</v>
      </c>
      <c r="G94" s="473">
        <f t="shared" si="8"/>
        <v>85</v>
      </c>
      <c r="H94" s="679">
        <f>G94+'2'!H94</f>
        <v>304</v>
      </c>
      <c r="I94" s="480"/>
      <c r="J94" s="552">
        <f>H94/DAY(B2)</f>
        <v>101.33333333333333</v>
      </c>
      <c r="K94" s="380"/>
      <c r="L94" s="377"/>
      <c r="O94" s="382"/>
    </row>
    <row r="95" spans="1:15">
      <c r="A95" s="1591" t="s">
        <v>207</v>
      </c>
      <c r="B95" s="1592"/>
      <c r="C95" s="1593"/>
      <c r="D95" s="523"/>
      <c r="E95" s="455">
        <f>'2'!F95</f>
        <v>0</v>
      </c>
      <c r="F95" s="478"/>
      <c r="G95" s="473">
        <f>G93+G94</f>
        <v>208</v>
      </c>
      <c r="H95" s="679">
        <f>G95+'2'!H95</f>
        <v>418</v>
      </c>
      <c r="I95" s="480"/>
      <c r="J95" s="552">
        <f>H95/DAY(B2)</f>
        <v>139.33333333333334</v>
      </c>
      <c r="K95" s="380"/>
      <c r="L95" s="377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55">
        <f>'2'!F96</f>
        <v>416185</v>
      </c>
      <c r="F96" s="478">
        <v>416287</v>
      </c>
      <c r="G96" s="473">
        <f t="shared" ref="G96:G101" si="9">F96-E96</f>
        <v>102</v>
      </c>
      <c r="H96" s="679">
        <f>G96+'2'!H96</f>
        <v>288</v>
      </c>
      <c r="I96" s="480"/>
      <c r="J96" s="552">
        <f>H96/DAY(B2)</f>
        <v>96</v>
      </c>
      <c r="K96" s="380"/>
      <c r="L96" s="377"/>
      <c r="O96" s="382"/>
    </row>
    <row r="97" spans="1:15" ht="27.75">
      <c r="A97" s="1302" t="s">
        <v>209</v>
      </c>
      <c r="B97" s="1303"/>
      <c r="C97" s="1303"/>
      <c r="D97" s="523" t="s">
        <v>143</v>
      </c>
      <c r="E97" s="455">
        <f>'2'!F97</f>
        <v>103195</v>
      </c>
      <c r="F97" s="478">
        <v>103225</v>
      </c>
      <c r="G97" s="473">
        <f t="shared" si="9"/>
        <v>30</v>
      </c>
      <c r="H97" s="679">
        <f>G97+'2'!H97</f>
        <v>62</v>
      </c>
      <c r="I97" s="480"/>
      <c r="J97" s="552">
        <f>H97/DAY(B2)</f>
        <v>20.666666666666668</v>
      </c>
      <c r="K97" s="427"/>
      <c r="L97" s="377"/>
      <c r="O97" s="382"/>
    </row>
    <row r="98" spans="1:15" ht="27.75">
      <c r="A98" s="1302" t="s">
        <v>210</v>
      </c>
      <c r="B98" s="1303"/>
      <c r="C98" s="1303"/>
      <c r="D98" s="523" t="s">
        <v>143</v>
      </c>
      <c r="E98" s="455">
        <f>'2'!F98</f>
        <v>98694</v>
      </c>
      <c r="F98" s="478">
        <v>98725</v>
      </c>
      <c r="G98" s="473">
        <f t="shared" si="9"/>
        <v>31</v>
      </c>
      <c r="H98" s="679">
        <f>G98+'2'!H98</f>
        <v>68</v>
      </c>
      <c r="I98" s="480"/>
      <c r="J98" s="552">
        <f>H98/DAY(B2)</f>
        <v>22.666666666666668</v>
      </c>
      <c r="K98" s="432"/>
      <c r="L98" s="377"/>
      <c r="O98" s="382"/>
    </row>
    <row r="99" spans="1:15" ht="27.75">
      <c r="A99" s="1302" t="s">
        <v>211</v>
      </c>
      <c r="B99" s="1303"/>
      <c r="C99" s="1303"/>
      <c r="D99" s="523" t="s">
        <v>143</v>
      </c>
      <c r="E99" s="455">
        <f>'2'!F99</f>
        <v>150495</v>
      </c>
      <c r="F99" s="478">
        <v>150527</v>
      </c>
      <c r="G99" s="473">
        <f t="shared" si="9"/>
        <v>32</v>
      </c>
      <c r="H99" s="679">
        <f>G99+'2'!H99</f>
        <v>122</v>
      </c>
      <c r="I99" s="480"/>
      <c r="J99" s="552">
        <f>H99/DAY(B2)</f>
        <v>40.666666666666664</v>
      </c>
      <c r="K99" s="380"/>
      <c r="L99" s="377"/>
      <c r="O99" s="382"/>
    </row>
    <row r="100" spans="1:15" ht="27.75">
      <c r="A100" s="1302" t="s">
        <v>212</v>
      </c>
      <c r="B100" s="1303"/>
      <c r="C100" s="1303"/>
      <c r="D100" s="523" t="s">
        <v>143</v>
      </c>
      <c r="E100" s="455">
        <f>'2'!F100</f>
        <v>7808</v>
      </c>
      <c r="F100" s="478">
        <v>7822</v>
      </c>
      <c r="G100" s="473">
        <f t="shared" si="9"/>
        <v>14</v>
      </c>
      <c r="H100" s="679">
        <f>G100+'2'!H100</f>
        <v>25</v>
      </c>
      <c r="I100" s="480"/>
      <c r="J100" s="552">
        <f>H100/DAY(B2)</f>
        <v>8.3333333333333339</v>
      </c>
      <c r="K100" s="380"/>
      <c r="L100" s="377"/>
      <c r="O100" s="382"/>
    </row>
    <row r="101" spans="1:15" ht="27.75">
      <c r="A101" s="1302" t="s">
        <v>213</v>
      </c>
      <c r="B101" s="1303"/>
      <c r="C101" s="1303"/>
      <c r="D101" s="523" t="s">
        <v>143</v>
      </c>
      <c r="E101" s="455">
        <f>'2'!F101</f>
        <v>5684</v>
      </c>
      <c r="F101" s="478">
        <v>5689</v>
      </c>
      <c r="G101" s="473">
        <f t="shared" si="9"/>
        <v>5</v>
      </c>
      <c r="H101" s="679">
        <f>G101+'2'!H101</f>
        <v>15</v>
      </c>
      <c r="I101" s="480"/>
      <c r="J101" s="552">
        <f>H101/DAY(B2)</f>
        <v>5</v>
      </c>
      <c r="K101" s="380"/>
      <c r="L101" s="377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525">
        <f>SUM(G96:G101)</f>
        <v>214</v>
      </c>
      <c r="H102" s="679">
        <f>G102+'2'!H102</f>
        <v>580</v>
      </c>
      <c r="I102" s="526"/>
      <c r="J102" s="552">
        <f>H102/DAY(B2)</f>
        <v>193.33333333333334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455"/>
      <c r="F104" s="658"/>
      <c r="G104" s="532"/>
      <c r="H104" s="533"/>
      <c r="I104" s="532"/>
      <c r="J104" s="558"/>
      <c r="O104" s="382"/>
    </row>
    <row r="105" spans="1:15" s="442" customFormat="1" ht="27.75">
      <c r="A105" s="1549" t="s">
        <v>218</v>
      </c>
      <c r="B105" s="1550"/>
      <c r="C105" s="1300"/>
      <c r="D105" s="622" t="s">
        <v>143</v>
      </c>
      <c r="E105" s="455">
        <f>'2'!F105</f>
        <v>7697</v>
      </c>
      <c r="F105" s="658">
        <v>7697</v>
      </c>
      <c r="G105" s="532">
        <f>F105-E105</f>
        <v>0</v>
      </c>
      <c r="H105" s="679">
        <f>G105+'2'!H105</f>
        <v>60</v>
      </c>
      <c r="I105" s="532"/>
      <c r="J105" s="558">
        <f>H109/DAY(B2)</f>
        <v>0</v>
      </c>
      <c r="O105" s="382"/>
    </row>
    <row r="106" spans="1:15" s="442" customFormat="1" ht="27.75">
      <c r="A106" s="1549" t="s">
        <v>76</v>
      </c>
      <c r="B106" s="1550"/>
      <c r="C106" s="1300"/>
      <c r="D106" s="622" t="s">
        <v>143</v>
      </c>
      <c r="E106" s="455">
        <f>'2'!F106</f>
        <v>36174</v>
      </c>
      <c r="F106" s="659">
        <v>36186</v>
      </c>
      <c r="G106" s="532">
        <f t="shared" ref="G106:G107" si="10">F106-E106</f>
        <v>12</v>
      </c>
      <c r="H106" s="679">
        <f>G106+'2'!H106</f>
        <v>24</v>
      </c>
      <c r="I106" s="532"/>
      <c r="J106" s="558">
        <f>H106/DAY(B2)</f>
        <v>8</v>
      </c>
      <c r="O106" s="382"/>
    </row>
    <row r="107" spans="1:15" s="442" customFormat="1" ht="27.75">
      <c r="A107" s="1549" t="s">
        <v>77</v>
      </c>
      <c r="B107" s="1605"/>
      <c r="C107" s="1550"/>
      <c r="D107" s="622" t="s">
        <v>143</v>
      </c>
      <c r="E107" s="455">
        <f>'2'!F107</f>
        <v>19827</v>
      </c>
      <c r="F107" s="659">
        <v>19833</v>
      </c>
      <c r="G107" s="532">
        <f t="shared" si="10"/>
        <v>6</v>
      </c>
      <c r="H107" s="679">
        <f>G107+'2'!H107</f>
        <v>11</v>
      </c>
      <c r="I107" s="532"/>
      <c r="J107" s="558">
        <f>H107/DAY(B2)</f>
        <v>3.6666666666666665</v>
      </c>
      <c r="O107" s="382"/>
    </row>
    <row r="108" spans="1:15" s="442" customFormat="1" ht="27.75">
      <c r="A108" s="1555" t="s">
        <v>201</v>
      </c>
      <c r="B108" s="1556"/>
      <c r="C108" s="1300"/>
      <c r="D108" s="622"/>
      <c r="E108" s="455"/>
      <c r="F108" s="659" t="s">
        <v>267</v>
      </c>
      <c r="G108" s="532">
        <f>SUM(G105:G107)</f>
        <v>18</v>
      </c>
      <c r="H108" s="679">
        <f>G108+'2'!H108</f>
        <v>95</v>
      </c>
      <c r="I108" s="532"/>
      <c r="J108" s="558">
        <f>H108/DAY(B2)</f>
        <v>31.666666666666668</v>
      </c>
      <c r="O108" s="382"/>
    </row>
    <row r="109" spans="1:15" s="442" customFormat="1" ht="27.75">
      <c r="A109" s="1603" t="s">
        <v>78</v>
      </c>
      <c r="B109" s="1604"/>
      <c r="C109" s="1300"/>
      <c r="D109" s="622" t="s">
        <v>143</v>
      </c>
      <c r="E109" s="455"/>
      <c r="F109" s="659"/>
      <c r="G109" s="532"/>
      <c r="H109" s="679">
        <f>G109+'2'!H109</f>
        <v>0</v>
      </c>
      <c r="I109" s="532"/>
      <c r="J109" s="558"/>
      <c r="O109" s="382"/>
    </row>
    <row r="110" spans="1:15" s="442" customFormat="1" ht="27.75">
      <c r="A110" s="1549" t="s">
        <v>219</v>
      </c>
      <c r="B110" s="1550"/>
      <c r="C110" s="1300"/>
      <c r="D110" s="622" t="s">
        <v>143</v>
      </c>
      <c r="E110" s="455">
        <f>'2'!F110</f>
        <v>65005</v>
      </c>
      <c r="F110" s="659">
        <v>65048</v>
      </c>
      <c r="G110" s="532">
        <f>F110-E110</f>
        <v>43</v>
      </c>
      <c r="H110" s="679">
        <f>G110+'2'!H110</f>
        <v>205</v>
      </c>
      <c r="I110" s="532"/>
      <c r="J110" s="558">
        <f>H110/DAY(B2)</f>
        <v>68.333333333333329</v>
      </c>
      <c r="O110" s="382"/>
    </row>
    <row r="111" spans="1:15" s="442" customFormat="1" ht="27.75">
      <c r="A111" s="1549" t="s">
        <v>220</v>
      </c>
      <c r="B111" s="1550"/>
      <c r="C111" s="1300"/>
      <c r="D111" s="622" t="s">
        <v>143</v>
      </c>
      <c r="E111" s="455">
        <f>'2'!F111</f>
        <v>33252</v>
      </c>
      <c r="F111" s="659">
        <v>33252</v>
      </c>
      <c r="G111" s="532">
        <f t="shared" ref="G111:G112" si="11">F111-E111</f>
        <v>0</v>
      </c>
      <c r="H111" s="679">
        <f>G111+'2'!H111</f>
        <v>123</v>
      </c>
      <c r="I111" s="532"/>
      <c r="J111" s="558">
        <f>H111/DAY(B2)</f>
        <v>41</v>
      </c>
      <c r="O111" s="382"/>
    </row>
    <row r="112" spans="1:15" s="442" customFormat="1" ht="27.75">
      <c r="A112" s="1549" t="s">
        <v>221</v>
      </c>
      <c r="B112" s="1550"/>
      <c r="C112" s="1300"/>
      <c r="D112" s="622" t="s">
        <v>143</v>
      </c>
      <c r="E112" s="455">
        <f>'2'!F112</f>
        <v>4621</v>
      </c>
      <c r="F112" s="659">
        <v>4621.3</v>
      </c>
      <c r="G112" s="532">
        <f t="shared" si="11"/>
        <v>0.3000000000001819</v>
      </c>
      <c r="H112" s="679">
        <f>G112+'2'!H112</f>
        <v>0.3000000000001819</v>
      </c>
      <c r="I112" s="532"/>
      <c r="J112" s="558">
        <f>H112/DAY(B2)</f>
        <v>0.10000000000006064</v>
      </c>
      <c r="O112" s="382"/>
    </row>
    <row r="113" spans="1:15" s="442" customFormat="1" ht="27.75">
      <c r="A113" s="1555" t="s">
        <v>109</v>
      </c>
      <c r="B113" s="1556"/>
      <c r="C113" s="1300"/>
      <c r="D113" s="622"/>
      <c r="E113" s="455"/>
      <c r="F113" s="659"/>
      <c r="G113" s="532">
        <f>SUM(G110:G112)</f>
        <v>43.300000000000182</v>
      </c>
      <c r="H113" s="679">
        <f>G113+'2'!H113</f>
        <v>328.30000000000018</v>
      </c>
      <c r="I113" s="532"/>
      <c r="J113" s="558">
        <f>H113/DAY(B2)</f>
        <v>109.43333333333339</v>
      </c>
      <c r="O113" s="382"/>
    </row>
    <row r="114" spans="1:15" s="442" customFormat="1" ht="27.75">
      <c r="A114" s="1603" t="s">
        <v>222</v>
      </c>
      <c r="B114" s="1604"/>
      <c r="C114" s="1300"/>
      <c r="D114" s="622"/>
      <c r="E114" s="455"/>
      <c r="F114" s="658"/>
      <c r="G114" s="532"/>
      <c r="H114" s="679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49" t="s">
        <v>223</v>
      </c>
      <c r="B115" s="1550"/>
      <c r="C115" s="1299"/>
      <c r="D115" s="622" t="s">
        <v>143</v>
      </c>
      <c r="E115" s="455">
        <f>'2'!F115</f>
        <v>12027</v>
      </c>
      <c r="F115" s="659">
        <v>12044</v>
      </c>
      <c r="G115" s="534">
        <f>F115-E115</f>
        <v>17</v>
      </c>
      <c r="H115" s="679">
        <f>G115+'2'!H115</f>
        <v>31</v>
      </c>
      <c r="I115" s="532"/>
      <c r="J115" s="558">
        <f>H115/DAY(B2)</f>
        <v>10.333333333333334</v>
      </c>
      <c r="O115" s="382"/>
    </row>
    <row r="116" spans="1:15" s="442" customFormat="1" ht="27.75">
      <c r="A116" s="1549" t="s">
        <v>224</v>
      </c>
      <c r="B116" s="1550"/>
      <c r="C116" s="1299"/>
      <c r="D116" s="622" t="s">
        <v>143</v>
      </c>
      <c r="E116" s="455">
        <f>'2'!F116</f>
        <v>8566</v>
      </c>
      <c r="F116" s="659">
        <v>8573</v>
      </c>
      <c r="G116" s="534">
        <f t="shared" ref="G116:G117" si="12">F116-E116</f>
        <v>7</v>
      </c>
      <c r="H116" s="679">
        <f>G116+'2'!H116</f>
        <v>18</v>
      </c>
      <c r="I116" s="532"/>
      <c r="J116" s="558">
        <f>H116/DAY(B2)</f>
        <v>6</v>
      </c>
      <c r="O116" s="382"/>
    </row>
    <row r="117" spans="1:15" s="442" customFormat="1" ht="27.75">
      <c r="A117" s="1549" t="s">
        <v>225</v>
      </c>
      <c r="B117" s="1550"/>
      <c r="C117" s="1299"/>
      <c r="D117" s="622" t="s">
        <v>143</v>
      </c>
      <c r="E117" s="455"/>
      <c r="F117" s="659"/>
      <c r="G117" s="534">
        <f t="shared" si="12"/>
        <v>0</v>
      </c>
      <c r="H117" s="679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55" t="s">
        <v>201</v>
      </c>
      <c r="B118" s="1556"/>
      <c r="C118" s="1299"/>
      <c r="D118" s="780"/>
      <c r="E118" s="455"/>
      <c r="F118" s="659"/>
      <c r="G118" s="534">
        <f>SUM(G115:G117)</f>
        <v>24</v>
      </c>
      <c r="H118" s="679">
        <f>G118+'2'!H118</f>
        <v>49</v>
      </c>
      <c r="I118" s="534"/>
      <c r="J118" s="558">
        <f>H118/DAY(B2)</f>
        <v>16.333333333333332</v>
      </c>
      <c r="O118" s="382"/>
    </row>
    <row r="119" spans="1:15" s="445" customFormat="1" ht="27.75">
      <c r="A119" s="1547" t="s">
        <v>226</v>
      </c>
      <c r="B119" s="1548"/>
      <c r="C119" s="1299"/>
      <c r="D119" s="624" t="s">
        <v>143</v>
      </c>
      <c r="E119" s="455"/>
      <c r="F119" s="660">
        <f>SUM(G19+G93)</f>
        <v>183</v>
      </c>
      <c r="G119" s="536">
        <f>SUM(G19+G93)</f>
        <v>183</v>
      </c>
      <c r="H119" s="679">
        <f>G119+'2'!H119</f>
        <v>486</v>
      </c>
      <c r="I119" s="535"/>
      <c r="J119" s="559">
        <f>H119/DAY(B2)</f>
        <v>162</v>
      </c>
      <c r="O119" s="382"/>
    </row>
    <row r="120" spans="1:15" s="445" customFormat="1" ht="27.75">
      <c r="A120" s="1547" t="s">
        <v>227</v>
      </c>
      <c r="B120" s="1548"/>
      <c r="C120" s="1299"/>
      <c r="D120" s="624" t="s">
        <v>143</v>
      </c>
      <c r="E120" s="536"/>
      <c r="F120" s="660">
        <f>SUM(G96,G97,G98,G100,G101)</f>
        <v>182</v>
      </c>
      <c r="G120" s="536">
        <f>SUM(G96,G97,G98,G100,G101)</f>
        <v>182</v>
      </c>
      <c r="H120" s="679">
        <f>G120+'2'!H120</f>
        <v>458</v>
      </c>
      <c r="I120" s="535"/>
      <c r="J120" s="559">
        <f>H120/DAY(B2)</f>
        <v>152.66666666666666</v>
      </c>
      <c r="O120" s="382"/>
    </row>
    <row r="121" spans="1:15" s="445" customFormat="1" ht="27.75">
      <c r="A121" s="1547" t="s">
        <v>228</v>
      </c>
      <c r="B121" s="1548"/>
      <c r="C121" s="1299"/>
      <c r="D121" s="624" t="s">
        <v>143</v>
      </c>
      <c r="E121" s="534"/>
      <c r="F121" s="659">
        <f>SUM(G113)</f>
        <v>43.300000000000182</v>
      </c>
      <c r="G121" s="534">
        <f>SUM(G113)</f>
        <v>43.300000000000182</v>
      </c>
      <c r="H121" s="679">
        <f>G121+'2'!H121</f>
        <v>328.30000000000018</v>
      </c>
      <c r="I121" s="535"/>
      <c r="J121" s="559">
        <f>H121/DAY(B2)</f>
        <v>109.43333333333339</v>
      </c>
      <c r="O121" s="382"/>
    </row>
    <row r="122" spans="1:15" s="442" customFormat="1" ht="27.75">
      <c r="A122" s="1549"/>
      <c r="B122" s="1550"/>
      <c r="C122" s="1300"/>
      <c r="D122" s="560"/>
      <c r="E122" s="560"/>
      <c r="F122" s="661" t="s">
        <v>214</v>
      </c>
      <c r="G122" s="560"/>
      <c r="H122" s="561"/>
      <c r="I122" s="560"/>
      <c r="J122" s="562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2" t="s">
        <v>230</v>
      </c>
      <c r="B124" s="1303"/>
      <c r="C124" s="1303"/>
      <c r="D124" s="523" t="s">
        <v>140</v>
      </c>
      <c r="E124" s="455">
        <f>'2'!F124</f>
        <v>840198.75</v>
      </c>
      <c r="F124" s="651">
        <v>840500.47</v>
      </c>
      <c r="G124" s="473">
        <f t="shared" ref="G124:G128" si="13">F124-E124</f>
        <v>301.71999999997206</v>
      </c>
      <c r="H124" s="679">
        <f>G124+'2'!H124</f>
        <v>830.46999999997206</v>
      </c>
      <c r="I124" s="526"/>
      <c r="J124" s="552">
        <f>H124/DAY(B2)</f>
        <v>276.823333333324</v>
      </c>
      <c r="K124" s="380"/>
      <c r="L124" s="377"/>
      <c r="O124" s="382"/>
    </row>
    <row r="125" spans="1:15" ht="27.75">
      <c r="A125" s="1302" t="s">
        <v>231</v>
      </c>
      <c r="B125" s="1303"/>
      <c r="C125" s="1303"/>
      <c r="D125" s="523" t="s">
        <v>140</v>
      </c>
      <c r="E125" s="455">
        <f>'2'!F125</f>
        <v>73583.399999999994</v>
      </c>
      <c r="F125" s="651">
        <v>73583.399999999994</v>
      </c>
      <c r="G125" s="473">
        <f t="shared" si="13"/>
        <v>0</v>
      </c>
      <c r="H125" s="679">
        <f>G125+'2'!H125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55">
        <f>'2'!F126</f>
        <v>148791.42000000001</v>
      </c>
      <c r="F126" s="651">
        <v>148867.96</v>
      </c>
      <c r="G126" s="473">
        <f t="shared" si="13"/>
        <v>76.539999999979045</v>
      </c>
      <c r="H126" s="679">
        <f>G126+'2'!H126</f>
        <v>270.95999999999185</v>
      </c>
      <c r="I126" s="526"/>
      <c r="J126" s="552">
        <f>H126/DAY(B2)</f>
        <v>90.319999999997279</v>
      </c>
      <c r="K126" s="380"/>
      <c r="L126" s="377"/>
      <c r="O126" s="382"/>
    </row>
    <row r="127" spans="1:15" ht="27.75">
      <c r="A127" s="609" t="s">
        <v>233</v>
      </c>
      <c r="B127" s="1303"/>
      <c r="C127" s="1303"/>
      <c r="D127" s="523" t="s">
        <v>140</v>
      </c>
      <c r="E127" s="455">
        <f>'2'!F127</f>
        <v>32140.5</v>
      </c>
      <c r="F127" s="651">
        <v>32182.2</v>
      </c>
      <c r="G127" s="473">
        <f t="shared" si="13"/>
        <v>41.700000000000728</v>
      </c>
      <c r="H127" s="679">
        <f>G127+'2'!H127</f>
        <v>111.20000000000073</v>
      </c>
      <c r="I127" s="526"/>
      <c r="J127" s="552">
        <f>H127/DAY(B2)</f>
        <v>37.066666666666912</v>
      </c>
      <c r="K127" s="380"/>
      <c r="L127" s="377"/>
      <c r="O127" s="382"/>
    </row>
    <row r="128" spans="1:15" ht="27.75">
      <c r="A128" s="609" t="s">
        <v>234</v>
      </c>
      <c r="B128" s="1303"/>
      <c r="C128" s="1303"/>
      <c r="D128" s="523" t="s">
        <v>140</v>
      </c>
      <c r="E128" s="455">
        <f>'2'!F128</f>
        <v>9018.9</v>
      </c>
      <c r="F128" s="651">
        <v>9024.4</v>
      </c>
      <c r="G128" s="473">
        <f t="shared" si="13"/>
        <v>5.5</v>
      </c>
      <c r="H128" s="679">
        <f>G128+'2'!H128</f>
        <v>12.399999999999636</v>
      </c>
      <c r="I128" s="480"/>
      <c r="J128" s="552">
        <f>H128/DAY(B2)</f>
        <v>4.1333333333332121</v>
      </c>
      <c r="K128" s="380"/>
      <c r="L128" s="377"/>
      <c r="O128" s="382"/>
    </row>
    <row r="129" spans="1:15" s="281" customFormat="1" ht="27.75">
      <c r="A129" s="609" t="s">
        <v>235</v>
      </c>
      <c r="B129" s="1303"/>
      <c r="C129" s="1303"/>
      <c r="D129" s="523"/>
      <c r="E129" s="455">
        <f>'2'!F129</f>
        <v>0</v>
      </c>
      <c r="F129" s="478"/>
      <c r="G129" s="473">
        <f>G15-SUM(G124:G128)</f>
        <v>514.8079999999718</v>
      </c>
      <c r="H129" s="679">
        <f>G129+'2'!H129</f>
        <v>1144.4900000000544</v>
      </c>
      <c r="I129" s="480"/>
      <c r="J129" s="552">
        <f>H129/DAY(B2)</f>
        <v>381.4966666666848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2" t="s">
        <v>237</v>
      </c>
      <c r="B131" s="1303"/>
      <c r="C131" s="1303"/>
      <c r="D131" s="523" t="s">
        <v>238</v>
      </c>
      <c r="E131" s="455">
        <f>'2'!F131</f>
        <v>0</v>
      </c>
      <c r="F131" s="478">
        <v>0</v>
      </c>
      <c r="G131" s="473">
        <f t="shared" ref="G131:G141" si="14">F131-E131</f>
        <v>0</v>
      </c>
      <c r="H131" s="679">
        <f>G131+'2'!H131</f>
        <v>0</v>
      </c>
      <c r="I131" s="480"/>
      <c r="J131" s="552">
        <f>H131/DAY(B2)</f>
        <v>0</v>
      </c>
      <c r="O131" s="382"/>
    </row>
    <row r="132" spans="1:15" ht="27.75">
      <c r="A132" s="1302" t="s">
        <v>239</v>
      </c>
      <c r="B132" s="1303"/>
      <c r="C132" s="1303"/>
      <c r="D132" s="523" t="s">
        <v>238</v>
      </c>
      <c r="E132" s="455">
        <f>'2'!F132</f>
        <v>0</v>
      </c>
      <c r="F132" s="651">
        <v>0</v>
      </c>
      <c r="G132" s="473">
        <f t="shared" si="14"/>
        <v>0</v>
      </c>
      <c r="H132" s="679">
        <f>G132+'2'!H132</f>
        <v>0</v>
      </c>
      <c r="I132" s="480"/>
      <c r="J132" s="552">
        <f>H132/DAY(B2)</f>
        <v>0</v>
      </c>
      <c r="O132" s="382"/>
    </row>
    <row r="133" spans="1:15" ht="27.75">
      <c r="A133" s="1302" t="s">
        <v>240</v>
      </c>
      <c r="B133" s="1303"/>
      <c r="C133" s="1303"/>
      <c r="D133" s="523" t="s">
        <v>238</v>
      </c>
      <c r="E133" s="455">
        <f>'2'!F133</f>
        <v>40482.29</v>
      </c>
      <c r="F133" s="651">
        <v>40506</v>
      </c>
      <c r="G133" s="473">
        <f t="shared" si="14"/>
        <v>23.709999999999127</v>
      </c>
      <c r="H133" s="679">
        <f>G133+'2'!H133</f>
        <v>53</v>
      </c>
      <c r="I133" s="480"/>
      <c r="J133" s="552">
        <f>H133/DAY(B2)</f>
        <v>17.666666666666668</v>
      </c>
      <c r="O133" s="382"/>
    </row>
    <row r="134" spans="1:15" ht="27.75">
      <c r="A134" s="1302" t="s">
        <v>241</v>
      </c>
      <c r="B134" s="1303"/>
      <c r="C134" s="1303"/>
      <c r="D134" s="523" t="s">
        <v>238</v>
      </c>
      <c r="E134" s="455">
        <f>'2'!F134</f>
        <v>300</v>
      </c>
      <c r="F134" s="651">
        <v>300</v>
      </c>
      <c r="G134" s="473">
        <f t="shared" si="14"/>
        <v>0</v>
      </c>
      <c r="H134" s="679">
        <f>G134+'2'!H134</f>
        <v>0</v>
      </c>
      <c r="I134" s="480"/>
      <c r="J134" s="552">
        <f>H134/DAY(B2)</f>
        <v>0</v>
      </c>
      <c r="O134" s="382"/>
    </row>
    <row r="135" spans="1:15" ht="27.75">
      <c r="A135" s="1302" t="s">
        <v>242</v>
      </c>
      <c r="B135" s="1303"/>
      <c r="C135" s="1303"/>
      <c r="D135" s="523" t="s">
        <v>238</v>
      </c>
      <c r="E135" s="455">
        <f>'2'!F135</f>
        <v>42003.040000000001</v>
      </c>
      <c r="F135" s="651">
        <v>42007.197999999997</v>
      </c>
      <c r="G135" s="473">
        <f t="shared" si="14"/>
        <v>4.157999999995809</v>
      </c>
      <c r="H135" s="679">
        <f>G135+'2'!H135</f>
        <v>35.197999999996682</v>
      </c>
      <c r="I135" s="480"/>
      <c r="J135" s="552">
        <f>H135/DAY(B2)</f>
        <v>11.73266666666556</v>
      </c>
      <c r="O135" s="382"/>
    </row>
    <row r="136" spans="1:15" ht="27.75">
      <c r="A136" s="1302" t="s">
        <v>243</v>
      </c>
      <c r="B136" s="1303"/>
      <c r="C136" s="1303"/>
      <c r="D136" s="523" t="s">
        <v>238</v>
      </c>
      <c r="E136" s="455">
        <f>'2'!F136</f>
        <v>32874</v>
      </c>
      <c r="F136" s="651">
        <v>32874</v>
      </c>
      <c r="G136" s="473">
        <f t="shared" si="14"/>
        <v>0</v>
      </c>
      <c r="H136" s="679">
        <f>G136+'2'!H136</f>
        <v>0</v>
      </c>
      <c r="I136" s="480">
        <f t="shared" ref="I136" si="15">G133+G134+G135+G136</f>
        <v>27.867999999994936</v>
      </c>
      <c r="J136" s="552">
        <f>H136/DAY(B2)</f>
        <v>0</v>
      </c>
      <c r="O136" s="382"/>
    </row>
    <row r="137" spans="1:15" ht="27.75">
      <c r="A137" s="1302" t="s">
        <v>244</v>
      </c>
      <c r="B137" s="1303"/>
      <c r="C137" s="1303"/>
      <c r="D137" s="523" t="s">
        <v>238</v>
      </c>
      <c r="E137" s="455">
        <f>'2'!F137</f>
        <v>22901.66</v>
      </c>
      <c r="F137" s="651">
        <v>22911.79</v>
      </c>
      <c r="G137" s="473">
        <f t="shared" si="14"/>
        <v>10.130000000001019</v>
      </c>
      <c r="H137" s="679">
        <f>G137+'2'!H137</f>
        <v>20.299999999999272</v>
      </c>
      <c r="I137" s="480"/>
      <c r="J137" s="552">
        <f>H137/DAY(B2)</f>
        <v>6.7666666666664241</v>
      </c>
      <c r="O137" s="382"/>
    </row>
    <row r="138" spans="1:15" ht="27.75">
      <c r="A138" s="1302" t="s">
        <v>245</v>
      </c>
      <c r="B138" s="1303"/>
      <c r="C138" s="1303"/>
      <c r="D138" s="523" t="s">
        <v>238</v>
      </c>
      <c r="E138" s="455">
        <f>'2'!F138</f>
        <v>25091.39</v>
      </c>
      <c r="F138" s="651">
        <v>25091.39</v>
      </c>
      <c r="G138" s="473">
        <f t="shared" si="14"/>
        <v>0</v>
      </c>
      <c r="H138" s="679">
        <f>G138+'2'!H138</f>
        <v>0</v>
      </c>
      <c r="I138" s="480"/>
      <c r="J138" s="552">
        <f>H138/DAY(B2)</f>
        <v>0</v>
      </c>
      <c r="O138" s="382"/>
    </row>
    <row r="139" spans="1:15" ht="27.75">
      <c r="A139" s="1302" t="s">
        <v>246</v>
      </c>
      <c r="B139" s="1303"/>
      <c r="C139" s="1303"/>
      <c r="D139" s="523" t="s">
        <v>238</v>
      </c>
      <c r="E139" s="455">
        <f>'2'!F139</f>
        <v>70513.62</v>
      </c>
      <c r="F139" s="651">
        <v>70513.62</v>
      </c>
      <c r="G139" s="473">
        <f t="shared" si="14"/>
        <v>0</v>
      </c>
      <c r="H139" s="679">
        <f>G139+'2'!H139</f>
        <v>0</v>
      </c>
      <c r="I139" s="480">
        <f>G137+G138+G139</f>
        <v>10.130000000001019</v>
      </c>
      <c r="J139" s="552">
        <f>H139/DAY(B2)</f>
        <v>0</v>
      </c>
      <c r="O139" s="382"/>
    </row>
    <row r="140" spans="1:15" ht="27.75">
      <c r="A140" s="1302" t="s">
        <v>247</v>
      </c>
      <c r="B140" s="1303"/>
      <c r="C140" s="1303"/>
      <c r="D140" s="523" t="s">
        <v>238</v>
      </c>
      <c r="E140" s="455">
        <f>'2'!F140</f>
        <v>2148.79</v>
      </c>
      <c r="F140" s="651">
        <v>2159.91</v>
      </c>
      <c r="G140" s="473">
        <f t="shared" si="14"/>
        <v>11.119999999999891</v>
      </c>
      <c r="H140" s="679">
        <f>G140+'2'!H140</f>
        <v>30.730000000000018</v>
      </c>
      <c r="I140" s="542"/>
      <c r="J140" s="552">
        <f>H140/DAY(B2)</f>
        <v>10.243333333333339</v>
      </c>
      <c r="O140" s="382"/>
    </row>
    <row r="141" spans="1:15" ht="27.75">
      <c r="A141" s="1302" t="s">
        <v>248</v>
      </c>
      <c r="B141" s="1303"/>
      <c r="C141" s="1303"/>
      <c r="D141" s="523" t="s">
        <v>238</v>
      </c>
      <c r="E141" s="455">
        <f>'2'!F141</f>
        <v>4636.97</v>
      </c>
      <c r="F141" s="651">
        <v>4636.97</v>
      </c>
      <c r="G141" s="473">
        <f t="shared" si="14"/>
        <v>0</v>
      </c>
      <c r="H141" s="679">
        <f>G141+'2'!H141</f>
        <v>-2.9999999999745341E-2</v>
      </c>
      <c r="I141" s="542">
        <f>G141+G181</f>
        <v>0</v>
      </c>
      <c r="J141" s="552">
        <f>H141/DAY(B2)</f>
        <v>-9.9999999999151132E-3</v>
      </c>
      <c r="O141" s="382"/>
    </row>
    <row r="142" spans="1:15">
      <c r="A142" s="1562" t="s">
        <v>249</v>
      </c>
      <c r="B142" s="1563"/>
      <c r="C142" s="1308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5655.2000000000698</v>
      </c>
      <c r="H143" s="679">
        <f>G143+'2'!H143</f>
        <v>16612.229999999981</v>
      </c>
      <c r="I143" s="480"/>
      <c r="J143" s="552">
        <f>H143/DAY(B2)</f>
        <v>5537.4099999999935</v>
      </c>
      <c r="K143" s="380"/>
      <c r="L143" s="377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0.25665498031474043</v>
      </c>
      <c r="H144" s="679">
        <f>G144+'2'!H144</f>
        <v>0.75525529027942839</v>
      </c>
      <c r="I144" s="544"/>
      <c r="J144" s="552">
        <f>H144/DAY(B2)</f>
        <v>0.25175176342647615</v>
      </c>
      <c r="K144" s="380"/>
      <c r="L144" s="377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6902.2899999998917</v>
      </c>
      <c r="H145" s="679">
        <f>G145+'2'!H145</f>
        <v>21122.059999999918</v>
      </c>
      <c r="I145" s="480"/>
      <c r="J145" s="552">
        <f>H145/DAY(B2)</f>
        <v>7040.6866666666392</v>
      </c>
      <c r="K145" s="380"/>
      <c r="L145" s="377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0.31325277692682491</v>
      </c>
      <c r="H146" s="679">
        <f>G146+'2'!H146</f>
        <v>0.95823038162857888</v>
      </c>
      <c r="I146" s="544"/>
      <c r="J146" s="552">
        <f>H146/DAY(B2)</f>
        <v>0.31941012720952627</v>
      </c>
      <c r="K146" s="380"/>
      <c r="L146" s="377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3847.8400000000256</v>
      </c>
      <c r="H147" s="679">
        <f>G147+'2'!H147</f>
        <v>11381.340000000026</v>
      </c>
      <c r="I147" s="545"/>
      <c r="J147" s="552">
        <f>H147/DAY(B2)</f>
        <v>3793.7800000000084</v>
      </c>
      <c r="K147" s="380"/>
      <c r="L147" s="377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0.17462995109885862</v>
      </c>
      <c r="H148" s="679">
        <f>G148+'2'!H148</f>
        <v>0.51753769399279359</v>
      </c>
      <c r="I148" s="545"/>
      <c r="J148" s="552">
        <f>H148/DAY(B2)</f>
        <v>0.17251256466426454</v>
      </c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1669.2400000000198</v>
      </c>
      <c r="H149" s="679">
        <f>G149+'2'!H149</f>
        <v>4894.070000000007</v>
      </c>
      <c r="I149" s="480"/>
      <c r="J149" s="552">
        <f>H149/DAY(B2)</f>
        <v>1631.3566666666691</v>
      </c>
      <c r="K149" s="381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7.5756606192632817E-2</v>
      </c>
      <c r="H150" s="679">
        <f>G150+'2'!H150</f>
        <v>0.22212736178328402</v>
      </c>
      <c r="I150" s="545"/>
      <c r="J150" s="552">
        <f>H150/DAY(B2)</f>
        <v>7.4042453927761334E-2</v>
      </c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1766.0199999999277</v>
      </c>
      <c r="H151" s="679">
        <f>G151+'2'!H151</f>
        <v>6075.9399999999478</v>
      </c>
      <c r="I151" s="545"/>
      <c r="J151" s="552">
        <f>H151/DAY(B2)</f>
        <v>2025.313333333316</v>
      </c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8.0148859162437011E-2</v>
      </c>
      <c r="H152" s="679">
        <f>G152+'2'!H152</f>
        <v>0.27538824247931737</v>
      </c>
      <c r="I152" s="480"/>
      <c r="J152" s="552">
        <f>H152/DAY(B2)</f>
        <v>9.1796080826439128E-2</v>
      </c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1600.140000000014</v>
      </c>
      <c r="H153" s="679">
        <f>G153+'2'!H153</f>
        <v>4516.3399999999965</v>
      </c>
      <c r="I153" s="480"/>
      <c r="J153" s="552">
        <f>H153/DAY(B2)</f>
        <v>1505.4466666666656</v>
      </c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7.2620579325369097E-2</v>
      </c>
      <c r="H154" s="679">
        <f>G154+'2'!H154</f>
        <v>0.20531795966869132</v>
      </c>
      <c r="I154" s="568"/>
      <c r="J154" s="569">
        <f>H154/DAY(B2)</f>
        <v>6.8439319889563768E-2</v>
      </c>
      <c r="O154" s="382"/>
    </row>
    <row r="155" spans="1:15">
      <c r="O155" s="382"/>
    </row>
    <row r="158" spans="1:15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5">
      <c r="A159" s="784"/>
      <c r="B159" s="785"/>
      <c r="C159" s="785"/>
      <c r="D159" s="511"/>
      <c r="E159" s="455"/>
      <c r="F159" s="658"/>
      <c r="G159" s="473"/>
    </row>
    <row r="160" spans="1:15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455">
        <f>'2'!F161</f>
        <v>41004.730000000003</v>
      </c>
      <c r="F161" s="658">
        <v>41085.230000000003</v>
      </c>
      <c r="G161" s="473">
        <f t="shared" ref="G161:G172" si="16">F161-E161</f>
        <v>80.5</v>
      </c>
    </row>
    <row r="162" spans="1:15">
      <c r="A162" s="784" t="s">
        <v>263</v>
      </c>
      <c r="B162" s="785"/>
      <c r="C162" s="785"/>
      <c r="D162" s="511" t="s">
        <v>186</v>
      </c>
      <c r="E162" s="455">
        <f>'2'!F162</f>
        <v>108697.57</v>
      </c>
      <c r="F162" s="658">
        <v>109179.36</v>
      </c>
      <c r="G162" s="473">
        <f t="shared" si="16"/>
        <v>481.7899999999936</v>
      </c>
    </row>
    <row r="163" spans="1:15">
      <c r="A163" s="784" t="s">
        <v>264</v>
      </c>
      <c r="B163" s="785"/>
      <c r="C163" s="785"/>
      <c r="D163" s="511" t="s">
        <v>186</v>
      </c>
      <c r="E163" s="455">
        <f>'2'!F163</f>
        <v>61641.7</v>
      </c>
      <c r="F163" s="658">
        <v>61852.59</v>
      </c>
      <c r="G163" s="473">
        <f t="shared" si="16"/>
        <v>210.88999999999942</v>
      </c>
    </row>
    <row r="164" spans="1:15">
      <c r="A164" s="784" t="s">
        <v>265</v>
      </c>
      <c r="B164" s="785"/>
      <c r="C164" s="785"/>
      <c r="D164" s="511" t="s">
        <v>186</v>
      </c>
      <c r="E164" s="455">
        <f>'2'!F164</f>
        <v>6869.59</v>
      </c>
      <c r="F164" s="658">
        <v>6880.13</v>
      </c>
      <c r="G164" s="473">
        <f t="shared" si="16"/>
        <v>10.539999999999964</v>
      </c>
    </row>
    <row r="165" spans="1:15">
      <c r="A165" s="786" t="s">
        <v>97</v>
      </c>
      <c r="B165" s="604"/>
      <c r="C165" s="604"/>
      <c r="D165" s="511" t="s">
        <v>186</v>
      </c>
      <c r="E165" s="455">
        <f>'2'!F165</f>
        <v>20419</v>
      </c>
      <c r="F165" s="514">
        <f>F62</f>
        <v>20419</v>
      </c>
      <c r="G165" s="473">
        <f t="shared" si="16"/>
        <v>0</v>
      </c>
    </row>
    <row r="166" spans="1:15">
      <c r="A166" s="786" t="s">
        <v>187</v>
      </c>
      <c r="B166" s="604"/>
      <c r="C166" s="604"/>
      <c r="D166" s="511" t="s">
        <v>186</v>
      </c>
      <c r="E166" s="455">
        <f>'2'!F166</f>
        <v>0</v>
      </c>
      <c r="F166" s="514">
        <v>2370</v>
      </c>
      <c r="G166" s="473">
        <f t="shared" si="16"/>
        <v>2370</v>
      </c>
    </row>
    <row r="167" spans="1:15" ht="21.75" customHeight="1">
      <c r="A167" s="1546" t="s">
        <v>98</v>
      </c>
      <c r="B167" s="1546"/>
      <c r="C167" s="1546"/>
      <c r="D167" s="523" t="s">
        <v>186</v>
      </c>
      <c r="E167" s="455">
        <f>'2'!F167</f>
        <v>170770.31</v>
      </c>
      <c r="F167" s="514">
        <f t="shared" ref="F167:F172" si="17">F64</f>
        <v>171149.29</v>
      </c>
      <c r="G167" s="473">
        <f t="shared" si="16"/>
        <v>378.98000000001048</v>
      </c>
    </row>
    <row r="168" spans="1:15" ht="21.75" customHeight="1">
      <c r="A168" s="1546" t="s">
        <v>99</v>
      </c>
      <c r="B168" s="1546"/>
      <c r="C168" s="1546"/>
      <c r="D168" s="523" t="s">
        <v>186</v>
      </c>
      <c r="E168" s="455">
        <f>'2'!F168</f>
        <v>171158.21</v>
      </c>
      <c r="F168" s="514">
        <f t="shared" si="17"/>
        <v>171590.13</v>
      </c>
      <c r="G168" s="473">
        <f t="shared" si="16"/>
        <v>431.92000000001281</v>
      </c>
    </row>
    <row r="169" spans="1:15" ht="21.75" customHeight="1">
      <c r="A169" s="1546" t="s">
        <v>100</v>
      </c>
      <c r="B169" s="1546"/>
      <c r="C169" s="1546"/>
      <c r="D169" s="523" t="s">
        <v>186</v>
      </c>
      <c r="E169" s="455">
        <f>'2'!F169</f>
        <v>68828.11</v>
      </c>
      <c r="F169" s="514">
        <f t="shared" si="17"/>
        <v>69249.55</v>
      </c>
      <c r="G169" s="473">
        <f t="shared" si="16"/>
        <v>421.44000000000233</v>
      </c>
      <c r="J169" s="539">
        <v>25</v>
      </c>
    </row>
    <row r="170" spans="1:15" ht="27.75" customHeight="1">
      <c r="A170" s="1546" t="s">
        <v>101</v>
      </c>
      <c r="B170" s="1546"/>
      <c r="C170" s="1546"/>
      <c r="D170" s="523" t="s">
        <v>186</v>
      </c>
      <c r="E170" s="455">
        <f>'2'!F170</f>
        <v>265932.03000000003</v>
      </c>
      <c r="F170" s="514">
        <f t="shared" si="17"/>
        <v>266461.61</v>
      </c>
      <c r="G170" s="473">
        <f t="shared" si="16"/>
        <v>529.57999999995809</v>
      </c>
      <c r="J170" s="539">
        <v>40118</v>
      </c>
    </row>
    <row r="171" spans="1:15" ht="24" customHeight="1">
      <c r="A171" s="1546" t="s">
        <v>102</v>
      </c>
      <c r="B171" s="1546"/>
      <c r="C171" s="1546"/>
      <c r="D171" s="523" t="s">
        <v>186</v>
      </c>
      <c r="E171" s="455">
        <f>'2'!F171</f>
        <v>85321</v>
      </c>
      <c r="F171" s="514">
        <f t="shared" si="17"/>
        <v>85321</v>
      </c>
      <c r="G171" s="473">
        <f t="shared" si="16"/>
        <v>0</v>
      </c>
      <c r="J171" s="539">
        <v>10</v>
      </c>
    </row>
    <row r="172" spans="1:15" ht="22.5" customHeight="1">
      <c r="A172" s="1546" t="s">
        <v>103</v>
      </c>
      <c r="B172" s="1546"/>
      <c r="C172" s="1546"/>
      <c r="D172" s="523" t="s">
        <v>186</v>
      </c>
      <c r="E172" s="455">
        <f>'2'!F172</f>
        <v>87993.33</v>
      </c>
      <c r="F172" s="514">
        <f t="shared" si="17"/>
        <v>88268.65</v>
      </c>
      <c r="G172" s="473">
        <f t="shared" si="16"/>
        <v>275.31999999999243</v>
      </c>
      <c r="J172" s="539">
        <v>70354</v>
      </c>
    </row>
    <row r="173" spans="1:15">
      <c r="J173" s="539">
        <v>19017</v>
      </c>
    </row>
    <row r="174" spans="1:15" ht="21.95" customHeight="1">
      <c r="A174" s="1606" t="s">
        <v>352</v>
      </c>
      <c r="B174" s="1606"/>
      <c r="C174" s="1507"/>
      <c r="D174" s="1508" t="s">
        <v>186</v>
      </c>
      <c r="E174" s="1509">
        <v>19012.2</v>
      </c>
      <c r="F174" s="1510">
        <v>19017</v>
      </c>
      <c r="G174" s="1511">
        <f t="shared" ref="G174:G176" si="18">F174-E174</f>
        <v>4.7999999999992724</v>
      </c>
      <c r="O174" s="377"/>
    </row>
    <row r="175" spans="1:15" ht="21.95" customHeight="1">
      <c r="A175" s="1606" t="s">
        <v>353</v>
      </c>
      <c r="B175" s="1606"/>
      <c r="C175" s="1507"/>
      <c r="D175" s="1508" t="s">
        <v>186</v>
      </c>
      <c r="E175" s="1512">
        <v>27638</v>
      </c>
      <c r="F175" s="1510">
        <v>27642</v>
      </c>
      <c r="G175" s="1511">
        <f t="shared" si="18"/>
        <v>4</v>
      </c>
      <c r="O175" s="377"/>
    </row>
    <row r="176" spans="1:15" ht="21.95" customHeight="1">
      <c r="A176" s="1606" t="s">
        <v>352</v>
      </c>
      <c r="B176" s="1606"/>
      <c r="C176" s="1507"/>
      <c r="D176" s="1508" t="s">
        <v>186</v>
      </c>
      <c r="E176" s="1509">
        <v>70348.2</v>
      </c>
      <c r="F176" s="1510">
        <v>70354</v>
      </c>
      <c r="G176" s="1511">
        <f t="shared" si="18"/>
        <v>5.8000000000029104</v>
      </c>
      <c r="O176" s="377"/>
    </row>
    <row r="180" ht="18.7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</sheetData>
  <mergeCells count="78"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3"/>
  <sheetViews>
    <sheetView view="pageBreakPreview" topLeftCell="A55" zoomScale="40" zoomScaleNormal="48" zoomScaleSheetLayoutView="40" workbookViewId="0">
      <selection activeCell="G83" sqref="G83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4" s="281" customFormat="1" ht="27">
      <c r="A2" s="575" t="s">
        <v>377</v>
      </c>
      <c r="B2" s="1031">
        <v>44381</v>
      </c>
      <c r="C2" s="1304" t="s">
        <v>68</v>
      </c>
      <c r="D2" s="611">
        <v>0.1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304" t="s">
        <v>119</v>
      </c>
      <c r="D3" s="612">
        <v>34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04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67" t="s">
        <v>129</v>
      </c>
      <c r="B6" s="1568"/>
      <c r="C6" s="1569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'3'!F7</f>
        <v>988020</v>
      </c>
      <c r="F7" s="633">
        <v>1009728.65</v>
      </c>
      <c r="G7" s="689">
        <f>F7-E7</f>
        <v>21708.650000000023</v>
      </c>
      <c r="H7" s="679">
        <f>G7+'3'!H7</f>
        <v>87775.650000000023</v>
      </c>
      <c r="I7" s="680">
        <f>'[2]1'!I7</f>
        <v>12000</v>
      </c>
      <c r="J7" s="681">
        <f>H7/DAY(B2)</f>
        <v>21943.912500000006</v>
      </c>
      <c r="K7" s="549"/>
      <c r="L7" s="377"/>
      <c r="N7" s="382"/>
    </row>
    <row r="8" spans="1:14" ht="27.75" thickBot="1">
      <c r="A8" s="682" t="s">
        <v>132</v>
      </c>
      <c r="B8" s="683"/>
      <c r="C8" s="684"/>
      <c r="D8" s="685" t="s">
        <v>25</v>
      </c>
      <c r="E8" s="633">
        <f>'3'!F8</f>
        <v>993122</v>
      </c>
      <c r="F8" s="633">
        <v>1014988.6</v>
      </c>
      <c r="G8" s="1048">
        <f>F8-E8</f>
        <v>21866.599999999977</v>
      </c>
      <c r="H8" s="679">
        <f>G8+'3'!H8</f>
        <v>88266.599999999977</v>
      </c>
      <c r="I8" s="686">
        <v>12000</v>
      </c>
      <c r="J8" s="681">
        <f>H8/DAY(B2)</f>
        <v>22066.649999999994</v>
      </c>
      <c r="K8" s="549"/>
      <c r="L8" s="425"/>
      <c r="M8" s="440"/>
      <c r="N8" s="703">
        <f>G7/G8</f>
        <v>0.99277665480687649</v>
      </c>
    </row>
    <row r="9" spans="1:14">
      <c r="A9" s="687" t="s">
        <v>133</v>
      </c>
      <c r="B9" s="688"/>
      <c r="C9" s="688"/>
      <c r="D9" s="637" t="s">
        <v>131</v>
      </c>
      <c r="E9" s="633">
        <f>'3'!F9</f>
        <v>2096807.9</v>
      </c>
      <c r="F9" s="634">
        <v>2117828.81</v>
      </c>
      <c r="G9" s="702">
        <f t="shared" ref="G9:G12" si="0">F9-E9</f>
        <v>21020.910000000149</v>
      </c>
      <c r="H9" s="679">
        <f>G9+'3'!H9</f>
        <v>86826.810000000056</v>
      </c>
      <c r="I9" s="690">
        <f>I8-J8</f>
        <v>-10066.649999999994</v>
      </c>
      <c r="J9" s="681">
        <f>H9/DAY(B2)</f>
        <v>21706.702500000014</v>
      </c>
      <c r="K9" s="428"/>
      <c r="L9" s="377"/>
      <c r="N9" s="382"/>
    </row>
    <row r="10" spans="1:14">
      <c r="A10" s="676" t="s">
        <v>134</v>
      </c>
      <c r="B10" s="677"/>
      <c r="C10" s="677"/>
      <c r="D10" s="637" t="s">
        <v>131</v>
      </c>
      <c r="E10" s="633">
        <v>2606.5500000000002</v>
      </c>
      <c r="F10" s="634">
        <v>2606.5500000000002</v>
      </c>
      <c r="G10" s="689">
        <f t="shared" si="0"/>
        <v>0</v>
      </c>
      <c r="H10" s="679">
        <f>G10+'3'!H10</f>
        <v>0</v>
      </c>
      <c r="I10" s="691"/>
      <c r="J10" s="681">
        <f>H10/DAY(B2)</f>
        <v>0</v>
      </c>
      <c r="K10" s="428"/>
      <c r="L10" s="377"/>
      <c r="N10" s="382"/>
    </row>
    <row r="11" spans="1:14">
      <c r="A11" s="676" t="s">
        <v>135</v>
      </c>
      <c r="B11" s="677"/>
      <c r="C11" s="677"/>
      <c r="D11" s="637" t="s">
        <v>131</v>
      </c>
      <c r="E11" s="633">
        <f>'3'!F11</f>
        <v>37000</v>
      </c>
      <c r="F11" s="633">
        <v>37000</v>
      </c>
      <c r="G11" s="689">
        <f t="shared" si="0"/>
        <v>0</v>
      </c>
      <c r="H11" s="679">
        <f>G11+'[2]3'!H11</f>
        <v>0</v>
      </c>
      <c r="I11" s="691"/>
      <c r="J11" s="681">
        <f>H11/DAY(B2)</f>
        <v>0</v>
      </c>
      <c r="K11" s="428"/>
      <c r="L11" s="377"/>
      <c r="N11" s="382"/>
    </row>
    <row r="12" spans="1:14">
      <c r="A12" s="676" t="s">
        <v>136</v>
      </c>
      <c r="B12" s="677"/>
      <c r="C12" s="677"/>
      <c r="D12" s="637" t="s">
        <v>131</v>
      </c>
      <c r="E12" s="633">
        <f>'3'!F12</f>
        <v>40010</v>
      </c>
      <c r="F12" s="634">
        <v>40010</v>
      </c>
      <c r="G12" s="689">
        <f t="shared" si="0"/>
        <v>0</v>
      </c>
      <c r="H12" s="679">
        <f>G12+'[2]3'!H12</f>
        <v>0</v>
      </c>
      <c r="I12" s="691"/>
      <c r="J12" s="681">
        <f>H12/DAY(B2)</f>
        <v>0</v>
      </c>
      <c r="K12" s="428"/>
      <c r="L12" s="377"/>
      <c r="N12" s="382"/>
    </row>
    <row r="13" spans="1:14">
      <c r="A13" s="692" t="s">
        <v>137</v>
      </c>
      <c r="B13" s="693"/>
      <c r="C13" s="693"/>
      <c r="D13" s="637"/>
      <c r="E13" s="633"/>
      <c r="F13" s="633"/>
      <c r="G13" s="694">
        <f>G9+G10+G11+G12</f>
        <v>21020.910000000149</v>
      </c>
      <c r="H13" s="679">
        <f>G13+'3'!H13</f>
        <v>86826.810000000056</v>
      </c>
      <c r="I13" s="695">
        <f>G7-G13</f>
        <v>687.73999999987427</v>
      </c>
      <c r="J13" s="681">
        <f>H13/DAY(B2)</f>
        <v>21706.702500000014</v>
      </c>
      <c r="K13" s="428"/>
      <c r="L13" s="377"/>
      <c r="N13" s="382"/>
    </row>
    <row r="14" spans="1:14">
      <c r="A14" s="1570" t="s">
        <v>138</v>
      </c>
      <c r="B14" s="1571"/>
      <c r="C14" s="1572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2" t="s">
        <v>139</v>
      </c>
      <c r="B15" s="787"/>
      <c r="C15" s="787"/>
      <c r="D15" s="524" t="s">
        <v>140</v>
      </c>
      <c r="E15" s="485">
        <f>'3'!F15</f>
        <v>1706052.52</v>
      </c>
      <c r="F15" s="626">
        <v>1706839.4</v>
      </c>
      <c r="G15" s="773">
        <f>(F15-E15)</f>
        <v>786.87999999988824</v>
      </c>
      <c r="H15" s="679">
        <f>G15+'3'!H15</f>
        <v>3156.3999999999069</v>
      </c>
      <c r="I15" s="474">
        <v>800</v>
      </c>
      <c r="J15" s="553">
        <f>H15/DAY(B2)</f>
        <v>789.09999999997672</v>
      </c>
      <c r="K15" s="428"/>
      <c r="L15" s="377"/>
      <c r="N15" s="382"/>
    </row>
    <row r="16" spans="1:14">
      <c r="A16" s="790"/>
      <c r="B16" s="791"/>
      <c r="C16" s="791"/>
      <c r="D16" s="524"/>
      <c r="E16" s="485"/>
      <c r="F16" s="485"/>
      <c r="G16" s="473"/>
      <c r="H16" s="486"/>
      <c r="I16" s="487">
        <f>I15-J15</f>
        <v>10.900000000023283</v>
      </c>
      <c r="J16" s="553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83"/>
      <c r="G17" s="488" t="s">
        <v>214</v>
      </c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'3'!F18</f>
        <v>15</v>
      </c>
      <c r="F18" s="634">
        <v>21</v>
      </c>
      <c r="G18" s="694">
        <f>F18*10</f>
        <v>210</v>
      </c>
      <c r="H18" s="679">
        <f>G18+'3'!H18</f>
        <v>550</v>
      </c>
      <c r="I18" s="680">
        <f>'[2]1'!I18</f>
        <v>65</v>
      </c>
      <c r="J18" s="681">
        <f>H18/DAY(B2)</f>
        <v>137.5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'3'!F19</f>
        <v>141681</v>
      </c>
      <c r="F19" s="634">
        <v>141742</v>
      </c>
      <c r="G19" s="689">
        <f t="shared" ref="G19" si="1">F19-E19</f>
        <v>61</v>
      </c>
      <c r="H19" s="679">
        <f>G19+'3'!H19</f>
        <v>247</v>
      </c>
      <c r="I19" s="696"/>
      <c r="J19" s="681">
        <f>H19/DAY(B2)</f>
        <v>61.75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4">
        <f>'3'!F20</f>
        <v>0</v>
      </c>
      <c r="F20" s="637"/>
      <c r="G20" s="1047">
        <f>G18+G19</f>
        <v>271</v>
      </c>
      <c r="H20" s="679">
        <f>G20+'3'!H20</f>
        <v>797</v>
      </c>
      <c r="I20" s="698">
        <f>I18-J20</f>
        <v>-134.25</v>
      </c>
      <c r="J20" s="681">
        <f>H20/DAY(B2)</f>
        <v>199.25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2" t="s">
        <v>146</v>
      </c>
      <c r="B22" s="589"/>
      <c r="C22" s="589"/>
      <c r="D22" s="523" t="s">
        <v>147</v>
      </c>
      <c r="E22" s="478">
        <v>2970</v>
      </c>
      <c r="F22" s="634">
        <v>2970</v>
      </c>
      <c r="G22" s="689">
        <f t="shared" ref="G22" si="2">F22-E22</f>
        <v>0</v>
      </c>
      <c r="H22" s="679">
        <f>G22+'3'!H22</f>
        <v>0</v>
      </c>
      <c r="I22" s="480">
        <f>E7+21708.65</f>
        <v>1009728.65</v>
      </c>
      <c r="J22" s="552">
        <f>H22/DAY(B2)</f>
        <v>0</v>
      </c>
      <c r="K22" s="428"/>
      <c r="L22" s="377"/>
      <c r="M22" s="376" t="s">
        <v>268</v>
      </c>
      <c r="N22" s="382"/>
    </row>
    <row r="23" spans="1:14">
      <c r="A23" s="1302" t="s">
        <v>148</v>
      </c>
      <c r="B23" s="589"/>
      <c r="C23" s="589"/>
      <c r="D23" s="523" t="s">
        <v>147</v>
      </c>
      <c r="E23" s="478">
        <v>2000</v>
      </c>
      <c r="F23" s="634">
        <v>2000</v>
      </c>
      <c r="G23" s="689">
        <v>0</v>
      </c>
      <c r="H23" s="679">
        <f>G23+'3'!H23</f>
        <v>0</v>
      </c>
      <c r="I23" s="480">
        <f>E8+21866.6</f>
        <v>1014988.6</v>
      </c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v>4970</v>
      </c>
      <c r="F24" s="636">
        <v>4970</v>
      </c>
      <c r="G24" s="689">
        <v>0</v>
      </c>
      <c r="H24" s="679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21866.599999999977</v>
      </c>
      <c r="F27" s="501">
        <v>9</v>
      </c>
      <c r="G27" s="502">
        <f>E27*F27</f>
        <v>196799.39999999979</v>
      </c>
      <c r="H27" s="679">
        <f>G27+'3'!H27</f>
        <v>794399.39999999979</v>
      </c>
      <c r="I27" s="503"/>
      <c r="J27" s="552">
        <f>H27/DAY(B2)</f>
        <v>198599.84999999995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786.87999999988824</v>
      </c>
      <c r="F28" s="501">
        <v>52</v>
      </c>
      <c r="G28" s="502">
        <f>E28*F28</f>
        <v>40917.759999994189</v>
      </c>
      <c r="H28" s="679">
        <f>G28+'3'!H28</f>
        <v>164132.79999999516</v>
      </c>
      <c r="I28" s="505"/>
      <c r="J28" s="552">
        <f>H28/DAY(B2)</f>
        <v>41033.199999998789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679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679">
        <f>G30+'3'!H30</f>
        <v>35478</v>
      </c>
      <c r="I30" s="505"/>
      <c r="J30" s="552">
        <f>H30/DAY(B2)</f>
        <v>8869.5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210</v>
      </c>
      <c r="F31" s="501">
        <v>80</v>
      </c>
      <c r="G31" s="502">
        <f>E31*F31</f>
        <v>16800</v>
      </c>
      <c r="H31" s="679">
        <f>G31+'3'!H31</f>
        <v>38400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638"/>
      <c r="G32" s="508">
        <f>G27+G28+G29+G30+G31</f>
        <v>263423.15999999398</v>
      </c>
      <c r="H32" s="679">
        <f>G32+'3'!H32</f>
        <v>1032410.1999999949</v>
      </c>
      <c r="I32" s="509"/>
      <c r="J32" s="552">
        <f>H32/DAY(B2)</f>
        <v>258102.54999999874</v>
      </c>
      <c r="K32" s="373"/>
      <c r="L32" s="443"/>
      <c r="N32" s="382"/>
    </row>
    <row r="33" spans="1:14" ht="25.5" customHeight="1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307"/>
      <c r="C34" s="1307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'3'!F35</f>
        <v>1037586.9</v>
      </c>
      <c r="F35" s="639">
        <v>1040555.8</v>
      </c>
      <c r="G35" s="473">
        <f t="shared" ref="G35:G46" si="3">F35-E35</f>
        <v>2968.9000000000233</v>
      </c>
      <c r="H35" s="679">
        <f>G35+'3'!H35</f>
        <v>11841.800000000047</v>
      </c>
      <c r="I35" s="455"/>
      <c r="J35" s="552">
        <f>H35/DAY(B2)</f>
        <v>2960.4500000000116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'3'!F36</f>
        <v>22973.87</v>
      </c>
      <c r="F36" s="639">
        <v>23687.22</v>
      </c>
      <c r="G36" s="473">
        <f t="shared" si="3"/>
        <v>713.35000000000218</v>
      </c>
      <c r="H36" s="679">
        <f>G36+'3'!H36</f>
        <v>3226.2200000000012</v>
      </c>
      <c r="I36" s="455"/>
      <c r="J36" s="552">
        <f>H36/DAY(B2)</f>
        <v>806.55500000000029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'3'!F37</f>
        <v>181086.47</v>
      </c>
      <c r="F37" s="639">
        <v>182565.11</v>
      </c>
      <c r="G37" s="473">
        <f t="shared" si="3"/>
        <v>1478.6399999999849</v>
      </c>
      <c r="H37" s="679">
        <f>G37+'3'!H37</f>
        <v>5995.109999999986</v>
      </c>
      <c r="I37" s="455"/>
      <c r="J37" s="552">
        <f>H37/DAY(B2)</f>
        <v>1498.7774999999965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'3'!F38</f>
        <v>203353.07</v>
      </c>
      <c r="F38" s="640">
        <v>205145.89</v>
      </c>
      <c r="G38" s="473">
        <f t="shared" si="3"/>
        <v>1792.820000000007</v>
      </c>
      <c r="H38" s="679">
        <f>G38+'3'!H38</f>
        <v>6686.890000000014</v>
      </c>
      <c r="I38" s="455"/>
      <c r="J38" s="552">
        <f>H38/DAY(B2)</f>
        <v>1671.7225000000035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'3'!F39</f>
        <v>416245.75</v>
      </c>
      <c r="F39" s="639">
        <v>419927.35</v>
      </c>
      <c r="G39" s="473">
        <f t="shared" si="3"/>
        <v>3681.5999999999767</v>
      </c>
      <c r="H39" s="679">
        <f>G39+'3'!H39</f>
        <v>15063.349999999977</v>
      </c>
      <c r="I39" s="455"/>
      <c r="J39" s="552">
        <f>H39/DAY(B2)</f>
        <v>3765.8374999999942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'3'!F40</f>
        <v>8221.3799999999992</v>
      </c>
      <c r="F40" s="639">
        <v>8719.42</v>
      </c>
      <c r="G40" s="473">
        <f t="shared" si="3"/>
        <v>498.04000000000087</v>
      </c>
      <c r="H40" s="679">
        <f>G40+'3'!H40</f>
        <v>1606.42</v>
      </c>
      <c r="I40" s="455"/>
      <c r="J40" s="552">
        <f>H40/DAY(B2)</f>
        <v>401.60500000000002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'3'!F41</f>
        <v>342452.91</v>
      </c>
      <c r="F41" s="639">
        <v>348154.91</v>
      </c>
      <c r="G41" s="473">
        <f t="shared" si="3"/>
        <v>5702</v>
      </c>
      <c r="H41" s="679">
        <f>G41+'3'!H41</f>
        <v>18512.909999999974</v>
      </c>
      <c r="I41" s="455"/>
      <c r="J41" s="552">
        <f>H41/DAY(B2)</f>
        <v>4628.2274999999936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'3'!F42</f>
        <v>59210.879999999997</v>
      </c>
      <c r="F42" s="639">
        <v>59210.080000000002</v>
      </c>
      <c r="G42" s="473">
        <f t="shared" si="3"/>
        <v>-0.79999999999563443</v>
      </c>
      <c r="H42" s="679">
        <f>G42+'3'!H42</f>
        <v>11.190000000002328</v>
      </c>
      <c r="I42" s="455"/>
      <c r="J42" s="552">
        <f>H42/DAY(B2)</f>
        <v>2.7975000000005821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'3'!F43</f>
        <v>1128191.2</v>
      </c>
      <c r="F43" s="639">
        <v>1130805.2</v>
      </c>
      <c r="G43" s="473">
        <f t="shared" si="3"/>
        <v>2614</v>
      </c>
      <c r="H43" s="679">
        <f>G43+'3'!H43</f>
        <v>10353.199999999953</v>
      </c>
      <c r="I43" s="455"/>
      <c r="J43" s="552">
        <f>H43/DAY(B2)</f>
        <v>2588.2999999999884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'3'!F44</f>
        <v>0</v>
      </c>
      <c r="F44" s="639">
        <v>0</v>
      </c>
      <c r="G44" s="473">
        <f t="shared" si="3"/>
        <v>0</v>
      </c>
      <c r="H44" s="679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'3'!F45</f>
        <v>614</v>
      </c>
      <c r="F45" s="639">
        <v>614</v>
      </c>
      <c r="G45" s="473">
        <f t="shared" si="3"/>
        <v>0</v>
      </c>
      <c r="H45" s="679">
        <f>G45+'3'!H45</f>
        <v>614</v>
      </c>
      <c r="I45" s="455"/>
      <c r="J45" s="552">
        <f>H45/DAY(B2)</f>
        <v>153.5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'3'!F46</f>
        <v>187</v>
      </c>
      <c r="F46" s="639">
        <v>187</v>
      </c>
      <c r="G46" s="473">
        <f t="shared" si="3"/>
        <v>0</v>
      </c>
      <c r="H46" s="679">
        <f>G46+'3'!H46</f>
        <v>187</v>
      </c>
      <c r="I46" s="455"/>
      <c r="J46" s="552">
        <f>H46/DAY(B2)</f>
        <v>46.75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641"/>
      <c r="G47" s="481">
        <f>G35+G36+G37+G38+G39+G40+G41+G42+G43+G44+G45+G46</f>
        <v>19448.55</v>
      </c>
      <c r="H47" s="679">
        <f>G47+'3'!H47</f>
        <v>74098.089999999953</v>
      </c>
      <c r="I47" s="455"/>
      <c r="J47" s="552">
        <f>H47/DAY(B2)</f>
        <v>18524.522499999988</v>
      </c>
      <c r="K47" s="428"/>
      <c r="L47" s="377"/>
      <c r="N47" s="382"/>
    </row>
    <row r="48" spans="1:14">
      <c r="A48" s="598" t="s">
        <v>176</v>
      </c>
      <c r="B48" s="1307"/>
      <c r="C48" s="1307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'3'!F49</f>
        <v>260732.13</v>
      </c>
      <c r="F49" s="639">
        <v>260732.13</v>
      </c>
      <c r="G49" s="473">
        <f t="shared" ref="G49:G58" si="4">F49-E49</f>
        <v>0</v>
      </c>
      <c r="H49" s="679">
        <f>G49+'3'!H49</f>
        <v>0.13000000000465661</v>
      </c>
      <c r="I49" s="455"/>
      <c r="J49" s="552">
        <f>H49/DAY(B2)</f>
        <v>3.2500000001164153E-2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'3'!F50</f>
        <v>538226.06999999995</v>
      </c>
      <c r="F50" s="639">
        <v>539312</v>
      </c>
      <c r="G50" s="473">
        <f t="shared" si="4"/>
        <v>1085.9300000000512</v>
      </c>
      <c r="H50" s="679">
        <f>G50+'3'!H50</f>
        <v>4649</v>
      </c>
      <c r="I50" s="455"/>
      <c r="J50" s="552">
        <f>H50/DAY(B2)</f>
        <v>1162.25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'3'!F51</f>
        <v>144639.87</v>
      </c>
      <c r="F51" s="639">
        <v>144639.87</v>
      </c>
      <c r="G51" s="473">
        <f t="shared" si="4"/>
        <v>0</v>
      </c>
      <c r="H51" s="679">
        <f>G51+'3'!H51</f>
        <v>-0.13000000000465661</v>
      </c>
      <c r="I51" s="455"/>
      <c r="J51" s="552">
        <f>H51/DAY(B2)</f>
        <v>-3.2500000001164153E-2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'3'!F52</f>
        <v>539606</v>
      </c>
      <c r="F52" s="639">
        <v>539606.06999999995</v>
      </c>
      <c r="G52" s="473">
        <f t="shared" si="4"/>
        <v>6.9999999948777258E-2</v>
      </c>
      <c r="H52" s="679">
        <f>G52+'3'!H52</f>
        <v>6.9999999948777258E-2</v>
      </c>
      <c r="I52" s="455"/>
      <c r="J52" s="552">
        <f>H52/DAY(B2)</f>
        <v>1.7499999987194315E-2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'3'!F53</f>
        <v>434231.59</v>
      </c>
      <c r="F53" s="639">
        <v>434231.59</v>
      </c>
      <c r="G53" s="473">
        <f t="shared" si="4"/>
        <v>0</v>
      </c>
      <c r="H53" s="679">
        <f>G53+'3'!H53</f>
        <v>-0.40999999997438863</v>
      </c>
      <c r="I53" s="455"/>
      <c r="J53" s="552">
        <f>H53/DAY(B2)</f>
        <v>-0.10249999999359716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'3'!F54</f>
        <v>14967</v>
      </c>
      <c r="F54" s="639">
        <v>14967</v>
      </c>
      <c r="G54" s="473">
        <f t="shared" si="4"/>
        <v>0</v>
      </c>
      <c r="H54" s="679">
        <f>G54+'3'!H54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'3'!F55</f>
        <v>125902.97</v>
      </c>
      <c r="F55" s="642">
        <v>126957.01</v>
      </c>
      <c r="G55" s="473">
        <f t="shared" si="4"/>
        <v>1054.0399999999936</v>
      </c>
      <c r="H55" s="679">
        <f>G55+'3'!H55</f>
        <v>9321.0099999999948</v>
      </c>
      <c r="I55" s="455"/>
      <c r="J55" s="552">
        <f>H55/DAY(B2)</f>
        <v>2330.2524999999987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'3'!F56</f>
        <v>649064.18999999994</v>
      </c>
      <c r="F56" s="642">
        <v>649074.79</v>
      </c>
      <c r="G56" s="473">
        <f t="shared" si="4"/>
        <v>10.600000000093132</v>
      </c>
      <c r="H56" s="679">
        <f>G56+'3'!H56</f>
        <v>42.790000000037253</v>
      </c>
      <c r="I56" s="455"/>
      <c r="J56" s="552">
        <f>H56/DAY(B2)</f>
        <v>10.697500000009313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'3'!F57</f>
        <v>7711</v>
      </c>
      <c r="F57" s="642">
        <v>7711</v>
      </c>
      <c r="G57" s="473">
        <f t="shared" si="4"/>
        <v>0</v>
      </c>
      <c r="H57" s="679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'3'!F58</f>
        <v>54419.519999999997</v>
      </c>
      <c r="F58" s="642">
        <v>54606.38</v>
      </c>
      <c r="G58" s="473">
        <f t="shared" si="4"/>
        <v>186.86000000000058</v>
      </c>
      <c r="H58" s="679">
        <f>G58+'3'!H58</f>
        <v>620.37999999999738</v>
      </c>
      <c r="I58" s="455"/>
      <c r="J58" s="552">
        <f>H58/DAY(B2)</f>
        <v>155.09499999999935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641"/>
      <c r="G59" s="481">
        <f>G49+G50+G51+G52+G53+G54+G55+G56+G57+G58</f>
        <v>2337.5000000000873</v>
      </c>
      <c r="H59" s="679">
        <f>G59+'3'!H59</f>
        <v>14632.840000000004</v>
      </c>
      <c r="I59" s="455">
        <f>G7-G60</f>
        <v>-77.400000000063301</v>
      </c>
      <c r="J59" s="552">
        <f>H59/DAY(B2)</f>
        <v>3658.2100000000009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641"/>
      <c r="G60" s="481">
        <f>G47+G59</f>
        <v>21786.050000000087</v>
      </c>
      <c r="H60" s="679">
        <f>G60+'3'!H60</f>
        <v>88730.929999999964</v>
      </c>
      <c r="I60" s="455">
        <f>G13-G60</f>
        <v>-765.13999999993757</v>
      </c>
      <c r="J60" s="552">
        <f>H60/DAY(B2)</f>
        <v>22182.732499999991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643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v>0</v>
      </c>
      <c r="F62" s="644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'3'!F63</f>
        <v>0</v>
      </c>
      <c r="F63" s="644">
        <v>0</v>
      </c>
      <c r="G63" s="473">
        <f t="shared" si="5"/>
        <v>0</v>
      </c>
      <c r="H63" s="679">
        <f>G63+'3'!H63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514">
        <f>'3'!F64</f>
        <v>171149.29</v>
      </c>
      <c r="F64" s="634">
        <v>171516.47</v>
      </c>
      <c r="G64" s="473">
        <f t="shared" si="5"/>
        <v>367.17999999999302</v>
      </c>
      <c r="H64" s="679">
        <f>G64+'3'!H64</f>
        <v>1494.4700000000012</v>
      </c>
      <c r="I64" s="480"/>
      <c r="J64" s="552">
        <f>H64/DAY(B2)</f>
        <v>373.61750000000029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514">
        <f>'3'!F65</f>
        <v>171590.13</v>
      </c>
      <c r="F65" s="635">
        <v>172013.01</v>
      </c>
      <c r="G65" s="473">
        <f t="shared" si="5"/>
        <v>422.88000000000466</v>
      </c>
      <c r="H65" s="679">
        <f>G65+'3'!H65</f>
        <v>1711.0100000000093</v>
      </c>
      <c r="I65" s="489"/>
      <c r="J65" s="552">
        <f>H65/DAY(B2)</f>
        <v>427.75250000000233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514">
        <f>'3'!F66</f>
        <v>69249.55</v>
      </c>
      <c r="F66" s="634">
        <v>69662.289999999994</v>
      </c>
      <c r="G66" s="473">
        <f t="shared" si="5"/>
        <v>412.73999999999069</v>
      </c>
      <c r="H66" s="679">
        <f>G66+'3'!H66</f>
        <v>1692.2899999999936</v>
      </c>
      <c r="I66" s="480"/>
      <c r="J66" s="552">
        <f>H66/DAY(B2)</f>
        <v>423.0724999999984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514">
        <f>'3'!F67</f>
        <v>266461.61</v>
      </c>
      <c r="F67" s="634">
        <v>266903.75</v>
      </c>
      <c r="G67" s="473">
        <f t="shared" si="5"/>
        <v>442.14000000001397</v>
      </c>
      <c r="H67" s="679">
        <f>G67+'3'!H67</f>
        <v>1944.75</v>
      </c>
      <c r="I67" s="489"/>
      <c r="J67" s="552">
        <f>H67/DAY(B2)</f>
        <v>486.1875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514">
        <f>'3'!F68</f>
        <v>85321</v>
      </c>
      <c r="F68" s="634">
        <v>85321</v>
      </c>
      <c r="G68" s="473">
        <f t="shared" si="5"/>
        <v>0</v>
      </c>
      <c r="H68" s="679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514">
        <f>'3'!F69</f>
        <v>88268.65</v>
      </c>
      <c r="F69" s="634">
        <v>88541.19</v>
      </c>
      <c r="G69" s="473">
        <f t="shared" si="5"/>
        <v>272.54000000000815</v>
      </c>
      <c r="H69" s="679">
        <f>G69+'3'!H69</f>
        <v>1026.1900000000023</v>
      </c>
      <c r="I69" s="516"/>
      <c r="J69" s="552">
        <f>H69/DAY(B2)</f>
        <v>256.54750000000058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645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84"/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654">
        <f>'3'!F72</f>
        <v>856257</v>
      </c>
      <c r="F72" s="646">
        <v>856271</v>
      </c>
      <c r="G72" s="473">
        <f t="shared" ref="G72:G84" si="6">F72-E72</f>
        <v>14</v>
      </c>
      <c r="H72" s="679">
        <f>G72+'3'!H72</f>
        <v>49</v>
      </c>
      <c r="I72" s="480"/>
      <c r="J72" s="552">
        <f>H72/DAY(B2)</f>
        <v>12.25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654">
        <f>'3'!F73</f>
        <v>885977</v>
      </c>
      <c r="F73" s="646">
        <v>885978</v>
      </c>
      <c r="G73" s="652">
        <f t="shared" si="6"/>
        <v>1</v>
      </c>
      <c r="H73" s="679">
        <f>G73+'3'!H73</f>
        <v>6</v>
      </c>
      <c r="I73" s="480"/>
      <c r="J73" s="552">
        <f>H73/DAY(B2)</f>
        <v>1.5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654">
        <f>'3'!F74</f>
        <v>88699.8</v>
      </c>
      <c r="F74" s="646">
        <v>88700.9</v>
      </c>
      <c r="G74" s="473">
        <f>F74-E74</f>
        <v>1.0999999999912689</v>
      </c>
      <c r="H74" s="679">
        <f>G74+'3'!H74</f>
        <v>4.8999999999941792</v>
      </c>
      <c r="I74" s="480"/>
      <c r="J74" s="552">
        <f>H74/DAY(B2)</f>
        <v>1.2249999999985448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654">
        <f>'3'!F75</f>
        <v>16539.25</v>
      </c>
      <c r="F75" s="646">
        <v>16679.98</v>
      </c>
      <c r="G75" s="473">
        <f t="shared" si="6"/>
        <v>140.72999999999956</v>
      </c>
      <c r="H75" s="679">
        <f>G75+'3'!H75</f>
        <v>608.97999999999956</v>
      </c>
      <c r="I75" s="480"/>
      <c r="J75" s="552">
        <f>H75/DAY(B2)</f>
        <v>152.24499999999989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654">
        <f>'3'!F76</f>
        <v>9536.1200000000008</v>
      </c>
      <c r="F76" s="646">
        <v>9598</v>
      </c>
      <c r="G76" s="473">
        <f t="shared" si="6"/>
        <v>61.8799999999992</v>
      </c>
      <c r="H76" s="679">
        <f>G76+'3'!H76</f>
        <v>262</v>
      </c>
      <c r="I76" s="505"/>
      <c r="J76" s="552">
        <f>H76/DAY(B2)</f>
        <v>65.5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654">
        <f>'3'!F77</f>
        <v>704540</v>
      </c>
      <c r="F77" s="646">
        <v>704592</v>
      </c>
      <c r="G77" s="652">
        <f t="shared" si="6"/>
        <v>52</v>
      </c>
      <c r="H77" s="679">
        <f>G77+'3'!H77</f>
        <v>218</v>
      </c>
      <c r="I77" s="505"/>
      <c r="J77" s="552">
        <f>H77/DAY(B2)</f>
        <v>54.5</v>
      </c>
      <c r="K77" s="430"/>
      <c r="L77" s="377"/>
      <c r="N77" s="382"/>
    </row>
    <row r="78" spans="1:14" ht="27.75">
      <c r="A78" s="1305" t="s">
        <v>196</v>
      </c>
      <c r="B78" s="1298"/>
      <c r="C78" s="1298"/>
      <c r="D78" s="523" t="s">
        <v>186</v>
      </c>
      <c r="E78" s="654">
        <f>'3'!F78</f>
        <v>675800</v>
      </c>
      <c r="F78" s="646">
        <v>675938</v>
      </c>
      <c r="G78" s="473">
        <f t="shared" si="6"/>
        <v>138</v>
      </c>
      <c r="H78" s="679">
        <f>G78+'3'!H78</f>
        <v>524</v>
      </c>
      <c r="I78" s="505"/>
      <c r="J78" s="552">
        <f>H78/DAY(B2)</f>
        <v>131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654">
        <f>'3'!F79</f>
        <v>835871</v>
      </c>
      <c r="F79" s="646">
        <v>836021</v>
      </c>
      <c r="G79" s="473">
        <f t="shared" si="6"/>
        <v>150</v>
      </c>
      <c r="H79" s="679">
        <f>G79+'3'!H79</f>
        <v>605</v>
      </c>
      <c r="I79" s="505"/>
      <c r="J79" s="552">
        <f>H79/DAY(B2)</f>
        <v>151.25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654">
        <f>'3'!F80</f>
        <v>540263.31999999995</v>
      </c>
      <c r="F80" s="646">
        <v>540682.64</v>
      </c>
      <c r="G80" s="473">
        <f t="shared" si="6"/>
        <v>419.32000000006519</v>
      </c>
      <c r="H80" s="679">
        <f>G80+'3'!H80</f>
        <v>1669.640000000014</v>
      </c>
      <c r="I80" s="505"/>
      <c r="J80" s="552">
        <f>H80/DAY(B2)</f>
        <v>417.41000000000349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654">
        <f>'3'!F81</f>
        <v>643452.04</v>
      </c>
      <c r="F81" s="646">
        <v>643654.52</v>
      </c>
      <c r="G81" s="473">
        <f t="shared" si="6"/>
        <v>202.47999999998137</v>
      </c>
      <c r="H81" s="679">
        <f>G81+'3'!H81</f>
        <v>669.52000000001863</v>
      </c>
      <c r="I81" s="505"/>
      <c r="J81" s="552">
        <f>H81/DAY(B2)</f>
        <v>167.38000000000466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654">
        <f>'3'!F82</f>
        <v>108746.41</v>
      </c>
      <c r="F82" s="654">
        <v>108761</v>
      </c>
      <c r="G82" s="473">
        <f t="shared" si="6"/>
        <v>14.589999999996508</v>
      </c>
      <c r="H82" s="679">
        <f>G82+'3'!H82</f>
        <v>80</v>
      </c>
      <c r="I82" s="486"/>
      <c r="J82" s="552">
        <f>H82/DAY(B2)</f>
        <v>20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654">
        <f>'3'!F83</f>
        <v>28306</v>
      </c>
      <c r="F83" s="1402">
        <v>28619</v>
      </c>
      <c r="G83" s="473">
        <f t="shared" si="6"/>
        <v>313</v>
      </c>
      <c r="H83" s="679">
        <f>G83+'3'!H83</f>
        <v>1068</v>
      </c>
      <c r="I83" s="481"/>
      <c r="J83" s="552">
        <f>H83/DAY(B2)</f>
        <v>267</v>
      </c>
      <c r="K83" s="429"/>
      <c r="L83" s="377"/>
      <c r="N83" s="382"/>
    </row>
    <row r="84" spans="1:15">
      <c r="A84" s="1306" t="s">
        <v>200</v>
      </c>
      <c r="B84" s="571"/>
      <c r="C84" s="571"/>
      <c r="D84" s="478" t="s">
        <v>131</v>
      </c>
      <c r="E84" s="654">
        <f>'3'!F84</f>
        <v>525559</v>
      </c>
      <c r="F84" s="647">
        <v>526403</v>
      </c>
      <c r="G84" s="473">
        <f t="shared" si="6"/>
        <v>844</v>
      </c>
      <c r="H84" s="679">
        <f>G84+'3'!H84</f>
        <v>3323</v>
      </c>
      <c r="I84" s="481"/>
      <c r="J84" s="552">
        <f>H84/DAY(B2)</f>
        <v>830.75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637"/>
      <c r="G85" s="460">
        <f xml:space="preserve"> SUM(G71:G84)</f>
        <v>2352.1000000000331</v>
      </c>
      <c r="H85" s="679">
        <f>G85+'3'!H85</f>
        <v>9088.0400000000263</v>
      </c>
      <c r="I85" s="481"/>
      <c r="J85" s="552">
        <f>H85/DAY(B2)</f>
        <v>2272.0100000000066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'3'!F86</f>
        <v>461877.04</v>
      </c>
      <c r="F86" s="647">
        <v>461920.4</v>
      </c>
      <c r="G86" s="705">
        <f t="shared" ref="G86:G87" si="7">F86-E86</f>
        <v>43.360000000044238</v>
      </c>
      <c r="H86" s="679">
        <f>G86+'3'!H86</f>
        <v>99.400000000023283</v>
      </c>
      <c r="I86" s="652"/>
      <c r="J86" s="707">
        <f>H86/DAY(B2)</f>
        <v>24.850000000005821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'3'!F87</f>
        <v>82180.899999999994</v>
      </c>
      <c r="F87" s="647">
        <v>82195.7</v>
      </c>
      <c r="G87" s="705">
        <f t="shared" si="7"/>
        <v>14.80000000000291</v>
      </c>
      <c r="H87" s="679">
        <f>G87+'3'!H87</f>
        <v>122.69999999999709</v>
      </c>
      <c r="I87" s="652"/>
      <c r="J87" s="707">
        <f>H87/DAY(B2)</f>
        <v>30.674999999999272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'3'!F88</f>
        <v>155744.66</v>
      </c>
      <c r="F88" s="647">
        <v>155777.57</v>
      </c>
      <c r="G88" s="705">
        <f>F88-E88</f>
        <v>32.910000000003492</v>
      </c>
      <c r="H88" s="679">
        <f>G88+'3'!H88</f>
        <v>454.57000000000698</v>
      </c>
      <c r="I88" s="652"/>
      <c r="J88" s="707">
        <f>H88/DAY(B2)</f>
        <v>113.64250000000175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'3'!F89</f>
        <v>65939</v>
      </c>
      <c r="F89" s="647">
        <v>65953.899999999994</v>
      </c>
      <c r="G89" s="705">
        <f>F89-E89</f>
        <v>14.899999999994179</v>
      </c>
      <c r="H89" s="679">
        <f>G89+'3'!H89</f>
        <v>107.89999999999418</v>
      </c>
      <c r="I89" s="652"/>
      <c r="J89" s="707">
        <f>H89/DAY(B2)</f>
        <v>26.974999999998545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'3'!F90</f>
        <v>3354</v>
      </c>
      <c r="F90" s="647">
        <v>3356</v>
      </c>
      <c r="G90" s="705">
        <f t="shared" ref="G90:G91" si="8">F90-E90</f>
        <v>2</v>
      </c>
      <c r="H90" s="679">
        <f>G90+'3'!H90</f>
        <v>12</v>
      </c>
      <c r="I90" s="652"/>
      <c r="J90" s="707">
        <f>H90/DAY(B2)</f>
        <v>3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27">
        <f>'3'!F91</f>
        <v>28275.11</v>
      </c>
      <c r="F91" s="647">
        <v>28277.34</v>
      </c>
      <c r="G91" s="705">
        <f t="shared" si="8"/>
        <v>2.2299999999995634</v>
      </c>
      <c r="H91" s="679">
        <f>G91+'3'!H91</f>
        <v>2.2299999999995634</v>
      </c>
      <c r="I91" s="652"/>
      <c r="J91" s="707">
        <f>H91/DAY(B2)</f>
        <v>0.55749999999989086</v>
      </c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'3'!F93</f>
        <v>247652</v>
      </c>
      <c r="F93" s="634">
        <v>247830</v>
      </c>
      <c r="G93" s="473">
        <f t="shared" ref="G93:G94" si="9">F93-E93</f>
        <v>178</v>
      </c>
      <c r="H93" s="679">
        <f>G93+'3'!H93</f>
        <v>478</v>
      </c>
      <c r="I93" s="480"/>
      <c r="J93" s="552">
        <f>H93/DAY(B2)</f>
        <v>119.5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'3'!F94</f>
        <v>189758</v>
      </c>
      <c r="F94" s="634">
        <v>189912</v>
      </c>
      <c r="G94" s="473">
        <f t="shared" si="9"/>
        <v>154</v>
      </c>
      <c r="H94" s="679">
        <f>G94+'3'!H94</f>
        <v>458</v>
      </c>
      <c r="I94" s="480"/>
      <c r="J94" s="552">
        <f>H94/DAY(B2)</f>
        <v>114.5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/>
      <c r="F95" s="634"/>
      <c r="G95" s="473">
        <f>G93+G94</f>
        <v>332</v>
      </c>
      <c r="H95" s="679">
        <f>G95+'3'!H95</f>
        <v>750</v>
      </c>
      <c r="I95" s="480"/>
      <c r="J95" s="552">
        <f>H95/DAY(B2)</f>
        <v>187.5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'3'!F96</f>
        <v>416287</v>
      </c>
      <c r="F96" s="634">
        <v>416434</v>
      </c>
      <c r="G96" s="473">
        <f t="shared" ref="G96:G101" si="10">F96-E96</f>
        <v>147</v>
      </c>
      <c r="H96" s="679">
        <f>G96+'3'!H96</f>
        <v>435</v>
      </c>
      <c r="I96" s="480"/>
      <c r="J96" s="552">
        <f>H96/DAY(B2)</f>
        <v>108.75</v>
      </c>
      <c r="K96" s="380"/>
      <c r="L96" s="377"/>
      <c r="N96" s="382"/>
    </row>
    <row r="97" spans="1:14" ht="27.75">
      <c r="A97" s="1302" t="s">
        <v>209</v>
      </c>
      <c r="B97" s="1303"/>
      <c r="C97" s="1303"/>
      <c r="D97" s="523" t="s">
        <v>143</v>
      </c>
      <c r="E97" s="484">
        <f>'3'!F97</f>
        <v>103225</v>
      </c>
      <c r="F97" s="634">
        <v>103264</v>
      </c>
      <c r="G97" s="473">
        <f t="shared" si="10"/>
        <v>39</v>
      </c>
      <c r="H97" s="679">
        <f>G97+'3'!H97</f>
        <v>101</v>
      </c>
      <c r="I97" s="480"/>
      <c r="J97" s="552">
        <f>H97/DAY(B2)</f>
        <v>25.25</v>
      </c>
      <c r="K97" s="427"/>
      <c r="L97" s="377"/>
      <c r="N97" s="382"/>
    </row>
    <row r="98" spans="1:14" ht="27.75">
      <c r="A98" s="1302" t="s">
        <v>210</v>
      </c>
      <c r="B98" s="1303"/>
      <c r="C98" s="1303"/>
      <c r="D98" s="523" t="s">
        <v>143</v>
      </c>
      <c r="E98" s="484">
        <f>'3'!F98</f>
        <v>98725</v>
      </c>
      <c r="F98" s="634">
        <v>98757</v>
      </c>
      <c r="G98" s="473">
        <f t="shared" si="10"/>
        <v>32</v>
      </c>
      <c r="H98" s="679">
        <f>G98+'3'!H98</f>
        <v>100</v>
      </c>
      <c r="I98" s="480"/>
      <c r="J98" s="552">
        <f>H98/DAY(B2)</f>
        <v>25</v>
      </c>
      <c r="K98" s="432"/>
      <c r="L98" s="377"/>
      <c r="N98" s="382"/>
    </row>
    <row r="99" spans="1:14" ht="27.75">
      <c r="A99" s="1302" t="s">
        <v>211</v>
      </c>
      <c r="B99" s="1303"/>
      <c r="C99" s="1303"/>
      <c r="D99" s="523" t="s">
        <v>143</v>
      </c>
      <c r="E99" s="484">
        <f>'3'!F99</f>
        <v>150527</v>
      </c>
      <c r="F99" s="634">
        <v>150565</v>
      </c>
      <c r="G99" s="473">
        <f t="shared" si="10"/>
        <v>38</v>
      </c>
      <c r="H99" s="679">
        <f>G99+'3'!H99</f>
        <v>160</v>
      </c>
      <c r="I99" s="480"/>
      <c r="J99" s="552">
        <f>H99/DAY(B2)</f>
        <v>40</v>
      </c>
      <c r="K99" s="380"/>
      <c r="L99" s="377"/>
      <c r="N99" s="382"/>
    </row>
    <row r="100" spans="1:14" ht="27.75">
      <c r="A100" s="1302" t="s">
        <v>212</v>
      </c>
      <c r="B100" s="1303"/>
      <c r="C100" s="1303"/>
      <c r="D100" s="523" t="s">
        <v>143</v>
      </c>
      <c r="E100" s="484">
        <f>'3'!F100</f>
        <v>7822</v>
      </c>
      <c r="F100" s="634">
        <v>7845</v>
      </c>
      <c r="G100" s="473">
        <f t="shared" si="10"/>
        <v>23</v>
      </c>
      <c r="H100" s="679">
        <f>G100+'3'!H100</f>
        <v>48</v>
      </c>
      <c r="I100" s="480"/>
      <c r="J100" s="552">
        <f>H100/DAY(B2)</f>
        <v>12</v>
      </c>
      <c r="K100" s="380"/>
      <c r="L100" s="377"/>
      <c r="N100" s="382"/>
    </row>
    <row r="101" spans="1:14" ht="27.75">
      <c r="A101" s="1302" t="s">
        <v>213</v>
      </c>
      <c r="B101" s="1303"/>
      <c r="C101" s="1303"/>
      <c r="D101" s="523" t="s">
        <v>143</v>
      </c>
      <c r="E101" s="484">
        <f>'3'!F101</f>
        <v>5689</v>
      </c>
      <c r="F101" s="634">
        <v>5703</v>
      </c>
      <c r="G101" s="473">
        <f t="shared" si="10"/>
        <v>14</v>
      </c>
      <c r="H101" s="679">
        <f>G101+'3'!H101</f>
        <v>29</v>
      </c>
      <c r="I101" s="480"/>
      <c r="J101" s="552">
        <f>H101/DAY(B2)</f>
        <v>7.25</v>
      </c>
      <c r="K101" s="380"/>
      <c r="L101" s="377"/>
      <c r="N101" s="382"/>
    </row>
    <row r="102" spans="1:14">
      <c r="A102" s="1591" t="s">
        <v>215</v>
      </c>
      <c r="B102" s="1592"/>
      <c r="C102" s="1593"/>
      <c r="D102" s="524"/>
      <c r="E102" s="524"/>
      <c r="F102" s="638"/>
      <c r="G102" s="525">
        <f>SUM(G96:G101)</f>
        <v>293</v>
      </c>
      <c r="H102" s="679">
        <f>G102+'3'!H102</f>
        <v>873</v>
      </c>
      <c r="I102" s="526"/>
      <c r="J102" s="552">
        <f>H102/DAY(B2)</f>
        <v>218.25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48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301"/>
      <c r="D105" s="622" t="s">
        <v>143</v>
      </c>
      <c r="E105" s="532">
        <f>'3'!F105</f>
        <v>7697</v>
      </c>
      <c r="F105" s="532">
        <v>7697</v>
      </c>
      <c r="G105" s="532">
        <f>F105-E105</f>
        <v>0</v>
      </c>
      <c r="H105" s="679">
        <f>G105+'3'!H105</f>
        <v>60</v>
      </c>
      <c r="I105" s="532"/>
      <c r="J105" s="558">
        <f>H105/DAY(B2)</f>
        <v>15</v>
      </c>
      <c r="N105" s="382"/>
    </row>
    <row r="106" spans="1:14" s="442" customFormat="1" ht="27.75">
      <c r="A106" s="1551" t="s">
        <v>76</v>
      </c>
      <c r="B106" s="1552"/>
      <c r="C106" s="1301"/>
      <c r="D106" s="622" t="s">
        <v>143</v>
      </c>
      <c r="E106" s="532">
        <f>'3'!F106</f>
        <v>36186</v>
      </c>
      <c r="F106" s="534">
        <v>36197</v>
      </c>
      <c r="G106" s="532">
        <f t="shared" ref="G106:G107" si="11">F106-E106</f>
        <v>11</v>
      </c>
      <c r="H106" s="679">
        <f>G106+'3'!H106</f>
        <v>35</v>
      </c>
      <c r="I106" s="532"/>
      <c r="J106" s="558">
        <f>H106/DAY(B2)</f>
        <v>8.75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532">
        <f>'3'!F107</f>
        <v>19833</v>
      </c>
      <c r="F107" s="1046">
        <v>19838</v>
      </c>
      <c r="G107" s="532">
        <f t="shared" si="11"/>
        <v>5</v>
      </c>
      <c r="H107" s="679">
        <f>G107+'3'!H107</f>
        <v>16</v>
      </c>
      <c r="I107" s="532"/>
      <c r="J107" s="558">
        <f>H107/DAY(B2)</f>
        <v>4</v>
      </c>
      <c r="N107" s="382"/>
    </row>
    <row r="108" spans="1:14" s="442" customFormat="1" ht="27.75">
      <c r="A108" s="1553" t="s">
        <v>201</v>
      </c>
      <c r="B108" s="1554"/>
      <c r="C108" s="1301"/>
      <c r="D108" s="622"/>
      <c r="E108" s="532" t="str">
        <f>'3'!F108</f>
        <v>.</v>
      </c>
      <c r="F108" s="532"/>
      <c r="G108" s="532">
        <f>SUM(G105:G107)</f>
        <v>16</v>
      </c>
      <c r="H108" s="679">
        <f>G108+'3'!H108</f>
        <v>111</v>
      </c>
      <c r="I108" s="532"/>
      <c r="J108" s="558">
        <f>H108/DAY(B2)</f>
        <v>27.75</v>
      </c>
      <c r="N108" s="382"/>
    </row>
    <row r="109" spans="1:14" s="442" customFormat="1" ht="27.75">
      <c r="A109" s="1557" t="s">
        <v>78</v>
      </c>
      <c r="B109" s="1558"/>
      <c r="C109" s="1301"/>
      <c r="D109" s="622" t="s">
        <v>143</v>
      </c>
      <c r="E109" s="532">
        <f>'3'!F109</f>
        <v>0</v>
      </c>
      <c r="F109" s="532"/>
      <c r="G109" s="532"/>
      <c r="H109" s="679">
        <f>G109+'3'!H109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301"/>
      <c r="D110" s="622" t="s">
        <v>143</v>
      </c>
      <c r="E110" s="532">
        <f>'3'!F110</f>
        <v>65048</v>
      </c>
      <c r="F110" s="532">
        <v>65100</v>
      </c>
      <c r="G110" s="532">
        <f>F110-E110</f>
        <v>52</v>
      </c>
      <c r="H110" s="679">
        <f>G110+'3'!H110</f>
        <v>257</v>
      </c>
      <c r="I110" s="532"/>
      <c r="J110" s="558">
        <f>H110/DAY(B2)</f>
        <v>64.25</v>
      </c>
      <c r="N110" s="382"/>
    </row>
    <row r="111" spans="1:14" s="442" customFormat="1" ht="27.75">
      <c r="A111" s="1551" t="s">
        <v>220</v>
      </c>
      <c r="B111" s="1552"/>
      <c r="C111" s="1301"/>
      <c r="D111" s="622" t="s">
        <v>143</v>
      </c>
      <c r="E111" s="532">
        <f>'3'!F111</f>
        <v>33252</v>
      </c>
      <c r="F111" s="532">
        <v>33302</v>
      </c>
      <c r="G111" s="532">
        <f t="shared" ref="G111:G112" si="12">F111-E111</f>
        <v>50</v>
      </c>
      <c r="H111" s="679">
        <f>G111+'3'!H111</f>
        <v>173</v>
      </c>
      <c r="I111" s="532"/>
      <c r="J111" s="558">
        <f>H111/DAY(B2)</f>
        <v>43.25</v>
      </c>
      <c r="N111" s="382"/>
    </row>
    <row r="112" spans="1:14" s="442" customFormat="1" ht="27.75">
      <c r="A112" s="1551" t="s">
        <v>221</v>
      </c>
      <c r="B112" s="1552"/>
      <c r="C112" s="1301"/>
      <c r="D112" s="622" t="s">
        <v>143</v>
      </c>
      <c r="E112" s="532">
        <f>'3'!F112</f>
        <v>4621.3</v>
      </c>
      <c r="F112" s="532">
        <v>4621.3</v>
      </c>
      <c r="G112" s="532">
        <f t="shared" si="12"/>
        <v>0</v>
      </c>
      <c r="H112" s="679">
        <f>G112+'3'!H112</f>
        <v>0.3000000000001819</v>
      </c>
      <c r="I112" s="532"/>
      <c r="J112" s="558">
        <f>H112/DAY(B2)</f>
        <v>7.5000000000045475E-2</v>
      </c>
      <c r="N112" s="382"/>
    </row>
    <row r="113" spans="1:14" s="442" customFormat="1" ht="27.75">
      <c r="A113" s="1553" t="s">
        <v>109</v>
      </c>
      <c r="B113" s="1554"/>
      <c r="C113" s="1301"/>
      <c r="D113" s="622"/>
      <c r="E113" s="532">
        <f>'3'!F113</f>
        <v>0</v>
      </c>
      <c r="F113" s="532"/>
      <c r="G113" s="532">
        <f>SUM(G110:G112)</f>
        <v>102</v>
      </c>
      <c r="H113" s="679">
        <f>G113+'3'!H113</f>
        <v>430.30000000000018</v>
      </c>
      <c r="I113" s="532"/>
      <c r="J113" s="558">
        <f>H113/DAY(B2)</f>
        <v>107.57500000000005</v>
      </c>
      <c r="N113" s="382"/>
    </row>
    <row r="114" spans="1:14" s="442" customFormat="1" ht="27.75">
      <c r="A114" s="1557" t="s">
        <v>222</v>
      </c>
      <c r="B114" s="1558"/>
      <c r="C114" s="1301"/>
      <c r="D114" s="622"/>
      <c r="E114" s="532">
        <f>'3'!F114</f>
        <v>0</v>
      </c>
      <c r="F114" s="532"/>
      <c r="G114" s="532"/>
      <c r="H114" s="679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'3'!F115</f>
        <v>12044</v>
      </c>
      <c r="F115" s="534">
        <v>12072</v>
      </c>
      <c r="G115" s="534">
        <f>F115-E115</f>
        <v>28</v>
      </c>
      <c r="H115" s="679">
        <f>G115+'3'!H115</f>
        <v>59</v>
      </c>
      <c r="I115" s="532"/>
      <c r="J115" s="558">
        <f>H115/DAY(B2)</f>
        <v>14.75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'3'!F116</f>
        <v>8573</v>
      </c>
      <c r="F116" s="534">
        <v>8583</v>
      </c>
      <c r="G116" s="534">
        <f t="shared" ref="G116:G117" si="13">F116-E116</f>
        <v>10</v>
      </c>
      <c r="H116" s="679">
        <f>G116+'3'!H116</f>
        <v>28</v>
      </c>
      <c r="I116" s="532"/>
      <c r="J116" s="558">
        <f>H116/DAY(B2)</f>
        <v>7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534">
        <f t="shared" si="13"/>
        <v>0</v>
      </c>
      <c r="H117" s="679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534"/>
      <c r="G118" s="534">
        <f>SUM(G115:G117)</f>
        <v>38</v>
      </c>
      <c r="H118" s="679">
        <f>G118+'3'!H118</f>
        <v>87</v>
      </c>
      <c r="I118" s="534"/>
      <c r="J118" s="558">
        <f>H118/DAY(B2)</f>
        <v>21.75</v>
      </c>
      <c r="N118" s="382"/>
    </row>
    <row r="119" spans="1:14" s="446" customFormat="1" ht="27.75">
      <c r="A119" s="1547" t="s">
        <v>226</v>
      </c>
      <c r="B119" s="1548"/>
      <c r="C119" s="1299"/>
      <c r="D119" s="624" t="s">
        <v>143</v>
      </c>
      <c r="E119" s="536"/>
      <c r="F119" s="536">
        <f>SUM(G19+G93)</f>
        <v>239</v>
      </c>
      <c r="G119" s="536">
        <f>SUM(G19+G93)</f>
        <v>239</v>
      </c>
      <c r="H119" s="679">
        <f>G119+'3'!H119</f>
        <v>725</v>
      </c>
      <c r="I119" s="535"/>
      <c r="J119" s="559">
        <f>H119/DAY(B2)</f>
        <v>181.25</v>
      </c>
      <c r="N119" s="382"/>
    </row>
    <row r="120" spans="1:14" s="446" customFormat="1" ht="27.75">
      <c r="A120" s="1547" t="s">
        <v>227</v>
      </c>
      <c r="B120" s="1548"/>
      <c r="C120" s="1299"/>
      <c r="D120" s="624" t="s">
        <v>143</v>
      </c>
      <c r="E120" s="536"/>
      <c r="F120" s="536">
        <f>SUM(G96,G97,G98,G100,G101)</f>
        <v>255</v>
      </c>
      <c r="G120" s="536">
        <f>SUM(G96,G97,G98,G100,G101)</f>
        <v>255</v>
      </c>
      <c r="H120" s="679">
        <f>G120+'3'!H120</f>
        <v>713</v>
      </c>
      <c r="I120" s="535"/>
      <c r="J120" s="559">
        <f>H120/DAY(B2)</f>
        <v>178.25</v>
      </c>
      <c r="N120" s="382"/>
    </row>
    <row r="121" spans="1:14" s="446" customFormat="1" ht="27.75">
      <c r="A121" s="1547" t="s">
        <v>228</v>
      </c>
      <c r="B121" s="1548"/>
      <c r="C121" s="1299"/>
      <c r="D121" s="624" t="s">
        <v>143</v>
      </c>
      <c r="E121" s="534"/>
      <c r="F121" s="534">
        <f>SUM(G113)</f>
        <v>102</v>
      </c>
      <c r="G121" s="534">
        <f>SUM(G113)</f>
        <v>102</v>
      </c>
      <c r="H121" s="679">
        <f>G121+'3'!H121</f>
        <v>430.30000000000018</v>
      </c>
      <c r="I121" s="535"/>
      <c r="J121" s="559">
        <f>H121/DAY(B2)</f>
        <v>107.57500000000005</v>
      </c>
      <c r="N121" s="382"/>
    </row>
    <row r="122" spans="1:14" s="442" customFormat="1" ht="27.75">
      <c r="A122" s="1549"/>
      <c r="B122" s="1550"/>
      <c r="C122" s="1300"/>
      <c r="D122" s="560"/>
      <c r="E122" s="560"/>
      <c r="F122" s="560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2" t="s">
        <v>230</v>
      </c>
      <c r="B124" s="1303"/>
      <c r="C124" s="1303"/>
      <c r="D124" s="523" t="s">
        <v>140</v>
      </c>
      <c r="E124" s="478">
        <f>'3'!F124</f>
        <v>840500.47</v>
      </c>
      <c r="F124" s="634">
        <v>840828.2</v>
      </c>
      <c r="G124" s="473">
        <f t="shared" ref="G124:G128" si="14">F124-E124</f>
        <v>327.72999999998137</v>
      </c>
      <c r="H124" s="679">
        <f>G124+'3'!H124</f>
        <v>1158.1999999999534</v>
      </c>
      <c r="I124" s="526"/>
      <c r="J124" s="552">
        <f>H124/DAY(B2)</f>
        <v>289.54999999998836</v>
      </c>
      <c r="K124" s="380"/>
      <c r="L124" s="377"/>
      <c r="N124" s="382"/>
    </row>
    <row r="125" spans="1:14" ht="27.75">
      <c r="A125" s="1302" t="s">
        <v>231</v>
      </c>
      <c r="B125" s="1303"/>
      <c r="C125" s="1303"/>
      <c r="D125" s="523" t="s">
        <v>140</v>
      </c>
      <c r="E125" s="478">
        <f>'3'!F125</f>
        <v>73583.399999999994</v>
      </c>
      <c r="F125" s="649">
        <v>73583.399999999994</v>
      </c>
      <c r="G125" s="473">
        <f t="shared" si="14"/>
        <v>0</v>
      </c>
      <c r="H125" s="679">
        <f>G125+'3'!H125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'3'!F126</f>
        <v>148867.96</v>
      </c>
      <c r="F126" s="634">
        <v>148947.49</v>
      </c>
      <c r="G126" s="473">
        <f t="shared" si="14"/>
        <v>79.529999999998836</v>
      </c>
      <c r="H126" s="679">
        <f>G126+'3'!H126</f>
        <v>350.48999999999069</v>
      </c>
      <c r="I126" s="526"/>
      <c r="J126" s="552">
        <f>H126/DAY(B2)</f>
        <v>87.622499999997672</v>
      </c>
      <c r="K126" s="380"/>
      <c r="L126" s="377"/>
      <c r="N126" s="382"/>
    </row>
    <row r="127" spans="1:14" ht="27.75">
      <c r="A127" s="609" t="s">
        <v>233</v>
      </c>
      <c r="B127" s="1303"/>
      <c r="C127" s="1303"/>
      <c r="D127" s="523" t="s">
        <v>140</v>
      </c>
      <c r="E127" s="478">
        <f>'3'!F127</f>
        <v>32182.2</v>
      </c>
      <c r="F127" s="649">
        <v>32219.599999999999</v>
      </c>
      <c r="G127" s="473">
        <f t="shared" si="14"/>
        <v>37.399999999997817</v>
      </c>
      <c r="H127" s="679">
        <f>G127+'3'!H127</f>
        <v>148.59999999999854</v>
      </c>
      <c r="I127" s="526"/>
      <c r="J127" s="552">
        <f>H127/DAY(B2)</f>
        <v>37.149999999999636</v>
      </c>
      <c r="K127" s="380"/>
      <c r="L127" s="377"/>
      <c r="N127" s="382"/>
    </row>
    <row r="128" spans="1:14" ht="27.75">
      <c r="A128" s="609" t="s">
        <v>234</v>
      </c>
      <c r="B128" s="1303"/>
      <c r="C128" s="1303"/>
      <c r="D128" s="523" t="s">
        <v>140</v>
      </c>
      <c r="E128" s="478">
        <f>'3'!F128</f>
        <v>9024.4</v>
      </c>
      <c r="F128" s="649">
        <v>9025.9</v>
      </c>
      <c r="G128" s="473">
        <f t="shared" si="14"/>
        <v>1.5</v>
      </c>
      <c r="H128" s="679">
        <f>G128+'3'!H128</f>
        <v>13.899999999999636</v>
      </c>
      <c r="I128" s="480"/>
      <c r="J128" s="552">
        <f>H128/DAY(B2)</f>
        <v>3.4749999999999091</v>
      </c>
      <c r="K128" s="380"/>
      <c r="L128" s="377"/>
      <c r="N128" s="382"/>
    </row>
    <row r="129" spans="1:14" s="281" customFormat="1" ht="27.75">
      <c r="A129" s="609" t="s">
        <v>235</v>
      </c>
      <c r="B129" s="1303"/>
      <c r="C129" s="1303"/>
      <c r="D129" s="523"/>
      <c r="E129" s="478"/>
      <c r="F129" s="634"/>
      <c r="G129" s="473">
        <f>G15-SUM(G124:G128)</f>
        <v>340.71999999991021</v>
      </c>
      <c r="H129" s="679">
        <f>G129+'3'!H129</f>
        <v>1485.2099999999646</v>
      </c>
      <c r="I129" s="480"/>
      <c r="J129" s="552">
        <f>H129/DAY(B2)</f>
        <v>371.30249999999114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2" t="s">
        <v>237</v>
      </c>
      <c r="B131" s="1303"/>
      <c r="C131" s="1303"/>
      <c r="D131" s="523" t="s">
        <v>238</v>
      </c>
      <c r="E131" s="484">
        <f>'3'!F131</f>
        <v>0</v>
      </c>
      <c r="F131" s="634">
        <v>0</v>
      </c>
      <c r="G131" s="473">
        <f t="shared" ref="G131:G141" si="15">F131-E131</f>
        <v>0</v>
      </c>
      <c r="H131" s="679">
        <f>G131+'3'!H131</f>
        <v>0</v>
      </c>
      <c r="I131" s="480"/>
      <c r="J131" s="552">
        <f>H131/DAY(B2)</f>
        <v>0</v>
      </c>
      <c r="N131" s="382"/>
    </row>
    <row r="132" spans="1:14" ht="27.75">
      <c r="A132" s="1513" t="s">
        <v>267</v>
      </c>
      <c r="B132" s="1303"/>
      <c r="C132" s="1303"/>
      <c r="D132" s="523" t="s">
        <v>238</v>
      </c>
      <c r="E132" s="484">
        <f>'3'!F132</f>
        <v>0</v>
      </c>
      <c r="F132" s="634">
        <v>0</v>
      </c>
      <c r="G132" s="473">
        <f t="shared" si="15"/>
        <v>0</v>
      </c>
      <c r="H132" s="679">
        <f>G132+'3'!H132</f>
        <v>0</v>
      </c>
      <c r="I132" s="480"/>
      <c r="J132" s="552">
        <f>H132/DAY(B2)</f>
        <v>0</v>
      </c>
      <c r="N132" s="382"/>
    </row>
    <row r="133" spans="1:14" ht="27.75">
      <c r="A133" s="1302" t="s">
        <v>240</v>
      </c>
      <c r="B133" s="1303"/>
      <c r="C133" s="1303"/>
      <c r="D133" s="523" t="s">
        <v>238</v>
      </c>
      <c r="E133" s="484">
        <f>'3'!F133</f>
        <v>40506</v>
      </c>
      <c r="F133" s="635">
        <v>40530</v>
      </c>
      <c r="G133" s="473">
        <f t="shared" si="15"/>
        <v>24</v>
      </c>
      <c r="H133" s="679">
        <f>G133+'3'!H133</f>
        <v>77</v>
      </c>
      <c r="I133" s="480"/>
      <c r="J133" s="552">
        <f>H133/DAY(B2)</f>
        <v>19.25</v>
      </c>
      <c r="N133" s="382"/>
    </row>
    <row r="134" spans="1:14" ht="27.75">
      <c r="A134" s="1302" t="s">
        <v>241</v>
      </c>
      <c r="B134" s="1303"/>
      <c r="C134" s="1303"/>
      <c r="D134" s="523" t="s">
        <v>238</v>
      </c>
      <c r="E134" s="484">
        <f>'3'!F134</f>
        <v>300</v>
      </c>
      <c r="F134" s="649">
        <v>300</v>
      </c>
      <c r="G134" s="473">
        <f t="shared" si="15"/>
        <v>0</v>
      </c>
      <c r="H134" s="679">
        <f>G134+'3'!H134</f>
        <v>0</v>
      </c>
      <c r="I134" s="480">
        <f>G133+G134+G135+G136</f>
        <v>29.141999999999825</v>
      </c>
      <c r="J134" s="552">
        <f>H134/DAY(B2)</f>
        <v>0</v>
      </c>
      <c r="N134" s="382"/>
    </row>
    <row r="135" spans="1:14" ht="27.75">
      <c r="A135" s="1302" t="s">
        <v>242</v>
      </c>
      <c r="B135" s="1303"/>
      <c r="C135" s="1303"/>
      <c r="D135" s="523" t="s">
        <v>238</v>
      </c>
      <c r="E135" s="484">
        <f>'3'!F135</f>
        <v>42007.197999999997</v>
      </c>
      <c r="F135" s="649">
        <v>42012.34</v>
      </c>
      <c r="G135" s="473">
        <f t="shared" si="15"/>
        <v>5.1419999999998254</v>
      </c>
      <c r="H135" s="679">
        <f>G135+'3'!H135</f>
        <v>40.339999999996508</v>
      </c>
      <c r="I135" s="480"/>
      <c r="J135" s="552">
        <f>H135/DAY(B2)</f>
        <v>10.084999999999127</v>
      </c>
      <c r="N135" s="382"/>
    </row>
    <row r="136" spans="1:14" ht="27.75">
      <c r="A136" s="1302" t="s">
        <v>243</v>
      </c>
      <c r="B136" s="1303"/>
      <c r="C136" s="1303"/>
      <c r="D136" s="523" t="s">
        <v>238</v>
      </c>
      <c r="E136" s="484">
        <f>'3'!F136</f>
        <v>32874</v>
      </c>
      <c r="F136" s="649">
        <v>32874</v>
      </c>
      <c r="G136" s="473">
        <f t="shared" si="15"/>
        <v>0</v>
      </c>
      <c r="H136" s="679">
        <f>G136+'3'!H136</f>
        <v>0</v>
      </c>
      <c r="I136" s="480"/>
      <c r="J136" s="552">
        <f>H136/DAY(B2)</f>
        <v>0</v>
      </c>
      <c r="N136" s="382"/>
    </row>
    <row r="137" spans="1:14" ht="27.75">
      <c r="A137" s="1302" t="s">
        <v>244</v>
      </c>
      <c r="B137" s="1303"/>
      <c r="C137" s="1303"/>
      <c r="D137" s="523" t="s">
        <v>238</v>
      </c>
      <c r="E137" s="484">
        <f>'3'!F137</f>
        <v>22911.79</v>
      </c>
      <c r="F137" s="635">
        <v>22917.91</v>
      </c>
      <c r="G137" s="473">
        <f t="shared" si="15"/>
        <v>6.1199999999989814</v>
      </c>
      <c r="H137" s="679">
        <f>G137+'3'!H137</f>
        <v>26.419999999998254</v>
      </c>
      <c r="I137" s="480">
        <f>G137+G138+G139</f>
        <v>6.1199999999989814</v>
      </c>
      <c r="J137" s="552">
        <f>H137/DAY(B2)</f>
        <v>6.6049999999995634</v>
      </c>
      <c r="N137" s="382"/>
    </row>
    <row r="138" spans="1:14" ht="27.75">
      <c r="A138" s="1302" t="s">
        <v>245</v>
      </c>
      <c r="B138" s="1303"/>
      <c r="C138" s="1303"/>
      <c r="D138" s="523" t="s">
        <v>238</v>
      </c>
      <c r="E138" s="484">
        <f>'3'!F138</f>
        <v>25091.39</v>
      </c>
      <c r="F138" s="635">
        <v>25091.39</v>
      </c>
      <c r="G138" s="473">
        <f t="shared" si="15"/>
        <v>0</v>
      </c>
      <c r="H138" s="679">
        <f>G138+'3'!H138</f>
        <v>0</v>
      </c>
      <c r="I138" s="480"/>
      <c r="J138" s="552">
        <f>H138/DAY(B2)</f>
        <v>0</v>
      </c>
      <c r="N138" s="382"/>
    </row>
    <row r="139" spans="1:14" ht="27.75">
      <c r="A139" s="1302" t="s">
        <v>246</v>
      </c>
      <c r="B139" s="1303"/>
      <c r="C139" s="1303"/>
      <c r="D139" s="523" t="s">
        <v>238</v>
      </c>
      <c r="E139" s="484">
        <f>'3'!F139</f>
        <v>70513.62</v>
      </c>
      <c r="F139" s="635">
        <v>70513.62</v>
      </c>
      <c r="G139" s="473">
        <f t="shared" si="15"/>
        <v>0</v>
      </c>
      <c r="H139" s="679">
        <f>G139+'3'!H139</f>
        <v>0</v>
      </c>
      <c r="I139" s="480"/>
      <c r="J139" s="552">
        <f>H139/DAY(B2)</f>
        <v>0</v>
      </c>
      <c r="N139" s="382"/>
    </row>
    <row r="140" spans="1:14" ht="27.75">
      <c r="A140" s="1302" t="s">
        <v>247</v>
      </c>
      <c r="B140" s="1303"/>
      <c r="C140" s="1303"/>
      <c r="D140" s="523" t="s">
        <v>238</v>
      </c>
      <c r="E140" s="484">
        <f>'3'!F140</f>
        <v>2159.91</v>
      </c>
      <c r="F140" s="649">
        <v>2172.02</v>
      </c>
      <c r="G140" s="473">
        <f t="shared" si="15"/>
        <v>12.110000000000127</v>
      </c>
      <c r="H140" s="679">
        <f>G140+'3'!H140</f>
        <v>42.840000000000146</v>
      </c>
      <c r="I140" s="542">
        <f>G140+G141</f>
        <v>12.139999999999873</v>
      </c>
      <c r="J140" s="552">
        <f>H140/DAY(B2)</f>
        <v>10.710000000000036</v>
      </c>
      <c r="N140" s="382"/>
    </row>
    <row r="141" spans="1:14" ht="27.75">
      <c r="A141" s="1302" t="s">
        <v>248</v>
      </c>
      <c r="B141" s="1303"/>
      <c r="C141" s="1303"/>
      <c r="D141" s="523" t="s">
        <v>238</v>
      </c>
      <c r="E141" s="484">
        <f>'3'!F141</f>
        <v>4636.97</v>
      </c>
      <c r="F141" s="634">
        <v>4637</v>
      </c>
      <c r="G141" s="473">
        <f t="shared" si="15"/>
        <v>2.9999999999745341E-2</v>
      </c>
      <c r="H141" s="679">
        <f>G141+'3'!H141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308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637"/>
      <c r="G143" s="460">
        <f>G35+G43+G49+G57</f>
        <v>5582.9000000000233</v>
      </c>
      <c r="H143" s="679">
        <f>G143+'3'!H143</f>
        <v>22195.130000000005</v>
      </c>
      <c r="I143" s="480"/>
      <c r="J143" s="552">
        <f>H143/DAY(B2)</f>
        <v>5548.7825000000012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641"/>
      <c r="G144" s="543">
        <f>G143/G7</f>
        <v>0.25717398364246591</v>
      </c>
      <c r="H144" s="679">
        <f>G144+'3'!H144</f>
        <v>1.0124292739218943</v>
      </c>
      <c r="I144" s="544"/>
      <c r="J144" s="552">
        <f>H144/DAY(B2)</f>
        <v>0.25310731848047358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633"/>
      <c r="G145" s="460">
        <f>G41+G42+G55+G56</f>
        <v>6765.8400000000911</v>
      </c>
      <c r="H145" s="679">
        <f>G145+'3'!H145</f>
        <v>27887.900000000009</v>
      </c>
      <c r="I145" s="480"/>
      <c r="J145" s="552">
        <f>H145/DAY(B2)</f>
        <v>6971.9750000000022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633"/>
      <c r="G146" s="543">
        <f>G145/G7</f>
        <v>0.31166562637474388</v>
      </c>
      <c r="H146" s="679">
        <f>G146+'3'!H146</f>
        <v>1.2698960080033228</v>
      </c>
      <c r="I146" s="544"/>
      <c r="J146" s="552">
        <f>H146/DAY(B2)</f>
        <v>0.3174740020008307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633"/>
      <c r="G147" s="460">
        <f>G39+G53</f>
        <v>3681.5999999999767</v>
      </c>
      <c r="H147" s="679">
        <f>G147+'3'!H147</f>
        <v>15062.940000000002</v>
      </c>
      <c r="I147" s="545"/>
      <c r="J147" s="552">
        <f>H147/DAY(B2)</f>
        <v>3765.7350000000006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633"/>
      <c r="G148" s="543">
        <f>G147/G7</f>
        <v>0.16959138407961677</v>
      </c>
      <c r="H148" s="679">
        <f>G148+'3'!H148</f>
        <v>0.68712907807241042</v>
      </c>
      <c r="I148" s="545"/>
      <c r="J148" s="552">
        <f>H148/DAY(B2)</f>
        <v>0.1717822695181026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633"/>
      <c r="G149" s="460">
        <f>G38+G52</f>
        <v>1792.8899999999558</v>
      </c>
      <c r="H149" s="679">
        <f>G149+'3'!H149</f>
        <v>6686.9599999999627</v>
      </c>
      <c r="I149" s="480"/>
      <c r="J149" s="552">
        <f>H149/DAY(B2)</f>
        <v>1671.7399999999907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633"/>
      <c r="G150" s="543">
        <f>G149/G7</f>
        <v>8.2588737669083701E-2</v>
      </c>
      <c r="H150" s="679">
        <f>G150+'3'!H150</f>
        <v>0.30471609945236772</v>
      </c>
      <c r="I150" s="545"/>
      <c r="J150" s="552">
        <f>H150/DAY(B2)</f>
        <v>7.6179024863091929E-2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633"/>
      <c r="G151" s="460">
        <f>G36+G50</f>
        <v>1799.2800000000534</v>
      </c>
      <c r="H151" s="679">
        <f>G151+'3'!H151</f>
        <v>7875.2200000000012</v>
      </c>
      <c r="I151" s="545"/>
      <c r="J151" s="552">
        <f>H151/DAY(B2)</f>
        <v>1968.8050000000003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633"/>
      <c r="G152" s="543">
        <f>G151/G7</f>
        <v>8.2883090381025606E-2</v>
      </c>
      <c r="H152" s="679">
        <f>G152+'3'!H152</f>
        <v>0.35827133286034296</v>
      </c>
      <c r="I152" s="480"/>
      <c r="J152" s="552">
        <f>H152/DAY(B2)</f>
        <v>8.956783321508574E-2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633"/>
      <c r="G153" s="460">
        <f>G37+G51</f>
        <v>1478.6399999999849</v>
      </c>
      <c r="H153" s="679">
        <f>G153+'3'!H153</f>
        <v>5994.9799999999814</v>
      </c>
      <c r="I153" s="480"/>
      <c r="J153" s="552">
        <f>H153/DAY(B2)</f>
        <v>1498.7449999999953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650"/>
      <c r="G154" s="566">
        <f>G153/G7</f>
        <v>6.811294115479237E-2</v>
      </c>
      <c r="H154" s="679">
        <f>G154+'3'!H154</f>
        <v>0.2734309008234837</v>
      </c>
      <c r="I154" s="568"/>
      <c r="J154" s="569">
        <f>H154/DAY(B2)</f>
        <v>6.8357725205870926E-2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658">
        <f>'3'!F161</f>
        <v>41085.230000000003</v>
      </c>
      <c r="F161" s="658">
        <v>41166.06</v>
      </c>
      <c r="G161" s="473">
        <f t="shared" ref="G161:G174" si="16">F161-E161</f>
        <v>80.82999999999447</v>
      </c>
    </row>
    <row r="162" spans="1:15">
      <c r="A162" s="784" t="s">
        <v>263</v>
      </c>
      <c r="B162" s="785"/>
      <c r="C162" s="785"/>
      <c r="D162" s="511" t="s">
        <v>186</v>
      </c>
      <c r="E162" s="658">
        <f>'3'!F162</f>
        <v>109179.36</v>
      </c>
      <c r="F162" s="658">
        <v>109612.51</v>
      </c>
      <c r="G162" s="473">
        <f t="shared" si="16"/>
        <v>433.14999999999418</v>
      </c>
    </row>
    <row r="163" spans="1:15">
      <c r="A163" s="784" t="s">
        <v>264</v>
      </c>
      <c r="B163" s="785"/>
      <c r="C163" s="785"/>
      <c r="D163" s="511" t="s">
        <v>186</v>
      </c>
      <c r="E163" s="658">
        <f>'3'!F163</f>
        <v>61852.59</v>
      </c>
      <c r="F163" s="658">
        <v>62055.34</v>
      </c>
      <c r="G163" s="473">
        <f t="shared" si="16"/>
        <v>202.75</v>
      </c>
    </row>
    <row r="164" spans="1:15">
      <c r="A164" s="784" t="s">
        <v>265</v>
      </c>
      <c r="B164" s="785"/>
      <c r="C164" s="785"/>
      <c r="D164" s="511" t="s">
        <v>186</v>
      </c>
      <c r="E164" s="658">
        <f>'3'!F164</f>
        <v>6880.13</v>
      </c>
      <c r="F164" s="658">
        <v>6886.98</v>
      </c>
      <c r="G164" s="473">
        <f t="shared" si="16"/>
        <v>6.8499999999994543</v>
      </c>
    </row>
    <row r="165" spans="1:15">
      <c r="A165" s="786" t="s">
        <v>97</v>
      </c>
      <c r="B165" s="604"/>
      <c r="C165" s="604"/>
      <c r="D165" s="511" t="s">
        <v>186</v>
      </c>
      <c r="E165" s="658">
        <v>0</v>
      </c>
      <c r="F165" s="514">
        <f>F62</f>
        <v>0</v>
      </c>
      <c r="G165" s="473">
        <f t="shared" si="16"/>
        <v>0</v>
      </c>
    </row>
    <row r="166" spans="1:15">
      <c r="A166" s="786" t="s">
        <v>187</v>
      </c>
      <c r="B166" s="604"/>
      <c r="C166" s="604"/>
      <c r="D166" s="511" t="s">
        <v>186</v>
      </c>
      <c r="E166" s="751">
        <f>'3'!F63</f>
        <v>0</v>
      </c>
      <c r="F166" s="514">
        <f>F63</f>
        <v>0</v>
      </c>
      <c r="G166" s="473">
        <f t="shared" si="16"/>
        <v>0</v>
      </c>
    </row>
    <row r="167" spans="1:15" ht="25.5" customHeight="1">
      <c r="A167" s="1546" t="s">
        <v>98</v>
      </c>
      <c r="B167" s="1546"/>
      <c r="C167" s="1546"/>
      <c r="D167" s="523" t="s">
        <v>186</v>
      </c>
      <c r="E167" s="751">
        <f>'3'!F64</f>
        <v>171149.29</v>
      </c>
      <c r="F167" s="514">
        <f t="shared" ref="F167:F172" si="17">F64</f>
        <v>171516.47</v>
      </c>
      <c r="G167" s="473">
        <f>F167-E167</f>
        <v>367.17999999999302</v>
      </c>
    </row>
    <row r="168" spans="1:15" ht="24.75" customHeight="1">
      <c r="A168" s="1546" t="s">
        <v>99</v>
      </c>
      <c r="B168" s="1546"/>
      <c r="C168" s="1546"/>
      <c r="D168" s="523" t="s">
        <v>186</v>
      </c>
      <c r="E168" s="751">
        <f>'3'!F65</f>
        <v>171590.13</v>
      </c>
      <c r="F168" s="514">
        <f t="shared" si="17"/>
        <v>172013.01</v>
      </c>
      <c r="G168" s="473">
        <f t="shared" si="16"/>
        <v>422.88000000000466</v>
      </c>
    </row>
    <row r="169" spans="1:15" ht="28.5" customHeight="1">
      <c r="A169" s="1546" t="s">
        <v>100</v>
      </c>
      <c r="B169" s="1546"/>
      <c r="C169" s="1546"/>
      <c r="D169" s="523" t="s">
        <v>186</v>
      </c>
      <c r="E169" s="751">
        <f>'3'!F66</f>
        <v>69249.55</v>
      </c>
      <c r="F169" s="514">
        <f t="shared" si="17"/>
        <v>69662.289999999994</v>
      </c>
      <c r="G169" s="473">
        <f t="shared" si="16"/>
        <v>412.73999999999069</v>
      </c>
    </row>
    <row r="170" spans="1:15" ht="24.75" customHeight="1">
      <c r="A170" s="1546" t="s">
        <v>101</v>
      </c>
      <c r="B170" s="1546"/>
      <c r="C170" s="1546"/>
      <c r="D170" s="523" t="s">
        <v>186</v>
      </c>
      <c r="E170" s="751">
        <f>'3'!F67</f>
        <v>266461.61</v>
      </c>
      <c r="F170" s="514">
        <f t="shared" si="17"/>
        <v>266903.75</v>
      </c>
      <c r="G170" s="473">
        <f t="shared" si="16"/>
        <v>442.14000000001397</v>
      </c>
    </row>
    <row r="171" spans="1:15" ht="24" customHeight="1">
      <c r="A171" s="1546" t="s">
        <v>102</v>
      </c>
      <c r="B171" s="1546"/>
      <c r="C171" s="1546"/>
      <c r="D171" s="523" t="s">
        <v>186</v>
      </c>
      <c r="E171" s="751">
        <f>'3'!F68</f>
        <v>85321</v>
      </c>
      <c r="F171" s="514">
        <f t="shared" si="17"/>
        <v>85321</v>
      </c>
      <c r="G171" s="473">
        <f t="shared" si="16"/>
        <v>0</v>
      </c>
    </row>
    <row r="172" spans="1:15" ht="27.75">
      <c r="A172" s="1546" t="s">
        <v>103</v>
      </c>
      <c r="B172" s="1546"/>
      <c r="C172" s="1546"/>
      <c r="D172" s="523" t="s">
        <v>186</v>
      </c>
      <c r="E172" s="751">
        <f>'3'!F69</f>
        <v>88268.65</v>
      </c>
      <c r="F172" s="514">
        <f t="shared" si="17"/>
        <v>88541.19</v>
      </c>
      <c r="G172" s="473">
        <f t="shared" si="16"/>
        <v>272.54000000000815</v>
      </c>
    </row>
    <row r="173" spans="1:15" ht="21.95" customHeight="1">
      <c r="A173" s="1606" t="s">
        <v>352</v>
      </c>
      <c r="B173" s="1606"/>
      <c r="C173" s="1507"/>
      <c r="D173" s="1508" t="s">
        <v>186</v>
      </c>
      <c r="E173" s="1514">
        <v>19017</v>
      </c>
      <c r="F173" s="1510">
        <v>19022.2</v>
      </c>
      <c r="G173" s="1511">
        <f t="shared" si="16"/>
        <v>5.2000000000007276</v>
      </c>
      <c r="O173" s="377"/>
    </row>
    <row r="174" spans="1:15" ht="21.95" customHeight="1">
      <c r="A174" s="1606" t="s">
        <v>352</v>
      </c>
      <c r="B174" s="1606"/>
      <c r="C174" s="1507"/>
      <c r="D174" s="1508" t="s">
        <v>186</v>
      </c>
      <c r="E174" s="1514">
        <v>70354</v>
      </c>
      <c r="F174" s="1510">
        <v>70360.899999999994</v>
      </c>
      <c r="G174" s="1511">
        <f t="shared" si="16"/>
        <v>6.8999999999941792</v>
      </c>
      <c r="O174" s="377"/>
    </row>
    <row r="175" spans="1:15" ht="27.75">
      <c r="A175" s="1606" t="s">
        <v>353</v>
      </c>
      <c r="B175" s="1606"/>
      <c r="C175" s="1507"/>
      <c r="D175" s="1508" t="s">
        <v>186</v>
      </c>
      <c r="E175" s="1514">
        <v>27642</v>
      </c>
      <c r="F175" s="1510">
        <v>27648</v>
      </c>
      <c r="G175" s="1511">
        <f>F175-E175</f>
        <v>6</v>
      </c>
      <c r="O175" s="377"/>
    </row>
    <row r="179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</sheetData>
  <mergeCells count="78">
    <mergeCell ref="A173:B173"/>
    <mergeCell ref="A175:B175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7" zoomScale="55" zoomScaleNormal="48" zoomScaleSheetLayoutView="55" workbookViewId="0">
      <selection activeCell="F82" sqref="F82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378</v>
      </c>
      <c r="B2" s="1031">
        <v>44382</v>
      </c>
      <c r="C2" s="1141" t="s">
        <v>68</v>
      </c>
      <c r="D2" s="611">
        <v>0.98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34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333</v>
      </c>
      <c r="E7" s="633">
        <v>9728.65</v>
      </c>
      <c r="F7" s="1247">
        <v>30608.44</v>
      </c>
      <c r="G7" s="1251">
        <f>F7-E7</f>
        <v>20879.79</v>
      </c>
      <c r="H7" s="679">
        <f>G7+'4'!H7</f>
        <v>108655.44000000003</v>
      </c>
      <c r="I7" s="680">
        <f>'1'!I7</f>
        <v>12000</v>
      </c>
      <c r="J7" s="681">
        <f>H7/DAY(B2)</f>
        <v>21731.088000000007</v>
      </c>
      <c r="K7" s="549"/>
      <c r="L7" s="377"/>
      <c r="N7" s="382"/>
      <c r="O7" s="382"/>
    </row>
    <row r="8" spans="1:15" ht="27.75" thickBot="1">
      <c r="A8" s="682" t="s">
        <v>132</v>
      </c>
      <c r="B8" s="683"/>
      <c r="C8" s="684"/>
      <c r="D8" s="685" t="s">
        <v>25</v>
      </c>
      <c r="E8" s="633">
        <v>14988.6</v>
      </c>
      <c r="F8" s="1248">
        <v>35981.21</v>
      </c>
      <c r="G8" s="1251">
        <f t="shared" ref="G8:G9" si="0">F8-E8</f>
        <v>20992.61</v>
      </c>
      <c r="H8" s="679">
        <f>G8+'4'!H8</f>
        <v>109259.20999999998</v>
      </c>
      <c r="I8" s="686">
        <v>12000</v>
      </c>
      <c r="J8" s="681">
        <f>H8/DAY(B2)</f>
        <v>21851.841999999997</v>
      </c>
      <c r="K8" s="549"/>
      <c r="L8" s="425"/>
      <c r="M8" s="440"/>
      <c r="N8" s="703"/>
      <c r="O8" s="382"/>
    </row>
    <row r="9" spans="1:15">
      <c r="A9" s="687" t="s">
        <v>133</v>
      </c>
      <c r="B9" s="688"/>
      <c r="C9" s="688"/>
      <c r="D9" s="637" t="s">
        <v>131</v>
      </c>
      <c r="E9" s="634">
        <f>'4'!F9</f>
        <v>2117828.81</v>
      </c>
      <c r="F9" s="1244">
        <v>2138025.7000000002</v>
      </c>
      <c r="G9" s="1251">
        <f t="shared" si="0"/>
        <v>20196.89000000013</v>
      </c>
      <c r="H9" s="679">
        <f>G9+'4'!H9</f>
        <v>107023.70000000019</v>
      </c>
      <c r="I9" s="690">
        <f>I8-J8</f>
        <v>-9851.8419999999969</v>
      </c>
      <c r="J9" s="681">
        <f>H9/DAY(B2)</f>
        <v>21404.740000000038</v>
      </c>
      <c r="K9" s="428"/>
      <c r="L9" s="377"/>
      <c r="N9" s="382"/>
      <c r="O9" s="382"/>
    </row>
    <row r="10" spans="1:15">
      <c r="A10" s="676" t="s">
        <v>134</v>
      </c>
      <c r="B10" s="677"/>
      <c r="C10" s="677"/>
      <c r="D10" s="637" t="s">
        <v>131</v>
      </c>
      <c r="E10" s="634">
        <f>'4'!F10</f>
        <v>2606.5500000000002</v>
      </c>
      <c r="F10" s="1244">
        <v>2606.5500000000002</v>
      </c>
      <c r="G10" s="1251">
        <f>F10-E10</f>
        <v>0</v>
      </c>
      <c r="H10" s="679">
        <f>G10+'4'!H10</f>
        <v>0</v>
      </c>
      <c r="I10" s="691"/>
      <c r="J10" s="681">
        <f>H10/DAY(B2)</f>
        <v>0</v>
      </c>
      <c r="K10" s="428"/>
      <c r="L10" s="377"/>
      <c r="N10" s="382">
        <v>108</v>
      </c>
      <c r="O10" s="382"/>
    </row>
    <row r="11" spans="1:15">
      <c r="A11" s="676" t="s">
        <v>135</v>
      </c>
      <c r="B11" s="677"/>
      <c r="C11" s="677"/>
      <c r="D11" s="637" t="s">
        <v>131</v>
      </c>
      <c r="E11" s="633">
        <f>'4'!F11</f>
        <v>37000</v>
      </c>
      <c r="F11" s="1247">
        <v>37000</v>
      </c>
      <c r="G11" s="1251">
        <f>F11-E11</f>
        <v>0</v>
      </c>
      <c r="H11" s="679">
        <f>G11+'4'!H11</f>
        <v>0</v>
      </c>
      <c r="I11" s="691"/>
      <c r="J11" s="681">
        <f>H11/DAY(B2)</f>
        <v>0</v>
      </c>
      <c r="K11" s="428"/>
      <c r="L11" s="377"/>
      <c r="N11" s="382">
        <v>28</v>
      </c>
      <c r="O11" s="382"/>
    </row>
    <row r="12" spans="1:15">
      <c r="A12" s="676" t="s">
        <v>136</v>
      </c>
      <c r="B12" s="677"/>
      <c r="C12" s="677"/>
      <c r="D12" s="637" t="s">
        <v>131</v>
      </c>
      <c r="E12" s="634">
        <f>'4'!F12</f>
        <v>40010</v>
      </c>
      <c r="F12" s="1244">
        <v>40010</v>
      </c>
      <c r="G12" s="1251">
        <f t="shared" ref="G12" si="1">F12-E12</f>
        <v>0</v>
      </c>
      <c r="H12" s="679">
        <f>G12+'4'!H12</f>
        <v>0</v>
      </c>
      <c r="I12" s="691"/>
      <c r="J12" s="681">
        <f>H12/DAY(B2)</f>
        <v>0</v>
      </c>
      <c r="K12" s="428"/>
      <c r="L12" s="377"/>
      <c r="N12" s="382">
        <v>342</v>
      </c>
      <c r="O12" s="382"/>
    </row>
    <row r="13" spans="1:15">
      <c r="A13" s="692" t="s">
        <v>137</v>
      </c>
      <c r="B13" s="693"/>
      <c r="C13" s="693"/>
      <c r="D13" s="637"/>
      <c r="E13" s="633"/>
      <c r="F13" s="1247"/>
      <c r="G13" s="1251">
        <f>G9+G10+G11+G12</f>
        <v>20196.89000000013</v>
      </c>
      <c r="H13" s="679">
        <f>G13+'4'!H13</f>
        <v>107023.70000000019</v>
      </c>
      <c r="I13" s="695">
        <f>G7-G13</f>
        <v>682.89999999987049</v>
      </c>
      <c r="J13" s="681">
        <f>H13/DAY(B2)</f>
        <v>21404.740000000038</v>
      </c>
      <c r="K13" s="428"/>
      <c r="L13" s="377"/>
      <c r="N13" s="382">
        <v>349</v>
      </c>
      <c r="O13" s="382"/>
    </row>
    <row r="14" spans="1:15">
      <c r="A14" s="1570" t="s">
        <v>138</v>
      </c>
      <c r="B14" s="1571"/>
      <c r="C14" s="1572"/>
      <c r="D14" s="472"/>
      <c r="E14" s="472"/>
      <c r="F14" s="1093"/>
      <c r="G14" s="1254"/>
      <c r="H14" s="472"/>
      <c r="I14" s="472"/>
      <c r="J14" s="551"/>
      <c r="K14" s="429"/>
      <c r="L14" s="377"/>
      <c r="N14" s="382">
        <v>432</v>
      </c>
      <c r="O14" s="382"/>
    </row>
    <row r="15" spans="1:15" s="1519" customFormat="1">
      <c r="A15" s="792" t="s">
        <v>139</v>
      </c>
      <c r="B15" s="793"/>
      <c r="C15" s="793"/>
      <c r="D15" s="524" t="s">
        <v>140</v>
      </c>
      <c r="E15" s="485">
        <f>'4'!F15</f>
        <v>1706839.4</v>
      </c>
      <c r="F15" s="485">
        <v>1707764.46</v>
      </c>
      <c r="G15" s="473">
        <f t="shared" ref="G15" si="2">F15-E15</f>
        <v>925.06000000005588</v>
      </c>
      <c r="H15" s="486">
        <f>G15+'4'!H15</f>
        <v>4081.4599999999627</v>
      </c>
      <c r="I15" s="474">
        <v>800</v>
      </c>
      <c r="J15" s="553">
        <f>H15/DAY(B2)</f>
        <v>816.29199999999253</v>
      </c>
      <c r="K15" s="428"/>
      <c r="L15" s="1518"/>
      <c r="N15" s="1520"/>
      <c r="O15" s="1520"/>
    </row>
    <row r="16" spans="1:15">
      <c r="A16" s="790"/>
      <c r="B16" s="791"/>
      <c r="C16" s="791"/>
      <c r="D16" s="788"/>
      <c r="E16" s="1250"/>
      <c r="F16" s="1250"/>
      <c r="G16" s="1251"/>
      <c r="H16" s="1252"/>
      <c r="I16" s="1091">
        <f>I15-J15</f>
        <v>-16.291999999992527</v>
      </c>
      <c r="J16" s="12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1093"/>
      <c r="G17" s="1252"/>
      <c r="H17" s="472"/>
      <c r="I17" s="472"/>
      <c r="J17" s="551"/>
      <c r="K17" s="428"/>
      <c r="L17" s="377"/>
      <c r="N17" s="382"/>
      <c r="O17" s="382"/>
    </row>
    <row r="18" spans="1:15" ht="27.75">
      <c r="A18" s="1607" t="s">
        <v>142</v>
      </c>
      <c r="B18" s="1608"/>
      <c r="C18" s="1609"/>
      <c r="D18" s="637" t="s">
        <v>143</v>
      </c>
      <c r="E18" s="1250">
        <f>'4'!F18</f>
        <v>21</v>
      </c>
      <c r="F18" s="1244">
        <v>18</v>
      </c>
      <c r="G18" s="1251">
        <f>F18*10</f>
        <v>180</v>
      </c>
      <c r="H18" s="679">
        <f>G18+'4'!H18</f>
        <v>730</v>
      </c>
      <c r="I18" s="680">
        <f>'1'!I18</f>
        <v>65</v>
      </c>
      <c r="J18" s="681">
        <f>H18/DAY(B2)</f>
        <v>146</v>
      </c>
      <c r="K18" s="428"/>
      <c r="L18" s="377"/>
      <c r="N18" s="382"/>
      <c r="O18" s="382"/>
    </row>
    <row r="19" spans="1:15" ht="27.75">
      <c r="A19" s="1607" t="s">
        <v>70</v>
      </c>
      <c r="B19" s="1608"/>
      <c r="C19" s="1609"/>
      <c r="D19" s="637" t="s">
        <v>143</v>
      </c>
      <c r="E19" s="634">
        <f>'4'!F19</f>
        <v>141742</v>
      </c>
      <c r="F19" s="1244">
        <v>141803</v>
      </c>
      <c r="G19" s="1251">
        <f t="shared" ref="G19" si="3">F19-E19</f>
        <v>61</v>
      </c>
      <c r="H19" s="679">
        <f>G19+'4'!H19</f>
        <v>308</v>
      </c>
      <c r="I19" s="696"/>
      <c r="J19" s="681">
        <f>H19/DAY(B2)</f>
        <v>61.6</v>
      </c>
      <c r="K19" s="428"/>
      <c r="L19" s="377"/>
      <c r="N19" s="382"/>
      <c r="O19" s="382"/>
    </row>
    <row r="20" spans="1:15">
      <c r="A20" s="692" t="s">
        <v>144</v>
      </c>
      <c r="B20" s="693"/>
      <c r="C20" s="693"/>
      <c r="D20" s="637"/>
      <c r="E20" s="637"/>
      <c r="F20" s="637"/>
      <c r="G20" s="1255">
        <f>G18+G19</f>
        <v>241</v>
      </c>
      <c r="H20" s="679">
        <f>G20+'4'!H20</f>
        <v>1038</v>
      </c>
      <c r="I20" s="698">
        <f>I18-J20</f>
        <v>-142.6</v>
      </c>
      <c r="J20" s="681">
        <f>H20/DAY(B2)</f>
        <v>207.6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634">
        <f>'4'!F22</f>
        <v>2970</v>
      </c>
      <c r="F22" s="634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634">
        <f>'4'!F23</f>
        <v>2000</v>
      </c>
      <c r="F23" s="634">
        <v>2000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634">
        <f>'4'!F24</f>
        <v>4970</v>
      </c>
      <c r="F24" s="636">
        <v>4970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699">
        <f>G8</f>
        <v>20992.61</v>
      </c>
      <c r="F27" s="501">
        <v>9</v>
      </c>
      <c r="G27" s="502">
        <f>E27*F27</f>
        <v>188933.49</v>
      </c>
      <c r="H27" s="460">
        <f>G27+'4'!H27</f>
        <v>983332.88999999978</v>
      </c>
      <c r="I27" s="503"/>
      <c r="J27" s="552">
        <f>H27/DAY(B2)</f>
        <v>196666.57799999995</v>
      </c>
      <c r="K27" s="373"/>
      <c r="L27" s="443"/>
      <c r="N27" s="382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699">
        <f>G15</f>
        <v>925.06000000005588</v>
      </c>
      <c r="F28" s="501">
        <v>52</v>
      </c>
      <c r="G28" s="502">
        <f>E28*F28</f>
        <v>48103.120000002906</v>
      </c>
      <c r="H28" s="460">
        <f>G28+'4'!H28</f>
        <v>212235.91999999806</v>
      </c>
      <c r="I28" s="505"/>
      <c r="J28" s="552">
        <f>H28/DAY(B2)</f>
        <v>42447.183999999615</v>
      </c>
      <c r="K28" s="373"/>
      <c r="L28" s="443"/>
      <c r="N28" s="382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G30+'4'!H30</f>
        <v>44384</v>
      </c>
      <c r="I30" s="505"/>
      <c r="J30" s="552">
        <f>H30/DAY(B2)</f>
        <v>8876.7999999999993</v>
      </c>
      <c r="K30" s="373"/>
      <c r="L30" s="443"/>
      <c r="N30" s="382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699">
        <f>G18</f>
        <v>180</v>
      </c>
      <c r="F31" s="501">
        <v>80</v>
      </c>
      <c r="G31" s="502">
        <f>E31*F31</f>
        <v>14400</v>
      </c>
      <c r="H31" s="460">
        <f>G31+'4'!H31</f>
        <v>52800</v>
      </c>
      <c r="I31" s="505"/>
      <c r="J31" s="552">
        <f>H31/DAY(B2)</f>
        <v>10560</v>
      </c>
      <c r="K31" s="373"/>
      <c r="L31" s="443"/>
      <c r="N31" s="382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638"/>
      <c r="G32" s="508">
        <f>G27+G28+G29+G30+G31</f>
        <v>260342.6100000029</v>
      </c>
      <c r="H32" s="460">
        <f>G32+'4'!H32</f>
        <v>1292752.8099999977</v>
      </c>
      <c r="I32" s="509"/>
      <c r="J32" s="552">
        <f>H32/DAY(B2)</f>
        <v>258550.56199999954</v>
      </c>
      <c r="K32" s="373"/>
      <c r="L32" s="443"/>
      <c r="N32" s="382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'4'!F35</f>
        <v>1040555.8</v>
      </c>
      <c r="F35" s="1237">
        <v>1043384.5</v>
      </c>
      <c r="G35" s="473">
        <f t="shared" ref="G35:G46" si="5">F35-E35</f>
        <v>2828.6999999999534</v>
      </c>
      <c r="H35" s="460">
        <f>G35+'4'!H35</f>
        <v>14670.5</v>
      </c>
      <c r="I35" s="455"/>
      <c r="J35" s="552">
        <f>H35/DAY(B2)</f>
        <v>2934.1</v>
      </c>
      <c r="K35" s="428"/>
      <c r="L35" s="377"/>
      <c r="N35" s="382"/>
      <c r="O35" s="382"/>
    </row>
    <row r="36" spans="1:15">
      <c r="A36" s="578" t="s">
        <v>164</v>
      </c>
      <c r="B36" s="579"/>
      <c r="C36" s="579"/>
      <c r="D36" s="523" t="s">
        <v>131</v>
      </c>
      <c r="E36" s="510">
        <f>'4'!F36</f>
        <v>23687.22</v>
      </c>
      <c r="F36" s="1237">
        <v>24415.35</v>
      </c>
      <c r="G36" s="473">
        <f t="shared" si="5"/>
        <v>728.12999999999738</v>
      </c>
      <c r="H36" s="460">
        <f>G36+'4'!H36</f>
        <v>3954.3499999999985</v>
      </c>
      <c r="I36" s="455"/>
      <c r="J36" s="552">
        <f>H36/DAY(B2)</f>
        <v>790.86999999999966</v>
      </c>
      <c r="K36" s="428"/>
      <c r="L36" s="377"/>
      <c r="N36" s="628"/>
      <c r="O36" s="382"/>
    </row>
    <row r="37" spans="1:15">
      <c r="A37" s="578" t="s">
        <v>165</v>
      </c>
      <c r="B37" s="579"/>
      <c r="C37" s="579"/>
      <c r="D37" s="523" t="s">
        <v>131</v>
      </c>
      <c r="E37" s="510">
        <f>'4'!F37</f>
        <v>182565.11</v>
      </c>
      <c r="F37" s="1237">
        <v>184012.79</v>
      </c>
      <c r="G37" s="473">
        <f t="shared" si="5"/>
        <v>1447.6800000000221</v>
      </c>
      <c r="H37" s="460">
        <f>G37+'4'!H37</f>
        <v>7442.7900000000081</v>
      </c>
      <c r="I37" s="455"/>
      <c r="J37" s="552">
        <f>H37/DAY(B2)</f>
        <v>1488.5580000000016</v>
      </c>
      <c r="K37" s="428"/>
      <c r="L37" s="377"/>
      <c r="N37" s="629"/>
      <c r="O37" s="382"/>
    </row>
    <row r="38" spans="1:15">
      <c r="A38" s="578" t="s">
        <v>166</v>
      </c>
      <c r="B38" s="579"/>
      <c r="C38" s="579"/>
      <c r="D38" s="523" t="s">
        <v>131</v>
      </c>
      <c r="E38" s="510">
        <f>'4'!F38</f>
        <v>205145.89</v>
      </c>
      <c r="F38" s="1238">
        <v>206786.39</v>
      </c>
      <c r="G38" s="473">
        <f t="shared" si="5"/>
        <v>1640.5</v>
      </c>
      <c r="H38" s="460">
        <f>G38+'4'!H38</f>
        <v>8327.390000000014</v>
      </c>
      <c r="I38" s="455"/>
      <c r="J38" s="552">
        <f>H38/DAY(B2)</f>
        <v>1665.4780000000028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'4'!F39</f>
        <v>419927.35</v>
      </c>
      <c r="F39" s="1237">
        <v>423596.71</v>
      </c>
      <c r="G39" s="473">
        <f t="shared" si="5"/>
        <v>3669.3600000000442</v>
      </c>
      <c r="H39" s="460">
        <f>G39+'4'!H39</f>
        <v>18732.710000000021</v>
      </c>
      <c r="I39" s="455"/>
      <c r="J39" s="552">
        <f>H39/DAY(B2)</f>
        <v>3746.542000000004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'4'!F40</f>
        <v>8719.42</v>
      </c>
      <c r="F40" s="1237">
        <v>9044.99</v>
      </c>
      <c r="G40" s="473">
        <f t="shared" si="5"/>
        <v>325.56999999999971</v>
      </c>
      <c r="H40" s="460">
        <f>G40+'4'!H40</f>
        <v>1931.9899999999998</v>
      </c>
      <c r="I40" s="455"/>
      <c r="J40" s="552">
        <f>H40/DAY(B2)</f>
        <v>386.39799999999997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'4'!F41</f>
        <v>348154.91</v>
      </c>
      <c r="F41" s="1237">
        <v>352205.87</v>
      </c>
      <c r="G41" s="473">
        <f t="shared" si="5"/>
        <v>4050.960000000021</v>
      </c>
      <c r="H41" s="460">
        <f>G41+'4'!H41</f>
        <v>22563.869999999995</v>
      </c>
      <c r="I41" s="455"/>
      <c r="J41" s="552">
        <f>H41/DAY(B2)</f>
        <v>4512.7739999999994</v>
      </c>
      <c r="K41" s="428"/>
      <c r="L41" s="377"/>
      <c r="N41" s="382"/>
      <c r="O41" s="382"/>
    </row>
    <row r="42" spans="1:15">
      <c r="A42" s="578" t="s">
        <v>170</v>
      </c>
      <c r="B42" s="579"/>
      <c r="C42" s="579"/>
      <c r="D42" s="523" t="s">
        <v>131</v>
      </c>
      <c r="E42" s="510">
        <f>'4'!F42</f>
        <v>59210.080000000002</v>
      </c>
      <c r="F42" s="1237">
        <v>59210.080000000002</v>
      </c>
      <c r="G42" s="473">
        <f t="shared" si="5"/>
        <v>0</v>
      </c>
      <c r="H42" s="460">
        <f>G42+'4'!H42</f>
        <v>11.190000000002328</v>
      </c>
      <c r="I42" s="455"/>
      <c r="J42" s="552">
        <f>H42/DAY(B2)</f>
        <v>2.2380000000004658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'4'!F43</f>
        <v>1130805.2</v>
      </c>
      <c r="F43" s="1237">
        <v>1133359.8999999999</v>
      </c>
      <c r="G43" s="473">
        <f t="shared" si="5"/>
        <v>2554.6999999999534</v>
      </c>
      <c r="H43" s="460">
        <f>G43+'4'!H43</f>
        <v>12907.899999999907</v>
      </c>
      <c r="I43" s="455"/>
      <c r="J43" s="552">
        <f>H43/DAY(B2)</f>
        <v>2581.5799999999813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'4'!F44</f>
        <v>0</v>
      </c>
      <c r="F44" s="1237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'4'!F45</f>
        <v>614</v>
      </c>
      <c r="F45" s="1237">
        <v>614</v>
      </c>
      <c r="G45" s="473">
        <f t="shared" si="5"/>
        <v>0</v>
      </c>
      <c r="H45" s="460">
        <f>G45+'4'!H45</f>
        <v>614</v>
      </c>
      <c r="I45" s="455"/>
      <c r="J45" s="552">
        <f>H45/DAY(B2)</f>
        <v>122.8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'4'!F46</f>
        <v>187</v>
      </c>
      <c r="F46" s="1237">
        <v>187</v>
      </c>
      <c r="G46" s="473">
        <f t="shared" si="5"/>
        <v>0</v>
      </c>
      <c r="H46" s="460">
        <f>G46+'4'!H46</f>
        <v>187</v>
      </c>
      <c r="I46" s="455"/>
      <c r="J46" s="552">
        <f>H46/DAY(B2)</f>
        <v>37.4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1239"/>
      <c r="G47" s="481">
        <f>G35+G36+G37+G38+G39+G40+G41+G42+G43+G44+G45+G46</f>
        <v>17245.599999999991</v>
      </c>
      <c r="H47" s="460">
        <f>G47+'4'!H47</f>
        <v>91343.689999999944</v>
      </c>
      <c r="I47" s="455"/>
      <c r="J47" s="552">
        <f>H47/DAY(B2)</f>
        <v>18268.73799999999</v>
      </c>
      <c r="K47" s="428"/>
      <c r="L47" s="377"/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1240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'4'!F49</f>
        <v>260732.13</v>
      </c>
      <c r="F49" s="1237">
        <v>260732.13</v>
      </c>
      <c r="G49" s="473">
        <f t="shared" ref="G49:G58" si="6">F49-E49</f>
        <v>0</v>
      </c>
      <c r="H49" s="460">
        <f>G49+'4'!H49</f>
        <v>0.13000000000465661</v>
      </c>
      <c r="I49" s="455"/>
      <c r="J49" s="552">
        <f>H49/DAY(B2)</f>
        <v>2.6000000000931323E-2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'4'!F50</f>
        <v>539312</v>
      </c>
      <c r="F50" s="1237">
        <v>540314.13</v>
      </c>
      <c r="G50" s="473">
        <f t="shared" si="6"/>
        <v>1002.1300000000047</v>
      </c>
      <c r="H50" s="460">
        <f>G50+'4'!H50</f>
        <v>5651.1300000000047</v>
      </c>
      <c r="I50" s="455"/>
      <c r="J50" s="552">
        <f>H50/DAY(B2)</f>
        <v>1130.226000000001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'4'!F51</f>
        <v>144639.87</v>
      </c>
      <c r="F51" s="1237">
        <v>144639.87</v>
      </c>
      <c r="G51" s="473">
        <f t="shared" si="6"/>
        <v>0</v>
      </c>
      <c r="H51" s="460">
        <f>G51+'4'!H51</f>
        <v>-0.13000000000465661</v>
      </c>
      <c r="I51" s="455"/>
      <c r="J51" s="552">
        <f>H51/DAY(B2)</f>
        <v>-2.6000000000931323E-2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'4'!F52</f>
        <v>539606.06999999995</v>
      </c>
      <c r="F52" s="1237">
        <v>539606.06999999995</v>
      </c>
      <c r="G52" s="473">
        <f t="shared" si="6"/>
        <v>0</v>
      </c>
      <c r="H52" s="460">
        <f>G52+'4'!H52</f>
        <v>6.9999999948777258E-2</v>
      </c>
      <c r="I52" s="455"/>
      <c r="J52" s="552">
        <f>H52/DAY(B2)</f>
        <v>1.3999999989755452E-2</v>
      </c>
      <c r="K52" s="428"/>
      <c r="L52" s="377"/>
      <c r="N52" s="382"/>
      <c r="O52" s="382"/>
    </row>
    <row r="53" spans="1:15">
      <c r="A53" s="578" t="s">
        <v>167</v>
      </c>
      <c r="B53" s="601"/>
      <c r="C53" s="601"/>
      <c r="D53" s="523" t="s">
        <v>131</v>
      </c>
      <c r="E53" s="510">
        <f>'4'!F53</f>
        <v>434231.59</v>
      </c>
      <c r="F53" s="1237">
        <v>434231.59</v>
      </c>
      <c r="G53" s="473">
        <f t="shared" si="6"/>
        <v>0</v>
      </c>
      <c r="H53" s="460">
        <f>G53+'4'!H53</f>
        <v>-0.40999999997438863</v>
      </c>
      <c r="I53" s="455"/>
      <c r="J53" s="552">
        <f>H53/DAY(B2)</f>
        <v>-8.1999999994877726E-2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'4'!F54</f>
        <v>14967</v>
      </c>
      <c r="F54" s="1237">
        <v>14967</v>
      </c>
      <c r="G54" s="473">
        <f t="shared" si="6"/>
        <v>0</v>
      </c>
      <c r="H54" s="460">
        <f>G54+'4'!H54</f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'4'!F55</f>
        <v>126957.01</v>
      </c>
      <c r="F55" s="1249">
        <v>129416.95</v>
      </c>
      <c r="G55" s="473">
        <f t="shared" si="6"/>
        <v>2459.9400000000023</v>
      </c>
      <c r="H55" s="460">
        <f>G55+'4'!H55</f>
        <v>11780.949999999997</v>
      </c>
      <c r="I55" s="455"/>
      <c r="J55" s="552">
        <f>H55/DAY(B2)</f>
        <v>2356.1899999999996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'4'!F56</f>
        <v>649074.79</v>
      </c>
      <c r="F56" s="1249">
        <v>649085.55000000005</v>
      </c>
      <c r="G56" s="473">
        <f t="shared" si="6"/>
        <v>10.760000000009313</v>
      </c>
      <c r="H56" s="460">
        <f>G56+'4'!H56</f>
        <v>53.550000000046566</v>
      </c>
      <c r="I56" s="455"/>
      <c r="J56" s="552">
        <f>H56/DAY(B2)</f>
        <v>10.710000000009313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'4'!F57</f>
        <v>7711</v>
      </c>
      <c r="F57" s="1237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'4'!F58</f>
        <v>54606.38</v>
      </c>
      <c r="F58" s="1241">
        <v>54817.66</v>
      </c>
      <c r="G58" s="473">
        <f t="shared" si="6"/>
        <v>211.28000000000611</v>
      </c>
      <c r="H58" s="460">
        <f>G58+'4'!H58</f>
        <v>831.66000000000349</v>
      </c>
      <c r="I58" s="455"/>
      <c r="J58" s="552">
        <f>H58/DAY(B2)</f>
        <v>166.3320000000007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1239"/>
      <c r="G59" s="481">
        <f>G49+G50+G51+G52+G53+G54+G55+G56+G57+G58</f>
        <v>3684.1100000000224</v>
      </c>
      <c r="H59" s="460">
        <f>G59+'4'!H59</f>
        <v>18316.950000000026</v>
      </c>
      <c r="I59" s="455">
        <f>G7-G60</f>
        <v>-49.920000000012806</v>
      </c>
      <c r="J59" s="552">
        <f>H59/DAY(B2)</f>
        <v>3663.3900000000053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1239"/>
      <c r="G60" s="481">
        <f>G47+G59</f>
        <v>20929.710000000014</v>
      </c>
      <c r="H60" s="460">
        <f>G60+'4'!H60</f>
        <v>109660.63999999998</v>
      </c>
      <c r="I60" s="455">
        <f>G13-G60</f>
        <v>-732.81999999988329</v>
      </c>
      <c r="J60" s="552">
        <f>H60/DAY(B2)</f>
        <v>21932.127999999997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124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'4'!F62</f>
        <v>0</v>
      </c>
      <c r="F62" s="1243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'4'!F63</f>
        <v>0</v>
      </c>
      <c r="F63" s="1243">
        <v>0</v>
      </c>
      <c r="G63" s="473">
        <f t="shared" si="7"/>
        <v>0</v>
      </c>
      <c r="H63" s="460">
        <f>G63+'4'!H63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f>'4'!F64</f>
        <v>171516.47</v>
      </c>
      <c r="F64" s="1244">
        <v>171890.25</v>
      </c>
      <c r="G64" s="473">
        <f t="shared" si="7"/>
        <v>373.77999999999884</v>
      </c>
      <c r="H64" s="460">
        <f>G64+'4'!H64</f>
        <v>1868.25</v>
      </c>
      <c r="I64" s="480"/>
      <c r="J64" s="552">
        <f>H64/DAY(B2)</f>
        <v>373.65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f>'4'!F65</f>
        <v>172013.01</v>
      </c>
      <c r="F65" s="1245">
        <v>172449.67</v>
      </c>
      <c r="G65" s="473">
        <f t="shared" si="7"/>
        <v>436.66000000000349</v>
      </c>
      <c r="H65" s="460">
        <f>G65+'4'!H65</f>
        <v>2147.6700000000128</v>
      </c>
      <c r="I65" s="489"/>
      <c r="J65" s="552">
        <f>H65/DAY(B2)</f>
        <v>429.53400000000255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f>'4'!F66</f>
        <v>69662.289999999994</v>
      </c>
      <c r="F66" s="1244">
        <v>70072.7</v>
      </c>
      <c r="G66" s="473">
        <f t="shared" si="7"/>
        <v>410.41000000000349</v>
      </c>
      <c r="H66" s="460">
        <f>G66+'4'!H66</f>
        <v>2102.6999999999971</v>
      </c>
      <c r="I66" s="480"/>
      <c r="J66" s="552">
        <f>H66/DAY(B2)</f>
        <v>420.5399999999994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f>'4'!F67</f>
        <v>266903.75</v>
      </c>
      <c r="F67" s="1244">
        <v>267354.28999999998</v>
      </c>
      <c r="G67" s="473">
        <f t="shared" si="7"/>
        <v>450.53999999997905</v>
      </c>
      <c r="H67" s="460">
        <f>G67+'4'!H67</f>
        <v>2395.289999999979</v>
      </c>
      <c r="I67" s="489"/>
      <c r="J67" s="552">
        <f>H67/DAY(B2)</f>
        <v>479.05799999999579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f>'4'!F68</f>
        <v>85321</v>
      </c>
      <c r="F68" s="1244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f>'4'!F69</f>
        <v>88541.19</v>
      </c>
      <c r="F69" s="1244">
        <v>88765.51</v>
      </c>
      <c r="G69" s="473">
        <f t="shared" si="7"/>
        <v>224.31999999999243</v>
      </c>
      <c r="H69" s="460">
        <f>G69+'4'!H69</f>
        <v>1250.5099999999948</v>
      </c>
      <c r="I69" s="516"/>
      <c r="J69" s="552">
        <f>H69/DAY(B2)</f>
        <v>250.10199999999895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1246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'4'!F72</f>
        <v>856271</v>
      </c>
      <c r="F72" s="1256">
        <v>856281</v>
      </c>
      <c r="G72" s="473">
        <f t="shared" ref="G72:G84" si="8">F72-E72</f>
        <v>10</v>
      </c>
      <c r="H72" s="460">
        <f>G72+'4'!H72</f>
        <v>59</v>
      </c>
      <c r="I72" s="480"/>
      <c r="J72" s="552">
        <f>H72/DAY(B2)</f>
        <v>11.8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20">
        <f>'4'!F73</f>
        <v>885978</v>
      </c>
      <c r="F73" s="1257">
        <v>885979</v>
      </c>
      <c r="G73" s="652">
        <f t="shared" si="8"/>
        <v>1</v>
      </c>
      <c r="H73" s="460">
        <f>G73+'4'!H73</f>
        <v>7</v>
      </c>
      <c r="I73" s="480"/>
      <c r="J73" s="552">
        <f>H73/DAY(B2)</f>
        <v>1.4</v>
      </c>
      <c r="K73" s="430"/>
      <c r="L73" s="377"/>
      <c r="N73" s="382"/>
      <c r="O73" s="382"/>
    </row>
    <row r="74" spans="1:15" ht="27.75">
      <c r="A74" s="1540" t="s">
        <v>192</v>
      </c>
      <c r="B74" s="1541"/>
      <c r="C74" s="1542"/>
      <c r="D74" s="523" t="s">
        <v>186</v>
      </c>
      <c r="E74" s="521">
        <f>'4'!F74</f>
        <v>88700.9</v>
      </c>
      <c r="F74" s="1256">
        <v>88702.1</v>
      </c>
      <c r="G74" s="473">
        <f t="shared" si="8"/>
        <v>1.2000000000116415</v>
      </c>
      <c r="H74" s="460">
        <f>G74+'4'!H74</f>
        <v>6.1000000000058208</v>
      </c>
      <c r="I74" s="480"/>
      <c r="J74" s="552">
        <f>H74/DAY(B2)</f>
        <v>1.2200000000011642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21">
        <f>'4'!F75</f>
        <v>16679.98</v>
      </c>
      <c r="F75" s="1258">
        <v>16822.03</v>
      </c>
      <c r="G75" s="473">
        <f t="shared" si="8"/>
        <v>142.04999999999927</v>
      </c>
      <c r="H75" s="460">
        <f>G75+'4'!H75</f>
        <v>751.02999999999884</v>
      </c>
      <c r="I75" s="480"/>
      <c r="J75" s="552">
        <f>H75/DAY(B2)</f>
        <v>150.20599999999976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20">
        <f>'4'!F76</f>
        <v>9598</v>
      </c>
      <c r="F76" s="1257">
        <v>9664.18</v>
      </c>
      <c r="G76" s="473">
        <f t="shared" si="8"/>
        <v>66.180000000000291</v>
      </c>
      <c r="H76" s="460">
        <f>G76+'4'!H76</f>
        <v>328.18000000000029</v>
      </c>
      <c r="I76" s="505"/>
      <c r="J76" s="552">
        <f>H76/DAY(B2)</f>
        <v>65.636000000000053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20">
        <f>'4'!F77</f>
        <v>704592</v>
      </c>
      <c r="F77" s="1257">
        <v>704658</v>
      </c>
      <c r="G77" s="652">
        <f t="shared" si="8"/>
        <v>66</v>
      </c>
      <c r="H77" s="460">
        <f>G77+'4'!H77</f>
        <v>284</v>
      </c>
      <c r="I77" s="505"/>
      <c r="J77" s="552">
        <f>H77/DAY(B2)</f>
        <v>56.8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'4'!F78</f>
        <v>675938</v>
      </c>
      <c r="F78" s="1258">
        <v>675957</v>
      </c>
      <c r="G78" s="473">
        <f t="shared" si="8"/>
        <v>19</v>
      </c>
      <c r="H78" s="460">
        <f>G78+'4'!H78</f>
        <v>543</v>
      </c>
      <c r="I78" s="505"/>
      <c r="J78" s="552">
        <f>H78/DAY(B2)</f>
        <v>108.6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f>'4'!F79</f>
        <v>836021</v>
      </c>
      <c r="F79" s="1258">
        <v>836170</v>
      </c>
      <c r="G79" s="473">
        <f t="shared" si="8"/>
        <v>149</v>
      </c>
      <c r="H79" s="460">
        <f>G79+'4'!H79</f>
        <v>754</v>
      </c>
      <c r="I79" s="505"/>
      <c r="J79" s="552">
        <f>H79/DAY(B2)</f>
        <v>150.80000000000001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f>'4'!F80</f>
        <v>540682.64</v>
      </c>
      <c r="F80" s="1257">
        <v>541082.92000000004</v>
      </c>
      <c r="G80" s="473">
        <f t="shared" si="8"/>
        <v>400.28000000002794</v>
      </c>
      <c r="H80" s="460">
        <f>G80+'4'!H80</f>
        <v>2069.9200000000419</v>
      </c>
      <c r="I80" s="505"/>
      <c r="J80" s="552">
        <f>H80/DAY(B2)</f>
        <v>413.98400000000839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'4'!F81</f>
        <v>643654.52</v>
      </c>
      <c r="F81" s="1257">
        <v>643896.80000000005</v>
      </c>
      <c r="G81" s="473">
        <f t="shared" si="8"/>
        <v>242.28000000002794</v>
      </c>
      <c r="H81" s="460">
        <f>G81+'4'!H81</f>
        <v>911.80000000004657</v>
      </c>
      <c r="I81" s="505"/>
      <c r="J81" s="552">
        <f>H81/DAY(B2)</f>
        <v>182.36000000000931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'4'!F82</f>
        <v>108761</v>
      </c>
      <c r="F82" s="1245">
        <v>108788.39</v>
      </c>
      <c r="G82" s="473">
        <f t="shared" si="8"/>
        <v>27.389999999999418</v>
      </c>
      <c r="H82" s="460">
        <f>G82+'4'!H82</f>
        <v>107.38999999999942</v>
      </c>
      <c r="I82" s="486"/>
      <c r="J82" s="552">
        <f>H82/DAY(B2)</f>
        <v>21.477999999999884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f>'4'!F83</f>
        <v>28619</v>
      </c>
      <c r="F83" s="1239">
        <v>28875</v>
      </c>
      <c r="G83" s="473">
        <f t="shared" si="8"/>
        <v>256</v>
      </c>
      <c r="H83" s="460">
        <f>G83+'4'!H83</f>
        <v>1324</v>
      </c>
      <c r="I83" s="481"/>
      <c r="J83" s="552">
        <f>H83/DAY(B2)</f>
        <v>264.8</v>
      </c>
      <c r="K83" s="429"/>
      <c r="L83" s="377"/>
      <c r="N83" s="382"/>
      <c r="O83" s="382"/>
    </row>
    <row r="84" spans="1:15">
      <c r="A84" s="1143" t="s">
        <v>200</v>
      </c>
      <c r="B84" s="571"/>
      <c r="C84" s="571"/>
      <c r="D84" s="478" t="s">
        <v>131</v>
      </c>
      <c r="E84" s="627">
        <f>'4'!F84</f>
        <v>526403</v>
      </c>
      <c r="F84" s="1259">
        <v>527228</v>
      </c>
      <c r="G84" s="473">
        <f t="shared" si="8"/>
        <v>825</v>
      </c>
      <c r="H84" s="460">
        <f>G84+'4'!H84</f>
        <v>4148</v>
      </c>
      <c r="I84" s="481"/>
      <c r="J84" s="552">
        <f>H84/DAY(B2)</f>
        <v>829.6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627">
        <f>'4'!F85</f>
        <v>0</v>
      </c>
      <c r="F85" s="1096"/>
      <c r="G85" s="460">
        <f xml:space="preserve"> SUM(G71:G84)</f>
        <v>2205.3800000000665</v>
      </c>
      <c r="H85" s="460">
        <f>G85+'4'!H85</f>
        <v>11293.420000000093</v>
      </c>
      <c r="I85" s="481"/>
      <c r="J85" s="552">
        <f>H85/DAY(B2)</f>
        <v>2258.6840000000184</v>
      </c>
      <c r="K85" s="380"/>
      <c r="L85" s="378"/>
      <c r="N85" s="382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'4'!F86</f>
        <v>461920.4</v>
      </c>
      <c r="F86" s="1259">
        <v>461944</v>
      </c>
      <c r="G86" s="705">
        <f t="shared" ref="G86:G91" si="9">F86-E86</f>
        <v>23.599999999976717</v>
      </c>
      <c r="H86" s="460">
        <f>G86+'4'!H86</f>
        <v>123</v>
      </c>
      <c r="I86" s="652"/>
      <c r="J86" s="707">
        <f>H86/DAY(B2)</f>
        <v>24.6</v>
      </c>
      <c r="K86" s="733"/>
      <c r="L86" s="734"/>
      <c r="N86" s="777">
        <f>G86-173</f>
        <v>-149.40000000002328</v>
      </c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'4'!F87</f>
        <v>82195.7</v>
      </c>
      <c r="F87" s="1259">
        <v>82226.5</v>
      </c>
      <c r="G87" s="705">
        <f t="shared" si="9"/>
        <v>30.80000000000291</v>
      </c>
      <c r="H87" s="460">
        <f>G87+'4'!H87</f>
        <v>153.5</v>
      </c>
      <c r="I87" s="652"/>
      <c r="J87" s="707">
        <f>H87/DAY(B2)</f>
        <v>30.7</v>
      </c>
      <c r="K87" s="733"/>
      <c r="L87" s="734"/>
      <c r="N87" s="735">
        <v>108</v>
      </c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'4'!F88</f>
        <v>155777.57</v>
      </c>
      <c r="F88" s="1259">
        <v>155903.35999999999</v>
      </c>
      <c r="G88" s="705">
        <f t="shared" si="9"/>
        <v>125.78999999997905</v>
      </c>
      <c r="H88" s="460">
        <f>G88+'4'!H88</f>
        <v>580.35999999998603</v>
      </c>
      <c r="I88" s="652"/>
      <c r="J88" s="707">
        <f>H88/DAY(B2)</f>
        <v>116.0719999999972</v>
      </c>
      <c r="K88" s="733"/>
      <c r="L88" s="734"/>
      <c r="N88" s="735">
        <v>28</v>
      </c>
      <c r="O88" s="382"/>
    </row>
    <row r="89" spans="1:15" s="735" customFormat="1">
      <c r="A89" s="730" t="s">
        <v>202</v>
      </c>
      <c r="B89" s="731"/>
      <c r="C89" s="731"/>
      <c r="D89" s="732" t="s">
        <v>182</v>
      </c>
      <c r="E89" s="627">
        <f>'4'!F89</f>
        <v>65953.899999999994</v>
      </c>
      <c r="F89" s="1259">
        <v>65976.600000000006</v>
      </c>
      <c r="G89" s="705">
        <f t="shared" si="9"/>
        <v>22.700000000011642</v>
      </c>
      <c r="H89" s="460">
        <f>G89+'4'!H89</f>
        <v>130.60000000000582</v>
      </c>
      <c r="I89" s="652"/>
      <c r="J89" s="707">
        <f>H89/DAY(B2)</f>
        <v>26.120000000001163</v>
      </c>
      <c r="K89" s="733"/>
      <c r="L89" s="734"/>
      <c r="N89" s="777">
        <v>342</v>
      </c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'4'!F90</f>
        <v>3356</v>
      </c>
      <c r="F90" s="1259">
        <v>3360.1</v>
      </c>
      <c r="G90" s="705">
        <f t="shared" si="9"/>
        <v>4.0999999999999091</v>
      </c>
      <c r="H90" s="460">
        <f>G90+'4'!H90</f>
        <v>16.099999999999909</v>
      </c>
      <c r="I90" s="652"/>
      <c r="J90" s="707">
        <f>H90/DAY(B2)</f>
        <v>3.219999999999982</v>
      </c>
      <c r="K90" s="733"/>
      <c r="L90" s="734"/>
      <c r="N90" s="777">
        <v>349</v>
      </c>
      <c r="O90" s="382"/>
    </row>
    <row r="91" spans="1:15" s="735" customFormat="1">
      <c r="A91" s="730" t="s">
        <v>348</v>
      </c>
      <c r="B91" s="731"/>
      <c r="C91" s="731"/>
      <c r="D91" s="732"/>
      <c r="E91" s="627">
        <f>'4'!F91</f>
        <v>28277.34</v>
      </c>
      <c r="F91" s="647">
        <v>28287.29</v>
      </c>
      <c r="G91" s="705">
        <f t="shared" si="9"/>
        <v>9.9500000000007276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1093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'4'!F93</f>
        <v>247830</v>
      </c>
      <c r="F93" s="1244">
        <v>247953</v>
      </c>
      <c r="G93" s="473">
        <f t="shared" ref="G93:G94" si="10">F93-E93</f>
        <v>123</v>
      </c>
      <c r="H93" s="460">
        <f>G93+'4'!H93</f>
        <v>601</v>
      </c>
      <c r="I93" s="480"/>
      <c r="J93" s="552">
        <f>H93/DAY(B2)</f>
        <v>120.2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'4'!F94</f>
        <v>189912</v>
      </c>
      <c r="F94" s="1244">
        <v>190036</v>
      </c>
      <c r="G94" s="473">
        <f t="shared" si="10"/>
        <v>124</v>
      </c>
      <c r="H94" s="460">
        <f>G94+'4'!H94</f>
        <v>582</v>
      </c>
      <c r="I94" s="480"/>
      <c r="J94" s="552">
        <f>H94/DAY(B2)</f>
        <v>116.4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/>
      <c r="F95" s="1244"/>
      <c r="G95" s="473">
        <f>G93+G94</f>
        <v>247</v>
      </c>
      <c r="H95" s="460">
        <f>G95+'4'!H95</f>
        <v>997</v>
      </c>
      <c r="I95" s="480"/>
      <c r="J95" s="552">
        <f>H95/DAY(B2)</f>
        <v>199.4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'4'!F96</f>
        <v>416434</v>
      </c>
      <c r="F96" s="1244">
        <v>416554</v>
      </c>
      <c r="G96" s="473">
        <f t="shared" ref="G96:G101" si="11">F96-E96</f>
        <v>120</v>
      </c>
      <c r="H96" s="460">
        <f>G96+'4'!H96</f>
        <v>555</v>
      </c>
      <c r="I96" s="480"/>
      <c r="J96" s="552">
        <f>H96/DAY(B2)</f>
        <v>111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'4'!F97</f>
        <v>103264</v>
      </c>
      <c r="F97" s="1244">
        <v>103276</v>
      </c>
      <c r="G97" s="473">
        <f t="shared" si="11"/>
        <v>12</v>
      </c>
      <c r="H97" s="460">
        <f>G97+'4'!H97</f>
        <v>113</v>
      </c>
      <c r="I97" s="480"/>
      <c r="J97" s="552">
        <f>H97/DAY(B2)</f>
        <v>22.6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'4'!F98</f>
        <v>98757</v>
      </c>
      <c r="F98" s="1244">
        <v>98775</v>
      </c>
      <c r="G98" s="473">
        <f t="shared" si="11"/>
        <v>18</v>
      </c>
      <c r="H98" s="460">
        <f>G98+'4'!H98</f>
        <v>118</v>
      </c>
      <c r="I98" s="480"/>
      <c r="J98" s="552">
        <f>H98/DAY(B2)</f>
        <v>23.6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'4'!F99</f>
        <v>150565</v>
      </c>
      <c r="F99" s="1244">
        <v>150596</v>
      </c>
      <c r="G99" s="473">
        <f t="shared" si="11"/>
        <v>31</v>
      </c>
      <c r="H99" s="460">
        <f>G99+'4'!H99</f>
        <v>191</v>
      </c>
      <c r="I99" s="480"/>
      <c r="J99" s="552">
        <f>H99/DAY(B2)</f>
        <v>38.200000000000003</v>
      </c>
      <c r="K99" s="380"/>
      <c r="L99" s="377"/>
      <c r="N99" s="704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'4'!F100</f>
        <v>7845</v>
      </c>
      <c r="F100" s="1244">
        <v>7852</v>
      </c>
      <c r="G100" s="473">
        <f t="shared" si="11"/>
        <v>7</v>
      </c>
      <c r="H100" s="460">
        <f>G100+'4'!H100</f>
        <v>55</v>
      </c>
      <c r="I100" s="480"/>
      <c r="J100" s="552">
        <f>H100/DAY(B2)</f>
        <v>11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'4'!F101</f>
        <v>5703</v>
      </c>
      <c r="F101" s="1244">
        <v>5708</v>
      </c>
      <c r="G101" s="473">
        <f t="shared" si="11"/>
        <v>5</v>
      </c>
      <c r="H101" s="460">
        <f>G101+'4'!H101</f>
        <v>34</v>
      </c>
      <c r="I101" s="480"/>
      <c r="J101" s="552">
        <f>H101/DAY(B2)</f>
        <v>6.8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1254"/>
      <c r="G102" s="525">
        <f>SUM(G96:G101)</f>
        <v>193</v>
      </c>
      <c r="H102" s="460">
        <f>G102+'4'!H102</f>
        <v>1066</v>
      </c>
      <c r="I102" s="526"/>
      <c r="J102" s="552">
        <f>H102/DAY(B2)</f>
        <v>213.2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1260"/>
      <c r="G103" s="529"/>
      <c r="H103" s="530"/>
      <c r="I103" s="531"/>
      <c r="J103" s="557"/>
      <c r="N103" s="382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1261"/>
      <c r="G104" s="532"/>
      <c r="H104" s="533"/>
      <c r="I104" s="532"/>
      <c r="J104" s="558"/>
      <c r="N104" s="382"/>
      <c r="O104" s="382"/>
    </row>
    <row r="105" spans="1:15" s="442" customFormat="1" ht="27.75">
      <c r="A105" s="1551" t="s">
        <v>218</v>
      </c>
      <c r="B105" s="1552"/>
      <c r="C105" s="1138"/>
      <c r="D105" s="622" t="s">
        <v>143</v>
      </c>
      <c r="E105" s="484">
        <f>'4'!F105</f>
        <v>7697</v>
      </c>
      <c r="F105" s="1261">
        <v>7737</v>
      </c>
      <c r="G105" s="532">
        <f>F105-E105</f>
        <v>40</v>
      </c>
      <c r="H105" s="460">
        <f>G105+'4'!H105</f>
        <v>100</v>
      </c>
      <c r="I105" s="532"/>
      <c r="J105" s="558">
        <f>H105/DAY(B2)</f>
        <v>20</v>
      </c>
      <c r="N105" s="382"/>
      <c r="O105" s="382"/>
    </row>
    <row r="106" spans="1:15" s="442" customFormat="1" ht="27.75">
      <c r="A106" s="1551" t="s">
        <v>76</v>
      </c>
      <c r="B106" s="1552"/>
      <c r="C106" s="1138"/>
      <c r="D106" s="622" t="s">
        <v>143</v>
      </c>
      <c r="E106" s="484">
        <f>'4'!F106</f>
        <v>36197</v>
      </c>
      <c r="F106" s="1267">
        <v>36207</v>
      </c>
      <c r="G106" s="532">
        <f t="shared" ref="G106:G107" si="12">F106-E106</f>
        <v>10</v>
      </c>
      <c r="H106" s="460">
        <f>G106+'4'!H106</f>
        <v>45</v>
      </c>
      <c r="I106" s="532"/>
      <c r="J106" s="558">
        <f>H106/DAY(B2)</f>
        <v>9</v>
      </c>
      <c r="N106" s="382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484">
        <f>'4'!F107</f>
        <v>19838</v>
      </c>
      <c r="F107" s="1261">
        <v>19843</v>
      </c>
      <c r="G107" s="532">
        <f t="shared" si="12"/>
        <v>5</v>
      </c>
      <c r="H107" s="460">
        <f>G107+'4'!H107</f>
        <v>21</v>
      </c>
      <c r="I107" s="532"/>
      <c r="J107" s="558">
        <f>H107/DAY(B2)</f>
        <v>4.2</v>
      </c>
      <c r="N107" s="382"/>
      <c r="O107" s="382"/>
    </row>
    <row r="108" spans="1:15" s="442" customFormat="1" ht="27.75">
      <c r="A108" s="1553" t="s">
        <v>201</v>
      </c>
      <c r="B108" s="1554"/>
      <c r="C108" s="1138"/>
      <c r="D108" s="622"/>
      <c r="E108" s="484"/>
      <c r="F108" s="1261"/>
      <c r="G108" s="532">
        <f>SUM(G105:G107)</f>
        <v>55</v>
      </c>
      <c r="H108" s="460">
        <f>G108+'4'!H108</f>
        <v>166</v>
      </c>
      <c r="I108" s="532"/>
      <c r="J108" s="558">
        <f>H108/DAY(B2)</f>
        <v>33.200000000000003</v>
      </c>
      <c r="N108" s="382"/>
      <c r="O108" s="382"/>
    </row>
    <row r="109" spans="1:15" s="442" customFormat="1" ht="27.75">
      <c r="A109" s="1557" t="s">
        <v>78</v>
      </c>
      <c r="B109" s="1558"/>
      <c r="C109" s="1138"/>
      <c r="D109" s="622" t="s">
        <v>143</v>
      </c>
      <c r="E109" s="484">
        <f>'4'!F109</f>
        <v>0</v>
      </c>
      <c r="F109" s="1261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51" t="s">
        <v>219</v>
      </c>
      <c r="B110" s="1552"/>
      <c r="C110" s="1138"/>
      <c r="D110" s="622" t="s">
        <v>143</v>
      </c>
      <c r="E110" s="484">
        <f>'4'!F110</f>
        <v>65100</v>
      </c>
      <c r="F110" s="1261">
        <v>65255</v>
      </c>
      <c r="G110" s="532">
        <f>F110-E110</f>
        <v>155</v>
      </c>
      <c r="H110" s="460">
        <f>G110+'4'!H110</f>
        <v>412</v>
      </c>
      <c r="I110" s="532"/>
      <c r="J110" s="558">
        <f>H110/DAY(B2)</f>
        <v>82.4</v>
      </c>
      <c r="N110" s="382"/>
    </row>
    <row r="111" spans="1:15" s="442" customFormat="1" ht="27.75">
      <c r="A111" s="1551" t="s">
        <v>220</v>
      </c>
      <c r="B111" s="1552"/>
      <c r="C111" s="1138"/>
      <c r="D111" s="622" t="s">
        <v>143</v>
      </c>
      <c r="E111" s="484">
        <f>'4'!F111</f>
        <v>33302</v>
      </c>
      <c r="F111" s="1261">
        <v>33327</v>
      </c>
      <c r="G111" s="532">
        <f t="shared" ref="G111:G112" si="13">F111-E111</f>
        <v>25</v>
      </c>
      <c r="H111" s="460">
        <f>G111+'4'!H111</f>
        <v>198</v>
      </c>
      <c r="I111" s="532"/>
      <c r="J111" s="558">
        <f>H111/DAY(B2)</f>
        <v>39.6</v>
      </c>
      <c r="N111" s="382"/>
    </row>
    <row r="112" spans="1:15" s="442" customFormat="1" ht="27.75">
      <c r="A112" s="1551" t="s">
        <v>221</v>
      </c>
      <c r="B112" s="1552"/>
      <c r="C112" s="1138"/>
      <c r="D112" s="622" t="s">
        <v>143</v>
      </c>
      <c r="E112" s="484">
        <f>'4'!F112</f>
        <v>4621.3</v>
      </c>
      <c r="F112" s="1261">
        <v>4621.3</v>
      </c>
      <c r="G112" s="532">
        <f t="shared" si="13"/>
        <v>0</v>
      </c>
      <c r="H112" s="460">
        <f>G112+'4'!H112</f>
        <v>0.3000000000001819</v>
      </c>
      <c r="I112" s="532"/>
      <c r="J112" s="558">
        <f>H112/DAY(B2)</f>
        <v>6.0000000000036378E-2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484"/>
      <c r="F113" s="1261"/>
      <c r="G113" s="532">
        <f>SUM(G110:G112)</f>
        <v>180</v>
      </c>
      <c r="H113" s="460">
        <f>G113+'4'!H113</f>
        <v>610.30000000000018</v>
      </c>
      <c r="I113" s="532"/>
      <c r="J113" s="558">
        <f>H113/DAY(B2)</f>
        <v>122.06000000000003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484"/>
      <c r="F114" s="1261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484">
        <f>'4'!F115</f>
        <v>12072</v>
      </c>
      <c r="F115" s="1262">
        <v>12080</v>
      </c>
      <c r="G115" s="534">
        <f>F115-E115</f>
        <v>8</v>
      </c>
      <c r="H115" s="460">
        <f>G115+'4'!H115</f>
        <v>67</v>
      </c>
      <c r="I115" s="532"/>
      <c r="J115" s="558">
        <f>H115/DAY(B2)</f>
        <v>13.4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484">
        <f>'4'!F116</f>
        <v>8583</v>
      </c>
      <c r="F116" s="1262">
        <v>8586</v>
      </c>
      <c r="G116" s="534">
        <f t="shared" ref="G116:G117" si="14">F116-E116</f>
        <v>3</v>
      </c>
      <c r="H116" s="460">
        <f>G116+'4'!H116</f>
        <v>31</v>
      </c>
      <c r="I116" s="532"/>
      <c r="J116" s="558">
        <f>H116/DAY(B2)</f>
        <v>6.2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484">
        <f>'4'!F117</f>
        <v>0</v>
      </c>
      <c r="F117" s="1262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484"/>
      <c r="F118" s="1262"/>
      <c r="G118" s="534">
        <f>SUM(G115:G117)</f>
        <v>11</v>
      </c>
      <c r="H118" s="460">
        <f>G118+'4'!H118</f>
        <v>98</v>
      </c>
      <c r="I118" s="534"/>
      <c r="J118" s="558">
        <f>H118/DAY(B2)</f>
        <v>19.600000000000001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484">
        <f>'4'!F119</f>
        <v>239</v>
      </c>
      <c r="F119" s="1263">
        <f>SUM(G19+G93)</f>
        <v>184</v>
      </c>
      <c r="G119" s="536">
        <f>SUM(G19+G93)</f>
        <v>184</v>
      </c>
      <c r="H119" s="460">
        <f>G119+'4'!H119</f>
        <v>909</v>
      </c>
      <c r="I119" s="535"/>
      <c r="J119" s="559">
        <f>H119/DAY(B2)</f>
        <v>181.8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484">
        <f>'4'!F120</f>
        <v>255</v>
      </c>
      <c r="F120" s="1263">
        <f>SUM(G96,G97,G98,G100,G101)</f>
        <v>162</v>
      </c>
      <c r="G120" s="536">
        <f>SUM(G96,G97,G98,G100,G101)</f>
        <v>162</v>
      </c>
      <c r="H120" s="460">
        <f>G120+'4'!H120</f>
        <v>875</v>
      </c>
      <c r="I120" s="535"/>
      <c r="J120" s="559">
        <f>H120/DAY(B2)</f>
        <v>175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484">
        <f>'4'!F121</f>
        <v>102</v>
      </c>
      <c r="F121" s="1262">
        <f>SUM(G113)</f>
        <v>180</v>
      </c>
      <c r="G121" s="534">
        <f>SUM(G113)</f>
        <v>180</v>
      </c>
      <c r="H121" s="460">
        <f>G121+'4'!H121</f>
        <v>610.30000000000018</v>
      </c>
      <c r="I121" s="535"/>
      <c r="J121" s="559">
        <f>H121/DAY(B2)</f>
        <v>122.06000000000003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1264" t="s">
        <v>214</v>
      </c>
      <c r="G122" s="560"/>
      <c r="H122" s="460">
        <f>G122+'4'!H122</f>
        <v>0</v>
      </c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1093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'4'!F124</f>
        <v>840828.2</v>
      </c>
      <c r="F124" s="1244">
        <v>841094.02</v>
      </c>
      <c r="G124" s="473">
        <f t="shared" ref="G124:G128" si="15">F124-E124</f>
        <v>265.82000000006519</v>
      </c>
      <c r="H124" s="460">
        <f>G124+'4'!H124</f>
        <v>1424.0200000000186</v>
      </c>
      <c r="I124" s="526"/>
      <c r="J124" s="552">
        <f>H124/DAY(B2)</f>
        <v>284.80400000000373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'4'!F125</f>
        <v>73583.399999999994</v>
      </c>
      <c r="F125" s="1265">
        <v>73583.399999999994</v>
      </c>
      <c r="G125" s="473">
        <f t="shared" si="15"/>
        <v>0</v>
      </c>
      <c r="H125" s="460">
        <f>G125+'4'!H125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'4'!F126</f>
        <v>148947.49</v>
      </c>
      <c r="F126" s="1244">
        <v>149008.78</v>
      </c>
      <c r="G126" s="473">
        <f t="shared" si="15"/>
        <v>61.290000000008149</v>
      </c>
      <c r="H126" s="460">
        <f>G126+'4'!H126</f>
        <v>411.77999999999884</v>
      </c>
      <c r="I126" s="526"/>
      <c r="J126" s="552">
        <f>H126/DAY(B2)</f>
        <v>82.355999999999767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'4'!F127</f>
        <v>32219.599999999999</v>
      </c>
      <c r="F127" s="1265">
        <v>32246.6</v>
      </c>
      <c r="G127" s="473">
        <f t="shared" si="15"/>
        <v>27</v>
      </c>
      <c r="H127" s="460">
        <f>G127+'4'!H127</f>
        <v>175.59999999999854</v>
      </c>
      <c r="I127" s="526"/>
      <c r="J127" s="552">
        <f>H127/DAY(B2)</f>
        <v>35.119999999999706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'4'!F128</f>
        <v>9025.9</v>
      </c>
      <c r="F128" s="1265">
        <v>9026.7999999999993</v>
      </c>
      <c r="G128" s="473">
        <f t="shared" si="15"/>
        <v>0.8999999999996362</v>
      </c>
      <c r="H128" s="460">
        <f>G128+'4'!H128</f>
        <v>14.799999999999272</v>
      </c>
      <c r="I128" s="480"/>
      <c r="J128" s="552">
        <f>H128/DAY(B2)</f>
        <v>2.9599999999998543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1244"/>
      <c r="G129" s="473">
        <f>G15-SUM(G124:G128)</f>
        <v>570.0499999999829</v>
      </c>
      <c r="H129" s="460">
        <f>G129+'4'!H129</f>
        <v>2055.2599999999475</v>
      </c>
      <c r="I129" s="480"/>
      <c r="J129" s="552">
        <f>H129/DAY(B2)</f>
        <v>411.0519999999895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1240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'4'!F131</f>
        <v>0</v>
      </c>
      <c r="F131" s="1244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'4'!F132</f>
        <v>0</v>
      </c>
      <c r="F132" s="1244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'4'!F133</f>
        <v>40530</v>
      </c>
      <c r="F133" s="1245">
        <v>40554.800000000003</v>
      </c>
      <c r="G133" s="473">
        <f t="shared" si="16"/>
        <v>24.80000000000291</v>
      </c>
      <c r="H133" s="460">
        <f>G133+'4'!H133</f>
        <v>101.80000000000291</v>
      </c>
      <c r="I133" s="480"/>
      <c r="J133" s="552">
        <f>H133/DAY(B2)</f>
        <v>20.360000000000582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701">
        <f>'4'!F134</f>
        <v>300</v>
      </c>
      <c r="F134" s="1265">
        <v>300</v>
      </c>
      <c r="G134" s="473">
        <f t="shared" si="16"/>
        <v>0</v>
      </c>
      <c r="H134" s="460">
        <f>G134+'4'!H134</f>
        <v>0</v>
      </c>
      <c r="I134" s="480">
        <f>G131+G132+G133+G134</f>
        <v>24.80000000000291</v>
      </c>
      <c r="J134" s="552">
        <f>H134/DAY(B2)</f>
        <v>0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701">
        <f>'4'!F135</f>
        <v>42012.34</v>
      </c>
      <c r="F135" s="1265">
        <v>42023.5</v>
      </c>
      <c r="G135" s="473">
        <f t="shared" si="16"/>
        <v>11.160000000003492</v>
      </c>
      <c r="H135" s="460">
        <f>G135+'4'!H135</f>
        <v>51.5</v>
      </c>
      <c r="I135" s="480"/>
      <c r="J135" s="552">
        <f>H135/DAY(B2)</f>
        <v>10.3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701">
        <f>'4'!F136</f>
        <v>32874</v>
      </c>
      <c r="F136" s="1265">
        <v>32874</v>
      </c>
      <c r="G136" s="473">
        <f t="shared" si="16"/>
        <v>0</v>
      </c>
      <c r="H136" s="460">
        <f>G136+'4'!H136</f>
        <v>0</v>
      </c>
      <c r="I136" s="480"/>
      <c r="J136" s="552">
        <f>H136/DAY(B2)</f>
        <v>0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'4'!F137</f>
        <v>22917.91</v>
      </c>
      <c r="F137" s="1245">
        <v>22925</v>
      </c>
      <c r="G137" s="473">
        <f t="shared" si="16"/>
        <v>7.0900000000001455</v>
      </c>
      <c r="H137" s="460">
        <f>G137+'4'!H137</f>
        <v>33.509999999998399</v>
      </c>
      <c r="I137" s="480">
        <f>G137+G138+G139</f>
        <v>11.389999999999418</v>
      </c>
      <c r="J137" s="552">
        <f>H137/DAY(B2)</f>
        <v>6.7019999999996802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'4'!F138</f>
        <v>25091.39</v>
      </c>
      <c r="F138" s="1245">
        <v>25095.02</v>
      </c>
      <c r="G138" s="473">
        <f t="shared" si="16"/>
        <v>3.6300000000010186</v>
      </c>
      <c r="H138" s="460">
        <f>G138+'4'!H138</f>
        <v>3.6300000000010186</v>
      </c>
      <c r="I138" s="480"/>
      <c r="J138" s="552">
        <f>H138/DAY(B2)</f>
        <v>0.7260000000002037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541">
        <f>'4'!F139</f>
        <v>70513.62</v>
      </c>
      <c r="F139" s="1245">
        <v>70514.289999999994</v>
      </c>
      <c r="G139" s="473">
        <f t="shared" si="16"/>
        <v>0.66999999999825377</v>
      </c>
      <c r="H139" s="460">
        <f>G139+'4'!H139</f>
        <v>0.66999999999825377</v>
      </c>
      <c r="I139" s="480"/>
      <c r="J139" s="552">
        <f>H139/DAY(B2)</f>
        <v>0.13399999999965076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701">
        <f>'4'!F140</f>
        <v>2172.02</v>
      </c>
      <c r="F140" s="1265">
        <v>2181.84</v>
      </c>
      <c r="G140" s="473">
        <f t="shared" si="16"/>
        <v>9.8200000000001637</v>
      </c>
      <c r="H140" s="460">
        <f>G140+'4'!H140</f>
        <v>52.660000000000309</v>
      </c>
      <c r="I140" s="542">
        <f>G140+G141</f>
        <v>9.8200000000001637</v>
      </c>
      <c r="J140" s="552">
        <f>H140/DAY(B2)</f>
        <v>10.532000000000062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'4'!F141</f>
        <v>4637</v>
      </c>
      <c r="F141" s="1244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1093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1096"/>
      <c r="G143" s="460">
        <f>G35+G43+G49+G57</f>
        <v>5383.3999999999069</v>
      </c>
      <c r="H143" s="460">
        <f>G143+'4'!H143</f>
        <v>27578.529999999912</v>
      </c>
      <c r="I143" s="480" t="s">
        <v>267</v>
      </c>
      <c r="J143" s="552">
        <f>H143/DAY(B2)</f>
        <v>5515.7059999999819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1239"/>
      <c r="G144" s="543">
        <f>G143/G7</f>
        <v>0.25782826359843208</v>
      </c>
      <c r="H144" s="460">
        <f>G144+'4'!H144</f>
        <v>1.2702575375203264</v>
      </c>
      <c r="I144" s="544"/>
      <c r="J144" s="552">
        <f>H144/DAY(B2)</f>
        <v>0.2540515075040653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1247"/>
      <c r="G145" s="460">
        <f>G41+G42+G55+G56</f>
        <v>6521.6600000000326</v>
      </c>
      <c r="H145" s="460">
        <f>G145+'4'!H145</f>
        <v>34409.560000000041</v>
      </c>
      <c r="I145" s="480"/>
      <c r="J145" s="552">
        <f>H145/DAY(B2)</f>
        <v>6881.9120000000084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1247"/>
      <c r="G146" s="543">
        <f>G145/G7</f>
        <v>0.3123431796967322</v>
      </c>
      <c r="H146" s="460">
        <f>G146+'4'!H146</f>
        <v>1.582239187700055</v>
      </c>
      <c r="I146" s="544"/>
      <c r="J146" s="552">
        <f>H146/DAY(B2)</f>
        <v>0.31644783754001099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1247"/>
      <c r="G147" s="460">
        <f>G39+G53</f>
        <v>3669.3600000000442</v>
      </c>
      <c r="H147" s="460">
        <f>G147+'4'!H147</f>
        <v>18732.300000000047</v>
      </c>
      <c r="I147" s="545"/>
      <c r="J147" s="552">
        <f>H147/DAY(B2)</f>
        <v>3746.4600000000091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1247"/>
      <c r="G148" s="543">
        <f>G147/G7</f>
        <v>0.17573739965775728</v>
      </c>
      <c r="H148" s="460">
        <f>G148+'4'!H148</f>
        <v>0.86286647773016767</v>
      </c>
      <c r="I148" s="545"/>
      <c r="J148" s="552">
        <f>H148/DAY(B2)</f>
        <v>0.17257329554603354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1247"/>
      <c r="G149" s="460">
        <f>G38+G52</f>
        <v>1640.5</v>
      </c>
      <c r="H149" s="460">
        <f>G149+'4'!H149</f>
        <v>8327.4599999999627</v>
      </c>
      <c r="I149" s="480"/>
      <c r="J149" s="552">
        <f>H149/DAY(B2)</f>
        <v>1665.4919999999925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1247"/>
      <c r="G150" s="543">
        <f>G149/G7</f>
        <v>7.8568797866262058E-2</v>
      </c>
      <c r="H150" s="460">
        <f>G150+'4'!H150</f>
        <v>0.3832848973186298</v>
      </c>
      <c r="I150" s="545"/>
      <c r="J150" s="552">
        <f>H150/DAY(B2)</f>
        <v>7.665697946372596E-2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1247"/>
      <c r="G151" s="460">
        <f>G36+G50</f>
        <v>1730.260000000002</v>
      </c>
      <c r="H151" s="460">
        <f>G151+'4'!H151</f>
        <v>9605.4800000000032</v>
      </c>
      <c r="I151" s="545"/>
      <c r="J151" s="552">
        <f>H151/DAY(B2)</f>
        <v>1921.0960000000007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1247"/>
      <c r="G152" s="543">
        <f>G151/G7</f>
        <v>8.2867691676975774E-2</v>
      </c>
      <c r="H152" s="460">
        <f>G152+'4'!H152</f>
        <v>0.44113902453731874</v>
      </c>
      <c r="I152" s="480"/>
      <c r="J152" s="552">
        <f>H152/DAY(B2)</f>
        <v>8.822780490746375E-2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1247"/>
      <c r="G153" s="460">
        <f>G37+G51</f>
        <v>1447.6800000000221</v>
      </c>
      <c r="H153" s="460">
        <f>G153+'4'!H153</f>
        <v>7442.6600000000035</v>
      </c>
      <c r="I153" s="480"/>
      <c r="J153" s="552">
        <f>H153/DAY(B2)</f>
        <v>1488.5320000000006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1266"/>
      <c r="G154" s="566">
        <f>G153/G7</f>
        <v>6.9334030658355375E-2</v>
      </c>
      <c r="H154" s="460">
        <f>G154+'4'!H154</f>
        <v>0.34276493148183906</v>
      </c>
      <c r="I154" s="568"/>
      <c r="J154" s="569">
        <f>H154/DAY(B2)</f>
        <v>6.8552986296367815E-2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484">
        <f>'4'!F161</f>
        <v>41166.06</v>
      </c>
      <c r="F161" s="658">
        <v>41245.43</v>
      </c>
      <c r="G161" s="473">
        <f t="shared" ref="G161:G175" si="17">F161-E161</f>
        <v>79.370000000002619</v>
      </c>
    </row>
    <row r="162" spans="1:7">
      <c r="A162" s="784" t="s">
        <v>263</v>
      </c>
      <c r="B162" s="785"/>
      <c r="C162" s="785"/>
      <c r="D162" s="511" t="s">
        <v>186</v>
      </c>
      <c r="E162" s="484">
        <f>'4'!F162</f>
        <v>109612.51</v>
      </c>
      <c r="F162" s="658">
        <v>110057.72</v>
      </c>
      <c r="G162" s="473">
        <f t="shared" si="17"/>
        <v>445.2100000000064</v>
      </c>
    </row>
    <row r="163" spans="1:7">
      <c r="A163" s="784" t="s">
        <v>264</v>
      </c>
      <c r="B163" s="785"/>
      <c r="C163" s="785"/>
      <c r="D163" s="511" t="s">
        <v>186</v>
      </c>
      <c r="E163" s="484">
        <f>'4'!F163</f>
        <v>62055.34</v>
      </c>
      <c r="F163" s="658">
        <v>62260.43</v>
      </c>
      <c r="G163" s="473">
        <f t="shared" si="17"/>
        <v>205.09000000000378</v>
      </c>
    </row>
    <row r="164" spans="1:7">
      <c r="A164" s="784" t="s">
        <v>265</v>
      </c>
      <c r="B164" s="785"/>
      <c r="C164" s="785"/>
      <c r="D164" s="511" t="s">
        <v>186</v>
      </c>
      <c r="E164" s="484">
        <f>'4'!F164</f>
        <v>6886.98</v>
      </c>
      <c r="F164" s="658">
        <v>6894.89</v>
      </c>
      <c r="G164" s="473">
        <f t="shared" si="17"/>
        <v>7.910000000000764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" si="18">E63</f>
        <v>0</v>
      </c>
      <c r="F166" s="514">
        <f t="shared" ref="F166:F172" si="19">F63</f>
        <v>0</v>
      </c>
      <c r="G166" s="473">
        <f t="shared" si="17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514">
        <f t="shared" ref="E167" si="20">E64</f>
        <v>171516.47</v>
      </c>
      <c r="F167" s="514">
        <f t="shared" si="19"/>
        <v>171890.25</v>
      </c>
      <c r="G167" s="473">
        <f t="shared" si="17"/>
        <v>373.77999999999884</v>
      </c>
    </row>
    <row r="168" spans="1:7" ht="27.75">
      <c r="A168" s="1546" t="s">
        <v>99</v>
      </c>
      <c r="B168" s="1546"/>
      <c r="C168" s="1546"/>
      <c r="D168" s="523" t="s">
        <v>186</v>
      </c>
      <c r="E168" s="514">
        <f t="shared" ref="E168" si="21">E65</f>
        <v>172013.01</v>
      </c>
      <c r="F168" s="514">
        <f t="shared" si="19"/>
        <v>172449.67</v>
      </c>
      <c r="G168" s="473">
        <f t="shared" si="17"/>
        <v>436.66000000000349</v>
      </c>
    </row>
    <row r="169" spans="1:7" ht="27.75">
      <c r="A169" s="1546" t="s">
        <v>100</v>
      </c>
      <c r="B169" s="1546"/>
      <c r="C169" s="1546"/>
      <c r="D169" s="523" t="s">
        <v>186</v>
      </c>
      <c r="E169" s="514">
        <f t="shared" ref="E169" si="22">E66</f>
        <v>69662.289999999994</v>
      </c>
      <c r="F169" s="514">
        <f t="shared" si="19"/>
        <v>70072.7</v>
      </c>
      <c r="G169" s="473">
        <f t="shared" si="17"/>
        <v>410.41000000000349</v>
      </c>
    </row>
    <row r="170" spans="1:7" ht="27.75">
      <c r="A170" s="1546" t="s">
        <v>101</v>
      </c>
      <c r="B170" s="1546"/>
      <c r="C170" s="1546"/>
      <c r="D170" s="523" t="s">
        <v>186</v>
      </c>
      <c r="E170" s="514">
        <f t="shared" ref="E170" si="23">E67</f>
        <v>266903.75</v>
      </c>
      <c r="F170" s="514">
        <f t="shared" si="19"/>
        <v>267354.28999999998</v>
      </c>
      <c r="G170" s="473">
        <f t="shared" si="17"/>
        <v>450.53999999997905</v>
      </c>
    </row>
    <row r="171" spans="1:7" ht="27.75">
      <c r="A171" s="1546" t="s">
        <v>102</v>
      </c>
      <c r="B171" s="1546"/>
      <c r="C171" s="1546"/>
      <c r="D171" s="523" t="s">
        <v>186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514">
        <f t="shared" ref="E172" si="25">E69</f>
        <v>88541.19</v>
      </c>
      <c r="F172" s="514">
        <f t="shared" si="19"/>
        <v>88765.51</v>
      </c>
      <c r="G172" s="473">
        <f t="shared" si="17"/>
        <v>224.31999999999243</v>
      </c>
    </row>
    <row r="173" spans="1:7" ht="27.75">
      <c r="A173" s="1587" t="s">
        <v>352</v>
      </c>
      <c r="B173" s="1550"/>
      <c r="C173" s="1515"/>
      <c r="D173" s="523" t="s">
        <v>186</v>
      </c>
      <c r="E173" s="514">
        <f>'4'!F173</f>
        <v>19022.2</v>
      </c>
      <c r="F173" s="514">
        <v>19026.7</v>
      </c>
      <c r="G173" s="473">
        <f t="shared" si="17"/>
        <v>4.5</v>
      </c>
    </row>
    <row r="174" spans="1:7">
      <c r="A174" s="1587" t="s">
        <v>352</v>
      </c>
      <c r="B174" s="1550"/>
      <c r="C174" s="785"/>
      <c r="D174" s="523" t="s">
        <v>186</v>
      </c>
      <c r="E174" s="514">
        <f>'4'!F174</f>
        <v>70360.899999999994</v>
      </c>
      <c r="F174" s="532">
        <v>70367.100000000006</v>
      </c>
      <c r="G174" s="473">
        <f t="shared" si="17"/>
        <v>6.2000000000116415</v>
      </c>
    </row>
    <row r="175" spans="1:7">
      <c r="A175" s="1516" t="s">
        <v>353</v>
      </c>
      <c r="B175" s="1517"/>
      <c r="C175" s="785"/>
      <c r="D175" s="523" t="s">
        <v>186</v>
      </c>
      <c r="E175" s="514">
        <f>'4'!F175</f>
        <v>27648</v>
      </c>
      <c r="F175" s="532">
        <v>27650.400000000001</v>
      </c>
      <c r="G175" s="473">
        <f t="shared" si="17"/>
        <v>2.4000000000014552</v>
      </c>
    </row>
    <row r="177" spans="9:9">
      <c r="I177" s="537" t="s">
        <v>214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5"/>
  <sheetViews>
    <sheetView view="pageBreakPreview" topLeftCell="A70" zoomScale="55" zoomScaleSheetLayoutView="55" workbookViewId="0">
      <selection activeCell="F83" sqref="F83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7" s="281" customFormat="1" ht="27">
      <c r="A2" s="575" t="s">
        <v>354</v>
      </c>
      <c r="B2" s="1031">
        <v>44383</v>
      </c>
      <c r="C2" s="1141" t="s">
        <v>68</v>
      </c>
      <c r="D2" s="611">
        <v>0.60399999999999998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7" s="281" customFormat="1" ht="27">
      <c r="A3" s="570"/>
      <c r="B3" s="614"/>
      <c r="C3" s="1141" t="s">
        <v>119</v>
      </c>
      <c r="D3" s="612">
        <v>34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1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6" t="s">
        <v>130</v>
      </c>
      <c r="B7" s="677"/>
      <c r="C7" s="677"/>
      <c r="D7" s="637" t="s">
        <v>131</v>
      </c>
      <c r="E7" s="633">
        <f>'5'!F7</f>
        <v>30608.44</v>
      </c>
      <c r="F7" s="455">
        <v>50366.35</v>
      </c>
      <c r="G7" s="689">
        <f>F7-E7</f>
        <v>19757.91</v>
      </c>
      <c r="H7" s="679">
        <f>G7+'5'!H7</f>
        <v>128413.35000000003</v>
      </c>
      <c r="I7" s="680">
        <f>'1'!I7</f>
        <v>12000</v>
      </c>
      <c r="J7" s="681">
        <f>H7/DAY(B2)</f>
        <v>21402.225000000006</v>
      </c>
      <c r="K7" s="549"/>
      <c r="L7" s="377"/>
      <c r="N7" s="708"/>
    </row>
    <row r="8" spans="1:17" ht="27.75" thickBot="1">
      <c r="A8" s="682" t="s">
        <v>132</v>
      </c>
      <c r="B8" s="683"/>
      <c r="C8" s="684"/>
      <c r="D8" s="685" t="s">
        <v>25</v>
      </c>
      <c r="E8" s="633">
        <f>'5'!F8</f>
        <v>35981.21</v>
      </c>
      <c r="F8" s="475">
        <v>55818.84</v>
      </c>
      <c r="G8" s="689">
        <f t="shared" ref="G8:G12" si="0">F8-E8</f>
        <v>19837.629999999997</v>
      </c>
      <c r="H8" s="679">
        <f>G8+'5'!H8</f>
        <v>129096.83999999997</v>
      </c>
      <c r="I8" s="686">
        <v>12000</v>
      </c>
      <c r="J8" s="681">
        <f>H8/DAY(B2)</f>
        <v>21516.139999999996</v>
      </c>
      <c r="K8" s="549"/>
      <c r="L8" s="425"/>
      <c r="M8" s="440"/>
      <c r="N8" s="703"/>
      <c r="O8" s="382"/>
    </row>
    <row r="9" spans="1:17">
      <c r="A9" s="687" t="s">
        <v>133</v>
      </c>
      <c r="B9" s="688"/>
      <c r="C9" s="688"/>
      <c r="D9" s="637" t="s">
        <v>131</v>
      </c>
      <c r="E9" s="633">
        <f>'5'!F9</f>
        <v>2138025.7000000002</v>
      </c>
      <c r="F9" s="478">
        <v>2157145.2999999998</v>
      </c>
      <c r="G9" s="689">
        <f t="shared" si="0"/>
        <v>19119.599999999627</v>
      </c>
      <c r="H9" s="679">
        <f>G9+'5'!H9</f>
        <v>126143.29999999981</v>
      </c>
      <c r="I9" s="690">
        <f>I8-J8</f>
        <v>-9516.1399999999958</v>
      </c>
      <c r="J9" s="681">
        <f>H9/DAY(B2)</f>
        <v>21023.883333333302</v>
      </c>
      <c r="K9" s="428"/>
      <c r="L9" s="377"/>
      <c r="N9" s="382"/>
      <c r="O9" s="440"/>
    </row>
    <row r="10" spans="1:17">
      <c r="A10" s="676" t="s">
        <v>134</v>
      </c>
      <c r="B10" s="677"/>
      <c r="C10" s="677"/>
      <c r="D10" s="637" t="s">
        <v>131</v>
      </c>
      <c r="E10" s="633">
        <f>'5'!F10</f>
        <v>2606.5500000000002</v>
      </c>
      <c r="F10" s="478">
        <v>2606.5500000000002</v>
      </c>
      <c r="G10" s="689">
        <f t="shared" si="0"/>
        <v>0</v>
      </c>
      <c r="H10" s="679">
        <f>G10+'5'!H10</f>
        <v>0</v>
      </c>
      <c r="I10" s="691"/>
      <c r="J10" s="681">
        <f>H10/DAY(B2)</f>
        <v>0</v>
      </c>
      <c r="K10" s="428"/>
      <c r="L10" s="377"/>
      <c r="N10" s="382"/>
      <c r="O10" s="440"/>
      <c r="Q10" s="440"/>
    </row>
    <row r="11" spans="1:17">
      <c r="A11" s="676" t="s">
        <v>135</v>
      </c>
      <c r="B11" s="677"/>
      <c r="C11" s="677"/>
      <c r="D11" s="637" t="s">
        <v>131</v>
      </c>
      <c r="E11" s="633">
        <f>'5'!F11</f>
        <v>37000</v>
      </c>
      <c r="F11" s="455">
        <v>37000</v>
      </c>
      <c r="G11" s="689">
        <f t="shared" si="0"/>
        <v>0</v>
      </c>
      <c r="H11" s="679">
        <f>G11+'5'!H11</f>
        <v>0</v>
      </c>
      <c r="I11" s="691"/>
      <c r="J11" s="681">
        <f>H11/DAY(B2)</f>
        <v>0</v>
      </c>
      <c r="K11" s="428"/>
      <c r="L11" s="377"/>
      <c r="N11" s="382"/>
      <c r="O11" s="440"/>
      <c r="Q11" s="440"/>
    </row>
    <row r="12" spans="1:17">
      <c r="A12" s="676" t="s">
        <v>136</v>
      </c>
      <c r="B12" s="677"/>
      <c r="C12" s="677"/>
      <c r="D12" s="637" t="s">
        <v>131</v>
      </c>
      <c r="E12" s="633">
        <f>'5'!F12</f>
        <v>40010</v>
      </c>
      <c r="F12" s="478">
        <v>40010</v>
      </c>
      <c r="G12" s="689">
        <f t="shared" si="0"/>
        <v>0</v>
      </c>
      <c r="H12" s="679">
        <f>G12+'5'!H12</f>
        <v>0</v>
      </c>
      <c r="I12" s="691"/>
      <c r="J12" s="681">
        <f>H12/DAY(B2)</f>
        <v>0</v>
      </c>
      <c r="K12" s="428"/>
      <c r="L12" s="377"/>
      <c r="N12" s="382"/>
      <c r="O12" s="440"/>
      <c r="Q12" s="440"/>
    </row>
    <row r="13" spans="1:17">
      <c r="A13" s="692" t="s">
        <v>137</v>
      </c>
      <c r="B13" s="693"/>
      <c r="C13" s="693"/>
      <c r="D13" s="637"/>
      <c r="E13" s="633"/>
      <c r="F13" s="455"/>
      <c r="G13" s="694">
        <f>G9+G10+G11+G12</f>
        <v>19119.599999999627</v>
      </c>
      <c r="H13" s="679">
        <f>G13+'5'!H13</f>
        <v>126143.29999999981</v>
      </c>
      <c r="I13" s="695">
        <f>G7-G13</f>
        <v>638.31000000037238</v>
      </c>
      <c r="J13" s="681">
        <f>H13/DAY(B2)</f>
        <v>21023.883333333302</v>
      </c>
      <c r="K13" s="428"/>
      <c r="L13" s="377"/>
      <c r="N13" s="382"/>
      <c r="O13" s="440"/>
      <c r="Q13" s="440"/>
    </row>
    <row r="14" spans="1:17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2" t="s">
        <v>139</v>
      </c>
      <c r="B15" s="787"/>
      <c r="C15" s="787"/>
      <c r="D15" s="524" t="s">
        <v>140</v>
      </c>
      <c r="E15" s="485">
        <f>'5'!F15</f>
        <v>1707764.46</v>
      </c>
      <c r="F15" s="485">
        <v>1708195.42</v>
      </c>
      <c r="G15" s="473">
        <f>(F15-E15)</f>
        <v>430.95999999996275</v>
      </c>
      <c r="H15" s="486">
        <f>G15+'5'!H15</f>
        <v>4512.4199999999255</v>
      </c>
      <c r="I15" s="474">
        <v>800</v>
      </c>
      <c r="J15" s="553">
        <f>H15/DAY(B2)</f>
        <v>752.06999999998754</v>
      </c>
      <c r="K15" s="428"/>
      <c r="L15" s="377"/>
      <c r="N15" s="382"/>
    </row>
    <row r="16" spans="1:17">
      <c r="A16" s="790"/>
      <c r="B16" s="791"/>
      <c r="C16" s="791"/>
      <c r="D16" s="788"/>
      <c r="E16" s="789"/>
      <c r="F16" s="485"/>
      <c r="G16" s="1034"/>
      <c r="H16" s="1051"/>
      <c r="I16" s="487">
        <f>I15-J15</f>
        <v>47.930000000012456</v>
      </c>
      <c r="J16" s="1052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8" t="s">
        <v>143</v>
      </c>
      <c r="E18" s="636">
        <f>'5'!F18</f>
        <v>18</v>
      </c>
      <c r="F18" s="485">
        <v>9</v>
      </c>
      <c r="G18" s="689">
        <f>F18*10</f>
        <v>90</v>
      </c>
      <c r="H18" s="679">
        <f>G18+'5'!H18</f>
        <v>820</v>
      </c>
      <c r="I18" s="680">
        <f>'1'!I18</f>
        <v>65</v>
      </c>
      <c r="J18" s="681">
        <f>H18/DAY(B2)</f>
        <v>136.66666666666666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'5'!F19</f>
        <v>141803</v>
      </c>
      <c r="F19" s="478">
        <v>141862</v>
      </c>
      <c r="G19" s="689">
        <f t="shared" ref="G19" si="1">F19-E19</f>
        <v>59</v>
      </c>
      <c r="H19" s="679">
        <f>G19+'5'!H19</f>
        <v>367</v>
      </c>
      <c r="I19" s="696"/>
      <c r="J19" s="681">
        <f>H19/DAY(B2)</f>
        <v>61.166666666666664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149</v>
      </c>
      <c r="H20" s="679">
        <f>G20+'5'!H20</f>
        <v>1187</v>
      </c>
      <c r="I20" s="698">
        <f>I18-J20</f>
        <v>-132.83333333333334</v>
      </c>
      <c r="J20" s="681">
        <f>H20/DAY(B2)</f>
        <v>197.83333333333334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634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634">
        <f>'5'!F23</f>
        <v>2000</v>
      </c>
      <c r="F23" s="478">
        <v>2000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4">
        <f>'5'!F24</f>
        <v>4970</v>
      </c>
      <c r="F24" s="485">
        <v>4970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19837.629999999997</v>
      </c>
      <c r="F27" s="501">
        <v>9</v>
      </c>
      <c r="G27" s="502">
        <f>E27*F27</f>
        <v>178538.66999999998</v>
      </c>
      <c r="H27" s="460">
        <f>G27+'5'!H27</f>
        <v>1161871.5599999998</v>
      </c>
      <c r="I27" s="503"/>
      <c r="J27" s="552">
        <f>H27/DAY(B2)</f>
        <v>193645.25999999998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430.95999999996275</v>
      </c>
      <c r="F28" s="501">
        <v>52</v>
      </c>
      <c r="G28" s="502">
        <f t="shared" ref="G28:G31" si="3">E28*F28</f>
        <v>22409.919999998063</v>
      </c>
      <c r="H28" s="460">
        <f>G28+'5'!H28</f>
        <v>234645.83999999613</v>
      </c>
      <c r="I28" s="505"/>
      <c r="J28" s="552">
        <f>H28/DAY(B2)</f>
        <v>39107.639999999352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59</v>
      </c>
      <c r="F30" s="501">
        <v>146</v>
      </c>
      <c r="G30" s="502">
        <f t="shared" si="3"/>
        <v>8614</v>
      </c>
      <c r="H30" s="460">
        <f>G30+'5'!H30</f>
        <v>52998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90</v>
      </c>
      <c r="F31" s="501">
        <v>80</v>
      </c>
      <c r="G31" s="502">
        <f t="shared" si="3"/>
        <v>7200</v>
      </c>
      <c r="H31" s="460">
        <f>G31+'5'!H31</f>
        <v>60000</v>
      </c>
      <c r="I31" s="505"/>
      <c r="J31" s="552">
        <f>H31/DAY(B2)</f>
        <v>10000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216762.58999999805</v>
      </c>
      <c r="H32" s="460">
        <f>G32+'5'!H32</f>
        <v>1509515.3999999957</v>
      </c>
      <c r="I32" s="509"/>
      <c r="J32" s="552">
        <f>H32/DAY(B2)</f>
        <v>251585.8999999993</v>
      </c>
      <c r="K32" s="373"/>
      <c r="L32" s="443"/>
      <c r="N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5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163</v>
      </c>
      <c r="B35" s="579"/>
      <c r="C35" s="579"/>
      <c r="D35" s="523" t="s">
        <v>131</v>
      </c>
      <c r="E35" s="510">
        <f>'5'!F35</f>
        <v>1043384.5</v>
      </c>
      <c r="F35" s="510">
        <v>1046170.7</v>
      </c>
      <c r="G35" s="473">
        <f t="shared" ref="G35:G46" si="4">F35-E35</f>
        <v>2786.1999999999534</v>
      </c>
      <c r="H35" s="460">
        <f>G35+'5'!H35</f>
        <v>17456.699999999953</v>
      </c>
      <c r="I35" s="455"/>
      <c r="J35" s="552">
        <f>H35/DAY(B2)</f>
        <v>2909.4499999999921</v>
      </c>
      <c r="K35" s="428"/>
      <c r="L35" s="377"/>
      <c r="N35" s="382"/>
    </row>
    <row r="36" spans="1:15">
      <c r="A36" s="578" t="s">
        <v>164</v>
      </c>
      <c r="B36" s="579"/>
      <c r="C36" s="579"/>
      <c r="D36" s="523" t="s">
        <v>131</v>
      </c>
      <c r="E36" s="510">
        <f>'5'!F36</f>
        <v>24415.35</v>
      </c>
      <c r="F36" s="510">
        <v>25143.14</v>
      </c>
      <c r="G36" s="473">
        <f t="shared" si="4"/>
        <v>727.79000000000087</v>
      </c>
      <c r="H36" s="460">
        <f>G36+'5'!H36</f>
        <v>4682.1399999999994</v>
      </c>
      <c r="I36" s="455"/>
      <c r="J36" s="552">
        <f>H36/DAY(B2)</f>
        <v>780.35666666666657</v>
      </c>
      <c r="K36" s="428"/>
      <c r="L36" s="377"/>
      <c r="N36" s="628"/>
      <c r="O36" s="501"/>
    </row>
    <row r="37" spans="1:15">
      <c r="A37" s="578" t="s">
        <v>165</v>
      </c>
      <c r="B37" s="579"/>
      <c r="C37" s="579"/>
      <c r="D37" s="523" t="s">
        <v>131</v>
      </c>
      <c r="E37" s="510">
        <f>'5'!F37</f>
        <v>184012.79</v>
      </c>
      <c r="F37" s="510">
        <v>185538.05</v>
      </c>
      <c r="G37" s="473">
        <f t="shared" si="4"/>
        <v>1525.2599999999802</v>
      </c>
      <c r="H37" s="460">
        <f>G37+'5'!H37</f>
        <v>8968.0499999999884</v>
      </c>
      <c r="I37" s="455"/>
      <c r="J37" s="552">
        <f>H37/DAY(B2)</f>
        <v>1494.6749999999981</v>
      </c>
      <c r="K37" s="428"/>
      <c r="L37" s="377"/>
      <c r="N37" s="629"/>
      <c r="O37" s="501"/>
    </row>
    <row r="38" spans="1:15">
      <c r="A38" s="578" t="s">
        <v>166</v>
      </c>
      <c r="B38" s="579"/>
      <c r="C38" s="579"/>
      <c r="D38" s="523" t="s">
        <v>131</v>
      </c>
      <c r="E38" s="469">
        <f>'5'!F38</f>
        <v>206786.39</v>
      </c>
      <c r="F38" s="469">
        <v>208168.89</v>
      </c>
      <c r="G38" s="473">
        <f t="shared" si="4"/>
        <v>1382.5</v>
      </c>
      <c r="H38" s="460">
        <f>G38+'5'!H38</f>
        <v>9709.890000000014</v>
      </c>
      <c r="I38" s="455"/>
      <c r="J38" s="552">
        <f>H38/DAY(B2)</f>
        <v>1618.3150000000023</v>
      </c>
      <c r="K38" s="428"/>
      <c r="L38" s="377"/>
      <c r="N38" s="382"/>
      <c r="O38" s="501"/>
    </row>
    <row r="39" spans="1:15">
      <c r="A39" s="578" t="s">
        <v>167</v>
      </c>
      <c r="B39" s="579"/>
      <c r="C39" s="579"/>
      <c r="D39" s="523" t="s">
        <v>131</v>
      </c>
      <c r="E39" s="510">
        <f>'5'!F39</f>
        <v>423596.71</v>
      </c>
      <c r="F39" s="510">
        <v>427225.47</v>
      </c>
      <c r="G39" s="473">
        <f t="shared" si="4"/>
        <v>3628.7599999999511</v>
      </c>
      <c r="H39" s="460">
        <f>G39+'5'!H39</f>
        <v>22361.469999999972</v>
      </c>
      <c r="I39" s="455"/>
      <c r="J39" s="552">
        <f>H39/DAY(B2)</f>
        <v>3726.9116666666619</v>
      </c>
      <c r="K39" s="428"/>
      <c r="L39" s="377"/>
      <c r="N39" s="382"/>
      <c r="O39" s="501"/>
    </row>
    <row r="40" spans="1:15">
      <c r="A40" s="599" t="s">
        <v>168</v>
      </c>
      <c r="B40" s="600"/>
      <c r="C40" s="600"/>
      <c r="D40" s="523" t="s">
        <v>131</v>
      </c>
      <c r="E40" s="510">
        <f>'5'!F40</f>
        <v>9044.99</v>
      </c>
      <c r="F40" s="510">
        <v>9346.7900000000009</v>
      </c>
      <c r="G40" s="473">
        <f t="shared" si="4"/>
        <v>301.80000000000109</v>
      </c>
      <c r="H40" s="460">
        <f>G40+'5'!H40</f>
        <v>2233.7900000000009</v>
      </c>
      <c r="I40" s="455"/>
      <c r="J40" s="552">
        <f>H40/DAY(B2)</f>
        <v>372.29833333333346</v>
      </c>
      <c r="K40" s="429"/>
      <c r="L40" s="377"/>
      <c r="N40" s="382"/>
      <c r="O40" s="501"/>
    </row>
    <row r="41" spans="1:15">
      <c r="A41" s="578" t="s">
        <v>169</v>
      </c>
      <c r="B41" s="579"/>
      <c r="C41" s="579"/>
      <c r="D41" s="523" t="s">
        <v>131</v>
      </c>
      <c r="E41" s="510">
        <f>'5'!F41</f>
        <v>352205.87</v>
      </c>
      <c r="F41" s="510">
        <v>354267.07</v>
      </c>
      <c r="G41" s="473">
        <f>F41-E41</f>
        <v>2061.2000000000116</v>
      </c>
      <c r="H41" s="460">
        <f>G41+'5'!H41</f>
        <v>24625.070000000007</v>
      </c>
      <c r="I41" s="455"/>
      <c r="J41" s="552">
        <f>H41/DAY(B2)</f>
        <v>4104.1783333333342</v>
      </c>
      <c r="K41" s="428"/>
      <c r="L41" s="377"/>
      <c r="N41" s="382"/>
    </row>
    <row r="42" spans="1:15">
      <c r="A42" s="578" t="s">
        <v>170</v>
      </c>
      <c r="B42" s="579"/>
      <c r="C42" s="579"/>
      <c r="D42" s="523" t="s">
        <v>131</v>
      </c>
      <c r="E42" s="510">
        <f>'5'!F42</f>
        <v>59210.080000000002</v>
      </c>
      <c r="F42" s="510">
        <v>59210.080000000002</v>
      </c>
      <c r="G42" s="473">
        <f t="shared" si="4"/>
        <v>0</v>
      </c>
      <c r="H42" s="460">
        <f>G42+'5'!H42</f>
        <v>11.190000000002328</v>
      </c>
      <c r="I42" s="455"/>
      <c r="J42" s="552">
        <f>H42/DAY(B2)</f>
        <v>1.8650000000003881</v>
      </c>
      <c r="K42" s="428"/>
      <c r="L42" s="377"/>
      <c r="N42" s="382"/>
    </row>
    <row r="43" spans="1:15">
      <c r="A43" s="578" t="s">
        <v>171</v>
      </c>
      <c r="B43" s="579"/>
      <c r="C43" s="579"/>
      <c r="D43" s="523" t="s">
        <v>131</v>
      </c>
      <c r="E43" s="510">
        <f>'5'!F43</f>
        <v>1133359.8999999999</v>
      </c>
      <c r="F43" s="510">
        <v>1135944.8</v>
      </c>
      <c r="G43" s="473">
        <f t="shared" si="4"/>
        <v>2584.9000000001397</v>
      </c>
      <c r="H43" s="460">
        <f>G43+'5'!H43</f>
        <v>15492.800000000047</v>
      </c>
      <c r="I43" s="455"/>
      <c r="J43" s="552">
        <f>H43/DAY(B2)</f>
        <v>2582.1333333333409</v>
      </c>
      <c r="K43" s="428"/>
      <c r="L43" s="377"/>
      <c r="N43" s="382"/>
    </row>
    <row r="44" spans="1:15">
      <c r="A44" s="578" t="s">
        <v>172</v>
      </c>
      <c r="B44" s="579"/>
      <c r="C44" s="579"/>
      <c r="D44" s="523" t="s">
        <v>131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173</v>
      </c>
      <c r="B45" s="579"/>
      <c r="C45" s="579"/>
      <c r="D45" s="523" t="s">
        <v>131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614</v>
      </c>
      <c r="I45" s="455"/>
      <c r="J45" s="552">
        <f>H45/DAY(B2)</f>
        <v>102.33333333333333</v>
      </c>
      <c r="K45" s="428"/>
      <c r="L45" s="377"/>
      <c r="N45" s="382"/>
    </row>
    <row r="46" spans="1:15">
      <c r="A46" s="578" t="s">
        <v>174</v>
      </c>
      <c r="B46" s="579"/>
      <c r="C46" s="579"/>
      <c r="D46" s="523" t="s">
        <v>131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187</v>
      </c>
      <c r="I46" s="455"/>
      <c r="J46" s="552">
        <f>H46/DAY(B2)</f>
        <v>31.166666666666668</v>
      </c>
      <c r="K46" s="428"/>
      <c r="L46" s="377"/>
      <c r="N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14998.410000000038</v>
      </c>
      <c r="H47" s="460">
        <f>G47+'5'!H47</f>
        <v>106342.09999999998</v>
      </c>
      <c r="I47" s="455"/>
      <c r="J47" s="552">
        <f>H47/DAY(B2)</f>
        <v>17723.683333333331</v>
      </c>
      <c r="K47" s="428"/>
      <c r="L47" s="377"/>
      <c r="N47" s="382"/>
    </row>
    <row r="48" spans="1:1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'5'!F49</f>
        <v>260732.13</v>
      </c>
      <c r="F49" s="1032">
        <v>260732.13</v>
      </c>
      <c r="G49" s="473">
        <f t="shared" ref="G49:G58" si="5">F49-E49</f>
        <v>0</v>
      </c>
      <c r="H49" s="460">
        <f>G49+'5'!H49</f>
        <v>0.13000000000465661</v>
      </c>
      <c r="I49" s="455"/>
      <c r="J49" s="552">
        <f>H49/DAY(B2)</f>
        <v>2.1666666667442769E-2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'5'!F50</f>
        <v>540314.13</v>
      </c>
      <c r="F50" s="510">
        <v>541273.15</v>
      </c>
      <c r="G50" s="473">
        <f t="shared" si="5"/>
        <v>959.02000000001863</v>
      </c>
      <c r="H50" s="460">
        <f>G50+'5'!H50</f>
        <v>6610.1500000000233</v>
      </c>
      <c r="I50" s="455"/>
      <c r="J50" s="552">
        <f>H50/DAY(B2)</f>
        <v>1101.6916666666705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'5'!F51</f>
        <v>144639.87</v>
      </c>
      <c r="F51" s="510">
        <v>144639.87</v>
      </c>
      <c r="G51" s="473">
        <f t="shared" si="5"/>
        <v>0</v>
      </c>
      <c r="H51" s="460">
        <f>G51+'5'!H51</f>
        <v>-0.13000000000465661</v>
      </c>
      <c r="I51" s="455"/>
      <c r="J51" s="552">
        <f>H51/DAY(B2)</f>
        <v>-2.1666666667442769E-2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'5'!F52</f>
        <v>539606.06999999995</v>
      </c>
      <c r="F52" s="510">
        <v>539606.06999999995</v>
      </c>
      <c r="G52" s="473">
        <f t="shared" si="5"/>
        <v>0</v>
      </c>
      <c r="H52" s="460">
        <f>G52+'5'!H52</f>
        <v>6.9999999948777258E-2</v>
      </c>
      <c r="I52" s="455"/>
      <c r="J52" s="552">
        <f>H52/DAY(B2)</f>
        <v>1.1666666658129543E-2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'5'!F53</f>
        <v>434231.59</v>
      </c>
      <c r="F53" s="510">
        <v>434231.59</v>
      </c>
      <c r="G53" s="473">
        <f t="shared" si="5"/>
        <v>0</v>
      </c>
      <c r="H53" s="460">
        <f>G53+'5'!H53</f>
        <v>-0.40999999997438863</v>
      </c>
      <c r="I53" s="455"/>
      <c r="J53" s="552">
        <f>H53/DAY(B2)</f>
        <v>-6.8333333329064772E-2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'5'!F54</f>
        <v>14967</v>
      </c>
      <c r="F54" s="510">
        <v>14967</v>
      </c>
      <c r="G54" s="473">
        <f t="shared" si="5"/>
        <v>0</v>
      </c>
      <c r="H54" s="460">
        <f>G54+'5'!H54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'5'!F55</f>
        <v>129416.95</v>
      </c>
      <c r="F55" s="653">
        <v>133145.38</v>
      </c>
      <c r="G55" s="652">
        <f t="shared" si="5"/>
        <v>3728.4300000000076</v>
      </c>
      <c r="H55" s="705">
        <f>G55+'5'!H55</f>
        <v>15509.380000000005</v>
      </c>
      <c r="I55" s="706"/>
      <c r="J55" s="707">
        <f>H55/DAY(B2)</f>
        <v>2584.8966666666674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'5'!F56</f>
        <v>649085.55000000005</v>
      </c>
      <c r="F56" s="1055">
        <v>649085.55000000005</v>
      </c>
      <c r="G56" s="473">
        <f t="shared" si="5"/>
        <v>0</v>
      </c>
      <c r="H56" s="460">
        <f>G56+'5'!H56</f>
        <v>53.550000000046566</v>
      </c>
      <c r="I56" s="455"/>
      <c r="J56" s="552">
        <f>H56/DAY(B2)</f>
        <v>8.9250000000077616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'5'!F57</f>
        <v>7711</v>
      </c>
      <c r="F57" s="1032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'5'!F58</f>
        <v>54817.66</v>
      </c>
      <c r="F58" s="653">
        <v>54839.19</v>
      </c>
      <c r="G58" s="473">
        <f t="shared" si="5"/>
        <v>21.529999999998836</v>
      </c>
      <c r="H58" s="460">
        <f>G58+'5'!H58</f>
        <v>853.19000000000233</v>
      </c>
      <c r="I58" s="455"/>
      <c r="J58" s="552">
        <f>H58/DAY(B2)</f>
        <v>142.19833333333372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4708.980000000025</v>
      </c>
      <c r="H59" s="460">
        <f>G59+'5'!H59</f>
        <v>23025.930000000051</v>
      </c>
      <c r="I59" s="455">
        <f>G7-G60</f>
        <v>50.519999999934953</v>
      </c>
      <c r="J59" s="552">
        <f>H59/DAY(B2)</f>
        <v>3837.6550000000084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19707.390000000065</v>
      </c>
      <c r="H60" s="460">
        <f>G60+'5'!H60</f>
        <v>129368.03000000006</v>
      </c>
      <c r="I60" s="455">
        <f>G13-G60</f>
        <v>-587.79000000043743</v>
      </c>
      <c r="J60" s="552">
        <f>H60/DAY(B2)</f>
        <v>21561.338333333344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'5'!F63</f>
        <v>0</v>
      </c>
      <c r="F63" s="514">
        <v>0</v>
      </c>
      <c r="G63" s="473">
        <f t="shared" si="6"/>
        <v>0</v>
      </c>
      <c r="H63" s="460">
        <f>G63+'5'!H63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484">
        <f>'5'!F64</f>
        <v>171890.25</v>
      </c>
      <c r="F64" s="478">
        <v>172289.81</v>
      </c>
      <c r="G64" s="473">
        <f t="shared" si="6"/>
        <v>399.55999999999767</v>
      </c>
      <c r="H64" s="460">
        <f>G64+'5'!H64</f>
        <v>2267.8099999999977</v>
      </c>
      <c r="I64" s="480"/>
      <c r="J64" s="552">
        <f>H64/DAY(B2)</f>
        <v>377.96833333333296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484">
        <f>'5'!F65</f>
        <v>172449.67</v>
      </c>
      <c r="F65" s="651">
        <v>172711.63</v>
      </c>
      <c r="G65" s="473">
        <f t="shared" si="6"/>
        <v>261.95999999999185</v>
      </c>
      <c r="H65" s="460">
        <f>G65+'5'!H65</f>
        <v>2409.6300000000047</v>
      </c>
      <c r="I65" s="489"/>
      <c r="J65" s="552">
        <f>H65/DAY(B2)</f>
        <v>401.60500000000076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484">
        <f>'5'!F66</f>
        <v>70072.7</v>
      </c>
      <c r="F66" s="478">
        <v>70486.509999999995</v>
      </c>
      <c r="G66" s="473">
        <f t="shared" si="6"/>
        <v>413.80999999999767</v>
      </c>
      <c r="H66" s="460">
        <f>G66+'5'!H66</f>
        <v>2516.5099999999948</v>
      </c>
      <c r="I66" s="480"/>
      <c r="J66" s="552">
        <f>H66/DAY(B2)</f>
        <v>419.41833333333244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484">
        <f>'5'!F67</f>
        <v>267354.28999999998</v>
      </c>
      <c r="F67" s="478">
        <v>267883.99</v>
      </c>
      <c r="G67" s="473">
        <f t="shared" si="6"/>
        <v>529.70000000001164</v>
      </c>
      <c r="H67" s="460">
        <f>G67+'5'!H67</f>
        <v>2924.9899999999907</v>
      </c>
      <c r="I67" s="489"/>
      <c r="J67" s="552">
        <f>H67/DAY(B2)</f>
        <v>487.4983333333318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484">
        <f>'5'!F69</f>
        <v>88765.51</v>
      </c>
      <c r="F69" s="478">
        <v>88975.85</v>
      </c>
      <c r="G69" s="473">
        <f t="shared" si="6"/>
        <v>210.34000000001106</v>
      </c>
      <c r="H69" s="460">
        <f>G69+'5'!H69</f>
        <v>1460.8500000000058</v>
      </c>
      <c r="I69" s="516"/>
      <c r="J69" s="552">
        <f>H69/DAY(B2)</f>
        <v>243.47500000000096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'5'!F72</f>
        <v>856281</v>
      </c>
      <c r="F72" s="654">
        <v>856292</v>
      </c>
      <c r="G72" s="473">
        <f t="shared" ref="G72:G84" si="7">F72-E72</f>
        <v>11</v>
      </c>
      <c r="H72" s="460">
        <f>G72+'5'!H72</f>
        <v>70</v>
      </c>
      <c r="I72" s="480"/>
      <c r="J72" s="552">
        <f>H72/DAY(B2)</f>
        <v>11.666666666666666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520">
        <f>'5'!F73</f>
        <v>885979</v>
      </c>
      <c r="F73" s="655">
        <v>885980</v>
      </c>
      <c r="G73" s="652">
        <f t="shared" si="7"/>
        <v>1</v>
      </c>
      <c r="H73" s="460">
        <f>G73+'5'!H73</f>
        <v>8</v>
      </c>
      <c r="I73" s="480"/>
      <c r="J73" s="552">
        <f>H73/DAY(B2)</f>
        <v>1.3333333333333333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521">
        <f>'5'!F74</f>
        <v>88702.1</v>
      </c>
      <c r="F74" s="654">
        <v>88703.2</v>
      </c>
      <c r="G74" s="473">
        <f t="shared" si="7"/>
        <v>1.0999999999912689</v>
      </c>
      <c r="H74" s="460">
        <f>G74+'5'!H74</f>
        <v>7.1999999999970896</v>
      </c>
      <c r="I74" s="480"/>
      <c r="J74" s="552">
        <f>H74/DAY(B2)</f>
        <v>1.199999999999515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520">
        <f>'5'!F75</f>
        <v>16822.03</v>
      </c>
      <c r="F75" s="655">
        <v>16963.82</v>
      </c>
      <c r="G75" s="473">
        <f t="shared" si="7"/>
        <v>141.79000000000087</v>
      </c>
      <c r="H75" s="460">
        <f>G75+'5'!H75</f>
        <v>892.81999999999971</v>
      </c>
      <c r="I75" s="480"/>
      <c r="J75" s="552">
        <f>H75/DAY(B2)</f>
        <v>148.80333333333328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520">
        <f>'5'!F76</f>
        <v>9664.18</v>
      </c>
      <c r="F76" s="655">
        <v>9737.2999999999993</v>
      </c>
      <c r="G76" s="473">
        <f t="shared" si="7"/>
        <v>73.119999999998981</v>
      </c>
      <c r="H76" s="460">
        <f>G76+'5'!H76</f>
        <v>401.29999999999927</v>
      </c>
      <c r="I76" s="505"/>
      <c r="J76" s="552">
        <f>H76/DAY(B2)</f>
        <v>66.883333333333212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520">
        <f>'5'!F77</f>
        <v>704658</v>
      </c>
      <c r="F77" s="655">
        <v>704736</v>
      </c>
      <c r="G77" s="652">
        <f t="shared" si="7"/>
        <v>78</v>
      </c>
      <c r="H77" s="460">
        <f>G77+'5'!H77</f>
        <v>362</v>
      </c>
      <c r="I77" s="505"/>
      <c r="J77" s="552">
        <f>H77/DAY(B2)</f>
        <v>60.333333333333336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21">
        <f>'5'!F78</f>
        <v>675957</v>
      </c>
      <c r="F78" s="656">
        <v>676110</v>
      </c>
      <c r="G78" s="473">
        <f t="shared" si="7"/>
        <v>153</v>
      </c>
      <c r="H78" s="460">
        <f>G78+'5'!H78</f>
        <v>696</v>
      </c>
      <c r="I78" s="505"/>
      <c r="J78" s="552">
        <f>H78/DAY(B2)</f>
        <v>116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521">
        <f>'5'!F79</f>
        <v>836170</v>
      </c>
      <c r="F79" s="656">
        <v>836319</v>
      </c>
      <c r="G79" s="473">
        <f t="shared" si="7"/>
        <v>149</v>
      </c>
      <c r="H79" s="460">
        <f>G79+'5'!H79</f>
        <v>903</v>
      </c>
      <c r="I79" s="505"/>
      <c r="J79" s="552">
        <f>H79/DAY(B2)</f>
        <v>150.5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520">
        <f>'5'!F80</f>
        <v>541082.92000000004</v>
      </c>
      <c r="F80" s="655">
        <v>541439.43999999994</v>
      </c>
      <c r="G80" s="473">
        <f t="shared" si="7"/>
        <v>356.51999999990221</v>
      </c>
      <c r="H80" s="460">
        <f>G80+'5'!H80</f>
        <v>2426.4399999999441</v>
      </c>
      <c r="I80" s="505"/>
      <c r="J80" s="552">
        <f>H80/DAY(B2)</f>
        <v>404.40666666665737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'5'!F81</f>
        <v>643896.80000000005</v>
      </c>
      <c r="F81" s="655">
        <v>644075.16</v>
      </c>
      <c r="G81" s="473">
        <f t="shared" si="7"/>
        <v>178.35999999998603</v>
      </c>
      <c r="H81" s="460">
        <f>G81+'5'!H81</f>
        <v>1090.1600000000326</v>
      </c>
      <c r="I81" s="505"/>
      <c r="J81" s="552">
        <f>H81/DAY(B2)</f>
        <v>181.69333333333876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'5'!F82</f>
        <v>108788.39</v>
      </c>
      <c r="F82" s="651">
        <v>108801.57</v>
      </c>
      <c r="G82" s="473">
        <f t="shared" si="7"/>
        <v>13.180000000007567</v>
      </c>
      <c r="H82" s="460">
        <f>G82+'5'!H82</f>
        <v>120.57000000000698</v>
      </c>
      <c r="I82" s="486"/>
      <c r="J82" s="552">
        <f>H82/DAY(B2)</f>
        <v>20.095000000001164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f>'5'!F83</f>
        <v>28875</v>
      </c>
      <c r="F83" s="511">
        <v>29038</v>
      </c>
      <c r="G83" s="473">
        <f t="shared" si="7"/>
        <v>163</v>
      </c>
      <c r="H83" s="460">
        <f>G83+'5'!H83</f>
        <v>1487</v>
      </c>
      <c r="I83" s="481"/>
      <c r="J83" s="552">
        <f>H83/DAY(B2)</f>
        <v>247.83333333333334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627">
        <f>'5'!F84</f>
        <v>527228</v>
      </c>
      <c r="F84" s="627">
        <v>528037</v>
      </c>
      <c r="G84" s="473">
        <f t="shared" si="7"/>
        <v>809</v>
      </c>
      <c r="H84" s="460">
        <f>G84+'5'!H84</f>
        <v>4957</v>
      </c>
      <c r="I84" s="481"/>
      <c r="J84" s="552">
        <f>H84/DAY(B2)</f>
        <v>826.16666666666663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2128.0699999998869</v>
      </c>
      <c r="H85" s="460">
        <f>G85+'5'!H85</f>
        <v>13421.48999999998</v>
      </c>
      <c r="I85" s="481"/>
      <c r="J85" s="552">
        <f>H85/DAY(B2)</f>
        <v>2236.9149999999968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'5'!F86</f>
        <v>461944</v>
      </c>
      <c r="F86" s="647">
        <v>461963.72</v>
      </c>
      <c r="G86" s="705">
        <f t="shared" ref="G86:G91" si="8">F86-E86</f>
        <v>19.71999999997206</v>
      </c>
      <c r="H86" s="460">
        <f>G86+'5'!H86</f>
        <v>142.71999999997206</v>
      </c>
      <c r="I86" s="652"/>
      <c r="J86" s="707">
        <f>H86/DAY(B2)</f>
        <v>23.786666666662011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'5'!F87</f>
        <v>82226.5</v>
      </c>
      <c r="F87" s="647">
        <v>82256.399999999994</v>
      </c>
      <c r="G87" s="705">
        <f t="shared" si="8"/>
        <v>29.899999999994179</v>
      </c>
      <c r="H87" s="460">
        <f>G87+'5'!H87</f>
        <v>183.39999999999418</v>
      </c>
      <c r="I87" s="652"/>
      <c r="J87" s="707">
        <f>H87/DAY(B2)</f>
        <v>30.566666666665697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'5'!F88</f>
        <v>155903.35999999999</v>
      </c>
      <c r="F88" s="647">
        <v>156019.26</v>
      </c>
      <c r="G88" s="705">
        <f t="shared" si="8"/>
        <v>115.90000000002328</v>
      </c>
      <c r="H88" s="460">
        <f>G88+'5'!H88</f>
        <v>696.26000000000931</v>
      </c>
      <c r="I88" s="652"/>
      <c r="J88" s="707">
        <f>H88/DAY(B2)</f>
        <v>116.04333333333489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'5'!F89</f>
        <v>65976.600000000006</v>
      </c>
      <c r="F89" s="647">
        <v>66022.7</v>
      </c>
      <c r="G89" s="705">
        <f t="shared" si="8"/>
        <v>46.099999999991269</v>
      </c>
      <c r="H89" s="460">
        <f>G89+'5'!H89</f>
        <v>176.69999999999709</v>
      </c>
      <c r="I89" s="652"/>
      <c r="J89" s="707">
        <f>H89/DAY(B2)</f>
        <v>29.449999999999516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'5'!F90</f>
        <v>3360.1</v>
      </c>
      <c r="F90" s="647">
        <v>3363.3</v>
      </c>
      <c r="G90" s="705">
        <f t="shared" si="8"/>
        <v>3.2000000000002728</v>
      </c>
      <c r="H90" s="460">
        <f>G90+'5'!H90</f>
        <v>19.300000000000182</v>
      </c>
      <c r="I90" s="652"/>
      <c r="J90" s="707">
        <f>H90/DAY(B2)</f>
        <v>3.216666666666697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27">
        <f>'5'!F91</f>
        <v>28287.29</v>
      </c>
      <c r="F91" s="647">
        <v>28295.81</v>
      </c>
      <c r="G91" s="705">
        <f t="shared" si="8"/>
        <v>8.5200000000004366</v>
      </c>
      <c r="H91" s="460">
        <f>G91+'5'!H91</f>
        <v>8.5200000000004366</v>
      </c>
      <c r="I91" s="652"/>
      <c r="J91" s="707">
        <f>H91/DAY(B2)</f>
        <v>1.4200000000000728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'5'!F93</f>
        <v>247953</v>
      </c>
      <c r="F93" s="478">
        <v>247997</v>
      </c>
      <c r="G93" s="473">
        <f t="shared" ref="G93:G94" si="9">F93-E93</f>
        <v>44</v>
      </c>
      <c r="H93" s="460">
        <f>G93+'5'!H93</f>
        <v>645</v>
      </c>
      <c r="I93" s="480"/>
      <c r="J93" s="552">
        <f>H93/DAY(B2)</f>
        <v>107.5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'5'!F94</f>
        <v>190036</v>
      </c>
      <c r="F94" s="478">
        <v>190127</v>
      </c>
      <c r="G94" s="473">
        <f t="shared" si="9"/>
        <v>91</v>
      </c>
      <c r="H94" s="460">
        <f>G94+'5'!H94</f>
        <v>673</v>
      </c>
      <c r="I94" s="480"/>
      <c r="J94" s="552">
        <f>H94/DAY(B2)</f>
        <v>112.16666666666667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>
        <f>'5'!F95</f>
        <v>0</v>
      </c>
      <c r="F95" s="478"/>
      <c r="G95" s="473">
        <f>G93+G94</f>
        <v>135</v>
      </c>
      <c r="H95" s="460">
        <f>G95+'5'!H95</f>
        <v>1132</v>
      </c>
      <c r="I95" s="480"/>
      <c r="J95" s="552">
        <f>H95/DAY(B2)</f>
        <v>188.66666666666666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'5'!F96</f>
        <v>416554</v>
      </c>
      <c r="F96" s="478">
        <v>416613</v>
      </c>
      <c r="G96" s="473">
        <f t="shared" ref="G96:G101" si="10">F96-E96</f>
        <v>59</v>
      </c>
      <c r="H96" s="460">
        <f>G96+'5'!H96</f>
        <v>614</v>
      </c>
      <c r="I96" s="480"/>
      <c r="J96" s="552">
        <f>H96/DAY(B2)</f>
        <v>102.33333333333333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'5'!F97</f>
        <v>103276</v>
      </c>
      <c r="F97" s="478">
        <v>103294</v>
      </c>
      <c r="G97" s="473">
        <f t="shared" si="10"/>
        <v>18</v>
      </c>
      <c r="H97" s="460">
        <f>G97+'5'!H97</f>
        <v>131</v>
      </c>
      <c r="I97" s="480"/>
      <c r="J97" s="552">
        <f>H97/DAY(B2)</f>
        <v>21.833333333333332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'5'!F98</f>
        <v>98775</v>
      </c>
      <c r="F98" s="478">
        <v>98796</v>
      </c>
      <c r="G98" s="473">
        <f t="shared" si="10"/>
        <v>21</v>
      </c>
      <c r="H98" s="460">
        <f>G98+'5'!H98</f>
        <v>139</v>
      </c>
      <c r="I98" s="480"/>
      <c r="J98" s="552">
        <f>H98/DAY(B2)</f>
        <v>23.166666666666668</v>
      </c>
      <c r="K98" s="432"/>
      <c r="L98" s="377"/>
      <c r="N98" s="382"/>
    </row>
    <row r="99" spans="1:14" ht="27.75">
      <c r="A99" s="1139" t="s">
        <v>211</v>
      </c>
      <c r="B99" s="1140"/>
      <c r="C99" s="1140"/>
      <c r="D99" s="523" t="s">
        <v>143</v>
      </c>
      <c r="E99" s="484">
        <f>'5'!F99</f>
        <v>150596</v>
      </c>
      <c r="F99" s="478">
        <v>150632</v>
      </c>
      <c r="G99" s="473">
        <f t="shared" si="10"/>
        <v>36</v>
      </c>
      <c r="H99" s="460">
        <f>G99+'5'!H99</f>
        <v>227</v>
      </c>
      <c r="I99" s="480"/>
      <c r="J99" s="552">
        <f>H99/DAY(B2)</f>
        <v>37.833333333333336</v>
      </c>
      <c r="K99" s="380"/>
      <c r="L99" s="377"/>
      <c r="N99" s="704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'5'!F100</f>
        <v>7852</v>
      </c>
      <c r="F100" s="478">
        <v>7858</v>
      </c>
      <c r="G100" s="473">
        <f t="shared" si="10"/>
        <v>6</v>
      </c>
      <c r="H100" s="460">
        <f>G100+'5'!H100</f>
        <v>61</v>
      </c>
      <c r="I100" s="480"/>
      <c r="J100" s="552">
        <f>H100/DAY(B2)</f>
        <v>10.166666666666666</v>
      </c>
      <c r="K100" s="380"/>
      <c r="L100" s="377"/>
      <c r="N100" s="382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'5'!F101</f>
        <v>5708</v>
      </c>
      <c r="F101" s="478">
        <v>5714</v>
      </c>
      <c r="G101" s="473">
        <f t="shared" si="10"/>
        <v>6</v>
      </c>
      <c r="H101" s="460">
        <f>G101+'5'!H101</f>
        <v>40</v>
      </c>
      <c r="I101" s="480"/>
      <c r="J101" s="552">
        <f>H101/DAY(B2)</f>
        <v>6.666666666666667</v>
      </c>
      <c r="K101" s="380"/>
      <c r="L101" s="377"/>
      <c r="N101" s="382"/>
    </row>
    <row r="102" spans="1:14">
      <c r="A102" s="1591" t="s">
        <v>215</v>
      </c>
      <c r="B102" s="1592"/>
      <c r="C102" s="1593"/>
      <c r="D102" s="524"/>
      <c r="E102" s="524"/>
      <c r="F102" s="524" t="s">
        <v>214</v>
      </c>
      <c r="G102" s="525">
        <f>SUM(G96:G101)</f>
        <v>146</v>
      </c>
      <c r="H102" s="460">
        <f>G102+'5'!H102</f>
        <v>1212</v>
      </c>
      <c r="I102" s="526"/>
      <c r="J102" s="552">
        <f>H102/DAY(B2)</f>
        <v>202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532">
        <f>'5'!F105</f>
        <v>7737</v>
      </c>
      <c r="F105" s="658">
        <v>7767</v>
      </c>
      <c r="G105" s="532">
        <f>F105-E105</f>
        <v>30</v>
      </c>
      <c r="H105" s="460">
        <f>G105+'5'!H105</f>
        <v>130</v>
      </c>
      <c r="I105" s="532"/>
      <c r="J105" s="558">
        <f>H105/DAY(B2)</f>
        <v>21.666666666666668</v>
      </c>
      <c r="N105" s="382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532">
        <f>'5'!F106</f>
        <v>36207</v>
      </c>
      <c r="F106" s="659">
        <v>36207</v>
      </c>
      <c r="G106" s="532">
        <f t="shared" ref="G106" si="11">F106-E106</f>
        <v>0</v>
      </c>
      <c r="H106" s="460">
        <f>G106+'5'!H106</f>
        <v>45</v>
      </c>
      <c r="I106" s="532"/>
      <c r="J106" s="558">
        <f>H106/DAY(B2)</f>
        <v>7.5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532">
        <f>'5'!F107</f>
        <v>19843</v>
      </c>
      <c r="F107" s="658">
        <v>19843</v>
      </c>
      <c r="G107" s="532">
        <f>F107-E107</f>
        <v>0</v>
      </c>
      <c r="H107" s="460">
        <f>G107+'5'!H107</f>
        <v>21</v>
      </c>
      <c r="I107" s="532"/>
      <c r="J107" s="558">
        <f>H107/DAY(B2)</f>
        <v>3.5</v>
      </c>
      <c r="N107" s="382"/>
    </row>
    <row r="108" spans="1:14" s="442" customFormat="1" ht="27.75">
      <c r="A108" s="1553" t="s">
        <v>201</v>
      </c>
      <c r="B108" s="1554"/>
      <c r="C108" s="1138"/>
      <c r="D108" s="622"/>
      <c r="E108" s="532"/>
      <c r="F108" s="658"/>
      <c r="G108" s="532">
        <f>SUM(G105:G107)</f>
        <v>30</v>
      </c>
      <c r="H108" s="460">
        <f>G108+'5'!H108</f>
        <v>196</v>
      </c>
      <c r="I108" s="532"/>
      <c r="J108" s="558">
        <f>H108/DAY(B2)</f>
        <v>32.666666666666664</v>
      </c>
      <c r="N108" s="382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532"/>
      <c r="F109" s="658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532">
        <f>'5'!F110</f>
        <v>65255</v>
      </c>
      <c r="F110" s="658">
        <v>65320</v>
      </c>
      <c r="G110" s="532">
        <f>F110-E110</f>
        <v>65</v>
      </c>
      <c r="H110" s="460">
        <f>G110+'5'!H110</f>
        <v>477</v>
      </c>
      <c r="I110" s="532"/>
      <c r="J110" s="558">
        <f>H110/DAY(B2)</f>
        <v>79.5</v>
      </c>
      <c r="N110" s="382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532">
        <f>'5'!F111</f>
        <v>33327</v>
      </c>
      <c r="F111" s="658">
        <v>33349</v>
      </c>
      <c r="G111" s="532">
        <f>F111-E111</f>
        <v>22</v>
      </c>
      <c r="H111" s="460">
        <f>G111+'5'!H111</f>
        <v>220</v>
      </c>
      <c r="I111" s="532"/>
      <c r="J111" s="558">
        <f>H111/DAY(B2)</f>
        <v>36.666666666666664</v>
      </c>
      <c r="N111" s="382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532">
        <f>'5'!F112</f>
        <v>4621.3</v>
      </c>
      <c r="F112" s="658">
        <v>4621.3</v>
      </c>
      <c r="G112" s="532">
        <f t="shared" ref="G112" si="12">F112-E112</f>
        <v>0</v>
      </c>
      <c r="H112" s="460">
        <f>G112+'5'!H112</f>
        <v>0.3000000000001819</v>
      </c>
      <c r="I112" s="532"/>
      <c r="J112" s="558">
        <f>H112/DAY(B2)</f>
        <v>5.0000000000030319E-2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532"/>
      <c r="F113" s="658"/>
      <c r="G113" s="532">
        <f>SUM(G110:G112)</f>
        <v>87</v>
      </c>
      <c r="H113" s="460">
        <f>G113+'5'!H113</f>
        <v>697.30000000000018</v>
      </c>
      <c r="I113" s="532"/>
      <c r="J113" s="558">
        <f>H113/DAY(B2)</f>
        <v>116.2166666666667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532"/>
      <c r="F114" s="658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'5'!F115</f>
        <v>12080</v>
      </c>
      <c r="F115" s="659">
        <v>12091</v>
      </c>
      <c r="G115" s="534">
        <f>F115-E115</f>
        <v>11</v>
      </c>
      <c r="H115" s="460">
        <f>G115+'5'!H115</f>
        <v>78</v>
      </c>
      <c r="I115" s="532"/>
      <c r="J115" s="558">
        <f>H115/DAY(B2)</f>
        <v>13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'5'!F116</f>
        <v>8586</v>
      </c>
      <c r="F116" s="659">
        <v>8591</v>
      </c>
      <c r="G116" s="534">
        <f t="shared" ref="G116:G117" si="13">F116-E116</f>
        <v>5</v>
      </c>
      <c r="H116" s="460">
        <f>G116+'5'!H116</f>
        <v>36</v>
      </c>
      <c r="I116" s="532"/>
      <c r="J116" s="558">
        <f>H116/DAY(B2)</f>
        <v>6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16</v>
      </c>
      <c r="H118" s="460">
        <f>G118+'5'!H118</f>
        <v>114</v>
      </c>
      <c r="I118" s="534"/>
      <c r="J118" s="558">
        <f>H118/DAY(B2)</f>
        <v>19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103</v>
      </c>
      <c r="G119" s="536">
        <f>SUM(G19+G93)</f>
        <v>103</v>
      </c>
      <c r="H119" s="460">
        <f>G119+'5'!H119</f>
        <v>1012</v>
      </c>
      <c r="I119" s="535"/>
      <c r="J119" s="559">
        <f>H119/DAY(B2)</f>
        <v>168.66666666666666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110</v>
      </c>
      <c r="G120" s="536">
        <f>SUM(G96,G97,G98,G100,G101)</f>
        <v>110</v>
      </c>
      <c r="H120" s="460">
        <f>G120+'5'!H120</f>
        <v>985</v>
      </c>
      <c r="I120" s="535"/>
      <c r="J120" s="559">
        <f>H120/DAY(B2)</f>
        <v>164.16666666666666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87</v>
      </c>
      <c r="G121" s="534">
        <f>SUM(G113)</f>
        <v>87</v>
      </c>
      <c r="H121" s="460">
        <f>G121+'5'!H121</f>
        <v>697.30000000000018</v>
      </c>
      <c r="I121" s="535"/>
      <c r="J121" s="559">
        <f>H121/DAY(B2)</f>
        <v>116.2166666666667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'5'!F124</f>
        <v>841094.02</v>
      </c>
      <c r="F124" s="478">
        <v>841355.86</v>
      </c>
      <c r="G124" s="473">
        <f t="shared" ref="G124:G128" si="14">F124-E124</f>
        <v>261.8399999999674</v>
      </c>
      <c r="H124" s="460">
        <f>G124+'5'!H124</f>
        <v>1685.859999999986</v>
      </c>
      <c r="I124" s="526"/>
      <c r="J124" s="552">
        <f>H124/DAY(B2)</f>
        <v>280.97666666666436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'5'!F125</f>
        <v>73583.399999999994</v>
      </c>
      <c r="F125" s="626">
        <v>73583.399999999994</v>
      </c>
      <c r="G125" s="473">
        <f t="shared" si="14"/>
        <v>0</v>
      </c>
      <c r="H125" s="460">
        <f>G125+'5'!H125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'5'!F126</f>
        <v>149008.78</v>
      </c>
      <c r="F126" s="478">
        <v>149075.91</v>
      </c>
      <c r="G126" s="473">
        <f t="shared" si="14"/>
        <v>67.130000000004657</v>
      </c>
      <c r="H126" s="460">
        <f>G126+'5'!H126</f>
        <v>478.91000000000349</v>
      </c>
      <c r="I126" s="526"/>
      <c r="J126" s="552">
        <f>H126/DAY(B2)</f>
        <v>79.818333333333911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'5'!F127</f>
        <v>32246.6</v>
      </c>
      <c r="F127" s="626">
        <v>32281.8</v>
      </c>
      <c r="G127" s="473">
        <f t="shared" si="14"/>
        <v>35.200000000000728</v>
      </c>
      <c r="H127" s="460">
        <f>G127+'5'!H127</f>
        <v>210.79999999999927</v>
      </c>
      <c r="I127" s="526"/>
      <c r="J127" s="552">
        <f>H127/DAY(B2)</f>
        <v>35.133333333333212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'5'!F128</f>
        <v>9026.7999999999993</v>
      </c>
      <c r="F128" s="626">
        <v>9027.7999999999993</v>
      </c>
      <c r="G128" s="473">
        <f t="shared" si="14"/>
        <v>1</v>
      </c>
      <c r="H128" s="460">
        <f>G128+'5'!H128</f>
        <v>15.799999999999272</v>
      </c>
      <c r="I128" s="480"/>
      <c r="J128" s="552">
        <f>H128/DAY(B2)</f>
        <v>2.6333333333332121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65.789999999989959</v>
      </c>
      <c r="H129" s="460">
        <f>G129+'5'!H129</f>
        <v>2121.0499999999374</v>
      </c>
      <c r="I129" s="480"/>
      <c r="J129" s="552">
        <f>H129/DAY(B2)</f>
        <v>353.50833333332292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'5'!F133</f>
        <v>40554.800000000003</v>
      </c>
      <c r="F133" s="626">
        <v>40559</v>
      </c>
      <c r="G133" s="473">
        <f t="shared" si="15"/>
        <v>4.1999999999970896</v>
      </c>
      <c r="H133" s="460">
        <f>G133+'5'!H133</f>
        <v>106</v>
      </c>
      <c r="I133" s="480"/>
      <c r="J133" s="552">
        <f>H133/DAY(B2)</f>
        <v>17.666666666666668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484">
        <f>'5'!F134</f>
        <v>300</v>
      </c>
      <c r="F134" s="626">
        <v>300.19</v>
      </c>
      <c r="G134" s="473">
        <f t="shared" si="15"/>
        <v>0.18999999999999773</v>
      </c>
      <c r="H134" s="460">
        <f>G134+'5'!H134</f>
        <v>0.18999999999999773</v>
      </c>
      <c r="I134" s="480">
        <f>G133+G134+G135+G136</f>
        <v>23.039999999998543</v>
      </c>
      <c r="J134" s="552">
        <f>H134/DAY(B2)</f>
        <v>3.1666666666666288E-2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701">
        <f>'5'!F135</f>
        <v>42023.5</v>
      </c>
      <c r="F135" s="626">
        <v>42042.15</v>
      </c>
      <c r="G135" s="473">
        <f t="shared" si="15"/>
        <v>18.650000000001455</v>
      </c>
      <c r="H135" s="460">
        <f>G135+'5'!H135</f>
        <v>70.150000000001455</v>
      </c>
      <c r="I135" s="480"/>
      <c r="J135" s="552">
        <f>H135/DAY(B2)</f>
        <v>11.69166666666691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522">
        <f>'5'!F136</f>
        <v>32874</v>
      </c>
      <c r="F136" s="485">
        <v>32874</v>
      </c>
      <c r="G136" s="473">
        <f t="shared" si="15"/>
        <v>0</v>
      </c>
      <c r="H136" s="460">
        <f>G136+'5'!H136</f>
        <v>0</v>
      </c>
      <c r="I136" s="480"/>
      <c r="J136" s="552">
        <f>H136/DAY(B2)</f>
        <v>0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'5'!F137</f>
        <v>22925</v>
      </c>
      <c r="F137" s="651">
        <v>22925.1</v>
      </c>
      <c r="G137" s="473">
        <f t="shared" si="15"/>
        <v>9.9999999998544808E-2</v>
      </c>
      <c r="H137" s="460">
        <f>G137+'5'!H137</f>
        <v>33.609999999996944</v>
      </c>
      <c r="I137" s="480">
        <f>G137+G138+G139</f>
        <v>9.9999999998544808E-2</v>
      </c>
      <c r="J137" s="552">
        <f>H137/DAY(B2)</f>
        <v>5.6016666666661576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'5'!F138</f>
        <v>25095.02</v>
      </c>
      <c r="F138" s="651">
        <v>25095.02</v>
      </c>
      <c r="G138" s="473">
        <f t="shared" si="15"/>
        <v>0</v>
      </c>
      <c r="H138" s="460">
        <f>G138+'5'!H138</f>
        <v>3.6300000000010186</v>
      </c>
      <c r="I138" s="480"/>
      <c r="J138" s="552">
        <f>H138/DAY(B2)</f>
        <v>0.60500000000016974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541">
        <f>'5'!F139</f>
        <v>70514.289999999994</v>
      </c>
      <c r="F139" s="651">
        <v>70514.289999999994</v>
      </c>
      <c r="G139" s="473">
        <f t="shared" si="15"/>
        <v>0</v>
      </c>
      <c r="H139" s="460">
        <f>G139+'5'!H139</f>
        <v>0.66999999999825377</v>
      </c>
      <c r="I139" s="480"/>
      <c r="J139" s="552">
        <f>H139/DAY(B2)</f>
        <v>0.11166666666637563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701">
        <f>'5'!F140</f>
        <v>2181.84</v>
      </c>
      <c r="F140" s="626">
        <v>2191.73</v>
      </c>
      <c r="G140" s="473">
        <f t="shared" si="15"/>
        <v>9.8899999999998727</v>
      </c>
      <c r="H140" s="460">
        <f>G140+'5'!H140</f>
        <v>62.550000000000182</v>
      </c>
      <c r="I140" s="542">
        <f>G141+G1279</f>
        <v>0</v>
      </c>
      <c r="J140" s="552">
        <f>H140/DAY(B2)</f>
        <v>10.425000000000031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5371.1000000000931</v>
      </c>
      <c r="H143" s="460">
        <f>G143+'5'!H143</f>
        <v>32949.630000000005</v>
      </c>
      <c r="I143" s="480"/>
      <c r="J143" s="552">
        <f>H143/DAY(B2)</f>
        <v>5491.6050000000005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0.27184555451462694</v>
      </c>
      <c r="H144" s="460">
        <f>G144+'5'!H144</f>
        <v>1.5421030920349534</v>
      </c>
      <c r="I144" s="544"/>
      <c r="J144" s="552">
        <f>H144/DAY(B2)</f>
        <v>0.25701718200582557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5789.6300000000192</v>
      </c>
      <c r="H145" s="460">
        <f>G145+'5'!H145</f>
        <v>40199.190000000061</v>
      </c>
      <c r="I145" s="480"/>
      <c r="J145" s="552">
        <f>H145/DAY(B2)</f>
        <v>6699.8650000000098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0.29302846303075675</v>
      </c>
      <c r="H146" s="460">
        <f>G146+'5'!H146</f>
        <v>1.8752676507308117</v>
      </c>
      <c r="I146" s="544"/>
      <c r="J146" s="552">
        <f>H146/DAY(B2)</f>
        <v>0.31254460845513526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3628.7599999999511</v>
      </c>
      <c r="H147" s="460">
        <f>G147+'5'!H147</f>
        <v>22361.059999999998</v>
      </c>
      <c r="I147" s="545"/>
      <c r="J147" s="552">
        <f>H147/DAY(B2)</f>
        <v>3726.8433333333328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0.18366112610088572</v>
      </c>
      <c r="H148" s="460">
        <f>G148+'5'!H148</f>
        <v>1.0465276038310534</v>
      </c>
      <c r="I148" s="545"/>
      <c r="J148" s="552">
        <f>H148/DAY(B2)</f>
        <v>0.17442126730517557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1382.5</v>
      </c>
      <c r="H149" s="460">
        <f>G149+'5'!H149</f>
        <v>9709.9599999999627</v>
      </c>
      <c r="I149" s="480"/>
      <c r="J149" s="552">
        <f>H149/DAY(B2)</f>
        <v>1618.3266666666605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6.9971975780839163E-2</v>
      </c>
      <c r="H150" s="460">
        <f>G150+'5'!H150</f>
        <v>0.45325687309946894</v>
      </c>
      <c r="I150" s="545"/>
      <c r="J150" s="552">
        <f>H150/DAY(B2)</f>
        <v>7.5542812183244823E-2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1686.8100000000195</v>
      </c>
      <c r="H151" s="460">
        <f>G151+'5'!H151</f>
        <v>11292.290000000023</v>
      </c>
      <c r="I151" s="545"/>
      <c r="J151" s="552">
        <f>H151/DAY(B2)</f>
        <v>1882.048333333337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8.5373908475138288E-2</v>
      </c>
      <c r="H152" s="460">
        <f>G152+'5'!H152</f>
        <v>0.52651293301245705</v>
      </c>
      <c r="I152" s="480"/>
      <c r="J152" s="552">
        <f>H152/DAY(B2)</f>
        <v>8.7752155502076171E-2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1525.2599999999802</v>
      </c>
      <c r="H153" s="460">
        <f>G153+'5'!H153</f>
        <v>8967.9199999999837</v>
      </c>
      <c r="I153" s="480"/>
      <c r="J153" s="552">
        <f>H153/DAY(B2)</f>
        <v>1494.6533333333307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7.7197436368521777E-2</v>
      </c>
      <c r="H154" s="460">
        <f>G154+'5'!H154</f>
        <v>0.41996236785036084</v>
      </c>
      <c r="I154" s="568"/>
      <c r="J154" s="569">
        <f>H154/DAY(B2)</f>
        <v>6.9993727975060135E-2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484">
        <f>'5'!F161</f>
        <v>41245.43</v>
      </c>
      <c r="F161" s="658">
        <v>41327.269999999997</v>
      </c>
      <c r="G161" s="473">
        <f t="shared" ref="G161:G175" si="16">F161-E161</f>
        <v>81.839999999996508</v>
      </c>
    </row>
    <row r="162" spans="1:7">
      <c r="A162" s="784" t="s">
        <v>263</v>
      </c>
      <c r="B162" s="785"/>
      <c r="C162" s="785"/>
      <c r="D162" s="511" t="s">
        <v>186</v>
      </c>
      <c r="E162" s="484">
        <f>'5'!F162</f>
        <v>110057.72</v>
      </c>
      <c r="F162" s="658">
        <v>110516.26</v>
      </c>
      <c r="G162" s="473">
        <f t="shared" si="16"/>
        <v>458.5399999999936</v>
      </c>
    </row>
    <row r="163" spans="1:7">
      <c r="A163" s="784" t="s">
        <v>264</v>
      </c>
      <c r="B163" s="785"/>
      <c r="C163" s="785"/>
      <c r="D163" s="511" t="s">
        <v>186</v>
      </c>
      <c r="E163" s="484">
        <f>'5'!F163</f>
        <v>62260.43</v>
      </c>
      <c r="F163" s="658">
        <v>62472.43</v>
      </c>
      <c r="G163" s="473">
        <f t="shared" si="16"/>
        <v>212</v>
      </c>
    </row>
    <row r="164" spans="1:7">
      <c r="A164" s="784" t="s">
        <v>265</v>
      </c>
      <c r="B164" s="785"/>
      <c r="C164" s="785"/>
      <c r="D164" s="511" t="s">
        <v>186</v>
      </c>
      <c r="E164" s="484">
        <f>'5'!F164</f>
        <v>6894.89</v>
      </c>
      <c r="F164" s="658">
        <v>6901.57</v>
      </c>
      <c r="G164" s="473">
        <f t="shared" si="16"/>
        <v>6.6799999999993815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514">
        <f t="shared" si="17"/>
        <v>171890.25</v>
      </c>
      <c r="F167" s="514">
        <f t="shared" si="18"/>
        <v>172289.81</v>
      </c>
      <c r="G167" s="473">
        <f t="shared" si="16"/>
        <v>399.55999999999767</v>
      </c>
    </row>
    <row r="168" spans="1:7" ht="27.75">
      <c r="A168" s="1546" t="s">
        <v>99</v>
      </c>
      <c r="B168" s="1546"/>
      <c r="C168" s="1546"/>
      <c r="D168" s="523" t="s">
        <v>186</v>
      </c>
      <c r="E168" s="514">
        <f t="shared" si="17"/>
        <v>172449.67</v>
      </c>
      <c r="F168" s="514">
        <f t="shared" si="18"/>
        <v>172711.63</v>
      </c>
      <c r="G168" s="473">
        <f t="shared" si="16"/>
        <v>261.95999999999185</v>
      </c>
    </row>
    <row r="169" spans="1:7" ht="27.75">
      <c r="A169" s="1546" t="s">
        <v>100</v>
      </c>
      <c r="B169" s="1546"/>
      <c r="C169" s="1546"/>
      <c r="D169" s="523" t="s">
        <v>186</v>
      </c>
      <c r="E169" s="514">
        <f t="shared" si="17"/>
        <v>70072.7</v>
      </c>
      <c r="F169" s="514">
        <f t="shared" si="18"/>
        <v>70486.509999999995</v>
      </c>
      <c r="G169" s="473">
        <f t="shared" si="16"/>
        <v>413.80999999999767</v>
      </c>
    </row>
    <row r="170" spans="1:7" ht="27.75">
      <c r="A170" s="1546" t="s">
        <v>101</v>
      </c>
      <c r="B170" s="1546"/>
      <c r="C170" s="1546"/>
      <c r="D170" s="523" t="s">
        <v>186</v>
      </c>
      <c r="E170" s="514">
        <f t="shared" si="17"/>
        <v>267354.28999999998</v>
      </c>
      <c r="F170" s="514">
        <f t="shared" si="18"/>
        <v>267883.99</v>
      </c>
      <c r="G170" s="473">
        <f t="shared" si="16"/>
        <v>529.70000000001164</v>
      </c>
    </row>
    <row r="171" spans="1:7" ht="27.75">
      <c r="A171" s="1546" t="s">
        <v>102</v>
      </c>
      <c r="B171" s="1546"/>
      <c r="C171" s="1546"/>
      <c r="D171" s="523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514">
        <f t="shared" si="17"/>
        <v>88765.51</v>
      </c>
      <c r="F172" s="514">
        <f t="shared" si="18"/>
        <v>88975.85</v>
      </c>
      <c r="G172" s="473">
        <f t="shared" si="16"/>
        <v>210.34000000001106</v>
      </c>
    </row>
    <row r="173" spans="1:7">
      <c r="A173" s="1587" t="s">
        <v>352</v>
      </c>
      <c r="B173" s="1550"/>
      <c r="C173" s="785"/>
      <c r="D173" s="523" t="s">
        <v>186</v>
      </c>
      <c r="E173" s="484">
        <f>'5'!F173</f>
        <v>19026.7</v>
      </c>
      <c r="F173" s="532">
        <v>19030.7</v>
      </c>
      <c r="G173" s="473">
        <f t="shared" si="16"/>
        <v>4</v>
      </c>
    </row>
    <row r="174" spans="1:7">
      <c r="A174" s="1587" t="s">
        <v>352</v>
      </c>
      <c r="B174" s="1550"/>
      <c r="C174" s="785"/>
      <c r="D174" s="523" t="s">
        <v>186</v>
      </c>
      <c r="E174" s="484">
        <f>'5'!F174</f>
        <v>70367.100000000006</v>
      </c>
      <c r="F174" s="532">
        <v>70373.2</v>
      </c>
      <c r="G174" s="473">
        <f t="shared" si="16"/>
        <v>6.0999999999912689</v>
      </c>
    </row>
    <row r="175" spans="1:7">
      <c r="A175" s="1587" t="s">
        <v>353</v>
      </c>
      <c r="B175" s="1550"/>
      <c r="C175" s="785"/>
      <c r="D175" s="523" t="s">
        <v>186</v>
      </c>
      <c r="E175" s="484">
        <f>'5'!F175</f>
        <v>27650.400000000001</v>
      </c>
      <c r="F175" s="532">
        <v>27654.5</v>
      </c>
      <c r="G175" s="473">
        <f t="shared" si="16"/>
        <v>4.0999999999985448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5"/>
  <sheetViews>
    <sheetView view="pageBreakPreview" topLeftCell="A67" zoomScale="55" zoomScaleNormal="77" zoomScaleSheetLayoutView="55" workbookViewId="0">
      <selection activeCell="F82" sqref="F82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355</v>
      </c>
      <c r="B2" s="1031">
        <v>44384</v>
      </c>
      <c r="C2" s="1141" t="s">
        <v>68</v>
      </c>
      <c r="D2" s="611">
        <v>0.53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6" s="281" customFormat="1" ht="27">
      <c r="A3" s="570"/>
      <c r="B3" s="614"/>
      <c r="C3" s="1141" t="s">
        <v>119</v>
      </c>
      <c r="D3" s="612">
        <v>33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122</v>
      </c>
      <c r="B5" s="459"/>
      <c r="C5" s="459"/>
      <c r="D5" s="511" t="s">
        <v>214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'6'!F7</f>
        <v>50366.35</v>
      </c>
      <c r="F7" s="455">
        <v>72175.240000000005</v>
      </c>
      <c r="G7" s="689">
        <f t="shared" ref="G7:G12" si="0">F7-E7</f>
        <v>21808.890000000007</v>
      </c>
      <c r="H7" s="679">
        <f>G7+'6'!H7</f>
        <v>150222.24000000005</v>
      </c>
      <c r="I7" s="680">
        <f>'1'!I7</f>
        <v>12000</v>
      </c>
      <c r="J7" s="681">
        <f>H7/DAY(B2)</f>
        <v>21460.320000000007</v>
      </c>
      <c r="K7" s="549"/>
      <c r="L7" s="377"/>
      <c r="N7" s="708"/>
      <c r="P7" s="376" t="s">
        <v>214</v>
      </c>
    </row>
    <row r="8" spans="1:16" ht="27.75" thickBot="1">
      <c r="A8" s="682" t="s">
        <v>132</v>
      </c>
      <c r="B8" s="683"/>
      <c r="C8" s="684"/>
      <c r="D8" s="685" t="s">
        <v>25</v>
      </c>
      <c r="E8" s="633">
        <f>'6'!F8</f>
        <v>55818.84</v>
      </c>
      <c r="F8" s="475">
        <v>77732.62</v>
      </c>
      <c r="G8" s="689">
        <f t="shared" si="0"/>
        <v>21913.78</v>
      </c>
      <c r="H8" s="679">
        <f>G8+'6'!H8</f>
        <v>151010.61999999997</v>
      </c>
      <c r="I8" s="686">
        <v>12000</v>
      </c>
      <c r="J8" s="681">
        <f>H8/DAY(B2)</f>
        <v>21572.94571428571</v>
      </c>
      <c r="K8" s="549"/>
      <c r="L8" s="425"/>
      <c r="M8" s="440"/>
      <c r="N8" s="703"/>
    </row>
    <row r="9" spans="1:16">
      <c r="A9" s="687" t="s">
        <v>133</v>
      </c>
      <c r="B9" s="688"/>
      <c r="C9" s="688"/>
      <c r="D9" s="637" t="s">
        <v>131</v>
      </c>
      <c r="E9" s="633">
        <f>'6'!F9</f>
        <v>2157145.2999999998</v>
      </c>
      <c r="F9" s="478">
        <v>2178263.2999999998</v>
      </c>
      <c r="G9" s="689">
        <f t="shared" si="0"/>
        <v>21118</v>
      </c>
      <c r="H9" s="679">
        <f>G9+'6'!H9</f>
        <v>147261.29999999981</v>
      </c>
      <c r="I9" s="690">
        <f>I8-J8</f>
        <v>-9572.94571428571</v>
      </c>
      <c r="J9" s="681">
        <f>H9/DAY(B2)</f>
        <v>21037.328571428545</v>
      </c>
      <c r="K9" s="428"/>
      <c r="L9" s="377"/>
      <c r="N9" s="382"/>
    </row>
    <row r="10" spans="1:16">
      <c r="A10" s="676" t="s">
        <v>134</v>
      </c>
      <c r="B10" s="677"/>
      <c r="C10" s="677"/>
      <c r="D10" s="637" t="s">
        <v>131</v>
      </c>
      <c r="E10" s="633">
        <f>'6'!F10</f>
        <v>2606.5500000000002</v>
      </c>
      <c r="F10" s="478">
        <v>2606.5500000000002</v>
      </c>
      <c r="G10" s="689">
        <f t="shared" si="0"/>
        <v>0</v>
      </c>
      <c r="H10" s="679">
        <f>G10+'6'!H10</f>
        <v>0</v>
      </c>
      <c r="I10" s="691"/>
      <c r="J10" s="681">
        <f>H10/DAY(B2)</f>
        <v>0</v>
      </c>
      <c r="K10" s="428"/>
      <c r="L10" s="377"/>
      <c r="N10" s="382"/>
    </row>
    <row r="11" spans="1:16">
      <c r="A11" s="676" t="s">
        <v>135</v>
      </c>
      <c r="B11" s="677"/>
      <c r="C11" s="677"/>
      <c r="D11" s="637" t="s">
        <v>131</v>
      </c>
      <c r="E11" s="633">
        <f>'6'!F11</f>
        <v>37000</v>
      </c>
      <c r="F11" s="455">
        <v>37000</v>
      </c>
      <c r="G11" s="689">
        <f t="shared" si="0"/>
        <v>0</v>
      </c>
      <c r="H11" s="679">
        <f>G11+'6'!H11</f>
        <v>0</v>
      </c>
      <c r="I11" s="691"/>
      <c r="J11" s="681">
        <f>H11/DAY(B2)</f>
        <v>0</v>
      </c>
      <c r="K11" s="428"/>
      <c r="L11" s="377"/>
      <c r="N11" s="382"/>
    </row>
    <row r="12" spans="1:16">
      <c r="A12" s="676" t="s">
        <v>136</v>
      </c>
      <c r="B12" s="677"/>
      <c r="C12" s="677"/>
      <c r="D12" s="637" t="s">
        <v>131</v>
      </c>
      <c r="E12" s="633">
        <f>'6'!F12</f>
        <v>40010</v>
      </c>
      <c r="F12" s="478">
        <v>40010</v>
      </c>
      <c r="G12" s="689">
        <f t="shared" si="0"/>
        <v>0</v>
      </c>
      <c r="H12" s="679">
        <f>G12+'6'!H12</f>
        <v>0</v>
      </c>
      <c r="I12" s="691"/>
      <c r="J12" s="681">
        <f>H12/DAY(B2)</f>
        <v>0</v>
      </c>
      <c r="K12" s="428"/>
      <c r="L12" s="377"/>
      <c r="N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21118</v>
      </c>
      <c r="H13" s="679">
        <f>G13+'6'!H13</f>
        <v>147261.29999999981</v>
      </c>
      <c r="I13" s="695">
        <f>G7-G13</f>
        <v>690.89000000000669</v>
      </c>
      <c r="J13" s="681">
        <f>H13/DAY(B2)</f>
        <v>21037.328571428545</v>
      </c>
      <c r="K13" s="428"/>
      <c r="L13" s="377"/>
      <c r="N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2" t="s">
        <v>139</v>
      </c>
      <c r="B15" s="793"/>
      <c r="C15" s="793"/>
      <c r="D15" s="524" t="s">
        <v>140</v>
      </c>
      <c r="E15" s="485">
        <f>'6'!F15</f>
        <v>1708195.42</v>
      </c>
      <c r="F15" s="485">
        <v>1709045.61</v>
      </c>
      <c r="G15" s="664">
        <f>(F15-E15)</f>
        <v>850.19000000017695</v>
      </c>
      <c r="H15" s="486">
        <f>G15+'6'!H15</f>
        <v>5362.6100000001024</v>
      </c>
      <c r="I15" s="1064">
        <v>800</v>
      </c>
      <c r="J15" s="553">
        <f>H15/DAY(B2)</f>
        <v>766.08714285715746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33.91285714284254</v>
      </c>
      <c r="J16" s="553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'6'!F18</f>
        <v>9</v>
      </c>
      <c r="F18" s="478">
        <v>11</v>
      </c>
      <c r="G18" s="694">
        <f>F18*10</f>
        <v>110</v>
      </c>
      <c r="H18" s="679">
        <f>G18+'6'!H18</f>
        <v>930</v>
      </c>
      <c r="I18" s="680">
        <f>'1'!I18</f>
        <v>65</v>
      </c>
      <c r="J18" s="681">
        <f>H18/DAY(B2)</f>
        <v>132.85714285714286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'6'!F19</f>
        <v>141862</v>
      </c>
      <c r="F19" s="478">
        <v>141920</v>
      </c>
      <c r="G19" s="689">
        <f t="shared" ref="G19" si="1">F19-E19</f>
        <v>58</v>
      </c>
      <c r="H19" s="679">
        <f>G19+'6'!H19</f>
        <v>425</v>
      </c>
      <c r="I19" s="696"/>
      <c r="J19" s="681">
        <f>H19/DAY(B2)</f>
        <v>60.714285714285715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168</v>
      </c>
      <c r="H20" s="679">
        <f>G20+'6'!H20</f>
        <v>1355</v>
      </c>
      <c r="I20" s="698">
        <f>I18-J20</f>
        <v>-128.57142857142858</v>
      </c>
      <c r="J20" s="681">
        <f>H20/DAY(B2)</f>
        <v>193.57142857142858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634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634">
        <f>'6'!F23</f>
        <v>2000</v>
      </c>
      <c r="F23" s="478">
        <v>2000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4">
        <f>'6'!F24</f>
        <v>4970</v>
      </c>
      <c r="F24" s="485">
        <v>4970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21913.78</v>
      </c>
      <c r="F27" s="501">
        <v>9</v>
      </c>
      <c r="G27" s="502">
        <f>E27*F27</f>
        <v>197224.02</v>
      </c>
      <c r="H27" s="460">
        <f>G27+'6'!H27</f>
        <v>1359095.5799999998</v>
      </c>
      <c r="I27" s="503"/>
      <c r="J27" s="552">
        <f>H27/DAY(B2)</f>
        <v>194156.51142857139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850.19000000017695</v>
      </c>
      <c r="F28" s="501">
        <v>52</v>
      </c>
      <c r="G28" s="502">
        <f>E28*F28</f>
        <v>44209.880000009201</v>
      </c>
      <c r="H28" s="460">
        <f>G28+'6'!H28</f>
        <v>278855.72000000533</v>
      </c>
      <c r="I28" s="505"/>
      <c r="J28" s="552">
        <f>H28/DAY(B2)</f>
        <v>39836.531428572191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58</v>
      </c>
      <c r="F30" s="501">
        <v>146</v>
      </c>
      <c r="G30" s="502">
        <f>E30*F30</f>
        <v>8468</v>
      </c>
      <c r="H30" s="460">
        <f>G30+'6'!H30</f>
        <v>61466</v>
      </c>
      <c r="I30" s="505"/>
      <c r="J30" s="552">
        <f>H30/DAY(B2)</f>
        <v>8780.8571428571431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110</v>
      </c>
      <c r="F31" s="501">
        <v>80</v>
      </c>
      <c r="G31" s="502">
        <f>E31*F31</f>
        <v>8800</v>
      </c>
      <c r="H31" s="460">
        <f>G31+'6'!H31</f>
        <v>68800</v>
      </c>
      <c r="I31" s="505"/>
      <c r="J31" s="552">
        <f>H31/DAY(B2)</f>
        <v>9828.5714285714294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1053">
        <f>G27+G28+G29+G30+G31</f>
        <v>258701.90000000919</v>
      </c>
      <c r="H32" s="460">
        <f>G32+'6'!H32</f>
        <v>1768217.3000000049</v>
      </c>
      <c r="I32" s="509"/>
      <c r="J32" s="552">
        <f>H32/DAY(B2)</f>
        <v>252602.47142857214</v>
      </c>
      <c r="K32" s="373"/>
      <c r="L32" s="443"/>
      <c r="N32" s="382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'6'!F35</f>
        <v>1046170.7</v>
      </c>
      <c r="F35" s="510">
        <v>1049089.8999999999</v>
      </c>
      <c r="G35" s="473">
        <f t="shared" ref="G35:G46" si="3">F35-E35</f>
        <v>2919.1999999999534</v>
      </c>
      <c r="H35" s="460">
        <f>G35+'6'!H35</f>
        <v>20375.899999999907</v>
      </c>
      <c r="I35" s="455"/>
      <c r="J35" s="552">
        <f>H35/DAY(B2)</f>
        <v>2910.842857142844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'6'!F36</f>
        <v>25143.14</v>
      </c>
      <c r="F36" s="510">
        <v>25963.99</v>
      </c>
      <c r="G36" s="473">
        <f t="shared" si="3"/>
        <v>820.85000000000218</v>
      </c>
      <c r="H36" s="460">
        <f>G36+'6'!H36</f>
        <v>5502.9900000000016</v>
      </c>
      <c r="I36" s="455"/>
      <c r="J36" s="552">
        <f>H36/DAY(B2)</f>
        <v>786.14142857142883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'6'!F37</f>
        <v>185538.05</v>
      </c>
      <c r="F37" s="510">
        <v>187125.79</v>
      </c>
      <c r="G37" s="473">
        <f t="shared" si="3"/>
        <v>1587.7400000000198</v>
      </c>
      <c r="H37" s="460">
        <f>G37+'6'!H37</f>
        <v>10555.790000000008</v>
      </c>
      <c r="I37" s="455"/>
      <c r="J37" s="552">
        <f>H37/DAY(B2)</f>
        <v>1507.9700000000012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'6'!F38</f>
        <v>208168.89</v>
      </c>
      <c r="F38" s="469">
        <v>209718.13</v>
      </c>
      <c r="G38" s="473">
        <f t="shared" si="3"/>
        <v>1549.2399999999907</v>
      </c>
      <c r="H38" s="460">
        <f>G38+'6'!H38</f>
        <v>11259.130000000005</v>
      </c>
      <c r="I38" s="455"/>
      <c r="J38" s="552">
        <f>H38/DAY(B2)</f>
        <v>1608.4471428571435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'6'!F39</f>
        <v>427225.47</v>
      </c>
      <c r="F39" s="510">
        <v>430828.79</v>
      </c>
      <c r="G39" s="473">
        <f t="shared" si="3"/>
        <v>3603.320000000007</v>
      </c>
      <c r="H39" s="460">
        <f>G39+'6'!H39</f>
        <v>25964.789999999979</v>
      </c>
      <c r="I39" s="455"/>
      <c r="J39" s="552">
        <f>H39/DAY(B2)</f>
        <v>3709.2557142857113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'6'!F40</f>
        <v>9346.7900000000009</v>
      </c>
      <c r="F40" s="510">
        <v>9831.77</v>
      </c>
      <c r="G40" s="473">
        <f t="shared" si="3"/>
        <v>484.97999999999956</v>
      </c>
      <c r="H40" s="460">
        <f>G40+'6'!H40</f>
        <v>2718.7700000000004</v>
      </c>
      <c r="I40" s="455"/>
      <c r="J40" s="552">
        <f>H40/DAY(B2)</f>
        <v>388.39571428571435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'6'!F41</f>
        <v>354267.07</v>
      </c>
      <c r="F41" s="510">
        <v>358143.27</v>
      </c>
      <c r="G41" s="473">
        <f t="shared" si="3"/>
        <v>3876.2000000000116</v>
      </c>
      <c r="H41" s="460">
        <f>G41+'6'!H41</f>
        <v>28501.270000000019</v>
      </c>
      <c r="I41" s="455"/>
      <c r="J41" s="552">
        <f>H41/DAY(B2)</f>
        <v>4071.6100000000029</v>
      </c>
      <c r="K41" s="428"/>
      <c r="L41" s="377"/>
      <c r="N41" s="382"/>
    </row>
    <row r="42" spans="1:14">
      <c r="A42" s="587" t="s">
        <v>170</v>
      </c>
      <c r="B42" s="588"/>
      <c r="C42" s="588"/>
      <c r="D42" s="524" t="s">
        <v>131</v>
      </c>
      <c r="E42" s="510">
        <f>'6'!F42</f>
        <v>59210.080000000002</v>
      </c>
      <c r="F42" s="1032">
        <v>59210.080000000002</v>
      </c>
      <c r="G42" s="773">
        <f t="shared" si="3"/>
        <v>0</v>
      </c>
      <c r="H42" s="460">
        <f>G42+'6'!H42</f>
        <v>11.190000000002328</v>
      </c>
      <c r="I42" s="455"/>
      <c r="J42" s="552">
        <f>H42/DAY(B2)</f>
        <v>1.5985714285717612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'6'!F43</f>
        <v>1135944.8</v>
      </c>
      <c r="F43" s="510">
        <v>1138667.5</v>
      </c>
      <c r="G43" s="473">
        <f t="shared" si="3"/>
        <v>2722.6999999999534</v>
      </c>
      <c r="H43" s="460">
        <f>G43+'6'!H43</f>
        <v>18215.5</v>
      </c>
      <c r="I43" s="455"/>
      <c r="J43" s="552">
        <f>H43/DAY(B2)</f>
        <v>2602.2142857142858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614</v>
      </c>
      <c r="I45" s="455"/>
      <c r="J45" s="552">
        <f>H45/DAY(B2)</f>
        <v>87.714285714285708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187</v>
      </c>
      <c r="I46" s="455"/>
      <c r="J46" s="552">
        <f>H46/DAY(B2)</f>
        <v>26.714285714285715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17564.229999999938</v>
      </c>
      <c r="H47" s="460">
        <f>G47+'6'!H47</f>
        <v>123906.32999999991</v>
      </c>
      <c r="I47" s="455"/>
      <c r="J47" s="552">
        <f>H47/DAY(B2)</f>
        <v>17700.904285714274</v>
      </c>
      <c r="K47" s="428"/>
      <c r="L47" s="377"/>
      <c r="N47" s="382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'6'!F49</f>
        <v>260732.13</v>
      </c>
      <c r="F49" s="510">
        <v>260732.13</v>
      </c>
      <c r="G49" s="473">
        <f t="shared" ref="G49:G58" si="4">F49-E49</f>
        <v>0</v>
      </c>
      <c r="H49" s="460">
        <f>G49+'6'!H49</f>
        <v>0.13000000000465661</v>
      </c>
      <c r="I49" s="455"/>
      <c r="J49" s="552">
        <f>H49/DAY(B2)</f>
        <v>1.85714285720938E-2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'6'!F50</f>
        <v>541273.15</v>
      </c>
      <c r="F50" s="510">
        <v>542535.06999999995</v>
      </c>
      <c r="G50" s="473">
        <f t="shared" si="4"/>
        <v>1261.9199999999255</v>
      </c>
      <c r="H50" s="460">
        <f>G50+'6'!H50</f>
        <v>7872.0699999999488</v>
      </c>
      <c r="I50" s="455"/>
      <c r="J50" s="552">
        <f>H50/DAY(B2)</f>
        <v>1124.5814285714212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'6'!F51</f>
        <v>144639.87</v>
      </c>
      <c r="F51" s="510">
        <v>144639.87</v>
      </c>
      <c r="G51" s="473">
        <f t="shared" si="4"/>
        <v>0</v>
      </c>
      <c r="H51" s="460">
        <f>G51+'6'!H51</f>
        <v>-0.13000000000465661</v>
      </c>
      <c r="I51" s="455"/>
      <c r="J51" s="552">
        <f>H51/DAY(B2)</f>
        <v>-1.85714285720938E-2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'6'!F52</f>
        <v>539606.06999999995</v>
      </c>
      <c r="F52" s="510">
        <v>539606.06999999995</v>
      </c>
      <c r="G52" s="473">
        <f t="shared" si="4"/>
        <v>0</v>
      </c>
      <c r="H52" s="460">
        <f>G52+'6'!H52</f>
        <v>6.9999999948777258E-2</v>
      </c>
      <c r="I52" s="455"/>
      <c r="J52" s="552">
        <f>H52/DAY(B2)</f>
        <v>9.9999999926824647E-3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'6'!F53</f>
        <v>434231.59</v>
      </c>
      <c r="F53" s="510">
        <v>434231.67</v>
      </c>
      <c r="G53" s="473">
        <f t="shared" si="4"/>
        <v>7.9999999958090484E-2</v>
      </c>
      <c r="H53" s="460">
        <f>G53+'6'!H53</f>
        <v>-0.33000000001629815</v>
      </c>
      <c r="I53" s="455"/>
      <c r="J53" s="552">
        <f>H53/DAY(B2)</f>
        <v>-4.714285714518545E-2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'6'!F54</f>
        <v>14967</v>
      </c>
      <c r="F54" s="510">
        <v>14967</v>
      </c>
      <c r="G54" s="473">
        <f t="shared" si="4"/>
        <v>0</v>
      </c>
      <c r="H54" s="460">
        <f>G54+'6'!H54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'6'!F55</f>
        <v>133145.38</v>
      </c>
      <c r="F55" s="653">
        <v>136079.04999999999</v>
      </c>
      <c r="G55" s="652">
        <f t="shared" si="4"/>
        <v>2933.6699999999837</v>
      </c>
      <c r="H55" s="705">
        <f>G55+'6'!H55</f>
        <v>18443.049999999988</v>
      </c>
      <c r="I55" s="706"/>
      <c r="J55" s="707">
        <f>H55/DAY(B2)</f>
        <v>2634.7214285714267</v>
      </c>
      <c r="K55" s="428"/>
      <c r="L55" s="377"/>
      <c r="N55" s="382"/>
    </row>
    <row r="56" spans="1:14">
      <c r="A56" s="587" t="s">
        <v>181</v>
      </c>
      <c r="B56" s="1063"/>
      <c r="C56" s="1063"/>
      <c r="D56" s="524" t="s">
        <v>182</v>
      </c>
      <c r="E56" s="510">
        <f>'6'!F56</f>
        <v>649085.55000000005</v>
      </c>
      <c r="F56" s="1032">
        <v>649107.47</v>
      </c>
      <c r="G56" s="773">
        <f t="shared" si="4"/>
        <v>21.919999999925494</v>
      </c>
      <c r="H56" s="460">
        <f>G56+'6'!H56</f>
        <v>75.46999999997206</v>
      </c>
      <c r="I56" s="455"/>
      <c r="J56" s="552">
        <f>H56/DAY(B2)</f>
        <v>10.781428571424581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'6'!F58</f>
        <v>54839.19</v>
      </c>
      <c r="F58" s="653">
        <v>55026.6</v>
      </c>
      <c r="G58" s="473">
        <f t="shared" si="4"/>
        <v>187.40999999999622</v>
      </c>
      <c r="H58" s="460">
        <f>G58+'6'!H58</f>
        <v>1040.5999999999985</v>
      </c>
      <c r="I58" s="455"/>
      <c r="J58" s="552">
        <f>H58/DAY(B2)</f>
        <v>148.65714285714265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4404.999999999789</v>
      </c>
      <c r="H59" s="460">
        <f>G59+'6'!H59</f>
        <v>27430.92999999984</v>
      </c>
      <c r="I59" s="455">
        <f>G7-G60</f>
        <v>-160.33999999972002</v>
      </c>
      <c r="J59" s="552">
        <f>H59/DAY(B2)</f>
        <v>3918.7042857142628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21969.229999999727</v>
      </c>
      <c r="H60" s="460">
        <f>G60+'6'!H60</f>
        <v>151337.25999999978</v>
      </c>
      <c r="I60" s="455">
        <f>G13-G60</f>
        <v>-851.22999999972672</v>
      </c>
      <c r="J60" s="552">
        <f>H60/DAY(B2)</f>
        <v>21619.60857142854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'6'!F63</f>
        <v>0</v>
      </c>
      <c r="F63" s="514">
        <v>0</v>
      </c>
      <c r="G63" s="473">
        <f t="shared" si="5"/>
        <v>0</v>
      </c>
      <c r="H63" s="460">
        <f>G63+'6'!H63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484">
        <f>'6'!F64</f>
        <v>172289.81</v>
      </c>
      <c r="F64" s="478">
        <v>172723.35</v>
      </c>
      <c r="G64" s="473">
        <f t="shared" si="5"/>
        <v>433.54000000000815</v>
      </c>
      <c r="H64" s="460">
        <f>G64+'6'!H64</f>
        <v>2701.3500000000058</v>
      </c>
      <c r="I64" s="480"/>
      <c r="J64" s="552">
        <f>H64/DAY(B2)</f>
        <v>385.9071428571437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484">
        <f>'6'!F65</f>
        <v>172711.63</v>
      </c>
      <c r="F65" s="651">
        <v>172978.93</v>
      </c>
      <c r="G65" s="473">
        <f t="shared" si="5"/>
        <v>267.29999999998836</v>
      </c>
      <c r="H65" s="460">
        <f>G65+'6'!H65</f>
        <v>2676.929999999993</v>
      </c>
      <c r="I65" s="489"/>
      <c r="J65" s="552">
        <f>H65/DAY(B2)</f>
        <v>382.41857142857043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484">
        <f>'6'!F66</f>
        <v>70486.509999999995</v>
      </c>
      <c r="F66" s="478">
        <v>70913.820000000007</v>
      </c>
      <c r="G66" s="473">
        <f t="shared" si="5"/>
        <v>427.31000000001222</v>
      </c>
      <c r="H66" s="460">
        <f>G66+'6'!H66</f>
        <v>2943.820000000007</v>
      </c>
      <c r="I66" s="480"/>
      <c r="J66" s="552">
        <f>H66/DAY(B2)</f>
        <v>420.54571428571529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484">
        <f>'6'!F67</f>
        <v>267883.99</v>
      </c>
      <c r="F67" s="478">
        <v>268376.69</v>
      </c>
      <c r="G67" s="473">
        <f t="shared" si="5"/>
        <v>492.70000000001164</v>
      </c>
      <c r="H67" s="460">
        <f>G67+'6'!H67</f>
        <v>3417.6900000000023</v>
      </c>
      <c r="I67" s="489"/>
      <c r="J67" s="552">
        <f>H67/DAY(B2)</f>
        <v>488.24142857142891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484">
        <f>'6'!F69</f>
        <v>88975.85</v>
      </c>
      <c r="F69" s="478">
        <v>89197.440000000002</v>
      </c>
      <c r="G69" s="473">
        <f t="shared" si="5"/>
        <v>221.58999999999651</v>
      </c>
      <c r="H69" s="460">
        <f>G69+'6'!H69</f>
        <v>1682.4400000000023</v>
      </c>
      <c r="I69" s="516"/>
      <c r="J69" s="552">
        <f>H69/DAY(B2)</f>
        <v>240.34857142857177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'6'!F72</f>
        <v>856292</v>
      </c>
      <c r="F72" s="654">
        <v>856303</v>
      </c>
      <c r="G72" s="473">
        <f t="shared" ref="G72:G84" si="6">F72-E72</f>
        <v>11</v>
      </c>
      <c r="H72" s="460">
        <f>G72+'6'!H72</f>
        <v>81</v>
      </c>
      <c r="I72" s="480"/>
      <c r="J72" s="552">
        <f>H72/DAY(B2)</f>
        <v>11.571428571428571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519">
        <f>'6'!F73</f>
        <v>885980</v>
      </c>
      <c r="F73" s="655">
        <v>885981</v>
      </c>
      <c r="G73" s="652">
        <f t="shared" si="6"/>
        <v>1</v>
      </c>
      <c r="H73" s="460">
        <f>G73+'6'!H73</f>
        <v>9</v>
      </c>
      <c r="I73" s="480"/>
      <c r="J73" s="552">
        <f>H73/DAY(B2)</f>
        <v>1.2857142857142858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519">
        <f>'6'!F74</f>
        <v>88703.2</v>
      </c>
      <c r="F74" s="654">
        <v>88704.3</v>
      </c>
      <c r="G74" s="473">
        <f t="shared" si="6"/>
        <v>1.1000000000058208</v>
      </c>
      <c r="H74" s="460">
        <f>G74+'6'!H74</f>
        <v>8.3000000000029104</v>
      </c>
      <c r="I74" s="480"/>
      <c r="J74" s="552">
        <f>H74/DAY(B2)</f>
        <v>1.1857142857147014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519">
        <f>'6'!F75</f>
        <v>16963.82</v>
      </c>
      <c r="F75" s="655">
        <v>17104.669999999998</v>
      </c>
      <c r="G75" s="473">
        <f t="shared" si="6"/>
        <v>140.84999999999854</v>
      </c>
      <c r="H75" s="460">
        <f>G75+'6'!H75</f>
        <v>1033.6699999999983</v>
      </c>
      <c r="I75" s="480"/>
      <c r="J75" s="552">
        <f>H75/DAY(B2)</f>
        <v>147.66714285714261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519">
        <f>'6'!F76</f>
        <v>9737.2999999999993</v>
      </c>
      <c r="F76" s="655">
        <v>9803.36</v>
      </c>
      <c r="G76" s="473">
        <f t="shared" si="6"/>
        <v>66.06000000000131</v>
      </c>
      <c r="H76" s="460">
        <f>G76+'6'!H76</f>
        <v>467.36000000000058</v>
      </c>
      <c r="I76" s="505"/>
      <c r="J76" s="552">
        <f>H76/DAY(B2)</f>
        <v>66.765714285714367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519">
        <f>'6'!F77</f>
        <v>704736</v>
      </c>
      <c r="F77" s="655">
        <v>704787</v>
      </c>
      <c r="G77" s="652">
        <f t="shared" si="6"/>
        <v>51</v>
      </c>
      <c r="H77" s="460">
        <f>G77+'6'!H77</f>
        <v>413</v>
      </c>
      <c r="I77" s="505"/>
      <c r="J77" s="552">
        <f>H77/DAY(B2)</f>
        <v>59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19">
        <f>'6'!F78</f>
        <v>676110</v>
      </c>
      <c r="F78" s="656">
        <v>676232</v>
      </c>
      <c r="G78" s="473">
        <f t="shared" si="6"/>
        <v>122</v>
      </c>
      <c r="H78" s="460">
        <f>G78+'6'!H78</f>
        <v>818</v>
      </c>
      <c r="I78" s="505"/>
      <c r="J78" s="552">
        <f>H78/DAY(B2)</f>
        <v>116.85714285714286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519">
        <f>'6'!F79</f>
        <v>836319</v>
      </c>
      <c r="F79" s="654">
        <v>836460</v>
      </c>
      <c r="G79" s="473">
        <f t="shared" si="6"/>
        <v>141</v>
      </c>
      <c r="H79" s="460">
        <f>G79+'6'!H79</f>
        <v>1044</v>
      </c>
      <c r="I79" s="505"/>
      <c r="J79" s="552">
        <f>H79/DAY(B2)</f>
        <v>149.14285714285714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519">
        <f>'6'!F80</f>
        <v>541439.43999999994</v>
      </c>
      <c r="F80" s="655">
        <v>541840.04</v>
      </c>
      <c r="G80" s="473">
        <f t="shared" si="6"/>
        <v>400.60000000009313</v>
      </c>
      <c r="H80" s="460">
        <f>G80+'6'!H80</f>
        <v>2827.0400000000373</v>
      </c>
      <c r="I80" s="505"/>
      <c r="J80" s="552">
        <f>H80/DAY(B2)</f>
        <v>403.86285714286248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519">
        <f>'6'!F81</f>
        <v>644075.16</v>
      </c>
      <c r="F81" s="655">
        <v>644242.80000000005</v>
      </c>
      <c r="G81" s="473">
        <f t="shared" si="6"/>
        <v>167.64000000001397</v>
      </c>
      <c r="H81" s="460">
        <f>G81+'6'!H81</f>
        <v>1257.8000000000466</v>
      </c>
      <c r="I81" s="505"/>
      <c r="J81" s="552">
        <f>H81/DAY(B2)</f>
        <v>179.68571428572093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519">
        <f>'6'!F82</f>
        <v>108801.57</v>
      </c>
      <c r="F82" s="651">
        <v>108827.97</v>
      </c>
      <c r="G82" s="473">
        <f t="shared" si="6"/>
        <v>26.399999999994179</v>
      </c>
      <c r="H82" s="460">
        <f>G82+'6'!H82</f>
        <v>146.97000000000116</v>
      </c>
      <c r="I82" s="486"/>
      <c r="J82" s="552">
        <f>H82/DAY(B2)</f>
        <v>20.995714285714453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519">
        <f>'6'!F83</f>
        <v>29038</v>
      </c>
      <c r="F83" s="620">
        <v>29253</v>
      </c>
      <c r="G83" s="473">
        <f t="shared" si="6"/>
        <v>215</v>
      </c>
      <c r="H83" s="460">
        <f>G83+'6'!H83</f>
        <v>1702</v>
      </c>
      <c r="I83" s="481"/>
      <c r="J83" s="552">
        <f>H83/DAY(B2)</f>
        <v>243.14285714285714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519">
        <f>'6'!F84</f>
        <v>528037</v>
      </c>
      <c r="F84" s="627">
        <v>528829</v>
      </c>
      <c r="G84" s="473">
        <f t="shared" si="6"/>
        <v>792</v>
      </c>
      <c r="H84" s="460">
        <f>G84+'6'!H84</f>
        <v>5749</v>
      </c>
      <c r="I84" s="481"/>
      <c r="J84" s="552">
        <f>H84/DAY(B2)</f>
        <v>821.28571428571433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2135.650000000107</v>
      </c>
      <c r="H85" s="460">
        <f>G85+'6'!H85</f>
        <v>15557.140000000087</v>
      </c>
      <c r="I85" s="481"/>
      <c r="J85" s="552">
        <f>H85/DAY(B2)</f>
        <v>2222.4485714285838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651" t="s">
        <v>182</v>
      </c>
      <c r="E86" s="627">
        <f>'6'!F86</f>
        <v>461963.72</v>
      </c>
      <c r="F86" s="647">
        <v>461989.2</v>
      </c>
      <c r="G86" s="705">
        <f t="shared" ref="G86:G91" si="7">F86-E86</f>
        <v>25.480000000039581</v>
      </c>
      <c r="H86" s="460">
        <f>G86+'6'!H86</f>
        <v>168.20000000001164</v>
      </c>
      <c r="I86" s="652"/>
      <c r="J86" s="707">
        <f>H86/DAY(B2)</f>
        <v>24.028571428573091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651" t="s">
        <v>182</v>
      </c>
      <c r="E87" s="627">
        <f>'6'!F87</f>
        <v>82256.399999999994</v>
      </c>
      <c r="F87" s="647">
        <v>82288.600000000006</v>
      </c>
      <c r="G87" s="705">
        <f t="shared" si="7"/>
        <v>32.200000000011642</v>
      </c>
      <c r="H87" s="460">
        <f>G87+'6'!H87</f>
        <v>215.60000000000582</v>
      </c>
      <c r="I87" s="652"/>
      <c r="J87" s="707">
        <f>H87/DAY(B2)</f>
        <v>30.800000000000832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651" t="s">
        <v>182</v>
      </c>
      <c r="E88" s="627">
        <f>'6'!F88</f>
        <v>156019.26</v>
      </c>
      <c r="F88" s="647">
        <v>156105.09</v>
      </c>
      <c r="G88" s="705">
        <f t="shared" si="7"/>
        <v>85.829999999987194</v>
      </c>
      <c r="H88" s="460">
        <f>G88+'6'!H88</f>
        <v>782.08999999999651</v>
      </c>
      <c r="I88" s="652"/>
      <c r="J88" s="707">
        <f>H88/DAY(B2)</f>
        <v>111.72714285714235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651" t="s">
        <v>182</v>
      </c>
      <c r="E89" s="627">
        <f>'6'!F89</f>
        <v>66022.7</v>
      </c>
      <c r="F89" s="647">
        <v>66099.5</v>
      </c>
      <c r="G89" s="705">
        <f t="shared" si="7"/>
        <v>76.80000000000291</v>
      </c>
      <c r="H89" s="460">
        <f>G89+'6'!H89</f>
        <v>253.5</v>
      </c>
      <c r="I89" s="652"/>
      <c r="J89" s="707">
        <f>H89/DAY(B2)</f>
        <v>36.214285714285715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651" t="s">
        <v>182</v>
      </c>
      <c r="E90" s="627">
        <f>'6'!F90</f>
        <v>3363.3</v>
      </c>
      <c r="F90" s="647">
        <v>3367.9</v>
      </c>
      <c r="G90" s="705">
        <f t="shared" si="7"/>
        <v>4.5999999999999091</v>
      </c>
      <c r="H90" s="460">
        <f>G90+'6'!H90</f>
        <v>23.900000000000091</v>
      </c>
      <c r="I90" s="652"/>
      <c r="J90" s="707">
        <f>H90/DAY(B2)</f>
        <v>3.4142857142857275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27">
        <f>'6'!F91</f>
        <v>28295.81</v>
      </c>
      <c r="F91" s="647">
        <v>28306.76</v>
      </c>
      <c r="G91" s="705">
        <f t="shared" si="7"/>
        <v>10.94999999999709</v>
      </c>
      <c r="H91" s="460">
        <f>G91+'6'!H91</f>
        <v>19.469999999997526</v>
      </c>
      <c r="I91" s="652"/>
      <c r="J91" s="707">
        <f>H91/DAY(B2)</f>
        <v>2.7814285714282181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'6'!F93</f>
        <v>247997</v>
      </c>
      <c r="F93" s="485">
        <v>248074</v>
      </c>
      <c r="G93" s="473">
        <f t="shared" ref="G93:G94" si="8">F93-E93</f>
        <v>77</v>
      </c>
      <c r="H93" s="460">
        <f>G93+'6'!H93</f>
        <v>722</v>
      </c>
      <c r="I93" s="480"/>
      <c r="J93" s="552">
        <f>H93/DAY(B2)</f>
        <v>103.14285714285714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'6'!F94</f>
        <v>190127</v>
      </c>
      <c r="F94" s="485">
        <v>190240</v>
      </c>
      <c r="G94" s="473">
        <f t="shared" si="8"/>
        <v>113</v>
      </c>
      <c r="H94" s="460">
        <f>G94+'6'!H94</f>
        <v>786</v>
      </c>
      <c r="I94" s="480"/>
      <c r="J94" s="552">
        <f>H94/DAY(B2)</f>
        <v>112.28571428571429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>
        <f>'6'!F95</f>
        <v>0</v>
      </c>
      <c r="F95" s="478"/>
      <c r="G95" s="473">
        <f>G93+G94</f>
        <v>190</v>
      </c>
      <c r="H95" s="460">
        <f>G95+'6'!H95</f>
        <v>1322</v>
      </c>
      <c r="I95" s="480"/>
      <c r="J95" s="552">
        <f>H95/DAY(B2)</f>
        <v>188.85714285714286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'6'!F96</f>
        <v>416613</v>
      </c>
      <c r="F96" s="478">
        <v>416689</v>
      </c>
      <c r="G96" s="473">
        <f t="shared" ref="G96:G101" si="9">F96-E96</f>
        <v>76</v>
      </c>
      <c r="H96" s="460">
        <f>G96+'6'!H96</f>
        <v>690</v>
      </c>
      <c r="I96" s="480"/>
      <c r="J96" s="552">
        <f>H96/DAY(B2)</f>
        <v>98.571428571428569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'6'!F97</f>
        <v>103294</v>
      </c>
      <c r="F97" s="478">
        <v>103309</v>
      </c>
      <c r="G97" s="473">
        <f t="shared" si="9"/>
        <v>15</v>
      </c>
      <c r="H97" s="460">
        <f>G97+'6'!H97</f>
        <v>146</v>
      </c>
      <c r="I97" s="480"/>
      <c r="J97" s="552">
        <f>H97/DAY(B2)</f>
        <v>20.857142857142858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'6'!F98</f>
        <v>98796</v>
      </c>
      <c r="F98" s="478">
        <v>98818</v>
      </c>
      <c r="G98" s="473">
        <f t="shared" si="9"/>
        <v>22</v>
      </c>
      <c r="H98" s="460">
        <f>G98+'6'!H98</f>
        <v>161</v>
      </c>
      <c r="I98" s="480"/>
      <c r="J98" s="552">
        <f>H98/DAY(B2)</f>
        <v>23</v>
      </c>
      <c r="K98" s="432"/>
      <c r="L98" s="377"/>
      <c r="N98" s="382"/>
    </row>
    <row r="99" spans="1:14" ht="27.75">
      <c r="A99" s="1139" t="s">
        <v>211</v>
      </c>
      <c r="B99" s="1140"/>
      <c r="C99" s="1140"/>
      <c r="D99" s="523" t="s">
        <v>143</v>
      </c>
      <c r="E99" s="484">
        <f>'6'!F99</f>
        <v>150632</v>
      </c>
      <c r="F99" s="478">
        <v>150650</v>
      </c>
      <c r="G99" s="473">
        <f t="shared" si="9"/>
        <v>18</v>
      </c>
      <c r="H99" s="460">
        <f>G99+'6'!H99</f>
        <v>245</v>
      </c>
      <c r="I99" s="480"/>
      <c r="J99" s="552">
        <f>H99/DAY(B2)</f>
        <v>35</v>
      </c>
      <c r="K99" s="380"/>
      <c r="L99" s="377"/>
      <c r="N99" s="704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'6'!F100</f>
        <v>7858</v>
      </c>
      <c r="F100" s="478">
        <v>7866</v>
      </c>
      <c r="G100" s="473">
        <f t="shared" si="9"/>
        <v>8</v>
      </c>
      <c r="H100" s="460">
        <f>G100+'6'!H100</f>
        <v>69</v>
      </c>
      <c r="I100" s="480"/>
      <c r="J100" s="552">
        <f>H100/DAY(B2)</f>
        <v>9.8571428571428577</v>
      </c>
      <c r="K100" s="380"/>
      <c r="L100" s="377"/>
      <c r="N100" s="382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'6'!F101</f>
        <v>5714</v>
      </c>
      <c r="F101" s="478">
        <v>5728</v>
      </c>
      <c r="G101" s="473">
        <f t="shared" si="9"/>
        <v>14</v>
      </c>
      <c r="H101" s="460">
        <f>G101+'6'!H101</f>
        <v>54</v>
      </c>
      <c r="I101" s="480"/>
      <c r="J101" s="552">
        <f>H101/DAY(B2)</f>
        <v>7.7142857142857144</v>
      </c>
      <c r="K101" s="380"/>
      <c r="L101" s="377"/>
      <c r="N101" s="382"/>
    </row>
    <row r="102" spans="1:14">
      <c r="A102" s="1591" t="s">
        <v>215</v>
      </c>
      <c r="B102" s="1592"/>
      <c r="C102" s="1593"/>
      <c r="D102" s="524"/>
      <c r="E102" s="524"/>
      <c r="F102" s="524"/>
      <c r="G102" s="525">
        <f>SUM(G96:G101)</f>
        <v>153</v>
      </c>
      <c r="H102" s="460">
        <f>G102+'6'!H102</f>
        <v>1365</v>
      </c>
      <c r="I102" s="526"/>
      <c r="J102" s="552">
        <f>H102/DAY(B2)</f>
        <v>195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484">
        <f>'6'!F105</f>
        <v>7767</v>
      </c>
      <c r="F105" s="658">
        <v>7767</v>
      </c>
      <c r="G105" s="532">
        <f>F105-E105</f>
        <v>0</v>
      </c>
      <c r="H105" s="460">
        <f>G105+'6'!H105</f>
        <v>130</v>
      </c>
      <c r="I105" s="532"/>
      <c r="J105" s="558">
        <f>H105/DAY(B2)</f>
        <v>18.571428571428573</v>
      </c>
      <c r="N105" s="382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484">
        <f>'6'!F106</f>
        <v>36207</v>
      </c>
      <c r="F106" s="659">
        <v>36218</v>
      </c>
      <c r="G106" s="532">
        <f t="shared" ref="G106:G107" si="10">F106-E106</f>
        <v>11</v>
      </c>
      <c r="H106" s="460">
        <f>G106+'6'!H106</f>
        <v>56</v>
      </c>
      <c r="I106" s="532"/>
      <c r="J106" s="558">
        <f>H106/DAY(B2)</f>
        <v>8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484">
        <f>'6'!F107</f>
        <v>19843</v>
      </c>
      <c r="F107" s="659">
        <v>19848</v>
      </c>
      <c r="G107" s="532">
        <f t="shared" si="10"/>
        <v>5</v>
      </c>
      <c r="H107" s="460">
        <f>G107+'6'!H107</f>
        <v>26</v>
      </c>
      <c r="I107" s="532"/>
      <c r="J107" s="558">
        <f>H107/DAY(B2)</f>
        <v>3.7142857142857144</v>
      </c>
      <c r="N107" s="382"/>
    </row>
    <row r="108" spans="1:14" s="442" customFormat="1" ht="27.75">
      <c r="A108" s="1553" t="s">
        <v>201</v>
      </c>
      <c r="B108" s="1554"/>
      <c r="C108" s="1138"/>
      <c r="D108" s="622"/>
      <c r="E108" s="532"/>
      <c r="F108" s="659"/>
      <c r="G108" s="532">
        <f>SUM(G105:G107)</f>
        <v>16</v>
      </c>
      <c r="H108" s="460">
        <f>G108+'6'!H108</f>
        <v>212</v>
      </c>
      <c r="I108" s="532"/>
      <c r="J108" s="558">
        <f>H108/DAY(B2)</f>
        <v>30.285714285714285</v>
      </c>
      <c r="N108" s="382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532"/>
      <c r="F109" s="659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532">
        <f>'6'!F110</f>
        <v>65320</v>
      </c>
      <c r="F110" s="659">
        <v>65394</v>
      </c>
      <c r="G110" s="532">
        <f>F110-E110</f>
        <v>74</v>
      </c>
      <c r="H110" s="460">
        <f>G110+'6'!H110</f>
        <v>551</v>
      </c>
      <c r="I110" s="532"/>
      <c r="J110" s="558">
        <f>H110/DAY(B2)</f>
        <v>78.714285714285708</v>
      </c>
      <c r="N110" s="382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532">
        <f>'6'!F111</f>
        <v>33349</v>
      </c>
      <c r="F111" s="659">
        <v>33374</v>
      </c>
      <c r="G111" s="532">
        <f t="shared" ref="G111:G112" si="11">F111-E111</f>
        <v>25</v>
      </c>
      <c r="H111" s="460">
        <f>G111+'6'!H111</f>
        <v>245</v>
      </c>
      <c r="I111" s="532"/>
      <c r="J111" s="558">
        <f>H111/DAY(B2)</f>
        <v>35</v>
      </c>
      <c r="N111" s="382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532">
        <f>'6'!F112</f>
        <v>4621.3</v>
      </c>
      <c r="F112" s="659">
        <v>4621.3</v>
      </c>
      <c r="G112" s="532">
        <f t="shared" si="11"/>
        <v>0</v>
      </c>
      <c r="H112" s="460">
        <f>G112+'6'!H112</f>
        <v>0.3000000000001819</v>
      </c>
      <c r="I112" s="532"/>
      <c r="J112" s="558">
        <f>H112/DAY(B2)</f>
        <v>4.2857142857168844E-2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532"/>
      <c r="F113" s="659"/>
      <c r="G113" s="532">
        <f>SUM(G110:G112)</f>
        <v>99</v>
      </c>
      <c r="H113" s="460">
        <f>G113+'6'!H113</f>
        <v>796.30000000000018</v>
      </c>
      <c r="I113" s="532"/>
      <c r="J113" s="558">
        <f>H113/DAY(B2)</f>
        <v>113.75714285714288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532"/>
      <c r="F114" s="659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'6'!F115</f>
        <v>12091</v>
      </c>
      <c r="F115" s="659">
        <v>12101</v>
      </c>
      <c r="G115" s="534">
        <f>F115-E115</f>
        <v>10</v>
      </c>
      <c r="H115" s="460">
        <f>G115+'6'!H115</f>
        <v>88</v>
      </c>
      <c r="I115" s="532"/>
      <c r="J115" s="558">
        <f>H115/DAY(B2)</f>
        <v>12.571428571428571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'6'!F116</f>
        <v>8591</v>
      </c>
      <c r="F116" s="659">
        <v>8603</v>
      </c>
      <c r="G116" s="534">
        <f t="shared" ref="G116:G117" si="12">F116-E116</f>
        <v>12</v>
      </c>
      <c r="H116" s="460">
        <f>G116+'6'!H116</f>
        <v>48</v>
      </c>
      <c r="I116" s="532"/>
      <c r="J116" s="558">
        <f>H116/DAY(B2)</f>
        <v>6.8571428571428568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22</v>
      </c>
      <c r="H118" s="460">
        <f>G118+'6'!H118</f>
        <v>136</v>
      </c>
      <c r="I118" s="534"/>
      <c r="J118" s="558">
        <f>H118/DAY(B2)</f>
        <v>19.428571428571427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135</v>
      </c>
      <c r="G119" s="536">
        <f>SUM(G19+G93)</f>
        <v>135</v>
      </c>
      <c r="H119" s="460">
        <f>G119+'6'!H119</f>
        <v>1147</v>
      </c>
      <c r="I119" s="535"/>
      <c r="J119" s="559">
        <f>H119/DAY(B2)</f>
        <v>163.85714285714286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135</v>
      </c>
      <c r="G120" s="536">
        <f>SUM(G96,G97,G98,G100,G101)</f>
        <v>135</v>
      </c>
      <c r="H120" s="460">
        <f>G120+'6'!H120</f>
        <v>1120</v>
      </c>
      <c r="I120" s="535"/>
      <c r="J120" s="559">
        <f>H120/DAY(B2)</f>
        <v>160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99</v>
      </c>
      <c r="G121" s="534">
        <f>SUM(G113)</f>
        <v>99</v>
      </c>
      <c r="H121" s="460">
        <f>G121+'6'!H121</f>
        <v>796.30000000000018</v>
      </c>
      <c r="I121" s="535"/>
      <c r="J121" s="559">
        <f>H121/DAY(B2)</f>
        <v>113.75714285714288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1056">
        <f>'6'!F124</f>
        <v>841355.86</v>
      </c>
      <c r="F124" s="1056">
        <v>841615.84</v>
      </c>
      <c r="G124" s="1057">
        <f t="shared" ref="G124:G128" si="13">F124-E124</f>
        <v>259.97999999998137</v>
      </c>
      <c r="H124" s="460">
        <f>G124+'6'!H124</f>
        <v>1945.8399999999674</v>
      </c>
      <c r="I124" s="526"/>
      <c r="J124" s="552">
        <f>H124/DAY(B2)</f>
        <v>277.97714285713818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1056">
        <f>'6'!F125</f>
        <v>73583.399999999994</v>
      </c>
      <c r="F125" s="485">
        <v>73583</v>
      </c>
      <c r="G125" s="473">
        <f t="shared" si="13"/>
        <v>-0.39999999999417923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1056">
        <f>'6'!F126</f>
        <v>149075.91</v>
      </c>
      <c r="F126" s="1062">
        <v>149155.32999999999</v>
      </c>
      <c r="G126" s="1058">
        <f t="shared" si="13"/>
        <v>79.419999999983702</v>
      </c>
      <c r="H126" s="460">
        <f>G126+'6'!H126</f>
        <v>558.32999999998719</v>
      </c>
      <c r="I126" s="526"/>
      <c r="J126" s="552">
        <f>H126/DAY(B2)</f>
        <v>79.761428571426748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1056">
        <f>'6'!F127</f>
        <v>32281.8</v>
      </c>
      <c r="F127" s="485">
        <v>32318.5</v>
      </c>
      <c r="G127" s="473">
        <f t="shared" si="13"/>
        <v>36.700000000000728</v>
      </c>
      <c r="H127" s="460">
        <f>G127+'6'!H127</f>
        <v>247.5</v>
      </c>
      <c r="I127" s="526"/>
      <c r="J127" s="552">
        <f>H127/DAY(B2)</f>
        <v>35.357142857142854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1056">
        <f>'6'!F128</f>
        <v>9027.7999999999993</v>
      </c>
      <c r="F128" s="485">
        <v>9029.2000000000007</v>
      </c>
      <c r="G128" s="473">
        <f t="shared" si="13"/>
        <v>1.4000000000014552</v>
      </c>
      <c r="H128" s="460">
        <f>G128+'6'!H128</f>
        <v>17.200000000000728</v>
      </c>
      <c r="I128" s="480"/>
      <c r="J128" s="552">
        <f>H128/DAY(B2)</f>
        <v>2.4571428571429612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1054">
        <f>G15-SUM(G124:G128)</f>
        <v>473.09000000020387</v>
      </c>
      <c r="H129" s="460">
        <f>G129+'6'!H129</f>
        <v>2594.1400000001413</v>
      </c>
      <c r="I129" s="480"/>
      <c r="J129" s="552">
        <f>H129/DAY(B2)</f>
        <v>370.59142857144877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522">
        <f>'6'!F133</f>
        <v>40559</v>
      </c>
      <c r="F133" s="485">
        <v>40576</v>
      </c>
      <c r="G133" s="473">
        <f t="shared" si="14"/>
        <v>17</v>
      </c>
      <c r="H133" s="460">
        <f>G133+'6'!H133</f>
        <v>123</v>
      </c>
      <c r="I133" s="480"/>
      <c r="J133" s="552">
        <f>H133/DAY(B2)</f>
        <v>17.571428571428573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701">
        <f>'6'!F134</f>
        <v>300.19</v>
      </c>
      <c r="F134" s="626">
        <v>300.19</v>
      </c>
      <c r="G134" s="773">
        <f t="shared" si="14"/>
        <v>0</v>
      </c>
      <c r="H134" s="460">
        <f>G134+'6'!H134</f>
        <v>0.18999999999999773</v>
      </c>
      <c r="I134" s="480">
        <f>G133+G134+G135+G136</f>
        <v>29.94999999999709</v>
      </c>
      <c r="J134" s="552">
        <f>H134/DAY(B2)</f>
        <v>2.714285714285682E-2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522">
        <f>'6'!F135</f>
        <v>42042.15</v>
      </c>
      <c r="F135" s="485">
        <v>42055.1</v>
      </c>
      <c r="G135" s="473">
        <f t="shared" si="14"/>
        <v>12.94999999999709</v>
      </c>
      <c r="H135" s="460">
        <f>G135+'6'!H135</f>
        <v>83.099999999998545</v>
      </c>
      <c r="I135" s="480"/>
      <c r="J135" s="552">
        <f>H135/DAY(B2)</f>
        <v>11.871428571428364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701">
        <f>'6'!F136</f>
        <v>32874</v>
      </c>
      <c r="F136" s="626">
        <v>32874</v>
      </c>
      <c r="G136" s="773">
        <f t="shared" si="14"/>
        <v>0</v>
      </c>
      <c r="H136" s="460">
        <f>G136+'6'!H136</f>
        <v>0</v>
      </c>
      <c r="I136" s="480"/>
      <c r="J136" s="552">
        <f>H136/DAY(B2)</f>
        <v>0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'6'!F137</f>
        <v>22925.1</v>
      </c>
      <c r="F137" s="651">
        <v>22934.21</v>
      </c>
      <c r="G137" s="473">
        <f t="shared" si="14"/>
        <v>9.1100000000005821</v>
      </c>
      <c r="H137" s="460">
        <f>G137+'6'!H137</f>
        <v>42.719999999997526</v>
      </c>
      <c r="I137" s="480">
        <f>G137+G138+G139</f>
        <v>9.1100000000005821</v>
      </c>
      <c r="J137" s="552">
        <f>H137/DAY(B2)</f>
        <v>6.1028571428567897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'6'!F138</f>
        <v>25095.02</v>
      </c>
      <c r="F138" s="651">
        <v>25095.02</v>
      </c>
      <c r="G138" s="473">
        <f t="shared" si="14"/>
        <v>0</v>
      </c>
      <c r="H138" s="460">
        <f>G138+'6'!H138</f>
        <v>3.6300000000010186</v>
      </c>
      <c r="I138" s="480"/>
      <c r="J138" s="552">
        <f>H138/DAY(B2)</f>
        <v>0.51857142857157412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1060">
        <f>'6'!F139</f>
        <v>70514.289999999994</v>
      </c>
      <c r="F139" s="1061">
        <v>70514.289999999994</v>
      </c>
      <c r="G139" s="1054">
        <f t="shared" si="14"/>
        <v>0</v>
      </c>
      <c r="H139" s="460">
        <f>G139+'6'!H139</f>
        <v>0.66999999999825377</v>
      </c>
      <c r="I139" s="480"/>
      <c r="J139" s="552">
        <f>H139/DAY(B2)</f>
        <v>9.5714285714036257E-2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522">
        <f>'6'!F140</f>
        <v>2191.73</v>
      </c>
      <c r="F140" s="485">
        <v>2201.29</v>
      </c>
      <c r="G140" s="473">
        <f t="shared" si="14"/>
        <v>9.5599999999999454</v>
      </c>
      <c r="H140" s="460">
        <f>G140+'6'!H140</f>
        <v>72.110000000000127</v>
      </c>
      <c r="I140" s="542">
        <f>G140+G141</f>
        <v>9.5599999999999454</v>
      </c>
      <c r="J140" s="552">
        <f>H140/DAY(B2)</f>
        <v>10.301428571428589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1059">
        <f>'6'!F141</f>
        <v>4637</v>
      </c>
      <c r="F141" s="1056">
        <v>4637</v>
      </c>
      <c r="G141" s="1057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5641.8999999999069</v>
      </c>
      <c r="H143" s="460">
        <f>G143+'6'!H143</f>
        <v>38591.529999999912</v>
      </c>
      <c r="I143" s="480"/>
      <c r="J143" s="552">
        <f>H143/DAY(B2)</f>
        <v>5513.0757142857019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0.25869725602723959</v>
      </c>
      <c r="H144" s="460">
        <f>G144+'6'!H144</f>
        <v>1.800800348062193</v>
      </c>
      <c r="I144" s="544"/>
      <c r="J144" s="552">
        <f>H144/DAY(B2)</f>
        <v>0.25725719258031327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6831.7899999999208</v>
      </c>
      <c r="H145" s="460">
        <f>G145+'6'!H145</f>
        <v>47030.979999999981</v>
      </c>
      <c r="I145" s="480"/>
      <c r="J145" s="552">
        <f>H145/DAY(B2)</f>
        <v>6718.711428571426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0.31325711670790757</v>
      </c>
      <c r="H146" s="460">
        <f>G146+'6'!H146</f>
        <v>2.1885247674387194</v>
      </c>
      <c r="I146" s="544"/>
      <c r="J146" s="552">
        <f>H146/DAY(B2)</f>
        <v>0.31264639534838851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3603.3999999999651</v>
      </c>
      <c r="H147" s="460">
        <f>G147+'6'!H147</f>
        <v>25964.459999999963</v>
      </c>
      <c r="I147" s="545"/>
      <c r="J147" s="552">
        <f>H147/DAY(B2)</f>
        <v>3709.2085714285663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0.1652261990408482</v>
      </c>
      <c r="H148" s="460">
        <f>G148+'6'!H148</f>
        <v>1.2117538028719015</v>
      </c>
      <c r="I148" s="545"/>
      <c r="J148" s="552">
        <f>H148/DAY(B2)</f>
        <v>0.17310768612455735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1549.2399999999907</v>
      </c>
      <c r="H149" s="460">
        <f>G149+'6'!H149</f>
        <v>11259.199999999953</v>
      </c>
      <c r="I149" s="480"/>
      <c r="J149" s="552">
        <f>H149/DAY(B2)</f>
        <v>1608.4571428571362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7.1037086252440637E-2</v>
      </c>
      <c r="H150" s="460">
        <f>G150+'6'!H150</f>
        <v>0.52429395935190959</v>
      </c>
      <c r="I150" s="545"/>
      <c r="J150" s="552">
        <f>H150/DAY(B2)</f>
        <v>7.4899137050272804E-2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2082.7699999999277</v>
      </c>
      <c r="H151" s="460">
        <f>G151+'6'!H151</f>
        <v>13375.05999999995</v>
      </c>
      <c r="I151" s="545"/>
      <c r="J151" s="552">
        <f>H151/DAY(B2)</f>
        <v>1910.72285714285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9.5500963139340284E-2</v>
      </c>
      <c r="H152" s="460">
        <f>G152+'6'!H152</f>
        <v>0.62201389615179736</v>
      </c>
      <c r="I152" s="480"/>
      <c r="J152" s="552">
        <f>H152/DAY(B2)</f>
        <v>8.8859128021685344E-2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1587.7400000000198</v>
      </c>
      <c r="H153" s="460">
        <f>G153+'6'!H153</f>
        <v>10555.660000000003</v>
      </c>
      <c r="I153" s="480"/>
      <c r="J153" s="552">
        <f>H153/DAY(B2)</f>
        <v>1507.951428571429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7.2802421397880374E-2</v>
      </c>
      <c r="H154" s="460">
        <f>G154+'6'!H154</f>
        <v>0.49276478924824119</v>
      </c>
      <c r="I154" s="568"/>
      <c r="J154" s="569">
        <f>H154/DAY(B2)</f>
        <v>7.039496989260588E-2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6" spans="1:14" ht="24.75" customHeight="1"/>
    <row r="157" spans="1:14" hidden="1"/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59">
        <f>'6'!F161</f>
        <v>41327.269999999997</v>
      </c>
      <c r="F161" s="658">
        <v>41404.589999999997</v>
      </c>
      <c r="G161" s="473">
        <f t="shared" ref="G161:G175" si="15">F161-E161</f>
        <v>77.319999999999709</v>
      </c>
    </row>
    <row r="162" spans="1:7">
      <c r="A162" s="784" t="s">
        <v>263</v>
      </c>
      <c r="B162" s="785"/>
      <c r="C162" s="785"/>
      <c r="D162" s="511" t="s">
        <v>186</v>
      </c>
      <c r="E162" s="1059">
        <f>'6'!F162</f>
        <v>110516.26</v>
      </c>
      <c r="F162" s="658">
        <v>110961.59</v>
      </c>
      <c r="G162" s="473">
        <f t="shared" si="15"/>
        <v>445.33000000000175</v>
      </c>
    </row>
    <row r="163" spans="1:7">
      <c r="A163" s="784" t="s">
        <v>264</v>
      </c>
      <c r="B163" s="785"/>
      <c r="C163" s="785"/>
      <c r="D163" s="511" t="s">
        <v>186</v>
      </c>
      <c r="E163" s="1059">
        <f>'6'!F163</f>
        <v>62472.43</v>
      </c>
      <c r="F163" s="658">
        <v>62675.17</v>
      </c>
      <c r="G163" s="473">
        <f t="shared" si="15"/>
        <v>202.73999999999796</v>
      </c>
    </row>
    <row r="164" spans="1:7">
      <c r="A164" s="784" t="s">
        <v>265</v>
      </c>
      <c r="B164" s="785"/>
      <c r="C164" s="785"/>
      <c r="D164" s="511" t="s">
        <v>186</v>
      </c>
      <c r="E164" s="1059">
        <f>'6'!F164</f>
        <v>6901.57</v>
      </c>
      <c r="F164" s="658">
        <v>6911.89</v>
      </c>
      <c r="G164" s="473">
        <f t="shared" si="15"/>
        <v>10.320000000000618</v>
      </c>
    </row>
    <row r="165" spans="1:7">
      <c r="A165" s="786" t="s">
        <v>97</v>
      </c>
      <c r="B165" s="604"/>
      <c r="C165" s="604"/>
      <c r="D165" s="511" t="s">
        <v>186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6" t="s">
        <v>187</v>
      </c>
      <c r="B166" s="604"/>
      <c r="C166" s="604"/>
      <c r="D166" s="511" t="s">
        <v>186</v>
      </c>
      <c r="E166" s="1059">
        <f>'6'!F166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1059">
        <f>'6'!F167</f>
        <v>172289.81</v>
      </c>
      <c r="F167" s="514">
        <f t="shared" si="16"/>
        <v>172723.35</v>
      </c>
      <c r="G167" s="473">
        <f t="shared" si="15"/>
        <v>433.54000000000815</v>
      </c>
    </row>
    <row r="168" spans="1:7" ht="27.75">
      <c r="A168" s="1546" t="s">
        <v>99</v>
      </c>
      <c r="B168" s="1546"/>
      <c r="C168" s="1546"/>
      <c r="D168" s="523" t="s">
        <v>186</v>
      </c>
      <c r="E168" s="1059">
        <f>'6'!F168</f>
        <v>172711.63</v>
      </c>
      <c r="F168" s="514">
        <f t="shared" si="16"/>
        <v>172978.93</v>
      </c>
      <c r="G168" s="473">
        <f t="shared" si="15"/>
        <v>267.29999999998836</v>
      </c>
    </row>
    <row r="169" spans="1:7" ht="27.75">
      <c r="A169" s="1546" t="s">
        <v>100</v>
      </c>
      <c r="B169" s="1546"/>
      <c r="C169" s="1546"/>
      <c r="D169" s="523" t="s">
        <v>186</v>
      </c>
      <c r="E169" s="1059">
        <f>'6'!F169</f>
        <v>70486.509999999995</v>
      </c>
      <c r="F169" s="514">
        <f t="shared" si="16"/>
        <v>70913.820000000007</v>
      </c>
      <c r="G169" s="473">
        <f t="shared" si="15"/>
        <v>427.31000000001222</v>
      </c>
    </row>
    <row r="170" spans="1:7" ht="27.75">
      <c r="A170" s="1546" t="s">
        <v>101</v>
      </c>
      <c r="B170" s="1546"/>
      <c r="C170" s="1546"/>
      <c r="D170" s="523" t="s">
        <v>186</v>
      </c>
      <c r="E170" s="1059">
        <f>'6'!F170</f>
        <v>267883.99</v>
      </c>
      <c r="F170" s="514">
        <f t="shared" si="16"/>
        <v>268376.69</v>
      </c>
      <c r="G170" s="473">
        <f t="shared" si="15"/>
        <v>492.70000000001164</v>
      </c>
    </row>
    <row r="171" spans="1:7" ht="27.75">
      <c r="A171" s="1546" t="s">
        <v>102</v>
      </c>
      <c r="B171" s="1546"/>
      <c r="C171" s="1546"/>
      <c r="D171" s="523" t="s">
        <v>186</v>
      </c>
      <c r="E171" s="1059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1059">
        <f>'6'!F172</f>
        <v>88975.85</v>
      </c>
      <c r="F172" s="514">
        <f t="shared" si="16"/>
        <v>89197.440000000002</v>
      </c>
      <c r="G172" s="473">
        <f t="shared" si="15"/>
        <v>221.58999999999651</v>
      </c>
    </row>
    <row r="173" spans="1:7">
      <c r="A173" s="1587" t="s">
        <v>352</v>
      </c>
      <c r="B173" s="1550"/>
      <c r="C173" s="785"/>
      <c r="D173" s="523" t="s">
        <v>186</v>
      </c>
      <c r="E173" s="1059">
        <f>'6'!F173</f>
        <v>19030.7</v>
      </c>
      <c r="F173" s="532">
        <v>19035.3</v>
      </c>
      <c r="G173" s="473">
        <f t="shared" si="15"/>
        <v>4.5999999999985448</v>
      </c>
    </row>
    <row r="174" spans="1:7">
      <c r="A174" s="1587" t="s">
        <v>352</v>
      </c>
      <c r="B174" s="1550"/>
      <c r="C174" s="785"/>
      <c r="D174" s="523" t="s">
        <v>186</v>
      </c>
      <c r="E174" s="1059">
        <f>'6'!F174</f>
        <v>70373.2</v>
      </c>
      <c r="F174" s="532">
        <v>70379.399999999994</v>
      </c>
      <c r="G174" s="473">
        <f t="shared" si="15"/>
        <v>6.1999999999970896</v>
      </c>
    </row>
    <row r="175" spans="1:7">
      <c r="A175" s="1587" t="s">
        <v>353</v>
      </c>
      <c r="B175" s="1550"/>
      <c r="C175" s="785"/>
      <c r="D175" s="523" t="s">
        <v>186</v>
      </c>
      <c r="E175" s="1059">
        <f>'6'!F175</f>
        <v>27654.5</v>
      </c>
      <c r="F175" s="532">
        <v>27658.7</v>
      </c>
      <c r="G175" s="473">
        <f t="shared" si="15"/>
        <v>4.2000000000007276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2:C102"/>
    <mergeCell ref="A122:B122"/>
    <mergeCell ref="A114:B114"/>
    <mergeCell ref="A115:B115"/>
    <mergeCell ref="A116:B116"/>
    <mergeCell ref="A117:B117"/>
    <mergeCell ref="A118:B118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7"/>
  <sheetViews>
    <sheetView view="pageBreakPreview" zoomScale="55" zoomScaleSheetLayoutView="55" workbookViewId="0">
      <selection activeCell="F78" sqref="F78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356</v>
      </c>
      <c r="B2" s="1031">
        <v>44385</v>
      </c>
      <c r="C2" s="1141" t="s">
        <v>68</v>
      </c>
      <c r="D2" s="611">
        <v>0.88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27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131</v>
      </c>
      <c r="E7" s="633">
        <f>'7'!F7</f>
        <v>72175.240000000005</v>
      </c>
      <c r="F7" s="455">
        <v>93795.56</v>
      </c>
      <c r="G7" s="678">
        <f>F7-E7</f>
        <v>21620.319999999992</v>
      </c>
      <c r="H7" s="679">
        <f>G7+'7'!H7</f>
        <v>171842.56000000006</v>
      </c>
      <c r="I7" s="680">
        <f>'1'!I7</f>
        <v>12000</v>
      </c>
      <c r="J7" s="681">
        <f>H7/DAY(B2)</f>
        <v>21480.320000000007</v>
      </c>
      <c r="K7" s="549"/>
      <c r="L7" s="377"/>
      <c r="N7" s="708">
        <v>11335</v>
      </c>
      <c r="O7" s="382">
        <f>G7-N7</f>
        <v>10285.319999999992</v>
      </c>
    </row>
    <row r="8" spans="1:15" ht="27.75" thickBot="1">
      <c r="A8" s="682" t="s">
        <v>132</v>
      </c>
      <c r="B8" s="683"/>
      <c r="C8" s="684"/>
      <c r="D8" s="685" t="s">
        <v>25</v>
      </c>
      <c r="E8" s="633">
        <f>'7'!F8</f>
        <v>77732.62</v>
      </c>
      <c r="F8" s="475">
        <v>99453.79</v>
      </c>
      <c r="G8" s="689">
        <f>F8-E8</f>
        <v>21721.17</v>
      </c>
      <c r="H8" s="679">
        <f>G8+'7'!H8</f>
        <v>172731.78999999998</v>
      </c>
      <c r="I8" s="686">
        <v>12000</v>
      </c>
      <c r="J8" s="681">
        <f>H8/DAY(B2)</f>
        <v>21591.473749999997</v>
      </c>
      <c r="K8" s="549"/>
      <c r="L8" s="425"/>
      <c r="M8" s="440"/>
      <c r="N8" s="703"/>
    </row>
    <row r="9" spans="1:15">
      <c r="A9" s="687" t="s">
        <v>133</v>
      </c>
      <c r="B9" s="688"/>
      <c r="C9" s="688"/>
      <c r="D9" s="637" t="s">
        <v>131</v>
      </c>
      <c r="E9" s="633">
        <f>'7'!F9</f>
        <v>2178263.2999999998</v>
      </c>
      <c r="F9" s="478">
        <v>2199177.2999999998</v>
      </c>
      <c r="G9" s="702">
        <f t="shared" ref="G9:G12" si="0">F9-E9</f>
        <v>20914</v>
      </c>
      <c r="H9" s="679">
        <f>G9+'7'!H9</f>
        <v>168175.29999999981</v>
      </c>
      <c r="I9" s="690">
        <f>I7-J7</f>
        <v>-9480.320000000007</v>
      </c>
      <c r="J9" s="681">
        <f>H9/DAY(B2)</f>
        <v>21021.912499999977</v>
      </c>
      <c r="K9" s="428"/>
      <c r="L9" s="377"/>
      <c r="N9" s="382"/>
    </row>
    <row r="10" spans="1:15">
      <c r="A10" s="676" t="s">
        <v>134</v>
      </c>
      <c r="B10" s="677"/>
      <c r="C10" s="677"/>
      <c r="D10" s="637" t="s">
        <v>131</v>
      </c>
      <c r="E10" s="633">
        <f>'7'!F10</f>
        <v>2606.5500000000002</v>
      </c>
      <c r="F10" s="478">
        <v>2606.5500000000002</v>
      </c>
      <c r="G10" s="689">
        <f t="shared" si="0"/>
        <v>0</v>
      </c>
      <c r="H10" s="679">
        <f>G10+'7'!H10</f>
        <v>0</v>
      </c>
      <c r="I10" s="691"/>
      <c r="J10" s="681">
        <f>H10/DAY(B2)</f>
        <v>0</v>
      </c>
      <c r="K10" s="428"/>
      <c r="L10" s="377"/>
      <c r="N10" s="382"/>
    </row>
    <row r="11" spans="1:15">
      <c r="A11" s="676" t="s">
        <v>135</v>
      </c>
      <c r="B11" s="677"/>
      <c r="C11" s="677"/>
      <c r="D11" s="637" t="s">
        <v>131</v>
      </c>
      <c r="E11" s="633">
        <f>'7'!F11</f>
        <v>37000</v>
      </c>
      <c r="F11" s="455">
        <v>37000</v>
      </c>
      <c r="G11" s="689">
        <f t="shared" si="0"/>
        <v>0</v>
      </c>
      <c r="H11" s="679">
        <f>G11+'7'!H11</f>
        <v>0</v>
      </c>
      <c r="I11" s="691"/>
      <c r="J11" s="681">
        <f>H11/DAY(B2)</f>
        <v>0</v>
      </c>
      <c r="K11" s="428"/>
      <c r="L11" s="377"/>
      <c r="N11" s="382"/>
    </row>
    <row r="12" spans="1:15">
      <c r="A12" s="676" t="s">
        <v>136</v>
      </c>
      <c r="B12" s="677"/>
      <c r="C12" s="677"/>
      <c r="D12" s="637" t="s">
        <v>131</v>
      </c>
      <c r="E12" s="633">
        <f>'7'!F12</f>
        <v>40010</v>
      </c>
      <c r="F12" s="478">
        <v>40010</v>
      </c>
      <c r="G12" s="689">
        <f t="shared" si="0"/>
        <v>0</v>
      </c>
      <c r="H12" s="679">
        <f>G12+'7'!H12</f>
        <v>0</v>
      </c>
      <c r="I12" s="691"/>
      <c r="J12" s="681">
        <f>H12/DAY(B2)</f>
        <v>0</v>
      </c>
      <c r="K12" s="428"/>
      <c r="L12" s="377"/>
      <c r="N12" s="382"/>
    </row>
    <row r="13" spans="1:15">
      <c r="A13" s="692" t="s">
        <v>137</v>
      </c>
      <c r="B13" s="693"/>
      <c r="C13" s="693"/>
      <c r="D13" s="637"/>
      <c r="E13" s="633"/>
      <c r="F13" s="455">
        <v>0</v>
      </c>
      <c r="G13" s="694">
        <f>G9+G10+G11+G12</f>
        <v>20914</v>
      </c>
      <c r="H13" s="679">
        <f>G13+'7'!H13</f>
        <v>168175.29999999981</v>
      </c>
      <c r="I13" s="695">
        <f>G7-G13</f>
        <v>706.31999999999243</v>
      </c>
      <c r="J13" s="681">
        <f>H13/DAY(B2)</f>
        <v>21021.912499999977</v>
      </c>
      <c r="K13" s="428"/>
      <c r="L13" s="377"/>
      <c r="N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214</v>
      </c>
    </row>
    <row r="15" spans="1:15">
      <c r="A15" s="665" t="s">
        <v>139</v>
      </c>
      <c r="B15" s="666"/>
      <c r="C15" s="666"/>
      <c r="D15" s="667" t="s">
        <v>140</v>
      </c>
      <c r="E15" s="668">
        <f>'7'!F15</f>
        <v>1709045.61</v>
      </c>
      <c r="F15" s="485">
        <v>1709867.16</v>
      </c>
      <c r="G15" s="664">
        <f>(F15-E15)</f>
        <v>821.54999999981374</v>
      </c>
      <c r="H15" s="1459">
        <f>G15+'7'!H15</f>
        <v>6184.1599999999162</v>
      </c>
      <c r="I15" s="1460">
        <v>800</v>
      </c>
      <c r="J15" s="1461">
        <f>H15/DAY(B2)</f>
        <v>773.01999999998952</v>
      </c>
      <c r="K15" s="428"/>
      <c r="L15" s="377"/>
      <c r="N15" s="382"/>
    </row>
    <row r="16" spans="1:15">
      <c r="A16" s="673"/>
      <c r="B16" s="674"/>
      <c r="C16" s="674"/>
      <c r="D16" s="667"/>
      <c r="E16" s="668"/>
      <c r="F16" s="700"/>
      <c r="G16" s="669"/>
      <c r="H16" s="670"/>
      <c r="I16" s="675">
        <f>I15-J15</f>
        <v>26.980000000010477</v>
      </c>
      <c r="J16" s="672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'7'!F18</f>
        <v>11</v>
      </c>
      <c r="F18" s="626">
        <v>10</v>
      </c>
      <c r="G18" s="694">
        <f>F18*10</f>
        <v>100</v>
      </c>
      <c r="H18" s="679">
        <f>G18+'7'!H18</f>
        <v>1030</v>
      </c>
      <c r="I18" s="680">
        <f>'1'!I18</f>
        <v>65</v>
      </c>
      <c r="J18" s="681">
        <f>H18/DAY(B2)</f>
        <v>128.75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'7'!F19</f>
        <v>141920</v>
      </c>
      <c r="F19" s="478">
        <v>141981</v>
      </c>
      <c r="G19" s="689">
        <f t="shared" ref="G19" si="1">F19-E19</f>
        <v>61</v>
      </c>
      <c r="H19" s="679">
        <f>G19+'7'!H19</f>
        <v>486</v>
      </c>
      <c r="I19" s="696"/>
      <c r="J19" s="681">
        <f>H19/DAY(B2)</f>
        <v>60.75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161</v>
      </c>
      <c r="H20" s="679">
        <f>G20+'7'!H20</f>
        <v>1516</v>
      </c>
      <c r="I20" s="698">
        <f>I18-J20</f>
        <v>-124.5</v>
      </c>
      <c r="J20" s="681">
        <f>H20/DAY(B2)</f>
        <v>189.5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93">
        <f>'7'!F24</f>
        <v>4970</v>
      </c>
      <c r="F24" s="493">
        <v>4970</v>
      </c>
      <c r="G24" s="759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21721.17</v>
      </c>
      <c r="F27" s="501">
        <v>9</v>
      </c>
      <c r="G27" s="502">
        <f>E27*F27</f>
        <v>195490.52999999997</v>
      </c>
      <c r="H27" s="460">
        <f>G27+'7'!H27</f>
        <v>1554586.1099999999</v>
      </c>
      <c r="I27" s="503"/>
      <c r="J27" s="552">
        <f>H27/DAY(B2)</f>
        <v>194323.26374999998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821.54999999981374</v>
      </c>
      <c r="F28" s="501">
        <v>52</v>
      </c>
      <c r="G28" s="502">
        <f t="shared" ref="G28:G31" si="2">E28*F28</f>
        <v>42720.599999990314</v>
      </c>
      <c r="H28" s="460">
        <f>G28+'7'!H28</f>
        <v>321576.31999999564</v>
      </c>
      <c r="I28" s="505"/>
      <c r="J28" s="552">
        <f>H28/DAY(B2)</f>
        <v>40197.039999999455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 t="shared" si="2"/>
        <v>8906</v>
      </c>
      <c r="H30" s="460">
        <f>G30+'7'!H30</f>
        <v>70372</v>
      </c>
      <c r="I30" s="505"/>
      <c r="J30" s="552">
        <f>H30/DAY(B2)</f>
        <v>8796.5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100</v>
      </c>
      <c r="F31" s="501">
        <v>80</v>
      </c>
      <c r="G31" s="502">
        <f t="shared" si="2"/>
        <v>8000</v>
      </c>
      <c r="H31" s="460">
        <f>G31+'7'!H31</f>
        <v>76800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255117.12999999028</v>
      </c>
      <c r="H32" s="460">
        <f>G32+'7'!H32</f>
        <v>2023334.4299999953</v>
      </c>
      <c r="I32" s="509"/>
      <c r="J32" s="552">
        <f>H32/DAY(B2)</f>
        <v>252916.80374999941</v>
      </c>
      <c r="K32" s="373"/>
      <c r="L32" s="443"/>
      <c r="N32" s="382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'7'!F35</f>
        <v>1049089.8999999999</v>
      </c>
      <c r="F35" s="510">
        <v>1052231.6000000001</v>
      </c>
      <c r="G35" s="473">
        <f t="shared" ref="G35:G46" si="3">F35-E35</f>
        <v>3141.7000000001863</v>
      </c>
      <c r="H35" s="460">
        <f>G35+'7'!H35</f>
        <v>23517.600000000093</v>
      </c>
      <c r="I35" s="455"/>
      <c r="J35" s="552">
        <f>H35/DAY(B2)</f>
        <v>2939.7000000000116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'7'!F36</f>
        <v>25963.99</v>
      </c>
      <c r="F36" s="510">
        <v>26638.62</v>
      </c>
      <c r="G36" s="473">
        <f t="shared" si="3"/>
        <v>674.62999999999738</v>
      </c>
      <c r="H36" s="460">
        <f>G36+'7'!H36</f>
        <v>6177.619999999999</v>
      </c>
      <c r="I36" s="455"/>
      <c r="J36" s="552">
        <f>H36/DAY(B2)</f>
        <v>772.20249999999987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'7'!F37</f>
        <v>187125.79</v>
      </c>
      <c r="F37" s="510">
        <v>188689.01</v>
      </c>
      <c r="G37" s="473">
        <f t="shared" si="3"/>
        <v>1563.2200000000012</v>
      </c>
      <c r="H37" s="460">
        <f>G37+'7'!H37</f>
        <v>12119.010000000009</v>
      </c>
      <c r="I37" s="455"/>
      <c r="J37" s="552">
        <f>H37/DAY(B2)</f>
        <v>1514.8762500000012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469">
        <f>'7'!F38</f>
        <v>209718.13</v>
      </c>
      <c r="F38" s="469">
        <v>211263.29</v>
      </c>
      <c r="G38" s="473">
        <f t="shared" si="3"/>
        <v>1545.1600000000035</v>
      </c>
      <c r="H38" s="460">
        <f>G38+'7'!H38</f>
        <v>12804.290000000008</v>
      </c>
      <c r="I38" s="455"/>
      <c r="J38" s="552">
        <f>H38/DAY(B2)</f>
        <v>1600.536250000001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'7'!F39</f>
        <v>430828.79</v>
      </c>
      <c r="F39" s="510">
        <v>434381.19</v>
      </c>
      <c r="G39" s="473">
        <f t="shared" si="3"/>
        <v>3552.4000000000233</v>
      </c>
      <c r="H39" s="460">
        <f>G39+'7'!H39</f>
        <v>29517.190000000002</v>
      </c>
      <c r="I39" s="455"/>
      <c r="J39" s="552">
        <f>H39/DAY(B2)</f>
        <v>3689.6487500000003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'7'!F40</f>
        <v>9831.77</v>
      </c>
      <c r="F40" s="510">
        <v>10218.9</v>
      </c>
      <c r="G40" s="473">
        <f t="shared" si="3"/>
        <v>387.1299999999992</v>
      </c>
      <c r="H40" s="460">
        <f>G40+'7'!H40</f>
        <v>3105.8999999999996</v>
      </c>
      <c r="I40" s="455"/>
      <c r="J40" s="552">
        <f>H40/DAY(B2)</f>
        <v>388.23749999999995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'7'!F41</f>
        <v>358143.27</v>
      </c>
      <c r="F41" s="1055">
        <v>359557.35</v>
      </c>
      <c r="G41" s="473">
        <f t="shared" si="3"/>
        <v>1414.0799999999581</v>
      </c>
      <c r="H41" s="460">
        <f>G41+'7'!H41</f>
        <v>29915.349999999977</v>
      </c>
      <c r="I41" s="455"/>
      <c r="J41" s="552">
        <f>H41/DAY(B2)</f>
        <v>3739.4187499999971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'7'!F42</f>
        <v>59210.080000000002</v>
      </c>
      <c r="F42" s="510">
        <v>59210.080000000002</v>
      </c>
      <c r="G42" s="473">
        <f t="shared" si="3"/>
        <v>0</v>
      </c>
      <c r="H42" s="460">
        <f>G42+'7'!H42</f>
        <v>11.190000000002328</v>
      </c>
      <c r="I42" s="455"/>
      <c r="J42" s="552">
        <f>H42/DAY(B2)</f>
        <v>1.398750000000291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'7'!F43</f>
        <v>1138667.5</v>
      </c>
      <c r="F43" s="510">
        <v>1141436.5</v>
      </c>
      <c r="G43" s="473">
        <f t="shared" si="3"/>
        <v>2769</v>
      </c>
      <c r="H43" s="460">
        <f>G43+'7'!H43</f>
        <v>20984.5</v>
      </c>
      <c r="I43" s="455"/>
      <c r="J43" s="552">
        <f>H43/DAY(B2)</f>
        <v>2623.0625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614</v>
      </c>
      <c r="I45" s="455"/>
      <c r="J45" s="552">
        <f>H45/DAY(B2)</f>
        <v>76.75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187</v>
      </c>
      <c r="I46" s="455"/>
      <c r="J46" s="552">
        <f>H46/DAY(B2)</f>
        <v>23.375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15047.320000000169</v>
      </c>
      <c r="H47" s="460">
        <f>G47+'7'!H47</f>
        <v>138953.65000000008</v>
      </c>
      <c r="I47" s="455"/>
      <c r="J47" s="552">
        <f>H47/DAY(B2)</f>
        <v>17369.20625000001</v>
      </c>
      <c r="K47" s="428"/>
      <c r="L47" s="377"/>
      <c r="N47" s="382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'7'!F49</f>
        <v>260732.13</v>
      </c>
      <c r="F49" s="1055">
        <v>260732.13</v>
      </c>
      <c r="G49" s="473">
        <f t="shared" ref="G49:G58" si="4">F49-E49</f>
        <v>0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'7'!F50</f>
        <v>542535.06999999995</v>
      </c>
      <c r="F50" s="510">
        <v>543624.69999999995</v>
      </c>
      <c r="G50" s="473">
        <f>F50-E50</f>
        <v>1089.6300000000047</v>
      </c>
      <c r="H50" s="460">
        <f>G50+'7'!H50</f>
        <v>8961.6999999999534</v>
      </c>
      <c r="I50" s="455"/>
      <c r="J50" s="552">
        <f>H50/DAY(B2)</f>
        <v>1120.2124999999942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'7'!F51</f>
        <v>144639.87</v>
      </c>
      <c r="F51" s="1055">
        <v>144639.87</v>
      </c>
      <c r="G51" s="473">
        <f t="shared" si="4"/>
        <v>0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'7'!F52</f>
        <v>539606.06999999995</v>
      </c>
      <c r="F52" s="1055">
        <v>539606.06999999995</v>
      </c>
      <c r="G52" s="473">
        <f t="shared" si="4"/>
        <v>0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'7'!F53</f>
        <v>434231.67</v>
      </c>
      <c r="F53" s="1055">
        <v>434231.67</v>
      </c>
      <c r="G53" s="473">
        <f t="shared" si="4"/>
        <v>0</v>
      </c>
      <c r="H53" s="460">
        <f>G53+'7'!H53</f>
        <v>-0.33000000001629815</v>
      </c>
      <c r="I53" s="455"/>
      <c r="J53" s="552">
        <f>H53/DAY(B2)</f>
        <v>-4.1250000002037268E-2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'7'!F54</f>
        <v>14967</v>
      </c>
      <c r="F54" s="510">
        <v>14967</v>
      </c>
      <c r="G54" s="473">
        <f t="shared" si="4"/>
        <v>0</v>
      </c>
      <c r="H54" s="460">
        <f>G54+'7'!H54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'7'!F55</f>
        <v>136079.04999999999</v>
      </c>
      <c r="F55" s="653">
        <v>141395.53</v>
      </c>
      <c r="G55" s="652">
        <f t="shared" si="4"/>
        <v>5316.4800000000105</v>
      </c>
      <c r="H55" s="705">
        <f>G55+'7'!H55</f>
        <v>23759.53</v>
      </c>
      <c r="I55" s="706"/>
      <c r="J55" s="707">
        <f>H55/DAY(B2)</f>
        <v>2969.9412499999999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'7'!F56</f>
        <v>649107.47</v>
      </c>
      <c r="F56" s="653">
        <v>649118.23</v>
      </c>
      <c r="G56" s="473">
        <f t="shared" si="4"/>
        <v>10.760000000009313</v>
      </c>
      <c r="H56" s="460">
        <f>G56+'7'!H56</f>
        <v>86.229999999981374</v>
      </c>
      <c r="I56" s="455"/>
      <c r="J56" s="552">
        <f>H56/DAY(B2)</f>
        <v>10.778749999997672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'7'!F57</f>
        <v>7711</v>
      </c>
      <c r="F57" s="1055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'7'!F58</f>
        <v>55026.6</v>
      </c>
      <c r="F58" s="653">
        <v>55203.97</v>
      </c>
      <c r="G58" s="473">
        <f t="shared" si="4"/>
        <v>177.37000000000262</v>
      </c>
      <c r="H58" s="460">
        <f>G58+'7'!H58</f>
        <v>1217.9700000000012</v>
      </c>
      <c r="I58" s="455"/>
      <c r="J58" s="552">
        <f>H58/DAY(B2)</f>
        <v>152.24625000000015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6594.2400000000271</v>
      </c>
      <c r="H59" s="460">
        <f>G59+'7'!H59</f>
        <v>34025.169999999867</v>
      </c>
      <c r="I59" s="455">
        <f>G7-G60</f>
        <v>-21.24000000020169</v>
      </c>
      <c r="J59" s="552">
        <f>H59/DAY(B2)</f>
        <v>4253.1462499999834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21641.560000000194</v>
      </c>
      <c r="H60" s="460">
        <f>G60+'7'!H60</f>
        <v>172978.81999999998</v>
      </c>
      <c r="I60" s="455">
        <f>G13-G60</f>
        <v>-727.56000000019412</v>
      </c>
      <c r="J60" s="552">
        <f>H60/DAY(B2)</f>
        <v>21622.352499999997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0">
        <f>'7'!F62</f>
        <v>0</v>
      </c>
      <c r="F62" s="514">
        <v>0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'7'!F63</f>
        <v>0</v>
      </c>
      <c r="F63" s="514">
        <v>0</v>
      </c>
      <c r="G63" s="473">
        <f t="shared" si="5"/>
        <v>0</v>
      </c>
      <c r="H63" s="460">
        <f>G63+'7'!H63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514">
        <f>'7'!F64</f>
        <v>172723.35</v>
      </c>
      <c r="F64" s="478">
        <v>173248.39</v>
      </c>
      <c r="G64" s="473">
        <f t="shared" si="5"/>
        <v>525.04000000000815</v>
      </c>
      <c r="H64" s="460">
        <f>G64+'7'!H64</f>
        <v>3226.390000000014</v>
      </c>
      <c r="I64" s="480"/>
      <c r="J64" s="552">
        <f>H64/DAY(B2)</f>
        <v>403.29875000000175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514">
        <f>'7'!F65</f>
        <v>172978.93</v>
      </c>
      <c r="F65" s="651">
        <v>173250.75</v>
      </c>
      <c r="G65" s="473">
        <f t="shared" si="5"/>
        <v>271.82000000000698</v>
      </c>
      <c r="H65" s="460">
        <f>G65+'7'!H65</f>
        <v>2948.75</v>
      </c>
      <c r="I65" s="489"/>
      <c r="J65" s="552">
        <f>H65/DAY(B2)</f>
        <v>368.59375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514">
        <f>'7'!F66</f>
        <v>70913.820000000007</v>
      </c>
      <c r="F66" s="478">
        <v>71312.03</v>
      </c>
      <c r="G66" s="473">
        <f t="shared" si="5"/>
        <v>398.20999999999185</v>
      </c>
      <c r="H66" s="460">
        <f>G66+'7'!H66</f>
        <v>3342.0299999999988</v>
      </c>
      <c r="I66" s="480"/>
      <c r="J66" s="552">
        <f>H66/DAY(B2)</f>
        <v>417.75374999999985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514">
        <f>'7'!F67</f>
        <v>268376.69</v>
      </c>
      <c r="F67" s="478">
        <v>268821.13</v>
      </c>
      <c r="G67" s="473">
        <f t="shared" si="5"/>
        <v>444.44000000000233</v>
      </c>
      <c r="H67" s="460">
        <f>G67+'7'!H67</f>
        <v>3862.1300000000047</v>
      </c>
      <c r="I67" s="489"/>
      <c r="J67" s="552">
        <f>H67/DAY(B2)</f>
        <v>482.76625000000058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514">
        <f>'7'!F69</f>
        <v>89197.440000000002</v>
      </c>
      <c r="F69" s="478">
        <v>89459.06</v>
      </c>
      <c r="G69" s="473">
        <f t="shared" si="5"/>
        <v>261.61999999999534</v>
      </c>
      <c r="H69" s="460">
        <f>G69+'7'!H69</f>
        <v>1944.0599999999977</v>
      </c>
      <c r="I69" s="516"/>
      <c r="J69" s="552">
        <f>H69/DAY(B2)</f>
        <v>243.00749999999971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 t="s">
        <v>267</v>
      </c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'7'!F72</f>
        <v>856303</v>
      </c>
      <c r="F72" s="654">
        <v>856316</v>
      </c>
      <c r="G72" s="473">
        <f t="shared" ref="G72:G84" si="6">F72-E72</f>
        <v>13</v>
      </c>
      <c r="H72" s="460">
        <f>G72+'7'!H72</f>
        <v>94</v>
      </c>
      <c r="I72" s="480"/>
      <c r="J72" s="552">
        <f>H72/DAY(B2)</f>
        <v>11.75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519">
        <f>'7'!F73</f>
        <v>885981</v>
      </c>
      <c r="F73" s="655">
        <v>885982</v>
      </c>
      <c r="G73" s="652">
        <f t="shared" si="6"/>
        <v>1</v>
      </c>
      <c r="H73" s="460">
        <f>G73+'7'!H73</f>
        <v>10</v>
      </c>
      <c r="I73" s="480"/>
      <c r="J73" s="552">
        <f>H73/DAY(B2)</f>
        <v>1.25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519">
        <f>'7'!F74</f>
        <v>88704.3</v>
      </c>
      <c r="F74" s="654">
        <v>88705.3</v>
      </c>
      <c r="G74" s="473">
        <f t="shared" si="6"/>
        <v>1</v>
      </c>
      <c r="H74" s="460">
        <f>G74+'7'!H74</f>
        <v>9.3000000000029104</v>
      </c>
      <c r="I74" s="480"/>
      <c r="J74" s="552">
        <f>H74/DAY(B2)</f>
        <v>1.1625000000003638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519">
        <f>'7'!F75</f>
        <v>17104.669999999998</v>
      </c>
      <c r="F75" s="655">
        <v>17248.810000000001</v>
      </c>
      <c r="G75" s="473">
        <f t="shared" si="6"/>
        <v>144.14000000000306</v>
      </c>
      <c r="H75" s="460">
        <f>G75+'7'!H75</f>
        <v>1177.8100000000013</v>
      </c>
      <c r="I75" s="480"/>
      <c r="J75" s="552">
        <f>H75/DAY(B2)</f>
        <v>147.22625000000016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519">
        <f>'7'!F76</f>
        <v>9803.36</v>
      </c>
      <c r="F76" s="655">
        <v>9870.58</v>
      </c>
      <c r="G76" s="473">
        <f t="shared" si="6"/>
        <v>67.219999999999345</v>
      </c>
      <c r="H76" s="460">
        <f>G76+'7'!H76</f>
        <v>534.57999999999993</v>
      </c>
      <c r="I76" s="505"/>
      <c r="J76" s="552">
        <f>H76/DAY(B2)</f>
        <v>66.822499999999991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519">
        <f>'7'!F77</f>
        <v>704787</v>
      </c>
      <c r="F77" s="654">
        <v>704858</v>
      </c>
      <c r="G77" s="652">
        <f t="shared" si="6"/>
        <v>71</v>
      </c>
      <c r="H77" s="460">
        <f>G77+'7'!H77</f>
        <v>484</v>
      </c>
      <c r="I77" s="505"/>
      <c r="J77" s="552">
        <f>H77/DAY(B2)</f>
        <v>60.5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19">
        <f>'7'!F78</f>
        <v>676232</v>
      </c>
      <c r="F78" s="656">
        <v>676318</v>
      </c>
      <c r="G78" s="473">
        <f t="shared" si="6"/>
        <v>86</v>
      </c>
      <c r="H78" s="460">
        <f>G78+'7'!H78</f>
        <v>904</v>
      </c>
      <c r="I78" s="505"/>
      <c r="J78" s="552">
        <f>H78/DAY(B2)</f>
        <v>113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519">
        <f>'7'!F79</f>
        <v>836460</v>
      </c>
      <c r="F79" s="654">
        <v>836612</v>
      </c>
      <c r="G79" s="473">
        <f t="shared" si="6"/>
        <v>152</v>
      </c>
      <c r="H79" s="460">
        <f>G79+'7'!H79</f>
        <v>1196</v>
      </c>
      <c r="I79" s="505"/>
      <c r="J79" s="552">
        <f>H79/DAY(B2)</f>
        <v>149.5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519">
        <f>'7'!F80</f>
        <v>541840.04</v>
      </c>
      <c r="F80" s="655">
        <v>542254.28</v>
      </c>
      <c r="G80" s="473">
        <f t="shared" si="6"/>
        <v>414.23999999999069</v>
      </c>
      <c r="H80" s="460">
        <f>G80+'7'!H80</f>
        <v>3241.2800000000279</v>
      </c>
      <c r="I80" s="505"/>
      <c r="J80" s="552">
        <f>H80/DAY(B2)</f>
        <v>405.16000000000349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519">
        <f>'7'!F81</f>
        <v>644242.80000000005</v>
      </c>
      <c r="F81" s="655">
        <v>644437.64</v>
      </c>
      <c r="G81" s="473">
        <f t="shared" si="6"/>
        <v>194.8399999999674</v>
      </c>
      <c r="H81" s="460">
        <f>G81+'7'!H81</f>
        <v>1452.640000000014</v>
      </c>
      <c r="I81" s="505"/>
      <c r="J81" s="552">
        <f>H81/DAY(B2)</f>
        <v>181.58000000000175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519">
        <f>'7'!F82</f>
        <v>108827.97</v>
      </c>
      <c r="F82" s="651">
        <v>108847.85</v>
      </c>
      <c r="G82" s="473">
        <f t="shared" si="6"/>
        <v>19.880000000004657</v>
      </c>
      <c r="H82" s="460">
        <f>G82+'7'!H82</f>
        <v>166.85000000000582</v>
      </c>
      <c r="I82" s="486"/>
      <c r="J82" s="552">
        <f>H82/DAY(B2)</f>
        <v>20.856250000000728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519">
        <f>'7'!F83</f>
        <v>29253</v>
      </c>
      <c r="F83" s="620">
        <v>29478</v>
      </c>
      <c r="G83" s="473">
        <f t="shared" si="6"/>
        <v>225</v>
      </c>
      <c r="H83" s="460">
        <f>G83+'7'!H83</f>
        <v>1927</v>
      </c>
      <c r="I83" s="481"/>
      <c r="J83" s="552">
        <f>H83/DAY(B2)</f>
        <v>240.875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519">
        <f>'7'!F84</f>
        <v>528829</v>
      </c>
      <c r="F84" s="627">
        <v>529638</v>
      </c>
      <c r="G84" s="473">
        <f t="shared" si="6"/>
        <v>809</v>
      </c>
      <c r="H84" s="460">
        <f>G84+'7'!H84</f>
        <v>6558</v>
      </c>
      <c r="I84" s="481"/>
      <c r="J84" s="552">
        <f>H84/DAY(B2)</f>
        <v>819.75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2198.3199999999651</v>
      </c>
      <c r="H85" s="460">
        <f>G85+'7'!H85</f>
        <v>17755.46000000005</v>
      </c>
      <c r="I85" s="481"/>
      <c r="J85" s="552">
        <f>H85/DAY(B2)</f>
        <v>2219.4325000000063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'7'!F86</f>
        <v>461989.2</v>
      </c>
      <c r="F86" s="647">
        <v>462018.92</v>
      </c>
      <c r="G86" s="705">
        <f t="shared" ref="G86:G91" si="7">F86-E86</f>
        <v>29.71999999997206</v>
      </c>
      <c r="H86" s="705">
        <f t="shared" ref="H86:H88" si="8">G86</f>
        <v>29.71999999997206</v>
      </c>
      <c r="I86" s="652"/>
      <c r="J86" s="707">
        <f>H86/DAY(B2)</f>
        <v>3.7149999999965075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'7'!F87</f>
        <v>82288.600000000006</v>
      </c>
      <c r="F87" s="647">
        <v>82320</v>
      </c>
      <c r="G87" s="705">
        <f t="shared" si="7"/>
        <v>31.399999999994179</v>
      </c>
      <c r="H87" s="705">
        <f t="shared" si="8"/>
        <v>31.399999999994179</v>
      </c>
      <c r="I87" s="652"/>
      <c r="J87" s="707">
        <f>H87/DAY(B2)</f>
        <v>3.9249999999992724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'7'!F88</f>
        <v>156105.09</v>
      </c>
      <c r="F88" s="647">
        <v>156256.66</v>
      </c>
      <c r="G88" s="705">
        <f t="shared" si="7"/>
        <v>151.57000000000698</v>
      </c>
      <c r="H88" s="705">
        <f t="shared" si="8"/>
        <v>151.57000000000698</v>
      </c>
      <c r="I88" s="652"/>
      <c r="J88" s="707">
        <f>H88/DAY(B2)</f>
        <v>18.946250000000873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'7'!F89</f>
        <v>66099.5</v>
      </c>
      <c r="F89" s="647">
        <v>66275.600000000006</v>
      </c>
      <c r="G89" s="705">
        <f t="shared" si="7"/>
        <v>176.10000000000582</v>
      </c>
      <c r="H89" s="705">
        <f>G89</f>
        <v>176.10000000000582</v>
      </c>
      <c r="I89" s="652"/>
      <c r="J89" s="707">
        <f>H89/DAY(B2)</f>
        <v>22.012500000000728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'7'!F90</f>
        <v>3367.9</v>
      </c>
      <c r="F90" s="647">
        <v>3374.9</v>
      </c>
      <c r="G90" s="705">
        <f t="shared" si="7"/>
        <v>7</v>
      </c>
      <c r="H90" s="705">
        <f>G90</f>
        <v>7</v>
      </c>
      <c r="I90" s="652"/>
      <c r="J90" s="707">
        <f>H90/DAY(B2)</f>
        <v>0.875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27">
        <f>'7'!F91</f>
        <v>28306.76</v>
      </c>
      <c r="F91" s="647">
        <v>28315.7</v>
      </c>
      <c r="G91" s="705">
        <f t="shared" si="7"/>
        <v>8.9400000000023283</v>
      </c>
      <c r="H91" s="705">
        <f>G91</f>
        <v>8.9400000000023283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'7'!F93</f>
        <v>248074</v>
      </c>
      <c r="F93" s="478">
        <v>248155</v>
      </c>
      <c r="G93" s="473">
        <f t="shared" ref="G93" si="9">F93-E93</f>
        <v>81</v>
      </c>
      <c r="H93" s="460">
        <f>G93+'7'!H93</f>
        <v>803</v>
      </c>
      <c r="I93" s="480"/>
      <c r="J93" s="552">
        <f>H93/DAY(B2)</f>
        <v>100.375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'7'!F94</f>
        <v>190240</v>
      </c>
      <c r="F94" s="485">
        <v>190361</v>
      </c>
      <c r="G94" s="473">
        <f>F94-E94</f>
        <v>121</v>
      </c>
      <c r="H94" s="460">
        <f>G94+'7'!H94</f>
        <v>907</v>
      </c>
      <c r="I94" s="480"/>
      <c r="J94" s="552">
        <f>H94/DAY(B2)</f>
        <v>113.375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>
        <f>'7'!F95</f>
        <v>0</v>
      </c>
      <c r="F95" s="478"/>
      <c r="G95" s="473">
        <f>G93+G94</f>
        <v>202</v>
      </c>
      <c r="H95" s="460">
        <f>G95+'7'!H95</f>
        <v>1524</v>
      </c>
      <c r="I95" s="480"/>
      <c r="J95" s="552">
        <f>H95/DAY(B2)</f>
        <v>190.5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'7'!F96</f>
        <v>416689</v>
      </c>
      <c r="F96" s="478">
        <v>416769</v>
      </c>
      <c r="G96" s="473">
        <f t="shared" ref="G96:G101" si="10">F96-E96</f>
        <v>80</v>
      </c>
      <c r="H96" s="460">
        <f>G96+'7'!H96</f>
        <v>770</v>
      </c>
      <c r="I96" s="480"/>
      <c r="J96" s="552">
        <f>H96/DAY(B2)</f>
        <v>96.25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'7'!F97</f>
        <v>103309</v>
      </c>
      <c r="F97" s="478">
        <v>103326</v>
      </c>
      <c r="G97" s="473">
        <f t="shared" si="10"/>
        <v>17</v>
      </c>
      <c r="H97" s="460">
        <f>G97+'7'!H97</f>
        <v>163</v>
      </c>
      <c r="I97" s="480"/>
      <c r="J97" s="552">
        <f>H97/DAY(B2)</f>
        <v>20.375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'7'!F98</f>
        <v>98818</v>
      </c>
      <c r="F98" s="478">
        <v>98842</v>
      </c>
      <c r="G98" s="473">
        <f t="shared" si="10"/>
        <v>24</v>
      </c>
      <c r="H98" s="460">
        <f>G98+'7'!H98</f>
        <v>185</v>
      </c>
      <c r="I98" s="480"/>
      <c r="J98" s="552">
        <f>H98/DAY(B2)</f>
        <v>23.125</v>
      </c>
      <c r="K98" s="432"/>
      <c r="L98" s="377"/>
      <c r="N98" s="382"/>
    </row>
    <row r="99" spans="1:14" ht="27.75">
      <c r="A99" s="1139" t="s">
        <v>211</v>
      </c>
      <c r="B99" s="1140"/>
      <c r="C99" s="1140"/>
      <c r="D99" s="523" t="s">
        <v>143</v>
      </c>
      <c r="E99" s="484">
        <f>'7'!F99</f>
        <v>150650</v>
      </c>
      <c r="F99" s="478">
        <v>150670</v>
      </c>
      <c r="G99" s="473">
        <f t="shared" si="10"/>
        <v>20</v>
      </c>
      <c r="H99" s="460">
        <f>G99+'7'!H99</f>
        <v>265</v>
      </c>
      <c r="I99" s="480"/>
      <c r="J99" s="552">
        <f>H99/DAY(B2)</f>
        <v>33.125</v>
      </c>
      <c r="K99" s="380"/>
      <c r="L99" s="377"/>
      <c r="N99" s="704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'7'!F100</f>
        <v>7866</v>
      </c>
      <c r="F100" s="478">
        <v>7873</v>
      </c>
      <c r="G100" s="473">
        <f t="shared" si="10"/>
        <v>7</v>
      </c>
      <c r="H100" s="460">
        <f>G100+'7'!H100</f>
        <v>76</v>
      </c>
      <c r="I100" s="480"/>
      <c r="J100" s="552">
        <f>H100/DAY(B2)</f>
        <v>9.5</v>
      </c>
      <c r="K100" s="380"/>
      <c r="L100" s="377"/>
      <c r="N100" s="382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'7'!F101</f>
        <v>5728</v>
      </c>
      <c r="F101" s="478">
        <v>5737</v>
      </c>
      <c r="G101" s="473">
        <f t="shared" si="10"/>
        <v>9</v>
      </c>
      <c r="H101" s="460">
        <f>G101+'7'!H101</f>
        <v>63</v>
      </c>
      <c r="I101" s="480"/>
      <c r="J101" s="552">
        <f>H101/DAY(B2)</f>
        <v>7.875</v>
      </c>
      <c r="K101" s="380"/>
      <c r="L101" s="377"/>
      <c r="N101" s="382"/>
    </row>
    <row r="102" spans="1:14">
      <c r="A102" s="1591" t="s">
        <v>215</v>
      </c>
      <c r="B102" s="1592"/>
      <c r="C102" s="1593"/>
      <c r="D102" s="524"/>
      <c r="E102" s="524"/>
      <c r="F102" s="524"/>
      <c r="G102" s="525">
        <f>SUM(G96:G101)</f>
        <v>157</v>
      </c>
      <c r="H102" s="460">
        <f>G102+'7'!H102</f>
        <v>1522</v>
      </c>
      <c r="I102" s="526"/>
      <c r="J102" s="552">
        <f>H102/DAY(B2)</f>
        <v>190.25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532">
        <f>'7'!F105</f>
        <v>7767</v>
      </c>
      <c r="F105" s="658">
        <v>7767</v>
      </c>
      <c r="G105" s="532">
        <f>F105-E105</f>
        <v>0</v>
      </c>
      <c r="H105" s="460">
        <f>G105+'7'!H105</f>
        <v>130</v>
      </c>
      <c r="I105" s="532"/>
      <c r="J105" s="558">
        <f>H105/DAY(B2)</f>
        <v>16.25</v>
      </c>
      <c r="N105" s="382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532">
        <f>'7'!F106</f>
        <v>36218</v>
      </c>
      <c r="F106" s="803">
        <v>36225</v>
      </c>
      <c r="G106" s="532">
        <f t="shared" ref="G106:G107" si="11">F106-E106</f>
        <v>7</v>
      </c>
      <c r="H106" s="460">
        <f>G106+'7'!H106</f>
        <v>63</v>
      </c>
      <c r="I106" s="532"/>
      <c r="J106" s="558">
        <f>H106/DAY(B2)</f>
        <v>7.875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532">
        <f>'7'!F107</f>
        <v>19848</v>
      </c>
      <c r="F107" s="659">
        <v>19853</v>
      </c>
      <c r="G107" s="532">
        <f t="shared" si="11"/>
        <v>5</v>
      </c>
      <c r="H107" s="460">
        <f>G107+'7'!H107</f>
        <v>31</v>
      </c>
      <c r="I107" s="532"/>
      <c r="J107" s="558">
        <f>H107/DAY(B2)</f>
        <v>3.875</v>
      </c>
      <c r="N107" s="382"/>
    </row>
    <row r="108" spans="1:14" s="442" customFormat="1" ht="27.75">
      <c r="A108" s="1553" t="s">
        <v>201</v>
      </c>
      <c r="B108" s="1554"/>
      <c r="C108" s="1138"/>
      <c r="D108" s="622"/>
      <c r="E108" s="532"/>
      <c r="F108" s="659"/>
      <c r="G108" s="532">
        <f>SUM(G105:G107)</f>
        <v>12</v>
      </c>
      <c r="H108" s="460">
        <f>G108+'7'!H108</f>
        <v>224</v>
      </c>
      <c r="I108" s="532"/>
      <c r="J108" s="558">
        <f>H108/DAY(B2)</f>
        <v>28</v>
      </c>
      <c r="N108" s="382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532"/>
      <c r="F109" s="659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532">
        <f>'7'!F110</f>
        <v>65394</v>
      </c>
      <c r="F110" s="659">
        <v>65473</v>
      </c>
      <c r="G110" s="532">
        <f>F110-E110</f>
        <v>79</v>
      </c>
      <c r="H110" s="460">
        <f>G110+'7'!H110</f>
        <v>630</v>
      </c>
      <c r="I110" s="532"/>
      <c r="J110" s="558">
        <f>H110/DAY(B2)</f>
        <v>78.75</v>
      </c>
      <c r="N110" s="382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532">
        <f>'7'!F111</f>
        <v>33374</v>
      </c>
      <c r="F111" s="803">
        <v>33395</v>
      </c>
      <c r="G111" s="532">
        <f t="shared" ref="G111:G112" si="12">F111-E111</f>
        <v>21</v>
      </c>
      <c r="H111" s="460">
        <f>G111+'7'!H111</f>
        <v>266</v>
      </c>
      <c r="I111" s="532"/>
      <c r="J111" s="558">
        <f>H111/DAY(B2)</f>
        <v>33.25</v>
      </c>
      <c r="N111" s="382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532">
        <f>'7'!F112</f>
        <v>4621.3</v>
      </c>
      <c r="F112" s="803">
        <v>4621.3</v>
      </c>
      <c r="G112" s="532">
        <f t="shared" si="12"/>
        <v>0</v>
      </c>
      <c r="H112" s="460">
        <f>G112+'7'!H112</f>
        <v>0.3000000000001819</v>
      </c>
      <c r="I112" s="532"/>
      <c r="J112" s="558">
        <f>H112/DAY(B2)</f>
        <v>3.7500000000022737E-2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532"/>
      <c r="F113" s="659"/>
      <c r="G113" s="532">
        <f>SUM(G110:G112)</f>
        <v>100</v>
      </c>
      <c r="H113" s="460">
        <f>G113+'7'!H113</f>
        <v>896.30000000000018</v>
      </c>
      <c r="I113" s="532"/>
      <c r="J113" s="558">
        <f>H113/DAY(B2)</f>
        <v>112.03750000000002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532"/>
      <c r="F114" s="659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'7'!F115</f>
        <v>12101</v>
      </c>
      <c r="F115" s="659">
        <v>12112</v>
      </c>
      <c r="G115" s="534">
        <f>F115-E115</f>
        <v>11</v>
      </c>
      <c r="H115" s="460">
        <f>G115+'7'!H115</f>
        <v>99</v>
      </c>
      <c r="I115" s="532"/>
      <c r="J115" s="558">
        <f>H115/DAY(B2)</f>
        <v>12.375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'7'!F116</f>
        <v>8603</v>
      </c>
      <c r="F116" s="659">
        <v>8611</v>
      </c>
      <c r="G116" s="534">
        <f t="shared" ref="G116:G117" si="13">F116-E116</f>
        <v>8</v>
      </c>
      <c r="H116" s="460">
        <f>G116+'7'!H116</f>
        <v>56</v>
      </c>
      <c r="I116" s="532"/>
      <c r="J116" s="558">
        <f>H116/DAY(B2)</f>
        <v>7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19</v>
      </c>
      <c r="H118" s="460">
        <f>G118+'7'!H118</f>
        <v>155</v>
      </c>
      <c r="I118" s="534"/>
      <c r="J118" s="558">
        <f>H118/DAY(B2)</f>
        <v>19.375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142</v>
      </c>
      <c r="G119" s="536">
        <f>SUM(G19+G93)</f>
        <v>142</v>
      </c>
      <c r="H119" s="460">
        <f>G119+'7'!H119</f>
        <v>1289</v>
      </c>
      <c r="I119" s="535"/>
      <c r="J119" s="559">
        <f>H119/DAY(B2)</f>
        <v>161.125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137</v>
      </c>
      <c r="G120" s="536">
        <f>SUM(G96,G97,G98,G100,G101)</f>
        <v>137</v>
      </c>
      <c r="H120" s="460">
        <f>G120+'7'!H120</f>
        <v>1257</v>
      </c>
      <c r="I120" s="535"/>
      <c r="J120" s="559">
        <f>H120/DAY(B2)</f>
        <v>157.125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100</v>
      </c>
      <c r="G121" s="534">
        <f>SUM(G113)</f>
        <v>100</v>
      </c>
      <c r="H121" s="460">
        <f>G121+'7'!H121</f>
        <v>896.30000000000018</v>
      </c>
      <c r="I121" s="535"/>
      <c r="J121" s="559">
        <f>H121/DAY(B2)</f>
        <v>112.03750000000002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'7'!F124</f>
        <v>841615.84</v>
      </c>
      <c r="F124" s="478">
        <v>841867.13</v>
      </c>
      <c r="G124" s="473">
        <f t="shared" ref="G124:G128" si="14">F124-E124</f>
        <v>251.29000000003725</v>
      </c>
      <c r="H124" s="460">
        <f>G124+'7'!H124</f>
        <v>2197.1300000000047</v>
      </c>
      <c r="I124" s="526"/>
      <c r="J124" s="552">
        <f>H124/DAY(B2)</f>
        <v>274.64125000000058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'7'!F126</f>
        <v>149155.32999999999</v>
      </c>
      <c r="F126" s="478">
        <v>149241.91</v>
      </c>
      <c r="G126" s="473">
        <f t="shared" si="14"/>
        <v>86.580000000016298</v>
      </c>
      <c r="H126" s="460">
        <f>G126+'7'!H126</f>
        <v>644.91000000000349</v>
      </c>
      <c r="I126" s="526"/>
      <c r="J126" s="552">
        <f>H126/DAY(B2)</f>
        <v>80.613750000000437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'7'!F127</f>
        <v>32318.5</v>
      </c>
      <c r="F127" s="626">
        <v>32354.2</v>
      </c>
      <c r="G127" s="473">
        <f t="shared" si="14"/>
        <v>35.700000000000728</v>
      </c>
      <c r="H127" s="460">
        <f>G127+'7'!H127</f>
        <v>283.20000000000073</v>
      </c>
      <c r="I127" s="526"/>
      <c r="J127" s="552">
        <f>H127/DAY(B2)</f>
        <v>35.400000000000091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'7'!F128</f>
        <v>9029.2000000000007</v>
      </c>
      <c r="F128" s="626">
        <v>9031.2000000000007</v>
      </c>
      <c r="G128" s="473">
        <f t="shared" si="14"/>
        <v>2</v>
      </c>
      <c r="H128" s="460">
        <f>G128+'7'!H128</f>
        <v>19.200000000000728</v>
      </c>
      <c r="I128" s="480"/>
      <c r="J128" s="552">
        <f>H128/DAY(B2)</f>
        <v>2.4000000000000909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445.57999999976528</v>
      </c>
      <c r="H129" s="460"/>
      <c r="I129" s="480"/>
      <c r="J129" s="552"/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'7'!F133</f>
        <v>40576</v>
      </c>
      <c r="F133" s="626">
        <v>40583.379999999997</v>
      </c>
      <c r="G133" s="473">
        <f t="shared" si="15"/>
        <v>7.3799999999973807</v>
      </c>
      <c r="H133" s="460">
        <f>G133+'7'!H133</f>
        <v>130.37999999999738</v>
      </c>
      <c r="I133" s="480"/>
      <c r="J133" s="552">
        <f>H133/DAY(B2)</f>
        <v>16.297499999999673</v>
      </c>
      <c r="N133" s="382">
        <f>F133-24</f>
        <v>40559.379999999997</v>
      </c>
    </row>
    <row r="134" spans="1:14" ht="27.75">
      <c r="A134" s="1139" t="s">
        <v>241</v>
      </c>
      <c r="B134" s="1140"/>
      <c r="C134" s="1140"/>
      <c r="D134" s="523" t="s">
        <v>238</v>
      </c>
      <c r="E134" s="522">
        <f>'7'!F134</f>
        <v>300.19</v>
      </c>
      <c r="F134" s="485">
        <v>300.19</v>
      </c>
      <c r="G134" s="473">
        <f t="shared" si="15"/>
        <v>0</v>
      </c>
      <c r="H134" s="460">
        <f>G134+'7'!H134</f>
        <v>0.18999999999999773</v>
      </c>
      <c r="I134" s="480">
        <f>G131+G132+G133+G134</f>
        <v>7.3799999999973807</v>
      </c>
      <c r="J134" s="552">
        <f>H134/DAY(B2)</f>
        <v>2.3749999999999716E-2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701">
        <f>'7'!F135</f>
        <v>42055.1</v>
      </c>
      <c r="F135" s="626">
        <v>42079.15</v>
      </c>
      <c r="G135" s="473">
        <f t="shared" si="15"/>
        <v>24.05000000000291</v>
      </c>
      <c r="H135" s="460">
        <f>G135+'7'!H135</f>
        <v>107.15000000000146</v>
      </c>
      <c r="I135" s="480"/>
      <c r="J135" s="552">
        <f>H135/DAY(B2)</f>
        <v>13.393750000000182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701">
        <f>'7'!F136</f>
        <v>32874</v>
      </c>
      <c r="F136" s="626">
        <v>32874.050000000003</v>
      </c>
      <c r="G136" s="473">
        <f t="shared" si="15"/>
        <v>5.0000000002910383E-2</v>
      </c>
      <c r="H136" s="460">
        <f>G136+'7'!H136</f>
        <v>5.0000000002910383E-2</v>
      </c>
      <c r="I136" s="480"/>
      <c r="J136" s="552">
        <f>H136/DAY(B2)</f>
        <v>6.2500000003637979E-3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'7'!F137</f>
        <v>22934.21</v>
      </c>
      <c r="F137" s="651">
        <v>22942.28</v>
      </c>
      <c r="G137" s="473">
        <f t="shared" si="15"/>
        <v>8.069999999999709</v>
      </c>
      <c r="H137" s="460">
        <f>G137+'7'!H137</f>
        <v>50.789999999997235</v>
      </c>
      <c r="I137" s="480">
        <f>G135+G136+G137</f>
        <v>32.17000000000553</v>
      </c>
      <c r="J137" s="552">
        <f>H137/DAY(B2)</f>
        <v>6.3487499999996544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'7'!F138</f>
        <v>25095.02</v>
      </c>
      <c r="F138" s="651">
        <v>25095.02</v>
      </c>
      <c r="G138" s="473">
        <f t="shared" si="15"/>
        <v>0</v>
      </c>
      <c r="H138" s="460">
        <f>G138+'7'!H138</f>
        <v>3.6300000000010186</v>
      </c>
      <c r="I138" s="480"/>
      <c r="J138" s="552">
        <f>H138/DAY(B2)</f>
        <v>0.45375000000012733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541">
        <f>'7'!F139</f>
        <v>70514.289999999994</v>
      </c>
      <c r="F139" s="651">
        <v>70514.289999999994</v>
      </c>
      <c r="G139" s="473">
        <f t="shared" si="15"/>
        <v>0</v>
      </c>
      <c r="H139" s="460">
        <f>G139+'7'!H139</f>
        <v>0.66999999999825377</v>
      </c>
      <c r="I139" s="480">
        <f>G138+G139</f>
        <v>0</v>
      </c>
      <c r="J139" s="552">
        <f>H139/DAY(B2)</f>
        <v>8.3749999999781721E-2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701">
        <f>'7'!F140</f>
        <v>2201.29</v>
      </c>
      <c r="F140" s="626">
        <v>2210.52</v>
      </c>
      <c r="G140" s="473">
        <f t="shared" si="15"/>
        <v>9.2300000000000182</v>
      </c>
      <c r="H140" s="460">
        <f>G140+'7'!H140</f>
        <v>81.340000000000146</v>
      </c>
      <c r="I140" s="542"/>
      <c r="J140" s="552">
        <f>H140/DAY(B2)</f>
        <v>10.167500000000018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'7'!F141</f>
        <v>4637</v>
      </c>
      <c r="F141" s="478">
        <v>4637</v>
      </c>
      <c r="G141" s="473">
        <f t="shared" si="15"/>
        <v>0</v>
      </c>
      <c r="H141" s="460">
        <f>G141+'7'!H141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5910.7000000001863</v>
      </c>
      <c r="H143" s="460">
        <f>G143+'7'!H143</f>
        <v>44502.230000000098</v>
      </c>
      <c r="I143" s="480"/>
      <c r="J143" s="552">
        <f>H143/DAY(B2)</f>
        <v>5562.7787500000122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0.27338633285724673</v>
      </c>
      <c r="H144" s="460">
        <f>G144+'7'!H144</f>
        <v>2.0741866809194396</v>
      </c>
      <c r="I144" s="544"/>
      <c r="J144" s="552">
        <f>H144/DAY(B2)</f>
        <v>0.25927333511492995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6741.3199999999779</v>
      </c>
      <c r="H145" s="460">
        <f>G145+'7'!H145</f>
        <v>53772.299999999959</v>
      </c>
      <c r="I145" s="480"/>
      <c r="J145" s="552">
        <f>H145/DAY(B2)</f>
        <v>6721.5374999999949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0.31180482065020221</v>
      </c>
      <c r="H146" s="460">
        <f>G146+'7'!H146</f>
        <v>2.5003295880889214</v>
      </c>
      <c r="I146" s="544"/>
      <c r="J146" s="552">
        <f>H146/DAY(B2)</f>
        <v>0.31254119851111517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3552.4000000000233</v>
      </c>
      <c r="H147" s="460">
        <f>G147+'7'!H147</f>
        <v>29516.859999999986</v>
      </c>
      <c r="I147" s="545"/>
      <c r="J147" s="552">
        <f>H147/DAY(B2)</f>
        <v>3689.6074999999983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0.16430839136516132</v>
      </c>
      <c r="H148" s="460">
        <f>G148+'7'!H148</f>
        <v>1.3760621942370628</v>
      </c>
      <c r="I148" s="545"/>
      <c r="J148" s="552">
        <f>H148/DAY(B2)</f>
        <v>0.17200777427963285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1545.1600000000035</v>
      </c>
      <c r="H149" s="460">
        <f>G149+'7'!H149</f>
        <v>12804.359999999957</v>
      </c>
      <c r="I149" s="480"/>
      <c r="J149" s="552">
        <f>H149/DAY(B2)</f>
        <v>1600.5449999999946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7.1467952370732904E-2</v>
      </c>
      <c r="H150" s="460">
        <f>G150+'7'!H150</f>
        <v>0.59576191172264248</v>
      </c>
      <c r="I150" s="545"/>
      <c r="J150" s="552">
        <f>H150/DAY(B2)</f>
        <v>7.447023896533031E-2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1764.260000000002</v>
      </c>
      <c r="H151" s="460">
        <f>G151+'7'!H151</f>
        <v>15139.319999999952</v>
      </c>
      <c r="I151" s="545"/>
      <c r="J151" s="552">
        <f>H151/DAY(B2)</f>
        <v>1892.4149999999941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8.1601937436633812E-2</v>
      </c>
      <c r="H152" s="460">
        <f>G152+'7'!H152</f>
        <v>0.70361583358843116</v>
      </c>
      <c r="I152" s="480"/>
      <c r="J152" s="552">
        <f>H152/DAY(B2)</f>
        <v>8.7951979198553895E-2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1563.2200000000012</v>
      </c>
      <c r="H153" s="460">
        <f>G153+'7'!H153</f>
        <v>12118.880000000005</v>
      </c>
      <c r="I153" s="480"/>
      <c r="J153" s="552">
        <f>H153/DAY(B2)</f>
        <v>1514.8600000000006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7.2303277657315049E-2</v>
      </c>
      <c r="H154" s="460">
        <f>G154+'7'!H154</f>
        <v>0.56506806690555622</v>
      </c>
      <c r="I154" s="568"/>
      <c r="J154" s="569">
        <f>H154/DAY(B2)</f>
        <v>7.0633508363194528E-2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59">
        <f>'7'!F161</f>
        <v>41404.589999999997</v>
      </c>
      <c r="F161" s="658">
        <v>41484.370000000003</v>
      </c>
      <c r="G161" s="473">
        <f t="shared" ref="G161:G175" si="16">F161-E161</f>
        <v>79.780000000006112</v>
      </c>
    </row>
    <row r="162" spans="1:7">
      <c r="A162" s="784" t="s">
        <v>263</v>
      </c>
      <c r="B162" s="785"/>
      <c r="C162" s="785"/>
      <c r="D162" s="511" t="s">
        <v>186</v>
      </c>
      <c r="E162" s="1059">
        <f>'7'!F162</f>
        <v>110961.59</v>
      </c>
      <c r="F162" s="658">
        <v>111388.93</v>
      </c>
      <c r="G162" s="473">
        <f t="shared" si="16"/>
        <v>427.33999999999651</v>
      </c>
    </row>
    <row r="163" spans="1:7">
      <c r="A163" s="784" t="s">
        <v>264</v>
      </c>
      <c r="B163" s="785"/>
      <c r="C163" s="785"/>
      <c r="D163" s="511" t="s">
        <v>186</v>
      </c>
      <c r="E163" s="1059">
        <f>'7'!F163</f>
        <v>62675.17</v>
      </c>
      <c r="F163" s="658">
        <v>62879.360000000001</v>
      </c>
      <c r="G163" s="473">
        <f t="shared" si="16"/>
        <v>204.19000000000233</v>
      </c>
    </row>
    <row r="164" spans="1:7">
      <c r="A164" s="784" t="s">
        <v>265</v>
      </c>
      <c r="B164" s="785"/>
      <c r="C164" s="785"/>
      <c r="D164" s="511" t="s">
        <v>186</v>
      </c>
      <c r="E164" s="1059">
        <f>'7'!F164</f>
        <v>6911.89</v>
      </c>
      <c r="F164" s="658">
        <v>6920.82</v>
      </c>
      <c r="G164" s="473">
        <f t="shared" si="16"/>
        <v>8.9299999999993815</v>
      </c>
    </row>
    <row r="165" spans="1:7">
      <c r="A165" s="786" t="s">
        <v>97</v>
      </c>
      <c r="B165" s="604"/>
      <c r="C165" s="604"/>
      <c r="D165" s="511" t="s">
        <v>186</v>
      </c>
      <c r="E165" s="1059">
        <f>'7'!F165</f>
        <v>0</v>
      </c>
      <c r="F165" s="514">
        <f>F62</f>
        <v>0</v>
      </c>
      <c r="G165" s="473">
        <f t="shared" si="16"/>
        <v>0</v>
      </c>
    </row>
    <row r="166" spans="1:7">
      <c r="A166" s="786" t="s">
        <v>187</v>
      </c>
      <c r="B166" s="604"/>
      <c r="C166" s="604"/>
      <c r="D166" s="511" t="s">
        <v>186</v>
      </c>
      <c r="E166" s="1059">
        <f>'7'!F166</f>
        <v>0</v>
      </c>
      <c r="F166" s="514">
        <f t="shared" ref="F166:F172" si="17">F63</f>
        <v>0</v>
      </c>
      <c r="G166" s="473">
        <f t="shared" si="16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1059">
        <f>'7'!F167</f>
        <v>172723.35</v>
      </c>
      <c r="F167" s="514">
        <f t="shared" si="17"/>
        <v>173248.39</v>
      </c>
      <c r="G167" s="473">
        <f t="shared" si="16"/>
        <v>525.04000000000815</v>
      </c>
    </row>
    <row r="168" spans="1:7" ht="27.75">
      <c r="A168" s="1546" t="s">
        <v>99</v>
      </c>
      <c r="B168" s="1546"/>
      <c r="C168" s="1546"/>
      <c r="D168" s="523" t="s">
        <v>186</v>
      </c>
      <c r="E168" s="1059">
        <f>'7'!F168</f>
        <v>172978.93</v>
      </c>
      <c r="F168" s="514">
        <f t="shared" si="17"/>
        <v>173250.75</v>
      </c>
      <c r="G168" s="473">
        <f t="shared" si="16"/>
        <v>271.82000000000698</v>
      </c>
    </row>
    <row r="169" spans="1:7" ht="27.75">
      <c r="A169" s="1546" t="s">
        <v>100</v>
      </c>
      <c r="B169" s="1546"/>
      <c r="C169" s="1546"/>
      <c r="D169" s="523" t="s">
        <v>186</v>
      </c>
      <c r="E169" s="1059">
        <f>'7'!F169</f>
        <v>70913.820000000007</v>
      </c>
      <c r="F169" s="514">
        <f t="shared" si="17"/>
        <v>71312.03</v>
      </c>
      <c r="G169" s="473">
        <f t="shared" si="16"/>
        <v>398.20999999999185</v>
      </c>
    </row>
    <row r="170" spans="1:7" ht="27.75">
      <c r="A170" s="1546" t="s">
        <v>101</v>
      </c>
      <c r="B170" s="1546"/>
      <c r="C170" s="1546"/>
      <c r="D170" s="523" t="s">
        <v>186</v>
      </c>
      <c r="E170" s="1059">
        <f>'7'!F170</f>
        <v>268376.69</v>
      </c>
      <c r="F170" s="514">
        <f t="shared" si="17"/>
        <v>268821.13</v>
      </c>
      <c r="G170" s="473">
        <f t="shared" si="16"/>
        <v>444.44000000000233</v>
      </c>
    </row>
    <row r="171" spans="1:7" ht="27.75">
      <c r="A171" s="1546" t="s">
        <v>102</v>
      </c>
      <c r="B171" s="1546"/>
      <c r="C171" s="1546"/>
      <c r="D171" s="523" t="s">
        <v>186</v>
      </c>
      <c r="E171" s="1059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1059">
        <f>'7'!F172</f>
        <v>89197.440000000002</v>
      </c>
      <c r="F172" s="514">
        <f t="shared" si="17"/>
        <v>89459.06</v>
      </c>
      <c r="G172" s="473">
        <f t="shared" si="16"/>
        <v>261.61999999999534</v>
      </c>
    </row>
    <row r="173" spans="1:7">
      <c r="A173" s="1587" t="s">
        <v>352</v>
      </c>
      <c r="B173" s="1550"/>
      <c r="C173" s="785"/>
      <c r="D173" s="523" t="s">
        <v>186</v>
      </c>
      <c r="E173" s="1059">
        <f>'7'!F173</f>
        <v>19035.3</v>
      </c>
      <c r="F173" s="532">
        <v>19040.3</v>
      </c>
      <c r="G173" s="473">
        <f t="shared" si="16"/>
        <v>5</v>
      </c>
    </row>
    <row r="174" spans="1:7">
      <c r="A174" s="1587" t="s">
        <v>352</v>
      </c>
      <c r="B174" s="1550"/>
      <c r="C174" s="785"/>
      <c r="D174" s="523" t="s">
        <v>186</v>
      </c>
      <c r="E174" s="1059">
        <f>'7'!F174</f>
        <v>70379.399999999994</v>
      </c>
      <c r="F174" s="532">
        <v>70386.100000000006</v>
      </c>
      <c r="G174" s="473">
        <f t="shared" si="16"/>
        <v>6.7000000000116415</v>
      </c>
    </row>
    <row r="175" spans="1:7">
      <c r="A175" s="1587" t="s">
        <v>353</v>
      </c>
      <c r="B175" s="1550"/>
      <c r="C175" s="785"/>
      <c r="D175" s="523" t="s">
        <v>186</v>
      </c>
      <c r="E175" s="1059">
        <f>'7'!F175</f>
        <v>27658.7</v>
      </c>
      <c r="F175" s="532">
        <v>27663.1</v>
      </c>
      <c r="G175" s="473">
        <f t="shared" si="16"/>
        <v>4.3999999999978172</v>
      </c>
    </row>
    <row r="178" ht="18.75" customHeight="1"/>
    <row r="186" ht="20.25" customHeight="1"/>
    <row r="187" ht="20.2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5:B175"/>
    <mergeCell ref="A171:C171"/>
    <mergeCell ref="A172:C172"/>
    <mergeCell ref="A158:G158"/>
    <mergeCell ref="A167:C167"/>
    <mergeCell ref="A168:C168"/>
    <mergeCell ref="A169:C169"/>
    <mergeCell ref="A170:C170"/>
    <mergeCell ref="A174:B174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zoomScale="55" zoomScaleNormal="80" zoomScaleSheetLayoutView="55" workbookViewId="0">
      <selection activeCell="F15" sqref="F15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4" s="281" customFormat="1" ht="27">
      <c r="A2" s="575" t="s">
        <v>357</v>
      </c>
      <c r="B2" s="1031">
        <v>44356</v>
      </c>
      <c r="C2" s="1141" t="s">
        <v>68</v>
      </c>
      <c r="D2" s="611">
        <v>0.16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281" t="s">
        <v>117</v>
      </c>
    </row>
    <row r="3" spans="1:14" s="281" customFormat="1" ht="27">
      <c r="A3" s="570"/>
      <c r="B3" s="614"/>
      <c r="C3" s="1141" t="s">
        <v>119</v>
      </c>
      <c r="D3" s="612">
        <v>31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1" t="s">
        <v>121</v>
      </c>
      <c r="D4" s="611">
        <v>0.88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376" t="s">
        <v>125</v>
      </c>
    </row>
    <row r="6" spans="1:14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'8'!F7</f>
        <v>93795.56</v>
      </c>
      <c r="F7" s="455">
        <f>E7+21500</f>
        <v>115295.56</v>
      </c>
      <c r="G7" s="678">
        <f>F7-E7</f>
        <v>21500</v>
      </c>
      <c r="H7" s="679">
        <f>G7+'8'!H7</f>
        <v>193342.56000000006</v>
      </c>
      <c r="I7" s="680">
        <f>'1'!I7</f>
        <v>12000</v>
      </c>
      <c r="J7" s="681">
        <f>H7/DAY(B2)</f>
        <v>21482.506666666672</v>
      </c>
      <c r="K7" s="549"/>
      <c r="L7" s="377"/>
      <c r="N7" s="382">
        <v>11359</v>
      </c>
    </row>
    <row r="8" spans="1:14" ht="27.75" thickBot="1">
      <c r="A8" s="682" t="s">
        <v>132</v>
      </c>
      <c r="B8" s="683"/>
      <c r="C8" s="684"/>
      <c r="D8" s="685" t="s">
        <v>25</v>
      </c>
      <c r="E8" s="633">
        <f>'8'!F8</f>
        <v>99453.79</v>
      </c>
      <c r="F8" s="475">
        <f>E8+21500</f>
        <v>120953.79</v>
      </c>
      <c r="G8" s="689">
        <f>F8-E8</f>
        <v>21500</v>
      </c>
      <c r="H8" s="679">
        <f>G8+'8'!H8</f>
        <v>194231.78999999998</v>
      </c>
      <c r="I8" s="686">
        <v>12000</v>
      </c>
      <c r="J8" s="681">
        <f>H8/DAY(B2)</f>
        <v>21581.309999999998</v>
      </c>
      <c r="K8" s="549"/>
      <c r="L8" s="425"/>
      <c r="M8" s="440"/>
      <c r="N8" s="382">
        <v>11487</v>
      </c>
    </row>
    <row r="9" spans="1:14">
      <c r="A9" s="687" t="s">
        <v>133</v>
      </c>
      <c r="B9" s="688"/>
      <c r="C9" s="688"/>
      <c r="D9" s="637" t="s">
        <v>131</v>
      </c>
      <c r="E9" s="633">
        <f>'8'!F9</f>
        <v>2199177.2999999998</v>
      </c>
      <c r="F9" s="478">
        <v>1624027</v>
      </c>
      <c r="G9" s="702">
        <f t="shared" ref="G9:G12" si="0">F9-E9</f>
        <v>-575150.29999999981</v>
      </c>
      <c r="H9" s="679">
        <f>G9+'8'!H9</f>
        <v>-406975</v>
      </c>
      <c r="I9" s="690">
        <f>I7-J7</f>
        <v>-9482.5066666666717</v>
      </c>
      <c r="J9" s="681">
        <f>H9/DAY(B2)</f>
        <v>-45219.444444444445</v>
      </c>
      <c r="K9" s="428"/>
      <c r="L9" s="377"/>
      <c r="N9" s="382">
        <v>11077</v>
      </c>
    </row>
    <row r="10" spans="1:14">
      <c r="A10" s="676" t="s">
        <v>134</v>
      </c>
      <c r="B10" s="677"/>
      <c r="C10" s="677"/>
      <c r="D10" s="637" t="s">
        <v>131</v>
      </c>
      <c r="E10" s="633">
        <f>'8'!F10</f>
        <v>2606.5500000000002</v>
      </c>
      <c r="F10" s="478">
        <v>2606.5500000000002</v>
      </c>
      <c r="G10" s="689">
        <f t="shared" si="0"/>
        <v>0</v>
      </c>
      <c r="H10" s="679">
        <f>G10+'8'!H10</f>
        <v>0</v>
      </c>
      <c r="I10" s="691"/>
      <c r="J10" s="681">
        <f>H10/DAY(B2)</f>
        <v>0</v>
      </c>
      <c r="K10" s="428"/>
      <c r="L10" s="377"/>
      <c r="N10" s="382">
        <v>0</v>
      </c>
    </row>
    <row r="11" spans="1:14">
      <c r="A11" s="676" t="s">
        <v>135</v>
      </c>
      <c r="B11" s="677"/>
      <c r="C11" s="677"/>
      <c r="D11" s="637" t="s">
        <v>131</v>
      </c>
      <c r="E11" s="633">
        <f>'8'!F11</f>
        <v>37000</v>
      </c>
      <c r="F11" s="455">
        <v>37000</v>
      </c>
      <c r="G11" s="689">
        <f t="shared" si="0"/>
        <v>0</v>
      </c>
      <c r="H11" s="679">
        <f>G11+'8'!H11</f>
        <v>0</v>
      </c>
      <c r="I11" s="691"/>
      <c r="J11" s="681">
        <f>H11/DAY(B2)</f>
        <v>0</v>
      </c>
      <c r="K11" s="428"/>
      <c r="L11" s="377"/>
      <c r="N11" s="382">
        <v>0</v>
      </c>
    </row>
    <row r="12" spans="1:14">
      <c r="A12" s="676" t="s">
        <v>136</v>
      </c>
      <c r="B12" s="677"/>
      <c r="C12" s="677"/>
      <c r="D12" s="637" t="s">
        <v>131</v>
      </c>
      <c r="E12" s="633">
        <f>'8'!F12</f>
        <v>40010</v>
      </c>
      <c r="F12" s="478">
        <v>40010</v>
      </c>
      <c r="G12" s="689">
        <f t="shared" si="0"/>
        <v>0</v>
      </c>
      <c r="H12" s="679">
        <f>G12+'8'!H12</f>
        <v>0</v>
      </c>
      <c r="I12" s="691"/>
      <c r="J12" s="681">
        <f>H12/DAY(B2)</f>
        <v>0</v>
      </c>
      <c r="K12" s="428"/>
      <c r="L12" s="377"/>
      <c r="N12" s="382">
        <v>0</v>
      </c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-575150.29999999981</v>
      </c>
      <c r="H13" s="679">
        <f>G13+'8'!H13</f>
        <v>-406975</v>
      </c>
      <c r="I13" s="695">
        <f>G7-G13</f>
        <v>596650.29999999981</v>
      </c>
      <c r="J13" s="681">
        <f>H13/DAY(B2)</f>
        <v>-45219.444444444445</v>
      </c>
      <c r="K13" s="428"/>
      <c r="L13" s="377"/>
      <c r="N13" s="382">
        <v>11077</v>
      </c>
    </row>
    <row r="14" spans="1:14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77" t="s">
        <v>139</v>
      </c>
      <c r="B15" s="1178"/>
      <c r="C15" s="1178"/>
      <c r="D15" s="1179" t="s">
        <v>140</v>
      </c>
      <c r="E15" s="700">
        <f>'8'!F15</f>
        <v>1709867.16</v>
      </c>
      <c r="F15" s="700">
        <f>E15+700</f>
        <v>1710567.16</v>
      </c>
      <c r="G15" s="678">
        <f>(F15-E15)</f>
        <v>700</v>
      </c>
      <c r="H15" s="1172">
        <f>G15+'8'!H15</f>
        <v>6884.1599999999162</v>
      </c>
      <c r="I15" s="1173">
        <v>800</v>
      </c>
      <c r="J15" s="1174">
        <f>H15/DAY(B2)</f>
        <v>764.90666666665732</v>
      </c>
      <c r="K15" s="1166"/>
      <c r="L15" s="1167"/>
      <c r="M15" s="1168"/>
      <c r="N15" s="1169">
        <v>330.54600000008941</v>
      </c>
    </row>
    <row r="16" spans="1:14">
      <c r="A16" s="1170"/>
      <c r="B16" s="1171"/>
      <c r="C16" s="1171"/>
      <c r="D16" s="1164"/>
      <c r="E16" s="1165"/>
      <c r="F16" s="1165"/>
      <c r="G16" s="1175"/>
      <c r="H16" s="1172"/>
      <c r="I16" s="1176">
        <f>I15-J15</f>
        <v>35.093333333342684</v>
      </c>
      <c r="J16" s="1174"/>
      <c r="K16" s="1166"/>
      <c r="L16" s="1167"/>
      <c r="M16" s="1168"/>
      <c r="N16" s="1169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'8'!F18</f>
        <v>10</v>
      </c>
      <c r="F18" s="478">
        <v>0</v>
      </c>
      <c r="G18" s="694">
        <f>F18*10</f>
        <v>0</v>
      </c>
      <c r="H18" s="679">
        <f>G18+'8'!H18</f>
        <v>1030</v>
      </c>
      <c r="I18" s="680">
        <v>65</v>
      </c>
      <c r="J18" s="681">
        <f>H18/DAY(B2)</f>
        <v>114.44444444444444</v>
      </c>
      <c r="K18" s="428"/>
      <c r="L18" s="377"/>
      <c r="N18" s="382">
        <v>0</v>
      </c>
    </row>
    <row r="19" spans="1:14" ht="27.75">
      <c r="A19" s="1607" t="s">
        <v>70</v>
      </c>
      <c r="B19" s="1608"/>
      <c r="C19" s="1609"/>
      <c r="D19" s="637" t="s">
        <v>143</v>
      </c>
      <c r="E19" s="634">
        <f>'8'!F19</f>
        <v>141981</v>
      </c>
      <c r="F19" s="478">
        <v>140174</v>
      </c>
      <c r="G19" s="689">
        <f t="shared" ref="G19" si="1">F19-E19</f>
        <v>-1807</v>
      </c>
      <c r="H19" s="679">
        <f>G19+'8'!H19</f>
        <v>-1321</v>
      </c>
      <c r="I19" s="696"/>
      <c r="J19" s="681">
        <f>H19/DAY(B2)</f>
        <v>-146.77777777777777</v>
      </c>
      <c r="K19" s="428"/>
      <c r="L19" s="377"/>
      <c r="N19" s="382">
        <v>55</v>
      </c>
    </row>
    <row r="20" spans="1:14">
      <c r="A20" s="692" t="s">
        <v>144</v>
      </c>
      <c r="B20" s="693"/>
      <c r="C20" s="693"/>
      <c r="D20" s="637"/>
      <c r="E20" s="637"/>
      <c r="F20" s="524"/>
      <c r="G20" s="697">
        <f>G18+G19</f>
        <v>-1807</v>
      </c>
      <c r="H20" s="679">
        <f>G20+'8'!H20</f>
        <v>-291</v>
      </c>
      <c r="I20" s="698">
        <f>I18-J20</f>
        <v>97.333333333333343</v>
      </c>
      <c r="J20" s="681">
        <f>H20/DAY(B2)</f>
        <v>-32.333333333333336</v>
      </c>
      <c r="K20" s="428"/>
      <c r="L20" s="377"/>
      <c r="N20" s="382">
        <v>55</v>
      </c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634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39" t="s">
        <v>148</v>
      </c>
      <c r="B23" s="589"/>
      <c r="C23" s="589"/>
      <c r="D23" s="523" t="s">
        <v>147</v>
      </c>
      <c r="E23" s="634">
        <f>'8'!F23</f>
        <v>2000</v>
      </c>
      <c r="F23" s="478">
        <v>2000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G27+'8'!H27</f>
        <v>1748086.1099999999</v>
      </c>
      <c r="I27" s="503"/>
      <c r="J27" s="552">
        <f>H27/DAY(B2)</f>
        <v>194231.78999999998</v>
      </c>
      <c r="K27" s="373"/>
      <c r="L27" s="443"/>
      <c r="N27" s="382">
        <v>114870</v>
      </c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G28+'8'!H28</f>
        <v>357976.31999999564</v>
      </c>
      <c r="I28" s="505"/>
      <c r="J28" s="552">
        <f>H28/DAY(B2)</f>
        <v>39775.14666666618</v>
      </c>
      <c r="K28" s="373"/>
      <c r="L28" s="443"/>
      <c r="N28" s="382">
        <v>11569.110000003129</v>
      </c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-1807</v>
      </c>
      <c r="F30" s="501">
        <v>146</v>
      </c>
      <c r="G30" s="502">
        <f>E30*F30</f>
        <v>-263822</v>
      </c>
      <c r="H30" s="460">
        <f>G30+'8'!H30</f>
        <v>-193450</v>
      </c>
      <c r="I30" s="505"/>
      <c r="J30" s="552">
        <f>H30/DAY(B2)</f>
        <v>-21494.444444444445</v>
      </c>
      <c r="K30" s="373"/>
      <c r="L30" s="443"/>
      <c r="N30" s="382">
        <v>7370</v>
      </c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0</v>
      </c>
      <c r="F31" s="501">
        <v>80</v>
      </c>
      <c r="G31" s="502">
        <f>E31*F31</f>
        <v>0</v>
      </c>
      <c r="H31" s="460">
        <f>G31+'8'!H31</f>
        <v>76800</v>
      </c>
      <c r="I31" s="505"/>
      <c r="J31" s="552">
        <f>H31/DAY(B2)</f>
        <v>8533.3333333333339</v>
      </c>
      <c r="K31" s="373"/>
      <c r="L31" s="443"/>
      <c r="N31" s="382">
        <v>0</v>
      </c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-33922</v>
      </c>
      <c r="H32" s="460">
        <f>G32+'8'!H32</f>
        <v>1989412.4299999953</v>
      </c>
      <c r="I32" s="509"/>
      <c r="J32" s="552">
        <f>H32/DAY(B2)</f>
        <v>221045.82555555503</v>
      </c>
      <c r="K32" s="373"/>
      <c r="L32" s="443"/>
      <c r="N32" s="382">
        <v>133809.11000000313</v>
      </c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'8'!F35</f>
        <v>1052231.6000000001</v>
      </c>
      <c r="F35" s="510">
        <v>972361</v>
      </c>
      <c r="G35" s="473">
        <f t="shared" ref="G35:G46" si="3">F35-E35</f>
        <v>-79870.600000000093</v>
      </c>
      <c r="H35" s="460">
        <f>G35+'8'!H35</f>
        <v>-56353</v>
      </c>
      <c r="I35" s="455"/>
      <c r="J35" s="552">
        <f>H35/DAY(B2)</f>
        <v>-6261.4444444444443</v>
      </c>
      <c r="K35" s="428"/>
      <c r="L35" s="377"/>
      <c r="N35" s="382">
        <v>1380.8400000000256</v>
      </c>
    </row>
    <row r="36" spans="1:14">
      <c r="A36" s="578" t="s">
        <v>164</v>
      </c>
      <c r="B36" s="579"/>
      <c r="C36" s="579"/>
      <c r="D36" s="523" t="s">
        <v>131</v>
      </c>
      <c r="E36" s="510">
        <f>'8'!F36</f>
        <v>26638.62</v>
      </c>
      <c r="F36" s="510">
        <v>5268</v>
      </c>
      <c r="G36" s="473">
        <f t="shared" si="3"/>
        <v>-21370.62</v>
      </c>
      <c r="H36" s="460">
        <f>G36+'8'!H36</f>
        <v>-15193</v>
      </c>
      <c r="I36" s="455"/>
      <c r="J36" s="552">
        <f>H36/DAY(B2)</f>
        <v>-1688.1111111111111</v>
      </c>
      <c r="K36" s="428"/>
      <c r="L36" s="377"/>
      <c r="N36" s="628">
        <v>514.63999999999942</v>
      </c>
    </row>
    <row r="37" spans="1:14">
      <c r="A37" s="578" t="s">
        <v>165</v>
      </c>
      <c r="B37" s="579"/>
      <c r="C37" s="579"/>
      <c r="D37" s="523" t="s">
        <v>131</v>
      </c>
      <c r="E37" s="510">
        <f>'8'!F37</f>
        <v>188689.01</v>
      </c>
      <c r="F37" s="510">
        <v>146093</v>
      </c>
      <c r="G37" s="473">
        <f t="shared" si="3"/>
        <v>-42596.010000000009</v>
      </c>
      <c r="H37" s="460">
        <f>G37+'8'!H37</f>
        <v>-30477</v>
      </c>
      <c r="I37" s="455"/>
      <c r="J37" s="552">
        <f>H37/DAY(B2)</f>
        <v>-3386.3333333333335</v>
      </c>
      <c r="K37" s="428"/>
      <c r="L37" s="377"/>
      <c r="N37" s="629">
        <v>1164.4599999999919</v>
      </c>
    </row>
    <row r="38" spans="1:14">
      <c r="A38" s="578" t="s">
        <v>166</v>
      </c>
      <c r="B38" s="579"/>
      <c r="C38" s="579"/>
      <c r="D38" s="523" t="s">
        <v>131</v>
      </c>
      <c r="E38" s="510">
        <f>'8'!F38</f>
        <v>211263.29</v>
      </c>
      <c r="F38" s="469">
        <v>167388</v>
      </c>
      <c r="G38" s="473">
        <f t="shared" si="3"/>
        <v>-43875.290000000008</v>
      </c>
      <c r="H38" s="460">
        <f>G38+'8'!H38</f>
        <v>-31071</v>
      </c>
      <c r="I38" s="455"/>
      <c r="J38" s="552">
        <f>H38/DAY(B2)</f>
        <v>-3452.3333333333335</v>
      </c>
      <c r="K38" s="428"/>
      <c r="L38" s="377"/>
      <c r="N38" s="382">
        <v>0</v>
      </c>
    </row>
    <row r="39" spans="1:14">
      <c r="A39" s="578" t="s">
        <v>167</v>
      </c>
      <c r="B39" s="579"/>
      <c r="C39" s="579"/>
      <c r="D39" s="523" t="s">
        <v>131</v>
      </c>
      <c r="E39" s="510">
        <f>'8'!F39</f>
        <v>434381.19</v>
      </c>
      <c r="F39" s="510">
        <v>332170</v>
      </c>
      <c r="G39" s="473">
        <f t="shared" si="3"/>
        <v>-102211.19</v>
      </c>
      <c r="H39" s="460">
        <f>G39+'8'!H39</f>
        <v>-72694</v>
      </c>
      <c r="I39" s="455"/>
      <c r="J39" s="552">
        <f>H39/DAY(B2)</f>
        <v>-8077.1111111111113</v>
      </c>
      <c r="K39" s="428"/>
      <c r="L39" s="377"/>
      <c r="N39" s="382">
        <v>1951.1300000000047</v>
      </c>
    </row>
    <row r="40" spans="1:14">
      <c r="A40" s="599" t="s">
        <v>168</v>
      </c>
      <c r="B40" s="600"/>
      <c r="C40" s="600"/>
      <c r="D40" s="523" t="s">
        <v>131</v>
      </c>
      <c r="E40" s="510">
        <f>'8'!F40</f>
        <v>10218.9</v>
      </c>
      <c r="F40" s="510">
        <v>1057</v>
      </c>
      <c r="G40" s="473">
        <f t="shared" si="3"/>
        <v>-9161.9</v>
      </c>
      <c r="H40" s="460">
        <f>G40+'8'!H40</f>
        <v>-6056</v>
      </c>
      <c r="I40" s="455"/>
      <c r="J40" s="552">
        <f>H40/DAY(B2)</f>
        <v>-672.88888888888891</v>
      </c>
      <c r="K40" s="429"/>
      <c r="L40" s="377"/>
      <c r="N40" s="382">
        <v>0</v>
      </c>
    </row>
    <row r="41" spans="1:14">
      <c r="A41" s="578" t="s">
        <v>169</v>
      </c>
      <c r="B41" s="579"/>
      <c r="C41" s="579"/>
      <c r="D41" s="523" t="s">
        <v>131</v>
      </c>
      <c r="E41" s="510">
        <f>'8'!F41</f>
        <v>359557.35</v>
      </c>
      <c r="F41" s="510">
        <v>253580</v>
      </c>
      <c r="G41" s="473">
        <f t="shared" si="3"/>
        <v>-105977.34999999998</v>
      </c>
      <c r="H41" s="460">
        <f>G41+'8'!H41</f>
        <v>-76062</v>
      </c>
      <c r="I41" s="455"/>
      <c r="J41" s="552">
        <f>H41/DAY(B2)</f>
        <v>-8451.3333333333339</v>
      </c>
      <c r="K41" s="428"/>
      <c r="L41" s="377"/>
      <c r="N41" s="382">
        <v>2876.3199999999779</v>
      </c>
    </row>
    <row r="42" spans="1:14">
      <c r="A42" s="578" t="s">
        <v>170</v>
      </c>
      <c r="B42" s="579"/>
      <c r="C42" s="579"/>
      <c r="D42" s="523" t="s">
        <v>131</v>
      </c>
      <c r="E42" s="510">
        <f>'8'!F42</f>
        <v>59210.080000000002</v>
      </c>
      <c r="F42" s="510">
        <v>59210.61</v>
      </c>
      <c r="G42" s="473">
        <f t="shared" si="3"/>
        <v>0.52999999999883585</v>
      </c>
      <c r="H42" s="460">
        <f>G42+'8'!H42</f>
        <v>11.720000000001164</v>
      </c>
      <c r="I42" s="455"/>
      <c r="J42" s="552">
        <f>H42/DAY(B2)</f>
        <v>1.3022222222223516</v>
      </c>
      <c r="K42" s="428"/>
      <c r="L42" s="377"/>
      <c r="N42" s="382">
        <v>0</v>
      </c>
    </row>
    <row r="43" spans="1:14">
      <c r="A43" s="578" t="s">
        <v>171</v>
      </c>
      <c r="B43" s="579"/>
      <c r="C43" s="579"/>
      <c r="D43" s="523" t="s">
        <v>131</v>
      </c>
      <c r="E43" s="510">
        <f>'8'!F43</f>
        <v>1141436.5</v>
      </c>
      <c r="F43" s="510">
        <v>1063870</v>
      </c>
      <c r="G43" s="473">
        <f t="shared" si="3"/>
        <v>-77566.5</v>
      </c>
      <c r="H43" s="460">
        <f>G43+'8'!H43</f>
        <v>-56582</v>
      </c>
      <c r="I43" s="455"/>
      <c r="J43" s="552">
        <f>H43/DAY(B2)</f>
        <v>-6286.8888888888887</v>
      </c>
      <c r="K43" s="428"/>
      <c r="L43" s="377"/>
      <c r="N43" s="382">
        <v>1531.2399999999907</v>
      </c>
    </row>
    <row r="44" spans="1:14">
      <c r="A44" s="578" t="s">
        <v>172</v>
      </c>
      <c r="B44" s="579"/>
      <c r="C44" s="579"/>
      <c r="D44" s="523" t="s">
        <v>131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173</v>
      </c>
      <c r="B45" s="579"/>
      <c r="C45" s="579"/>
      <c r="D45" s="523" t="s">
        <v>131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614</v>
      </c>
      <c r="I45" s="455"/>
      <c r="J45" s="552">
        <f>H45/DAY(B2)</f>
        <v>68.222222222222229</v>
      </c>
      <c r="K45" s="428"/>
      <c r="L45" s="377"/>
      <c r="N45" s="382">
        <v>0</v>
      </c>
    </row>
    <row r="46" spans="1:14">
      <c r="A46" s="578" t="s">
        <v>174</v>
      </c>
      <c r="B46" s="579"/>
      <c r="C46" s="579"/>
      <c r="D46" s="523" t="s">
        <v>131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187</v>
      </c>
      <c r="I46" s="455"/>
      <c r="J46" s="552">
        <f>H46/DAY(B2)</f>
        <v>20.777777777777779</v>
      </c>
      <c r="K46" s="428"/>
      <c r="L46" s="377"/>
      <c r="N46" s="382">
        <v>0</v>
      </c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-482628.93000000005</v>
      </c>
      <c r="H47" s="460">
        <f>G47+'8'!H47</f>
        <v>-343675.27999999997</v>
      </c>
      <c r="I47" s="455"/>
      <c r="J47" s="552">
        <f>H47/DAY(B2)</f>
        <v>-38186.142222222217</v>
      </c>
      <c r="K47" s="428"/>
      <c r="L47" s="377"/>
      <c r="N47" s="382">
        <v>9418.6299999999901</v>
      </c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0.13000000000465661</v>
      </c>
      <c r="I49" s="455"/>
      <c r="J49" s="552">
        <f>H49/DAY(B2)</f>
        <v>1.4444444444961846E-2</v>
      </c>
      <c r="K49" s="428"/>
      <c r="L49" s="377"/>
      <c r="N49" s="382">
        <v>0</v>
      </c>
    </row>
    <row r="50" spans="1:14">
      <c r="A50" s="578" t="s">
        <v>177</v>
      </c>
      <c r="B50" s="601"/>
      <c r="C50" s="601"/>
      <c r="D50" s="523" t="s">
        <v>131</v>
      </c>
      <c r="E50" s="510">
        <f>'8'!F50</f>
        <v>543624.69999999995</v>
      </c>
      <c r="F50" s="510">
        <v>511082</v>
      </c>
      <c r="G50" s="473">
        <f t="shared" si="4"/>
        <v>-32542.699999999953</v>
      </c>
      <c r="H50" s="460">
        <f>G50+'8'!H50</f>
        <v>-23581</v>
      </c>
      <c r="I50" s="455"/>
      <c r="J50" s="552">
        <f>H50/DAY(B2)</f>
        <v>-2620.1111111111113</v>
      </c>
      <c r="K50" s="428"/>
      <c r="L50" s="377"/>
      <c r="N50" s="382">
        <v>609.48999999999069</v>
      </c>
    </row>
    <row r="51" spans="1:14">
      <c r="A51" s="578" t="s">
        <v>165</v>
      </c>
      <c r="B51" s="601"/>
      <c r="C51" s="601"/>
      <c r="D51" s="523" t="s">
        <v>131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178</v>
      </c>
      <c r="B52" s="601"/>
      <c r="C52" s="601"/>
      <c r="D52" s="523" t="s">
        <v>131</v>
      </c>
      <c r="E52" s="510">
        <f>'8'!F52</f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167</v>
      </c>
      <c r="B53" s="601"/>
      <c r="C53" s="601"/>
      <c r="D53" s="523" t="s">
        <v>131</v>
      </c>
      <c r="E53" s="510">
        <f>'8'!F53</f>
        <v>434231.67</v>
      </c>
      <c r="F53" s="510">
        <v>434231.67</v>
      </c>
      <c r="G53" s="473">
        <f t="shared" si="4"/>
        <v>0</v>
      </c>
      <c r="H53" s="460">
        <f>G53+'8'!H53</f>
        <v>-0.33000000001629815</v>
      </c>
      <c r="I53" s="455"/>
      <c r="J53" s="552">
        <f>H53/DAY(B2)</f>
        <v>-3.6666666668477572E-2</v>
      </c>
      <c r="K53" s="428"/>
      <c r="L53" s="377"/>
      <c r="N53" s="382">
        <v>85.455900000000838</v>
      </c>
    </row>
    <row r="54" spans="1:14">
      <c r="A54" s="578" t="s">
        <v>179</v>
      </c>
      <c r="B54" s="601"/>
      <c r="C54" s="601"/>
      <c r="D54" s="523" t="s">
        <v>131</v>
      </c>
      <c r="E54" s="510">
        <f>'8'!F54</f>
        <v>14967</v>
      </c>
      <c r="F54" s="510">
        <v>14500</v>
      </c>
      <c r="G54" s="473">
        <f t="shared" si="4"/>
        <v>-467</v>
      </c>
      <c r="H54" s="460">
        <f>G54+'8'!H54</f>
        <v>-467</v>
      </c>
      <c r="I54" s="455"/>
      <c r="J54" s="552">
        <f>H54/DAY(B2)</f>
        <v>-51.888888888888886</v>
      </c>
      <c r="K54" s="428"/>
      <c r="L54" s="377"/>
      <c r="N54" s="382">
        <v>0</v>
      </c>
    </row>
    <row r="55" spans="1:14">
      <c r="A55" s="578" t="s">
        <v>180</v>
      </c>
      <c r="B55" s="601"/>
      <c r="C55" s="601"/>
      <c r="D55" s="523" t="s">
        <v>131</v>
      </c>
      <c r="E55" s="510">
        <f>'8'!F55</f>
        <v>141395.53</v>
      </c>
      <c r="F55" s="653">
        <v>68136.52</v>
      </c>
      <c r="G55" s="652">
        <f t="shared" si="4"/>
        <v>-73259.009999999995</v>
      </c>
      <c r="H55" s="705">
        <f>G55+'8'!H55</f>
        <v>-49499.479999999996</v>
      </c>
      <c r="I55" s="706"/>
      <c r="J55" s="707">
        <f>H55/DAY(B2)</f>
        <v>-5499.942222222222</v>
      </c>
      <c r="K55" s="428"/>
      <c r="L55" s="377"/>
      <c r="N55" s="382">
        <v>0</v>
      </c>
    </row>
    <row r="56" spans="1:14">
      <c r="A56" s="578" t="s">
        <v>181</v>
      </c>
      <c r="B56" s="601"/>
      <c r="C56" s="601"/>
      <c r="D56" s="523" t="s">
        <v>182</v>
      </c>
      <c r="E56" s="510">
        <f>'8'!F56</f>
        <v>649118.23</v>
      </c>
      <c r="F56" s="653">
        <v>648815</v>
      </c>
      <c r="G56" s="473">
        <f t="shared" si="4"/>
        <v>-303.22999999998137</v>
      </c>
      <c r="H56" s="460">
        <f>G56+'8'!H56</f>
        <v>-217</v>
      </c>
      <c r="I56" s="455"/>
      <c r="J56" s="552">
        <f>H56/DAY(B2)</f>
        <v>-24.111111111111111</v>
      </c>
      <c r="K56" s="427"/>
      <c r="L56" s="377"/>
      <c r="N56" s="382">
        <v>0</v>
      </c>
    </row>
    <row r="57" spans="1:14">
      <c r="A57" s="578" t="s">
        <v>171</v>
      </c>
      <c r="B57" s="601"/>
      <c r="C57" s="601"/>
      <c r="D57" s="523" t="s">
        <v>131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183</v>
      </c>
      <c r="B58" s="601"/>
      <c r="C58" s="601"/>
      <c r="D58" s="523" t="s">
        <v>131</v>
      </c>
      <c r="E58" s="510">
        <f>'8'!F58</f>
        <v>55203.97</v>
      </c>
      <c r="F58" s="653">
        <v>50560.79</v>
      </c>
      <c r="G58" s="473">
        <f t="shared" si="4"/>
        <v>-4643.18</v>
      </c>
      <c r="H58" s="460">
        <f>G58+'8'!H58</f>
        <v>-3425.2099999999991</v>
      </c>
      <c r="I58" s="455"/>
      <c r="J58" s="552">
        <f>H58/DAY(B2)</f>
        <v>-380.5788888888888</v>
      </c>
      <c r="K58" s="428"/>
      <c r="L58" s="377"/>
      <c r="N58" s="382">
        <v>-0.29700000000048021</v>
      </c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-111215.11999999994</v>
      </c>
      <c r="H59" s="460">
        <f>G59+'8'!H59</f>
        <v>-77189.95000000007</v>
      </c>
      <c r="I59" s="455">
        <f>G7-G60</f>
        <v>615344.05000000005</v>
      </c>
      <c r="J59" s="552">
        <f>H59/DAY(B2)</f>
        <v>-8576.6611111111197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-593844.05000000005</v>
      </c>
      <c r="H60" s="460">
        <f>G60+'8'!H60</f>
        <v>-420865.2300000001</v>
      </c>
      <c r="I60" s="455">
        <f>G13-G60</f>
        <v>18693.750000000233</v>
      </c>
      <c r="J60" s="552">
        <f>H60/DAY(B2)</f>
        <v>-46762.803333333344</v>
      </c>
      <c r="K60" s="428"/>
      <c r="L60" s="377"/>
      <c r="N60" s="382">
        <v>11185.168899999966</v>
      </c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'8'!F62</f>
        <v>0</v>
      </c>
      <c r="F62" s="514">
        <v>0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187</v>
      </c>
      <c r="B63" s="604"/>
      <c r="C63" s="604"/>
      <c r="D63" s="511" t="s">
        <v>186</v>
      </c>
      <c r="E63" s="514">
        <f>'8'!F63</f>
        <v>0</v>
      </c>
      <c r="F63" s="514">
        <v>0</v>
      </c>
      <c r="G63" s="473">
        <f t="shared" si="5"/>
        <v>0</v>
      </c>
      <c r="H63" s="460">
        <f>G63+'8'!H63</f>
        <v>0</v>
      </c>
      <c r="I63" s="515"/>
      <c r="J63" s="552">
        <f>H63/DAY(B2)</f>
        <v>0</v>
      </c>
      <c r="K63" s="428"/>
      <c r="L63" s="377"/>
      <c r="N63" s="382">
        <v>0</v>
      </c>
    </row>
    <row r="64" spans="1:14" ht="27.75">
      <c r="A64" s="1540" t="s">
        <v>98</v>
      </c>
      <c r="B64" s="1541"/>
      <c r="C64" s="1542"/>
      <c r="D64" s="523" t="s">
        <v>186</v>
      </c>
      <c r="E64" s="514">
        <f>'8'!F64</f>
        <v>173248.39</v>
      </c>
      <c r="F64" s="478">
        <v>162295</v>
      </c>
      <c r="G64" s="473">
        <f t="shared" si="5"/>
        <v>-10953.390000000014</v>
      </c>
      <c r="H64" s="460">
        <f>G64+'8'!H64</f>
        <v>-7727</v>
      </c>
      <c r="I64" s="480"/>
      <c r="J64" s="552">
        <f>H64/DAY(B2)</f>
        <v>-858.55555555555554</v>
      </c>
      <c r="K64" s="428"/>
      <c r="L64" s="377"/>
      <c r="N64" s="382">
        <v>161.90400000000227</v>
      </c>
    </row>
    <row r="65" spans="1:14" ht="27.75">
      <c r="A65" s="1540" t="s">
        <v>99</v>
      </c>
      <c r="B65" s="1541"/>
      <c r="C65" s="1542"/>
      <c r="D65" s="523" t="s">
        <v>186</v>
      </c>
      <c r="E65" s="514">
        <f>'8'!F65</f>
        <v>173250.75</v>
      </c>
      <c r="F65" s="651">
        <v>163099</v>
      </c>
      <c r="G65" s="473">
        <f t="shared" si="5"/>
        <v>-10151.75</v>
      </c>
      <c r="H65" s="460">
        <f>G65+'8'!H65</f>
        <v>-7203</v>
      </c>
      <c r="I65" s="489"/>
      <c r="J65" s="552">
        <f>H65/DAY(B2)</f>
        <v>-800.33333333333337</v>
      </c>
      <c r="K65" s="428"/>
      <c r="L65" s="377"/>
      <c r="N65" s="382">
        <v>215.74700000000303</v>
      </c>
    </row>
    <row r="66" spans="1:14" ht="27.75">
      <c r="A66" s="1540" t="s">
        <v>100</v>
      </c>
      <c r="B66" s="1541"/>
      <c r="C66" s="1542"/>
      <c r="D66" s="523" t="s">
        <v>186</v>
      </c>
      <c r="E66" s="514">
        <f>'8'!F66</f>
        <v>71312.03</v>
      </c>
      <c r="F66" s="651">
        <v>59809</v>
      </c>
      <c r="G66" s="473">
        <f t="shared" si="5"/>
        <v>-11503.029999999999</v>
      </c>
      <c r="H66" s="460">
        <f>G66+'8'!H66</f>
        <v>-8161</v>
      </c>
      <c r="I66" s="480"/>
      <c r="J66" s="552">
        <f>H66/DAY(B2)</f>
        <v>-906.77777777777783</v>
      </c>
      <c r="K66" s="428"/>
      <c r="L66" s="377"/>
      <c r="N66" s="382">
        <v>243.63500000000204</v>
      </c>
    </row>
    <row r="67" spans="1:14" ht="27.75">
      <c r="A67" s="1540" t="s">
        <v>101</v>
      </c>
      <c r="B67" s="1541"/>
      <c r="C67" s="1542"/>
      <c r="D67" s="523" t="s">
        <v>186</v>
      </c>
      <c r="E67" s="514">
        <f>'8'!F67</f>
        <v>268821.13</v>
      </c>
      <c r="F67" s="478">
        <v>255696</v>
      </c>
      <c r="G67" s="473">
        <f t="shared" si="5"/>
        <v>-13125.130000000005</v>
      </c>
      <c r="H67" s="460">
        <f>G67+'8'!H67</f>
        <v>-9263</v>
      </c>
      <c r="I67" s="489"/>
      <c r="J67" s="552">
        <f>H67/DAY(B2)</f>
        <v>-1029.2222222222222</v>
      </c>
      <c r="K67" s="429"/>
      <c r="L67" s="377"/>
      <c r="N67" s="382">
        <v>74.99199999999837</v>
      </c>
    </row>
    <row r="68" spans="1:14" ht="27.75">
      <c r="A68" s="1540" t="s">
        <v>102</v>
      </c>
      <c r="B68" s="1541"/>
      <c r="C68" s="1542"/>
      <c r="D68" s="523" t="s">
        <v>186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40" t="s">
        <v>103</v>
      </c>
      <c r="B69" s="1541"/>
      <c r="C69" s="1542"/>
      <c r="D69" s="523" t="s">
        <v>186</v>
      </c>
      <c r="E69" s="514">
        <f>'8'!F69</f>
        <v>89459.06</v>
      </c>
      <c r="F69" s="478">
        <v>82755</v>
      </c>
      <c r="G69" s="473">
        <f t="shared" si="5"/>
        <v>-6704.0599999999977</v>
      </c>
      <c r="H69" s="460">
        <f>G69+'8'!H69</f>
        <v>-4760</v>
      </c>
      <c r="I69" s="516"/>
      <c r="J69" s="552">
        <f>H69/DAY(B2)</f>
        <v>-528.88888888888891</v>
      </c>
      <c r="K69" s="431"/>
      <c r="L69" s="377"/>
      <c r="N69" s="382">
        <v>12.727999999999156</v>
      </c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'8'!F72</f>
        <v>856316</v>
      </c>
      <c r="F72" s="654">
        <v>855962</v>
      </c>
      <c r="G72" s="473">
        <f t="shared" ref="G72:G84" si="6">F72-E72</f>
        <v>-354</v>
      </c>
      <c r="H72" s="460">
        <f>G72+'8'!H72</f>
        <v>-260</v>
      </c>
      <c r="I72" s="480"/>
      <c r="J72" s="552">
        <f>H72/DAY(B2)</f>
        <v>-28.888888888888889</v>
      </c>
      <c r="K72" s="431"/>
      <c r="L72" s="377"/>
      <c r="N72" s="382">
        <v>11</v>
      </c>
    </row>
    <row r="73" spans="1:14" ht="27.75">
      <c r="A73" s="1540" t="s">
        <v>191</v>
      </c>
      <c r="B73" s="1541"/>
      <c r="C73" s="1542"/>
      <c r="D73" s="523" t="s">
        <v>186</v>
      </c>
      <c r="E73" s="519">
        <f>'8'!F73</f>
        <v>885982</v>
      </c>
      <c r="F73" s="655">
        <v>885947</v>
      </c>
      <c r="G73" s="652">
        <f t="shared" si="6"/>
        <v>-35</v>
      </c>
      <c r="H73" s="460">
        <f>G73+'8'!H73</f>
        <v>-25</v>
      </c>
      <c r="I73" s="480"/>
      <c r="J73" s="552">
        <f>H73/DAY(B2)</f>
        <v>-2.7777777777777777</v>
      </c>
      <c r="K73" s="430"/>
      <c r="L73" s="377"/>
      <c r="N73" s="382">
        <v>2</v>
      </c>
    </row>
    <row r="74" spans="1:14" ht="27.75">
      <c r="A74" s="1540" t="s">
        <v>192</v>
      </c>
      <c r="B74" s="1541"/>
      <c r="C74" s="1542"/>
      <c r="D74" s="523" t="s">
        <v>186</v>
      </c>
      <c r="E74" s="519">
        <f>'8'!F74</f>
        <v>88705.3</v>
      </c>
      <c r="F74" s="654">
        <v>2599.96</v>
      </c>
      <c r="G74" s="473">
        <f t="shared" si="6"/>
        <v>-86105.34</v>
      </c>
      <c r="H74" s="460">
        <f>G74+'8'!H74</f>
        <v>-86096.04</v>
      </c>
      <c r="I74" s="480"/>
      <c r="J74" s="552">
        <f>H74/DAY(B2)</f>
        <v>-9566.2266666666656</v>
      </c>
      <c r="K74" s="431"/>
      <c r="L74" s="377"/>
      <c r="N74" s="382">
        <v>11</v>
      </c>
    </row>
    <row r="75" spans="1:14" ht="27.75">
      <c r="A75" s="1543" t="s">
        <v>193</v>
      </c>
      <c r="B75" s="1544"/>
      <c r="C75" s="1545"/>
      <c r="D75" s="523" t="s">
        <v>186</v>
      </c>
      <c r="E75" s="519">
        <f>'8'!F75</f>
        <v>17248.810000000001</v>
      </c>
      <c r="F75" s="655">
        <v>13232</v>
      </c>
      <c r="G75" s="473">
        <f t="shared" si="6"/>
        <v>-4016.8100000000013</v>
      </c>
      <c r="H75" s="460">
        <f>G75+'8'!H75</f>
        <v>-2839</v>
      </c>
      <c r="I75" s="480"/>
      <c r="J75" s="552">
        <f>H75/DAY(B2)</f>
        <v>-315.44444444444446</v>
      </c>
      <c r="K75" s="430"/>
      <c r="L75" s="377"/>
      <c r="N75" s="382">
        <v>62</v>
      </c>
    </row>
    <row r="76" spans="1:14" ht="27.75">
      <c r="A76" s="1543" t="s">
        <v>194</v>
      </c>
      <c r="B76" s="1544"/>
      <c r="C76" s="1545"/>
      <c r="D76" s="523" t="s">
        <v>186</v>
      </c>
      <c r="E76" s="519">
        <f>'8'!F76</f>
        <v>9870.58</v>
      </c>
      <c r="F76" s="655">
        <v>7951</v>
      </c>
      <c r="G76" s="473">
        <f t="shared" si="6"/>
        <v>-1919.58</v>
      </c>
      <c r="H76" s="460">
        <f>G76+'8'!H76</f>
        <v>-1385</v>
      </c>
      <c r="I76" s="505"/>
      <c r="J76" s="552">
        <f>H76/DAY(B2)</f>
        <v>-153.88888888888889</v>
      </c>
      <c r="K76" s="430"/>
      <c r="L76" s="377"/>
      <c r="N76" s="382">
        <v>4</v>
      </c>
    </row>
    <row r="77" spans="1:14" ht="27.75">
      <c r="A77" s="1540" t="s">
        <v>195</v>
      </c>
      <c r="B77" s="1541"/>
      <c r="C77" s="1542"/>
      <c r="D77" s="523" t="s">
        <v>186</v>
      </c>
      <c r="E77" s="519">
        <f>'8'!F77</f>
        <v>704858</v>
      </c>
      <c r="F77" s="655">
        <v>703283</v>
      </c>
      <c r="G77" s="652">
        <f t="shared" si="6"/>
        <v>-1575</v>
      </c>
      <c r="H77" s="460">
        <f>G77+'8'!H77</f>
        <v>-1091</v>
      </c>
      <c r="I77" s="505"/>
      <c r="J77" s="552">
        <f>H77/DAY(B2)</f>
        <v>-121.22222222222223</v>
      </c>
      <c r="K77" s="430"/>
      <c r="L77" s="377"/>
      <c r="N77" s="382">
        <v>19</v>
      </c>
    </row>
    <row r="78" spans="1:14" ht="27.75">
      <c r="A78" s="1142" t="s">
        <v>196</v>
      </c>
      <c r="B78" s="1115"/>
      <c r="C78" s="1115"/>
      <c r="D78" s="523" t="s">
        <v>186</v>
      </c>
      <c r="E78" s="519">
        <f>'8'!F78</f>
        <v>676318</v>
      </c>
      <c r="F78" s="656">
        <v>673755</v>
      </c>
      <c r="G78" s="473">
        <f t="shared" si="6"/>
        <v>-2563</v>
      </c>
      <c r="H78" s="460">
        <f>G78+'8'!H78</f>
        <v>-1659</v>
      </c>
      <c r="I78" s="505"/>
      <c r="J78" s="552">
        <f>H78/DAY(B2)</f>
        <v>-184.33333333333334</v>
      </c>
      <c r="K78" s="430"/>
      <c r="L78" s="377"/>
      <c r="N78" s="382">
        <v>31</v>
      </c>
    </row>
    <row r="79" spans="1:14" ht="27.75">
      <c r="A79" s="1543" t="s">
        <v>91</v>
      </c>
      <c r="B79" s="1544"/>
      <c r="C79" s="1545"/>
      <c r="D79" s="524" t="s">
        <v>186</v>
      </c>
      <c r="E79" s="519">
        <f>'8'!F79</f>
        <v>836612</v>
      </c>
      <c r="F79" s="656">
        <v>832369</v>
      </c>
      <c r="G79" s="473">
        <f t="shared" si="6"/>
        <v>-4243</v>
      </c>
      <c r="H79" s="460">
        <f>G79+'8'!H79</f>
        <v>-3047</v>
      </c>
      <c r="I79" s="505"/>
      <c r="J79" s="552">
        <f>H79/DAY(B2)</f>
        <v>-338.55555555555554</v>
      </c>
      <c r="K79" s="430"/>
      <c r="L79" s="377"/>
      <c r="N79" s="382">
        <v>100</v>
      </c>
    </row>
    <row r="80" spans="1:14" ht="27.75">
      <c r="A80" s="1543" t="s">
        <v>197</v>
      </c>
      <c r="B80" s="1544"/>
      <c r="C80" s="1545"/>
      <c r="D80" s="524" t="s">
        <v>186</v>
      </c>
      <c r="E80" s="519">
        <f>'8'!F80</f>
        <v>542254.28</v>
      </c>
      <c r="F80" s="1309">
        <v>530999</v>
      </c>
      <c r="G80" s="473">
        <f t="shared" si="6"/>
        <v>-11255.280000000028</v>
      </c>
      <c r="H80" s="460">
        <f>G80+'8'!H80</f>
        <v>-8014</v>
      </c>
      <c r="I80" s="505"/>
      <c r="J80" s="552">
        <f>H80/DAY(B2)</f>
        <v>-890.44444444444446</v>
      </c>
      <c r="K80" s="430"/>
      <c r="L80" s="377"/>
      <c r="N80" s="382">
        <v>158.95999999996275</v>
      </c>
    </row>
    <row r="81" spans="1:15" ht="27.75">
      <c r="A81" s="1543" t="s">
        <v>198</v>
      </c>
      <c r="B81" s="1544"/>
      <c r="C81" s="1545"/>
      <c r="D81" s="524" t="s">
        <v>186</v>
      </c>
      <c r="E81" s="519">
        <f>'8'!F81</f>
        <v>644437.64</v>
      </c>
      <c r="F81" s="655">
        <v>639898</v>
      </c>
      <c r="G81" s="473">
        <f t="shared" si="6"/>
        <v>-4539.640000000014</v>
      </c>
      <c r="H81" s="460">
        <f>G81+'8'!H81</f>
        <v>-3087</v>
      </c>
      <c r="I81" s="505"/>
      <c r="J81" s="552">
        <f>H81/DAY(B2)</f>
        <v>-343</v>
      </c>
      <c r="K81" s="430"/>
      <c r="L81" s="377"/>
      <c r="N81" s="382">
        <v>79.199999999953434</v>
      </c>
    </row>
    <row r="82" spans="1:15" ht="27.75">
      <c r="A82" s="1543" t="s">
        <v>92</v>
      </c>
      <c r="B82" s="1544"/>
      <c r="C82" s="1545"/>
      <c r="D82" s="485" t="s">
        <v>131</v>
      </c>
      <c r="E82" s="519">
        <f>'8'!F82</f>
        <v>108847.85</v>
      </c>
      <c r="F82" s="651">
        <v>108300</v>
      </c>
      <c r="G82" s="473">
        <f t="shared" si="6"/>
        <v>-547.85000000000582</v>
      </c>
      <c r="H82" s="460">
        <f>G82+'8'!H82</f>
        <v>-381</v>
      </c>
      <c r="I82" s="486"/>
      <c r="J82" s="552">
        <f>H82/DAY(B2)</f>
        <v>-42.333333333333336</v>
      </c>
      <c r="K82" s="430"/>
      <c r="L82" s="377"/>
      <c r="N82" s="382">
        <v>30.149999999994179</v>
      </c>
    </row>
    <row r="83" spans="1:15" ht="27.75">
      <c r="A83" s="1543" t="s">
        <v>199</v>
      </c>
      <c r="B83" s="1544"/>
      <c r="C83" s="1545"/>
      <c r="D83" s="620" t="s">
        <v>131</v>
      </c>
      <c r="E83" s="519">
        <f>'8'!F83</f>
        <v>29478</v>
      </c>
      <c r="F83" s="511">
        <v>22278</v>
      </c>
      <c r="G83" s="473">
        <f t="shared" si="6"/>
        <v>-7200</v>
      </c>
      <c r="H83" s="460">
        <f>G83+'8'!H83</f>
        <v>-5273</v>
      </c>
      <c r="I83" s="481"/>
      <c r="J83" s="552">
        <f>H83/DAY(B2)</f>
        <v>-585.88888888888891</v>
      </c>
      <c r="K83" s="429"/>
      <c r="L83" s="377"/>
      <c r="N83" s="382">
        <v>316</v>
      </c>
    </row>
    <row r="84" spans="1:15">
      <c r="A84" s="1143" t="s">
        <v>200</v>
      </c>
      <c r="B84" s="571"/>
      <c r="C84" s="571"/>
      <c r="D84" s="478" t="s">
        <v>131</v>
      </c>
      <c r="E84" s="519">
        <f>'8'!F84</f>
        <v>529638</v>
      </c>
      <c r="F84" s="627">
        <v>507300</v>
      </c>
      <c r="G84" s="473">
        <f t="shared" si="6"/>
        <v>-22338</v>
      </c>
      <c r="H84" s="460">
        <f>G84+'8'!H84</f>
        <v>-15780</v>
      </c>
      <c r="I84" s="481"/>
      <c r="J84" s="552">
        <f>H84/DAY(B2)</f>
        <v>-1753.3333333333333</v>
      </c>
      <c r="K84" s="380"/>
      <c r="L84" s="377"/>
      <c r="N84" s="382">
        <v>408</v>
      </c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-146692.50000000006</v>
      </c>
      <c r="H85" s="460">
        <f>G85+'8'!H85</f>
        <v>-128937.04000000001</v>
      </c>
      <c r="I85" s="481"/>
      <c r="J85" s="552">
        <f>H85/DAY(B2)</f>
        <v>-14326.337777777779</v>
      </c>
      <c r="K85" s="380"/>
      <c r="L85" s="378"/>
      <c r="N85" s="382">
        <v>1232.3099999999104</v>
      </c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'8'!F86</f>
        <v>462018.92</v>
      </c>
      <c r="F86" s="638">
        <v>461219</v>
      </c>
      <c r="G86" s="705">
        <f t="shared" ref="G86:G91" si="7">F86-E86</f>
        <v>-799.9199999999837</v>
      </c>
      <c r="H86" s="460">
        <f>G86+'8'!H86</f>
        <v>-770.20000000001164</v>
      </c>
      <c r="I86" s="652"/>
      <c r="J86" s="707">
        <f>H86/DAY(B2)</f>
        <v>-85.577777777779076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'8'!F87</f>
        <v>82320</v>
      </c>
      <c r="F87" s="647">
        <v>81557</v>
      </c>
      <c r="G87" s="705">
        <f t="shared" si="7"/>
        <v>-763</v>
      </c>
      <c r="H87" s="460">
        <f>G87+'8'!H87</f>
        <v>-731.60000000000582</v>
      </c>
      <c r="I87" s="652"/>
      <c r="J87" s="707">
        <f>H87/DAY(B2)</f>
        <v>-81.288888888889531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'8'!F88</f>
        <v>156256.66</v>
      </c>
      <c r="F88" s="638">
        <v>153439</v>
      </c>
      <c r="G88" s="705">
        <f t="shared" si="7"/>
        <v>-2817.6600000000035</v>
      </c>
      <c r="H88" s="460">
        <f>G88+'8'!H88</f>
        <v>-2666.0899999999965</v>
      </c>
      <c r="I88" s="652"/>
      <c r="J88" s="707">
        <f>H88/DAY(B2)</f>
        <v>-296.23222222222182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'8'!F89</f>
        <v>66275.600000000006</v>
      </c>
      <c r="F89" s="647">
        <v>65319</v>
      </c>
      <c r="G89" s="705">
        <f t="shared" si="7"/>
        <v>-956.60000000000582</v>
      </c>
      <c r="H89" s="460">
        <f>G89+'8'!H89</f>
        <v>-780.5</v>
      </c>
      <c r="I89" s="652"/>
      <c r="J89" s="707">
        <f>H89/DAY(B2)</f>
        <v>-86.722222222222229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'8'!F90</f>
        <v>3374.9</v>
      </c>
      <c r="F90" s="647">
        <v>3283</v>
      </c>
      <c r="G90" s="705">
        <f t="shared" si="7"/>
        <v>-91.900000000000091</v>
      </c>
      <c r="H90" s="460">
        <f>G90+'8'!H90</f>
        <v>-84.900000000000091</v>
      </c>
      <c r="I90" s="652"/>
      <c r="J90" s="707">
        <f>H90/DAY(B2)</f>
        <v>-9.4333333333333442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 t="s">
        <v>131</v>
      </c>
      <c r="E91" s="627">
        <f>'8'!F91</f>
        <v>28315.7</v>
      </c>
      <c r="F91" s="647">
        <v>28091</v>
      </c>
      <c r="G91" s="705">
        <f t="shared" si="7"/>
        <v>-224.70000000000073</v>
      </c>
      <c r="H91" s="460">
        <f>G91+'8'!H91</f>
        <v>-215.7599999999984</v>
      </c>
      <c r="I91" s="652"/>
      <c r="J91" s="707">
        <f>H91/DAY(B2)</f>
        <v>-23.973333333333155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'8'!F93</f>
        <v>248155</v>
      </c>
      <c r="F93" s="478">
        <v>245842</v>
      </c>
      <c r="G93" s="473">
        <f t="shared" ref="G93:G94" si="8">F93-E93</f>
        <v>-2313</v>
      </c>
      <c r="H93" s="460">
        <f>G93+'8'!H93</f>
        <v>-1510</v>
      </c>
      <c r="I93" s="480"/>
      <c r="J93" s="552">
        <f>H93/DAY(B2)</f>
        <v>-167.77777777777777</v>
      </c>
      <c r="K93" s="429"/>
      <c r="L93" s="377"/>
      <c r="N93" s="382">
        <v>0</v>
      </c>
    </row>
    <row r="94" spans="1:15" ht="27.75">
      <c r="A94" s="1559" t="s">
        <v>206</v>
      </c>
      <c r="B94" s="1560"/>
      <c r="C94" s="1561"/>
      <c r="D94" s="523" t="s">
        <v>143</v>
      </c>
      <c r="E94" s="484">
        <f>'8'!F94</f>
        <v>190361</v>
      </c>
      <c r="F94" s="478">
        <v>186904</v>
      </c>
      <c r="G94" s="473">
        <f t="shared" si="8"/>
        <v>-3457</v>
      </c>
      <c r="H94" s="460">
        <f>G94+'8'!H94</f>
        <v>-2550</v>
      </c>
      <c r="I94" s="480"/>
      <c r="J94" s="552">
        <f>H94/DAY(B2)</f>
        <v>-283.33333333333331</v>
      </c>
      <c r="K94" s="380"/>
      <c r="L94" s="377"/>
      <c r="N94" s="382">
        <v>71</v>
      </c>
    </row>
    <row r="95" spans="1:15">
      <c r="A95" s="1591" t="s">
        <v>207</v>
      </c>
      <c r="B95" s="1592"/>
      <c r="C95" s="1593"/>
      <c r="D95" s="523"/>
      <c r="E95" s="484">
        <f>'8'!F95</f>
        <v>0</v>
      </c>
      <c r="F95" s="478"/>
      <c r="G95" s="473">
        <f>G93+G94</f>
        <v>-5770</v>
      </c>
      <c r="H95" s="460">
        <f>G95+'8'!H95</f>
        <v>-4246</v>
      </c>
      <c r="I95" s="480"/>
      <c r="J95" s="552">
        <f>H95/DAY(B2)</f>
        <v>-471.77777777777777</v>
      </c>
      <c r="K95" s="380"/>
      <c r="L95" s="377"/>
      <c r="N95" s="382">
        <v>71</v>
      </c>
    </row>
    <row r="96" spans="1:15" ht="27.75">
      <c r="A96" s="1559" t="s">
        <v>208</v>
      </c>
      <c r="B96" s="1560"/>
      <c r="C96" s="1561"/>
      <c r="D96" s="523" t="s">
        <v>143</v>
      </c>
      <c r="E96" s="484">
        <f>'8'!F96</f>
        <v>416769</v>
      </c>
      <c r="F96" s="478">
        <v>414705</v>
      </c>
      <c r="G96" s="473">
        <f t="shared" ref="G96:G101" si="9">F96-E96</f>
        <v>-2064</v>
      </c>
      <c r="H96" s="460">
        <f>G96+'8'!H96</f>
        <v>-1294</v>
      </c>
      <c r="I96" s="480"/>
      <c r="J96" s="552">
        <f>H96/DAY(B2)</f>
        <v>-143.77777777777777</v>
      </c>
      <c r="K96" s="380"/>
      <c r="L96" s="377"/>
      <c r="N96" s="382">
        <v>26</v>
      </c>
    </row>
    <row r="97" spans="1:14" ht="27.75">
      <c r="A97" s="1139" t="s">
        <v>209</v>
      </c>
      <c r="B97" s="1140"/>
      <c r="C97" s="1140"/>
      <c r="D97" s="523" t="s">
        <v>143</v>
      </c>
      <c r="E97" s="484">
        <f>'8'!F97</f>
        <v>103326</v>
      </c>
      <c r="F97" s="478">
        <v>102750</v>
      </c>
      <c r="G97" s="473">
        <f t="shared" si="9"/>
        <v>-576</v>
      </c>
      <c r="H97" s="460">
        <f>G97+'8'!H97</f>
        <v>-413</v>
      </c>
      <c r="I97" s="480"/>
      <c r="J97" s="552">
        <f>H97/DAY(B2)</f>
        <v>-45.888888888888886</v>
      </c>
      <c r="K97" s="427"/>
      <c r="L97" s="377"/>
      <c r="N97" s="382">
        <v>11</v>
      </c>
    </row>
    <row r="98" spans="1:14" ht="27.75">
      <c r="A98" s="1139" t="s">
        <v>210</v>
      </c>
      <c r="B98" s="1140"/>
      <c r="C98" s="1140"/>
      <c r="D98" s="523" t="s">
        <v>143</v>
      </c>
      <c r="E98" s="484">
        <f>'8'!F98</f>
        <v>98842</v>
      </c>
      <c r="F98" s="478">
        <v>98109</v>
      </c>
      <c r="G98" s="473">
        <f t="shared" si="9"/>
        <v>-733</v>
      </c>
      <c r="H98" s="460">
        <f>G98+'8'!H98</f>
        <v>-548</v>
      </c>
      <c r="I98" s="480"/>
      <c r="J98" s="552">
        <f>H98/DAY(B2)</f>
        <v>-60.888888888888886</v>
      </c>
      <c r="K98" s="432"/>
      <c r="L98" s="377"/>
      <c r="N98" s="382">
        <v>9</v>
      </c>
    </row>
    <row r="99" spans="1:14" ht="27.75">
      <c r="A99" s="1139" t="s">
        <v>211</v>
      </c>
      <c r="B99" s="1140"/>
      <c r="C99" s="1140"/>
      <c r="D99" s="523" t="s">
        <v>143</v>
      </c>
      <c r="E99" s="484">
        <f>'8'!F99</f>
        <v>150670</v>
      </c>
      <c r="F99" s="478">
        <v>149914</v>
      </c>
      <c r="G99" s="473">
        <f t="shared" si="9"/>
        <v>-756</v>
      </c>
      <c r="H99" s="460">
        <f>G99+'8'!H99</f>
        <v>-491</v>
      </c>
      <c r="I99" s="480"/>
      <c r="J99" s="552">
        <f>H99/DAY(B2)</f>
        <v>-54.555555555555557</v>
      </c>
      <c r="K99" s="380"/>
      <c r="L99" s="377"/>
      <c r="N99" s="704">
        <v>24</v>
      </c>
    </row>
    <row r="100" spans="1:14" ht="27.75">
      <c r="A100" s="1139" t="s">
        <v>212</v>
      </c>
      <c r="B100" s="1140"/>
      <c r="C100" s="1140"/>
      <c r="D100" s="523" t="s">
        <v>143</v>
      </c>
      <c r="E100" s="484">
        <f>'8'!F100</f>
        <v>7873</v>
      </c>
      <c r="F100" s="478">
        <v>7494</v>
      </c>
      <c r="G100" s="473">
        <f t="shared" si="9"/>
        <v>-379</v>
      </c>
      <c r="H100" s="460">
        <f>G100+'8'!H100</f>
        <v>-303</v>
      </c>
      <c r="I100" s="480"/>
      <c r="J100" s="552">
        <f>H100/DAY(B2)</f>
        <v>-33.666666666666664</v>
      </c>
      <c r="K100" s="380"/>
      <c r="L100" s="377"/>
      <c r="N100" s="382">
        <v>3</v>
      </c>
    </row>
    <row r="101" spans="1:14" ht="27.75">
      <c r="A101" s="1139" t="s">
        <v>213</v>
      </c>
      <c r="B101" s="1140"/>
      <c r="C101" s="1140"/>
      <c r="D101" s="523" t="s">
        <v>143</v>
      </c>
      <c r="E101" s="484">
        <f>'8'!F101</f>
        <v>5737</v>
      </c>
      <c r="F101" s="478">
        <v>5446</v>
      </c>
      <c r="G101" s="473">
        <f t="shared" si="9"/>
        <v>-291</v>
      </c>
      <c r="H101" s="460">
        <f>G101+'8'!H101</f>
        <v>-228</v>
      </c>
      <c r="I101" s="480"/>
      <c r="J101" s="552">
        <f>H101/DAY(B2)</f>
        <v>-25.333333333333332</v>
      </c>
      <c r="K101" s="380"/>
      <c r="L101" s="377"/>
      <c r="N101" s="382">
        <v>0</v>
      </c>
    </row>
    <row r="102" spans="1:14">
      <c r="A102" s="1591" t="s">
        <v>215</v>
      </c>
      <c r="B102" s="1592"/>
      <c r="C102" s="1593"/>
      <c r="D102" s="524"/>
      <c r="E102" s="484"/>
      <c r="F102" s="524"/>
      <c r="G102" s="525">
        <f>SUM(G96:G101)</f>
        <v>-4799</v>
      </c>
      <c r="H102" s="460">
        <f>G102+'8'!H102</f>
        <v>-3277</v>
      </c>
      <c r="I102" s="526"/>
      <c r="J102" s="552">
        <f>H102/DAY(B2)</f>
        <v>-364.11111111111109</v>
      </c>
      <c r="K102" s="380"/>
      <c r="L102" s="377"/>
      <c r="N102" s="382">
        <v>73</v>
      </c>
    </row>
    <row r="103" spans="1:14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484">
        <f>'8'!F105</f>
        <v>7767</v>
      </c>
      <c r="F105" s="658">
        <v>7484</v>
      </c>
      <c r="G105" s="532">
        <f>F105-E105</f>
        <v>-283</v>
      </c>
      <c r="H105" s="460">
        <f>G105+'8'!H105</f>
        <v>-153</v>
      </c>
      <c r="I105" s="532"/>
      <c r="J105" s="558">
        <f>H105/DAY(B2)</f>
        <v>-17</v>
      </c>
      <c r="N105" s="382">
        <v>0</v>
      </c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484">
        <f>'8'!F106</f>
        <v>36225</v>
      </c>
      <c r="F106" s="659">
        <v>35989</v>
      </c>
      <c r="G106" s="532">
        <f t="shared" ref="G106:G107" si="10">F106-E106</f>
        <v>-236</v>
      </c>
      <c r="H106" s="460">
        <f>G106+'8'!H106</f>
        <v>-173</v>
      </c>
      <c r="I106" s="532"/>
      <c r="J106" s="558">
        <f>H106/DAY(B2)</f>
        <v>-19.222222222222221</v>
      </c>
      <c r="N106" s="382">
        <v>0</v>
      </c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484">
        <f>'8'!F107</f>
        <v>19853</v>
      </c>
      <c r="F107" s="783">
        <v>19732</v>
      </c>
      <c r="G107" s="532">
        <f t="shared" si="10"/>
        <v>-121</v>
      </c>
      <c r="H107" s="460">
        <f>G107+'8'!H107</f>
        <v>-90</v>
      </c>
      <c r="I107" s="532"/>
      <c r="J107" s="558">
        <f>H107/DAY(B2)</f>
        <v>-10</v>
      </c>
      <c r="N107" s="382">
        <v>4</v>
      </c>
    </row>
    <row r="108" spans="1:14" s="442" customFormat="1" ht="27.75">
      <c r="A108" s="1553" t="s">
        <v>201</v>
      </c>
      <c r="B108" s="1554"/>
      <c r="C108" s="1138"/>
      <c r="D108" s="622"/>
      <c r="E108" s="484"/>
      <c r="F108" s="659"/>
      <c r="G108" s="532">
        <f>SUM(G105:G107)</f>
        <v>-640</v>
      </c>
      <c r="H108" s="460">
        <f>G108+'8'!H108</f>
        <v>-416</v>
      </c>
      <c r="I108" s="532"/>
      <c r="J108" s="558">
        <f>H108/DAY(B2)</f>
        <v>-46.222222222222221</v>
      </c>
      <c r="N108" s="382">
        <v>4</v>
      </c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484">
        <f>'8'!F109</f>
        <v>0</v>
      </c>
      <c r="F109" s="659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484">
        <f>'8'!F110</f>
        <v>65473</v>
      </c>
      <c r="F110" s="659">
        <v>63427</v>
      </c>
      <c r="G110" s="532">
        <f>F110-E110</f>
        <v>-2046</v>
      </c>
      <c r="H110" s="460">
        <f>G110+'8'!H110</f>
        <v>-1416</v>
      </c>
      <c r="I110" s="532"/>
      <c r="J110" s="558">
        <f>H110/DAY(B2)</f>
        <v>-157.33333333333334</v>
      </c>
      <c r="N110" s="382">
        <v>40</v>
      </c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484">
        <f>'8'!F111</f>
        <v>33395</v>
      </c>
      <c r="F111" s="659">
        <v>32632</v>
      </c>
      <c r="G111" s="532">
        <f t="shared" ref="G111:G112" si="11">F111-E111</f>
        <v>-763</v>
      </c>
      <c r="H111" s="460">
        <f>G111+'8'!H111</f>
        <v>-497</v>
      </c>
      <c r="I111" s="532"/>
      <c r="J111" s="558">
        <f>H111/DAY(B2)</f>
        <v>-55.222222222222221</v>
      </c>
      <c r="N111" s="382">
        <v>43</v>
      </c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484">
        <f>'8'!F112</f>
        <v>4621.3</v>
      </c>
      <c r="F112" s="659">
        <v>4621</v>
      </c>
      <c r="G112" s="532">
        <f t="shared" si="11"/>
        <v>-0.3000000000001819</v>
      </c>
      <c r="H112" s="460">
        <f>G112+'8'!H112</f>
        <v>0</v>
      </c>
      <c r="I112" s="532"/>
      <c r="J112" s="558">
        <f>H112/DAY(B2)</f>
        <v>0</v>
      </c>
      <c r="N112" s="382">
        <v>0</v>
      </c>
    </row>
    <row r="113" spans="1:14" s="442" customFormat="1" ht="27.75">
      <c r="A113" s="1553" t="s">
        <v>109</v>
      </c>
      <c r="B113" s="1554"/>
      <c r="C113" s="1138"/>
      <c r="D113" s="622"/>
      <c r="E113" s="484"/>
      <c r="F113" s="659"/>
      <c r="G113" s="532">
        <f>SUM(G110:G112)</f>
        <v>-2809.3</v>
      </c>
      <c r="H113" s="460">
        <f>G113+'8'!H113</f>
        <v>-1913</v>
      </c>
      <c r="I113" s="532"/>
      <c r="J113" s="558">
        <f>H113/DAY(B2)</f>
        <v>-212.55555555555554</v>
      </c>
      <c r="N113" s="382">
        <v>83</v>
      </c>
    </row>
    <row r="114" spans="1:14" s="442" customFormat="1" ht="27.75">
      <c r="A114" s="1557" t="s">
        <v>222</v>
      </c>
      <c r="B114" s="1558"/>
      <c r="C114" s="1138"/>
      <c r="D114" s="622"/>
      <c r="E114" s="484"/>
      <c r="F114" s="659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484">
        <f>'8'!F115</f>
        <v>12112</v>
      </c>
      <c r="F115" s="659">
        <v>11651</v>
      </c>
      <c r="G115" s="534">
        <f>F115-E115</f>
        <v>-461</v>
      </c>
      <c r="H115" s="460">
        <f>G115+'8'!H115</f>
        <v>-362</v>
      </c>
      <c r="I115" s="532"/>
      <c r="J115" s="558">
        <f>H115/DAY(B2)</f>
        <v>-40.222222222222221</v>
      </c>
      <c r="N115" s="382">
        <v>5</v>
      </c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484">
        <f>'8'!F116</f>
        <v>8611</v>
      </c>
      <c r="F116" s="659">
        <v>8366</v>
      </c>
      <c r="G116" s="534">
        <f t="shared" ref="G116:G117" si="12">F116-E116</f>
        <v>-245</v>
      </c>
      <c r="H116" s="460">
        <f>G116+'8'!H116</f>
        <v>-189</v>
      </c>
      <c r="I116" s="532"/>
      <c r="J116" s="558">
        <f>H116/DAY(B2)</f>
        <v>-21</v>
      </c>
      <c r="N116" s="382">
        <v>3</v>
      </c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-706</v>
      </c>
      <c r="H118" s="460">
        <f>G118+'8'!H118</f>
        <v>-551</v>
      </c>
      <c r="I118" s="534"/>
      <c r="J118" s="558">
        <f>H118/DAY(B2)</f>
        <v>-61.222222222222221</v>
      </c>
      <c r="N118" s="382">
        <v>8</v>
      </c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-4120</v>
      </c>
      <c r="G119" s="536">
        <f>SUM(G19+G93)</f>
        <v>-4120</v>
      </c>
      <c r="H119" s="460">
        <f>G119+'8'!H119</f>
        <v>-2831</v>
      </c>
      <c r="I119" s="535"/>
      <c r="J119" s="559">
        <f>H119/DAY(B2)</f>
        <v>-314.55555555555554</v>
      </c>
      <c r="N119" s="382">
        <v>55</v>
      </c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-4043</v>
      </c>
      <c r="G120" s="536">
        <f>SUM(G96,G97,G98,G100,G101)</f>
        <v>-4043</v>
      </c>
      <c r="H120" s="460">
        <f>G120+'8'!H120</f>
        <v>-2786</v>
      </c>
      <c r="I120" s="535"/>
      <c r="J120" s="559">
        <f>H120/DAY(B2)</f>
        <v>-309.55555555555554</v>
      </c>
      <c r="N120" s="382">
        <v>49</v>
      </c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-2809.3</v>
      </c>
      <c r="G121" s="534">
        <f>SUM(G113)</f>
        <v>-2809.3</v>
      </c>
      <c r="H121" s="460">
        <f>G121+'8'!H121</f>
        <v>-1913</v>
      </c>
      <c r="I121" s="535"/>
      <c r="J121" s="559">
        <f>H121/DAY(B2)</f>
        <v>-212.55555555555554</v>
      </c>
      <c r="N121" s="382">
        <v>83</v>
      </c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'8'!F124</f>
        <v>841867.13</v>
      </c>
      <c r="F124" s="478">
        <v>834008</v>
      </c>
      <c r="G124" s="473">
        <f t="shared" ref="G124:G128" si="13">F124-E124</f>
        <v>-7859.1300000000047</v>
      </c>
      <c r="H124" s="460">
        <f>G124+'8'!H124</f>
        <v>-5662</v>
      </c>
      <c r="I124" s="526"/>
      <c r="J124" s="552">
        <f>H124/DAY(B2)</f>
        <v>-629.11111111111109</v>
      </c>
      <c r="K124" s="380"/>
      <c r="L124" s="377"/>
      <c r="N124" s="382">
        <v>111.45100000000093</v>
      </c>
    </row>
    <row r="125" spans="1:14" ht="27.75">
      <c r="A125" s="1139" t="s">
        <v>231</v>
      </c>
      <c r="B125" s="1140"/>
      <c r="C125" s="1140"/>
      <c r="D125" s="523" t="s">
        <v>140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40" t="s">
        <v>232</v>
      </c>
      <c r="B126" s="1541"/>
      <c r="C126" s="1542"/>
      <c r="D126" s="523" t="s">
        <v>140</v>
      </c>
      <c r="E126" s="478">
        <f>'8'!F126</f>
        <v>149241.91</v>
      </c>
      <c r="F126" s="478">
        <v>147053</v>
      </c>
      <c r="G126" s="473">
        <f t="shared" si="13"/>
        <v>-2188.9100000000035</v>
      </c>
      <c r="H126" s="460">
        <f>G126+'8'!H126</f>
        <v>-1544</v>
      </c>
      <c r="I126" s="526"/>
      <c r="J126" s="552">
        <f>H126/DAY(B2)</f>
        <v>-171.55555555555554</v>
      </c>
      <c r="K126" s="380"/>
      <c r="L126" s="377"/>
      <c r="N126" s="382">
        <v>43.220000000001164</v>
      </c>
    </row>
    <row r="127" spans="1:14" ht="27.75">
      <c r="A127" s="609" t="s">
        <v>233</v>
      </c>
      <c r="B127" s="1140"/>
      <c r="C127" s="1140"/>
      <c r="D127" s="523" t="s">
        <v>140</v>
      </c>
      <c r="E127" s="478">
        <f>'8'!F127</f>
        <v>32354.2</v>
      </c>
      <c r="F127" s="626">
        <v>31409</v>
      </c>
      <c r="G127" s="473">
        <f t="shared" si="13"/>
        <v>-945.20000000000073</v>
      </c>
      <c r="H127" s="460">
        <f>G127+'8'!H127</f>
        <v>-662</v>
      </c>
      <c r="I127" s="526"/>
      <c r="J127" s="552">
        <f>H127/DAY(B2)</f>
        <v>-73.555555555555557</v>
      </c>
      <c r="K127" s="380"/>
      <c r="L127" s="377"/>
      <c r="N127" s="382">
        <v>0</v>
      </c>
    </row>
    <row r="128" spans="1:14" ht="27.75">
      <c r="A128" s="609" t="s">
        <v>234</v>
      </c>
      <c r="B128" s="1140"/>
      <c r="C128" s="1140"/>
      <c r="D128" s="523" t="s">
        <v>140</v>
      </c>
      <c r="E128" s="478">
        <f>'8'!F128</f>
        <v>9031.2000000000007</v>
      </c>
      <c r="F128" s="626">
        <v>8972</v>
      </c>
      <c r="G128" s="473">
        <f t="shared" si="13"/>
        <v>-59.200000000000728</v>
      </c>
      <c r="H128" s="460">
        <f>G128+'8'!H128</f>
        <v>-40</v>
      </c>
      <c r="I128" s="480"/>
      <c r="J128" s="552">
        <f>H128/DAY(B2)</f>
        <v>-4.4444444444444446</v>
      </c>
      <c r="K128" s="380"/>
      <c r="L128" s="377"/>
      <c r="N128" s="382">
        <v>0</v>
      </c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11752.44000000001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39" t="s">
        <v>239</v>
      </c>
      <c r="B132" s="1140"/>
      <c r="C132" s="1140"/>
      <c r="D132" s="523" t="s">
        <v>238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39" t="s">
        <v>240</v>
      </c>
      <c r="B133" s="1140"/>
      <c r="C133" s="1140"/>
      <c r="D133" s="523" t="s">
        <v>238</v>
      </c>
      <c r="E133" s="484">
        <f>'8'!F133</f>
        <v>40583.379999999997</v>
      </c>
      <c r="F133" s="626">
        <v>40099</v>
      </c>
      <c r="G133" s="473">
        <f t="shared" si="14"/>
        <v>-484.37999999999738</v>
      </c>
      <c r="H133" s="460">
        <f>G133+'8'!H133</f>
        <v>-354</v>
      </c>
      <c r="I133" s="480"/>
      <c r="J133" s="552">
        <f>H133/DAY(B2)</f>
        <v>-39.333333333333336</v>
      </c>
      <c r="N133" s="382">
        <v>22</v>
      </c>
    </row>
    <row r="134" spans="1:14" ht="27.75">
      <c r="A134" s="1139" t="s">
        <v>241</v>
      </c>
      <c r="B134" s="1140"/>
      <c r="C134" s="1140"/>
      <c r="D134" s="523" t="s">
        <v>238</v>
      </c>
      <c r="E134" s="484">
        <f>'8'!F134</f>
        <v>300.19</v>
      </c>
      <c r="F134" s="485">
        <v>300</v>
      </c>
      <c r="G134" s="473">
        <f t="shared" si="14"/>
        <v>-0.18999999999999773</v>
      </c>
      <c r="H134" s="460">
        <f>G134+'8'!H134</f>
        <v>0</v>
      </c>
      <c r="I134" s="480">
        <f>G131+G132+G133+G134</f>
        <v>-484.56999999999738</v>
      </c>
      <c r="J134" s="552">
        <f>H134/DAY(B2)</f>
        <v>0</v>
      </c>
      <c r="N134" s="382">
        <v>0</v>
      </c>
    </row>
    <row r="135" spans="1:14" ht="27.75">
      <c r="A135" s="1139" t="s">
        <v>242</v>
      </c>
      <c r="B135" s="1140"/>
      <c r="C135" s="1140"/>
      <c r="D135" s="523" t="s">
        <v>238</v>
      </c>
      <c r="E135" s="484">
        <f>'8'!F135</f>
        <v>42079.15</v>
      </c>
      <c r="F135" s="626">
        <v>41730.449999999997</v>
      </c>
      <c r="G135" s="473">
        <f t="shared" si="14"/>
        <v>-348.70000000000437</v>
      </c>
      <c r="H135" s="460">
        <f>G135+'8'!H135</f>
        <v>-241.55000000000291</v>
      </c>
      <c r="I135" s="480"/>
      <c r="J135" s="552">
        <f>H135/DAY(B2)</f>
        <v>-26.838888888889212</v>
      </c>
      <c r="N135" s="382">
        <v>0</v>
      </c>
    </row>
    <row r="136" spans="1:14" ht="27.75">
      <c r="A136" s="1139" t="s">
        <v>243</v>
      </c>
      <c r="B136" s="1140"/>
      <c r="C136" s="1140"/>
      <c r="D136" s="523" t="s">
        <v>238</v>
      </c>
      <c r="E136" s="484">
        <f>'8'!F136</f>
        <v>32874.050000000003</v>
      </c>
      <c r="F136" s="626">
        <v>32874.050000000003</v>
      </c>
      <c r="G136" s="473">
        <f t="shared" si="14"/>
        <v>0</v>
      </c>
      <c r="H136" s="460">
        <f>G136+'8'!H136</f>
        <v>5.0000000002910383E-2</v>
      </c>
      <c r="I136" s="480"/>
      <c r="J136" s="552">
        <f>H136/DAY(B2)</f>
        <v>5.5555555558789316E-3</v>
      </c>
      <c r="N136" s="382">
        <v>0</v>
      </c>
    </row>
    <row r="137" spans="1:14" ht="27.75">
      <c r="A137" s="1139" t="s">
        <v>244</v>
      </c>
      <c r="B137" s="1140"/>
      <c r="C137" s="1140"/>
      <c r="D137" s="523" t="s">
        <v>238</v>
      </c>
      <c r="E137" s="484">
        <f>'8'!F137</f>
        <v>22942.28</v>
      </c>
      <c r="F137" s="651">
        <v>22825.71</v>
      </c>
      <c r="G137" s="473">
        <f t="shared" si="14"/>
        <v>-116.56999999999971</v>
      </c>
      <c r="H137" s="460">
        <f>G137+'8'!H137</f>
        <v>-65.780000000002474</v>
      </c>
      <c r="I137" s="480">
        <f>G135+G136+G137</f>
        <v>-465.27000000000407</v>
      </c>
      <c r="J137" s="552">
        <f>H137/DAY(B2)</f>
        <v>-7.3088888888891637</v>
      </c>
      <c r="N137" s="382">
        <v>-0.2999999999992724</v>
      </c>
    </row>
    <row r="138" spans="1:14" ht="27.75">
      <c r="A138" s="1139" t="s">
        <v>245</v>
      </c>
      <c r="B138" s="1140"/>
      <c r="C138" s="1140"/>
      <c r="D138" s="523" t="s">
        <v>238</v>
      </c>
      <c r="E138" s="484">
        <f>'8'!F138</f>
        <v>25095.02</v>
      </c>
      <c r="F138" s="651">
        <v>25051.82</v>
      </c>
      <c r="G138" s="473">
        <f t="shared" si="14"/>
        <v>-43.200000000000728</v>
      </c>
      <c r="H138" s="460">
        <f>G138+'8'!H138</f>
        <v>-39.569999999999709</v>
      </c>
      <c r="I138" s="480"/>
      <c r="J138" s="552">
        <f>H138/DAY(B2)</f>
        <v>-4.3966666666666345</v>
      </c>
      <c r="N138" s="382">
        <v>0</v>
      </c>
    </row>
    <row r="139" spans="1:14" ht="27.75">
      <c r="A139" s="1139" t="s">
        <v>246</v>
      </c>
      <c r="B139" s="1140"/>
      <c r="C139" s="1140"/>
      <c r="D139" s="523" t="s">
        <v>238</v>
      </c>
      <c r="E139" s="484">
        <f>'8'!F139</f>
        <v>70514.289999999994</v>
      </c>
      <c r="F139" s="651">
        <v>70448.41</v>
      </c>
      <c r="G139" s="473">
        <f t="shared" si="14"/>
        <v>-65.879999999990105</v>
      </c>
      <c r="H139" s="460">
        <f>G139+'8'!H139</f>
        <v>-65.209999999991851</v>
      </c>
      <c r="I139" s="480">
        <f>G138+G139</f>
        <v>-109.07999999999083</v>
      </c>
      <c r="J139" s="552">
        <f>H139/DAY(B2)</f>
        <v>-7.2455555555546498</v>
      </c>
      <c r="N139" s="382">
        <v>9.7100000000064028</v>
      </c>
    </row>
    <row r="140" spans="1:14" ht="27.75">
      <c r="A140" s="1139" t="s">
        <v>247</v>
      </c>
      <c r="B140" s="1140"/>
      <c r="C140" s="1140"/>
      <c r="D140" s="523" t="s">
        <v>238</v>
      </c>
      <c r="E140" s="484">
        <f>'8'!F140</f>
        <v>2210.52</v>
      </c>
      <c r="F140" s="626">
        <v>1917.79</v>
      </c>
      <c r="G140" s="473">
        <f t="shared" si="14"/>
        <v>-292.73</v>
      </c>
      <c r="H140" s="460">
        <f>G140+'8'!H140</f>
        <v>-211.38999999999987</v>
      </c>
      <c r="I140" s="542"/>
      <c r="J140" s="552">
        <f>H140/DAY(B2)</f>
        <v>-23.487777777777765</v>
      </c>
      <c r="N140" s="382">
        <v>0</v>
      </c>
    </row>
    <row r="141" spans="1:14" ht="27.75">
      <c r="A141" s="1139" t="s">
        <v>248</v>
      </c>
      <c r="B141" s="1140"/>
      <c r="C141" s="1140"/>
      <c r="D141" s="523" t="s">
        <v>238</v>
      </c>
      <c r="E141" s="484">
        <f>'8'!F141</f>
        <v>4637</v>
      </c>
      <c r="F141" s="478">
        <v>4636.88</v>
      </c>
      <c r="G141" s="473">
        <f t="shared" si="14"/>
        <v>-0.11999999999989086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-157437.10000000009</v>
      </c>
      <c r="H143" s="460">
        <f>G143+'8'!H143</f>
        <v>-112934.87</v>
      </c>
      <c r="I143" s="480"/>
      <c r="J143" s="552">
        <f>H143/DAY(B2)</f>
        <v>-12548.318888888889</v>
      </c>
      <c r="K143" s="380"/>
      <c r="L143" s="377"/>
      <c r="N143" s="382">
        <v>2912.0800000000163</v>
      </c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-7.3226558139534923</v>
      </c>
      <c r="H144" s="460">
        <f>G144+'8'!H144</f>
        <v>-5.2484691330340532</v>
      </c>
      <c r="I144" s="544"/>
      <c r="J144" s="552">
        <f>H144/DAY(B2)</f>
        <v>-0.5831632370037837</v>
      </c>
      <c r="K144" s="380"/>
      <c r="L144" s="377"/>
      <c r="N144" s="382">
        <v>0.25636763799630391</v>
      </c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-179539.05999999994</v>
      </c>
      <c r="H145" s="460">
        <f>G145+'8'!H145</f>
        <v>-125766.75999999998</v>
      </c>
      <c r="I145" s="480"/>
      <c r="J145" s="552">
        <f>H145/DAY(B2)</f>
        <v>-13974.084444444443</v>
      </c>
      <c r="K145" s="380"/>
      <c r="L145" s="377"/>
      <c r="N145" s="382">
        <v>2876.3199999999779</v>
      </c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-8.3506539534883686</v>
      </c>
      <c r="H146" s="460">
        <f>G146+'8'!H146</f>
        <v>-5.8503243653994472</v>
      </c>
      <c r="I146" s="544"/>
      <c r="J146" s="552">
        <f>H146/DAY(B2)</f>
        <v>-0.65003604059993858</v>
      </c>
      <c r="K146" s="380"/>
      <c r="L146" s="377"/>
      <c r="N146" s="382">
        <v>0.25321947354520452</v>
      </c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-102211.19</v>
      </c>
      <c r="H147" s="460">
        <f>G147+'8'!H147</f>
        <v>-72694.330000000016</v>
      </c>
      <c r="I147" s="545"/>
      <c r="J147" s="552">
        <f>H147/DAY(B2)</f>
        <v>-8077.14777777778</v>
      </c>
      <c r="K147" s="380"/>
      <c r="L147" s="377"/>
      <c r="N147" s="382">
        <v>2036.5859000000055</v>
      </c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-4.7540088372093026</v>
      </c>
      <c r="H148" s="460">
        <f>G148+'8'!H148</f>
        <v>-3.3779466429722396</v>
      </c>
      <c r="I148" s="545"/>
      <c r="J148" s="552">
        <f>H148/DAY(B2)</f>
        <v>-0.37532740477469329</v>
      </c>
      <c r="N148" s="382">
        <v>0.17929271062593585</v>
      </c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-43875.290000000008</v>
      </c>
      <c r="H149" s="460">
        <f>G149+'8'!H149</f>
        <v>-31070.930000000051</v>
      </c>
      <c r="I149" s="480"/>
      <c r="J149" s="552">
        <f>H149/DAY(B2)</f>
        <v>-3452.3255555555611</v>
      </c>
      <c r="K149" s="381"/>
      <c r="N149" s="382">
        <v>1071.8899999999849</v>
      </c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-2.0407111627906982</v>
      </c>
      <c r="H150" s="460">
        <f>G150+'8'!H150</f>
        <v>-1.4449492510680557</v>
      </c>
      <c r="I150" s="545"/>
      <c r="J150" s="552">
        <f>H150/DAY(B2)</f>
        <v>-0.16054991678533953</v>
      </c>
      <c r="N150" s="382">
        <v>9.4364820846904202E-2</v>
      </c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-53913.319999999949</v>
      </c>
      <c r="H151" s="460">
        <f>G151+'8'!H151</f>
        <v>-38774</v>
      </c>
      <c r="I151" s="545"/>
      <c r="J151" s="552">
        <f>H151/DAY(B2)</f>
        <v>-4308.2222222222226</v>
      </c>
      <c r="N151" s="382">
        <v>1124.1299999999901</v>
      </c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-2.507596279069765</v>
      </c>
      <c r="H152" s="460">
        <f>G152+'8'!H152</f>
        <v>-1.8039804454813337</v>
      </c>
      <c r="I152" s="480"/>
      <c r="J152" s="552">
        <f>H152/DAY(B2)</f>
        <v>-0.2004422717201482</v>
      </c>
      <c r="N152" s="382">
        <v>9.8963817237432E-2</v>
      </c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-42596.010000000009</v>
      </c>
      <c r="H153" s="460">
        <f>G153+'8'!H153</f>
        <v>-30477.130000000005</v>
      </c>
      <c r="I153" s="480"/>
      <c r="J153" s="552">
        <f>H153/DAY(B2)</f>
        <v>-3386.3477777777784</v>
      </c>
      <c r="N153" s="382">
        <v>1164.4599999999919</v>
      </c>
    </row>
    <row r="154" spans="1:14" ht="27" customHeight="1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-1.9812097674418609</v>
      </c>
      <c r="H154" s="460">
        <f>G154+'8'!H154</f>
        <v>-1.4161417005363046</v>
      </c>
      <c r="I154" s="568"/>
      <c r="J154" s="569">
        <f>H154/DAY(B2)</f>
        <v>-0.15734907783736718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59">
        <f>'8'!F161</f>
        <v>41484.370000000003</v>
      </c>
      <c r="F161" s="658">
        <v>39160</v>
      </c>
      <c r="G161" s="473">
        <f t="shared" ref="G161:G174" si="15">F161-E161</f>
        <v>-2324.3700000000026</v>
      </c>
    </row>
    <row r="162" spans="1:7">
      <c r="A162" s="784" t="s">
        <v>263</v>
      </c>
      <c r="B162" s="785"/>
      <c r="C162" s="785"/>
      <c r="D162" s="511" t="s">
        <v>186</v>
      </c>
      <c r="E162" s="1059">
        <f>'8'!F162</f>
        <v>111388.93</v>
      </c>
      <c r="F162" s="658">
        <v>98475</v>
      </c>
      <c r="G162" s="473">
        <f t="shared" si="15"/>
        <v>-12913.929999999993</v>
      </c>
    </row>
    <row r="163" spans="1:7">
      <c r="A163" s="784" t="s">
        <v>264</v>
      </c>
      <c r="B163" s="785"/>
      <c r="C163" s="785"/>
      <c r="D163" s="511" t="s">
        <v>186</v>
      </c>
      <c r="E163" s="1059">
        <f>'8'!F163</f>
        <v>62879.360000000001</v>
      </c>
      <c r="F163" s="658">
        <v>46817</v>
      </c>
      <c r="G163" s="473">
        <f t="shared" si="15"/>
        <v>-16062.36</v>
      </c>
    </row>
    <row r="164" spans="1:7">
      <c r="A164" s="784" t="s">
        <v>265</v>
      </c>
      <c r="B164" s="785"/>
      <c r="C164" s="785"/>
      <c r="D164" s="511" t="s">
        <v>186</v>
      </c>
      <c r="E164" s="1059">
        <f>'8'!F164</f>
        <v>6920.82</v>
      </c>
      <c r="F164" s="658">
        <v>6640</v>
      </c>
      <c r="G164" s="473">
        <f t="shared" si="15"/>
        <v>-280.81999999999971</v>
      </c>
    </row>
    <row r="165" spans="1:7">
      <c r="A165" s="786" t="s">
        <v>97</v>
      </c>
      <c r="B165" s="604"/>
      <c r="C165" s="604"/>
      <c r="D165" s="511" t="s">
        <v>186</v>
      </c>
      <c r="E165" s="1059">
        <f>'8'!F165</f>
        <v>0</v>
      </c>
      <c r="F165" s="514">
        <f>F62</f>
        <v>0</v>
      </c>
      <c r="G165" s="473">
        <f t="shared" si="15"/>
        <v>0</v>
      </c>
    </row>
    <row r="166" spans="1:7">
      <c r="A166" s="786" t="s">
        <v>187</v>
      </c>
      <c r="B166" s="604"/>
      <c r="C166" s="604"/>
      <c r="D166" s="511" t="s">
        <v>186</v>
      </c>
      <c r="E166" s="1059">
        <f>'8'!F166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1059">
        <f>'8'!F167</f>
        <v>173248.39</v>
      </c>
      <c r="F167" s="514">
        <f t="shared" si="16"/>
        <v>162295</v>
      </c>
      <c r="G167" s="473">
        <f t="shared" si="15"/>
        <v>-10953.390000000014</v>
      </c>
    </row>
    <row r="168" spans="1:7" ht="27.75">
      <c r="A168" s="1546" t="s">
        <v>99</v>
      </c>
      <c r="B168" s="1546"/>
      <c r="C168" s="1546"/>
      <c r="D168" s="523" t="s">
        <v>186</v>
      </c>
      <c r="E168" s="1059">
        <f>'8'!F168</f>
        <v>173250.75</v>
      </c>
      <c r="F168" s="514">
        <f t="shared" si="16"/>
        <v>163099</v>
      </c>
      <c r="G168" s="473">
        <f t="shared" si="15"/>
        <v>-10151.75</v>
      </c>
    </row>
    <row r="169" spans="1:7" ht="27.75">
      <c r="A169" s="1546" t="s">
        <v>100</v>
      </c>
      <c r="B169" s="1546"/>
      <c r="C169" s="1546"/>
      <c r="D169" s="523" t="s">
        <v>186</v>
      </c>
      <c r="E169" s="1059">
        <f>'8'!F169</f>
        <v>71312.03</v>
      </c>
      <c r="F169" s="514">
        <f t="shared" si="16"/>
        <v>59809</v>
      </c>
      <c r="G169" s="473">
        <f t="shared" si="15"/>
        <v>-11503.029999999999</v>
      </c>
    </row>
    <row r="170" spans="1:7" ht="27.75">
      <c r="A170" s="1546" t="s">
        <v>101</v>
      </c>
      <c r="B170" s="1546"/>
      <c r="C170" s="1546"/>
      <c r="D170" s="523" t="s">
        <v>186</v>
      </c>
      <c r="E170" s="1059">
        <f>'8'!F170</f>
        <v>268821.13</v>
      </c>
      <c r="F170" s="514">
        <f t="shared" si="16"/>
        <v>255696</v>
      </c>
      <c r="G170" s="473">
        <f t="shared" si="15"/>
        <v>-13125.130000000005</v>
      </c>
    </row>
    <row r="171" spans="1:7" ht="27.75">
      <c r="A171" s="1546" t="s">
        <v>102</v>
      </c>
      <c r="B171" s="1546"/>
      <c r="C171" s="1546"/>
      <c r="D171" s="523" t="s">
        <v>186</v>
      </c>
      <c r="E171" s="1059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31.5" customHeight="1">
      <c r="A172" s="1546" t="s">
        <v>103</v>
      </c>
      <c r="B172" s="1546"/>
      <c r="C172" s="1546"/>
      <c r="D172" s="523" t="s">
        <v>186</v>
      </c>
      <c r="E172" s="1059">
        <f>'8'!F172</f>
        <v>89459.06</v>
      </c>
      <c r="F172" s="514">
        <f t="shared" si="16"/>
        <v>82755</v>
      </c>
      <c r="G172" s="473">
        <f t="shared" si="15"/>
        <v>-6704.0599999999977</v>
      </c>
    </row>
    <row r="173" spans="1:7">
      <c r="A173" s="1587" t="s">
        <v>352</v>
      </c>
      <c r="B173" s="1550"/>
      <c r="C173" s="785"/>
      <c r="D173" s="523" t="s">
        <v>186</v>
      </c>
      <c r="E173" s="1493">
        <v>18928.5</v>
      </c>
      <c r="F173" s="542">
        <v>18928.5</v>
      </c>
      <c r="G173" s="473">
        <f t="shared" si="15"/>
        <v>0</v>
      </c>
    </row>
    <row r="174" spans="1:7">
      <c r="A174" s="1587" t="s">
        <v>353</v>
      </c>
      <c r="B174" s="1550"/>
      <c r="C174" s="785"/>
      <c r="D174" s="523" t="s">
        <v>186</v>
      </c>
      <c r="E174" s="1493">
        <v>27533.5</v>
      </c>
      <c r="F174" s="542">
        <v>27538</v>
      </c>
      <c r="G174" s="473">
        <f t="shared" si="15"/>
        <v>4.5</v>
      </c>
    </row>
    <row r="177" spans="6:6" ht="18.75" customHeight="1"/>
    <row r="178" spans="6:6" ht="18.75" customHeight="1">
      <c r="F178" s="663" t="s">
        <v>214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7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zoomScale="60" zoomScaleNormal="55" workbookViewId="0">
      <selection activeCell="F15" sqref="F15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4" s="281" customFormat="1" ht="27">
      <c r="A2" s="575" t="s">
        <v>349</v>
      </c>
      <c r="B2" s="1031">
        <v>44357</v>
      </c>
      <c r="C2" s="1141" t="s">
        <v>68</v>
      </c>
      <c r="D2" s="611">
        <v>0.89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0"/>
    </row>
    <row r="3" spans="1:14" s="281" customFormat="1" ht="27">
      <c r="A3" s="570"/>
      <c r="B3" s="614"/>
      <c r="C3" s="1141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0"/>
    </row>
    <row r="4" spans="1:14" s="281" customFormat="1" ht="27">
      <c r="A4" s="576"/>
      <c r="B4" s="616"/>
      <c r="C4" s="1141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0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'9'!F7</f>
        <v>115295.56</v>
      </c>
      <c r="F7" s="455">
        <f>E7+21500</f>
        <v>136795.56</v>
      </c>
      <c r="G7" s="678">
        <f>F7-E7</f>
        <v>21500</v>
      </c>
      <c r="H7" s="679">
        <f>G7+'9'!H7</f>
        <v>214842.56000000006</v>
      </c>
      <c r="I7" s="680">
        <v>12000</v>
      </c>
      <c r="J7" s="681">
        <f>H7/DAY(B2)</f>
        <v>21484.256000000005</v>
      </c>
      <c r="K7" s="549"/>
      <c r="L7" s="377"/>
      <c r="N7" s="711"/>
    </row>
    <row r="8" spans="1:14" ht="27.75" thickBot="1">
      <c r="A8" s="682" t="s">
        <v>132</v>
      </c>
      <c r="B8" s="683"/>
      <c r="C8" s="684"/>
      <c r="D8" s="685" t="s">
        <v>25</v>
      </c>
      <c r="E8" s="633">
        <f>'9'!F8</f>
        <v>120953.79</v>
      </c>
      <c r="F8" s="475">
        <f>E8+21500</f>
        <v>142453.78999999998</v>
      </c>
      <c r="G8" s="689">
        <f>F8-E8</f>
        <v>21499.999999999985</v>
      </c>
      <c r="H8" s="679">
        <f>G8+'9'!H8</f>
        <v>215731.78999999998</v>
      </c>
      <c r="I8" s="686">
        <v>12000</v>
      </c>
      <c r="J8" s="681">
        <f>H8/DAY(B2)</f>
        <v>21573.178999999996</v>
      </c>
      <c r="K8" s="549"/>
      <c r="L8" s="425"/>
      <c r="M8" s="440"/>
      <c r="N8" s="712"/>
    </row>
    <row r="9" spans="1:14">
      <c r="A9" s="687" t="s">
        <v>133</v>
      </c>
      <c r="B9" s="688"/>
      <c r="C9" s="688"/>
      <c r="D9" s="637" t="s">
        <v>131</v>
      </c>
      <c r="E9" s="633">
        <f>'9'!F9</f>
        <v>1624027</v>
      </c>
      <c r="F9" s="478">
        <v>1640552</v>
      </c>
      <c r="G9" s="702">
        <f t="shared" ref="G9:G12" si="0">F9-E9</f>
        <v>16525</v>
      </c>
      <c r="H9" s="679">
        <f>G9+'9'!H9</f>
        <v>-390450</v>
      </c>
      <c r="I9" s="690">
        <f>I7-J7</f>
        <v>-9484.2560000000049</v>
      </c>
      <c r="J9" s="681">
        <f>H9/DAY(B2)</f>
        <v>-39045</v>
      </c>
      <c r="K9" s="428"/>
      <c r="L9" s="377"/>
      <c r="N9" s="713"/>
    </row>
    <row r="10" spans="1:14">
      <c r="A10" s="676" t="s">
        <v>134</v>
      </c>
      <c r="B10" s="677"/>
      <c r="C10" s="677"/>
      <c r="D10" s="637" t="s">
        <v>131</v>
      </c>
      <c r="E10" s="633">
        <f>'9'!F10</f>
        <v>2606.5500000000002</v>
      </c>
      <c r="F10" s="478">
        <v>2606.5500000000002</v>
      </c>
      <c r="G10" s="689">
        <f t="shared" si="0"/>
        <v>0</v>
      </c>
      <c r="H10" s="679">
        <f>G10+'9'!H10</f>
        <v>0</v>
      </c>
      <c r="I10" s="691"/>
      <c r="J10" s="681">
        <f>H10/DAY(B2)</f>
        <v>0</v>
      </c>
      <c r="K10" s="428"/>
      <c r="L10" s="377"/>
      <c r="N10" s="713"/>
    </row>
    <row r="11" spans="1:14">
      <c r="A11" s="676" t="s">
        <v>135</v>
      </c>
      <c r="B11" s="677"/>
      <c r="C11" s="677"/>
      <c r="D11" s="637" t="s">
        <v>131</v>
      </c>
      <c r="E11" s="633">
        <f>'9'!E11</f>
        <v>37000</v>
      </c>
      <c r="F11" s="455">
        <v>37000</v>
      </c>
      <c r="G11" s="689">
        <f t="shared" si="0"/>
        <v>0</v>
      </c>
      <c r="H11" s="679">
        <f>G11+'9'!H11</f>
        <v>0</v>
      </c>
      <c r="I11" s="691"/>
      <c r="J11" s="681">
        <f>H11/DAY(B2)</f>
        <v>0</v>
      </c>
      <c r="K11" s="428"/>
      <c r="L11" s="377"/>
      <c r="N11" s="713"/>
    </row>
    <row r="12" spans="1:14">
      <c r="A12" s="676" t="s">
        <v>136</v>
      </c>
      <c r="B12" s="677"/>
      <c r="C12" s="677"/>
      <c r="D12" s="637" t="s">
        <v>131</v>
      </c>
      <c r="E12" s="633">
        <f>'9'!E12</f>
        <v>40010</v>
      </c>
      <c r="F12" s="478">
        <v>40010</v>
      </c>
      <c r="G12" s="689">
        <f t="shared" si="0"/>
        <v>0</v>
      </c>
      <c r="H12" s="679">
        <f>G12+'9'!H12</f>
        <v>0</v>
      </c>
      <c r="I12" s="691"/>
      <c r="J12" s="681">
        <f>H12/DAY(B2)</f>
        <v>0</v>
      </c>
      <c r="K12" s="428"/>
      <c r="L12" s="377"/>
      <c r="N12" s="713"/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16525</v>
      </c>
      <c r="H13" s="679">
        <f>G13+'9'!H13</f>
        <v>-390450</v>
      </c>
      <c r="I13" s="695">
        <f>G7-G13</f>
        <v>4975</v>
      </c>
      <c r="J13" s="681">
        <f>H13/DAY(B2)</f>
        <v>-39045</v>
      </c>
      <c r="K13" s="428"/>
      <c r="L13" s="377"/>
      <c r="N13" s="713"/>
    </row>
    <row r="14" spans="1:14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713"/>
    </row>
    <row r="15" spans="1:14">
      <c r="A15" s="792" t="s">
        <v>139</v>
      </c>
      <c r="B15" s="787"/>
      <c r="C15" s="787"/>
      <c r="D15" s="524" t="s">
        <v>140</v>
      </c>
      <c r="E15" s="485">
        <f>'9'!F15</f>
        <v>1710567.16</v>
      </c>
      <c r="F15" s="700">
        <f>E15+700</f>
        <v>1711267.16</v>
      </c>
      <c r="G15" s="664">
        <f>(F15-E15)</f>
        <v>700</v>
      </c>
      <c r="H15" s="486">
        <f>G15+'9'!H15</f>
        <v>7584.1599999999162</v>
      </c>
      <c r="I15" s="474">
        <v>800</v>
      </c>
      <c r="J15" s="553">
        <f>H15/DAY(B2)</f>
        <v>758.41599999999164</v>
      </c>
      <c r="K15" s="428"/>
      <c r="L15" s="377"/>
      <c r="N15" s="713"/>
    </row>
    <row r="16" spans="1:14">
      <c r="A16" s="790"/>
      <c r="B16" s="791"/>
      <c r="C16" s="791"/>
      <c r="D16" s="788"/>
      <c r="E16" s="789"/>
      <c r="F16" s="485"/>
      <c r="G16" s="669"/>
      <c r="H16" s="486"/>
      <c r="I16" s="482">
        <f>I15-J15</f>
        <v>41.584000000008359</v>
      </c>
      <c r="J16" s="553"/>
      <c r="K16" s="428"/>
      <c r="L16" s="377"/>
      <c r="N16" s="713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3"/>
    </row>
    <row r="18" spans="1:14" ht="27.75">
      <c r="A18" s="1607" t="s">
        <v>142</v>
      </c>
      <c r="B18" s="1608"/>
      <c r="C18" s="1609"/>
      <c r="D18" s="637" t="s">
        <v>143</v>
      </c>
      <c r="E18" s="634">
        <f>'9'!F18</f>
        <v>0</v>
      </c>
      <c r="F18" s="478">
        <v>2</v>
      </c>
      <c r="G18" s="694">
        <f>F18*10</f>
        <v>20</v>
      </c>
      <c r="H18" s="679">
        <f>G18+'9'!H18</f>
        <v>1050</v>
      </c>
      <c r="I18" s="680">
        <v>65</v>
      </c>
      <c r="J18" s="681">
        <f>H18/DAY(B2)</f>
        <v>105</v>
      </c>
      <c r="K18" s="428"/>
      <c r="L18" s="377"/>
      <c r="N18" s="713"/>
    </row>
    <row r="19" spans="1:14" ht="27.75">
      <c r="A19" s="1607" t="s">
        <v>70</v>
      </c>
      <c r="B19" s="1608"/>
      <c r="C19" s="1609"/>
      <c r="D19" s="637" t="s">
        <v>143</v>
      </c>
      <c r="E19" s="634">
        <f>'9'!F19</f>
        <v>140174</v>
      </c>
      <c r="F19" s="478">
        <v>140240</v>
      </c>
      <c r="G19" s="689">
        <f t="shared" ref="G19" si="1">F19-E19</f>
        <v>66</v>
      </c>
      <c r="H19" s="679">
        <f>G19+'9'!H19</f>
        <v>-1255</v>
      </c>
      <c r="I19" s="696"/>
      <c r="J19" s="681">
        <f>H19/DAY(B2)</f>
        <v>-125.5</v>
      </c>
      <c r="K19" s="428"/>
      <c r="L19" s="377"/>
      <c r="N19" s="713"/>
    </row>
    <row r="20" spans="1:14">
      <c r="A20" s="692" t="s">
        <v>144</v>
      </c>
      <c r="B20" s="693"/>
      <c r="C20" s="693"/>
      <c r="D20" s="637"/>
      <c r="E20" s="637"/>
      <c r="F20" s="524"/>
      <c r="G20" s="697">
        <f>G18+G19</f>
        <v>86</v>
      </c>
      <c r="H20" s="679">
        <f>G20+'9'!H20</f>
        <v>-205</v>
      </c>
      <c r="I20" s="698">
        <f>I18-J20</f>
        <v>85.5</v>
      </c>
      <c r="J20" s="681">
        <f>H20/DAY(B2)</f>
        <v>-20.5</v>
      </c>
      <c r="K20" s="428"/>
      <c r="L20" s="377"/>
      <c r="N20" s="713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3"/>
    </row>
    <row r="22" spans="1:14">
      <c r="A22" s="1139" t="s">
        <v>146</v>
      </c>
      <c r="B22" s="589"/>
      <c r="C22" s="589"/>
      <c r="D22" s="523" t="s">
        <v>147</v>
      </c>
      <c r="E22" s="634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3"/>
    </row>
    <row r="23" spans="1:14">
      <c r="A23" s="1139" t="s">
        <v>148</v>
      </c>
      <c r="B23" s="589"/>
      <c r="C23" s="589"/>
      <c r="D23" s="523" t="s">
        <v>147</v>
      </c>
      <c r="E23" s="634">
        <f>'9'!F23</f>
        <v>2000</v>
      </c>
      <c r="F23" s="478">
        <v>2000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3"/>
    </row>
    <row r="24" spans="1:14">
      <c r="A24" s="590" t="s">
        <v>149</v>
      </c>
      <c r="B24" s="591"/>
      <c r="C24" s="591"/>
      <c r="D24" s="511" t="s">
        <v>147</v>
      </c>
      <c r="E24" s="493">
        <f>'9'!F24</f>
        <v>4970</v>
      </c>
      <c r="F24" s="485">
        <v>4970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3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3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3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21499.999999999985</v>
      </c>
      <c r="F27" s="501">
        <v>9</v>
      </c>
      <c r="G27" s="502">
        <f>E27*F27</f>
        <v>193499.99999999988</v>
      </c>
      <c r="H27" s="460">
        <f>G27+'9'!H27</f>
        <v>1941586.1099999999</v>
      </c>
      <c r="I27" s="503"/>
      <c r="J27" s="552">
        <f>H27/DAY(B2)</f>
        <v>194158.61099999998</v>
      </c>
      <c r="K27" s="373"/>
      <c r="L27" s="443"/>
      <c r="N27" s="713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G28+'9'!H28</f>
        <v>394376.31999999564</v>
      </c>
      <c r="I28" s="505"/>
      <c r="J28" s="552">
        <f>H28/DAY(B2)</f>
        <v>39437.631999999561</v>
      </c>
      <c r="K28" s="373"/>
      <c r="L28" s="443"/>
      <c r="N28" s="713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3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66</v>
      </c>
      <c r="F30" s="501">
        <v>146</v>
      </c>
      <c r="G30" s="502">
        <f>E30*F30</f>
        <v>9636</v>
      </c>
      <c r="H30" s="460">
        <f>G30+'9'!H30</f>
        <v>-183814</v>
      </c>
      <c r="I30" s="505"/>
      <c r="J30" s="552">
        <f>H30/DAY(B2)</f>
        <v>-18381.400000000001</v>
      </c>
      <c r="K30" s="373"/>
      <c r="L30" s="443"/>
      <c r="N30" s="713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20</v>
      </c>
      <c r="F31" s="501">
        <v>80</v>
      </c>
      <c r="G31" s="502">
        <f>E31*F31</f>
        <v>1600</v>
      </c>
      <c r="H31" s="460">
        <f>G31+'9'!H31</f>
        <v>78400</v>
      </c>
      <c r="I31" s="505"/>
      <c r="J31" s="552">
        <f>H31/DAY(B2)</f>
        <v>7840</v>
      </c>
      <c r="K31" s="373"/>
      <c r="L31" s="443"/>
      <c r="N31" s="713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241135.99999999988</v>
      </c>
      <c r="H32" s="460">
        <f>G32+'9'!H32</f>
        <v>2230548.429999995</v>
      </c>
      <c r="I32" s="509"/>
      <c r="J32" s="552">
        <f>H32/DAY(B2)</f>
        <v>223054.8429999995</v>
      </c>
      <c r="K32" s="373"/>
      <c r="L32" s="443"/>
      <c r="N32" s="713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3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713"/>
    </row>
    <row r="35" spans="1:14">
      <c r="A35" s="578" t="s">
        <v>163</v>
      </c>
      <c r="B35" s="579"/>
      <c r="C35" s="579"/>
      <c r="D35" s="523" t="s">
        <v>131</v>
      </c>
      <c r="E35" s="510">
        <f>'9'!F35</f>
        <v>972361</v>
      </c>
      <c r="F35" s="1032">
        <v>974533</v>
      </c>
      <c r="G35" s="473">
        <f t="shared" ref="G35:G46" si="3">F35-E35</f>
        <v>2172</v>
      </c>
      <c r="H35" s="460">
        <f>G35+'9'!H35</f>
        <v>-54181</v>
      </c>
      <c r="I35" s="455"/>
      <c r="J35" s="552">
        <f>H35/DAY(B2)</f>
        <v>-5418.1</v>
      </c>
      <c r="K35" s="428"/>
      <c r="L35" s="377"/>
      <c r="N35" s="713"/>
    </row>
    <row r="36" spans="1:14">
      <c r="A36" s="578" t="s">
        <v>164</v>
      </c>
      <c r="B36" s="579"/>
      <c r="C36" s="579"/>
      <c r="D36" s="523" t="s">
        <v>131</v>
      </c>
      <c r="E36" s="510">
        <f>'9'!F36</f>
        <v>5268</v>
      </c>
      <c r="F36" s="1032">
        <v>5832</v>
      </c>
      <c r="G36" s="473">
        <f t="shared" si="3"/>
        <v>564</v>
      </c>
      <c r="H36" s="460">
        <f>G36+'9'!H36</f>
        <v>-14629</v>
      </c>
      <c r="I36" s="455"/>
      <c r="J36" s="552">
        <f>H36/DAY(B2)</f>
        <v>-1462.9</v>
      </c>
      <c r="K36" s="428"/>
      <c r="L36" s="377"/>
      <c r="N36" s="714"/>
    </row>
    <row r="37" spans="1:14">
      <c r="A37" s="578" t="s">
        <v>165</v>
      </c>
      <c r="B37" s="579"/>
      <c r="C37" s="579"/>
      <c r="D37" s="523" t="s">
        <v>131</v>
      </c>
      <c r="E37" s="510">
        <f>'9'!F37</f>
        <v>146093</v>
      </c>
      <c r="F37" s="1032">
        <v>147442</v>
      </c>
      <c r="G37" s="473">
        <f t="shared" si="3"/>
        <v>1349</v>
      </c>
      <c r="H37" s="460">
        <f>G37+'9'!H37</f>
        <v>-29128</v>
      </c>
      <c r="I37" s="455"/>
      <c r="J37" s="552">
        <f>H37/DAY(B2)</f>
        <v>-2912.8</v>
      </c>
      <c r="K37" s="428"/>
      <c r="L37" s="377"/>
      <c r="N37" s="714"/>
    </row>
    <row r="38" spans="1:14">
      <c r="A38" s="578" t="s">
        <v>166</v>
      </c>
      <c r="B38" s="579"/>
      <c r="C38" s="579"/>
      <c r="D38" s="523" t="s">
        <v>131</v>
      </c>
      <c r="E38" s="510">
        <f>'9'!F38</f>
        <v>167388</v>
      </c>
      <c r="F38" s="467">
        <v>168598</v>
      </c>
      <c r="G38" s="473">
        <f t="shared" si="3"/>
        <v>1210</v>
      </c>
      <c r="H38" s="460">
        <f>G38+'9'!H38</f>
        <v>-29861</v>
      </c>
      <c r="I38" s="455"/>
      <c r="J38" s="552">
        <f>H38/DAY(B2)</f>
        <v>-2986.1</v>
      </c>
      <c r="K38" s="428"/>
      <c r="L38" s="377"/>
      <c r="N38" s="713"/>
    </row>
    <row r="39" spans="1:14">
      <c r="A39" s="578" t="s">
        <v>167</v>
      </c>
      <c r="B39" s="579"/>
      <c r="C39" s="579"/>
      <c r="D39" s="523" t="s">
        <v>131</v>
      </c>
      <c r="E39" s="510">
        <f>'9'!F39</f>
        <v>332170</v>
      </c>
      <c r="F39" s="1032">
        <v>335345</v>
      </c>
      <c r="G39" s="473">
        <f t="shared" si="3"/>
        <v>3175</v>
      </c>
      <c r="H39" s="460">
        <f>G39+'9'!H39</f>
        <v>-69519</v>
      </c>
      <c r="I39" s="455"/>
      <c r="J39" s="552">
        <f>H39/DAY(B2)</f>
        <v>-6951.9</v>
      </c>
      <c r="K39" s="428"/>
      <c r="L39" s="377"/>
      <c r="N39" s="713"/>
    </row>
    <row r="40" spans="1:14">
      <c r="A40" s="599" t="s">
        <v>168</v>
      </c>
      <c r="B40" s="600"/>
      <c r="C40" s="600"/>
      <c r="D40" s="523" t="s">
        <v>131</v>
      </c>
      <c r="E40" s="510">
        <f>'9'!F40</f>
        <v>1057</v>
      </c>
      <c r="F40" s="1032">
        <v>1057</v>
      </c>
      <c r="G40" s="473">
        <f t="shared" si="3"/>
        <v>0</v>
      </c>
      <c r="H40" s="460">
        <f>G40+'9'!H40</f>
        <v>-6056</v>
      </c>
      <c r="I40" s="455"/>
      <c r="J40" s="552">
        <f>H40/DAY(B2)</f>
        <v>-605.6</v>
      </c>
      <c r="K40" s="429"/>
      <c r="L40" s="377"/>
      <c r="N40" s="713"/>
    </row>
    <row r="41" spans="1:14">
      <c r="A41" s="578" t="s">
        <v>169</v>
      </c>
      <c r="B41" s="579"/>
      <c r="C41" s="579"/>
      <c r="D41" s="523" t="s">
        <v>131</v>
      </c>
      <c r="E41" s="510">
        <f>'9'!F41</f>
        <v>253580</v>
      </c>
      <c r="F41" s="1032">
        <v>258284</v>
      </c>
      <c r="G41" s="473">
        <f>F41-E41</f>
        <v>4704</v>
      </c>
      <c r="H41" s="460">
        <f>G41+'9'!H41</f>
        <v>-71358</v>
      </c>
      <c r="I41" s="455"/>
      <c r="J41" s="552">
        <f>H41/DAY(B2)</f>
        <v>-7135.8</v>
      </c>
      <c r="K41" s="428"/>
      <c r="L41" s="377"/>
      <c r="N41" s="713"/>
    </row>
    <row r="42" spans="1:14">
      <c r="A42" s="578" t="s">
        <v>170</v>
      </c>
      <c r="B42" s="579"/>
      <c r="C42" s="579"/>
      <c r="D42" s="523" t="s">
        <v>131</v>
      </c>
      <c r="E42" s="510">
        <f>'9'!F42</f>
        <v>59210.61</v>
      </c>
      <c r="F42" s="1032">
        <v>59211</v>
      </c>
      <c r="G42" s="473">
        <f t="shared" si="3"/>
        <v>0.38999999999941792</v>
      </c>
      <c r="H42" s="460">
        <f>G42+'9'!H42</f>
        <v>12.110000000000582</v>
      </c>
      <c r="I42" s="455"/>
      <c r="J42" s="552">
        <f>H42/DAY(B2)</f>
        <v>1.2110000000000583</v>
      </c>
      <c r="K42" s="428"/>
      <c r="L42" s="377"/>
      <c r="N42" s="713"/>
    </row>
    <row r="43" spans="1:14">
      <c r="A43" s="578" t="s">
        <v>171</v>
      </c>
      <c r="B43" s="579"/>
      <c r="C43" s="579"/>
      <c r="D43" s="523" t="s">
        <v>131</v>
      </c>
      <c r="E43" s="510">
        <f>'9'!F43</f>
        <v>1063870</v>
      </c>
      <c r="F43" s="1032">
        <v>1066309</v>
      </c>
      <c r="G43" s="473">
        <f t="shared" si="3"/>
        <v>2439</v>
      </c>
      <c r="H43" s="460">
        <f>G43+'9'!H43</f>
        <v>-54143</v>
      </c>
      <c r="I43" s="455"/>
      <c r="J43" s="552">
        <f>H43/DAY(B2)</f>
        <v>-5414.3</v>
      </c>
      <c r="K43" s="428"/>
      <c r="L43" s="377"/>
      <c r="N43" s="713"/>
    </row>
    <row r="44" spans="1:14">
      <c r="A44" s="578" t="s">
        <v>172</v>
      </c>
      <c r="B44" s="579"/>
      <c r="C44" s="579"/>
      <c r="D44" s="523" t="s">
        <v>131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3"/>
    </row>
    <row r="45" spans="1:14">
      <c r="A45" s="578" t="s">
        <v>173</v>
      </c>
      <c r="B45" s="579"/>
      <c r="C45" s="579"/>
      <c r="D45" s="523" t="s">
        <v>131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614</v>
      </c>
      <c r="I45" s="455"/>
      <c r="J45" s="552">
        <f>H45/DAY(B2)</f>
        <v>61.4</v>
      </c>
      <c r="K45" s="428"/>
      <c r="L45" s="377"/>
      <c r="N45" s="713"/>
    </row>
    <row r="46" spans="1:14">
      <c r="A46" s="578" t="s">
        <v>174</v>
      </c>
      <c r="B46" s="579"/>
      <c r="C46" s="579"/>
      <c r="D46" s="523" t="s">
        <v>131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187</v>
      </c>
      <c r="I46" s="455"/>
      <c r="J46" s="552">
        <f>H46/DAY(B2)</f>
        <v>18.7</v>
      </c>
      <c r="K46" s="428"/>
      <c r="L46" s="377"/>
      <c r="N46" s="713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15613.39</v>
      </c>
      <c r="H47" s="460">
        <f>G47+'9'!H47</f>
        <v>-328061.88999999996</v>
      </c>
      <c r="I47" s="455"/>
      <c r="J47" s="552">
        <f>H47/DAY(B2)</f>
        <v>-32806.188999999998</v>
      </c>
      <c r="K47" s="428"/>
      <c r="L47" s="377"/>
      <c r="N47" s="713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713"/>
    </row>
    <row r="49" spans="1:14">
      <c r="A49" s="578" t="s">
        <v>163</v>
      </c>
      <c r="B49" s="601"/>
      <c r="C49" s="601"/>
      <c r="D49" s="523" t="s">
        <v>131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0.13000000000465661</v>
      </c>
      <c r="I49" s="455"/>
      <c r="J49" s="552">
        <f>H49/DAY(B2)</f>
        <v>1.3000000000465662E-2</v>
      </c>
      <c r="K49" s="428"/>
      <c r="L49" s="377"/>
      <c r="N49" s="713"/>
    </row>
    <row r="50" spans="1:14">
      <c r="A50" s="578" t="s">
        <v>177</v>
      </c>
      <c r="B50" s="601"/>
      <c r="C50" s="601"/>
      <c r="D50" s="523" t="s">
        <v>131</v>
      </c>
      <c r="E50" s="510">
        <f>'9'!F50</f>
        <v>511082</v>
      </c>
      <c r="F50" s="1032">
        <v>511972</v>
      </c>
      <c r="G50" s="473">
        <f t="shared" si="4"/>
        <v>890</v>
      </c>
      <c r="H50" s="460">
        <f>G50+'9'!H50</f>
        <v>-22691</v>
      </c>
      <c r="I50" s="455"/>
      <c r="J50" s="552">
        <f>H50/DAY(B2)</f>
        <v>-2269.1</v>
      </c>
      <c r="K50" s="428"/>
      <c r="L50" s="377"/>
      <c r="N50" s="713"/>
    </row>
    <row r="51" spans="1:14">
      <c r="A51" s="578" t="s">
        <v>165</v>
      </c>
      <c r="B51" s="601"/>
      <c r="C51" s="601"/>
      <c r="D51" s="523" t="s">
        <v>131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3"/>
    </row>
    <row r="52" spans="1:14">
      <c r="A52" s="578" t="s">
        <v>178</v>
      </c>
      <c r="B52" s="601"/>
      <c r="C52" s="601"/>
      <c r="D52" s="523" t="s">
        <v>131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3"/>
    </row>
    <row r="53" spans="1:14">
      <c r="A53" s="578" t="s">
        <v>167</v>
      </c>
      <c r="B53" s="601"/>
      <c r="C53" s="601"/>
      <c r="D53" s="523" t="s">
        <v>131</v>
      </c>
      <c r="E53" s="510">
        <f>'9'!F53</f>
        <v>434231.67</v>
      </c>
      <c r="F53" s="510">
        <v>434232</v>
      </c>
      <c r="G53" s="473">
        <f t="shared" si="4"/>
        <v>0.33000000001629815</v>
      </c>
      <c r="H53" s="460">
        <f>G53+'9'!H53</f>
        <v>0</v>
      </c>
      <c r="I53" s="455"/>
      <c r="J53" s="552">
        <f>H53/DAY(B2)</f>
        <v>0</v>
      </c>
      <c r="K53" s="428"/>
      <c r="L53" s="377"/>
      <c r="N53" s="713"/>
    </row>
    <row r="54" spans="1:14">
      <c r="A54" s="578" t="s">
        <v>179</v>
      </c>
      <c r="B54" s="601"/>
      <c r="C54" s="601"/>
      <c r="D54" s="523" t="s">
        <v>131</v>
      </c>
      <c r="E54" s="510">
        <f>'9'!F54</f>
        <v>14500</v>
      </c>
      <c r="F54" s="510">
        <v>14579</v>
      </c>
      <c r="G54" s="473">
        <f t="shared" si="4"/>
        <v>79</v>
      </c>
      <c r="H54" s="460">
        <f>G54+'9'!H54</f>
        <v>-388</v>
      </c>
      <c r="I54" s="455"/>
      <c r="J54" s="552">
        <f>H54/DAY(B2)</f>
        <v>-38.799999999999997</v>
      </c>
      <c r="K54" s="428"/>
      <c r="L54" s="377"/>
      <c r="N54" s="713"/>
    </row>
    <row r="55" spans="1:14">
      <c r="A55" s="578" t="s">
        <v>180</v>
      </c>
      <c r="B55" s="601"/>
      <c r="C55" s="601"/>
      <c r="D55" s="523" t="s">
        <v>131</v>
      </c>
      <c r="E55" s="510">
        <f>'9'!F55</f>
        <v>68136.52</v>
      </c>
      <c r="F55" s="653">
        <v>68136.52</v>
      </c>
      <c r="G55" s="652">
        <f t="shared" si="4"/>
        <v>0</v>
      </c>
      <c r="H55" s="705">
        <f>G55+'9'!H55</f>
        <v>-49499.479999999996</v>
      </c>
      <c r="I55" s="706"/>
      <c r="J55" s="707">
        <f>H55/DAY(B2)</f>
        <v>-4949.9479999999994</v>
      </c>
      <c r="K55" s="428"/>
      <c r="L55" s="377"/>
      <c r="N55" s="713"/>
    </row>
    <row r="56" spans="1:14">
      <c r="A56" s="578" t="s">
        <v>181</v>
      </c>
      <c r="B56" s="601"/>
      <c r="C56" s="601"/>
      <c r="D56" s="523" t="s">
        <v>182</v>
      </c>
      <c r="E56" s="510">
        <f>'9'!F56</f>
        <v>648815</v>
      </c>
      <c r="F56" s="653">
        <v>648815</v>
      </c>
      <c r="G56" s="473">
        <f t="shared" si="4"/>
        <v>0</v>
      </c>
      <c r="H56" s="460">
        <f>G56+'9'!H56</f>
        <v>-217</v>
      </c>
      <c r="I56" s="455"/>
      <c r="J56" s="552">
        <f>H56/DAY(B2)</f>
        <v>-21.7</v>
      </c>
      <c r="K56" s="427"/>
      <c r="L56" s="377"/>
      <c r="N56" s="713"/>
    </row>
    <row r="57" spans="1:14">
      <c r="A57" s="578" t="s">
        <v>171</v>
      </c>
      <c r="B57" s="601"/>
      <c r="C57" s="601"/>
      <c r="D57" s="523" t="s">
        <v>131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3"/>
    </row>
    <row r="58" spans="1:14">
      <c r="A58" s="578" t="s">
        <v>183</v>
      </c>
      <c r="B58" s="601"/>
      <c r="C58" s="601"/>
      <c r="D58" s="523" t="s">
        <v>131</v>
      </c>
      <c r="E58" s="510">
        <f>'9'!F58</f>
        <v>50560.79</v>
      </c>
      <c r="F58" s="653">
        <v>50800</v>
      </c>
      <c r="G58" s="473">
        <f t="shared" si="4"/>
        <v>239.20999999999913</v>
      </c>
      <c r="H58" s="460">
        <f>G58+'9'!H58</f>
        <v>-3186</v>
      </c>
      <c r="I58" s="455"/>
      <c r="J58" s="552">
        <f>H58/DAY(B2)</f>
        <v>-318.60000000000002</v>
      </c>
      <c r="K58" s="428"/>
      <c r="L58" s="377"/>
      <c r="N58" s="713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1208.5400000000154</v>
      </c>
      <c r="H59" s="460">
        <f>G59+'9'!H59</f>
        <v>-75981.410000000062</v>
      </c>
      <c r="I59" s="455">
        <f>G7-G60</f>
        <v>4678.0699999999852</v>
      </c>
      <c r="J59" s="552">
        <f>H59/DAY(B2)</f>
        <v>-7598.141000000006</v>
      </c>
      <c r="K59" s="428"/>
      <c r="L59" s="377"/>
      <c r="N59" s="713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16821.930000000015</v>
      </c>
      <c r="H60" s="460">
        <f>G60+'9'!H60</f>
        <v>-404043.3000000001</v>
      </c>
      <c r="I60" s="455">
        <f>G8-G60</f>
        <v>4678.0699999999706</v>
      </c>
      <c r="J60" s="552">
        <f>H60/DAY(B2)</f>
        <v>-40404.330000000009</v>
      </c>
      <c r="K60" s="428"/>
      <c r="L60" s="377"/>
      <c r="N60" s="713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3"/>
    </row>
    <row r="62" spans="1:14">
      <c r="A62" s="603" t="s">
        <v>97</v>
      </c>
      <c r="B62" s="604"/>
      <c r="C62" s="604"/>
      <c r="D62" s="511" t="s">
        <v>186</v>
      </c>
      <c r="E62" s="514">
        <f>'9'!F62</f>
        <v>0</v>
      </c>
      <c r="F62" s="514">
        <v>0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3"/>
    </row>
    <row r="63" spans="1:14">
      <c r="A63" s="603" t="s">
        <v>187</v>
      </c>
      <c r="B63" s="604"/>
      <c r="C63" s="604"/>
      <c r="D63" s="511" t="s">
        <v>186</v>
      </c>
      <c r="E63" s="514">
        <f>'9'!F63</f>
        <v>0</v>
      </c>
      <c r="F63" s="514">
        <v>0</v>
      </c>
      <c r="G63" s="473">
        <f t="shared" si="5"/>
        <v>0</v>
      </c>
      <c r="H63" s="460">
        <f>G63+'9'!H63</f>
        <v>0</v>
      </c>
      <c r="I63" s="515"/>
      <c r="J63" s="552">
        <f>H63/DAY(B2)</f>
        <v>0</v>
      </c>
      <c r="K63" s="428"/>
      <c r="L63" s="377"/>
      <c r="N63" s="713"/>
    </row>
    <row r="64" spans="1:14" ht="27.75">
      <c r="A64" s="1540" t="s">
        <v>98</v>
      </c>
      <c r="B64" s="1541"/>
      <c r="C64" s="1542"/>
      <c r="D64" s="523" t="s">
        <v>186</v>
      </c>
      <c r="E64" s="514">
        <f>'9'!F64</f>
        <v>162295</v>
      </c>
      <c r="F64" s="478">
        <v>162647</v>
      </c>
      <c r="G64" s="473">
        <f t="shared" si="5"/>
        <v>352</v>
      </c>
      <c r="H64" s="460">
        <f>G64+'9'!H64</f>
        <v>-7375</v>
      </c>
      <c r="I64" s="480"/>
      <c r="J64" s="552">
        <f>H64/DAY(B2)</f>
        <v>-737.5</v>
      </c>
      <c r="K64" s="428"/>
      <c r="L64" s="377"/>
      <c r="N64" s="713"/>
    </row>
    <row r="65" spans="1:14" ht="27.75">
      <c r="A65" s="1540" t="s">
        <v>99</v>
      </c>
      <c r="B65" s="1541"/>
      <c r="C65" s="1542"/>
      <c r="D65" s="523" t="s">
        <v>186</v>
      </c>
      <c r="E65" s="514">
        <f>'9'!F65</f>
        <v>163099</v>
      </c>
      <c r="F65" s="651">
        <v>163365</v>
      </c>
      <c r="G65" s="473">
        <f t="shared" si="5"/>
        <v>266</v>
      </c>
      <c r="H65" s="460">
        <f>G65+'9'!H65</f>
        <v>-6937</v>
      </c>
      <c r="I65" s="489"/>
      <c r="J65" s="552">
        <f>H65/DAY(B2)</f>
        <v>-693.7</v>
      </c>
      <c r="K65" s="428"/>
      <c r="L65" s="377"/>
      <c r="N65" s="713"/>
    </row>
    <row r="66" spans="1:14" ht="27.75">
      <c r="A66" s="1540" t="s">
        <v>100</v>
      </c>
      <c r="B66" s="1541"/>
      <c r="C66" s="1542"/>
      <c r="D66" s="523" t="s">
        <v>186</v>
      </c>
      <c r="E66" s="514">
        <f>'9'!F66</f>
        <v>59809</v>
      </c>
      <c r="F66" s="478">
        <v>60224</v>
      </c>
      <c r="G66" s="473">
        <f t="shared" si="5"/>
        <v>415</v>
      </c>
      <c r="H66" s="460">
        <f>G66+'9'!H66</f>
        <v>-7746</v>
      </c>
      <c r="I66" s="480"/>
      <c r="J66" s="552">
        <f>H66/DAY(B2)</f>
        <v>-774.6</v>
      </c>
      <c r="K66" s="428"/>
      <c r="L66" s="377"/>
      <c r="N66" s="713"/>
    </row>
    <row r="67" spans="1:14" ht="27.75">
      <c r="A67" s="1540" t="s">
        <v>101</v>
      </c>
      <c r="B67" s="1541"/>
      <c r="C67" s="1542"/>
      <c r="D67" s="523" t="s">
        <v>186</v>
      </c>
      <c r="E67" s="514">
        <f>'9'!F67</f>
        <v>255696</v>
      </c>
      <c r="F67" s="478">
        <v>256073</v>
      </c>
      <c r="G67" s="473">
        <f t="shared" si="5"/>
        <v>377</v>
      </c>
      <c r="H67" s="460">
        <f>G67+'9'!H67</f>
        <v>-8886</v>
      </c>
      <c r="I67" s="489"/>
      <c r="J67" s="552">
        <f>H67/DAY(B2)</f>
        <v>-888.6</v>
      </c>
      <c r="K67" s="429"/>
      <c r="L67" s="377"/>
      <c r="N67" s="713"/>
    </row>
    <row r="68" spans="1:14" ht="27.75">
      <c r="A68" s="1540" t="s">
        <v>102</v>
      </c>
      <c r="B68" s="1541"/>
      <c r="C68" s="1542"/>
      <c r="D68" s="523" t="s">
        <v>186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3"/>
    </row>
    <row r="69" spans="1:14" ht="27.75">
      <c r="A69" s="1540" t="s">
        <v>103</v>
      </c>
      <c r="B69" s="1541"/>
      <c r="C69" s="1542"/>
      <c r="D69" s="523" t="s">
        <v>186</v>
      </c>
      <c r="E69" s="514">
        <f>'9'!F69</f>
        <v>82755</v>
      </c>
      <c r="F69" s="478">
        <v>82925</v>
      </c>
      <c r="G69" s="473">
        <f t="shared" si="5"/>
        <v>170</v>
      </c>
      <c r="H69" s="460">
        <f>G69+'9'!H69</f>
        <v>-4590</v>
      </c>
      <c r="I69" s="516"/>
      <c r="J69" s="552">
        <f>H69/DAY(B2)</f>
        <v>-459</v>
      </c>
      <c r="K69" s="431"/>
      <c r="L69" s="377"/>
      <c r="N69" s="713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3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3"/>
    </row>
    <row r="72" spans="1:14" ht="27.75">
      <c r="A72" s="1540" t="s">
        <v>190</v>
      </c>
      <c r="B72" s="1541"/>
      <c r="C72" s="1542"/>
      <c r="D72" s="523" t="s">
        <v>186</v>
      </c>
      <c r="E72" s="519">
        <f>'9'!F72</f>
        <v>855962</v>
      </c>
      <c r="F72" s="654">
        <v>855975</v>
      </c>
      <c r="G72" s="473">
        <f t="shared" ref="G72:G84" si="6">F72-E72</f>
        <v>13</v>
      </c>
      <c r="H72" s="460">
        <f>G72+'9'!H72</f>
        <v>-247</v>
      </c>
      <c r="I72" s="480"/>
      <c r="J72" s="552">
        <f>H72/DAY(B2)</f>
        <v>-24.7</v>
      </c>
      <c r="K72" s="431"/>
      <c r="L72" s="377"/>
      <c r="N72" s="713"/>
    </row>
    <row r="73" spans="1:14" ht="27.75">
      <c r="A73" s="1540" t="s">
        <v>191</v>
      </c>
      <c r="B73" s="1541"/>
      <c r="C73" s="1542"/>
      <c r="D73" s="523" t="s">
        <v>186</v>
      </c>
      <c r="E73" s="519">
        <f>'9'!F73</f>
        <v>885947</v>
      </c>
      <c r="F73" s="655">
        <v>885948</v>
      </c>
      <c r="G73" s="652">
        <f t="shared" si="6"/>
        <v>1</v>
      </c>
      <c r="H73" s="460">
        <f>G73+'9'!H73</f>
        <v>-24</v>
      </c>
      <c r="I73" s="480"/>
      <c r="J73" s="552">
        <f>H73/DAY(B2)</f>
        <v>-2.4</v>
      </c>
      <c r="K73" s="430"/>
      <c r="L73" s="377"/>
      <c r="N73" s="713"/>
    </row>
    <row r="74" spans="1:14" ht="27.75">
      <c r="A74" s="1540" t="s">
        <v>192</v>
      </c>
      <c r="B74" s="1541"/>
      <c r="C74" s="1542"/>
      <c r="D74" s="523" t="s">
        <v>186</v>
      </c>
      <c r="E74" s="519">
        <f>'9'!F74</f>
        <v>2599.96</v>
      </c>
      <c r="F74" s="654">
        <v>2599.96</v>
      </c>
      <c r="G74" s="473">
        <f t="shared" si="6"/>
        <v>0</v>
      </c>
      <c r="H74" s="460">
        <f>G74+'9'!H74</f>
        <v>-86096.04</v>
      </c>
      <c r="I74" s="480"/>
      <c r="J74" s="552">
        <f>H74/DAY(B2)</f>
        <v>-8609.6039999999994</v>
      </c>
      <c r="K74" s="431"/>
      <c r="L74" s="377"/>
      <c r="N74" s="713"/>
    </row>
    <row r="75" spans="1:14" ht="27.75">
      <c r="A75" s="1543" t="s">
        <v>193</v>
      </c>
      <c r="B75" s="1544"/>
      <c r="C75" s="1545"/>
      <c r="D75" s="523" t="s">
        <v>186</v>
      </c>
      <c r="E75" s="519">
        <f>'9'!F75</f>
        <v>13232</v>
      </c>
      <c r="F75" s="655">
        <v>13289</v>
      </c>
      <c r="G75" s="473">
        <f t="shared" si="6"/>
        <v>57</v>
      </c>
      <c r="H75" s="460">
        <f>G75+'9'!H75</f>
        <v>-2782</v>
      </c>
      <c r="I75" s="480"/>
      <c r="J75" s="552">
        <f>H75/DAY(B2)</f>
        <v>-278.2</v>
      </c>
      <c r="K75" s="430"/>
      <c r="L75" s="377"/>
      <c r="N75" s="713"/>
    </row>
    <row r="76" spans="1:14" ht="27.75">
      <c r="A76" s="1543" t="s">
        <v>194</v>
      </c>
      <c r="B76" s="1544"/>
      <c r="C76" s="1545"/>
      <c r="D76" s="523" t="s">
        <v>186</v>
      </c>
      <c r="E76" s="519">
        <f>'9'!F76</f>
        <v>7951</v>
      </c>
      <c r="F76" s="655">
        <v>8006</v>
      </c>
      <c r="G76" s="473">
        <f t="shared" si="6"/>
        <v>55</v>
      </c>
      <c r="H76" s="460">
        <f>G76+'9'!H76</f>
        <v>-1330</v>
      </c>
      <c r="I76" s="505"/>
      <c r="J76" s="552">
        <f>H76/DAY(B2)</f>
        <v>-133</v>
      </c>
      <c r="K76" s="430"/>
      <c r="L76" s="377"/>
      <c r="N76" s="713"/>
    </row>
    <row r="77" spans="1:14" ht="27.75">
      <c r="A77" s="1540" t="s">
        <v>195</v>
      </c>
      <c r="B77" s="1541"/>
      <c r="C77" s="1542"/>
      <c r="D77" s="523" t="s">
        <v>186</v>
      </c>
      <c r="E77" s="519">
        <f>'9'!F77</f>
        <v>703283</v>
      </c>
      <c r="F77" s="655">
        <v>703334</v>
      </c>
      <c r="G77" s="652">
        <f t="shared" si="6"/>
        <v>51</v>
      </c>
      <c r="H77" s="460">
        <f>G77+'9'!H77</f>
        <v>-1040</v>
      </c>
      <c r="I77" s="505"/>
      <c r="J77" s="552">
        <f>H77/DAY(B2)</f>
        <v>-104</v>
      </c>
      <c r="K77" s="430"/>
      <c r="L77" s="377"/>
      <c r="N77" s="713"/>
    </row>
    <row r="78" spans="1:14" ht="27.75">
      <c r="A78" s="1142" t="s">
        <v>196</v>
      </c>
      <c r="B78" s="1115"/>
      <c r="C78" s="1115"/>
      <c r="D78" s="523" t="s">
        <v>186</v>
      </c>
      <c r="E78" s="519">
        <f>'9'!F78</f>
        <v>673755</v>
      </c>
      <c r="F78" s="656">
        <v>673807</v>
      </c>
      <c r="G78" s="473">
        <f t="shared" si="6"/>
        <v>52</v>
      </c>
      <c r="H78" s="460">
        <f>G78+'9'!H78</f>
        <v>-1607</v>
      </c>
      <c r="I78" s="505"/>
      <c r="J78" s="552">
        <f>H78/DAY(B2)</f>
        <v>-160.69999999999999</v>
      </c>
      <c r="K78" s="430"/>
      <c r="L78" s="377"/>
      <c r="N78" s="713"/>
    </row>
    <row r="79" spans="1:14" ht="27.75">
      <c r="A79" s="1543" t="s">
        <v>91</v>
      </c>
      <c r="B79" s="1544"/>
      <c r="C79" s="1545"/>
      <c r="D79" s="524" t="s">
        <v>186</v>
      </c>
      <c r="E79" s="519">
        <f>'9'!F79</f>
        <v>832369</v>
      </c>
      <c r="F79" s="656">
        <v>832501</v>
      </c>
      <c r="G79" s="473">
        <f t="shared" si="6"/>
        <v>132</v>
      </c>
      <c r="H79" s="460">
        <f>G79+'9'!H79</f>
        <v>-2915</v>
      </c>
      <c r="I79" s="505"/>
      <c r="J79" s="552">
        <f>H79/DAY(B2)</f>
        <v>-291.5</v>
      </c>
      <c r="K79" s="430"/>
      <c r="L79" s="377"/>
      <c r="N79" s="713"/>
    </row>
    <row r="80" spans="1:14" ht="27.75">
      <c r="A80" s="1543" t="s">
        <v>197</v>
      </c>
      <c r="B80" s="1544"/>
      <c r="C80" s="1545"/>
      <c r="D80" s="524" t="s">
        <v>186</v>
      </c>
      <c r="E80" s="519">
        <f>'9'!F80</f>
        <v>530999</v>
      </c>
      <c r="F80" s="655">
        <v>531370</v>
      </c>
      <c r="G80" s="473">
        <f>F80-E80</f>
        <v>371</v>
      </c>
      <c r="H80" s="460">
        <f>G80+'9'!H80</f>
        <v>-7643</v>
      </c>
      <c r="I80" s="505"/>
      <c r="J80" s="552">
        <f>H80/DAY(B2)</f>
        <v>-764.3</v>
      </c>
      <c r="K80" s="430"/>
      <c r="L80" s="377"/>
      <c r="N80" s="713"/>
    </row>
    <row r="81" spans="1:15" ht="27.75">
      <c r="A81" s="1543" t="s">
        <v>198</v>
      </c>
      <c r="B81" s="1544"/>
      <c r="C81" s="1545"/>
      <c r="D81" s="524" t="s">
        <v>186</v>
      </c>
      <c r="E81" s="519">
        <f>'9'!F81</f>
        <v>639898</v>
      </c>
      <c r="F81" s="655">
        <v>640000</v>
      </c>
      <c r="G81" s="473">
        <f t="shared" si="6"/>
        <v>102</v>
      </c>
      <c r="H81" s="460">
        <f>G81+'9'!H81</f>
        <v>-2985</v>
      </c>
      <c r="I81" s="505"/>
      <c r="J81" s="552">
        <f>H81/DAY(B2)</f>
        <v>-298.5</v>
      </c>
      <c r="K81" s="430"/>
      <c r="L81" s="377"/>
      <c r="N81" s="713"/>
    </row>
    <row r="82" spans="1:15" ht="27.75">
      <c r="A82" s="1543" t="s">
        <v>92</v>
      </c>
      <c r="B82" s="1544"/>
      <c r="C82" s="1545"/>
      <c r="D82" s="485" t="s">
        <v>131</v>
      </c>
      <c r="E82" s="519">
        <f>'9'!F82</f>
        <v>108300</v>
      </c>
      <c r="F82" s="651">
        <v>108311</v>
      </c>
      <c r="G82" s="473">
        <f t="shared" si="6"/>
        <v>11</v>
      </c>
      <c r="H82" s="460">
        <f>G82+'9'!H82</f>
        <v>-370</v>
      </c>
      <c r="I82" s="486"/>
      <c r="J82" s="552">
        <f>H82/DAY(B2)</f>
        <v>-37</v>
      </c>
      <c r="K82" s="430"/>
      <c r="L82" s="377"/>
      <c r="N82" s="713"/>
    </row>
    <row r="83" spans="1:15" ht="27.75">
      <c r="A83" s="1543" t="s">
        <v>199</v>
      </c>
      <c r="B83" s="1544"/>
      <c r="C83" s="1545"/>
      <c r="D83" s="620" t="s">
        <v>131</v>
      </c>
      <c r="E83" s="519">
        <f>'9'!F83</f>
        <v>22278</v>
      </c>
      <c r="F83" s="511">
        <v>22510</v>
      </c>
      <c r="G83" s="473">
        <f t="shared" si="6"/>
        <v>232</v>
      </c>
      <c r="H83" s="460">
        <f>G83+'9'!H83</f>
        <v>-5041</v>
      </c>
      <c r="I83" s="481"/>
      <c r="J83" s="552">
        <f>H83/DAY(B2)</f>
        <v>-504.1</v>
      </c>
      <c r="K83" s="429"/>
      <c r="L83" s="377"/>
      <c r="N83" s="713"/>
    </row>
    <row r="84" spans="1:15">
      <c r="A84" s="1143" t="s">
        <v>200</v>
      </c>
      <c r="B84" s="571"/>
      <c r="C84" s="571"/>
      <c r="D84" s="478" t="s">
        <v>131</v>
      </c>
      <c r="E84" s="519">
        <f>'9'!F84</f>
        <v>507300</v>
      </c>
      <c r="F84" s="627">
        <v>507892</v>
      </c>
      <c r="G84" s="473">
        <f t="shared" si="6"/>
        <v>592</v>
      </c>
      <c r="H84" s="460">
        <f>G84+'9'!H84</f>
        <v>-15188</v>
      </c>
      <c r="I84" s="481"/>
      <c r="J84" s="552">
        <f>H84/DAY(B2)</f>
        <v>-1518.8</v>
      </c>
      <c r="K84" s="380"/>
      <c r="L84" s="377"/>
      <c r="N84" s="713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1669</v>
      </c>
      <c r="H85" s="460">
        <f>G85+'9'!H85</f>
        <v>-127268.04000000001</v>
      </c>
      <c r="I85" s="481"/>
      <c r="J85" s="552">
        <f>H85/DAY(B2)</f>
        <v>-12726.804</v>
      </c>
      <c r="K85" s="380"/>
      <c r="L85" s="378"/>
      <c r="N85" s="713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'9'!F86</f>
        <v>461219</v>
      </c>
      <c r="F86" s="647">
        <v>461249</v>
      </c>
      <c r="G86" s="705">
        <f t="shared" ref="G86:G91" si="7">F86-E86</f>
        <v>30</v>
      </c>
      <c r="H86" s="460">
        <f>G86+'9'!H86</f>
        <v>-740.20000000001164</v>
      </c>
      <c r="I86" s="652"/>
      <c r="J86" s="707">
        <f>H86/DAY(B2)</f>
        <v>-74.020000000001161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'9'!F87</f>
        <v>81557</v>
      </c>
      <c r="F87" s="647">
        <v>81583</v>
      </c>
      <c r="G87" s="705">
        <f t="shared" si="7"/>
        <v>26</v>
      </c>
      <c r="H87" s="460">
        <f>G87+'9'!H87</f>
        <v>-705.60000000000582</v>
      </c>
      <c r="I87" s="652"/>
      <c r="J87" s="707">
        <f>H87/DAY(B2)</f>
        <v>-70.560000000000585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'9'!F88</f>
        <v>153439</v>
      </c>
      <c r="F88" s="638">
        <v>153468</v>
      </c>
      <c r="G88" s="705">
        <f t="shared" si="7"/>
        <v>29</v>
      </c>
      <c r="H88" s="460">
        <f>G88+'9'!H88</f>
        <v>-2637.0899999999965</v>
      </c>
      <c r="I88" s="652"/>
      <c r="J88" s="707">
        <f>H88/DAY(B2)</f>
        <v>-263.70899999999966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'9'!F89</f>
        <v>65319</v>
      </c>
      <c r="F89" s="647">
        <v>65343</v>
      </c>
      <c r="G89" s="705">
        <f t="shared" si="7"/>
        <v>24</v>
      </c>
      <c r="H89" s="460">
        <f>G89+'9'!H89</f>
        <v>-756.5</v>
      </c>
      <c r="I89" s="652"/>
      <c r="J89" s="707">
        <f>H89/DAY(B2)</f>
        <v>-75.650000000000006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'9'!F90</f>
        <v>3283</v>
      </c>
      <c r="F90" s="647">
        <v>3286</v>
      </c>
      <c r="G90" s="705">
        <f t="shared" si="7"/>
        <v>3</v>
      </c>
      <c r="H90" s="460">
        <f>G90+'9'!H90</f>
        <v>-81.900000000000091</v>
      </c>
      <c r="I90" s="652"/>
      <c r="J90" s="707">
        <f>H90/DAY(B2)</f>
        <v>-8.1900000000000084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27">
        <f>'9'!F91</f>
        <v>28091</v>
      </c>
      <c r="F91" s="647">
        <v>28100</v>
      </c>
      <c r="G91" s="705">
        <f t="shared" si="7"/>
        <v>9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13"/>
    </row>
    <row r="93" spans="1:15" ht="27.75">
      <c r="A93" s="1559" t="s">
        <v>205</v>
      </c>
      <c r="B93" s="1560"/>
      <c r="C93" s="1561"/>
      <c r="D93" s="523" t="s">
        <v>143</v>
      </c>
      <c r="E93" s="484">
        <f>'9'!F93</f>
        <v>245842</v>
      </c>
      <c r="F93" s="478">
        <v>245883</v>
      </c>
      <c r="G93" s="473">
        <f t="shared" ref="G93:G94" si="8">F93-E93</f>
        <v>41</v>
      </c>
      <c r="H93" s="460">
        <f>G93+'9'!H93</f>
        <v>-1469</v>
      </c>
      <c r="I93" s="480"/>
      <c r="J93" s="552">
        <f>H93/DAY(B2)</f>
        <v>-146.9</v>
      </c>
      <c r="K93" s="429"/>
      <c r="L93" s="377"/>
      <c r="N93" s="713"/>
    </row>
    <row r="94" spans="1:15" ht="27.75">
      <c r="A94" s="1559" t="s">
        <v>206</v>
      </c>
      <c r="B94" s="1560"/>
      <c r="C94" s="1561"/>
      <c r="D94" s="523" t="s">
        <v>143</v>
      </c>
      <c r="E94" s="484">
        <f>'9'!F94</f>
        <v>186904</v>
      </c>
      <c r="F94" s="478">
        <v>187020</v>
      </c>
      <c r="G94" s="473">
        <f t="shared" si="8"/>
        <v>116</v>
      </c>
      <c r="H94" s="460">
        <f>G94+'9'!H94</f>
        <v>-2434</v>
      </c>
      <c r="I94" s="480"/>
      <c r="J94" s="552">
        <f>H94/DAY(B2)</f>
        <v>-243.4</v>
      </c>
      <c r="K94" s="380"/>
      <c r="L94" s="377"/>
      <c r="N94" s="713"/>
    </row>
    <row r="95" spans="1:15">
      <c r="A95" s="1591" t="s">
        <v>207</v>
      </c>
      <c r="B95" s="1592"/>
      <c r="C95" s="1593"/>
      <c r="D95" s="523"/>
      <c r="E95" s="484"/>
      <c r="F95" s="478"/>
      <c r="G95" s="473">
        <f>G93+G94</f>
        <v>157</v>
      </c>
      <c r="H95" s="460">
        <f>G95+'9'!H95</f>
        <v>-4089</v>
      </c>
      <c r="I95" s="480"/>
      <c r="J95" s="552">
        <f>H95/DAY(B2)</f>
        <v>-408.9</v>
      </c>
      <c r="K95" s="380"/>
      <c r="L95" s="377"/>
      <c r="N95" s="713"/>
    </row>
    <row r="96" spans="1:15" ht="27.75">
      <c r="A96" s="1559" t="s">
        <v>208</v>
      </c>
      <c r="B96" s="1560"/>
      <c r="C96" s="1561"/>
      <c r="D96" s="523" t="s">
        <v>143</v>
      </c>
      <c r="E96" s="484">
        <f>'9'!F96</f>
        <v>414705</v>
      </c>
      <c r="F96" s="478">
        <v>414764</v>
      </c>
      <c r="G96" s="473">
        <f t="shared" ref="G96:G101" si="9">F96-E96</f>
        <v>59</v>
      </c>
      <c r="H96" s="460">
        <f>G96+'9'!H96</f>
        <v>-1235</v>
      </c>
      <c r="I96" s="480"/>
      <c r="J96" s="552">
        <f>H96/DAY(B2)</f>
        <v>-123.5</v>
      </c>
      <c r="K96" s="380"/>
      <c r="L96" s="377"/>
      <c r="N96" s="713"/>
    </row>
    <row r="97" spans="1:14" ht="27.75">
      <c r="A97" s="1139" t="s">
        <v>209</v>
      </c>
      <c r="B97" s="1140"/>
      <c r="C97" s="1140"/>
      <c r="D97" s="523" t="s">
        <v>143</v>
      </c>
      <c r="E97" s="484">
        <f>'9'!F97</f>
        <v>102750</v>
      </c>
      <c r="F97" s="478">
        <v>102761</v>
      </c>
      <c r="G97" s="473">
        <f t="shared" si="9"/>
        <v>11</v>
      </c>
      <c r="H97" s="460">
        <f>G97+'9'!H97</f>
        <v>-402</v>
      </c>
      <c r="I97" s="480"/>
      <c r="J97" s="552">
        <f>H97/DAY(B2)</f>
        <v>-40.200000000000003</v>
      </c>
      <c r="K97" s="427"/>
      <c r="L97" s="377"/>
      <c r="N97" s="713"/>
    </row>
    <row r="98" spans="1:14" ht="27.75">
      <c r="A98" s="1139" t="s">
        <v>210</v>
      </c>
      <c r="B98" s="1140"/>
      <c r="C98" s="1140"/>
      <c r="D98" s="523" t="s">
        <v>143</v>
      </c>
      <c r="E98" s="484">
        <f>'9'!F98</f>
        <v>98109</v>
      </c>
      <c r="F98" s="478">
        <v>98125</v>
      </c>
      <c r="G98" s="473">
        <f t="shared" si="9"/>
        <v>16</v>
      </c>
      <c r="H98" s="460">
        <f>G98+'9'!H98</f>
        <v>-532</v>
      </c>
      <c r="I98" s="480"/>
      <c r="J98" s="552">
        <f>H98/DAY(B2)</f>
        <v>-53.2</v>
      </c>
      <c r="K98" s="432"/>
      <c r="L98" s="377"/>
      <c r="N98" s="713"/>
    </row>
    <row r="99" spans="1:14" ht="27.75">
      <c r="A99" s="1139" t="s">
        <v>211</v>
      </c>
      <c r="B99" s="1140"/>
      <c r="C99" s="1140"/>
      <c r="D99" s="523" t="s">
        <v>143</v>
      </c>
      <c r="E99" s="484">
        <f>'9'!F99</f>
        <v>149914</v>
      </c>
      <c r="F99" s="478">
        <v>149918</v>
      </c>
      <c r="G99" s="473">
        <f t="shared" si="9"/>
        <v>4</v>
      </c>
      <c r="H99" s="460">
        <f>G99+'9'!H99</f>
        <v>-487</v>
      </c>
      <c r="I99" s="480"/>
      <c r="J99" s="552">
        <f>H99/DAY(B2)</f>
        <v>-48.7</v>
      </c>
      <c r="K99" s="380"/>
      <c r="L99" s="377"/>
      <c r="N99" s="715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'9'!F100</f>
        <v>7494</v>
      </c>
      <c r="F100" s="478">
        <v>7502</v>
      </c>
      <c r="G100" s="473">
        <f t="shared" si="9"/>
        <v>8</v>
      </c>
      <c r="H100" s="460">
        <f>G100+'9'!H100</f>
        <v>-295</v>
      </c>
      <c r="I100" s="480"/>
      <c r="J100" s="552">
        <f>H100/DAY(B2)</f>
        <v>-29.5</v>
      </c>
      <c r="K100" s="380"/>
      <c r="L100" s="377"/>
      <c r="N100" s="713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'9'!F101</f>
        <v>5446</v>
      </c>
      <c r="F101" s="478">
        <v>5452</v>
      </c>
      <c r="G101" s="473">
        <f t="shared" si="9"/>
        <v>6</v>
      </c>
      <c r="H101" s="460">
        <f>G101+'9'!H101</f>
        <v>-222</v>
      </c>
      <c r="I101" s="480"/>
      <c r="J101" s="552">
        <f>H101/DAY(B2)</f>
        <v>-22.2</v>
      </c>
      <c r="K101" s="380"/>
      <c r="L101" s="377"/>
      <c r="N101" s="713"/>
    </row>
    <row r="102" spans="1:14">
      <c r="A102" s="1591" t="s">
        <v>215</v>
      </c>
      <c r="B102" s="1592"/>
      <c r="C102" s="1593"/>
      <c r="D102" s="524"/>
      <c r="E102" s="484"/>
      <c r="F102" s="524"/>
      <c r="G102" s="525">
        <f>SUM(G96:G101)</f>
        <v>104</v>
      </c>
      <c r="H102" s="460">
        <f>G102+'9'!H102</f>
        <v>-3173</v>
      </c>
      <c r="I102" s="526"/>
      <c r="J102" s="552">
        <f>H102/DAY(B2)</f>
        <v>-317.3</v>
      </c>
      <c r="K102" s="380"/>
      <c r="L102" s="377"/>
      <c r="N102" s="713"/>
    </row>
    <row r="103" spans="1:14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3"/>
    </row>
    <row r="104" spans="1:14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3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484">
        <f>'9'!F105</f>
        <v>7484</v>
      </c>
      <c r="F105" s="658">
        <v>7484</v>
      </c>
      <c r="G105" s="532">
        <v>0</v>
      </c>
      <c r="H105" s="460">
        <f>G105+'9'!H105</f>
        <v>-153</v>
      </c>
      <c r="I105" s="532"/>
      <c r="J105" s="558">
        <f>H105/DAY(B2)</f>
        <v>-15.3</v>
      </c>
      <c r="N105" s="713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484">
        <f>'9'!F106</f>
        <v>35989</v>
      </c>
      <c r="F106" s="659">
        <v>36006</v>
      </c>
      <c r="G106" s="532">
        <f t="shared" ref="G106:G107" si="10">F106-E106</f>
        <v>17</v>
      </c>
      <c r="H106" s="460">
        <f>G106+'9'!H106</f>
        <v>-156</v>
      </c>
      <c r="I106" s="532"/>
      <c r="J106" s="558">
        <f>H106/DAY(B2)</f>
        <v>-15.6</v>
      </c>
      <c r="N106" s="713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484">
        <f>'9'!F107</f>
        <v>19732</v>
      </c>
      <c r="F107" s="659">
        <v>19739</v>
      </c>
      <c r="G107" s="532">
        <f t="shared" si="10"/>
        <v>7</v>
      </c>
      <c r="H107" s="460">
        <f>G107+'9'!H107</f>
        <v>-83</v>
      </c>
      <c r="I107" s="532"/>
      <c r="J107" s="558">
        <f>H107/DAY(B2)</f>
        <v>-8.3000000000000007</v>
      </c>
      <c r="N107" s="713"/>
    </row>
    <row r="108" spans="1:14" s="442" customFormat="1" ht="27.75">
      <c r="A108" s="1553" t="s">
        <v>201</v>
      </c>
      <c r="B108" s="1554"/>
      <c r="C108" s="1138"/>
      <c r="D108" s="622"/>
      <c r="E108" s="484"/>
      <c r="F108" s="659"/>
      <c r="G108" s="532">
        <f>SUM(G105:G107)</f>
        <v>24</v>
      </c>
      <c r="H108" s="460">
        <f>G108+'9'!H108</f>
        <v>-392</v>
      </c>
      <c r="I108" s="532"/>
      <c r="J108" s="558">
        <f>H108/DAY(B2)</f>
        <v>-39.200000000000003</v>
      </c>
      <c r="N108" s="713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484"/>
      <c r="F109" s="659"/>
      <c r="G109" s="532"/>
      <c r="H109" s="533"/>
      <c r="I109" s="532"/>
      <c r="J109" s="558"/>
      <c r="N109" s="713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484">
        <f>'9'!F110</f>
        <v>63427</v>
      </c>
      <c r="F110" s="659">
        <v>63489</v>
      </c>
      <c r="G110" s="532">
        <f>F110-E110</f>
        <v>62</v>
      </c>
      <c r="H110" s="460">
        <f>G110+'9'!H110</f>
        <v>-1354</v>
      </c>
      <c r="I110" s="532"/>
      <c r="J110" s="558">
        <f>H110/DAY(B2)</f>
        <v>-135.4</v>
      </c>
      <c r="N110" s="713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484">
        <f>'9'!F111</f>
        <v>32632</v>
      </c>
      <c r="F111" s="659">
        <v>32645</v>
      </c>
      <c r="G111" s="532">
        <f t="shared" ref="G111:G112" si="11">F111-E111</f>
        <v>13</v>
      </c>
      <c r="H111" s="460">
        <f>G111+'9'!H111</f>
        <v>-484</v>
      </c>
      <c r="I111" s="532"/>
      <c r="J111" s="558">
        <f>H111/DAY(B2)</f>
        <v>-48.4</v>
      </c>
      <c r="N111" s="713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484">
        <f>'9'!F112</f>
        <v>4621</v>
      </c>
      <c r="F112" s="659">
        <v>4621</v>
      </c>
      <c r="G112" s="532">
        <f t="shared" si="11"/>
        <v>0</v>
      </c>
      <c r="H112" s="460">
        <f>G112+'9'!H112</f>
        <v>0</v>
      </c>
      <c r="I112" s="532"/>
      <c r="J112" s="558">
        <f>H112/DAY(B2)</f>
        <v>0</v>
      </c>
      <c r="N112" s="713"/>
    </row>
    <row r="113" spans="1:14" s="442" customFormat="1" ht="27.75">
      <c r="A113" s="1553" t="s">
        <v>109</v>
      </c>
      <c r="B113" s="1554"/>
      <c r="C113" s="1138"/>
      <c r="D113" s="622"/>
      <c r="E113" s="484"/>
      <c r="F113" s="659"/>
      <c r="G113" s="532">
        <f>SUM(G110:G112)</f>
        <v>75</v>
      </c>
      <c r="H113" s="460">
        <f>G113+'9'!H113</f>
        <v>-1838</v>
      </c>
      <c r="I113" s="532"/>
      <c r="J113" s="558">
        <f>H113/DAY(B2)</f>
        <v>-183.8</v>
      </c>
      <c r="N113" s="713"/>
    </row>
    <row r="114" spans="1:14" s="442" customFormat="1" ht="27.75">
      <c r="A114" s="1557" t="s">
        <v>222</v>
      </c>
      <c r="B114" s="1558"/>
      <c r="C114" s="1138"/>
      <c r="D114" s="622"/>
      <c r="E114" s="484"/>
      <c r="F114" s="659"/>
      <c r="G114" s="532"/>
      <c r="H114" s="460">
        <f>G114+'9'!H114</f>
        <v>0</v>
      </c>
      <c r="I114" s="532"/>
      <c r="J114" s="558">
        <f>H114/DAY(B2)</f>
        <v>0</v>
      </c>
      <c r="N114" s="713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484">
        <f>'9'!F115</f>
        <v>11651</v>
      </c>
      <c r="F115" s="659">
        <v>11661</v>
      </c>
      <c r="G115" s="534">
        <f>F115-E115</f>
        <v>10</v>
      </c>
      <c r="H115" s="460">
        <f>G115+'9'!H115</f>
        <v>-352</v>
      </c>
      <c r="I115" s="532"/>
      <c r="J115" s="558">
        <f>H115/DAY(B2)</f>
        <v>-35.200000000000003</v>
      </c>
      <c r="N115" s="713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484">
        <f>'9'!F116</f>
        <v>8366</v>
      </c>
      <c r="F116" s="659">
        <v>8371</v>
      </c>
      <c r="G116" s="534">
        <f t="shared" ref="G116:G117" si="12">F116-E116</f>
        <v>5</v>
      </c>
      <c r="H116" s="460">
        <f>G116+'9'!H116</f>
        <v>-184</v>
      </c>
      <c r="I116" s="532"/>
      <c r="J116" s="558">
        <f>H116/DAY(B2)</f>
        <v>-18.399999999999999</v>
      </c>
      <c r="N116" s="713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2"/>
        <v>0</v>
      </c>
      <c r="H117" s="460">
        <f>G117+'9'!H117</f>
        <v>0</v>
      </c>
      <c r="I117" s="532"/>
      <c r="J117" s="558">
        <f>H117/DAY(B2)</f>
        <v>0</v>
      </c>
      <c r="N117" s="713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15</v>
      </c>
      <c r="H118" s="460">
        <f>G118+'9'!H118</f>
        <v>-536</v>
      </c>
      <c r="I118" s="534"/>
      <c r="J118" s="558">
        <f>H118/DAY(B2)</f>
        <v>-53.6</v>
      </c>
      <c r="N118" s="713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107</v>
      </c>
      <c r="G119" s="536">
        <f>SUM(G19+G93)</f>
        <v>107</v>
      </c>
      <c r="H119" s="460">
        <f>G119+'9'!H119</f>
        <v>-2724</v>
      </c>
      <c r="I119" s="535"/>
      <c r="J119" s="559">
        <f>H119/DAY(B2)</f>
        <v>-272.39999999999998</v>
      </c>
      <c r="N119" s="713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100</v>
      </c>
      <c r="G120" s="536">
        <f>SUM(G96,G97,G98,G100,G101)</f>
        <v>100</v>
      </c>
      <c r="H120" s="460">
        <f>G120+'9'!H120</f>
        <v>-2686</v>
      </c>
      <c r="I120" s="535"/>
      <c r="J120" s="559">
        <f>H120/DAY(B2)</f>
        <v>-268.60000000000002</v>
      </c>
      <c r="N120" s="713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75</v>
      </c>
      <c r="G121" s="534">
        <f>SUM(G113)</f>
        <v>75</v>
      </c>
      <c r="H121" s="460">
        <f>G121+'9'!H121</f>
        <v>-1838</v>
      </c>
      <c r="I121" s="535"/>
      <c r="J121" s="559">
        <f>H121/DAY(B2)</f>
        <v>-183.8</v>
      </c>
      <c r="N121" s="713"/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713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3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'9'!F124</f>
        <v>834008</v>
      </c>
      <c r="F124" s="478">
        <v>834219</v>
      </c>
      <c r="G124" s="473">
        <f t="shared" ref="G124:G128" si="13">F124-E124</f>
        <v>211</v>
      </c>
      <c r="H124" s="460">
        <f>G124+'9'!H124</f>
        <v>-5451</v>
      </c>
      <c r="I124" s="526"/>
      <c r="J124" s="552">
        <f>H124/DAY(B2)</f>
        <v>-545.1</v>
      </c>
      <c r="K124" s="380"/>
      <c r="L124" s="377"/>
      <c r="N124" s="713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'9'!F125</f>
        <v>73583.399999999994</v>
      </c>
      <c r="F125" s="626">
        <v>73583.399999999994</v>
      </c>
      <c r="G125" s="473">
        <f t="shared" si="13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3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'9'!F126</f>
        <v>147053</v>
      </c>
      <c r="F126" s="478">
        <v>147119</v>
      </c>
      <c r="G126" s="473">
        <f t="shared" si="13"/>
        <v>66</v>
      </c>
      <c r="H126" s="460">
        <f>G126+'9'!H126</f>
        <v>-1478</v>
      </c>
      <c r="I126" s="526"/>
      <c r="J126" s="552">
        <f>H126/DAY(B2)</f>
        <v>-147.80000000000001</v>
      </c>
      <c r="K126" s="380"/>
      <c r="L126" s="377"/>
      <c r="N126" s="713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'9'!F127</f>
        <v>31409</v>
      </c>
      <c r="F127" s="626">
        <v>31409</v>
      </c>
      <c r="G127" s="473">
        <f t="shared" si="13"/>
        <v>0</v>
      </c>
      <c r="H127" s="460">
        <f>G127+'9'!H127</f>
        <v>-662</v>
      </c>
      <c r="I127" s="526"/>
      <c r="J127" s="552">
        <f>H127/DAY(B2)</f>
        <v>-66.2</v>
      </c>
      <c r="K127" s="380"/>
      <c r="L127" s="377"/>
      <c r="N127" s="713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'9'!F128</f>
        <v>8972</v>
      </c>
      <c r="F128" s="626">
        <v>8972</v>
      </c>
      <c r="G128" s="473">
        <f t="shared" si="13"/>
        <v>0</v>
      </c>
      <c r="H128" s="460">
        <f>G128+'9'!H128</f>
        <v>-40</v>
      </c>
      <c r="I128" s="480"/>
      <c r="J128" s="552">
        <f>H128/DAY(B2)</f>
        <v>-4</v>
      </c>
      <c r="K128" s="380"/>
      <c r="L128" s="377"/>
      <c r="N128" s="713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423</v>
      </c>
      <c r="H129" s="460"/>
      <c r="I129" s="480"/>
      <c r="J129" s="552"/>
      <c r="K129" s="364"/>
      <c r="L129" s="292"/>
      <c r="N129" s="713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3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'9'!F131</f>
        <v>0</v>
      </c>
      <c r="F131" s="478">
        <v>0</v>
      </c>
      <c r="G131" s="473">
        <f t="shared" ref="G131:G141" si="14">F131-E131</f>
        <v>0</v>
      </c>
      <c r="H131" s="460">
        <f>G131+'9'!H131</f>
        <v>0</v>
      </c>
      <c r="I131" s="480"/>
      <c r="J131" s="552">
        <f>H131/DAY(B2)</f>
        <v>0</v>
      </c>
      <c r="N131" s="713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'9'!F132</f>
        <v>0</v>
      </c>
      <c r="F132" s="478">
        <v>0</v>
      </c>
      <c r="G132" s="473">
        <f t="shared" si="14"/>
        <v>0</v>
      </c>
      <c r="H132" s="460">
        <f>G132+'9'!H132</f>
        <v>0</v>
      </c>
      <c r="I132" s="480"/>
      <c r="J132" s="552">
        <f>H132/DAY(B2)</f>
        <v>0</v>
      </c>
      <c r="N132" s="713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'9'!F133</f>
        <v>40099</v>
      </c>
      <c r="F133" s="1375">
        <v>40122.449999999997</v>
      </c>
      <c r="G133" s="1376">
        <f t="shared" si="14"/>
        <v>23.44999999999709</v>
      </c>
      <c r="H133" s="460">
        <f>G133+'9'!H133</f>
        <v>-330.55000000000291</v>
      </c>
      <c r="I133" s="480"/>
      <c r="J133" s="552">
        <f>H133/DAY(B2)</f>
        <v>-33.055000000000291</v>
      </c>
      <c r="N133" s="713"/>
    </row>
    <row r="134" spans="1:14" ht="27.75">
      <c r="A134" s="1139" t="s">
        <v>241</v>
      </c>
      <c r="B134" s="1140"/>
      <c r="C134" s="1140"/>
      <c r="D134" s="523" t="s">
        <v>238</v>
      </c>
      <c r="E134" s="484">
        <f>'9'!F134</f>
        <v>300</v>
      </c>
      <c r="F134" s="1375">
        <v>300</v>
      </c>
      <c r="G134" s="1376">
        <f t="shared" si="14"/>
        <v>0</v>
      </c>
      <c r="H134" s="460">
        <f>G134+'9'!H134</f>
        <v>0</v>
      </c>
      <c r="I134" s="480">
        <f>G131+G132+G133+G134</f>
        <v>23.44999999999709</v>
      </c>
      <c r="J134" s="552">
        <f>H134/DAY(B2)</f>
        <v>0</v>
      </c>
      <c r="N134" s="713"/>
    </row>
    <row r="135" spans="1:14" ht="27.75">
      <c r="A135" s="1139" t="s">
        <v>242</v>
      </c>
      <c r="B135" s="1140"/>
      <c r="C135" s="1140"/>
      <c r="D135" s="523" t="s">
        <v>238</v>
      </c>
      <c r="E135" s="484">
        <f>'9'!F135</f>
        <v>41730.449999999997</v>
      </c>
      <c r="F135" s="1375">
        <v>41730.449999999997</v>
      </c>
      <c r="G135" s="1376">
        <f t="shared" si="14"/>
        <v>0</v>
      </c>
      <c r="H135" s="460">
        <f>G135+'9'!H135</f>
        <v>-241.55000000000291</v>
      </c>
      <c r="I135" s="480"/>
      <c r="J135" s="552">
        <f>H135/DAY(B2)</f>
        <v>-24.155000000000292</v>
      </c>
      <c r="N135" s="713"/>
    </row>
    <row r="136" spans="1:14" ht="27.75">
      <c r="A136" s="1139" t="s">
        <v>243</v>
      </c>
      <c r="B136" s="1140"/>
      <c r="C136" s="1140"/>
      <c r="D136" s="523" t="s">
        <v>238</v>
      </c>
      <c r="E136" s="484">
        <f>'9'!F136</f>
        <v>32874.050000000003</v>
      </c>
      <c r="F136" s="1375">
        <v>32874.050000000003</v>
      </c>
      <c r="G136" s="1376">
        <f t="shared" si="14"/>
        <v>0</v>
      </c>
      <c r="H136" s="460">
        <f>G136+'9'!H136</f>
        <v>5.0000000002910383E-2</v>
      </c>
      <c r="I136" s="480"/>
      <c r="J136" s="552">
        <f>H136/DAY(B2)</f>
        <v>5.0000000002910381E-3</v>
      </c>
      <c r="N136" s="713"/>
    </row>
    <row r="137" spans="1:14" ht="27.75">
      <c r="A137" s="1139" t="s">
        <v>244</v>
      </c>
      <c r="B137" s="1140"/>
      <c r="C137" s="1140"/>
      <c r="D137" s="523" t="s">
        <v>238</v>
      </c>
      <c r="E137" s="484">
        <f>'9'!F137</f>
        <v>22825.71</v>
      </c>
      <c r="F137" s="1375">
        <v>22833.51</v>
      </c>
      <c r="G137" s="1376">
        <f t="shared" si="14"/>
        <v>7.7999999999992724</v>
      </c>
      <c r="H137" s="460">
        <f>G137+'9'!H137</f>
        <v>-57.980000000003201</v>
      </c>
      <c r="I137" s="480">
        <f>G135+G136+G137</f>
        <v>7.7999999999992724</v>
      </c>
      <c r="J137" s="552">
        <f>H137/DAY(B2)</f>
        <v>-5.7980000000003198</v>
      </c>
      <c r="N137" s="713"/>
    </row>
    <row r="138" spans="1:14" ht="27.75">
      <c r="A138" s="1139" t="s">
        <v>245</v>
      </c>
      <c r="B138" s="1140"/>
      <c r="C138" s="1140"/>
      <c r="D138" s="523" t="s">
        <v>238</v>
      </c>
      <c r="E138" s="484">
        <f>'9'!F138</f>
        <v>25051.82</v>
      </c>
      <c r="F138" s="1375">
        <v>25051.82</v>
      </c>
      <c r="G138" s="1376">
        <f t="shared" si="14"/>
        <v>0</v>
      </c>
      <c r="H138" s="460">
        <f>G138+'9'!H138</f>
        <v>-39.569999999999709</v>
      </c>
      <c r="I138" s="480"/>
      <c r="J138" s="552">
        <f>H138/DAY(B2)</f>
        <v>-3.956999999999971</v>
      </c>
      <c r="N138" s="713"/>
    </row>
    <row r="139" spans="1:14" ht="27.75">
      <c r="A139" s="1139" t="s">
        <v>246</v>
      </c>
      <c r="B139" s="1140"/>
      <c r="C139" s="1140"/>
      <c r="D139" s="523" t="s">
        <v>238</v>
      </c>
      <c r="E139" s="484">
        <f>'9'!F139</f>
        <v>70448.41</v>
      </c>
      <c r="F139" s="1375">
        <v>70448.41</v>
      </c>
      <c r="G139" s="1376">
        <f t="shared" si="14"/>
        <v>0</v>
      </c>
      <c r="H139" s="460">
        <f>G139+'9'!H139</f>
        <v>-65.209999999991851</v>
      </c>
      <c r="I139" s="480">
        <f>G138+G139</f>
        <v>0</v>
      </c>
      <c r="J139" s="552">
        <f>H139/DAY(B2)</f>
        <v>-6.5209999999991854</v>
      </c>
      <c r="N139" s="713"/>
    </row>
    <row r="140" spans="1:14" ht="27.75">
      <c r="A140" s="1139" t="s">
        <v>247</v>
      </c>
      <c r="B140" s="1140"/>
      <c r="C140" s="1140"/>
      <c r="D140" s="523" t="s">
        <v>238</v>
      </c>
      <c r="E140" s="484">
        <f>'9'!F140</f>
        <v>1917.79</v>
      </c>
      <c r="F140" s="1375">
        <v>1925.69</v>
      </c>
      <c r="G140" s="1376">
        <f t="shared" si="14"/>
        <v>7.9000000000000909</v>
      </c>
      <c r="H140" s="460">
        <f>G140+'9'!H140</f>
        <v>-203.48999999999978</v>
      </c>
      <c r="I140" s="542"/>
      <c r="J140" s="552">
        <f>H140/DAY(B2)</f>
        <v>-20.348999999999979</v>
      </c>
      <c r="N140" s="713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'9'!F141</f>
        <v>4636.88</v>
      </c>
      <c r="F141" s="1375">
        <v>4636.88</v>
      </c>
      <c r="G141" s="1376">
        <f t="shared" si="14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3"/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3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4611</v>
      </c>
      <c r="H143" s="460">
        <f>G143+'9'!H143</f>
        <v>-108323.87</v>
      </c>
      <c r="I143" s="480"/>
      <c r="J143" s="552">
        <f>H143/DAY(B2)</f>
        <v>-10832.386999999999</v>
      </c>
      <c r="K143" s="380"/>
      <c r="L143" s="377"/>
      <c r="N143" s="713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0.21446511627906978</v>
      </c>
      <c r="H144" s="460">
        <f>G144+'9'!H144</f>
        <v>-5.0340040167549835</v>
      </c>
      <c r="I144" s="544"/>
      <c r="J144" s="552">
        <f>H144/DAY(B2)</f>
        <v>-0.50340040167549838</v>
      </c>
      <c r="K144" s="380"/>
      <c r="L144" s="377"/>
      <c r="N144" s="713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4704.3899999999994</v>
      </c>
      <c r="H145" s="460">
        <f>G145+'9'!H145</f>
        <v>-121062.36999999998</v>
      </c>
      <c r="I145" s="480"/>
      <c r="J145" s="552">
        <f>H145/DAY(B2)</f>
        <v>-12106.236999999997</v>
      </c>
      <c r="K145" s="380"/>
      <c r="L145" s="377"/>
      <c r="N145" s="713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0.2188088372093023</v>
      </c>
      <c r="H146" s="460">
        <f>G146+'9'!H146</f>
        <v>-5.6315155281901452</v>
      </c>
      <c r="I146" s="544"/>
      <c r="J146" s="552">
        <f>H146/DAY(B2)</f>
        <v>-0.56315155281901452</v>
      </c>
      <c r="K146" s="380"/>
      <c r="L146" s="377"/>
      <c r="N146" s="713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3175.3300000000163</v>
      </c>
      <c r="H147" s="460">
        <f>G147+'9'!H147</f>
        <v>-69519</v>
      </c>
      <c r="I147" s="545"/>
      <c r="J147" s="552">
        <f>H147/DAY(B2)</f>
        <v>-6951.9</v>
      </c>
      <c r="K147" s="380"/>
      <c r="L147" s="377"/>
      <c r="N147" s="713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0.14768976744186121</v>
      </c>
      <c r="H148" s="460">
        <f>G148+'9'!H148</f>
        <v>-3.2302568755303782</v>
      </c>
      <c r="I148" s="545"/>
      <c r="J148" s="552">
        <f>H148/DAY(B2)</f>
        <v>-0.32302568755303784</v>
      </c>
      <c r="N148" s="713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1210</v>
      </c>
      <c r="H149" s="460">
        <f>G149+'9'!H149</f>
        <v>-29860.930000000051</v>
      </c>
      <c r="I149" s="480"/>
      <c r="J149" s="552">
        <f>H149/DAY(B2)</f>
        <v>-2986.0930000000053</v>
      </c>
      <c r="K149" s="381"/>
      <c r="N149" s="713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5.6279069767441861E-2</v>
      </c>
      <c r="H150" s="460">
        <f>G150+'9'!H150</f>
        <v>-1.3886701813006139</v>
      </c>
      <c r="I150" s="545"/>
      <c r="J150" s="552">
        <f>H150/DAY(B2)</f>
        <v>-0.13886701813006139</v>
      </c>
      <c r="N150" s="713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1454</v>
      </c>
      <c r="H151" s="460">
        <f>G151+'9'!H151</f>
        <v>-37320</v>
      </c>
      <c r="I151" s="545"/>
      <c r="J151" s="552">
        <f>H151/DAY(B2)</f>
        <v>-3732</v>
      </c>
      <c r="N151" s="713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6.7627906976744187E-2</v>
      </c>
      <c r="H152" s="460">
        <f>G152+'9'!H152</f>
        <v>-1.7363525385045895</v>
      </c>
      <c r="I152" s="480"/>
      <c r="J152" s="552">
        <f>H152/DAY(B2)</f>
        <v>-0.17363525385045894</v>
      </c>
      <c r="N152" s="713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1349</v>
      </c>
      <c r="H153" s="460">
        <f>G153+'9'!H153</f>
        <v>-29128.130000000005</v>
      </c>
      <c r="I153" s="480"/>
      <c r="J153" s="552">
        <f>H153/DAY(B2)</f>
        <v>-2912.8130000000006</v>
      </c>
      <c r="N153" s="713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6.2744186046511621E-2</v>
      </c>
      <c r="H154" s="567">
        <f>G154+'9'!H154</f>
        <v>-1.353397514489793</v>
      </c>
      <c r="I154" s="568"/>
      <c r="J154" s="569">
        <f>H154/DAY(B2)</f>
        <v>-0.13533975144897931</v>
      </c>
      <c r="N154" s="713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3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8">
      <c r="A161" s="784" t="s">
        <v>262</v>
      </c>
      <c r="B161" s="785"/>
      <c r="C161" s="785"/>
      <c r="D161" s="511" t="s">
        <v>186</v>
      </c>
      <c r="E161" s="1059">
        <f>'9'!F161</f>
        <v>39160</v>
      </c>
      <c r="F161" s="658">
        <v>39239</v>
      </c>
      <c r="G161" s="473">
        <f>F161-E161</f>
        <v>79</v>
      </c>
    </row>
    <row r="162" spans="1:8">
      <c r="A162" s="784" t="s">
        <v>263</v>
      </c>
      <c r="B162" s="785"/>
      <c r="C162" s="785"/>
      <c r="D162" s="511" t="s">
        <v>186</v>
      </c>
      <c r="E162" s="1059">
        <f>'9'!F162</f>
        <v>98475</v>
      </c>
      <c r="F162" s="658">
        <v>98878</v>
      </c>
      <c r="G162" s="473">
        <f t="shared" ref="G162:G172" si="15">F162-E162</f>
        <v>403</v>
      </c>
    </row>
    <row r="163" spans="1:8">
      <c r="A163" s="784" t="s">
        <v>264</v>
      </c>
      <c r="B163" s="785"/>
      <c r="C163" s="785"/>
      <c r="D163" s="511" t="s">
        <v>186</v>
      </c>
      <c r="E163" s="1059">
        <f>'9'!F163</f>
        <v>46817</v>
      </c>
      <c r="F163" s="658">
        <v>47024</v>
      </c>
      <c r="G163" s="473">
        <f t="shared" si="15"/>
        <v>207</v>
      </c>
      <c r="H163" s="514"/>
    </row>
    <row r="164" spans="1:8">
      <c r="A164" s="784" t="s">
        <v>265</v>
      </c>
      <c r="B164" s="785"/>
      <c r="C164" s="785"/>
      <c r="D164" s="511" t="s">
        <v>186</v>
      </c>
      <c r="E164" s="1059">
        <f>'9'!F164</f>
        <v>6640</v>
      </c>
      <c r="F164" s="658">
        <v>6648</v>
      </c>
      <c r="G164" s="473">
        <f t="shared" si="15"/>
        <v>8</v>
      </c>
    </row>
    <row r="165" spans="1:8">
      <c r="A165" s="786" t="s">
        <v>97</v>
      </c>
      <c r="B165" s="604"/>
      <c r="C165" s="604"/>
      <c r="D165" s="511" t="s">
        <v>186</v>
      </c>
      <c r="E165" s="1059">
        <f>'9'!F165</f>
        <v>0</v>
      </c>
      <c r="F165" s="514">
        <f>F62</f>
        <v>0</v>
      </c>
      <c r="G165" s="473">
        <f t="shared" si="15"/>
        <v>0</v>
      </c>
    </row>
    <row r="166" spans="1:8" ht="34.5" customHeight="1">
      <c r="A166" s="786" t="s">
        <v>187</v>
      </c>
      <c r="B166" s="604"/>
      <c r="C166" s="604"/>
      <c r="D166" s="511" t="s">
        <v>186</v>
      </c>
      <c r="E166" s="1059">
        <f>'9'!F166</f>
        <v>0</v>
      </c>
      <c r="F166" s="514">
        <f t="shared" ref="F166:F172" si="16">F63</f>
        <v>0</v>
      </c>
      <c r="G166" s="473">
        <f t="shared" si="15"/>
        <v>0</v>
      </c>
    </row>
    <row r="167" spans="1:8" ht="31.5" customHeight="1">
      <c r="A167" s="1546" t="s">
        <v>98</v>
      </c>
      <c r="B167" s="1546"/>
      <c r="C167" s="1546"/>
      <c r="D167" s="523" t="s">
        <v>186</v>
      </c>
      <c r="E167" s="1059">
        <f>'9'!F167</f>
        <v>162295</v>
      </c>
      <c r="F167" s="514">
        <f t="shared" si="16"/>
        <v>162647</v>
      </c>
      <c r="G167" s="473">
        <f t="shared" si="15"/>
        <v>352</v>
      </c>
    </row>
    <row r="168" spans="1:8" ht="21.75" customHeight="1">
      <c r="A168" s="1546" t="s">
        <v>99</v>
      </c>
      <c r="B168" s="1546"/>
      <c r="C168" s="1546"/>
      <c r="D168" s="523" t="s">
        <v>186</v>
      </c>
      <c r="E168" s="1059">
        <f>'9'!F168</f>
        <v>163099</v>
      </c>
      <c r="F168" s="514">
        <f t="shared" si="16"/>
        <v>163365</v>
      </c>
      <c r="G168" s="473">
        <f t="shared" si="15"/>
        <v>266</v>
      </c>
    </row>
    <row r="169" spans="1:8" ht="27.75" customHeight="1">
      <c r="A169" s="1546" t="s">
        <v>100</v>
      </c>
      <c r="B169" s="1546"/>
      <c r="C169" s="1546"/>
      <c r="D169" s="523" t="s">
        <v>186</v>
      </c>
      <c r="E169" s="1059">
        <f>'9'!F169</f>
        <v>59809</v>
      </c>
      <c r="F169" s="514">
        <f t="shared" si="16"/>
        <v>60224</v>
      </c>
      <c r="G169" s="473">
        <f t="shared" si="15"/>
        <v>415</v>
      </c>
    </row>
    <row r="170" spans="1:8" ht="21.75" customHeight="1">
      <c r="A170" s="1546" t="s">
        <v>101</v>
      </c>
      <c r="B170" s="1546"/>
      <c r="C170" s="1546"/>
      <c r="D170" s="523" t="s">
        <v>186</v>
      </c>
      <c r="E170" s="1059">
        <f>'9'!F170</f>
        <v>255696</v>
      </c>
      <c r="F170" s="514">
        <f t="shared" si="16"/>
        <v>256073</v>
      </c>
      <c r="G170" s="473">
        <f t="shared" si="15"/>
        <v>377</v>
      </c>
    </row>
    <row r="171" spans="1:8" ht="27.75" customHeight="1">
      <c r="A171" s="1546" t="s">
        <v>102</v>
      </c>
      <c r="B171" s="1546"/>
      <c r="C171" s="1546"/>
      <c r="D171" s="523" t="s">
        <v>186</v>
      </c>
      <c r="E171" s="1059">
        <f>'9'!F171</f>
        <v>85321</v>
      </c>
      <c r="F171" s="514">
        <f t="shared" si="16"/>
        <v>85321</v>
      </c>
      <c r="G171" s="473">
        <f t="shared" si="15"/>
        <v>0</v>
      </c>
    </row>
    <row r="172" spans="1:8" ht="27.75">
      <c r="A172" s="1546" t="s">
        <v>103</v>
      </c>
      <c r="B172" s="1546"/>
      <c r="C172" s="1546"/>
      <c r="D172" s="523" t="s">
        <v>186</v>
      </c>
      <c r="E172" s="1059">
        <f>'9'!F172</f>
        <v>82755</v>
      </c>
      <c r="F172" s="514">
        <f t="shared" si="16"/>
        <v>82925</v>
      </c>
      <c r="G172" s="473">
        <f t="shared" si="15"/>
        <v>170</v>
      </c>
    </row>
    <row r="173" spans="1:8">
      <c r="A173" s="1587" t="s">
        <v>352</v>
      </c>
      <c r="B173" s="1550"/>
      <c r="C173" s="785"/>
      <c r="D173" s="523" t="s">
        <v>186</v>
      </c>
      <c r="E173" s="532">
        <v>18928.5</v>
      </c>
      <c r="F173" s="532">
        <v>18928.5</v>
      </c>
      <c r="G173" s="532">
        <v>0</v>
      </c>
    </row>
    <row r="174" spans="1:8">
      <c r="A174" s="1587" t="s">
        <v>353</v>
      </c>
      <c r="B174" s="1550"/>
      <c r="C174" s="785"/>
      <c r="D174" s="523" t="s">
        <v>186</v>
      </c>
      <c r="E174" s="532">
        <v>27538</v>
      </c>
      <c r="F174" s="532">
        <v>27542</v>
      </c>
      <c r="G174" s="532">
        <v>4</v>
      </c>
    </row>
    <row r="177" spans="1:7" ht="18.75" customHeight="1"/>
    <row r="178" spans="1:7" ht="44.25" customHeight="1">
      <c r="A178" s="454" t="s">
        <v>216</v>
      </c>
    </row>
    <row r="179" spans="1:7" ht="21.75" customHeight="1">
      <c r="A179" s="454" t="s">
        <v>217</v>
      </c>
    </row>
    <row r="180" spans="1:7" ht="21.75" customHeight="1">
      <c r="A180" s="454" t="s">
        <v>218</v>
      </c>
      <c r="D180" s="537" t="s">
        <v>143</v>
      </c>
      <c r="E180" s="537">
        <v>7010</v>
      </c>
      <c r="F180" s="663">
        <v>7010</v>
      </c>
      <c r="G180" s="537">
        <f>F180-E180</f>
        <v>0</v>
      </c>
    </row>
    <row r="181" spans="1:7" ht="21.75" customHeight="1">
      <c r="A181" s="454" t="s">
        <v>76</v>
      </c>
      <c r="D181" s="537" t="s">
        <v>143</v>
      </c>
      <c r="E181" s="537">
        <v>34070</v>
      </c>
      <c r="F181" s="663">
        <v>34070</v>
      </c>
      <c r="G181" s="537">
        <f t="shared" ref="G181:G182" si="17">F181-E181</f>
        <v>0</v>
      </c>
    </row>
    <row r="182" spans="1:7" ht="21.75" customHeight="1">
      <c r="A182" s="454" t="s">
        <v>77</v>
      </c>
      <c r="D182" s="537" t="s">
        <v>143</v>
      </c>
      <c r="E182" s="537">
        <v>18160</v>
      </c>
      <c r="F182" s="663">
        <v>18171</v>
      </c>
      <c r="G182" s="537">
        <f t="shared" si="17"/>
        <v>11</v>
      </c>
    </row>
    <row r="183" spans="1:7" ht="21.75" customHeight="1">
      <c r="A183" s="454" t="s">
        <v>201</v>
      </c>
      <c r="G183" s="537">
        <f>SUM(G180:G182)</f>
        <v>11</v>
      </c>
    </row>
    <row r="184" spans="1:7" ht="21.75" customHeight="1">
      <c r="A184" s="454" t="s">
        <v>78</v>
      </c>
      <c r="D184" s="537" t="s">
        <v>143</v>
      </c>
    </row>
    <row r="185" spans="1:7" ht="21.75" customHeight="1">
      <c r="A185" s="454" t="s">
        <v>219</v>
      </c>
      <c r="D185" s="537" t="s">
        <v>143</v>
      </c>
      <c r="E185" s="537">
        <v>42234</v>
      </c>
      <c r="F185" s="663">
        <v>42285</v>
      </c>
      <c r="G185" s="537">
        <f>F185-E185</f>
        <v>51</v>
      </c>
    </row>
    <row r="186" spans="1:7" ht="21.75" customHeight="1">
      <c r="A186" s="454" t="s">
        <v>220</v>
      </c>
      <c r="D186" s="537" t="s">
        <v>143</v>
      </c>
      <c r="E186" s="537">
        <v>20656</v>
      </c>
      <c r="F186" s="663">
        <v>20656</v>
      </c>
      <c r="G186" s="537">
        <f t="shared" ref="G186:G187" si="18">F186-E186</f>
        <v>0</v>
      </c>
    </row>
    <row r="187" spans="1:7" ht="21.75" customHeight="1">
      <c r="A187" s="454" t="s">
        <v>221</v>
      </c>
      <c r="D187" s="537" t="s">
        <v>143</v>
      </c>
      <c r="E187" s="537">
        <v>2801</v>
      </c>
      <c r="F187" s="663">
        <v>2801</v>
      </c>
      <c r="G187" s="537">
        <f t="shared" si="18"/>
        <v>0</v>
      </c>
    </row>
    <row r="188" spans="1:7" ht="21.75" customHeight="1">
      <c r="A188" s="454" t="s">
        <v>109</v>
      </c>
      <c r="G188" s="537">
        <f>SUM(G185:G187)</f>
        <v>51</v>
      </c>
    </row>
    <row r="189" spans="1:7" ht="21.75" customHeight="1">
      <c r="A189" s="454" t="s">
        <v>222</v>
      </c>
    </row>
    <row r="190" spans="1:7" ht="21.75" customHeight="1">
      <c r="A190" s="454" t="s">
        <v>223</v>
      </c>
      <c r="D190" s="537" t="s">
        <v>143</v>
      </c>
      <c r="E190" s="537">
        <v>6979</v>
      </c>
      <c r="F190" s="663">
        <v>6983</v>
      </c>
      <c r="G190" s="537">
        <f>F190-E190</f>
        <v>4</v>
      </c>
    </row>
    <row r="191" spans="1:7" ht="21.75" customHeight="1">
      <c r="A191" s="454" t="s">
        <v>224</v>
      </c>
      <c r="D191" s="537" t="s">
        <v>143</v>
      </c>
      <c r="E191" s="537">
        <v>5846</v>
      </c>
      <c r="F191" s="663">
        <v>5849</v>
      </c>
      <c r="G191" s="537">
        <f t="shared" ref="G191:G192" si="19">F191-E191</f>
        <v>3</v>
      </c>
    </row>
    <row r="192" spans="1:7" ht="21.75" customHeight="1">
      <c r="A192" s="454" t="s">
        <v>225</v>
      </c>
      <c r="D192" s="537" t="s">
        <v>143</v>
      </c>
      <c r="G192" s="537">
        <f t="shared" si="19"/>
        <v>0</v>
      </c>
    </row>
    <row r="193" spans="1:8" ht="21.75" customHeight="1"/>
    <row r="194" spans="1:8" ht="36.75" customHeight="1">
      <c r="A194" s="454" t="s">
        <v>201</v>
      </c>
      <c r="G194" s="537">
        <f>SUM(G190:G192)</f>
        <v>7</v>
      </c>
    </row>
    <row r="195" spans="1:8">
      <c r="A195" s="454" t="s">
        <v>226</v>
      </c>
      <c r="D195" s="537" t="s">
        <v>143</v>
      </c>
      <c r="F195" s="663">
        <f>SUM(G93+G19)</f>
        <v>107</v>
      </c>
      <c r="G195" s="537">
        <f>F195+'[3]9'!I145</f>
        <v>107</v>
      </c>
      <c r="H195" s="538" t="e">
        <f>G195/DAY(D148)</f>
        <v>#VALUE!</v>
      </c>
    </row>
    <row r="197" spans="1:8">
      <c r="A197" s="454" t="s">
        <v>227</v>
      </c>
      <c r="D197" s="537" t="s">
        <v>143</v>
      </c>
      <c r="F197" s="663">
        <f>SUM(G96:G98,G190:G192)</f>
        <v>93</v>
      </c>
      <c r="G197" s="537">
        <f>F197+'[3]9'!I147</f>
        <v>93</v>
      </c>
      <c r="H197" s="538" t="e">
        <f>G197/DAY(D148)</f>
        <v>#VALUE!</v>
      </c>
    </row>
    <row r="199" spans="1:8">
      <c r="A199" s="454" t="s">
        <v>228</v>
      </c>
      <c r="D199" s="537" t="s">
        <v>143</v>
      </c>
      <c r="F199" s="663">
        <f>H189+H140</f>
        <v>-203.48999999999978</v>
      </c>
      <c r="G199" s="537">
        <f>SUM(G99,G185:G187)</f>
        <v>55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7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topLeftCell="A169" zoomScale="55" zoomScaleNormal="55" workbookViewId="0">
      <selection activeCell="F15" sqref="F15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46" customWidth="1"/>
    <col min="6" max="6" width="30" style="1447" customWidth="1"/>
    <col min="7" max="7" width="28.88671875" style="1446" customWidth="1"/>
    <col min="8" max="8" width="39.21875" style="1448" customWidth="1"/>
    <col min="9" max="9" width="16.109375" style="1446" customWidth="1"/>
    <col min="10" max="10" width="24" style="144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350</v>
      </c>
      <c r="B2" s="1031">
        <v>44358</v>
      </c>
      <c r="C2" s="1141" t="s">
        <v>68</v>
      </c>
      <c r="D2" s="611">
        <v>0.92</v>
      </c>
      <c r="E2" s="1377"/>
      <c r="F2" s="1377"/>
      <c r="G2" s="1377" t="s">
        <v>117</v>
      </c>
      <c r="H2" s="1377" t="s">
        <v>6</v>
      </c>
      <c r="I2" s="1377" t="s">
        <v>8</v>
      </c>
      <c r="J2" s="1378" t="s">
        <v>118</v>
      </c>
      <c r="N2" s="717"/>
    </row>
    <row r="3" spans="1:16" s="281" customFormat="1" ht="27">
      <c r="A3" s="570"/>
      <c r="B3" s="614"/>
      <c r="C3" s="1141" t="s">
        <v>119</v>
      </c>
      <c r="D3" s="612">
        <v>29</v>
      </c>
      <c r="E3" s="1610" t="s">
        <v>120</v>
      </c>
      <c r="F3" s="1611"/>
      <c r="G3" s="1379"/>
      <c r="H3" s="1380"/>
      <c r="I3" s="1380"/>
      <c r="J3" s="1381"/>
      <c r="K3" s="371"/>
      <c r="L3" s="292"/>
      <c r="N3" s="717"/>
    </row>
    <row r="4" spans="1:16" s="281" customFormat="1" ht="27">
      <c r="A4" s="576"/>
      <c r="B4" s="616"/>
      <c r="C4" s="1141" t="s">
        <v>121</v>
      </c>
      <c r="D4" s="611">
        <v>0.8</v>
      </c>
      <c r="E4" s="1382"/>
      <c r="F4" s="1382"/>
      <c r="G4" s="1382"/>
      <c r="H4" s="1382"/>
      <c r="I4" s="1383"/>
      <c r="J4" s="1381"/>
      <c r="K4" s="372"/>
      <c r="L4" s="292"/>
      <c r="N4" s="717"/>
    </row>
    <row r="5" spans="1:16">
      <c r="A5" s="577" t="s">
        <v>122</v>
      </c>
      <c r="B5" s="459"/>
      <c r="C5" s="459"/>
      <c r="D5" s="511" t="s">
        <v>123</v>
      </c>
      <c r="E5" s="1384" t="s">
        <v>124</v>
      </c>
      <c r="F5" s="1384" t="s">
        <v>111</v>
      </c>
      <c r="G5" s="1385" t="s">
        <v>125</v>
      </c>
      <c r="H5" s="1384" t="s">
        <v>126</v>
      </c>
      <c r="I5" s="1107" t="s">
        <v>127</v>
      </c>
      <c r="J5" s="1386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1387"/>
      <c r="F6" s="1387"/>
      <c r="G6" s="1387"/>
      <c r="H6" s="627"/>
      <c r="I6" s="627"/>
      <c r="J6" s="1388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1389">
        <f>'10'!F7</f>
        <v>136795.56</v>
      </c>
      <c r="F7" s="455">
        <f>E7+21500</f>
        <v>158295.56</v>
      </c>
      <c r="G7" s="1390">
        <f>F7-E7</f>
        <v>21500</v>
      </c>
      <c r="H7" s="749">
        <f>G7+'10'!H7</f>
        <v>236342.56000000006</v>
      </c>
      <c r="I7" s="1391">
        <v>12000</v>
      </c>
      <c r="J7" s="1392">
        <f>H7/DAY(B2)</f>
        <v>21485.687272727278</v>
      </c>
      <c r="K7" s="549"/>
      <c r="L7" s="377"/>
      <c r="N7" s="718"/>
      <c r="P7" s="721"/>
    </row>
    <row r="8" spans="1:16" ht="27.75" thickBot="1">
      <c r="A8" s="682" t="s">
        <v>132</v>
      </c>
      <c r="B8" s="683"/>
      <c r="C8" s="684"/>
      <c r="D8" s="685" t="s">
        <v>25</v>
      </c>
      <c r="E8" s="1389">
        <f>'10'!F8</f>
        <v>142453.78999999998</v>
      </c>
      <c r="F8" s="475">
        <f>E8+21500</f>
        <v>163953.78999999998</v>
      </c>
      <c r="G8" s="1390">
        <f t="shared" ref="G8:G12" si="0">F8-E8</f>
        <v>21500</v>
      </c>
      <c r="H8" s="749">
        <f>G8+'10'!H8</f>
        <v>237231.78999999998</v>
      </c>
      <c r="I8" s="1393">
        <v>12000</v>
      </c>
      <c r="J8" s="1392">
        <f>H8/DAY(B2)</f>
        <v>21566.526363636363</v>
      </c>
      <c r="K8" s="549"/>
      <c r="L8" s="425"/>
      <c r="M8" s="440"/>
      <c r="N8" s="718"/>
      <c r="P8" s="382"/>
    </row>
    <row r="9" spans="1:16">
      <c r="A9" s="687" t="s">
        <v>133</v>
      </c>
      <c r="B9" s="688"/>
      <c r="C9" s="688"/>
      <c r="D9" s="637" t="s">
        <v>131</v>
      </c>
      <c r="E9" s="1389">
        <f>'10'!F9</f>
        <v>1640552</v>
      </c>
      <c r="F9" s="651">
        <v>1657132</v>
      </c>
      <c r="G9" s="1394">
        <f t="shared" si="0"/>
        <v>16580</v>
      </c>
      <c r="H9" s="749">
        <f>G9+'10'!H9</f>
        <v>-373870</v>
      </c>
      <c r="I9" s="749">
        <f>I7-J7</f>
        <v>-9485.6872727272785</v>
      </c>
      <c r="J9" s="1392">
        <f>H9/DAY(B2)</f>
        <v>-33988.181818181816</v>
      </c>
      <c r="K9" s="428"/>
      <c r="L9" s="377"/>
      <c r="N9" s="718"/>
      <c r="P9" s="382"/>
    </row>
    <row r="10" spans="1:16">
      <c r="A10" s="676" t="s">
        <v>134</v>
      </c>
      <c r="B10" s="677"/>
      <c r="C10" s="677"/>
      <c r="D10" s="637" t="s">
        <v>131</v>
      </c>
      <c r="E10" s="1389">
        <f>'10'!F10</f>
        <v>2606.5500000000002</v>
      </c>
      <c r="F10" s="651">
        <v>2606.5500000000002</v>
      </c>
      <c r="G10" s="1390">
        <f t="shared" si="0"/>
        <v>0</v>
      </c>
      <c r="H10" s="749">
        <f>G10+'10'!H10</f>
        <v>0</v>
      </c>
      <c r="I10" s="1395"/>
      <c r="J10" s="1392">
        <f>H10/DAY(B2)</f>
        <v>0</v>
      </c>
      <c r="K10" s="428"/>
      <c r="L10" s="377"/>
      <c r="N10" s="718"/>
      <c r="P10" s="382"/>
    </row>
    <row r="11" spans="1:16">
      <c r="A11" s="676" t="s">
        <v>135</v>
      </c>
      <c r="B11" s="677"/>
      <c r="C11" s="677"/>
      <c r="D11" s="637" t="s">
        <v>131</v>
      </c>
      <c r="E11" s="1389">
        <f>'10'!F11</f>
        <v>37000</v>
      </c>
      <c r="F11" s="706">
        <v>37000</v>
      </c>
      <c r="G11" s="1390">
        <f t="shared" si="0"/>
        <v>0</v>
      </c>
      <c r="H11" s="749">
        <f>G11+'10'!H11</f>
        <v>0</v>
      </c>
      <c r="I11" s="1395"/>
      <c r="J11" s="1392">
        <f>H11/DAY(B2)</f>
        <v>0</v>
      </c>
      <c r="K11" s="428"/>
      <c r="L11" s="377"/>
      <c r="N11" s="718"/>
      <c r="P11" s="382"/>
    </row>
    <row r="12" spans="1:16">
      <c r="A12" s="676" t="s">
        <v>136</v>
      </c>
      <c r="B12" s="677"/>
      <c r="C12" s="677"/>
      <c r="D12" s="637" t="s">
        <v>131</v>
      </c>
      <c r="E12" s="1389">
        <f>'10'!F12</f>
        <v>40010</v>
      </c>
      <c r="F12" s="651">
        <v>40010</v>
      </c>
      <c r="G12" s="1390">
        <f t="shared" si="0"/>
        <v>0</v>
      </c>
      <c r="H12" s="749">
        <f>G12+'10'!H12</f>
        <v>0</v>
      </c>
      <c r="I12" s="1395"/>
      <c r="J12" s="1392">
        <f>H12/DAY(B2)</f>
        <v>0</v>
      </c>
      <c r="K12" s="428"/>
      <c r="L12" s="377"/>
      <c r="N12" s="718"/>
      <c r="P12" s="382"/>
    </row>
    <row r="13" spans="1:16">
      <c r="A13" s="692" t="s">
        <v>137</v>
      </c>
      <c r="B13" s="693"/>
      <c r="C13" s="693"/>
      <c r="D13" s="637"/>
      <c r="E13" s="1389"/>
      <c r="F13" s="706"/>
      <c r="G13" s="1390">
        <f>G9+G10+G11+G12</f>
        <v>16580</v>
      </c>
      <c r="H13" s="749">
        <f>G13+'9'!H13</f>
        <v>-390395</v>
      </c>
      <c r="I13" s="1389">
        <f>G7-G13</f>
        <v>4920</v>
      </c>
      <c r="J13" s="1392">
        <f>H13/DAY(B2)</f>
        <v>-35490.454545454544</v>
      </c>
      <c r="K13" s="428"/>
      <c r="L13" s="377"/>
      <c r="N13" s="718"/>
      <c r="P13" s="382"/>
    </row>
    <row r="14" spans="1:16">
      <c r="A14" s="1570" t="s">
        <v>138</v>
      </c>
      <c r="B14" s="1571"/>
      <c r="C14" s="1572"/>
      <c r="D14" s="472"/>
      <c r="E14" s="627"/>
      <c r="F14" s="627"/>
      <c r="G14" s="647"/>
      <c r="H14" s="627"/>
      <c r="I14" s="627"/>
      <c r="J14" s="1388"/>
      <c r="K14" s="429"/>
      <c r="L14" s="377"/>
      <c r="N14" s="718"/>
      <c r="P14" s="382"/>
    </row>
    <row r="15" spans="1:16">
      <c r="A15" s="792" t="s">
        <v>139</v>
      </c>
      <c r="B15" s="793"/>
      <c r="C15" s="793"/>
      <c r="D15" s="524" t="s">
        <v>140</v>
      </c>
      <c r="E15" s="651">
        <f>'10'!F15</f>
        <v>1711267.16</v>
      </c>
      <c r="F15" s="700">
        <f>E15+700</f>
        <v>1711967.16</v>
      </c>
      <c r="G15" s="652">
        <f>(F15-E15)</f>
        <v>700</v>
      </c>
      <c r="H15" s="705">
        <f>G15+'10'!H15</f>
        <v>8284.1599999999162</v>
      </c>
      <c r="I15" s="1397">
        <v>800</v>
      </c>
      <c r="J15" s="707">
        <f>H15/DAY(B2)</f>
        <v>753.10545454544695</v>
      </c>
      <c r="K15" s="428"/>
      <c r="L15" s="377"/>
      <c r="N15" s="718"/>
      <c r="P15" s="382"/>
    </row>
    <row r="16" spans="1:16">
      <c r="A16" s="587"/>
      <c r="B16" s="588"/>
      <c r="C16" s="588"/>
      <c r="D16" s="524"/>
      <c r="E16" s="651"/>
      <c r="F16" s="651"/>
      <c r="G16" s="1396"/>
      <c r="H16" s="705"/>
      <c r="I16" s="706">
        <f>I15-J15</f>
        <v>46.894545454553054</v>
      </c>
      <c r="J16" s="707"/>
      <c r="K16" s="428"/>
      <c r="L16" s="377"/>
      <c r="N16" s="718"/>
      <c r="P16" s="382"/>
    </row>
    <row r="17" spans="1:16">
      <c r="A17" s="1570" t="s">
        <v>141</v>
      </c>
      <c r="B17" s="1571"/>
      <c r="C17" s="1572"/>
      <c r="D17" s="472"/>
      <c r="E17" s="627"/>
      <c r="F17" s="627"/>
      <c r="G17" s="749"/>
      <c r="H17" s="627"/>
      <c r="I17" s="627"/>
      <c r="J17" s="1388"/>
      <c r="K17" s="428"/>
      <c r="L17" s="377"/>
      <c r="N17" s="718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5">
        <f>'10'!F18</f>
        <v>2</v>
      </c>
      <c r="F18" s="651">
        <v>4</v>
      </c>
      <c r="G18" s="1390">
        <f>F18*10</f>
        <v>40</v>
      </c>
      <c r="H18" s="749">
        <f>G18+'10'!H18</f>
        <v>1090</v>
      </c>
      <c r="I18" s="1391">
        <v>65</v>
      </c>
      <c r="J18" s="1392">
        <f>H18/DAY(B2)</f>
        <v>99.090909090909093</v>
      </c>
      <c r="K18" s="428"/>
      <c r="L18" s="377"/>
      <c r="N18" s="718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5">
        <f>'10'!F19</f>
        <v>140240</v>
      </c>
      <c r="F19" s="651">
        <v>140303</v>
      </c>
      <c r="G19" s="1390">
        <f t="shared" ref="G19" si="1">F19-E19</f>
        <v>63</v>
      </c>
      <c r="H19" s="749">
        <f>G19+'10'!H19</f>
        <v>-1192</v>
      </c>
      <c r="I19" s="1398"/>
      <c r="J19" s="1392">
        <f>H19/DAY(B2)</f>
        <v>-108.36363636363636</v>
      </c>
      <c r="K19" s="428"/>
      <c r="L19" s="377"/>
      <c r="N19" s="718"/>
      <c r="P19" s="382"/>
    </row>
    <row r="20" spans="1:16">
      <c r="A20" s="692" t="s">
        <v>144</v>
      </c>
      <c r="B20" s="693"/>
      <c r="C20" s="693"/>
      <c r="D20" s="637"/>
      <c r="E20" s="647"/>
      <c r="F20" s="627"/>
      <c r="G20" s="1399">
        <f>G18+G19</f>
        <v>103</v>
      </c>
      <c r="H20" s="749">
        <f>G20+'10'!H20</f>
        <v>-102</v>
      </c>
      <c r="I20" s="1400">
        <f>I18-J20</f>
        <v>74.27272727272728</v>
      </c>
      <c r="J20" s="1392">
        <f>H20/DAY(B2)</f>
        <v>-9.2727272727272734</v>
      </c>
      <c r="K20" s="428"/>
      <c r="L20" s="377"/>
      <c r="N20" s="718"/>
      <c r="P20" s="382"/>
    </row>
    <row r="21" spans="1:16">
      <c r="A21" s="1570" t="s">
        <v>145</v>
      </c>
      <c r="B21" s="1571"/>
      <c r="C21" s="1572"/>
      <c r="D21" s="472"/>
      <c r="E21" s="627"/>
      <c r="F21" s="627"/>
      <c r="G21" s="647"/>
      <c r="H21" s="627"/>
      <c r="I21" s="627"/>
      <c r="J21" s="1388"/>
      <c r="K21" s="428"/>
      <c r="L21" s="377"/>
      <c r="N21" s="718"/>
      <c r="P21" s="382"/>
    </row>
    <row r="22" spans="1:16">
      <c r="A22" s="1139" t="s">
        <v>146</v>
      </c>
      <c r="B22" s="589"/>
      <c r="C22" s="589"/>
      <c r="D22" s="523" t="s">
        <v>147</v>
      </c>
      <c r="E22" s="635">
        <f>'10'!F22</f>
        <v>2970</v>
      </c>
      <c r="F22" s="651">
        <v>2970</v>
      </c>
      <c r="G22" s="652">
        <f t="shared" ref="G22" si="2">(F22-E22)</f>
        <v>0</v>
      </c>
      <c r="H22" s="705">
        <f>G22+'10'!H22</f>
        <v>0</v>
      </c>
      <c r="I22" s="1071"/>
      <c r="J22" s="707">
        <f>H22/DAY(B2)</f>
        <v>0</v>
      </c>
      <c r="K22" s="428"/>
      <c r="L22" s="377"/>
      <c r="N22" s="718"/>
      <c r="P22" s="382"/>
    </row>
    <row r="23" spans="1:16">
      <c r="A23" s="1139" t="s">
        <v>148</v>
      </c>
      <c r="B23" s="589"/>
      <c r="C23" s="589"/>
      <c r="D23" s="523" t="s">
        <v>147</v>
      </c>
      <c r="E23" s="635">
        <f>'10'!F23</f>
        <v>2000</v>
      </c>
      <c r="F23" s="651">
        <v>2000</v>
      </c>
      <c r="G23" s="652">
        <v>0</v>
      </c>
      <c r="H23" s="705">
        <f>G23+'10'!H23</f>
        <v>0</v>
      </c>
      <c r="I23" s="1071"/>
      <c r="J23" s="707">
        <f>H23/DAY(B2)</f>
        <v>0</v>
      </c>
      <c r="K23" s="428"/>
      <c r="L23" s="377"/>
      <c r="N23" s="718"/>
      <c r="P23" s="382"/>
    </row>
    <row r="24" spans="1:16">
      <c r="A24" s="590" t="s">
        <v>149</v>
      </c>
      <c r="B24" s="591"/>
      <c r="C24" s="591"/>
      <c r="D24" s="511" t="s">
        <v>147</v>
      </c>
      <c r="E24" s="1401">
        <f>'10'!F24</f>
        <v>4970</v>
      </c>
      <c r="F24" s="651">
        <v>4970</v>
      </c>
      <c r="G24" s="652">
        <v>0</v>
      </c>
      <c r="H24" s="705">
        <f>G24+'10'!H24</f>
        <v>0</v>
      </c>
      <c r="I24" s="1071"/>
      <c r="J24" s="707">
        <f>H24/DAY(B2)</f>
        <v>0</v>
      </c>
      <c r="K24" s="428"/>
      <c r="L24" s="377"/>
      <c r="N24" s="718"/>
      <c r="P24" s="382"/>
    </row>
    <row r="25" spans="1:16" s="442" customFormat="1" ht="27">
      <c r="A25" s="1575" t="s">
        <v>150</v>
      </c>
      <c r="B25" s="1576"/>
      <c r="C25" s="1577"/>
      <c r="D25" s="471"/>
      <c r="E25" s="1387"/>
      <c r="F25" s="1387"/>
      <c r="G25" s="1402"/>
      <c r="H25" s="1107"/>
      <c r="I25" s="1403"/>
      <c r="J25" s="1404"/>
      <c r="K25" s="373"/>
      <c r="L25" s="443"/>
      <c r="N25" s="718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1405"/>
      <c r="F26" s="706"/>
      <c r="G26" s="1406"/>
      <c r="H26" s="705"/>
      <c r="I26" s="1407"/>
      <c r="J26" s="707"/>
      <c r="K26" s="374"/>
      <c r="L26" s="443"/>
      <c r="N26" s="71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08">
        <f>G8</f>
        <v>21500</v>
      </c>
      <c r="F27" s="1409">
        <v>9</v>
      </c>
      <c r="G27" s="1410">
        <f>E27*F27</f>
        <v>193500</v>
      </c>
      <c r="H27" s="705">
        <f>G27+'10'!H27</f>
        <v>2135086.11</v>
      </c>
      <c r="I27" s="1411"/>
      <c r="J27" s="707">
        <f>H27/DAY(B2)</f>
        <v>194098.73727272727</v>
      </c>
      <c r="K27" s="373"/>
      <c r="L27" s="443"/>
      <c r="N27" s="718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1408">
        <f>G15</f>
        <v>700</v>
      </c>
      <c r="F28" s="501">
        <v>52</v>
      </c>
      <c r="G28" s="1410">
        <f>E28*F28</f>
        <v>36400</v>
      </c>
      <c r="H28" s="705">
        <f>G28+'10'!H28</f>
        <v>430776.31999999564</v>
      </c>
      <c r="I28" s="1412"/>
      <c r="J28" s="707">
        <f>H28/DAY(B2)</f>
        <v>39161.483636363242</v>
      </c>
      <c r="K28" s="373"/>
      <c r="L28" s="443"/>
      <c r="N28" s="718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1408">
        <f>G24</f>
        <v>0</v>
      </c>
      <c r="F29" s="1409">
        <v>69</v>
      </c>
      <c r="G29" s="1410">
        <f>E29*F29</f>
        <v>0</v>
      </c>
      <c r="H29" s="705">
        <f>G29+'10'!H29</f>
        <v>0</v>
      </c>
      <c r="I29" s="1412"/>
      <c r="J29" s="707">
        <f>H29/DAY(B2)</f>
        <v>0</v>
      </c>
      <c r="K29" s="373"/>
      <c r="L29" s="443"/>
      <c r="N29" s="718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1408">
        <f>G19</f>
        <v>63</v>
      </c>
      <c r="F30" s="1409">
        <v>146</v>
      </c>
      <c r="G30" s="1410">
        <f>E30*F30</f>
        <v>9198</v>
      </c>
      <c r="H30" s="705">
        <f>G30+'10'!H30</f>
        <v>-174616</v>
      </c>
      <c r="I30" s="1412"/>
      <c r="J30" s="707">
        <f>H30/DAY(B2)</f>
        <v>-15874.181818181818</v>
      </c>
      <c r="K30" s="373"/>
      <c r="L30" s="443"/>
      <c r="N30" s="718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1408">
        <f>G18</f>
        <v>40</v>
      </c>
      <c r="F31" s="1409">
        <v>80</v>
      </c>
      <c r="G31" s="1410">
        <f>E31*F31</f>
        <v>3200</v>
      </c>
      <c r="H31" s="705">
        <f>G31+'10'!H31</f>
        <v>81600</v>
      </c>
      <c r="I31" s="1412"/>
      <c r="J31" s="707">
        <f>H31/DAY(B2)</f>
        <v>7418.181818181818</v>
      </c>
      <c r="K31" s="373"/>
      <c r="L31" s="443"/>
      <c r="N31" s="718"/>
      <c r="P31" s="382"/>
    </row>
    <row r="32" spans="1:16" s="442" customFormat="1" ht="27.75">
      <c r="A32" s="595" t="s">
        <v>160</v>
      </c>
      <c r="B32" s="596"/>
      <c r="C32" s="597"/>
      <c r="D32" s="507"/>
      <c r="E32" s="1413"/>
      <c r="F32" s="627"/>
      <c r="G32" s="1414">
        <f>G27+G28+G29+G30+G31</f>
        <v>242298</v>
      </c>
      <c r="H32" s="705">
        <f>G32+'10'!H32</f>
        <v>2472846.429999995</v>
      </c>
      <c r="I32" s="1415"/>
      <c r="J32" s="707">
        <f>H32/DAY(B2)</f>
        <v>224804.22090909045</v>
      </c>
      <c r="K32" s="373"/>
      <c r="L32" s="443"/>
      <c r="N32" s="718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P33" s="382"/>
    </row>
    <row r="34" spans="1:16">
      <c r="A34" s="598" t="s">
        <v>162</v>
      </c>
      <c r="B34" s="1144"/>
      <c r="C34" s="1144"/>
      <c r="D34" s="472"/>
      <c r="E34" s="1387"/>
      <c r="F34" s="1387"/>
      <c r="G34" s="627"/>
      <c r="H34" s="627"/>
      <c r="I34" s="627"/>
      <c r="J34" s="1388"/>
      <c r="K34" s="428"/>
      <c r="L34" s="377"/>
      <c r="N34" s="718"/>
      <c r="P34" s="382"/>
    </row>
    <row r="35" spans="1:16">
      <c r="A35" s="578" t="s">
        <v>163</v>
      </c>
      <c r="B35" s="579"/>
      <c r="C35" s="579"/>
      <c r="D35" s="523" t="s">
        <v>131</v>
      </c>
      <c r="E35" s="653">
        <f>'10'!F35</f>
        <v>974533</v>
      </c>
      <c r="F35" s="653">
        <v>976723</v>
      </c>
      <c r="G35" s="652">
        <f t="shared" ref="G35:G46" si="3">F35-E35</f>
        <v>2190</v>
      </c>
      <c r="H35" s="705">
        <f>G35+'10'!H35</f>
        <v>-51991</v>
      </c>
      <c r="I35" s="706"/>
      <c r="J35" s="707">
        <f>H35/DAY(B2)</f>
        <v>-4726.454545454545</v>
      </c>
      <c r="K35" s="428"/>
      <c r="L35" s="377"/>
      <c r="N35" s="718"/>
      <c r="P35" s="382"/>
    </row>
    <row r="36" spans="1:16">
      <c r="A36" s="578" t="s">
        <v>164</v>
      </c>
      <c r="B36" s="579"/>
      <c r="C36" s="579"/>
      <c r="D36" s="523" t="s">
        <v>131</v>
      </c>
      <c r="E36" s="653">
        <f>'10'!F36</f>
        <v>5832</v>
      </c>
      <c r="F36" s="653">
        <v>6410</v>
      </c>
      <c r="G36" s="652">
        <f t="shared" si="3"/>
        <v>578</v>
      </c>
      <c r="H36" s="705">
        <f>G36+'10'!H36</f>
        <v>-14051</v>
      </c>
      <c r="I36" s="706"/>
      <c r="J36" s="707">
        <f>H36/DAY(B2)</f>
        <v>-1277.3636363636363</v>
      </c>
      <c r="K36" s="428"/>
      <c r="L36" s="377"/>
      <c r="N36" s="719"/>
      <c r="P36" s="382"/>
    </row>
    <row r="37" spans="1:16">
      <c r="A37" s="578" t="s">
        <v>165</v>
      </c>
      <c r="B37" s="579"/>
      <c r="C37" s="579"/>
      <c r="D37" s="523" t="s">
        <v>131</v>
      </c>
      <c r="E37" s="653">
        <f>'10'!F37</f>
        <v>147442</v>
      </c>
      <c r="F37" s="653">
        <v>148828</v>
      </c>
      <c r="G37" s="652">
        <f t="shared" si="3"/>
        <v>1386</v>
      </c>
      <c r="H37" s="705">
        <f>G37+'10'!H37</f>
        <v>-27742</v>
      </c>
      <c r="I37" s="706"/>
      <c r="J37" s="707">
        <f>H37/DAY(B2)</f>
        <v>-2522</v>
      </c>
      <c r="K37" s="428"/>
      <c r="L37" s="377"/>
      <c r="N37" s="719"/>
      <c r="P37" s="382"/>
    </row>
    <row r="38" spans="1:16">
      <c r="A38" s="578" t="s">
        <v>166</v>
      </c>
      <c r="B38" s="579"/>
      <c r="C38" s="579"/>
      <c r="D38" s="523" t="s">
        <v>131</v>
      </c>
      <c r="E38" s="653">
        <f>'10'!F38</f>
        <v>168598</v>
      </c>
      <c r="F38" s="1384">
        <v>169782</v>
      </c>
      <c r="G38" s="652">
        <f t="shared" si="3"/>
        <v>1184</v>
      </c>
      <c r="H38" s="705">
        <f>G38+'10'!H38</f>
        <v>-28677</v>
      </c>
      <c r="I38" s="706"/>
      <c r="J38" s="707">
        <f>H38/DAY(B2)</f>
        <v>-2607</v>
      </c>
      <c r="K38" s="428"/>
      <c r="L38" s="377"/>
      <c r="N38" s="718"/>
      <c r="P38" s="382"/>
    </row>
    <row r="39" spans="1:16">
      <c r="A39" s="578" t="s">
        <v>167</v>
      </c>
      <c r="B39" s="579"/>
      <c r="C39" s="579"/>
      <c r="D39" s="523" t="s">
        <v>131</v>
      </c>
      <c r="E39" s="653">
        <f>'10'!F39</f>
        <v>335345</v>
      </c>
      <c r="F39" s="653">
        <v>338578</v>
      </c>
      <c r="G39" s="652">
        <f t="shared" si="3"/>
        <v>3233</v>
      </c>
      <c r="H39" s="705">
        <f>G39+'10'!H39</f>
        <v>-66286</v>
      </c>
      <c r="I39" s="706"/>
      <c r="J39" s="707">
        <f>H39/DAY(B2)</f>
        <v>-6026</v>
      </c>
      <c r="K39" s="428"/>
      <c r="L39" s="377"/>
      <c r="N39" s="718"/>
      <c r="P39" s="382"/>
    </row>
    <row r="40" spans="1:16">
      <c r="A40" s="599" t="s">
        <v>168</v>
      </c>
      <c r="B40" s="600"/>
      <c r="C40" s="600"/>
      <c r="D40" s="523" t="s">
        <v>131</v>
      </c>
      <c r="E40" s="653">
        <f>'10'!F40</f>
        <v>1057</v>
      </c>
      <c r="F40" s="653">
        <v>1057</v>
      </c>
      <c r="G40" s="652">
        <f t="shared" si="3"/>
        <v>0</v>
      </c>
      <c r="H40" s="705">
        <f>G40+'10'!H40</f>
        <v>-6056</v>
      </c>
      <c r="I40" s="706"/>
      <c r="J40" s="707">
        <f>H40/DAY(B2)</f>
        <v>-550.5454545454545</v>
      </c>
      <c r="K40" s="429"/>
      <c r="L40" s="377"/>
      <c r="N40" s="718"/>
      <c r="P40" s="382"/>
    </row>
    <row r="41" spans="1:16">
      <c r="A41" s="578" t="s">
        <v>169</v>
      </c>
      <c r="B41" s="579"/>
      <c r="C41" s="579"/>
      <c r="D41" s="523" t="s">
        <v>131</v>
      </c>
      <c r="E41" s="653">
        <f>'10'!F41</f>
        <v>258284</v>
      </c>
      <c r="F41" s="653">
        <v>263103</v>
      </c>
      <c r="G41" s="652">
        <f t="shared" si="3"/>
        <v>4819</v>
      </c>
      <c r="H41" s="705">
        <f>G41+'10'!H41</f>
        <v>-66539</v>
      </c>
      <c r="I41" s="706"/>
      <c r="J41" s="707">
        <f>H41/DAY(B2)</f>
        <v>-6049</v>
      </c>
      <c r="K41" s="428"/>
      <c r="L41" s="377"/>
      <c r="N41" s="718"/>
      <c r="P41" s="721"/>
    </row>
    <row r="42" spans="1:16">
      <c r="A42" s="578" t="s">
        <v>170</v>
      </c>
      <c r="B42" s="579"/>
      <c r="C42" s="579"/>
      <c r="D42" s="523" t="s">
        <v>131</v>
      </c>
      <c r="E42" s="653">
        <f>'10'!F42</f>
        <v>59211</v>
      </c>
      <c r="F42" s="653">
        <v>59211</v>
      </c>
      <c r="G42" s="652">
        <f t="shared" si="3"/>
        <v>0</v>
      </c>
      <c r="H42" s="705">
        <f>G42+'10'!H42</f>
        <v>12.110000000000582</v>
      </c>
      <c r="I42" s="706"/>
      <c r="J42" s="707">
        <f>H42/DAY(B2)</f>
        <v>1.1009090909091439</v>
      </c>
      <c r="K42" s="428"/>
      <c r="L42" s="377"/>
      <c r="N42" s="718"/>
      <c r="P42" s="382"/>
    </row>
    <row r="43" spans="1:16">
      <c r="A43" s="578" t="s">
        <v>171</v>
      </c>
      <c r="B43" s="579"/>
      <c r="C43" s="579"/>
      <c r="D43" s="523" t="s">
        <v>131</v>
      </c>
      <c r="E43" s="653">
        <f>'10'!F43</f>
        <v>1066309</v>
      </c>
      <c r="F43" s="653">
        <v>1068744</v>
      </c>
      <c r="G43" s="652">
        <f>F43-E43</f>
        <v>2435</v>
      </c>
      <c r="H43" s="705">
        <f>G43+'10'!H43</f>
        <v>-51708</v>
      </c>
      <c r="I43" s="706"/>
      <c r="J43" s="707">
        <f>H43/DAY(B2)</f>
        <v>-4700.727272727273</v>
      </c>
      <c r="K43" s="428"/>
      <c r="L43" s="377"/>
      <c r="N43" s="718"/>
      <c r="P43" s="382"/>
    </row>
    <row r="44" spans="1:16">
      <c r="A44" s="578" t="s">
        <v>172</v>
      </c>
      <c r="B44" s="579"/>
      <c r="C44" s="579"/>
      <c r="D44" s="523" t="s">
        <v>131</v>
      </c>
      <c r="E44" s="653">
        <f>'10'!F44</f>
        <v>0</v>
      </c>
      <c r="F44" s="653">
        <v>0</v>
      </c>
      <c r="G44" s="652">
        <f t="shared" si="3"/>
        <v>0</v>
      </c>
      <c r="H44" s="705">
        <f>G44+'10'!H44</f>
        <v>0</v>
      </c>
      <c r="I44" s="706"/>
      <c r="J44" s="707">
        <f>H44/DAY(B2)</f>
        <v>0</v>
      </c>
      <c r="K44" s="428"/>
      <c r="L44" s="377"/>
      <c r="N44" s="718"/>
      <c r="P44" s="382"/>
    </row>
    <row r="45" spans="1:16">
      <c r="A45" s="578" t="s">
        <v>173</v>
      </c>
      <c r="B45" s="579"/>
      <c r="C45" s="579"/>
      <c r="D45" s="523" t="s">
        <v>131</v>
      </c>
      <c r="E45" s="653">
        <f>'10'!F45</f>
        <v>614</v>
      </c>
      <c r="F45" s="653">
        <v>614</v>
      </c>
      <c r="G45" s="652">
        <f t="shared" si="3"/>
        <v>0</v>
      </c>
      <c r="H45" s="705">
        <f>G45+'10'!H45</f>
        <v>614</v>
      </c>
      <c r="I45" s="706"/>
      <c r="J45" s="707">
        <f>H45/DAY(B2)</f>
        <v>55.81818181818182</v>
      </c>
      <c r="K45" s="428"/>
      <c r="L45" s="377"/>
      <c r="N45" s="718"/>
      <c r="P45" s="382"/>
    </row>
    <row r="46" spans="1:16">
      <c r="A46" s="578" t="s">
        <v>174</v>
      </c>
      <c r="B46" s="579"/>
      <c r="C46" s="579"/>
      <c r="D46" s="523" t="s">
        <v>131</v>
      </c>
      <c r="E46" s="653">
        <f>'10'!F46</f>
        <v>187</v>
      </c>
      <c r="F46" s="653">
        <v>187.49</v>
      </c>
      <c r="G46" s="652">
        <f t="shared" si="3"/>
        <v>0.49000000000000909</v>
      </c>
      <c r="H46" s="705">
        <f>G46+'10'!H46</f>
        <v>187.49</v>
      </c>
      <c r="I46" s="706"/>
      <c r="J46" s="707">
        <f>H46/DAY(B2)</f>
        <v>17.044545454545457</v>
      </c>
      <c r="K46" s="428"/>
      <c r="L46" s="377"/>
      <c r="N46" s="718"/>
      <c r="P46" s="382"/>
    </row>
    <row r="47" spans="1:16">
      <c r="A47" s="585" t="s">
        <v>175</v>
      </c>
      <c r="B47" s="586"/>
      <c r="C47" s="586"/>
      <c r="D47" s="470"/>
      <c r="E47" s="1387"/>
      <c r="F47" s="1387"/>
      <c r="G47" s="652">
        <f>G35+G36+G37+G38+G39+G40+G41+G42+G43+G44+G45+G46</f>
        <v>15825.49</v>
      </c>
      <c r="H47" s="705">
        <f>G47+'10'!H47</f>
        <v>-312236.39999999997</v>
      </c>
      <c r="I47" s="706"/>
      <c r="J47" s="707">
        <f>H47/DAY(B2)</f>
        <v>-28385.12727272727</v>
      </c>
      <c r="K47" s="428"/>
      <c r="L47" s="377"/>
      <c r="N47" s="718"/>
      <c r="P47" s="382"/>
    </row>
    <row r="48" spans="1:16">
      <c r="A48" s="598" t="s">
        <v>176</v>
      </c>
      <c r="B48" s="1144"/>
      <c r="C48" s="1144"/>
      <c r="D48" s="472"/>
      <c r="E48" s="1387"/>
      <c r="F48" s="1387"/>
      <c r="G48" s="627"/>
      <c r="H48" s="627"/>
      <c r="I48" s="627"/>
      <c r="J48" s="1388"/>
      <c r="K48" s="428"/>
      <c r="L48" s="377"/>
      <c r="N48" s="718"/>
      <c r="P48" s="382"/>
    </row>
    <row r="49" spans="1:16">
      <c r="A49" s="578" t="s">
        <v>163</v>
      </c>
      <c r="B49" s="601"/>
      <c r="C49" s="601"/>
      <c r="D49" s="523" t="s">
        <v>131</v>
      </c>
      <c r="E49" s="653">
        <f>'10'!F49</f>
        <v>260732.13</v>
      </c>
      <c r="F49" s="653">
        <v>260732.13</v>
      </c>
      <c r="G49" s="652">
        <f t="shared" ref="G49:G58" si="4">F49-E49</f>
        <v>0</v>
      </c>
      <c r="H49" s="705">
        <f>G49+'9'!H49</f>
        <v>0.13000000000465661</v>
      </c>
      <c r="I49" s="706"/>
      <c r="J49" s="707">
        <f>H49/DAY(B2)</f>
        <v>1.1818181818605146E-2</v>
      </c>
      <c r="K49" s="428"/>
      <c r="L49" s="377"/>
      <c r="N49" s="718"/>
      <c r="P49" s="382"/>
    </row>
    <row r="50" spans="1:16">
      <c r="A50" s="578" t="s">
        <v>177</v>
      </c>
      <c r="B50" s="601"/>
      <c r="C50" s="601"/>
      <c r="D50" s="523" t="s">
        <v>131</v>
      </c>
      <c r="E50" s="653">
        <f>'10'!F50</f>
        <v>511972</v>
      </c>
      <c r="F50" s="653">
        <v>512869</v>
      </c>
      <c r="G50" s="652">
        <f t="shared" si="4"/>
        <v>897</v>
      </c>
      <c r="H50" s="705">
        <f>G50+'9'!H50</f>
        <v>-22684</v>
      </c>
      <c r="I50" s="706"/>
      <c r="J50" s="707">
        <f>H50/DAY(B2)</f>
        <v>-2062.181818181818</v>
      </c>
      <c r="K50" s="428"/>
      <c r="L50" s="377"/>
      <c r="N50" s="718"/>
      <c r="P50" s="382"/>
    </row>
    <row r="51" spans="1:16">
      <c r="A51" s="578" t="s">
        <v>165</v>
      </c>
      <c r="B51" s="601"/>
      <c r="C51" s="601"/>
      <c r="D51" s="523" t="s">
        <v>131</v>
      </c>
      <c r="E51" s="653">
        <f>'10'!F51</f>
        <v>144639.87</v>
      </c>
      <c r="F51" s="653">
        <v>144639.87</v>
      </c>
      <c r="G51" s="652">
        <f t="shared" si="4"/>
        <v>0</v>
      </c>
      <c r="H51" s="705">
        <f>G51+'9'!H51</f>
        <v>-0.13000000000465661</v>
      </c>
      <c r="I51" s="706"/>
      <c r="J51" s="707">
        <f>H51/DAY(B2)</f>
        <v>-1.1818181818605146E-2</v>
      </c>
      <c r="K51" s="428"/>
      <c r="L51" s="377"/>
      <c r="N51" s="718"/>
      <c r="P51" s="382"/>
    </row>
    <row r="52" spans="1:16">
      <c r="A52" s="578" t="s">
        <v>178</v>
      </c>
      <c r="B52" s="601"/>
      <c r="C52" s="601"/>
      <c r="D52" s="523" t="s">
        <v>131</v>
      </c>
      <c r="E52" s="653">
        <f>'10'!F52</f>
        <v>539606.06999999995</v>
      </c>
      <c r="F52" s="653">
        <v>539606.06999999995</v>
      </c>
      <c r="G52" s="652">
        <f t="shared" si="4"/>
        <v>0</v>
      </c>
      <c r="H52" s="705">
        <f>G52+'9'!H52</f>
        <v>6.9999999948777258E-2</v>
      </c>
      <c r="I52" s="706"/>
      <c r="J52" s="707">
        <f>H52/DAY(B2)</f>
        <v>6.3636363589797511E-3</v>
      </c>
      <c r="K52" s="428"/>
      <c r="L52" s="377"/>
      <c r="N52" s="718"/>
      <c r="P52" s="382"/>
    </row>
    <row r="53" spans="1:16">
      <c r="A53" s="578" t="s">
        <v>167</v>
      </c>
      <c r="B53" s="601"/>
      <c r="C53" s="601"/>
      <c r="D53" s="523" t="s">
        <v>131</v>
      </c>
      <c r="E53" s="653">
        <f>'10'!F53</f>
        <v>434232</v>
      </c>
      <c r="F53" s="653">
        <v>434232</v>
      </c>
      <c r="G53" s="652">
        <f t="shared" si="4"/>
        <v>0</v>
      </c>
      <c r="H53" s="705">
        <f>G53+'9'!H53</f>
        <v>-0.33000000001629815</v>
      </c>
      <c r="I53" s="706"/>
      <c r="J53" s="707">
        <f>H53/DAY(B2)</f>
        <v>-3.000000000148165E-2</v>
      </c>
      <c r="K53" s="428"/>
      <c r="L53" s="377"/>
      <c r="N53" s="718"/>
      <c r="P53" s="382"/>
    </row>
    <row r="54" spans="1:16">
      <c r="A54" s="578" t="s">
        <v>179</v>
      </c>
      <c r="B54" s="601"/>
      <c r="C54" s="601"/>
      <c r="D54" s="523" t="s">
        <v>131</v>
      </c>
      <c r="E54" s="653">
        <f>'10'!F54</f>
        <v>14579</v>
      </c>
      <c r="F54" s="653">
        <v>14661</v>
      </c>
      <c r="G54" s="652">
        <f t="shared" si="4"/>
        <v>82</v>
      </c>
      <c r="H54" s="705">
        <f>G54+'9'!H54</f>
        <v>-385</v>
      </c>
      <c r="I54" s="706"/>
      <c r="J54" s="707">
        <f>H54/DAY(B2)</f>
        <v>-35</v>
      </c>
      <c r="K54" s="428"/>
      <c r="L54" s="377"/>
      <c r="N54" s="718"/>
      <c r="P54" s="382"/>
    </row>
    <row r="55" spans="1:16">
      <c r="A55" s="578" t="s">
        <v>180</v>
      </c>
      <c r="B55" s="601"/>
      <c r="C55" s="601"/>
      <c r="D55" s="523" t="s">
        <v>131</v>
      </c>
      <c r="E55" s="653">
        <f>'10'!F55</f>
        <v>68136.52</v>
      </c>
      <c r="F55" s="653">
        <v>68136.52</v>
      </c>
      <c r="G55" s="652">
        <f t="shared" si="4"/>
        <v>0</v>
      </c>
      <c r="H55" s="705">
        <f>G55+'9'!H55</f>
        <v>-49499.479999999996</v>
      </c>
      <c r="I55" s="706"/>
      <c r="J55" s="707">
        <f>H55/DAY(B2)</f>
        <v>-4499.9527272727273</v>
      </c>
      <c r="K55" s="428"/>
      <c r="L55" s="377"/>
      <c r="N55" s="718"/>
      <c r="P55" s="382"/>
    </row>
    <row r="56" spans="1:16">
      <c r="A56" s="578" t="s">
        <v>181</v>
      </c>
      <c r="B56" s="601"/>
      <c r="C56" s="601"/>
      <c r="D56" s="523" t="s">
        <v>182</v>
      </c>
      <c r="E56" s="653">
        <f>'10'!F56</f>
        <v>648815</v>
      </c>
      <c r="F56" s="653">
        <v>648815</v>
      </c>
      <c r="G56" s="652">
        <f t="shared" si="4"/>
        <v>0</v>
      </c>
      <c r="H56" s="705">
        <f>G56+'9'!H56</f>
        <v>-217</v>
      </c>
      <c r="I56" s="706"/>
      <c r="J56" s="707">
        <f>H56/DAY(B2)</f>
        <v>-19.727272727272727</v>
      </c>
      <c r="K56" s="427"/>
      <c r="L56" s="377"/>
      <c r="N56" s="718"/>
      <c r="P56" s="382"/>
    </row>
    <row r="57" spans="1:16">
      <c r="A57" s="578" t="s">
        <v>171</v>
      </c>
      <c r="B57" s="601"/>
      <c r="C57" s="601"/>
      <c r="D57" s="523" t="s">
        <v>131</v>
      </c>
      <c r="E57" s="653">
        <f>'10'!F57</f>
        <v>7711</v>
      </c>
      <c r="F57" s="653">
        <v>7711</v>
      </c>
      <c r="G57" s="652">
        <f t="shared" si="4"/>
        <v>0</v>
      </c>
      <c r="H57" s="705">
        <f>G57+'9'!H57</f>
        <v>0</v>
      </c>
      <c r="I57" s="706"/>
      <c r="J57" s="707">
        <f>H57/DAY(B2)</f>
        <v>0</v>
      </c>
      <c r="K57" s="428"/>
      <c r="L57" s="377"/>
      <c r="N57" s="718"/>
      <c r="P57" s="382"/>
    </row>
    <row r="58" spans="1:16">
      <c r="A58" s="578" t="s">
        <v>183</v>
      </c>
      <c r="B58" s="601"/>
      <c r="C58" s="601"/>
      <c r="D58" s="523" t="s">
        <v>131</v>
      </c>
      <c r="E58" s="653">
        <f>'10'!F58</f>
        <v>50800</v>
      </c>
      <c r="F58" s="653">
        <v>50897</v>
      </c>
      <c r="G58" s="652">
        <f t="shared" si="4"/>
        <v>97</v>
      </c>
      <c r="H58" s="705">
        <f>G58+'9'!H58</f>
        <v>-3328.2099999999991</v>
      </c>
      <c r="I58" s="706"/>
      <c r="J58" s="707">
        <f>H58/DAY(B2)</f>
        <v>-302.5645454545454</v>
      </c>
      <c r="K58" s="428"/>
      <c r="L58" s="377"/>
      <c r="N58" s="718"/>
      <c r="P58" s="382"/>
    </row>
    <row r="59" spans="1:16">
      <c r="A59" s="585" t="s">
        <v>175</v>
      </c>
      <c r="B59" s="586"/>
      <c r="C59" s="586"/>
      <c r="D59" s="511"/>
      <c r="E59" s="1387"/>
      <c r="F59" s="1387"/>
      <c r="G59" s="652">
        <f>G49+G50+G51+G52+G53+G54+G55+G56+G57+G58</f>
        <v>1076</v>
      </c>
      <c r="H59" s="705">
        <f>G59+'9'!H59</f>
        <v>-76113.95000000007</v>
      </c>
      <c r="I59" s="706">
        <f>G7-G60</f>
        <v>4598.510000000002</v>
      </c>
      <c r="J59" s="707">
        <f>H59/DAY(B2)</f>
        <v>-6919.4500000000062</v>
      </c>
      <c r="K59" s="428"/>
      <c r="L59" s="377"/>
      <c r="N59" s="718"/>
      <c r="P59" s="382"/>
    </row>
    <row r="60" spans="1:16">
      <c r="A60" s="578"/>
      <c r="B60" s="579"/>
      <c r="C60" s="579"/>
      <c r="D60" s="511" t="s">
        <v>184</v>
      </c>
      <c r="E60" s="1387"/>
      <c r="F60" s="1387"/>
      <c r="G60" s="652">
        <f>G47+G59</f>
        <v>16901.489999999998</v>
      </c>
      <c r="H60" s="705">
        <f>G60+'10'!H60</f>
        <v>-387141.81000000011</v>
      </c>
      <c r="I60" s="706">
        <f>G13-G60</f>
        <v>-321.48999999999796</v>
      </c>
      <c r="J60" s="707">
        <f>H60/DAY(B2)</f>
        <v>-35194.710000000014</v>
      </c>
      <c r="K60" s="428"/>
      <c r="L60" s="377"/>
      <c r="N60" s="718"/>
      <c r="P60" s="382"/>
    </row>
    <row r="61" spans="1:16">
      <c r="A61" s="602" t="s">
        <v>185</v>
      </c>
      <c r="B61" s="453"/>
      <c r="C61" s="453"/>
      <c r="D61" s="513"/>
      <c r="E61" s="1416"/>
      <c r="F61" s="1416"/>
      <c r="G61" s="1417"/>
      <c r="H61" s="1417"/>
      <c r="I61" s="1417"/>
      <c r="J61" s="1418"/>
      <c r="K61" s="428"/>
      <c r="L61" s="377"/>
      <c r="N61" s="718"/>
      <c r="P61" s="382"/>
    </row>
    <row r="62" spans="1:16">
      <c r="A62" s="603" t="s">
        <v>97</v>
      </c>
      <c r="B62" s="604"/>
      <c r="C62" s="604"/>
      <c r="D62" s="511" t="s">
        <v>186</v>
      </c>
      <c r="E62" s="1107">
        <f>'10'!F62</f>
        <v>0</v>
      </c>
      <c r="F62" s="1107">
        <v>0</v>
      </c>
      <c r="G62" s="652">
        <f t="shared" ref="G62:G69" si="5">F62-E62</f>
        <v>0</v>
      </c>
      <c r="H62" s="705">
        <f>G62+'10'!H62</f>
        <v>1.9999999967694748E-3</v>
      </c>
      <c r="I62" s="1419"/>
      <c r="J62" s="707">
        <f>H62/DAY(B2)</f>
        <v>1.818181815244977E-4</v>
      </c>
      <c r="K62" s="428"/>
      <c r="L62" s="377"/>
      <c r="N62" s="718"/>
      <c r="P62" s="382"/>
    </row>
    <row r="63" spans="1:16">
      <c r="A63" s="603" t="s">
        <v>187</v>
      </c>
      <c r="B63" s="604"/>
      <c r="C63" s="604"/>
      <c r="D63" s="511" t="s">
        <v>186</v>
      </c>
      <c r="E63" s="1107">
        <f>'10'!F63</f>
        <v>0</v>
      </c>
      <c r="F63" s="1107">
        <v>0</v>
      </c>
      <c r="G63" s="652">
        <f t="shared" si="5"/>
        <v>0</v>
      </c>
      <c r="H63" s="705">
        <f>G63+'10'!H63</f>
        <v>0</v>
      </c>
      <c r="I63" s="1419"/>
      <c r="J63" s="707">
        <f>H63/DAY(B2)</f>
        <v>0</v>
      </c>
      <c r="K63" s="428"/>
      <c r="L63" s="377"/>
      <c r="N63" s="718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1107">
        <f>'10'!F64</f>
        <v>162647</v>
      </c>
      <c r="F64" s="651">
        <v>163000</v>
      </c>
      <c r="G64" s="652">
        <f t="shared" si="5"/>
        <v>353</v>
      </c>
      <c r="H64" s="705">
        <f>G64+'10'!H64</f>
        <v>-7022</v>
      </c>
      <c r="I64" s="1071"/>
      <c r="J64" s="707">
        <f>H64/DAY(B2)</f>
        <v>-638.36363636363637</v>
      </c>
      <c r="K64" s="428"/>
      <c r="L64" s="377"/>
      <c r="N64" s="718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1107">
        <f>'10'!F65</f>
        <v>163365</v>
      </c>
      <c r="F65" s="651">
        <v>163635</v>
      </c>
      <c r="G65" s="652">
        <f t="shared" si="5"/>
        <v>270</v>
      </c>
      <c r="H65" s="705">
        <f>G65+'10'!H65</f>
        <v>-6667</v>
      </c>
      <c r="I65" s="732"/>
      <c r="J65" s="707">
        <f>H65/DAY(B2)</f>
        <v>-606.09090909090912</v>
      </c>
      <c r="K65" s="428"/>
      <c r="L65" s="377"/>
      <c r="N65" s="718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1107">
        <f>'10'!F66</f>
        <v>60224</v>
      </c>
      <c r="F66" s="651">
        <v>60644</v>
      </c>
      <c r="G66" s="652">
        <f t="shared" si="5"/>
        <v>420</v>
      </c>
      <c r="H66" s="705">
        <f>G66+'10'!H66</f>
        <v>-7326</v>
      </c>
      <c r="I66" s="1071"/>
      <c r="J66" s="707">
        <f>H66/DAY(B2)</f>
        <v>-666</v>
      </c>
      <c r="K66" s="428"/>
      <c r="L66" s="377"/>
      <c r="N66" s="718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1107">
        <f>'10'!F67</f>
        <v>256073</v>
      </c>
      <c r="F67" s="651">
        <v>256499</v>
      </c>
      <c r="G67" s="652">
        <f t="shared" si="5"/>
        <v>426</v>
      </c>
      <c r="H67" s="705">
        <f>G67+'10'!H67</f>
        <v>-8460</v>
      </c>
      <c r="I67" s="732"/>
      <c r="J67" s="707">
        <f>H67/DAY(B2)</f>
        <v>-769.09090909090912</v>
      </c>
      <c r="K67" s="429"/>
      <c r="L67" s="377"/>
      <c r="N67" s="718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1107">
        <f>'10'!F68</f>
        <v>85321</v>
      </c>
      <c r="F68" s="651">
        <v>85321</v>
      </c>
      <c r="G68" s="652">
        <f t="shared" si="5"/>
        <v>0</v>
      </c>
      <c r="H68" s="705">
        <f>G68+'10'!H68</f>
        <v>0</v>
      </c>
      <c r="I68" s="1420"/>
      <c r="J68" s="707">
        <f>H68/DAY(B2)</f>
        <v>0</v>
      </c>
      <c r="K68" s="430"/>
      <c r="L68" s="377"/>
      <c r="N68" s="718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1107">
        <f>'10'!F69</f>
        <v>82925</v>
      </c>
      <c r="F69" s="651">
        <v>83077</v>
      </c>
      <c r="G69" s="652">
        <f t="shared" si="5"/>
        <v>152</v>
      </c>
      <c r="H69" s="705">
        <f>G69+'10'!H69</f>
        <v>-4438</v>
      </c>
      <c r="I69" s="1420"/>
      <c r="J69" s="707">
        <f>H69/DAY(B2)</f>
        <v>-403.45454545454544</v>
      </c>
      <c r="K69" s="431"/>
      <c r="L69" s="377"/>
      <c r="N69" s="718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1421"/>
      <c r="F70" s="1421"/>
      <c r="G70" s="1421"/>
      <c r="H70" s="705">
        <f>G70+'10'!H70</f>
        <v>0</v>
      </c>
      <c r="I70" s="1421"/>
      <c r="J70" s="1422">
        <f>H70/DAY(B2)</f>
        <v>0</v>
      </c>
      <c r="K70" s="431"/>
      <c r="L70" s="377"/>
      <c r="N70" s="718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20">
        <f>'10'!F72</f>
        <v>855975</v>
      </c>
      <c r="F72" s="655">
        <v>855989</v>
      </c>
      <c r="G72" s="652">
        <f t="shared" ref="G72:G84" si="6">F72-E72</f>
        <v>14</v>
      </c>
      <c r="H72" s="705">
        <f>G72+'10'!H72</f>
        <v>-233</v>
      </c>
      <c r="I72" s="1071"/>
      <c r="J72" s="707">
        <f>H72/DAY(B2)</f>
        <v>-21.181818181818183</v>
      </c>
      <c r="K72" s="431"/>
      <c r="L72" s="377"/>
      <c r="N72" s="718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20">
        <f>'10'!F73</f>
        <v>885948</v>
      </c>
      <c r="F73" s="655">
        <v>885949</v>
      </c>
      <c r="G73" s="652">
        <f t="shared" si="6"/>
        <v>1</v>
      </c>
      <c r="H73" s="705">
        <f>G73+'10'!H73</f>
        <v>-23</v>
      </c>
      <c r="I73" s="1071"/>
      <c r="J73" s="707">
        <f>H73/DAY(B2)</f>
        <v>-2.0909090909090908</v>
      </c>
      <c r="K73" s="430"/>
      <c r="L73" s="377"/>
      <c r="N73" s="718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20">
        <f>'10'!F74</f>
        <v>2599.96</v>
      </c>
      <c r="F74" s="655">
        <v>2599.96</v>
      </c>
      <c r="G74" s="652">
        <f t="shared" si="6"/>
        <v>0</v>
      </c>
      <c r="H74" s="705">
        <f>G74+'10'!H74</f>
        <v>-86096.04</v>
      </c>
      <c r="I74" s="1071"/>
      <c r="J74" s="707">
        <f>H74/DAY(B2)</f>
        <v>-7826.9127272727264</v>
      </c>
      <c r="K74" s="431"/>
      <c r="L74" s="377"/>
      <c r="N74" s="718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20">
        <f>'10'!F75</f>
        <v>13289</v>
      </c>
      <c r="F75" s="655">
        <v>13365</v>
      </c>
      <c r="G75" s="652">
        <f t="shared" si="6"/>
        <v>76</v>
      </c>
      <c r="H75" s="705">
        <f>G75+'10'!H75</f>
        <v>-2706</v>
      </c>
      <c r="I75" s="1071"/>
      <c r="J75" s="707">
        <f>H75/DAY(B2)</f>
        <v>-246</v>
      </c>
      <c r="K75" s="430"/>
      <c r="L75" s="377"/>
      <c r="N75" s="718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20">
        <f>'10'!F76</f>
        <v>8006</v>
      </c>
      <c r="F76" s="655">
        <v>8065</v>
      </c>
      <c r="G76" s="652">
        <f t="shared" si="6"/>
        <v>59</v>
      </c>
      <c r="H76" s="705">
        <f>G76+'10'!H76</f>
        <v>-1271</v>
      </c>
      <c r="I76" s="1412"/>
      <c r="J76" s="707">
        <f>H76/DAY(B2)</f>
        <v>-115.54545454545455</v>
      </c>
      <c r="K76" s="430"/>
      <c r="L76" s="377"/>
      <c r="N76" s="718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20">
        <f>'10'!F77</f>
        <v>703334</v>
      </c>
      <c r="F77" s="655">
        <v>703385</v>
      </c>
      <c r="G77" s="652">
        <f t="shared" si="6"/>
        <v>51</v>
      </c>
      <c r="H77" s="705">
        <f>G77+'10'!H77</f>
        <v>-989</v>
      </c>
      <c r="I77" s="1412"/>
      <c r="J77" s="707">
        <f>H77/DAY(B2)</f>
        <v>-89.909090909090907</v>
      </c>
      <c r="K77" s="430"/>
      <c r="L77" s="377"/>
      <c r="N77" s="718"/>
      <c r="P77" s="382"/>
    </row>
    <row r="78" spans="1:16" ht="27.75">
      <c r="A78" s="1142" t="s">
        <v>196</v>
      </c>
      <c r="B78" s="1115"/>
      <c r="C78" s="1115"/>
      <c r="D78" s="523" t="s">
        <v>186</v>
      </c>
      <c r="E78" s="520">
        <f>'10'!F78</f>
        <v>673807</v>
      </c>
      <c r="F78" s="655">
        <v>673854</v>
      </c>
      <c r="G78" s="652">
        <f t="shared" si="6"/>
        <v>47</v>
      </c>
      <c r="H78" s="705">
        <f>G78+'10'!H78</f>
        <v>-1560</v>
      </c>
      <c r="I78" s="1412"/>
      <c r="J78" s="707">
        <f>H78/DAY(B2)</f>
        <v>-141.81818181818181</v>
      </c>
      <c r="K78" s="430"/>
      <c r="L78" s="377"/>
      <c r="N78" s="718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20">
        <f>'10'!F79</f>
        <v>832501</v>
      </c>
      <c r="F79" s="655">
        <v>832639</v>
      </c>
      <c r="G79" s="652">
        <f t="shared" si="6"/>
        <v>138</v>
      </c>
      <c r="H79" s="705">
        <f>G79+'10'!H79</f>
        <v>-2777</v>
      </c>
      <c r="I79" s="1412"/>
      <c r="J79" s="707">
        <f>H79/DAY(B2)</f>
        <v>-252.45454545454547</v>
      </c>
      <c r="K79" s="430"/>
      <c r="L79" s="377"/>
      <c r="N79" s="718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20">
        <f>'10'!F80</f>
        <v>531370</v>
      </c>
      <c r="F80" s="655">
        <v>531694</v>
      </c>
      <c r="G80" s="652">
        <f t="shared" si="6"/>
        <v>324</v>
      </c>
      <c r="H80" s="705">
        <f>G80+'10'!H80</f>
        <v>-7319</v>
      </c>
      <c r="I80" s="1412"/>
      <c r="J80" s="707">
        <f>H80/DAY(B2)</f>
        <v>-665.36363636363637</v>
      </c>
      <c r="K80" s="430"/>
      <c r="L80" s="377"/>
      <c r="N80" s="718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20">
        <f>'10'!F81</f>
        <v>640000</v>
      </c>
      <c r="F81" s="655">
        <v>640108</v>
      </c>
      <c r="G81" s="652">
        <f t="shared" si="6"/>
        <v>108</v>
      </c>
      <c r="H81" s="705">
        <f>G81+'10'!H81</f>
        <v>-2877</v>
      </c>
      <c r="I81" s="1412"/>
      <c r="J81" s="707">
        <f>H81/DAY(B2)</f>
        <v>-261.54545454545456</v>
      </c>
      <c r="K81" s="430"/>
      <c r="L81" s="377"/>
      <c r="N81" s="718"/>
      <c r="P81" s="382"/>
    </row>
    <row r="82" spans="1:16" ht="27.75">
      <c r="A82" s="1543" t="s">
        <v>92</v>
      </c>
      <c r="B82" s="1544"/>
      <c r="C82" s="1545"/>
      <c r="D82" s="485" t="s">
        <v>131</v>
      </c>
      <c r="E82" s="520">
        <f>'10'!F82</f>
        <v>108311</v>
      </c>
      <c r="F82" s="651">
        <v>108336</v>
      </c>
      <c r="G82" s="652">
        <f t="shared" si="6"/>
        <v>25</v>
      </c>
      <c r="H82" s="705">
        <f>G82+'10'!H82</f>
        <v>-345</v>
      </c>
      <c r="I82" s="705"/>
      <c r="J82" s="707">
        <f>H82/DAY(B2)</f>
        <v>-31.363636363636363</v>
      </c>
      <c r="K82" s="430"/>
      <c r="L82" s="377"/>
      <c r="N82" s="718"/>
      <c r="P82" s="382"/>
    </row>
    <row r="83" spans="1:16" ht="27.75">
      <c r="A83" s="1543" t="s">
        <v>199</v>
      </c>
      <c r="B83" s="1544"/>
      <c r="C83" s="1545"/>
      <c r="D83" s="620" t="s">
        <v>131</v>
      </c>
      <c r="E83" s="520">
        <f>'10'!F83</f>
        <v>22510</v>
      </c>
      <c r="F83" s="1387">
        <v>22686</v>
      </c>
      <c r="G83" s="652">
        <f t="shared" si="6"/>
        <v>176</v>
      </c>
      <c r="H83" s="705">
        <f>G83+'10'!H83</f>
        <v>-4865</v>
      </c>
      <c r="I83" s="652"/>
      <c r="J83" s="707">
        <f>H83/DAY(B2)</f>
        <v>-442.27272727272725</v>
      </c>
      <c r="K83" s="429"/>
      <c r="L83" s="377"/>
      <c r="N83" s="718"/>
      <c r="P83" s="382"/>
    </row>
    <row r="84" spans="1:16">
      <c r="A84" s="1143" t="s">
        <v>200</v>
      </c>
      <c r="B84" s="571"/>
      <c r="C84" s="571"/>
      <c r="D84" s="478" t="s">
        <v>131</v>
      </c>
      <c r="E84" s="520">
        <f>'10'!F84</f>
        <v>507892</v>
      </c>
      <c r="F84" s="627">
        <v>508456</v>
      </c>
      <c r="G84" s="652">
        <f t="shared" si="6"/>
        <v>564</v>
      </c>
      <c r="H84" s="705">
        <f>G84+'10'!H84</f>
        <v>-14624</v>
      </c>
      <c r="I84" s="652"/>
      <c r="J84" s="707">
        <f>H84/DAY(B2)</f>
        <v>-1329.4545454545455</v>
      </c>
      <c r="K84" s="380"/>
      <c r="L84" s="377"/>
      <c r="N84" s="718"/>
      <c r="P84" s="382"/>
    </row>
    <row r="85" spans="1:16" s="379" customFormat="1">
      <c r="A85" s="605" t="s">
        <v>201</v>
      </c>
      <c r="B85" s="572"/>
      <c r="C85" s="572"/>
      <c r="D85" s="489"/>
      <c r="E85" s="627"/>
      <c r="F85" s="627"/>
      <c r="G85" s="705">
        <f xml:space="preserve"> SUM(G71:G84)</f>
        <v>1583</v>
      </c>
      <c r="H85" s="705">
        <f>G85+'10'!H85</f>
        <v>-125685.04000000001</v>
      </c>
      <c r="I85" s="652"/>
      <c r="J85" s="707">
        <f>H85/DAY(B2)</f>
        <v>-11425.912727272727</v>
      </c>
      <c r="K85" s="380"/>
      <c r="L85" s="378"/>
      <c r="N85" s="718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'10'!F86</f>
        <v>461249</v>
      </c>
      <c r="F86" s="647">
        <v>461277</v>
      </c>
      <c r="G86" s="705">
        <f>F86-E86</f>
        <v>28</v>
      </c>
      <c r="H86" s="705">
        <f t="shared" ref="H86:H88" si="7">G86</f>
        <v>28</v>
      </c>
      <c r="I86" s="652"/>
      <c r="J86" s="707">
        <f>H86/DAY(B2)</f>
        <v>2.5454545454545454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'10'!F87</f>
        <v>81583</v>
      </c>
      <c r="F87" s="647">
        <v>81602.600000000006</v>
      </c>
      <c r="G87" s="705">
        <f t="shared" ref="G87:G91" si="8">F87-E87</f>
        <v>19.600000000005821</v>
      </c>
      <c r="H87" s="705">
        <f t="shared" si="7"/>
        <v>19.600000000005821</v>
      </c>
      <c r="I87" s="652"/>
      <c r="J87" s="707">
        <f>H87/DAY(B2)</f>
        <v>1.7818181818187109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'10'!F88</f>
        <v>153468</v>
      </c>
      <c r="F88" s="647">
        <v>153492</v>
      </c>
      <c r="G88" s="705">
        <f t="shared" si="8"/>
        <v>24</v>
      </c>
      <c r="H88" s="705">
        <f t="shared" si="7"/>
        <v>24</v>
      </c>
      <c r="I88" s="652"/>
      <c r="J88" s="707">
        <f>H88/DAY(B2)</f>
        <v>2.1818181818181817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'10'!F89</f>
        <v>65343</v>
      </c>
      <c r="F89" s="647">
        <v>65365</v>
      </c>
      <c r="G89" s="705">
        <f t="shared" si="8"/>
        <v>22</v>
      </c>
      <c r="H89" s="705">
        <f>G89</f>
        <v>22</v>
      </c>
      <c r="I89" s="652"/>
      <c r="J89" s="707">
        <f>H89/DAY(B2)</f>
        <v>2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'10'!F90</f>
        <v>3286</v>
      </c>
      <c r="F90" s="647">
        <v>3289</v>
      </c>
      <c r="G90" s="705">
        <f t="shared" si="8"/>
        <v>3</v>
      </c>
      <c r="H90" s="705">
        <f>G90</f>
        <v>3</v>
      </c>
      <c r="I90" s="652"/>
      <c r="J90" s="707">
        <f>H90/DAY(B2)</f>
        <v>0.27272727272727271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/>
      <c r="E91" s="627">
        <f>'10'!F91</f>
        <v>28100</v>
      </c>
      <c r="F91" s="647">
        <v>28109</v>
      </c>
      <c r="G91" s="705">
        <f t="shared" si="8"/>
        <v>9</v>
      </c>
      <c r="H91" s="705">
        <f>G91</f>
        <v>9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145"/>
      <c r="C92" s="1145"/>
      <c r="D92" s="472"/>
      <c r="E92" s="627"/>
      <c r="F92" s="627"/>
      <c r="G92" s="749"/>
      <c r="H92" s="627"/>
      <c r="I92" s="627"/>
      <c r="J92" s="1388"/>
      <c r="K92" s="380"/>
      <c r="L92" s="378"/>
      <c r="N92" s="718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541">
        <f>'10'!F93</f>
        <v>245883</v>
      </c>
      <c r="F93" s="651">
        <v>245901</v>
      </c>
      <c r="G93" s="652">
        <f t="shared" ref="G93:G94" si="9">F93-E93</f>
        <v>18</v>
      </c>
      <c r="H93" s="705">
        <f>G93+'10'!H93</f>
        <v>-1451</v>
      </c>
      <c r="I93" s="1071"/>
      <c r="J93" s="707">
        <f>H93/DAY(B2)</f>
        <v>-131.90909090909091</v>
      </c>
      <c r="K93" s="429"/>
      <c r="L93" s="377"/>
      <c r="N93" s="718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541">
        <f>'10'!F94</f>
        <v>187020</v>
      </c>
      <c r="F94" s="651">
        <v>187134</v>
      </c>
      <c r="G94" s="652">
        <f t="shared" si="9"/>
        <v>114</v>
      </c>
      <c r="H94" s="705">
        <f>G94+'10'!H94</f>
        <v>-2320</v>
      </c>
      <c r="I94" s="1071"/>
      <c r="J94" s="707">
        <f>H94/DAY(B2)</f>
        <v>-210.90909090909091</v>
      </c>
      <c r="K94" s="380"/>
      <c r="L94" s="377"/>
      <c r="N94" s="718"/>
      <c r="P94" s="382"/>
    </row>
    <row r="95" spans="1:16">
      <c r="A95" s="1591" t="s">
        <v>207</v>
      </c>
      <c r="B95" s="1592"/>
      <c r="C95" s="1593"/>
      <c r="D95" s="523"/>
      <c r="E95" s="541">
        <f>'10'!F95</f>
        <v>0</v>
      </c>
      <c r="F95" s="651"/>
      <c r="G95" s="652">
        <f>G93+G94</f>
        <v>132</v>
      </c>
      <c r="H95" s="705">
        <f>G95+'10'!H95</f>
        <v>-3957</v>
      </c>
      <c r="I95" s="1071"/>
      <c r="J95" s="707">
        <f>H95/DAY(B2)</f>
        <v>-359.72727272727275</v>
      </c>
      <c r="K95" s="380"/>
      <c r="L95" s="377"/>
      <c r="N95" s="718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541">
        <f>'10'!F96</f>
        <v>414764</v>
      </c>
      <c r="F96" s="651">
        <v>414810</v>
      </c>
      <c r="G96" s="652">
        <f t="shared" ref="G96:G101" si="10">F96-E96</f>
        <v>46</v>
      </c>
      <c r="H96" s="705">
        <f>G96+'10'!H96</f>
        <v>-1189</v>
      </c>
      <c r="I96" s="1071"/>
      <c r="J96" s="707">
        <f>H96/DAY(B2)</f>
        <v>-108.09090909090909</v>
      </c>
      <c r="K96" s="380"/>
      <c r="L96" s="377"/>
      <c r="N96" s="718"/>
      <c r="P96" s="382"/>
    </row>
    <row r="97" spans="1:16" ht="27.75">
      <c r="A97" s="1139" t="s">
        <v>209</v>
      </c>
      <c r="B97" s="1140"/>
      <c r="C97" s="1140"/>
      <c r="D97" s="523" t="s">
        <v>143</v>
      </c>
      <c r="E97" s="541">
        <f>'10'!F97</f>
        <v>102761</v>
      </c>
      <c r="F97" s="651">
        <v>102770</v>
      </c>
      <c r="G97" s="652">
        <f t="shared" si="10"/>
        <v>9</v>
      </c>
      <c r="H97" s="705">
        <f>G97+'10'!H97</f>
        <v>-393</v>
      </c>
      <c r="I97" s="1071"/>
      <c r="J97" s="707">
        <f>H97/DAY(B2)</f>
        <v>-35.727272727272727</v>
      </c>
      <c r="K97" s="427"/>
      <c r="L97" s="377"/>
      <c r="N97" s="718"/>
      <c r="P97" s="382"/>
    </row>
    <row r="98" spans="1:16" ht="27.75">
      <c r="A98" s="1139" t="s">
        <v>210</v>
      </c>
      <c r="B98" s="1140"/>
      <c r="C98" s="1140"/>
      <c r="D98" s="523" t="s">
        <v>143</v>
      </c>
      <c r="E98" s="541">
        <f>'10'!F98</f>
        <v>98125</v>
      </c>
      <c r="F98" s="651">
        <v>98151</v>
      </c>
      <c r="G98" s="652">
        <f t="shared" si="10"/>
        <v>26</v>
      </c>
      <c r="H98" s="705">
        <f>G98+'10'!H98</f>
        <v>-506</v>
      </c>
      <c r="I98" s="1071"/>
      <c r="J98" s="707">
        <f>H98/DAY(B2)</f>
        <v>-46</v>
      </c>
      <c r="K98" s="432"/>
      <c r="L98" s="377"/>
      <c r="N98" s="718"/>
      <c r="P98" s="382"/>
    </row>
    <row r="99" spans="1:16" ht="27.75">
      <c r="A99" s="1139" t="s">
        <v>211</v>
      </c>
      <c r="B99" s="1140"/>
      <c r="C99" s="1140"/>
      <c r="D99" s="523" t="s">
        <v>143</v>
      </c>
      <c r="E99" s="541">
        <f>'10'!F99</f>
        <v>149918</v>
      </c>
      <c r="F99" s="651">
        <v>149937</v>
      </c>
      <c r="G99" s="652">
        <f t="shared" si="10"/>
        <v>19</v>
      </c>
      <c r="H99" s="705">
        <f>G99+'10'!H99</f>
        <v>-468</v>
      </c>
      <c r="I99" s="1071"/>
      <c r="J99" s="707">
        <f>H99/DAY(B2)</f>
        <v>-42.545454545454547</v>
      </c>
      <c r="K99" s="380"/>
      <c r="L99" s="377"/>
      <c r="N99" s="720"/>
      <c r="P99" s="382"/>
    </row>
    <row r="100" spans="1:16" ht="27.75">
      <c r="A100" s="1139" t="s">
        <v>212</v>
      </c>
      <c r="B100" s="1140"/>
      <c r="C100" s="1140"/>
      <c r="D100" s="523" t="s">
        <v>143</v>
      </c>
      <c r="E100" s="541">
        <f>'10'!F100</f>
        <v>7502</v>
      </c>
      <c r="F100" s="651">
        <v>7506</v>
      </c>
      <c r="G100" s="652">
        <f t="shared" si="10"/>
        <v>4</v>
      </c>
      <c r="H100" s="705">
        <f>G100+'10'!H100</f>
        <v>-291</v>
      </c>
      <c r="I100" s="1071"/>
      <c r="J100" s="707">
        <f>H100/DAY(B2)</f>
        <v>-26.454545454545453</v>
      </c>
      <c r="K100" s="380"/>
      <c r="L100" s="377"/>
      <c r="N100" s="718"/>
      <c r="P100" s="382"/>
    </row>
    <row r="101" spans="1:16" ht="27.75">
      <c r="A101" s="1139" t="s">
        <v>213</v>
      </c>
      <c r="B101" s="1140"/>
      <c r="C101" s="1140"/>
      <c r="D101" s="523" t="s">
        <v>143</v>
      </c>
      <c r="E101" s="541">
        <f>'10'!F101</f>
        <v>5452</v>
      </c>
      <c r="F101" s="651">
        <v>5463</v>
      </c>
      <c r="G101" s="652">
        <f t="shared" si="10"/>
        <v>11</v>
      </c>
      <c r="H101" s="705">
        <f>G101+'10'!H101</f>
        <v>-211</v>
      </c>
      <c r="I101" s="1071"/>
      <c r="J101" s="707">
        <f>H101/DAY(B2)</f>
        <v>-19.181818181818183</v>
      </c>
      <c r="K101" s="380"/>
      <c r="L101" s="377"/>
      <c r="N101" s="718"/>
      <c r="P101" s="382"/>
    </row>
    <row r="102" spans="1:16">
      <c r="A102" s="1591" t="s">
        <v>215</v>
      </c>
      <c r="B102" s="1592"/>
      <c r="C102" s="1593"/>
      <c r="D102" s="524"/>
      <c r="E102" s="541"/>
      <c r="F102" s="627"/>
      <c r="G102" s="749">
        <f>SUM(G96:G101)</f>
        <v>115</v>
      </c>
      <c r="H102" s="705">
        <f>G102+'10'!H102</f>
        <v>-3058</v>
      </c>
      <c r="I102" s="1423"/>
      <c r="J102" s="707">
        <f>H102/DAY(B2)</f>
        <v>-278</v>
      </c>
      <c r="K102" s="380"/>
      <c r="L102" s="377"/>
      <c r="N102" s="718"/>
      <c r="P102" s="382"/>
    </row>
    <row r="103" spans="1:16" s="442" customFormat="1" ht="27">
      <c r="A103" s="607" t="s">
        <v>216</v>
      </c>
      <c r="B103" s="608"/>
      <c r="C103" s="608"/>
      <c r="D103" s="621"/>
      <c r="E103" s="541"/>
      <c r="F103" s="1424"/>
      <c r="G103" s="1425"/>
      <c r="H103" s="1426"/>
      <c r="I103" s="1427"/>
      <c r="J103" s="1428"/>
      <c r="N103" s="718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541"/>
      <c r="F104" s="659"/>
      <c r="G104" s="534"/>
      <c r="H104" s="536"/>
      <c r="I104" s="534"/>
      <c r="J104" s="559"/>
      <c r="N104" s="718"/>
      <c r="P104" s="382"/>
    </row>
    <row r="105" spans="1:16" s="442" customFormat="1" ht="27.75">
      <c r="A105" s="1551" t="s">
        <v>218</v>
      </c>
      <c r="B105" s="1552"/>
      <c r="C105" s="1138"/>
      <c r="D105" s="622" t="s">
        <v>143</v>
      </c>
      <c r="E105" s="541">
        <v>7473</v>
      </c>
      <c r="F105" s="659">
        <v>7473</v>
      </c>
      <c r="G105" s="534">
        <f>F105-E105</f>
        <v>0</v>
      </c>
      <c r="H105" s="536">
        <f>SUM(G105+'1'!G76)</f>
        <v>69.3799999999992</v>
      </c>
      <c r="I105" s="534"/>
      <c r="J105" s="559">
        <f>H105/DAY(B2)</f>
        <v>6.3072727272726548</v>
      </c>
      <c r="N105" s="718"/>
      <c r="P105" s="382"/>
    </row>
    <row r="106" spans="1:16" s="442" customFormat="1" ht="27.75">
      <c r="A106" s="1551" t="s">
        <v>76</v>
      </c>
      <c r="B106" s="1552"/>
      <c r="C106" s="1138"/>
      <c r="D106" s="622" t="s">
        <v>143</v>
      </c>
      <c r="E106" s="541">
        <f>'10'!F106</f>
        <v>36006</v>
      </c>
      <c r="F106" s="659">
        <v>36006</v>
      </c>
      <c r="G106" s="534">
        <f t="shared" ref="G106:G107" si="11">F106-E106</f>
        <v>0</v>
      </c>
      <c r="H106" s="536">
        <f>SUM(G106+'1'!G77)</f>
        <v>53</v>
      </c>
      <c r="I106" s="534"/>
      <c r="J106" s="559">
        <f>H106/DAY(B2)</f>
        <v>4.8181818181818183</v>
      </c>
      <c r="N106" s="718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541">
        <f>'10'!F107</f>
        <v>19739</v>
      </c>
      <c r="F107" s="659">
        <v>19742</v>
      </c>
      <c r="G107" s="534">
        <f t="shared" si="11"/>
        <v>3</v>
      </c>
      <c r="H107" s="536">
        <f>SUM(G107+'1'!G78)</f>
        <v>117</v>
      </c>
      <c r="I107" s="534"/>
      <c r="J107" s="559">
        <f>H107/DAY(B2)</f>
        <v>10.636363636363637</v>
      </c>
      <c r="N107" s="718"/>
      <c r="P107" s="382"/>
    </row>
    <row r="108" spans="1:16" s="442" customFormat="1" ht="27.75">
      <c r="A108" s="1553" t="s">
        <v>201</v>
      </c>
      <c r="B108" s="1554"/>
      <c r="C108" s="1138"/>
      <c r="D108" s="622"/>
      <c r="E108" s="541"/>
      <c r="F108" s="659"/>
      <c r="G108" s="534">
        <f>SUM(G105:G107)</f>
        <v>3</v>
      </c>
      <c r="H108" s="536">
        <f>SUM(G108+'1'!G79)</f>
        <v>156</v>
      </c>
      <c r="I108" s="534"/>
      <c r="J108" s="559">
        <f>H108/DAY(B2)</f>
        <v>14.181818181818182</v>
      </c>
      <c r="N108" s="718"/>
      <c r="P108" s="382"/>
    </row>
    <row r="109" spans="1:16" s="442" customFormat="1" ht="27.75">
      <c r="A109" s="1557" t="s">
        <v>78</v>
      </c>
      <c r="B109" s="1558"/>
      <c r="C109" s="1138"/>
      <c r="D109" s="622" t="s">
        <v>143</v>
      </c>
      <c r="E109" s="541"/>
      <c r="F109" s="659"/>
      <c r="G109" s="534"/>
      <c r="H109" s="536"/>
      <c r="I109" s="534"/>
      <c r="J109" s="559"/>
      <c r="N109" s="718"/>
      <c r="P109" s="382"/>
    </row>
    <row r="110" spans="1:16" s="442" customFormat="1" ht="27.75">
      <c r="A110" s="1551" t="s">
        <v>219</v>
      </c>
      <c r="B110" s="1552"/>
      <c r="C110" s="1138"/>
      <c r="D110" s="622" t="s">
        <v>143</v>
      </c>
      <c r="E110" s="541">
        <f>'10'!F110</f>
        <v>63489</v>
      </c>
      <c r="F110" s="659">
        <v>63516</v>
      </c>
      <c r="G110" s="534">
        <f>F110-E110</f>
        <v>27</v>
      </c>
      <c r="H110" s="536">
        <f>SUM(G110+'1'!G81)</f>
        <v>158.64000000001397</v>
      </c>
      <c r="I110" s="534"/>
      <c r="J110" s="559">
        <f>H110/DAY(B2)</f>
        <v>14.421818181819452</v>
      </c>
      <c r="N110" s="718"/>
      <c r="P110" s="382"/>
    </row>
    <row r="111" spans="1:16" s="442" customFormat="1" ht="27.75">
      <c r="A111" s="1551" t="s">
        <v>220</v>
      </c>
      <c r="B111" s="1552"/>
      <c r="C111" s="1138"/>
      <c r="D111" s="622" t="s">
        <v>143</v>
      </c>
      <c r="E111" s="541">
        <f>'10'!F111</f>
        <v>32645</v>
      </c>
      <c r="F111" s="659">
        <v>32675</v>
      </c>
      <c r="G111" s="534">
        <f t="shared" ref="G111:G112" si="12">F111-E111</f>
        <v>30</v>
      </c>
      <c r="H111" s="536">
        <f>SUM(G111+'1'!G82)</f>
        <v>54.899999999994179</v>
      </c>
      <c r="I111" s="534"/>
      <c r="J111" s="559">
        <f>H111/DAY(B2)</f>
        <v>4.9909090909085618</v>
      </c>
      <c r="N111" s="718"/>
      <c r="P111" s="382"/>
    </row>
    <row r="112" spans="1:16" s="442" customFormat="1" ht="27.75">
      <c r="A112" s="1551" t="s">
        <v>221</v>
      </c>
      <c r="B112" s="1552"/>
      <c r="C112" s="1138"/>
      <c r="D112" s="622" t="s">
        <v>143</v>
      </c>
      <c r="E112" s="541">
        <f>'10'!F112</f>
        <v>4621</v>
      </c>
      <c r="F112" s="659">
        <v>4621</v>
      </c>
      <c r="G112" s="534">
        <f t="shared" si="12"/>
        <v>0</v>
      </c>
      <c r="H112" s="536">
        <f>SUM(G112+'1'!G83)</f>
        <v>351</v>
      </c>
      <c r="I112" s="534"/>
      <c r="J112" s="559">
        <f>H112/DAY(B2)</f>
        <v>31.90909090909091</v>
      </c>
      <c r="N112" s="718"/>
      <c r="P112" s="382"/>
    </row>
    <row r="113" spans="1:16" s="442" customFormat="1" ht="27.75">
      <c r="A113" s="1553" t="s">
        <v>109</v>
      </c>
      <c r="B113" s="1554"/>
      <c r="C113" s="1138"/>
      <c r="D113" s="622"/>
      <c r="E113" s="541"/>
      <c r="F113" s="659"/>
      <c r="G113" s="534">
        <f>SUM(G110:G112)</f>
        <v>57</v>
      </c>
      <c r="H113" s="536">
        <f>SUM(G113+'1'!G84)</f>
        <v>873</v>
      </c>
      <c r="I113" s="534"/>
      <c r="J113" s="559">
        <f>H113/DAY(B2)</f>
        <v>79.36363636363636</v>
      </c>
      <c r="N113" s="718"/>
      <c r="P113" s="382"/>
    </row>
    <row r="114" spans="1:16" s="442" customFormat="1" ht="27.75">
      <c r="A114" s="1557" t="s">
        <v>222</v>
      </c>
      <c r="B114" s="1558"/>
      <c r="C114" s="1138"/>
      <c r="D114" s="622"/>
      <c r="E114" s="541"/>
      <c r="F114" s="659"/>
      <c r="G114" s="534"/>
      <c r="H114" s="536"/>
      <c r="I114" s="534"/>
      <c r="J114" s="559">
        <f>H114/DAY(B2)</f>
        <v>0</v>
      </c>
      <c r="N114" s="718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541">
        <f>'10'!F115</f>
        <v>11661</v>
      </c>
      <c r="F115" s="659">
        <v>11666</v>
      </c>
      <c r="G115" s="534">
        <f>F115-E115</f>
        <v>5</v>
      </c>
      <c r="H115" s="536">
        <f>SUM(G115+'1'!G92)</f>
        <v>5</v>
      </c>
      <c r="I115" s="534"/>
      <c r="J115" s="559">
        <f>H115/DAY(B2)</f>
        <v>0.45454545454545453</v>
      </c>
      <c r="N115" s="718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541">
        <f>'10'!F116</f>
        <v>8371</v>
      </c>
      <c r="F116" s="659">
        <v>8376</v>
      </c>
      <c r="G116" s="534">
        <f t="shared" ref="G116:G117" si="13">F116-E116</f>
        <v>5</v>
      </c>
      <c r="H116" s="536">
        <f>SUM(G116+'1'!G93)</f>
        <v>94</v>
      </c>
      <c r="I116" s="534"/>
      <c r="J116" s="559">
        <f>H116/DAY(B2)</f>
        <v>8.545454545454545</v>
      </c>
      <c r="N116" s="718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6">
        <f>SUM(G117+'1'!G94)</f>
        <v>97</v>
      </c>
      <c r="I117" s="534"/>
      <c r="J117" s="559">
        <f>H117/DAY(B2)</f>
        <v>8.8181818181818183</v>
      </c>
      <c r="N117" s="718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10</v>
      </c>
      <c r="H118" s="536">
        <f>SUM(G118+'1'!G96)</f>
        <v>96</v>
      </c>
      <c r="I118" s="534"/>
      <c r="J118" s="559">
        <f>H118/DAY(B2)</f>
        <v>8.7272727272727266</v>
      </c>
      <c r="N118" s="718"/>
      <c r="P118" s="382"/>
    </row>
    <row r="119" spans="1:16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81</v>
      </c>
      <c r="G119" s="536">
        <f>SUM(G19+G93)</f>
        <v>81</v>
      </c>
      <c r="H119" s="536">
        <f>SUM(G119+'1'!G97)</f>
        <v>98</v>
      </c>
      <c r="I119" s="535"/>
      <c r="J119" s="559">
        <f>H119/DAY(B2)</f>
        <v>8.9090909090909083</v>
      </c>
      <c r="N119" s="718"/>
      <c r="P119" s="382"/>
    </row>
    <row r="120" spans="1:16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96</v>
      </c>
      <c r="G120" s="536">
        <f>SUM(G96,G97,G98,G100,G101)</f>
        <v>96</v>
      </c>
      <c r="H120" s="536">
        <f>SUM(G120+'1'!G99)</f>
        <v>146</v>
      </c>
      <c r="I120" s="535"/>
      <c r="J120" s="559">
        <f>H120/DAY(B2)</f>
        <v>13.272727272727273</v>
      </c>
      <c r="N120" s="718"/>
      <c r="P120" s="382"/>
    </row>
    <row r="121" spans="1:16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57</v>
      </c>
      <c r="G121" s="534">
        <f>SUM(G113)</f>
        <v>57</v>
      </c>
      <c r="H121" s="536">
        <f>SUM(G121+'1'!G101)</f>
        <v>62</v>
      </c>
      <c r="I121" s="535"/>
      <c r="J121" s="559">
        <f>H121/DAY(B2)</f>
        <v>5.6363636363636367</v>
      </c>
      <c r="N121" s="718"/>
      <c r="P121" s="382"/>
    </row>
    <row r="122" spans="1:16" s="442" customFormat="1" ht="27.75">
      <c r="A122" s="1549"/>
      <c r="B122" s="1550"/>
      <c r="C122" s="1137"/>
      <c r="D122" s="560"/>
      <c r="E122" s="1429"/>
      <c r="F122" s="1430" t="s">
        <v>214</v>
      </c>
      <c r="G122" s="1429"/>
      <c r="H122" s="1431"/>
      <c r="I122" s="1429"/>
      <c r="J122" s="1432"/>
      <c r="N122" s="718"/>
      <c r="P122" s="382"/>
    </row>
    <row r="123" spans="1:16">
      <c r="A123" s="1588" t="s">
        <v>229</v>
      </c>
      <c r="B123" s="1589"/>
      <c r="C123" s="1590"/>
      <c r="D123" s="472"/>
      <c r="E123" s="627"/>
      <c r="F123" s="627"/>
      <c r="G123" s="647"/>
      <c r="H123" s="647"/>
      <c r="I123" s="647"/>
      <c r="J123" s="1433"/>
      <c r="K123" s="380"/>
      <c r="L123" s="377"/>
      <c r="N123" s="718"/>
      <c r="P123" s="382"/>
    </row>
    <row r="124" spans="1:16" ht="27.75">
      <c r="A124" s="1139" t="s">
        <v>230</v>
      </c>
      <c r="B124" s="1140"/>
      <c r="C124" s="1140"/>
      <c r="D124" s="523" t="s">
        <v>140</v>
      </c>
      <c r="E124" s="651">
        <f>'10'!F124</f>
        <v>834219</v>
      </c>
      <c r="F124" s="651">
        <v>834449</v>
      </c>
      <c r="G124" s="652">
        <f t="shared" ref="G124:G128" si="14">F124-E124</f>
        <v>230</v>
      </c>
      <c r="H124" s="705">
        <f>G124+'10'!H124</f>
        <v>-5221</v>
      </c>
      <c r="I124" s="1423"/>
      <c r="J124" s="707">
        <f>H124/DAY(B2)</f>
        <v>-474.63636363636363</v>
      </c>
      <c r="K124" s="380"/>
      <c r="L124" s="377"/>
      <c r="N124" s="718"/>
      <c r="P124" s="382"/>
    </row>
    <row r="125" spans="1:16" ht="27.75">
      <c r="A125" s="1139" t="s">
        <v>231</v>
      </c>
      <c r="B125" s="1140"/>
      <c r="C125" s="1140"/>
      <c r="D125" s="523" t="s">
        <v>140</v>
      </c>
      <c r="E125" s="651">
        <f>'10'!F125</f>
        <v>73583.399999999994</v>
      </c>
      <c r="F125" s="651">
        <v>73583.399999999994</v>
      </c>
      <c r="G125" s="652">
        <f t="shared" si="14"/>
        <v>0</v>
      </c>
      <c r="H125" s="705">
        <f>G125+'10'!H125</f>
        <v>0</v>
      </c>
      <c r="I125" s="1423"/>
      <c r="J125" s="707">
        <f>H125/DAY(B2)</f>
        <v>0</v>
      </c>
      <c r="K125" s="380"/>
      <c r="L125" s="377"/>
      <c r="N125" s="718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651">
        <f>'10'!F126</f>
        <v>147119</v>
      </c>
      <c r="F126" s="651">
        <v>147185</v>
      </c>
      <c r="G126" s="652">
        <f t="shared" si="14"/>
        <v>66</v>
      </c>
      <c r="H126" s="705">
        <f>G126+'10'!H126</f>
        <v>-1412</v>
      </c>
      <c r="I126" s="1423"/>
      <c r="J126" s="707">
        <f>H126/DAY(B2)</f>
        <v>-128.36363636363637</v>
      </c>
      <c r="K126" s="380"/>
      <c r="L126" s="377"/>
      <c r="N126" s="718"/>
      <c r="P126" s="382"/>
    </row>
    <row r="127" spans="1:16" ht="27.75">
      <c r="A127" s="609" t="s">
        <v>233</v>
      </c>
      <c r="B127" s="1140"/>
      <c r="C127" s="1140"/>
      <c r="D127" s="523" t="s">
        <v>140</v>
      </c>
      <c r="E127" s="651">
        <f>'10'!F127</f>
        <v>31409</v>
      </c>
      <c r="F127" s="651">
        <v>31409</v>
      </c>
      <c r="G127" s="652">
        <f t="shared" si="14"/>
        <v>0</v>
      </c>
      <c r="H127" s="705">
        <f>G127+'10'!H127</f>
        <v>-662</v>
      </c>
      <c r="I127" s="1423"/>
      <c r="J127" s="707">
        <f>H127/DAY(B2)</f>
        <v>-60.18181818181818</v>
      </c>
      <c r="K127" s="380"/>
      <c r="L127" s="377"/>
      <c r="N127" s="718"/>
      <c r="P127" s="382"/>
    </row>
    <row r="128" spans="1:16" ht="27.75">
      <c r="A128" s="609" t="s">
        <v>234</v>
      </c>
      <c r="B128" s="1140"/>
      <c r="C128" s="1140"/>
      <c r="D128" s="523" t="s">
        <v>140</v>
      </c>
      <c r="E128" s="651">
        <f>'10'!F128</f>
        <v>8972</v>
      </c>
      <c r="F128" s="651">
        <v>8972</v>
      </c>
      <c r="G128" s="652">
        <f t="shared" si="14"/>
        <v>0</v>
      </c>
      <c r="H128" s="705">
        <f>G128+'10'!H128</f>
        <v>-40</v>
      </c>
      <c r="I128" s="1071"/>
      <c r="J128" s="707">
        <f>H128/DAY(B2)</f>
        <v>-3.6363636363636362</v>
      </c>
      <c r="K128" s="380"/>
      <c r="L128" s="377"/>
      <c r="N128" s="718"/>
      <c r="P128" s="382"/>
    </row>
    <row r="129" spans="1:16" s="281" customFormat="1" ht="27.75">
      <c r="A129" s="609" t="s">
        <v>235</v>
      </c>
      <c r="B129" s="1140"/>
      <c r="C129" s="1140"/>
      <c r="D129" s="523"/>
      <c r="E129" s="651"/>
      <c r="F129" s="651"/>
      <c r="G129" s="652">
        <f>G15-SUM(G124:G128)</f>
        <v>404</v>
      </c>
      <c r="H129" s="705"/>
      <c r="I129" s="1071"/>
      <c r="J129" s="707"/>
      <c r="K129" s="364"/>
      <c r="L129" s="292"/>
      <c r="N129" s="718"/>
      <c r="P129" s="382"/>
    </row>
    <row r="130" spans="1:16">
      <c r="A130" s="610" t="s">
        <v>236</v>
      </c>
      <c r="B130" s="458"/>
      <c r="C130" s="458"/>
      <c r="D130" s="471"/>
      <c r="E130" s="1387"/>
      <c r="F130" s="1387"/>
      <c r="G130" s="1434"/>
      <c r="H130" s="1434"/>
      <c r="I130" s="1434"/>
      <c r="J130" s="1435"/>
      <c r="N130" s="718"/>
      <c r="P130" s="382"/>
    </row>
    <row r="131" spans="1:16" ht="27.75">
      <c r="A131" s="1139" t="s">
        <v>237</v>
      </c>
      <c r="B131" s="1140"/>
      <c r="C131" s="1140"/>
      <c r="D131" s="523" t="s">
        <v>238</v>
      </c>
      <c r="E131" s="541">
        <f>'10'!F131</f>
        <v>0</v>
      </c>
      <c r="F131" s="651">
        <v>0</v>
      </c>
      <c r="G131" s="652">
        <f t="shared" ref="G131:G141" si="15">F131-E131</f>
        <v>0</v>
      </c>
      <c r="H131" s="705">
        <f>G131+'10'!H131</f>
        <v>0</v>
      </c>
      <c r="I131" s="1071"/>
      <c r="J131" s="707">
        <f>H131/DAY(B2)</f>
        <v>0</v>
      </c>
      <c r="N131" s="718"/>
      <c r="P131" s="382"/>
    </row>
    <row r="132" spans="1:16" ht="27.75">
      <c r="A132" s="1139" t="s">
        <v>239</v>
      </c>
      <c r="B132" s="1140"/>
      <c r="C132" s="1140"/>
      <c r="D132" s="523" t="s">
        <v>238</v>
      </c>
      <c r="E132" s="541">
        <f>'10'!F132</f>
        <v>0</v>
      </c>
      <c r="F132" s="651">
        <v>0</v>
      </c>
      <c r="G132" s="652">
        <f t="shared" si="15"/>
        <v>0</v>
      </c>
      <c r="H132" s="705">
        <f>G132+'10'!H132</f>
        <v>0</v>
      </c>
      <c r="I132" s="1071"/>
      <c r="J132" s="707">
        <f>H132/DAY(B2)</f>
        <v>0</v>
      </c>
      <c r="N132" s="718"/>
      <c r="P132" s="382"/>
    </row>
    <row r="133" spans="1:16" ht="27.75">
      <c r="A133" s="1139" t="s">
        <v>240</v>
      </c>
      <c r="B133" s="1140"/>
      <c r="C133" s="1140"/>
      <c r="D133" s="523" t="s">
        <v>238</v>
      </c>
      <c r="E133" s="541">
        <f>'10'!F133</f>
        <v>40122.449999999997</v>
      </c>
      <c r="F133" s="651">
        <v>40146.47</v>
      </c>
      <c r="G133" s="652">
        <f t="shared" si="15"/>
        <v>24.020000000004075</v>
      </c>
      <c r="H133" s="705">
        <f>G133+'10'!H133</f>
        <v>-306.52999999999884</v>
      </c>
      <c r="I133" s="1071"/>
      <c r="J133" s="707">
        <f>H133/DAY(B2)</f>
        <v>-27.866363636363531</v>
      </c>
      <c r="N133" s="718"/>
      <c r="P133" s="382"/>
    </row>
    <row r="134" spans="1:16" ht="27.75">
      <c r="A134" s="1139" t="s">
        <v>241</v>
      </c>
      <c r="B134" s="1140"/>
      <c r="C134" s="1140"/>
      <c r="D134" s="523" t="s">
        <v>238</v>
      </c>
      <c r="E134" s="541">
        <f>'10'!F134</f>
        <v>300</v>
      </c>
      <c r="F134" s="651">
        <v>300</v>
      </c>
      <c r="G134" s="652">
        <f t="shared" si="15"/>
        <v>0</v>
      </c>
      <c r="H134" s="705">
        <f>G134+'10'!H134</f>
        <v>0</v>
      </c>
      <c r="I134" s="1071">
        <f>G131+G132+G133+G134</f>
        <v>24.020000000004075</v>
      </c>
      <c r="J134" s="707">
        <f>H134/DAY(B2)</f>
        <v>0</v>
      </c>
      <c r="N134" s="718"/>
      <c r="P134" s="382"/>
    </row>
    <row r="135" spans="1:16" ht="27.75">
      <c r="A135" s="1139" t="s">
        <v>242</v>
      </c>
      <c r="B135" s="1140"/>
      <c r="C135" s="1140"/>
      <c r="D135" s="523" t="s">
        <v>238</v>
      </c>
      <c r="E135" s="541">
        <f>'10'!F135</f>
        <v>41730.449999999997</v>
      </c>
      <c r="F135" s="651">
        <v>41730.449999999997</v>
      </c>
      <c r="G135" s="652">
        <f t="shared" si="15"/>
        <v>0</v>
      </c>
      <c r="H135" s="705">
        <f>G135+'10'!H135</f>
        <v>-241.55000000000291</v>
      </c>
      <c r="I135" s="1071"/>
      <c r="J135" s="707">
        <f>H135/DAY(B2)</f>
        <v>-21.959090909091174</v>
      </c>
      <c r="N135" s="718"/>
      <c r="P135" s="382"/>
    </row>
    <row r="136" spans="1:16" ht="27.75">
      <c r="A136" s="1139" t="s">
        <v>243</v>
      </c>
      <c r="B136" s="1140"/>
      <c r="C136" s="1140"/>
      <c r="D136" s="523" t="s">
        <v>238</v>
      </c>
      <c r="E136" s="541">
        <f>'10'!F136</f>
        <v>32874.050000000003</v>
      </c>
      <c r="F136" s="651">
        <v>32874</v>
      </c>
      <c r="G136" s="652">
        <f t="shared" si="15"/>
        <v>-5.0000000002910383E-2</v>
      </c>
      <c r="H136" s="705">
        <f>G136+'10'!H136</f>
        <v>0</v>
      </c>
      <c r="I136" s="1071"/>
      <c r="J136" s="707">
        <f>H136/DAY(B2)</f>
        <v>0</v>
      </c>
      <c r="N136" s="718"/>
      <c r="P136" s="382"/>
    </row>
    <row r="137" spans="1:16" ht="27.75">
      <c r="A137" s="1139" t="s">
        <v>244</v>
      </c>
      <c r="B137" s="1140"/>
      <c r="C137" s="1140"/>
      <c r="D137" s="523" t="s">
        <v>238</v>
      </c>
      <c r="E137" s="541">
        <f>'10'!F137</f>
        <v>22833.51</v>
      </c>
      <c r="F137" s="651">
        <v>22833.51</v>
      </c>
      <c r="G137" s="652">
        <f t="shared" si="15"/>
        <v>0</v>
      </c>
      <c r="H137" s="705">
        <f>G137+'10'!H137</f>
        <v>-57.980000000003201</v>
      </c>
      <c r="I137" s="1071">
        <f>G135+G136+G137</f>
        <v>-5.0000000002910383E-2</v>
      </c>
      <c r="J137" s="707">
        <f>H137/DAY(B2)</f>
        <v>-5.2709090909093819</v>
      </c>
      <c r="N137" s="718"/>
      <c r="P137" s="382"/>
    </row>
    <row r="138" spans="1:16" ht="27.75">
      <c r="A138" s="1139" t="s">
        <v>245</v>
      </c>
      <c r="B138" s="1140"/>
      <c r="C138" s="1140"/>
      <c r="D138" s="523" t="s">
        <v>238</v>
      </c>
      <c r="E138" s="541">
        <f>'10'!F138</f>
        <v>25051.82</v>
      </c>
      <c r="F138" s="651">
        <v>25051.82</v>
      </c>
      <c r="G138" s="652">
        <f t="shared" si="15"/>
        <v>0</v>
      </c>
      <c r="H138" s="705">
        <f>G138+'10'!H138</f>
        <v>-39.569999999999709</v>
      </c>
      <c r="I138" s="1071"/>
      <c r="J138" s="707">
        <f>H138/DAY(B2)</f>
        <v>-3.597272727272701</v>
      </c>
      <c r="N138" s="718"/>
      <c r="P138" s="382"/>
    </row>
    <row r="139" spans="1:16" ht="27.75">
      <c r="A139" s="1139" t="s">
        <v>246</v>
      </c>
      <c r="B139" s="1140"/>
      <c r="C139" s="1140"/>
      <c r="D139" s="523" t="s">
        <v>238</v>
      </c>
      <c r="E139" s="541">
        <f>'10'!F139</f>
        <v>70448.41</v>
      </c>
      <c r="F139" s="651">
        <v>70456</v>
      </c>
      <c r="G139" s="652">
        <f t="shared" si="15"/>
        <v>7.5899999999965075</v>
      </c>
      <c r="H139" s="705">
        <f>G139+'10'!H139</f>
        <v>-57.619999999995343</v>
      </c>
      <c r="I139" s="1071">
        <f>G138+G139</f>
        <v>7.5899999999965075</v>
      </c>
      <c r="J139" s="707">
        <f>H139/DAY(B2)</f>
        <v>-5.2381818181813946</v>
      </c>
      <c r="N139" s="718"/>
      <c r="P139" s="382"/>
    </row>
    <row r="140" spans="1:16" ht="27.75">
      <c r="A140" s="1139" t="s">
        <v>247</v>
      </c>
      <c r="B140" s="1140"/>
      <c r="C140" s="1140"/>
      <c r="D140" s="523" t="s">
        <v>238</v>
      </c>
      <c r="E140" s="541">
        <f>'10'!F140</f>
        <v>1925.69</v>
      </c>
      <c r="F140" s="651">
        <v>1934.29</v>
      </c>
      <c r="G140" s="652">
        <f t="shared" si="15"/>
        <v>8.5999999999999091</v>
      </c>
      <c r="H140" s="705">
        <f>G140+'10'!H140</f>
        <v>-194.88999999999987</v>
      </c>
      <c r="I140" s="535"/>
      <c r="J140" s="707">
        <f>H140/DAY(B2)</f>
        <v>-17.717272727272714</v>
      </c>
      <c r="N140" s="718"/>
      <c r="P140" s="382"/>
    </row>
    <row r="141" spans="1:16" ht="27.75">
      <c r="A141" s="1139" t="s">
        <v>248</v>
      </c>
      <c r="B141" s="1140"/>
      <c r="C141" s="1140"/>
      <c r="D141" s="523" t="s">
        <v>238</v>
      </c>
      <c r="E141" s="541">
        <f>'10'!F141</f>
        <v>4636.88</v>
      </c>
      <c r="F141" s="651">
        <v>4636.88</v>
      </c>
      <c r="G141" s="652">
        <f t="shared" si="15"/>
        <v>0</v>
      </c>
      <c r="H141" s="705">
        <f>G141+'10'!H141</f>
        <v>-0.11999999999989086</v>
      </c>
      <c r="I141" s="535"/>
      <c r="J141" s="707">
        <f>H141/DAY(B2)</f>
        <v>-1.0909090909080987E-2</v>
      </c>
      <c r="N141" s="718"/>
      <c r="P141" s="382"/>
    </row>
    <row r="142" spans="1:16">
      <c r="A142" s="1562" t="s">
        <v>249</v>
      </c>
      <c r="B142" s="1563"/>
      <c r="C142" s="1145"/>
      <c r="D142" s="472"/>
      <c r="E142" s="627"/>
      <c r="F142" s="627"/>
      <c r="G142" s="647"/>
      <c r="H142" s="647"/>
      <c r="I142" s="647"/>
      <c r="J142" s="1433"/>
      <c r="K142" s="380"/>
      <c r="L142" s="377"/>
      <c r="N142" s="718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627"/>
      <c r="F143" s="627"/>
      <c r="G143" s="705">
        <f>G35+G43+G49+G57</f>
        <v>4625</v>
      </c>
      <c r="H143" s="705">
        <f>G143+'10'!H143</f>
        <v>-103698.87</v>
      </c>
      <c r="I143" s="1071"/>
      <c r="J143" s="707">
        <f>H143/DAY(B2)</f>
        <v>-9427.17</v>
      </c>
      <c r="K143" s="380"/>
      <c r="L143" s="377"/>
      <c r="N143" s="718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1387"/>
      <c r="F144" s="1387"/>
      <c r="G144" s="1436">
        <f>G143/G7</f>
        <v>0.21511627906976744</v>
      </c>
      <c r="H144" s="705">
        <f>G144+'10'!H144</f>
        <v>-4.8188877376852162</v>
      </c>
      <c r="I144" s="544"/>
      <c r="J144" s="707">
        <f>H144/DAY(B2)</f>
        <v>-0.43808070342592875</v>
      </c>
      <c r="K144" s="380"/>
      <c r="L144" s="377"/>
      <c r="N144" s="718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706"/>
      <c r="F145" s="706"/>
      <c r="G145" s="705">
        <f>G41+G42+G55+G56</f>
        <v>4819</v>
      </c>
      <c r="H145" s="705">
        <f>G145+'10'!H145</f>
        <v>-116243.36999999998</v>
      </c>
      <c r="I145" s="1071"/>
      <c r="J145" s="707">
        <f>H145/DAY(B2)</f>
        <v>-10567.579090909088</v>
      </c>
      <c r="K145" s="380"/>
      <c r="L145" s="377"/>
      <c r="N145" s="718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706"/>
      <c r="F146" s="706"/>
      <c r="G146" s="1436">
        <f>G145/G7</f>
        <v>0.22413953488372093</v>
      </c>
      <c r="H146" s="705">
        <f>G146+'10'!H146</f>
        <v>-5.4073759933064247</v>
      </c>
      <c r="I146" s="544"/>
      <c r="J146" s="707">
        <f>H146/DAY(B2)</f>
        <v>-0.49157963575512953</v>
      </c>
      <c r="K146" s="380"/>
      <c r="L146" s="377"/>
      <c r="N146" s="718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706"/>
      <c r="F147" s="706"/>
      <c r="G147" s="705">
        <f>G39+G53</f>
        <v>3233</v>
      </c>
      <c r="H147" s="705">
        <f>G147+'10'!H147</f>
        <v>-66286</v>
      </c>
      <c r="I147" s="1437"/>
      <c r="J147" s="707">
        <f>H147/DAY(B2)</f>
        <v>-6026</v>
      </c>
      <c r="K147" s="380"/>
      <c r="L147" s="377"/>
      <c r="N147" s="718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706"/>
      <c r="F148" s="706"/>
      <c r="G148" s="1436">
        <f>G147/G7</f>
        <v>0.15037209302325583</v>
      </c>
      <c r="H148" s="705">
        <f>G148+'10'!H148</f>
        <v>-3.0798847825071225</v>
      </c>
      <c r="I148" s="1437"/>
      <c r="J148" s="707">
        <f>H148/DAY(B2)</f>
        <v>-0.27998952568246566</v>
      </c>
      <c r="N148" s="718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706"/>
      <c r="F149" s="706"/>
      <c r="G149" s="705">
        <f>G38+G52</f>
        <v>1184</v>
      </c>
      <c r="H149" s="705">
        <f>G149+'10'!H149</f>
        <v>-28676.930000000051</v>
      </c>
      <c r="I149" s="1071"/>
      <c r="J149" s="707">
        <f>H149/DAY(B2)</f>
        <v>-2606.9936363636411</v>
      </c>
      <c r="K149" s="381"/>
      <c r="N149" s="718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706"/>
      <c r="F150" s="706" t="s">
        <v>214</v>
      </c>
      <c r="G150" s="1436">
        <f>G149/G7</f>
        <v>5.5069767441860464E-2</v>
      </c>
      <c r="H150" s="705">
        <f>G150+'10'!H150</f>
        <v>-1.3336004138587534</v>
      </c>
      <c r="I150" s="1437"/>
      <c r="J150" s="707">
        <f>H150/DAY(B2)</f>
        <v>-0.12123640125988668</v>
      </c>
      <c r="N150" s="718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706"/>
      <c r="F151" s="706"/>
      <c r="G151" s="705">
        <f>G36+G50</f>
        <v>1475</v>
      </c>
      <c r="H151" s="705">
        <f>G151+'10'!H151</f>
        <v>-35845</v>
      </c>
      <c r="I151" s="1437"/>
      <c r="J151" s="707">
        <f>H151/DAY(B2)</f>
        <v>-3258.6363636363635</v>
      </c>
      <c r="N151" s="718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706"/>
      <c r="F152" s="706"/>
      <c r="G152" s="1436">
        <f>G151/G7</f>
        <v>6.86046511627907E-2</v>
      </c>
      <c r="H152" s="705">
        <f>G152+'10'!H152</f>
        <v>-1.6677478873417988</v>
      </c>
      <c r="I152" s="1071"/>
      <c r="J152" s="707">
        <f>H152/DAY(B2)</f>
        <v>-0.15161344430379989</v>
      </c>
      <c r="N152" s="718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706"/>
      <c r="F153" s="706"/>
      <c r="G153" s="705">
        <f>G37+G51</f>
        <v>1386</v>
      </c>
      <c r="H153" s="705">
        <f>G153+'10'!H153</f>
        <v>-27742.130000000005</v>
      </c>
      <c r="I153" s="1071"/>
      <c r="J153" s="707"/>
      <c r="N153" s="718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1438"/>
      <c r="F154" s="1438"/>
      <c r="G154" s="1439">
        <f>G153/G7</f>
        <v>6.446511627906977E-2</v>
      </c>
      <c r="H154" s="705">
        <f>G154+'10'!H154</f>
        <v>-1.2889323982107233</v>
      </c>
      <c r="I154" s="1440"/>
      <c r="J154" s="1441">
        <f>H154/DAY(B2)</f>
        <v>-0.1171756725646112</v>
      </c>
      <c r="N154" s="718"/>
      <c r="P154" s="382"/>
    </row>
    <row r="155" spans="1:16">
      <c r="A155" s="466"/>
      <c r="B155" s="456"/>
      <c r="C155" s="456"/>
      <c r="D155" s="546"/>
      <c r="E155" s="1442"/>
      <c r="F155" s="1443"/>
      <c r="G155" s="1442"/>
      <c r="H155" s="1444"/>
      <c r="I155" s="1442"/>
      <c r="J155" s="1445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84" t="s">
        <v>262</v>
      </c>
      <c r="B161" s="785"/>
      <c r="C161" s="785"/>
      <c r="D161" s="511" t="s">
        <v>186</v>
      </c>
      <c r="E161" s="651">
        <f>'10'!F161</f>
        <v>39239</v>
      </c>
      <c r="F161" s="659">
        <v>39318</v>
      </c>
      <c r="G161" s="652">
        <f t="shared" ref="G161:G174" si="16">F161-E161</f>
        <v>79</v>
      </c>
      <c r="N161" s="718"/>
    </row>
    <row r="162" spans="1:14">
      <c r="A162" s="784" t="s">
        <v>263</v>
      </c>
      <c r="B162" s="785"/>
      <c r="C162" s="785"/>
      <c r="D162" s="511" t="s">
        <v>186</v>
      </c>
      <c r="E162" s="651">
        <f>'10'!F162</f>
        <v>98878</v>
      </c>
      <c r="F162" s="659">
        <v>99314</v>
      </c>
      <c r="G162" s="652">
        <f t="shared" si="16"/>
        <v>436</v>
      </c>
      <c r="N162" s="718"/>
    </row>
    <row r="163" spans="1:14">
      <c r="A163" s="784" t="s">
        <v>264</v>
      </c>
      <c r="B163" s="785"/>
      <c r="C163" s="785"/>
      <c r="D163" s="511" t="s">
        <v>186</v>
      </c>
      <c r="E163" s="651">
        <f>'10'!F163</f>
        <v>47024</v>
      </c>
      <c r="F163" s="659">
        <v>47234</v>
      </c>
      <c r="G163" s="652">
        <f t="shared" si="16"/>
        <v>210</v>
      </c>
      <c r="N163" s="718"/>
    </row>
    <row r="164" spans="1:14">
      <c r="A164" s="784" t="s">
        <v>265</v>
      </c>
      <c r="B164" s="785"/>
      <c r="C164" s="785"/>
      <c r="D164" s="511" t="s">
        <v>186</v>
      </c>
      <c r="E164" s="651">
        <f>'10'!F164</f>
        <v>6648</v>
      </c>
      <c r="F164" s="659">
        <v>6657</v>
      </c>
      <c r="G164" s="652">
        <f t="shared" si="16"/>
        <v>9</v>
      </c>
      <c r="N164" s="718"/>
    </row>
    <row r="165" spans="1:14" ht="37.5" customHeight="1">
      <c r="A165" s="786" t="s">
        <v>97</v>
      </c>
      <c r="B165" s="604"/>
      <c r="C165" s="604"/>
      <c r="D165" s="511" t="s">
        <v>186</v>
      </c>
      <c r="E165" s="651">
        <f>'10'!F165</f>
        <v>0</v>
      </c>
      <c r="F165" s="1107">
        <f>F62</f>
        <v>0</v>
      </c>
      <c r="G165" s="652">
        <f t="shared" si="16"/>
        <v>0</v>
      </c>
      <c r="N165" s="718"/>
    </row>
    <row r="166" spans="1:14">
      <c r="A166" s="786" t="s">
        <v>187</v>
      </c>
      <c r="B166" s="604"/>
      <c r="C166" s="604"/>
      <c r="D166" s="511" t="s">
        <v>186</v>
      </c>
      <c r="E166" s="651">
        <f>'10'!F166</f>
        <v>0</v>
      </c>
      <c r="F166" s="1107">
        <f>F63</f>
        <v>0</v>
      </c>
      <c r="G166" s="652">
        <f t="shared" si="16"/>
        <v>0</v>
      </c>
      <c r="H166" s="1448" t="s">
        <v>272</v>
      </c>
      <c r="N166" s="718"/>
    </row>
    <row r="167" spans="1:14" ht="35.25" customHeight="1">
      <c r="A167" s="1546" t="s">
        <v>98</v>
      </c>
      <c r="B167" s="1546"/>
      <c r="C167" s="1546"/>
      <c r="D167" s="523" t="s">
        <v>186</v>
      </c>
      <c r="E167" s="651">
        <f>'10'!F167</f>
        <v>162647</v>
      </c>
      <c r="F167" s="1107">
        <f t="shared" ref="F167:F172" si="17">F64</f>
        <v>163000</v>
      </c>
      <c r="G167" s="652">
        <f t="shared" si="16"/>
        <v>353</v>
      </c>
      <c r="N167" s="718"/>
    </row>
    <row r="168" spans="1:14" ht="33" customHeight="1">
      <c r="A168" s="1546" t="s">
        <v>99</v>
      </c>
      <c r="B168" s="1546"/>
      <c r="C168" s="1546"/>
      <c r="D168" s="523" t="s">
        <v>186</v>
      </c>
      <c r="E168" s="651">
        <f>'10'!F168</f>
        <v>163365</v>
      </c>
      <c r="F168" s="1107">
        <f t="shared" si="17"/>
        <v>163635</v>
      </c>
      <c r="G168" s="652">
        <f t="shared" si="16"/>
        <v>270</v>
      </c>
      <c r="N168" s="718"/>
    </row>
    <row r="169" spans="1:14" ht="40.5" customHeight="1">
      <c r="A169" s="1546" t="s">
        <v>100</v>
      </c>
      <c r="B169" s="1546"/>
      <c r="C169" s="1546"/>
      <c r="D169" s="523" t="s">
        <v>186</v>
      </c>
      <c r="E169" s="651">
        <f>'10'!F169</f>
        <v>60224</v>
      </c>
      <c r="F169" s="1107">
        <f t="shared" si="17"/>
        <v>60644</v>
      </c>
      <c r="G169" s="652">
        <f t="shared" si="16"/>
        <v>420</v>
      </c>
      <c r="N169" s="718"/>
    </row>
    <row r="170" spans="1:14" ht="30.75" customHeight="1">
      <c r="A170" s="1546" t="s">
        <v>101</v>
      </c>
      <c r="B170" s="1546"/>
      <c r="C170" s="1546"/>
      <c r="D170" s="523" t="s">
        <v>186</v>
      </c>
      <c r="E170" s="651">
        <f>'10'!F170</f>
        <v>256073</v>
      </c>
      <c r="F170" s="1107">
        <f t="shared" si="17"/>
        <v>256499</v>
      </c>
      <c r="G170" s="652">
        <f t="shared" si="16"/>
        <v>426</v>
      </c>
      <c r="N170" s="718"/>
    </row>
    <row r="171" spans="1:14" ht="30.75" customHeight="1">
      <c r="A171" s="1546" t="s">
        <v>102</v>
      </c>
      <c r="B171" s="1546"/>
      <c r="C171" s="1546"/>
      <c r="D171" s="523" t="s">
        <v>186</v>
      </c>
      <c r="E171" s="651">
        <f>'10'!F171</f>
        <v>85321</v>
      </c>
      <c r="F171" s="1107">
        <f t="shared" si="17"/>
        <v>85321</v>
      </c>
      <c r="G171" s="652">
        <f t="shared" si="16"/>
        <v>0</v>
      </c>
      <c r="N171" s="718"/>
    </row>
    <row r="172" spans="1:14" ht="28.5" customHeight="1">
      <c r="A172" s="1546" t="s">
        <v>103</v>
      </c>
      <c r="B172" s="1546"/>
      <c r="C172" s="1546"/>
      <c r="D172" s="523" t="s">
        <v>186</v>
      </c>
      <c r="E172" s="651">
        <f>'10'!F172</f>
        <v>82925</v>
      </c>
      <c r="F172" s="1107">
        <f t="shared" si="17"/>
        <v>83077</v>
      </c>
      <c r="G172" s="652">
        <f t="shared" si="16"/>
        <v>152</v>
      </c>
      <c r="N172" s="718"/>
    </row>
    <row r="173" spans="1:14">
      <c r="A173" s="1587" t="s">
        <v>352</v>
      </c>
      <c r="B173" s="1550"/>
      <c r="C173" s="785"/>
      <c r="D173" s="523" t="s">
        <v>186</v>
      </c>
      <c r="E173" s="651">
        <f>'10'!F173</f>
        <v>18928.5</v>
      </c>
      <c r="F173" s="532">
        <v>18928.5</v>
      </c>
      <c r="G173" s="652">
        <f t="shared" si="16"/>
        <v>0</v>
      </c>
      <c r="N173" s="718"/>
    </row>
    <row r="174" spans="1:14">
      <c r="A174" s="1587" t="s">
        <v>353</v>
      </c>
      <c r="B174" s="1550"/>
      <c r="C174" s="785"/>
      <c r="D174" s="523" t="s">
        <v>186</v>
      </c>
      <c r="E174" s="651">
        <f>'10'!F174</f>
        <v>27542</v>
      </c>
      <c r="F174" s="532">
        <v>27546</v>
      </c>
      <c r="G174" s="652">
        <f t="shared" si="16"/>
        <v>4</v>
      </c>
      <c r="N174" s="718"/>
    </row>
    <row r="175" spans="1:14">
      <c r="N175" s="718"/>
    </row>
    <row r="176" spans="1:14">
      <c r="N176" s="718"/>
    </row>
    <row r="177" spans="14:14" ht="18.75" customHeight="1">
      <c r="N177" s="718"/>
    </row>
    <row r="178" spans="14:14" ht="44.25" customHeight="1">
      <c r="N178" s="718"/>
    </row>
    <row r="179" spans="14:14" ht="21.75" customHeight="1">
      <c r="N179" s="718"/>
    </row>
    <row r="180" spans="14:14" ht="21.75" customHeight="1">
      <c r="N180" s="718"/>
    </row>
    <row r="181" spans="14:14" ht="21.75" customHeight="1">
      <c r="N181" s="718"/>
    </row>
    <row r="182" spans="14:14" ht="21.75" customHeight="1">
      <c r="N182" s="718"/>
    </row>
    <row r="183" spans="14:14" ht="21.75" customHeight="1">
      <c r="N183" s="718"/>
    </row>
    <row r="184" spans="14:14" ht="21.75" customHeight="1">
      <c r="N184" s="718"/>
    </row>
    <row r="185" spans="14:14" ht="21.75" customHeight="1">
      <c r="N185" s="718"/>
    </row>
    <row r="186" spans="14:14" ht="21.75" customHeight="1">
      <c r="N186" s="718"/>
    </row>
    <row r="187" spans="14:14" ht="21.75" customHeight="1">
      <c r="N187" s="718"/>
    </row>
    <row r="188" spans="14:14" ht="21.75" customHeight="1">
      <c r="N188" s="718"/>
    </row>
    <row r="189" spans="14:14" ht="21.75" customHeight="1">
      <c r="N189" s="718"/>
    </row>
    <row r="190" spans="14:14" ht="21.75" customHeight="1">
      <c r="N190" s="718"/>
    </row>
    <row r="191" spans="14:14" ht="21.75" customHeight="1">
      <c r="N191" s="718"/>
    </row>
    <row r="192" spans="14:14" ht="21.75" customHeight="1">
      <c r="N192" s="718"/>
    </row>
    <row r="193" spans="14:14" ht="21.75" customHeight="1">
      <c r="N193" s="718"/>
    </row>
    <row r="194" spans="14:14" ht="36.75" customHeight="1">
      <c r="N194" s="718"/>
    </row>
    <row r="195" spans="14:14">
      <c r="N195" s="718"/>
    </row>
    <row r="196" spans="14:14">
      <c r="N196" s="718"/>
    </row>
    <row r="197" spans="14:14">
      <c r="N197" s="718"/>
    </row>
    <row r="198" spans="14:14">
      <c r="N198" s="718"/>
    </row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8"/>
  <sheetViews>
    <sheetView view="pageBreakPreview" topLeftCell="A166" zoomScale="55" zoomScaleNormal="75" zoomScaleSheetLayoutView="55" workbookViewId="0">
      <selection activeCell="F15" sqref="F15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1180"/>
    <col min="16" max="17" width="22.33203125" style="441"/>
    <col min="18" max="16384" width="22.33203125" style="376"/>
  </cols>
  <sheetData>
    <row r="1" spans="1:17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7" s="281" customFormat="1" ht="27">
      <c r="A2" s="575" t="s">
        <v>358</v>
      </c>
      <c r="B2" s="1031">
        <v>44359</v>
      </c>
      <c r="C2" s="1141" t="s">
        <v>68</v>
      </c>
      <c r="D2" s="611">
        <v>0.78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1181"/>
      <c r="P2" s="710"/>
      <c r="Q2" s="710"/>
    </row>
    <row r="3" spans="1:17" s="281" customFormat="1" ht="27">
      <c r="A3" s="570"/>
      <c r="B3" s="614"/>
      <c r="C3" s="1141" t="s">
        <v>119</v>
      </c>
      <c r="D3" s="612">
        <v>28</v>
      </c>
      <c r="E3" s="1573" t="s">
        <v>120</v>
      </c>
      <c r="F3" s="1574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7"/>
      <c r="O3" s="1181"/>
      <c r="P3" s="710"/>
      <c r="Q3" s="710"/>
    </row>
    <row r="4" spans="1:17" s="281" customFormat="1" ht="27">
      <c r="A4" s="576"/>
      <c r="B4" s="616"/>
      <c r="C4" s="1141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7"/>
      <c r="O4" s="1181"/>
      <c r="P4" s="710"/>
      <c r="Q4" s="710"/>
    </row>
    <row r="5" spans="1:17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6" t="s">
        <v>130</v>
      </c>
      <c r="B7" s="677"/>
      <c r="C7" s="677"/>
      <c r="D7" s="637" t="s">
        <v>131</v>
      </c>
      <c r="E7" s="633">
        <f>'11'!F7</f>
        <v>158295.56</v>
      </c>
      <c r="F7" s="455">
        <f>E7+21500</f>
        <v>179795.56</v>
      </c>
      <c r="G7" s="678">
        <f>F7-E7</f>
        <v>21500</v>
      </c>
      <c r="H7" s="679">
        <f>G7+'11'!H7</f>
        <v>257842.56000000006</v>
      </c>
      <c r="I7" s="680">
        <f>'1'!I7</f>
        <v>12000</v>
      </c>
      <c r="J7" s="681">
        <f>H7/DAY(B2)</f>
        <v>21486.880000000005</v>
      </c>
      <c r="K7" s="549"/>
      <c r="L7" s="377"/>
      <c r="N7" s="718"/>
      <c r="O7" s="727"/>
      <c r="P7" s="711"/>
    </row>
    <row r="8" spans="1:17" ht="27.75" thickBot="1">
      <c r="A8" s="682" t="s">
        <v>132</v>
      </c>
      <c r="B8" s="683"/>
      <c r="C8" s="684"/>
      <c r="D8" s="685" t="s">
        <v>25</v>
      </c>
      <c r="E8" s="633">
        <f>'11'!F8</f>
        <v>163953.78999999998</v>
      </c>
      <c r="F8" s="475">
        <f>E8+21500</f>
        <v>185453.78999999998</v>
      </c>
      <c r="G8" s="689">
        <f>F8-E8</f>
        <v>21500</v>
      </c>
      <c r="H8" s="679">
        <f>G8+'11'!H8</f>
        <v>258731.78999999998</v>
      </c>
      <c r="I8" s="686">
        <f>'1'!I8</f>
        <v>12000</v>
      </c>
      <c r="J8" s="681">
        <f>H8/DAY(B2)</f>
        <v>21560.982499999998</v>
      </c>
      <c r="K8" s="549"/>
      <c r="L8" s="425"/>
      <c r="M8" s="440"/>
      <c r="N8" s="718"/>
      <c r="O8" s="727"/>
      <c r="P8" s="713"/>
    </row>
    <row r="9" spans="1:17">
      <c r="A9" s="687" t="s">
        <v>133</v>
      </c>
      <c r="B9" s="688"/>
      <c r="C9" s="688"/>
      <c r="D9" s="637" t="s">
        <v>131</v>
      </c>
      <c r="E9" s="633">
        <f>'11'!F9</f>
        <v>1657132</v>
      </c>
      <c r="F9" s="478">
        <v>1675297</v>
      </c>
      <c r="G9" s="702">
        <f t="shared" ref="G9:G12" si="0">F9-E9</f>
        <v>18165</v>
      </c>
      <c r="H9" s="679">
        <f>G9+'11'!H9</f>
        <v>-355705</v>
      </c>
      <c r="I9" s="690">
        <f>I7-J7</f>
        <v>-9486.8800000000047</v>
      </c>
      <c r="J9" s="681">
        <f>H9/DAY(B2)</f>
        <v>-29642.083333333332</v>
      </c>
      <c r="K9" s="428"/>
      <c r="L9" s="377"/>
      <c r="N9" s="718"/>
      <c r="O9" s="727"/>
      <c r="P9" s="713"/>
    </row>
    <row r="10" spans="1:17">
      <c r="A10" s="676" t="s">
        <v>134</v>
      </c>
      <c r="B10" s="677"/>
      <c r="C10" s="677"/>
      <c r="D10" s="637" t="s">
        <v>131</v>
      </c>
      <c r="E10" s="633">
        <f>'11'!F10</f>
        <v>2606.5500000000002</v>
      </c>
      <c r="F10" s="478">
        <v>2606.5500000000002</v>
      </c>
      <c r="G10" s="689">
        <f t="shared" si="0"/>
        <v>0</v>
      </c>
      <c r="H10" s="679">
        <f>G10+'11'!H10</f>
        <v>0</v>
      </c>
      <c r="I10" s="691"/>
      <c r="J10" s="681">
        <f>H10/DAY(B2)</f>
        <v>0</v>
      </c>
      <c r="K10" s="428"/>
      <c r="L10" s="377"/>
      <c r="N10" s="718"/>
      <c r="O10" s="727"/>
      <c r="P10" s="713"/>
    </row>
    <row r="11" spans="1:17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G11+'11'!H11</f>
        <v>0</v>
      </c>
      <c r="I11" s="691"/>
      <c r="J11" s="681">
        <f>H11/DAY(B2)</f>
        <v>0</v>
      </c>
      <c r="K11" s="428"/>
      <c r="L11" s="377"/>
      <c r="N11" s="718"/>
      <c r="O11" s="727"/>
      <c r="P11" s="713"/>
    </row>
    <row r="12" spans="1:17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G12+'11'!H12</f>
        <v>0</v>
      </c>
      <c r="I12" s="691"/>
      <c r="J12" s="681">
        <f>H12/DAY(B2)</f>
        <v>0</v>
      </c>
      <c r="K12" s="428"/>
      <c r="L12" s="377"/>
      <c r="N12" s="718"/>
      <c r="O12" s="727"/>
      <c r="P12" s="713"/>
    </row>
    <row r="13" spans="1:17">
      <c r="A13" s="692" t="s">
        <v>137</v>
      </c>
      <c r="B13" s="693"/>
      <c r="C13" s="693"/>
      <c r="D13" s="637"/>
      <c r="E13" s="633"/>
      <c r="F13" s="455"/>
      <c r="G13" s="694">
        <f>G9+G10+G11+G12</f>
        <v>18165</v>
      </c>
      <c r="H13" s="679">
        <f>G13+'11'!H13</f>
        <v>-372230</v>
      </c>
      <c r="I13" s="695">
        <f>G7-G13</f>
        <v>3335</v>
      </c>
      <c r="J13" s="681">
        <f>H13/DAY(B2)</f>
        <v>-31019.166666666668</v>
      </c>
      <c r="K13" s="428"/>
      <c r="L13" s="377"/>
      <c r="N13" s="718"/>
      <c r="O13" s="727"/>
      <c r="P13" s="713"/>
    </row>
    <row r="14" spans="1:17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7"/>
      <c r="P14" s="713"/>
    </row>
    <row r="15" spans="1:17">
      <c r="A15" s="792" t="s">
        <v>139</v>
      </c>
      <c r="B15" s="793"/>
      <c r="C15" s="793"/>
      <c r="D15" s="524" t="s">
        <v>140</v>
      </c>
      <c r="E15" s="485">
        <f>'11'!F15</f>
        <v>1711967.16</v>
      </c>
      <c r="F15" s="700">
        <f>E15+700</f>
        <v>1712667.16</v>
      </c>
      <c r="G15" s="664">
        <f>(F15-E15)</f>
        <v>700</v>
      </c>
      <c r="H15" s="486">
        <f>G15+'11'!H15</f>
        <v>8984.1599999999162</v>
      </c>
      <c r="I15" s="474">
        <v>800</v>
      </c>
      <c r="J15" s="553">
        <f>H15/DAY(B2)</f>
        <v>748.67999999999302</v>
      </c>
      <c r="K15" s="428"/>
      <c r="L15" s="377"/>
      <c r="N15" s="718"/>
      <c r="O15" s="727"/>
      <c r="P15" s="713"/>
    </row>
    <row r="16" spans="1:17">
      <c r="A16" s="587"/>
      <c r="B16" s="588"/>
      <c r="C16" s="588"/>
      <c r="D16" s="524"/>
      <c r="E16" s="485"/>
      <c r="F16" s="485"/>
      <c r="G16" s="669"/>
      <c r="H16" s="486"/>
      <c r="I16" s="482">
        <f>I15-J15</f>
        <v>51.320000000006985</v>
      </c>
      <c r="J16" s="553"/>
      <c r="K16" s="428"/>
      <c r="L16" s="377"/>
      <c r="N16" s="718"/>
      <c r="O16" s="727"/>
      <c r="P16" s="713"/>
    </row>
    <row r="17" spans="1:17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7"/>
      <c r="P17" s="713"/>
    </row>
    <row r="18" spans="1:17" ht="27.75">
      <c r="A18" s="1607" t="s">
        <v>142</v>
      </c>
      <c r="B18" s="1608"/>
      <c r="C18" s="1609"/>
      <c r="D18" s="637" t="s">
        <v>143</v>
      </c>
      <c r="E18" s="634">
        <f>'11'!F18</f>
        <v>4</v>
      </c>
      <c r="F18" s="478">
        <v>6</v>
      </c>
      <c r="G18" s="694">
        <f>F18*10</f>
        <v>60</v>
      </c>
      <c r="H18" s="679">
        <f>G18+'11'!H18</f>
        <v>1150</v>
      </c>
      <c r="I18" s="680">
        <f>'1'!I18</f>
        <v>65</v>
      </c>
      <c r="J18" s="681">
        <f>H18/DAY(B2)</f>
        <v>95.833333333333329</v>
      </c>
      <c r="K18" s="428"/>
      <c r="L18" s="377"/>
      <c r="N18" s="718"/>
      <c r="O18" s="727"/>
      <c r="P18" s="713"/>
    </row>
    <row r="19" spans="1:17" ht="27.75">
      <c r="A19" s="1607" t="s">
        <v>70</v>
      </c>
      <c r="B19" s="1608"/>
      <c r="C19" s="1609"/>
      <c r="D19" s="637" t="s">
        <v>143</v>
      </c>
      <c r="E19" s="634">
        <f>'11'!F19</f>
        <v>140303</v>
      </c>
      <c r="F19" s="478">
        <v>140368</v>
      </c>
      <c r="G19" s="689">
        <f t="shared" ref="G19" si="1">F19-E19</f>
        <v>65</v>
      </c>
      <c r="H19" s="679">
        <f>G19+'11'!H19</f>
        <v>-1127</v>
      </c>
      <c r="I19" s="696"/>
      <c r="J19" s="681">
        <f>H19/DAY(B2)</f>
        <v>-93.916666666666671</v>
      </c>
      <c r="K19" s="428"/>
      <c r="L19" s="377"/>
      <c r="N19" s="718"/>
      <c r="O19" s="727"/>
      <c r="P19" s="713"/>
    </row>
    <row r="20" spans="1:17">
      <c r="A20" s="692" t="s">
        <v>144</v>
      </c>
      <c r="B20" s="693"/>
      <c r="C20" s="693"/>
      <c r="D20" s="637"/>
      <c r="E20" s="637"/>
      <c r="F20" s="709"/>
      <c r="G20" s="697">
        <f>G18+G19</f>
        <v>125</v>
      </c>
      <c r="H20" s="679">
        <f>G20+'11'!H20</f>
        <v>23</v>
      </c>
      <c r="I20" s="698">
        <f>I18-J20</f>
        <v>63.083333333333336</v>
      </c>
      <c r="J20" s="681">
        <f>H20/DAY(B2)</f>
        <v>1.9166666666666667</v>
      </c>
      <c r="K20" s="428"/>
      <c r="L20" s="377"/>
      <c r="N20" s="718"/>
      <c r="O20" s="727"/>
      <c r="P20" s="713"/>
    </row>
    <row r="21" spans="1:17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7"/>
      <c r="P21" s="713"/>
    </row>
    <row r="22" spans="1:17">
      <c r="A22" s="1139" t="s">
        <v>146</v>
      </c>
      <c r="B22" s="589"/>
      <c r="C22" s="589"/>
      <c r="D22" s="523" t="s">
        <v>147</v>
      </c>
      <c r="E22" s="634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18"/>
      <c r="O22" s="727"/>
      <c r="P22" s="713"/>
    </row>
    <row r="23" spans="1:17">
      <c r="A23" s="1139" t="s">
        <v>148</v>
      </c>
      <c r="B23" s="589"/>
      <c r="C23" s="589"/>
      <c r="D23" s="523" t="s">
        <v>147</v>
      </c>
      <c r="E23" s="634">
        <f>'11'!F23</f>
        <v>2000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18"/>
      <c r="O23" s="727"/>
      <c r="P23" s="713"/>
    </row>
    <row r="24" spans="1:17">
      <c r="A24" s="590" t="s">
        <v>149</v>
      </c>
      <c r="B24" s="591"/>
      <c r="C24" s="591"/>
      <c r="D24" s="511" t="s">
        <v>147</v>
      </c>
      <c r="E24" s="493">
        <f>'11'!F24</f>
        <v>4970</v>
      </c>
      <c r="F24" s="485">
        <v>4970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18"/>
      <c r="O24" s="727"/>
      <c r="P24" s="713"/>
    </row>
    <row r="25" spans="1:17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7"/>
      <c r="P25" s="713"/>
      <c r="Q25" s="445"/>
    </row>
    <row r="26" spans="1:17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7"/>
      <c r="P26" s="713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G27+'11'!H27</f>
        <v>2328586.11</v>
      </c>
      <c r="I27" s="503"/>
      <c r="J27" s="552">
        <f>H27/DAY(B2)</f>
        <v>194048.8425</v>
      </c>
      <c r="K27" s="373"/>
      <c r="L27" s="443"/>
      <c r="N27" s="718"/>
      <c r="O27" s="727"/>
      <c r="P27" s="713"/>
      <c r="Q27" s="445"/>
    </row>
    <row r="28" spans="1:17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G28+'11'!H28</f>
        <v>467176.31999999564</v>
      </c>
      <c r="I28" s="505"/>
      <c r="J28" s="552">
        <f>H28/DAY(B2)</f>
        <v>38931.359999999637</v>
      </c>
      <c r="K28" s="373"/>
      <c r="L28" s="443"/>
      <c r="N28" s="718"/>
      <c r="O28" s="727"/>
      <c r="P28" s="713"/>
      <c r="Q28" s="445"/>
    </row>
    <row r="29" spans="1:17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18"/>
      <c r="O29" s="727"/>
      <c r="P29" s="713"/>
      <c r="Q29" s="445"/>
    </row>
    <row r="30" spans="1:17" s="442" customFormat="1" ht="27.75">
      <c r="A30" s="592" t="s">
        <v>157</v>
      </c>
      <c r="B30" s="593"/>
      <c r="C30" s="594"/>
      <c r="D30" s="619" t="s">
        <v>158</v>
      </c>
      <c r="E30" s="699">
        <f>G19</f>
        <v>65</v>
      </c>
      <c r="F30" s="501">
        <v>146</v>
      </c>
      <c r="G30" s="502">
        <f>E30*F30</f>
        <v>9490</v>
      </c>
      <c r="H30" s="460">
        <f>G30+'11'!H30</f>
        <v>-165126</v>
      </c>
      <c r="I30" s="505"/>
      <c r="J30" s="552">
        <f>H30/DAY(B2)</f>
        <v>-13760.5</v>
      </c>
      <c r="K30" s="373"/>
      <c r="L30" s="443"/>
      <c r="N30" s="718"/>
      <c r="O30" s="727"/>
      <c r="P30" s="713"/>
      <c r="Q30" s="445"/>
    </row>
    <row r="31" spans="1:17" s="442" customFormat="1" ht="27.75">
      <c r="A31" s="592" t="s">
        <v>159</v>
      </c>
      <c r="B31" s="593"/>
      <c r="C31" s="594"/>
      <c r="D31" s="619" t="s">
        <v>143</v>
      </c>
      <c r="E31" s="699">
        <f>G18</f>
        <v>60</v>
      </c>
      <c r="F31" s="501">
        <v>80</v>
      </c>
      <c r="G31" s="502">
        <f>E31*F31</f>
        <v>4800</v>
      </c>
      <c r="H31" s="460">
        <f>G31+'11'!H31</f>
        <v>86400</v>
      </c>
      <c r="I31" s="505"/>
      <c r="J31" s="552">
        <f>H31/DAY(B2)</f>
        <v>7200</v>
      </c>
      <c r="K31" s="373"/>
      <c r="L31" s="443"/>
      <c r="N31" s="718"/>
      <c r="O31" s="727"/>
      <c r="P31" s="713"/>
      <c r="Q31" s="445"/>
    </row>
    <row r="32" spans="1:17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244190</v>
      </c>
      <c r="H32" s="460">
        <f>G32+'11'!H32</f>
        <v>2717036.429999995</v>
      </c>
      <c r="I32" s="509"/>
      <c r="J32" s="552">
        <f>H32/DAY(B2)</f>
        <v>226419.70249999958</v>
      </c>
      <c r="K32" s="373"/>
      <c r="L32" s="443"/>
      <c r="N32" s="718"/>
      <c r="O32" s="727"/>
      <c r="P32" s="713"/>
      <c r="Q32" s="445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7"/>
      <c r="P33" s="713"/>
    </row>
    <row r="34" spans="1:16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7"/>
      <c r="P34" s="713"/>
    </row>
    <row r="35" spans="1:16">
      <c r="A35" s="578" t="s">
        <v>163</v>
      </c>
      <c r="B35" s="579"/>
      <c r="C35" s="579"/>
      <c r="D35" s="523" t="s">
        <v>131</v>
      </c>
      <c r="E35" s="510">
        <f>'11'!F35</f>
        <v>976723</v>
      </c>
      <c r="F35" s="510">
        <v>979277</v>
      </c>
      <c r="G35" s="473">
        <f t="shared" ref="G35:G46" si="3">F35-E35</f>
        <v>2554</v>
      </c>
      <c r="H35" s="460">
        <f>G35+'11'!H35</f>
        <v>-49437</v>
      </c>
      <c r="I35" s="455"/>
      <c r="J35" s="552">
        <f>H35/DAY(B2)</f>
        <v>-4119.75</v>
      </c>
      <c r="K35" s="428"/>
      <c r="L35" s="377"/>
      <c r="N35" s="718"/>
      <c r="O35" s="727"/>
      <c r="P35" s="713"/>
    </row>
    <row r="36" spans="1:16">
      <c r="A36" s="578" t="s">
        <v>164</v>
      </c>
      <c r="B36" s="579"/>
      <c r="C36" s="579"/>
      <c r="D36" s="523" t="s">
        <v>131</v>
      </c>
      <c r="E36" s="510">
        <f>'11'!F36</f>
        <v>6410</v>
      </c>
      <c r="F36" s="510">
        <v>6954</v>
      </c>
      <c r="G36" s="473">
        <f t="shared" si="3"/>
        <v>544</v>
      </c>
      <c r="H36" s="460">
        <f>G36+'11'!H36</f>
        <v>-13507</v>
      </c>
      <c r="I36" s="455"/>
      <c r="J36" s="552">
        <f>H36/DAY(B2)</f>
        <v>-1125.5833333333333</v>
      </c>
      <c r="K36" s="428"/>
      <c r="L36" s="377"/>
      <c r="N36" s="719"/>
      <c r="O36" s="727"/>
      <c r="P36" s="713"/>
    </row>
    <row r="37" spans="1:16">
      <c r="A37" s="578" t="s">
        <v>165</v>
      </c>
      <c r="B37" s="579"/>
      <c r="C37" s="579"/>
      <c r="D37" s="523" t="s">
        <v>131</v>
      </c>
      <c r="E37" s="510">
        <f>'11'!F37</f>
        <v>148828</v>
      </c>
      <c r="F37" s="510">
        <v>150289</v>
      </c>
      <c r="G37" s="473">
        <f t="shared" si="3"/>
        <v>1461</v>
      </c>
      <c r="H37" s="460">
        <f>G37+'11'!H37</f>
        <v>-26281</v>
      </c>
      <c r="I37" s="455"/>
      <c r="J37" s="552">
        <f>H37/DAY(B2)</f>
        <v>-2190.0833333333335</v>
      </c>
      <c r="K37" s="428"/>
      <c r="L37" s="377"/>
      <c r="N37" s="719"/>
      <c r="O37" s="727"/>
      <c r="P37" s="713"/>
    </row>
    <row r="38" spans="1:16">
      <c r="A38" s="578" t="s">
        <v>166</v>
      </c>
      <c r="B38" s="579"/>
      <c r="C38" s="579"/>
      <c r="D38" s="523" t="s">
        <v>131</v>
      </c>
      <c r="E38" s="510">
        <f>'11'!F38</f>
        <v>169782</v>
      </c>
      <c r="F38" s="469">
        <v>171165</v>
      </c>
      <c r="G38" s="473">
        <f t="shared" si="3"/>
        <v>1383</v>
      </c>
      <c r="H38" s="460">
        <f>G38+'11'!H38</f>
        <v>-27294</v>
      </c>
      <c r="I38" s="455"/>
      <c r="J38" s="552">
        <f>H38/DAY(B2)</f>
        <v>-2274.5</v>
      </c>
      <c r="K38" s="428"/>
      <c r="L38" s="377"/>
      <c r="N38" s="718"/>
      <c r="O38" s="727"/>
      <c r="P38" s="713"/>
    </row>
    <row r="39" spans="1:16">
      <c r="A39" s="578" t="s">
        <v>167</v>
      </c>
      <c r="B39" s="579"/>
      <c r="C39" s="579"/>
      <c r="D39" s="523" t="s">
        <v>131</v>
      </c>
      <c r="E39" s="510">
        <f>'11'!F39</f>
        <v>338578</v>
      </c>
      <c r="F39" s="510">
        <v>342095</v>
      </c>
      <c r="G39" s="473">
        <f t="shared" si="3"/>
        <v>3517</v>
      </c>
      <c r="H39" s="460">
        <f>G39+'11'!H39</f>
        <v>-62769</v>
      </c>
      <c r="I39" s="455"/>
      <c r="J39" s="552">
        <f>H39/DAY(B2)</f>
        <v>-5230.75</v>
      </c>
      <c r="K39" s="428"/>
      <c r="L39" s="377"/>
      <c r="N39" s="718"/>
      <c r="O39" s="727"/>
      <c r="P39" s="713"/>
    </row>
    <row r="40" spans="1:16">
      <c r="A40" s="599" t="s">
        <v>168</v>
      </c>
      <c r="B40" s="600"/>
      <c r="C40" s="600"/>
      <c r="D40" s="523" t="s">
        <v>131</v>
      </c>
      <c r="E40" s="510">
        <f>'11'!F40</f>
        <v>1057</v>
      </c>
      <c r="F40" s="510">
        <v>1057</v>
      </c>
      <c r="G40" s="473">
        <f t="shared" si="3"/>
        <v>0</v>
      </c>
      <c r="H40" s="460">
        <f>G40+'11'!H40</f>
        <v>-6056</v>
      </c>
      <c r="I40" s="455"/>
      <c r="J40" s="552">
        <f>H40/DAY(B2)</f>
        <v>-504.66666666666669</v>
      </c>
      <c r="K40" s="429"/>
      <c r="L40" s="377"/>
      <c r="N40" s="718"/>
      <c r="O40" s="727"/>
      <c r="P40" s="713"/>
    </row>
    <row r="41" spans="1:16">
      <c r="A41" s="578" t="s">
        <v>169</v>
      </c>
      <c r="B41" s="579"/>
      <c r="C41" s="579"/>
      <c r="D41" s="523" t="s">
        <v>131</v>
      </c>
      <c r="E41" s="510">
        <f>'11'!F41</f>
        <v>263103</v>
      </c>
      <c r="F41" s="510">
        <v>268701</v>
      </c>
      <c r="G41" s="473">
        <f>F41-E41</f>
        <v>5598</v>
      </c>
      <c r="H41" s="460">
        <f>G41+'11'!H41</f>
        <v>-60941</v>
      </c>
      <c r="I41" s="455"/>
      <c r="J41" s="552">
        <f>H41/DAY(B2)</f>
        <v>-5078.416666666667</v>
      </c>
      <c r="K41" s="428"/>
      <c r="L41" s="377"/>
      <c r="N41" s="718"/>
      <c r="O41" s="727"/>
      <c r="P41" s="713"/>
    </row>
    <row r="42" spans="1:16">
      <c r="A42" s="578" t="s">
        <v>170</v>
      </c>
      <c r="B42" s="579"/>
      <c r="C42" s="579"/>
      <c r="D42" s="523" t="s">
        <v>131</v>
      </c>
      <c r="E42" s="510">
        <f>'11'!F42</f>
        <v>59211</v>
      </c>
      <c r="F42" s="510">
        <v>59211</v>
      </c>
      <c r="G42" s="473">
        <f t="shared" si="3"/>
        <v>0</v>
      </c>
      <c r="H42" s="460">
        <f>G42+'11'!H42</f>
        <v>12.110000000000582</v>
      </c>
      <c r="I42" s="455"/>
      <c r="J42" s="552">
        <f>H42/DAY(B2)</f>
        <v>1.0091666666667152</v>
      </c>
      <c r="K42" s="428"/>
      <c r="L42" s="377"/>
      <c r="N42" s="718"/>
      <c r="O42" s="727"/>
      <c r="P42" s="713"/>
    </row>
    <row r="43" spans="1:16">
      <c r="A43" s="578" t="s">
        <v>171</v>
      </c>
      <c r="B43" s="579"/>
      <c r="C43" s="579"/>
      <c r="D43" s="523" t="s">
        <v>131</v>
      </c>
      <c r="E43" s="510">
        <f>'11'!F43</f>
        <v>1068744</v>
      </c>
      <c r="F43" s="510">
        <v>1071126</v>
      </c>
      <c r="G43" s="473">
        <f t="shared" si="3"/>
        <v>2382</v>
      </c>
      <c r="H43" s="460">
        <f>G43+'11'!H43</f>
        <v>-49326</v>
      </c>
      <c r="I43" s="455"/>
      <c r="J43" s="552">
        <f>H43/DAY(B2)</f>
        <v>-4110.5</v>
      </c>
      <c r="K43" s="428"/>
      <c r="L43" s="377"/>
      <c r="N43" s="718"/>
      <c r="O43" s="727"/>
      <c r="P43" s="713"/>
    </row>
    <row r="44" spans="1:16">
      <c r="A44" s="578" t="s">
        <v>172</v>
      </c>
      <c r="B44" s="579"/>
      <c r="C44" s="579"/>
      <c r="D44" s="523" t="s">
        <v>131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18"/>
      <c r="O44" s="727"/>
      <c r="P44" s="713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18"/>
      <c r="O45" s="727"/>
      <c r="P45" s="713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18"/>
      <c r="O46" s="727"/>
      <c r="P46" s="713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17439</v>
      </c>
      <c r="H47" s="460">
        <f>G47+'11'!H47</f>
        <v>-294797.39999999997</v>
      </c>
      <c r="I47" s="455"/>
      <c r="J47" s="552">
        <f>H47/DAY(B2)</f>
        <v>-24566.449999999997</v>
      </c>
      <c r="K47" s="428"/>
      <c r="L47" s="377"/>
      <c r="N47" s="718"/>
      <c r="O47" s="727"/>
      <c r="P47" s="713"/>
    </row>
    <row r="48" spans="1:16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7"/>
      <c r="P48" s="713"/>
    </row>
    <row r="49" spans="1:16">
      <c r="A49" s="578" t="s">
        <v>163</v>
      </c>
      <c r="B49" s="601"/>
      <c r="C49" s="601"/>
      <c r="D49" s="523" t="s">
        <v>131</v>
      </c>
      <c r="E49" s="510">
        <f>'11'!F49</f>
        <v>260732.13</v>
      </c>
      <c r="F49" s="510">
        <v>260732.13</v>
      </c>
      <c r="G49" s="473">
        <f t="shared" ref="G49:G58" si="4">F49-E49</f>
        <v>0</v>
      </c>
      <c r="H49" s="460">
        <f>G49+'11'!H49</f>
        <v>0.13000000000465661</v>
      </c>
      <c r="I49" s="455"/>
      <c r="J49" s="552">
        <f>H49/DAY(B2)</f>
        <v>1.0833333333721384E-2</v>
      </c>
      <c r="K49" s="428"/>
      <c r="L49" s="377"/>
      <c r="N49" s="718"/>
      <c r="O49" s="727"/>
      <c r="P49" s="713"/>
    </row>
    <row r="50" spans="1:16">
      <c r="A50" s="578" t="s">
        <v>177</v>
      </c>
      <c r="B50" s="601"/>
      <c r="C50" s="601"/>
      <c r="D50" s="523" t="s">
        <v>131</v>
      </c>
      <c r="E50" s="510">
        <f>'11'!F50</f>
        <v>512869</v>
      </c>
      <c r="F50" s="510">
        <v>513808</v>
      </c>
      <c r="G50" s="473">
        <f t="shared" si="4"/>
        <v>939</v>
      </c>
      <c r="H50" s="460">
        <f>G50+'11'!H50</f>
        <v>-21745</v>
      </c>
      <c r="I50" s="455"/>
      <c r="J50" s="552">
        <f>H50/DAY(B2)</f>
        <v>-1812.0833333333333</v>
      </c>
      <c r="K50" s="428"/>
      <c r="L50" s="377"/>
      <c r="N50" s="718"/>
      <c r="O50" s="727"/>
      <c r="P50" s="713"/>
    </row>
    <row r="51" spans="1:16">
      <c r="A51" s="578" t="s">
        <v>165</v>
      </c>
      <c r="B51" s="601"/>
      <c r="C51" s="601"/>
      <c r="D51" s="523" t="s">
        <v>131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18"/>
      <c r="O51" s="727"/>
      <c r="P51" s="713"/>
    </row>
    <row r="52" spans="1:16">
      <c r="A52" s="578" t="s">
        <v>178</v>
      </c>
      <c r="B52" s="601"/>
      <c r="C52" s="601"/>
      <c r="D52" s="523" t="s">
        <v>131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8"/>
      <c r="O52" s="727"/>
      <c r="P52" s="713"/>
    </row>
    <row r="53" spans="1:16">
      <c r="A53" s="578" t="s">
        <v>167</v>
      </c>
      <c r="B53" s="601"/>
      <c r="C53" s="601"/>
      <c r="D53" s="523" t="s">
        <v>131</v>
      </c>
      <c r="E53" s="510">
        <f>'11'!F53</f>
        <v>434232</v>
      </c>
      <c r="F53" s="510">
        <v>434232</v>
      </c>
      <c r="G53" s="473">
        <f t="shared" si="4"/>
        <v>0</v>
      </c>
      <c r="H53" s="460">
        <f>G53+'11'!H53</f>
        <v>-0.33000000001629815</v>
      </c>
      <c r="I53" s="455"/>
      <c r="J53" s="552">
        <f>H53/DAY(B2)</f>
        <v>-2.7500000001358178E-2</v>
      </c>
      <c r="K53" s="428"/>
      <c r="L53" s="377"/>
      <c r="N53" s="718"/>
      <c r="O53" s="727"/>
      <c r="P53" s="713"/>
    </row>
    <row r="54" spans="1:16">
      <c r="A54" s="578" t="s">
        <v>179</v>
      </c>
      <c r="B54" s="601"/>
      <c r="C54" s="601"/>
      <c r="D54" s="523" t="s">
        <v>131</v>
      </c>
      <c r="E54" s="510">
        <f>'11'!F54</f>
        <v>14661</v>
      </c>
      <c r="F54" s="510">
        <v>14744</v>
      </c>
      <c r="G54" s="473">
        <f t="shared" si="4"/>
        <v>83</v>
      </c>
      <c r="H54" s="460">
        <f>G54+'11'!H54</f>
        <v>-302</v>
      </c>
      <c r="I54" s="455"/>
      <c r="J54" s="552">
        <f>H54/DAY(B2)</f>
        <v>-25.166666666666668</v>
      </c>
      <c r="K54" s="428"/>
      <c r="L54" s="377"/>
      <c r="N54" s="718"/>
      <c r="O54" s="727"/>
      <c r="P54" s="713"/>
    </row>
    <row r="55" spans="1:16">
      <c r="A55" s="578" t="s">
        <v>180</v>
      </c>
      <c r="B55" s="601"/>
      <c r="C55" s="601"/>
      <c r="D55" s="523" t="s">
        <v>131</v>
      </c>
      <c r="E55" s="510">
        <f>'11'!F55</f>
        <v>68136.52</v>
      </c>
      <c r="F55" s="653">
        <v>68136.52</v>
      </c>
      <c r="G55" s="652">
        <f t="shared" si="4"/>
        <v>0</v>
      </c>
      <c r="H55" s="705">
        <f>G55+'11'!H55</f>
        <v>-49499.479999999996</v>
      </c>
      <c r="I55" s="706"/>
      <c r="J55" s="707">
        <f>H55/DAY(B2)</f>
        <v>-4124.956666666666</v>
      </c>
      <c r="K55" s="428"/>
      <c r="L55" s="377"/>
      <c r="N55" s="718"/>
      <c r="O55" s="727"/>
      <c r="P55" s="713"/>
    </row>
    <row r="56" spans="1:16">
      <c r="A56" s="578" t="s">
        <v>181</v>
      </c>
      <c r="B56" s="601"/>
      <c r="C56" s="601"/>
      <c r="D56" s="523" t="s">
        <v>182</v>
      </c>
      <c r="E56" s="510">
        <f>'11'!F56</f>
        <v>648815</v>
      </c>
      <c r="F56" s="653">
        <v>648815</v>
      </c>
      <c r="G56" s="473">
        <f t="shared" si="4"/>
        <v>0</v>
      </c>
      <c r="H56" s="460">
        <f>G56+'11'!H56</f>
        <v>-217</v>
      </c>
      <c r="I56" s="455"/>
      <c r="J56" s="552">
        <f>H56/DAY(B2)</f>
        <v>-18.083333333333332</v>
      </c>
      <c r="K56" s="427"/>
      <c r="L56" s="377"/>
      <c r="N56" s="718"/>
      <c r="O56" s="727"/>
      <c r="P56" s="713"/>
    </row>
    <row r="57" spans="1:16">
      <c r="A57" s="578" t="s">
        <v>171</v>
      </c>
      <c r="B57" s="601"/>
      <c r="C57" s="601"/>
      <c r="D57" s="523" t="s">
        <v>131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18"/>
      <c r="O57" s="727"/>
      <c r="P57" s="713"/>
    </row>
    <row r="58" spans="1:16">
      <c r="A58" s="578" t="s">
        <v>183</v>
      </c>
      <c r="B58" s="601"/>
      <c r="C58" s="601"/>
      <c r="D58" s="523" t="s">
        <v>131</v>
      </c>
      <c r="E58" s="510">
        <f>'11'!F58</f>
        <v>50897</v>
      </c>
      <c r="F58" s="653">
        <v>50934</v>
      </c>
      <c r="G58" s="473">
        <f t="shared" si="4"/>
        <v>37</v>
      </c>
      <c r="H58" s="460">
        <f>G58+'11'!H58</f>
        <v>-3291.2099999999991</v>
      </c>
      <c r="I58" s="455"/>
      <c r="J58" s="552">
        <f>H58/DAY(B2)</f>
        <v>-274.26749999999993</v>
      </c>
      <c r="K58" s="428"/>
      <c r="L58" s="377"/>
      <c r="N58" s="718"/>
      <c r="O58" s="727"/>
      <c r="P58" s="713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1059</v>
      </c>
      <c r="H59" s="460">
        <f>G59+'11'!H59</f>
        <v>-75054.95000000007</v>
      </c>
      <c r="I59" s="455">
        <f>G7-G60</f>
        <v>3002</v>
      </c>
      <c r="J59" s="552">
        <f>H59/DAY(B2)</f>
        <v>-6254.5791666666728</v>
      </c>
      <c r="K59" s="428"/>
      <c r="L59" s="377"/>
      <c r="N59" s="718"/>
      <c r="O59" s="727"/>
      <c r="P59" s="713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18498</v>
      </c>
      <c r="H60" s="460">
        <f>G60+'11'!H60</f>
        <v>-368643.81000000011</v>
      </c>
      <c r="I60" s="455">
        <f>G13-G60</f>
        <v>-333</v>
      </c>
      <c r="J60" s="552">
        <f>H60/DAY(B2)</f>
        <v>-30720.317500000008</v>
      </c>
      <c r="K60" s="428"/>
      <c r="L60" s="377"/>
      <c r="N60" s="718"/>
      <c r="O60" s="727"/>
      <c r="P60" s="713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7"/>
      <c r="P61" s="713"/>
    </row>
    <row r="62" spans="1:16">
      <c r="A62" s="603" t="s">
        <v>97</v>
      </c>
      <c r="B62" s="604"/>
      <c r="C62" s="604"/>
      <c r="D62" s="511" t="s">
        <v>186</v>
      </c>
      <c r="E62" s="514">
        <f>'11'!F62</f>
        <v>0</v>
      </c>
      <c r="F62" s="514">
        <v>0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18"/>
      <c r="O62" s="727"/>
      <c r="P62" s="713"/>
    </row>
    <row r="63" spans="1:16">
      <c r="A63" s="603" t="s">
        <v>187</v>
      </c>
      <c r="B63" s="604"/>
      <c r="C63" s="604"/>
      <c r="D63" s="511" t="s">
        <v>186</v>
      </c>
      <c r="E63" s="514">
        <f>'11'!F63</f>
        <v>0</v>
      </c>
      <c r="F63" s="514">
        <v>0</v>
      </c>
      <c r="G63" s="473">
        <f t="shared" si="5"/>
        <v>0</v>
      </c>
      <c r="H63" s="460">
        <f>G63+'11'!H63</f>
        <v>0</v>
      </c>
      <c r="I63" s="515"/>
      <c r="J63" s="552">
        <f>H63/DAY(B2)</f>
        <v>0</v>
      </c>
      <c r="K63" s="428"/>
      <c r="L63" s="377"/>
      <c r="N63" s="718"/>
      <c r="O63" s="727"/>
      <c r="P63" s="713"/>
    </row>
    <row r="64" spans="1:16" ht="27.75">
      <c r="A64" s="1540" t="s">
        <v>98</v>
      </c>
      <c r="B64" s="1541"/>
      <c r="C64" s="1542"/>
      <c r="D64" s="523" t="s">
        <v>186</v>
      </c>
      <c r="E64" s="514">
        <f>'11'!F64</f>
        <v>163000</v>
      </c>
      <c r="F64" s="478">
        <v>163334</v>
      </c>
      <c r="G64" s="473">
        <f t="shared" si="5"/>
        <v>334</v>
      </c>
      <c r="H64" s="460">
        <f>G64+'11'!H64</f>
        <v>-6688</v>
      </c>
      <c r="I64" s="480"/>
      <c r="J64" s="552">
        <f>H64/DAY(B2)</f>
        <v>-557.33333333333337</v>
      </c>
      <c r="K64" s="428"/>
      <c r="L64" s="377"/>
      <c r="N64" s="718"/>
      <c r="O64" s="727"/>
      <c r="P64" s="713"/>
    </row>
    <row r="65" spans="1:16" ht="27.75">
      <c r="A65" s="1540" t="s">
        <v>99</v>
      </c>
      <c r="B65" s="1541"/>
      <c r="C65" s="1542"/>
      <c r="D65" s="523" t="s">
        <v>186</v>
      </c>
      <c r="E65" s="514">
        <f>'11'!F65</f>
        <v>163635</v>
      </c>
      <c r="F65" s="651">
        <v>164001</v>
      </c>
      <c r="G65" s="473">
        <f t="shared" si="5"/>
        <v>366</v>
      </c>
      <c r="H65" s="460">
        <f>G65+'11'!H65</f>
        <v>-6301</v>
      </c>
      <c r="I65" s="489"/>
      <c r="J65" s="552">
        <f>H65/DAY(B2)</f>
        <v>-525.08333333333337</v>
      </c>
      <c r="K65" s="428"/>
      <c r="L65" s="377"/>
      <c r="N65" s="718"/>
      <c r="O65" s="727"/>
      <c r="P65" s="713"/>
    </row>
    <row r="66" spans="1:16" ht="27.75">
      <c r="A66" s="1540" t="s">
        <v>100</v>
      </c>
      <c r="B66" s="1541"/>
      <c r="C66" s="1542"/>
      <c r="D66" s="523" t="s">
        <v>186</v>
      </c>
      <c r="E66" s="514">
        <f>'11'!F66</f>
        <v>60644</v>
      </c>
      <c r="F66" s="478">
        <v>61071</v>
      </c>
      <c r="G66" s="473">
        <f t="shared" si="5"/>
        <v>427</v>
      </c>
      <c r="H66" s="460">
        <f>G66+'11'!H66</f>
        <v>-6899</v>
      </c>
      <c r="I66" s="480"/>
      <c r="J66" s="552">
        <f>H66/DAY(B2)</f>
        <v>-574.91666666666663</v>
      </c>
      <c r="K66" s="428"/>
      <c r="L66" s="377"/>
      <c r="N66" s="718"/>
      <c r="O66" s="727"/>
      <c r="P66" s="713"/>
    </row>
    <row r="67" spans="1:16" ht="27.75">
      <c r="A67" s="1540" t="s">
        <v>101</v>
      </c>
      <c r="B67" s="1541"/>
      <c r="C67" s="1542"/>
      <c r="D67" s="523" t="s">
        <v>186</v>
      </c>
      <c r="E67" s="514">
        <f>'11'!F67</f>
        <v>256499</v>
      </c>
      <c r="F67" s="478">
        <v>256958</v>
      </c>
      <c r="G67" s="473">
        <f t="shared" si="5"/>
        <v>459</v>
      </c>
      <c r="H67" s="460">
        <f>G67+'11'!H67</f>
        <v>-8001</v>
      </c>
      <c r="I67" s="489"/>
      <c r="J67" s="552">
        <f>H67/DAY(B2)</f>
        <v>-666.75</v>
      </c>
      <c r="K67" s="429"/>
      <c r="L67" s="377"/>
      <c r="N67" s="718"/>
      <c r="O67" s="727"/>
      <c r="P67" s="713"/>
    </row>
    <row r="68" spans="1:16" ht="27.75">
      <c r="A68" s="1540" t="s">
        <v>102</v>
      </c>
      <c r="B68" s="1541"/>
      <c r="C68" s="1542"/>
      <c r="D68" s="523" t="s">
        <v>186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18"/>
      <c r="O68" s="727"/>
      <c r="P68" s="713"/>
    </row>
    <row r="69" spans="1:16" ht="27.75">
      <c r="A69" s="1540" t="s">
        <v>103</v>
      </c>
      <c r="B69" s="1541"/>
      <c r="C69" s="1542"/>
      <c r="D69" s="523" t="s">
        <v>186</v>
      </c>
      <c r="E69" s="514">
        <f>'11'!F69</f>
        <v>83077</v>
      </c>
      <c r="F69" s="478">
        <v>83304</v>
      </c>
      <c r="G69" s="473">
        <f t="shared" si="5"/>
        <v>227</v>
      </c>
      <c r="H69" s="460">
        <f>G69+'11'!H69</f>
        <v>-4211</v>
      </c>
      <c r="I69" s="516"/>
      <c r="J69" s="552">
        <f>H69/DAY(B2)</f>
        <v>-350.91666666666669</v>
      </c>
      <c r="K69" s="431"/>
      <c r="L69" s="377"/>
      <c r="N69" s="718"/>
      <c r="O69" s="727"/>
      <c r="P69" s="713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18"/>
      <c r="O70" s="727"/>
      <c r="P70" s="713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7"/>
      <c r="P71" s="713"/>
    </row>
    <row r="72" spans="1:16" ht="27.75">
      <c r="A72" s="1540" t="s">
        <v>190</v>
      </c>
      <c r="B72" s="1541"/>
      <c r="C72" s="1542"/>
      <c r="D72" s="523" t="s">
        <v>186</v>
      </c>
      <c r="E72" s="519">
        <f>'11'!F72</f>
        <v>855989</v>
      </c>
      <c r="F72" s="654">
        <v>856001</v>
      </c>
      <c r="G72" s="473">
        <f t="shared" ref="G72:G84" si="6">F72-E72</f>
        <v>12</v>
      </c>
      <c r="H72" s="460">
        <f>G72+'11'!H72</f>
        <v>-221</v>
      </c>
      <c r="I72" s="480"/>
      <c r="J72" s="552">
        <f>H72/DAY(B2)</f>
        <v>-18.416666666666668</v>
      </c>
      <c r="K72" s="431"/>
      <c r="L72" s="377"/>
      <c r="N72" s="718"/>
      <c r="O72" s="727"/>
      <c r="P72" s="713"/>
    </row>
    <row r="73" spans="1:16" ht="27.75">
      <c r="A73" s="1540" t="s">
        <v>191</v>
      </c>
      <c r="B73" s="1541"/>
      <c r="C73" s="1542"/>
      <c r="D73" s="523" t="s">
        <v>186</v>
      </c>
      <c r="E73" s="519">
        <f>'11'!F73</f>
        <v>885949</v>
      </c>
      <c r="F73" s="655">
        <v>885951</v>
      </c>
      <c r="G73" s="652">
        <f t="shared" si="6"/>
        <v>2</v>
      </c>
      <c r="H73" s="460">
        <f>G73+'11'!H73</f>
        <v>-21</v>
      </c>
      <c r="I73" s="480"/>
      <c r="J73" s="552">
        <f>H73/DAY(B2)</f>
        <v>-1.75</v>
      </c>
      <c r="K73" s="430"/>
      <c r="L73" s="377"/>
      <c r="N73" s="718"/>
      <c r="O73" s="727"/>
      <c r="P73" s="713"/>
    </row>
    <row r="74" spans="1:16" ht="27.75">
      <c r="A74" s="1540" t="s">
        <v>192</v>
      </c>
      <c r="B74" s="1541"/>
      <c r="C74" s="1542"/>
      <c r="D74" s="523" t="s">
        <v>186</v>
      </c>
      <c r="E74" s="519">
        <f>'11'!F74</f>
        <v>2599.96</v>
      </c>
      <c r="F74" s="655">
        <v>2599.96</v>
      </c>
      <c r="G74" s="473">
        <f t="shared" si="6"/>
        <v>0</v>
      </c>
      <c r="H74" s="460">
        <f>G74+'11'!H74</f>
        <v>-86096.04</v>
      </c>
      <c r="I74" s="480"/>
      <c r="J74" s="552">
        <f>H74/DAY(B2)</f>
        <v>-7174.6699999999992</v>
      </c>
      <c r="K74" s="431"/>
      <c r="L74" s="377"/>
      <c r="N74" s="718"/>
      <c r="O74" s="727"/>
      <c r="P74" s="713"/>
    </row>
    <row r="75" spans="1:16" ht="27.75">
      <c r="A75" s="1543" t="s">
        <v>193</v>
      </c>
      <c r="B75" s="1544"/>
      <c r="C75" s="1545"/>
      <c r="D75" s="523" t="s">
        <v>186</v>
      </c>
      <c r="E75" s="519">
        <f>'11'!F75</f>
        <v>13365</v>
      </c>
      <c r="F75" s="655">
        <v>13508</v>
      </c>
      <c r="G75" s="473">
        <f t="shared" si="6"/>
        <v>143</v>
      </c>
      <c r="H75" s="460">
        <f>G75+'11'!H75</f>
        <v>-2563</v>
      </c>
      <c r="I75" s="480"/>
      <c r="J75" s="552">
        <f>H75/DAY(B2)</f>
        <v>-213.58333333333334</v>
      </c>
      <c r="K75" s="430"/>
      <c r="L75" s="377"/>
      <c r="N75" s="718"/>
      <c r="O75" s="727"/>
      <c r="P75" s="713"/>
    </row>
    <row r="76" spans="1:16" ht="27.75">
      <c r="A76" s="1543" t="s">
        <v>194</v>
      </c>
      <c r="B76" s="1544"/>
      <c r="C76" s="1545"/>
      <c r="D76" s="523" t="s">
        <v>186</v>
      </c>
      <c r="E76" s="519">
        <f>'11'!F76</f>
        <v>8065</v>
      </c>
      <c r="F76" s="655">
        <v>8119</v>
      </c>
      <c r="G76" s="473">
        <f t="shared" si="6"/>
        <v>54</v>
      </c>
      <c r="H76" s="460">
        <f>G76+'11'!H76</f>
        <v>-1217</v>
      </c>
      <c r="I76" s="505"/>
      <c r="J76" s="552">
        <f>H76/DAY(B2)</f>
        <v>-101.41666666666667</v>
      </c>
      <c r="K76" s="430"/>
      <c r="L76" s="377"/>
      <c r="N76" s="718"/>
      <c r="O76" s="727"/>
      <c r="P76" s="713"/>
    </row>
    <row r="77" spans="1:16" ht="27.75">
      <c r="A77" s="1540" t="s">
        <v>195</v>
      </c>
      <c r="B77" s="1541"/>
      <c r="C77" s="1542"/>
      <c r="D77" s="523" t="s">
        <v>186</v>
      </c>
      <c r="E77" s="519">
        <f>'11'!F77</f>
        <v>703385</v>
      </c>
      <c r="F77" s="655">
        <v>703432</v>
      </c>
      <c r="G77" s="652">
        <f t="shared" si="6"/>
        <v>47</v>
      </c>
      <c r="H77" s="460">
        <f>G77+'11'!H77</f>
        <v>-942</v>
      </c>
      <c r="I77" s="505"/>
      <c r="J77" s="552">
        <f>H77/DAY(B2)</f>
        <v>-78.5</v>
      </c>
      <c r="K77" s="430"/>
      <c r="L77" s="377"/>
      <c r="N77" s="718"/>
      <c r="O77" s="727"/>
      <c r="P77" s="713"/>
    </row>
    <row r="78" spans="1:16" ht="27.75">
      <c r="A78" s="1142" t="s">
        <v>196</v>
      </c>
      <c r="B78" s="1115"/>
      <c r="C78" s="1115"/>
      <c r="D78" s="523" t="s">
        <v>186</v>
      </c>
      <c r="E78" s="519">
        <f>'11'!F78</f>
        <v>673854</v>
      </c>
      <c r="F78" s="656">
        <v>673895</v>
      </c>
      <c r="G78" s="473">
        <f t="shared" si="6"/>
        <v>41</v>
      </c>
      <c r="H78" s="460">
        <f>G78+'11'!H78</f>
        <v>-1519</v>
      </c>
      <c r="I78" s="505"/>
      <c r="J78" s="552">
        <f>H78/DAY(B2)</f>
        <v>-126.58333333333333</v>
      </c>
      <c r="K78" s="430"/>
      <c r="L78" s="377"/>
      <c r="N78" s="718"/>
      <c r="O78" s="727"/>
      <c r="P78" s="713"/>
    </row>
    <row r="79" spans="1:16" ht="27.75">
      <c r="A79" s="1543" t="s">
        <v>91</v>
      </c>
      <c r="B79" s="1544"/>
      <c r="C79" s="1545"/>
      <c r="D79" s="524" t="s">
        <v>186</v>
      </c>
      <c r="E79" s="519">
        <f>'11'!F79</f>
        <v>832639</v>
      </c>
      <c r="F79" s="656">
        <v>832779</v>
      </c>
      <c r="G79" s="473">
        <f t="shared" si="6"/>
        <v>140</v>
      </c>
      <c r="H79" s="460">
        <f>G79+'11'!H79</f>
        <v>-2637</v>
      </c>
      <c r="I79" s="505"/>
      <c r="J79" s="552">
        <f>H79/DAY(B2)</f>
        <v>-219.75</v>
      </c>
      <c r="K79" s="430"/>
      <c r="L79" s="377"/>
      <c r="N79" s="718"/>
      <c r="O79" s="727"/>
      <c r="P79" s="713"/>
    </row>
    <row r="80" spans="1:16" ht="27.75">
      <c r="A80" s="1543" t="s">
        <v>197</v>
      </c>
      <c r="B80" s="1544"/>
      <c r="C80" s="1545"/>
      <c r="D80" s="524" t="s">
        <v>186</v>
      </c>
      <c r="E80" s="519">
        <f>'11'!F80</f>
        <v>531694</v>
      </c>
      <c r="F80" s="655">
        <v>532070</v>
      </c>
      <c r="G80" s="473">
        <f t="shared" si="6"/>
        <v>376</v>
      </c>
      <c r="H80" s="460">
        <f>G80+'11'!H80</f>
        <v>-6943</v>
      </c>
      <c r="I80" s="505"/>
      <c r="J80" s="552">
        <f>H80/DAY(B2)</f>
        <v>-578.58333333333337</v>
      </c>
      <c r="K80" s="430"/>
      <c r="L80" s="377"/>
      <c r="N80" s="718"/>
      <c r="O80" s="727"/>
      <c r="P80" s="713"/>
    </row>
    <row r="81" spans="1:17" ht="27.75">
      <c r="A81" s="1543" t="s">
        <v>198</v>
      </c>
      <c r="B81" s="1544"/>
      <c r="C81" s="1545"/>
      <c r="D81" s="524" t="s">
        <v>186</v>
      </c>
      <c r="E81" s="519">
        <f>'11'!F81</f>
        <v>640108</v>
      </c>
      <c r="F81" s="655">
        <v>640219</v>
      </c>
      <c r="G81" s="473">
        <f t="shared" si="6"/>
        <v>111</v>
      </c>
      <c r="H81" s="460">
        <f>G81+'11'!H81</f>
        <v>-2766</v>
      </c>
      <c r="I81" s="505"/>
      <c r="J81" s="552">
        <f>H81/DAY(B2)</f>
        <v>-230.5</v>
      </c>
      <c r="K81" s="430"/>
      <c r="L81" s="377"/>
      <c r="N81" s="718"/>
      <c r="O81" s="727"/>
      <c r="P81" s="713"/>
    </row>
    <row r="82" spans="1:17" ht="27.75">
      <c r="A82" s="1543" t="s">
        <v>92</v>
      </c>
      <c r="B82" s="1544"/>
      <c r="C82" s="1545"/>
      <c r="D82" s="485" t="s">
        <v>131</v>
      </c>
      <c r="E82" s="519">
        <f>'11'!F82</f>
        <v>108336</v>
      </c>
      <c r="F82" s="651">
        <v>108348</v>
      </c>
      <c r="G82" s="473">
        <f t="shared" si="6"/>
        <v>12</v>
      </c>
      <c r="H82" s="460">
        <f>G82+'11'!H82</f>
        <v>-333</v>
      </c>
      <c r="I82" s="486"/>
      <c r="J82" s="552">
        <f>H82/DAY(B2)</f>
        <v>-27.75</v>
      </c>
      <c r="K82" s="430"/>
      <c r="L82" s="377"/>
      <c r="N82" s="718"/>
      <c r="O82" s="727"/>
      <c r="P82" s="713"/>
    </row>
    <row r="83" spans="1:17" ht="27.75">
      <c r="A83" s="1543" t="s">
        <v>199</v>
      </c>
      <c r="B83" s="1544"/>
      <c r="C83" s="1545"/>
      <c r="D83" s="620" t="s">
        <v>131</v>
      </c>
      <c r="E83" s="519">
        <f>'11'!F83</f>
        <v>22686</v>
      </c>
      <c r="F83" s="511">
        <v>22884</v>
      </c>
      <c r="G83" s="473">
        <f t="shared" si="6"/>
        <v>198</v>
      </c>
      <c r="H83" s="460">
        <f>G83+'11'!H83</f>
        <v>-4667</v>
      </c>
      <c r="I83" s="481"/>
      <c r="J83" s="552">
        <f>H83/DAY(B2)</f>
        <v>-388.91666666666669</v>
      </c>
      <c r="K83" s="429"/>
      <c r="L83" s="377"/>
      <c r="N83" s="718"/>
      <c r="O83" s="727"/>
      <c r="P83" s="713"/>
    </row>
    <row r="84" spans="1:17">
      <c r="A84" s="1143" t="s">
        <v>200</v>
      </c>
      <c r="B84" s="571"/>
      <c r="C84" s="571"/>
      <c r="D84" s="478" t="s">
        <v>131</v>
      </c>
      <c r="E84" s="519">
        <f>'11'!F84</f>
        <v>508456</v>
      </c>
      <c r="F84" s="627">
        <v>509052</v>
      </c>
      <c r="G84" s="473">
        <f t="shared" si="6"/>
        <v>596</v>
      </c>
      <c r="H84" s="460">
        <f>G84+'11'!H84</f>
        <v>-14028</v>
      </c>
      <c r="I84" s="481"/>
      <c r="J84" s="552">
        <f>H84/DAY(B2)</f>
        <v>-1169</v>
      </c>
      <c r="K84" s="380"/>
      <c r="L84" s="377"/>
      <c r="N84" s="718"/>
      <c r="O84" s="727"/>
      <c r="P84" s="713"/>
    </row>
    <row r="85" spans="1:17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1732</v>
      </c>
      <c r="H85" s="460">
        <f>G85+'11'!H85</f>
        <v>-123953.04000000001</v>
      </c>
      <c r="I85" s="481"/>
      <c r="J85" s="552">
        <f>H85/DAY(B2)</f>
        <v>-10329.42</v>
      </c>
      <c r="K85" s="380"/>
      <c r="L85" s="378"/>
      <c r="N85" s="718"/>
      <c r="O85" s="727"/>
      <c r="P85" s="713"/>
      <c r="Q85" s="735"/>
    </row>
    <row r="86" spans="1:17" s="735" customFormat="1">
      <c r="A86" s="730" t="s">
        <v>93</v>
      </c>
      <c r="B86" s="731"/>
      <c r="C86" s="731"/>
      <c r="D86" s="732" t="s">
        <v>182</v>
      </c>
      <c r="E86" s="627">
        <f>'11'!F86</f>
        <v>461277</v>
      </c>
      <c r="F86" s="647">
        <v>461307</v>
      </c>
      <c r="G86" s="705">
        <f t="shared" ref="G86:G91" si="7">F86-E86</f>
        <v>30</v>
      </c>
      <c r="H86" s="705">
        <f t="shared" ref="H86:H88" si="8">G86</f>
        <v>30</v>
      </c>
      <c r="I86" s="652"/>
      <c r="J86" s="707">
        <f>H86/DAY(B2)</f>
        <v>2.5</v>
      </c>
      <c r="K86" s="733"/>
      <c r="L86" s="734"/>
      <c r="O86" s="713"/>
    </row>
    <row r="87" spans="1:17" s="735" customFormat="1">
      <c r="A87" s="730" t="s">
        <v>94</v>
      </c>
      <c r="B87" s="731"/>
      <c r="C87" s="731"/>
      <c r="D87" s="732" t="s">
        <v>182</v>
      </c>
      <c r="E87" s="627">
        <f>'11'!F87</f>
        <v>81602.600000000006</v>
      </c>
      <c r="F87" s="647">
        <v>81615</v>
      </c>
      <c r="G87" s="705">
        <f t="shared" si="7"/>
        <v>12.399999999994179</v>
      </c>
      <c r="H87" s="705">
        <f t="shared" si="8"/>
        <v>12.399999999994179</v>
      </c>
      <c r="I87" s="652"/>
      <c r="J87" s="707">
        <f>H87/DAY(B2)</f>
        <v>1.0333333333328483</v>
      </c>
      <c r="K87" s="733"/>
      <c r="L87" s="734"/>
      <c r="O87" s="713"/>
    </row>
    <row r="88" spans="1:17" s="735" customFormat="1">
      <c r="A88" s="730" t="s">
        <v>95</v>
      </c>
      <c r="B88" s="731"/>
      <c r="C88" s="731"/>
      <c r="D88" s="732" t="s">
        <v>182</v>
      </c>
      <c r="E88" s="627">
        <f>'11'!F88</f>
        <v>153492</v>
      </c>
      <c r="F88" s="647">
        <v>153516</v>
      </c>
      <c r="G88" s="705">
        <f t="shared" si="7"/>
        <v>24</v>
      </c>
      <c r="H88" s="705">
        <f t="shared" si="8"/>
        <v>24</v>
      </c>
      <c r="I88" s="652"/>
      <c r="J88" s="707">
        <f>H88/DAY(B2)</f>
        <v>2</v>
      </c>
      <c r="K88" s="733"/>
      <c r="L88" s="734"/>
      <c r="O88" s="713"/>
    </row>
    <row r="89" spans="1:17" s="735" customFormat="1">
      <c r="A89" s="730" t="s">
        <v>203</v>
      </c>
      <c r="B89" s="731"/>
      <c r="C89" s="731"/>
      <c r="D89" s="732" t="s">
        <v>182</v>
      </c>
      <c r="E89" s="627">
        <f>'11'!F89</f>
        <v>65365</v>
      </c>
      <c r="F89" s="647">
        <v>65381</v>
      </c>
      <c r="G89" s="705">
        <f t="shared" si="7"/>
        <v>16</v>
      </c>
      <c r="H89" s="705">
        <f>G89</f>
        <v>16</v>
      </c>
      <c r="I89" s="652"/>
      <c r="J89" s="707">
        <f>H89/DAY(B2)</f>
        <v>1.3333333333333333</v>
      </c>
      <c r="K89" s="733"/>
      <c r="L89" s="734"/>
      <c r="N89" s="777"/>
      <c r="O89" s="713"/>
    </row>
    <row r="90" spans="1:17" s="735" customFormat="1">
      <c r="A90" s="730" t="s">
        <v>203</v>
      </c>
      <c r="B90" s="731"/>
      <c r="C90" s="731"/>
      <c r="D90" s="732" t="s">
        <v>182</v>
      </c>
      <c r="E90" s="627">
        <f>'11'!F90</f>
        <v>3289</v>
      </c>
      <c r="F90" s="647">
        <v>3290</v>
      </c>
      <c r="G90" s="705">
        <f t="shared" si="7"/>
        <v>1</v>
      </c>
      <c r="H90" s="705">
        <f>G90</f>
        <v>1</v>
      </c>
      <c r="I90" s="652"/>
      <c r="J90" s="707">
        <f>H90/DAY(B2)</f>
        <v>8.3333333333333329E-2</v>
      </c>
      <c r="K90" s="733"/>
      <c r="L90" s="734"/>
      <c r="N90" s="777"/>
      <c r="O90" s="713"/>
    </row>
    <row r="91" spans="1:17" s="735" customFormat="1">
      <c r="A91" s="730" t="s">
        <v>348</v>
      </c>
      <c r="B91" s="731"/>
      <c r="C91" s="731"/>
      <c r="D91" s="732"/>
      <c r="E91" s="627">
        <f>'11'!F91</f>
        <v>28109</v>
      </c>
      <c r="F91" s="647">
        <v>28112</v>
      </c>
      <c r="G91" s="705">
        <f t="shared" si="7"/>
        <v>3</v>
      </c>
      <c r="H91" s="705">
        <f>G91</f>
        <v>3</v>
      </c>
      <c r="I91" s="652"/>
      <c r="J91" s="707"/>
      <c r="K91" s="733"/>
      <c r="L91" s="734"/>
      <c r="N91" s="777"/>
      <c r="O91" s="382"/>
    </row>
    <row r="92" spans="1:17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7"/>
      <c r="P92" s="713"/>
      <c r="Q92" s="735"/>
    </row>
    <row r="93" spans="1:17" ht="27.75">
      <c r="A93" s="1559" t="s">
        <v>205</v>
      </c>
      <c r="B93" s="1560"/>
      <c r="C93" s="1561"/>
      <c r="D93" s="523" t="s">
        <v>143</v>
      </c>
      <c r="E93" s="484">
        <f>'11'!F93</f>
        <v>245901</v>
      </c>
      <c r="F93" s="478">
        <v>245956</v>
      </c>
      <c r="G93" s="473">
        <f t="shared" ref="G93:G94" si="9">F93-E93</f>
        <v>55</v>
      </c>
      <c r="H93" s="460">
        <f>G93+'11'!H93</f>
        <v>-1396</v>
      </c>
      <c r="I93" s="480"/>
      <c r="J93" s="552">
        <f>H93/DAY(B2)</f>
        <v>-116.33333333333333</v>
      </c>
      <c r="K93" s="429"/>
      <c r="L93" s="377"/>
      <c r="N93" s="718"/>
      <c r="O93" s="727"/>
      <c r="P93" s="713"/>
    </row>
    <row r="94" spans="1:17" ht="27.75">
      <c r="A94" s="1559" t="s">
        <v>206</v>
      </c>
      <c r="B94" s="1560"/>
      <c r="C94" s="1561"/>
      <c r="D94" s="523" t="s">
        <v>143</v>
      </c>
      <c r="E94" s="484">
        <f>'11'!F94</f>
        <v>187134</v>
      </c>
      <c r="F94" s="478">
        <v>187288</v>
      </c>
      <c r="G94" s="473">
        <f t="shared" si="9"/>
        <v>154</v>
      </c>
      <c r="H94" s="460">
        <f>G94+'11'!H94</f>
        <v>-2166</v>
      </c>
      <c r="I94" s="480"/>
      <c r="J94" s="552">
        <f>H94/DAY(B2)</f>
        <v>-180.5</v>
      </c>
      <c r="K94" s="380"/>
      <c r="L94" s="377"/>
      <c r="N94" s="718"/>
      <c r="O94" s="727"/>
      <c r="P94" s="713"/>
    </row>
    <row r="95" spans="1:17">
      <c r="A95" s="1591" t="s">
        <v>207</v>
      </c>
      <c r="B95" s="1592"/>
      <c r="C95" s="1593"/>
      <c r="D95" s="523"/>
      <c r="E95" s="484">
        <f>'11'!F95</f>
        <v>0</v>
      </c>
      <c r="F95" s="478"/>
      <c r="G95" s="473">
        <f>G93+G94</f>
        <v>209</v>
      </c>
      <c r="H95" s="460">
        <f>G95+'11'!H95</f>
        <v>-3748</v>
      </c>
      <c r="I95" s="480"/>
      <c r="J95" s="552">
        <f>H95/DAY(B2)</f>
        <v>-312.33333333333331</v>
      </c>
      <c r="K95" s="380"/>
      <c r="L95" s="377"/>
      <c r="N95" s="718"/>
      <c r="O95" s="727"/>
      <c r="P95" s="713"/>
    </row>
    <row r="96" spans="1:17" ht="27.75">
      <c r="A96" s="1559" t="s">
        <v>208</v>
      </c>
      <c r="B96" s="1560"/>
      <c r="C96" s="1561"/>
      <c r="D96" s="523" t="s">
        <v>143</v>
      </c>
      <c r="E96" s="484">
        <f>'11'!F96</f>
        <v>414810</v>
      </c>
      <c r="F96" s="478">
        <v>414846</v>
      </c>
      <c r="G96" s="473">
        <f t="shared" ref="G96:G101" si="10">F96-E96</f>
        <v>36</v>
      </c>
      <c r="H96" s="460">
        <f>G96+'11'!H96</f>
        <v>-1153</v>
      </c>
      <c r="I96" s="480"/>
      <c r="J96" s="552">
        <f>H96/DAY(B2)</f>
        <v>-96.083333333333329</v>
      </c>
      <c r="K96" s="380"/>
      <c r="L96" s="377"/>
      <c r="N96" s="718"/>
      <c r="O96" s="727"/>
      <c r="P96" s="713"/>
    </row>
    <row r="97" spans="1:17" ht="27.75">
      <c r="A97" s="1139" t="s">
        <v>209</v>
      </c>
      <c r="B97" s="1140"/>
      <c r="C97" s="1140"/>
      <c r="D97" s="523" t="s">
        <v>143</v>
      </c>
      <c r="E97" s="484">
        <f>'11'!F97</f>
        <v>102770</v>
      </c>
      <c r="F97" s="478">
        <v>102786</v>
      </c>
      <c r="G97" s="473">
        <f t="shared" si="10"/>
        <v>16</v>
      </c>
      <c r="H97" s="460">
        <f>G97+'11'!H97</f>
        <v>-377</v>
      </c>
      <c r="I97" s="480"/>
      <c r="J97" s="552">
        <f>H97/DAY(B2)</f>
        <v>-31.416666666666668</v>
      </c>
      <c r="K97" s="427"/>
      <c r="L97" s="377"/>
      <c r="N97" s="718"/>
      <c r="O97" s="727"/>
      <c r="P97" s="713"/>
    </row>
    <row r="98" spans="1:17" ht="27.75">
      <c r="A98" s="1139" t="s">
        <v>210</v>
      </c>
      <c r="B98" s="1140"/>
      <c r="C98" s="1140"/>
      <c r="D98" s="523" t="s">
        <v>143</v>
      </c>
      <c r="E98" s="484">
        <f>'11'!F98</f>
        <v>98151</v>
      </c>
      <c r="F98" s="478">
        <v>98188</v>
      </c>
      <c r="G98" s="473">
        <f t="shared" si="10"/>
        <v>37</v>
      </c>
      <c r="H98" s="460">
        <f>G98+'11'!H98</f>
        <v>-469</v>
      </c>
      <c r="I98" s="480"/>
      <c r="J98" s="552">
        <f>H98/DAY(B2)</f>
        <v>-39.083333333333336</v>
      </c>
      <c r="K98" s="432"/>
      <c r="L98" s="377"/>
      <c r="N98" s="718"/>
      <c r="O98" s="727"/>
      <c r="P98" s="713"/>
    </row>
    <row r="99" spans="1:17" ht="27.75">
      <c r="A99" s="1139" t="s">
        <v>211</v>
      </c>
      <c r="B99" s="1140"/>
      <c r="C99" s="1140"/>
      <c r="D99" s="523" t="s">
        <v>143</v>
      </c>
      <c r="E99" s="484">
        <f>'11'!F99</f>
        <v>149937</v>
      </c>
      <c r="F99" s="478">
        <v>149957</v>
      </c>
      <c r="G99" s="473">
        <f t="shared" si="10"/>
        <v>20</v>
      </c>
      <c r="H99" s="460">
        <f>G99+'11'!H99</f>
        <v>-448</v>
      </c>
      <c r="I99" s="480"/>
      <c r="J99" s="552">
        <f>H99/DAY(B2)</f>
        <v>-37.333333333333336</v>
      </c>
      <c r="K99" s="380"/>
      <c r="L99" s="377"/>
      <c r="N99" s="720"/>
      <c r="O99" s="727"/>
      <c r="P99" s="713"/>
    </row>
    <row r="100" spans="1:17" ht="27.75">
      <c r="A100" s="1139" t="s">
        <v>212</v>
      </c>
      <c r="B100" s="1140"/>
      <c r="C100" s="1140"/>
      <c r="D100" s="523" t="s">
        <v>143</v>
      </c>
      <c r="E100" s="484">
        <f>'11'!F100</f>
        <v>7506</v>
      </c>
      <c r="F100" s="478">
        <v>7514</v>
      </c>
      <c r="G100" s="473">
        <f t="shared" si="10"/>
        <v>8</v>
      </c>
      <c r="H100" s="460">
        <f>G100+'11'!H100</f>
        <v>-283</v>
      </c>
      <c r="I100" s="480"/>
      <c r="J100" s="552">
        <f>H100/DAY(B2)</f>
        <v>-23.583333333333332</v>
      </c>
      <c r="K100" s="380"/>
      <c r="L100" s="377"/>
      <c r="N100" s="718"/>
      <c r="O100" s="727"/>
      <c r="P100" s="713"/>
    </row>
    <row r="101" spans="1:17" ht="27.75">
      <c r="A101" s="1139" t="s">
        <v>213</v>
      </c>
      <c r="B101" s="1140"/>
      <c r="C101" s="1140"/>
      <c r="D101" s="523" t="s">
        <v>143</v>
      </c>
      <c r="E101" s="484">
        <f>'11'!F101</f>
        <v>5463</v>
      </c>
      <c r="F101" s="478">
        <v>5489</v>
      </c>
      <c r="G101" s="473">
        <f t="shared" si="10"/>
        <v>26</v>
      </c>
      <c r="H101" s="460">
        <f>G101+'11'!H101</f>
        <v>-185</v>
      </c>
      <c r="I101" s="480"/>
      <c r="J101" s="552">
        <f>H101/DAY(B2)</f>
        <v>-15.416666666666666</v>
      </c>
      <c r="K101" s="380"/>
      <c r="L101" s="377"/>
      <c r="N101" s="718"/>
      <c r="O101" s="727"/>
      <c r="P101" s="713"/>
    </row>
    <row r="102" spans="1:17">
      <c r="A102" s="1591" t="s">
        <v>215</v>
      </c>
      <c r="B102" s="1592"/>
      <c r="C102" s="1593"/>
      <c r="D102" s="524"/>
      <c r="E102" s="484"/>
      <c r="F102" s="524"/>
      <c r="G102" s="525">
        <f>SUM(G96:G101)</f>
        <v>143</v>
      </c>
      <c r="H102" s="460">
        <f>G102+'11'!H102</f>
        <v>-2915</v>
      </c>
      <c r="I102" s="526"/>
      <c r="J102" s="552">
        <f>H102/DAY(B2)</f>
        <v>-242.91666666666666</v>
      </c>
      <c r="K102" s="380"/>
      <c r="L102" s="377"/>
      <c r="N102" s="718"/>
      <c r="O102" s="727"/>
      <c r="P102" s="713"/>
    </row>
    <row r="103" spans="1:17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7"/>
      <c r="P103" s="713"/>
      <c r="Q103" s="445"/>
    </row>
    <row r="104" spans="1:17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7"/>
      <c r="P104" s="713"/>
      <c r="Q104" s="445"/>
    </row>
    <row r="105" spans="1:17" s="442" customFormat="1" ht="27.75">
      <c r="A105" s="1551" t="s">
        <v>218</v>
      </c>
      <c r="B105" s="1552"/>
      <c r="C105" s="1138"/>
      <c r="D105" s="622" t="s">
        <v>143</v>
      </c>
      <c r="E105" s="484">
        <f>'11'!F105</f>
        <v>7473</v>
      </c>
      <c r="F105" s="658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5.7816666666665997</v>
      </c>
      <c r="N105" s="718"/>
      <c r="O105" s="727"/>
      <c r="P105" s="713"/>
      <c r="Q105" s="445"/>
    </row>
    <row r="106" spans="1:17" s="442" customFormat="1" ht="27.75">
      <c r="A106" s="1551" t="s">
        <v>76</v>
      </c>
      <c r="B106" s="1552"/>
      <c r="C106" s="1138"/>
      <c r="D106" s="622" t="s">
        <v>143</v>
      </c>
      <c r="E106" s="484">
        <f>'11'!F106</f>
        <v>36006</v>
      </c>
      <c r="F106" s="659">
        <v>36006</v>
      </c>
      <c r="G106" s="532">
        <f t="shared" ref="G106:G107" si="11">F106-E106</f>
        <v>0</v>
      </c>
      <c r="H106" s="533">
        <f>SUM(G106+'1'!G77)</f>
        <v>53</v>
      </c>
      <c r="I106" s="532"/>
      <c r="J106" s="558">
        <f>H106/DAY(B2)</f>
        <v>4.416666666666667</v>
      </c>
      <c r="N106" s="718"/>
      <c r="O106" s="727"/>
      <c r="P106" s="713"/>
      <c r="Q106" s="445"/>
    </row>
    <row r="107" spans="1:17" s="442" customFormat="1" ht="27.75">
      <c r="A107" s="1551" t="s">
        <v>77</v>
      </c>
      <c r="B107" s="1596"/>
      <c r="C107" s="1552"/>
      <c r="D107" s="622" t="s">
        <v>143</v>
      </c>
      <c r="E107" s="484">
        <f>'11'!F107</f>
        <v>19742</v>
      </c>
      <c r="F107" s="659">
        <v>19746</v>
      </c>
      <c r="G107" s="532">
        <f t="shared" si="11"/>
        <v>4</v>
      </c>
      <c r="H107" s="533">
        <f>SUM(G107+'1'!G78)</f>
        <v>118</v>
      </c>
      <c r="I107" s="532"/>
      <c r="J107" s="558">
        <f>H107/DAY(B2)</f>
        <v>9.8333333333333339</v>
      </c>
      <c r="N107" s="718"/>
      <c r="O107" s="727"/>
      <c r="P107" s="713"/>
      <c r="Q107" s="445"/>
    </row>
    <row r="108" spans="1:17" s="442" customFormat="1" ht="27.75">
      <c r="A108" s="1553" t="s">
        <v>201</v>
      </c>
      <c r="B108" s="1554"/>
      <c r="C108" s="1138"/>
      <c r="D108" s="622"/>
      <c r="E108" s="484"/>
      <c r="F108" s="659"/>
      <c r="G108" s="532">
        <f>SUM(G105:G107)</f>
        <v>4</v>
      </c>
      <c r="H108" s="533">
        <f>SUM(G108+'1'!G79)</f>
        <v>157</v>
      </c>
      <c r="I108" s="532"/>
      <c r="J108" s="558">
        <f>H108/DAY(B2)</f>
        <v>13.083333333333334</v>
      </c>
      <c r="N108" s="718"/>
      <c r="O108" s="727"/>
      <c r="P108" s="713"/>
      <c r="Q108" s="445"/>
    </row>
    <row r="109" spans="1:17" s="442" customFormat="1" ht="27.75">
      <c r="A109" s="1557" t="s">
        <v>78</v>
      </c>
      <c r="B109" s="1558"/>
      <c r="C109" s="1138"/>
      <c r="D109" s="622" t="s">
        <v>143</v>
      </c>
      <c r="E109" s="484"/>
      <c r="F109" s="659"/>
      <c r="G109" s="532"/>
      <c r="H109" s="533"/>
      <c r="I109" s="532"/>
      <c r="J109" s="558"/>
      <c r="N109" s="718"/>
      <c r="O109" s="727"/>
      <c r="P109" s="713"/>
      <c r="Q109" s="445"/>
    </row>
    <row r="110" spans="1:17" s="442" customFormat="1" ht="27.75">
      <c r="A110" s="1551" t="s">
        <v>219</v>
      </c>
      <c r="B110" s="1552"/>
      <c r="C110" s="1138"/>
      <c r="D110" s="622" t="s">
        <v>143</v>
      </c>
      <c r="E110" s="484">
        <f>'11'!F110</f>
        <v>63516</v>
      </c>
      <c r="F110" s="659">
        <v>63549</v>
      </c>
      <c r="G110" s="532">
        <f>F110-E110</f>
        <v>33</v>
      </c>
      <c r="H110" s="533">
        <f>SUM(G110+'1'!G81)</f>
        <v>164.64000000001397</v>
      </c>
      <c r="I110" s="532"/>
      <c r="J110" s="558">
        <f>H110/DAY(B2)</f>
        <v>13.720000000001164</v>
      </c>
      <c r="N110" s="718"/>
      <c r="O110" s="727"/>
      <c r="P110" s="713"/>
      <c r="Q110" s="445"/>
    </row>
    <row r="111" spans="1:17" s="442" customFormat="1" ht="27.75">
      <c r="A111" s="1551" t="s">
        <v>220</v>
      </c>
      <c r="B111" s="1552"/>
      <c r="C111" s="1138"/>
      <c r="D111" s="622" t="s">
        <v>143</v>
      </c>
      <c r="E111" s="484">
        <f>'11'!F111</f>
        <v>32675</v>
      </c>
      <c r="F111" s="659">
        <v>32697</v>
      </c>
      <c r="G111" s="532">
        <f t="shared" ref="G111:G112" si="12">F111-E111</f>
        <v>22</v>
      </c>
      <c r="H111" s="533">
        <f>SUM(G111+'1'!G82)</f>
        <v>46.899999999994179</v>
      </c>
      <c r="I111" s="532"/>
      <c r="J111" s="558">
        <f>H111/DAY(B2)</f>
        <v>3.9083333333328483</v>
      </c>
      <c r="N111" s="718"/>
      <c r="O111" s="727"/>
      <c r="P111" s="713"/>
      <c r="Q111" s="445"/>
    </row>
    <row r="112" spans="1:17" s="442" customFormat="1" ht="27.75">
      <c r="A112" s="1551" t="s">
        <v>221</v>
      </c>
      <c r="B112" s="1552"/>
      <c r="C112" s="1138"/>
      <c r="D112" s="622" t="s">
        <v>143</v>
      </c>
      <c r="E112" s="484">
        <f>'11'!F112</f>
        <v>4621</v>
      </c>
      <c r="F112" s="659">
        <v>4621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29.25</v>
      </c>
      <c r="N112" s="718"/>
      <c r="O112" s="727"/>
      <c r="P112" s="713"/>
      <c r="Q112" s="445"/>
    </row>
    <row r="113" spans="1:17" s="442" customFormat="1" ht="27.75">
      <c r="A113" s="1553" t="s">
        <v>109</v>
      </c>
      <c r="B113" s="1554"/>
      <c r="C113" s="1138"/>
      <c r="D113" s="622"/>
      <c r="E113" s="484"/>
      <c r="F113" s="659"/>
      <c r="G113" s="532">
        <f>SUM(G110:G112)</f>
        <v>55</v>
      </c>
      <c r="H113" s="533">
        <f>SUM(G113+'1'!G84)</f>
        <v>871</v>
      </c>
      <c r="I113" s="532"/>
      <c r="J113" s="558">
        <f>H113/DAY(B2)</f>
        <v>72.583333333333329</v>
      </c>
      <c r="N113" s="718"/>
      <c r="O113" s="727"/>
      <c r="P113" s="713"/>
      <c r="Q113" s="445"/>
    </row>
    <row r="114" spans="1:17" s="442" customFormat="1" ht="27.75">
      <c r="A114" s="1557" t="s">
        <v>222</v>
      </c>
      <c r="B114" s="1558"/>
      <c r="C114" s="1138"/>
      <c r="D114" s="622"/>
      <c r="E114" s="484"/>
      <c r="F114" s="659"/>
      <c r="G114" s="532"/>
      <c r="H114" s="533"/>
      <c r="I114" s="532"/>
      <c r="J114" s="558">
        <f>H114/DAY(B2)</f>
        <v>0</v>
      </c>
      <c r="N114" s="718"/>
      <c r="O114" s="727"/>
      <c r="P114" s="713"/>
      <c r="Q114" s="445"/>
    </row>
    <row r="115" spans="1:17" s="442" customFormat="1" ht="27.75">
      <c r="A115" s="1551" t="s">
        <v>223</v>
      </c>
      <c r="B115" s="1552"/>
      <c r="C115" s="574"/>
      <c r="D115" s="622" t="s">
        <v>143</v>
      </c>
      <c r="E115" s="484">
        <f>'11'!F115</f>
        <v>11666</v>
      </c>
      <c r="F115" s="659">
        <v>11677</v>
      </c>
      <c r="G115" s="534">
        <f>F115-E115</f>
        <v>11</v>
      </c>
      <c r="H115" s="533">
        <f>SUM(G115+'1'!G92)</f>
        <v>11</v>
      </c>
      <c r="I115" s="532"/>
      <c r="J115" s="558">
        <f>H115/DAY(B2)</f>
        <v>0.91666666666666663</v>
      </c>
      <c r="N115" s="718"/>
      <c r="O115" s="727"/>
      <c r="P115" s="713"/>
      <c r="Q115" s="445"/>
    </row>
    <row r="116" spans="1:17" s="442" customFormat="1" ht="27.75">
      <c r="A116" s="1551" t="s">
        <v>224</v>
      </c>
      <c r="B116" s="1552"/>
      <c r="C116" s="574"/>
      <c r="D116" s="622" t="s">
        <v>143</v>
      </c>
      <c r="E116" s="484">
        <f>'11'!F116</f>
        <v>8376</v>
      </c>
      <c r="F116" s="659">
        <v>8397</v>
      </c>
      <c r="G116" s="534">
        <f t="shared" ref="G116:G117" si="13">F116-E116</f>
        <v>21</v>
      </c>
      <c r="H116" s="533">
        <f>SUM(G116+'1'!G93)</f>
        <v>110</v>
      </c>
      <c r="I116" s="532"/>
      <c r="J116" s="558">
        <f>H116/DAY(B2)</f>
        <v>9.1666666666666661</v>
      </c>
      <c r="N116" s="718"/>
      <c r="O116" s="727"/>
      <c r="P116" s="713"/>
      <c r="Q116" s="445"/>
    </row>
    <row r="117" spans="1:17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8.0833333333333339</v>
      </c>
      <c r="N117" s="718"/>
      <c r="O117" s="727"/>
      <c r="P117" s="713"/>
      <c r="Q117" s="445"/>
    </row>
    <row r="118" spans="1:17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32</v>
      </c>
      <c r="H118" s="533">
        <f>SUM(G118+'1'!G96)</f>
        <v>118</v>
      </c>
      <c r="I118" s="534"/>
      <c r="J118" s="558">
        <f>H118/DAY(B2)</f>
        <v>9.8333333333333339</v>
      </c>
      <c r="N118" s="718"/>
      <c r="O118" s="727"/>
      <c r="P118" s="713"/>
    </row>
    <row r="119" spans="1:17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120</v>
      </c>
      <c r="G119" s="536">
        <f>SUM(G19+G93)</f>
        <v>120</v>
      </c>
      <c r="H119" s="533">
        <f>SUM(G119+'1'!G97)</f>
        <v>137</v>
      </c>
      <c r="I119" s="535"/>
      <c r="J119" s="559">
        <f>H119/DAY(B2)</f>
        <v>11.416666666666666</v>
      </c>
      <c r="N119" s="718"/>
      <c r="O119" s="727"/>
      <c r="P119" s="713"/>
    </row>
    <row r="120" spans="1:17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123</v>
      </c>
      <c r="G120" s="536">
        <f>SUM(G96,G97,G98,G100,G101)</f>
        <v>123</v>
      </c>
      <c r="H120" s="533">
        <f>SUM(G120+'1'!G99)</f>
        <v>173</v>
      </c>
      <c r="I120" s="535"/>
      <c r="J120" s="559">
        <f>H120/DAY(B2)</f>
        <v>14.416666666666666</v>
      </c>
      <c r="N120" s="718"/>
      <c r="O120" s="727"/>
      <c r="P120" s="713"/>
    </row>
    <row r="121" spans="1:17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55</v>
      </c>
      <c r="G121" s="534">
        <f>SUM(G113)</f>
        <v>55</v>
      </c>
      <c r="H121" s="533">
        <f>SUM(G121+'1'!G101)</f>
        <v>60</v>
      </c>
      <c r="I121" s="535"/>
      <c r="J121" s="559">
        <f>H121/DAY(B2)</f>
        <v>5</v>
      </c>
      <c r="N121" s="718"/>
      <c r="O121" s="727"/>
      <c r="P121" s="713"/>
    </row>
    <row r="122" spans="1:17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7"/>
      <c r="P122" s="713"/>
      <c r="Q122" s="445"/>
    </row>
    <row r="123" spans="1:17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7"/>
      <c r="P123" s="713"/>
    </row>
    <row r="124" spans="1:17" ht="27.75">
      <c r="A124" s="1139" t="s">
        <v>230</v>
      </c>
      <c r="B124" s="1140"/>
      <c r="C124" s="1140"/>
      <c r="D124" s="523" t="s">
        <v>140</v>
      </c>
      <c r="E124" s="478">
        <f>'11'!F124</f>
        <v>834449</v>
      </c>
      <c r="F124" s="478">
        <v>834687</v>
      </c>
      <c r="G124" s="473">
        <f t="shared" ref="G124:G128" si="14">F124-E124</f>
        <v>238</v>
      </c>
      <c r="H124" s="460">
        <f>G124+'11'!H124</f>
        <v>-4983</v>
      </c>
      <c r="I124" s="526"/>
      <c r="J124" s="552">
        <f>H124/DAY(B2)</f>
        <v>-415.25</v>
      </c>
      <c r="K124" s="380"/>
      <c r="L124" s="377"/>
      <c r="N124" s="718"/>
      <c r="O124" s="727"/>
      <c r="P124" s="713"/>
    </row>
    <row r="125" spans="1:17" ht="27.75">
      <c r="A125" s="1139" t="s">
        <v>231</v>
      </c>
      <c r="B125" s="1140"/>
      <c r="C125" s="1140"/>
      <c r="D125" s="523" t="s">
        <v>140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18"/>
      <c r="O125" s="727"/>
      <c r="P125" s="713"/>
    </row>
    <row r="126" spans="1:17" ht="27.75">
      <c r="A126" s="1540" t="s">
        <v>232</v>
      </c>
      <c r="B126" s="1541"/>
      <c r="C126" s="1542"/>
      <c r="D126" s="523" t="s">
        <v>140</v>
      </c>
      <c r="E126" s="478">
        <f>'11'!F126</f>
        <v>147185</v>
      </c>
      <c r="F126" s="478">
        <v>147247</v>
      </c>
      <c r="G126" s="473">
        <f t="shared" si="14"/>
        <v>62</v>
      </c>
      <c r="H126" s="460">
        <f>G126+'11'!H126</f>
        <v>-1350</v>
      </c>
      <c r="I126" s="526"/>
      <c r="J126" s="552">
        <f>H126/DAY(B2)</f>
        <v>-112.5</v>
      </c>
      <c r="K126" s="380"/>
      <c r="L126" s="377"/>
      <c r="N126" s="718"/>
      <c r="O126" s="727"/>
      <c r="P126" s="713"/>
    </row>
    <row r="127" spans="1:17" ht="27.75">
      <c r="A127" s="609" t="s">
        <v>233</v>
      </c>
      <c r="B127" s="1140"/>
      <c r="C127" s="1140"/>
      <c r="D127" s="523" t="s">
        <v>140</v>
      </c>
      <c r="E127" s="626">
        <f>'11'!F127</f>
        <v>31409</v>
      </c>
      <c r="F127" s="626">
        <v>31409</v>
      </c>
      <c r="G127" s="473">
        <f t="shared" si="14"/>
        <v>0</v>
      </c>
      <c r="H127" s="460">
        <f>G127+'11'!H127</f>
        <v>-662</v>
      </c>
      <c r="I127" s="526"/>
      <c r="J127" s="552">
        <f>H127/DAY(B2)</f>
        <v>-55.166666666666664</v>
      </c>
      <c r="K127" s="380"/>
      <c r="L127" s="377"/>
      <c r="N127" s="718"/>
      <c r="O127" s="727"/>
      <c r="P127" s="713"/>
    </row>
    <row r="128" spans="1:17" ht="27.75">
      <c r="A128" s="609" t="s">
        <v>234</v>
      </c>
      <c r="B128" s="1140"/>
      <c r="C128" s="1140"/>
      <c r="D128" s="523" t="s">
        <v>140</v>
      </c>
      <c r="E128" s="626">
        <f>'11'!F128</f>
        <v>8972</v>
      </c>
      <c r="F128" s="626">
        <v>8972</v>
      </c>
      <c r="G128" s="473">
        <f t="shared" si="14"/>
        <v>0</v>
      </c>
      <c r="H128" s="460">
        <f>G128+'11'!H128</f>
        <v>-40</v>
      </c>
      <c r="I128" s="480"/>
      <c r="J128" s="552">
        <f>H128/DAY(B2)</f>
        <v>-3.3333333333333335</v>
      </c>
      <c r="K128" s="380"/>
      <c r="L128" s="377"/>
      <c r="N128" s="718"/>
      <c r="O128" s="727"/>
      <c r="P128" s="713"/>
    </row>
    <row r="129" spans="1:17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400.39999999999418</v>
      </c>
      <c r="H129" s="460">
        <f>H15-SUM(H124:H128)</f>
        <v>16019.55999999991</v>
      </c>
      <c r="I129" s="480"/>
      <c r="J129" s="552"/>
      <c r="K129" s="364"/>
      <c r="L129" s="292"/>
      <c r="N129" s="718"/>
      <c r="O129" s="727"/>
      <c r="P129" s="713"/>
      <c r="Q129" s="710"/>
    </row>
    <row r="130" spans="1:17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7"/>
      <c r="P130" s="713"/>
    </row>
    <row r="131" spans="1:17" ht="27.75">
      <c r="A131" s="1139" t="s">
        <v>237</v>
      </c>
      <c r="B131" s="1140"/>
      <c r="C131" s="1140"/>
      <c r="D131" s="523" t="s">
        <v>238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18"/>
      <c r="O131" s="727"/>
      <c r="P131" s="713"/>
    </row>
    <row r="132" spans="1:17" ht="27.75">
      <c r="A132" s="1139" t="s">
        <v>239</v>
      </c>
      <c r="B132" s="1140"/>
      <c r="C132" s="1140"/>
      <c r="D132" s="523" t="s">
        <v>238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18"/>
      <c r="O132" s="727"/>
      <c r="P132" s="713"/>
    </row>
    <row r="133" spans="1:17" ht="27.75">
      <c r="A133" s="1139" t="s">
        <v>240</v>
      </c>
      <c r="B133" s="1140"/>
      <c r="C133" s="1140"/>
      <c r="D133" s="523" t="s">
        <v>238</v>
      </c>
      <c r="E133" s="541">
        <f>'11'!F133</f>
        <v>40146.47</v>
      </c>
      <c r="F133" s="651">
        <v>40170.449999999997</v>
      </c>
      <c r="G133" s="473">
        <f t="shared" si="15"/>
        <v>23.979999999995925</v>
      </c>
      <c r="H133" s="460">
        <f>G133+'11'!H133</f>
        <v>-282.55000000000291</v>
      </c>
      <c r="I133" s="480"/>
      <c r="J133" s="552">
        <f>H133/DAY(B2)</f>
        <v>-23.545833333333576</v>
      </c>
      <c r="N133" s="718"/>
      <c r="O133" s="727"/>
      <c r="P133" s="713"/>
    </row>
    <row r="134" spans="1:17" ht="27.75">
      <c r="A134" s="1139" t="s">
        <v>241</v>
      </c>
      <c r="B134" s="1140"/>
      <c r="C134" s="1140"/>
      <c r="D134" s="523" t="s">
        <v>238</v>
      </c>
      <c r="E134" s="701">
        <f>'11'!F134</f>
        <v>300</v>
      </c>
      <c r="F134" s="626">
        <v>300</v>
      </c>
      <c r="G134" s="473">
        <f t="shared" si="15"/>
        <v>0</v>
      </c>
      <c r="H134" s="460">
        <f>G134+'11'!H134</f>
        <v>0</v>
      </c>
      <c r="I134" s="480">
        <f>G131+G132+G133+G134</f>
        <v>23.979999999995925</v>
      </c>
      <c r="J134" s="552">
        <f>H134/DAY(B2)</f>
        <v>0</v>
      </c>
      <c r="N134" s="718"/>
      <c r="O134" s="727"/>
      <c r="P134" s="713"/>
    </row>
    <row r="135" spans="1:17" ht="27.75">
      <c r="A135" s="1139" t="s">
        <v>242</v>
      </c>
      <c r="B135" s="1140"/>
      <c r="C135" s="1140"/>
      <c r="D135" s="523" t="s">
        <v>238</v>
      </c>
      <c r="E135" s="701">
        <f>'11'!F135</f>
        <v>41730.449999999997</v>
      </c>
      <c r="F135" s="626">
        <v>41730.449999999997</v>
      </c>
      <c r="G135" s="473">
        <f t="shared" si="15"/>
        <v>0</v>
      </c>
      <c r="H135" s="460">
        <f>G135+'11'!H135</f>
        <v>-241.55000000000291</v>
      </c>
      <c r="I135" s="480"/>
      <c r="J135" s="552">
        <f>H135/DAY(B2)</f>
        <v>-20.129166666666908</v>
      </c>
      <c r="N135" s="718"/>
      <c r="O135" s="727"/>
      <c r="P135" s="713"/>
    </row>
    <row r="136" spans="1:17" ht="27.75">
      <c r="A136" s="1139" t="s">
        <v>243</v>
      </c>
      <c r="B136" s="1140"/>
      <c r="C136" s="1140"/>
      <c r="D136" s="523" t="s">
        <v>238</v>
      </c>
      <c r="E136" s="522">
        <f>'11'!F136</f>
        <v>32874</v>
      </c>
      <c r="F136" s="651">
        <v>32874</v>
      </c>
      <c r="G136" s="473">
        <f t="shared" si="15"/>
        <v>0</v>
      </c>
      <c r="H136" s="460">
        <f>G136+'11'!H136</f>
        <v>0</v>
      </c>
      <c r="I136" s="480"/>
      <c r="J136" s="552">
        <f>H136/DAY(B2)</f>
        <v>0</v>
      </c>
      <c r="N136" s="718"/>
      <c r="O136" s="727"/>
      <c r="P136" s="713"/>
    </row>
    <row r="137" spans="1:17" ht="27.75">
      <c r="A137" s="1139" t="s">
        <v>244</v>
      </c>
      <c r="B137" s="1140"/>
      <c r="C137" s="1140"/>
      <c r="D137" s="523" t="s">
        <v>238</v>
      </c>
      <c r="E137" s="541">
        <f>'11'!F137</f>
        <v>22833.51</v>
      </c>
      <c r="F137" s="651">
        <v>22833.51</v>
      </c>
      <c r="G137" s="473">
        <f t="shared" si="15"/>
        <v>0</v>
      </c>
      <c r="H137" s="460">
        <f>G137+'11'!H137</f>
        <v>-57.980000000003201</v>
      </c>
      <c r="I137" s="480">
        <f>G135+G136+G137</f>
        <v>0</v>
      </c>
      <c r="J137" s="552">
        <f>H137/DAY(B2)</f>
        <v>-4.8316666666669335</v>
      </c>
      <c r="N137" s="718"/>
      <c r="O137" s="727"/>
      <c r="P137" s="713"/>
    </row>
    <row r="138" spans="1:17" ht="27.75">
      <c r="A138" s="1139" t="s">
        <v>245</v>
      </c>
      <c r="B138" s="1140"/>
      <c r="C138" s="1140"/>
      <c r="D138" s="523" t="s">
        <v>238</v>
      </c>
      <c r="E138" s="541">
        <f>'11'!F138</f>
        <v>25051.82</v>
      </c>
      <c r="F138" s="651">
        <v>25051.82</v>
      </c>
      <c r="G138" s="473">
        <f t="shared" si="15"/>
        <v>0</v>
      </c>
      <c r="H138" s="460">
        <f>G138+'11'!H138</f>
        <v>-39.569999999999709</v>
      </c>
      <c r="I138" s="480"/>
      <c r="J138" s="552">
        <f>H138/DAY(B2)</f>
        <v>-3.2974999999999759</v>
      </c>
      <c r="N138" s="718"/>
      <c r="O138" s="727"/>
      <c r="P138" s="713"/>
    </row>
    <row r="139" spans="1:17" ht="27.75">
      <c r="A139" s="1139" t="s">
        <v>246</v>
      </c>
      <c r="B139" s="1140"/>
      <c r="C139" s="1140"/>
      <c r="D139" s="523" t="s">
        <v>238</v>
      </c>
      <c r="E139" s="541">
        <f>'11'!F139</f>
        <v>70456</v>
      </c>
      <c r="F139" s="651">
        <v>70460.649999999994</v>
      </c>
      <c r="G139" s="473">
        <f t="shared" si="15"/>
        <v>4.6499999999941792</v>
      </c>
      <c r="H139" s="460">
        <f>G139+'11'!H139</f>
        <v>-52.970000000001164</v>
      </c>
      <c r="I139" s="480">
        <f>G138+G139</f>
        <v>4.6499999999941792</v>
      </c>
      <c r="J139" s="552">
        <f>H139/DAY(B2)</f>
        <v>-4.4141666666667634</v>
      </c>
      <c r="N139" s="718"/>
      <c r="O139" s="727"/>
      <c r="P139" s="713"/>
    </row>
    <row r="140" spans="1:17" ht="27.75">
      <c r="A140" s="1139" t="s">
        <v>247</v>
      </c>
      <c r="B140" s="1140"/>
      <c r="C140" s="1140"/>
      <c r="D140" s="523" t="s">
        <v>238</v>
      </c>
      <c r="E140" s="701">
        <f>'11'!F140</f>
        <v>1934.29</v>
      </c>
      <c r="F140" s="626">
        <v>1943.38</v>
      </c>
      <c r="G140" s="473">
        <f t="shared" si="15"/>
        <v>9.0900000000001455</v>
      </c>
      <c r="H140" s="460">
        <f>G140+'11'!H140</f>
        <v>-185.79999999999973</v>
      </c>
      <c r="I140" s="542"/>
      <c r="J140" s="552">
        <f>H140/DAY(B2)</f>
        <v>-15.483333333333311</v>
      </c>
      <c r="N140" s="718"/>
      <c r="O140" s="727"/>
      <c r="P140" s="713"/>
    </row>
    <row r="141" spans="1:17" ht="27.75">
      <c r="A141" s="1139" t="s">
        <v>248</v>
      </c>
      <c r="B141" s="1140"/>
      <c r="C141" s="1140"/>
      <c r="D141" s="523" t="s">
        <v>238</v>
      </c>
      <c r="E141" s="484">
        <f>'11'!F141</f>
        <v>4636.88</v>
      </c>
      <c r="F141" s="478">
        <v>4636.88</v>
      </c>
      <c r="G141" s="473">
        <f t="shared" si="15"/>
        <v>0</v>
      </c>
      <c r="H141" s="460">
        <f>G141+'11'!H141</f>
        <v>-0.11999999999989086</v>
      </c>
      <c r="I141" s="542"/>
      <c r="J141" s="552">
        <f>H141/DAY(B2)</f>
        <v>-9.9999999999909051E-3</v>
      </c>
      <c r="N141" s="718"/>
      <c r="O141" s="727"/>
      <c r="P141" s="713"/>
    </row>
    <row r="142" spans="1:17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7"/>
      <c r="P142" s="713"/>
    </row>
    <row r="143" spans="1:17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4936</v>
      </c>
      <c r="H143" s="460">
        <f>G143+'11'!H143</f>
        <v>-98762.87</v>
      </c>
      <c r="I143" s="480"/>
      <c r="J143" s="552">
        <f>H143/DAY(B2)</f>
        <v>-8230.2391666666663</v>
      </c>
      <c r="K143" s="380"/>
      <c r="L143" s="377"/>
      <c r="N143" s="718"/>
      <c r="O143" s="727"/>
      <c r="P143" s="713"/>
    </row>
    <row r="144" spans="1:17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0.2295813953488372</v>
      </c>
      <c r="H144" s="460">
        <f>G144+'11'!H144</f>
        <v>-4.5893063423363794</v>
      </c>
      <c r="I144" s="544"/>
      <c r="J144" s="552">
        <f>H144/DAY(B2)</f>
        <v>-0.3824421951946983</v>
      </c>
      <c r="K144" s="380"/>
      <c r="L144" s="377"/>
      <c r="N144" s="718"/>
      <c r="O144" s="727"/>
      <c r="P144" s="713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5598</v>
      </c>
      <c r="H145" s="460">
        <f>G145+'11'!H145</f>
        <v>-110645.36999999998</v>
      </c>
      <c r="I145" s="480"/>
      <c r="J145" s="552">
        <f>H145/DAY(B2)</f>
        <v>-9220.4474999999984</v>
      </c>
      <c r="K145" s="380"/>
      <c r="L145" s="377"/>
      <c r="N145" s="718"/>
      <c r="O145" s="727"/>
      <c r="P145" s="713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0.26037209302325581</v>
      </c>
      <c r="H146" s="460">
        <f>G146+'11'!H146</f>
        <v>-5.1470039002831687</v>
      </c>
      <c r="I146" s="544"/>
      <c r="J146" s="552">
        <f>H146/DAY(B2)</f>
        <v>-0.42891699169026404</v>
      </c>
      <c r="K146" s="380"/>
      <c r="L146" s="377"/>
      <c r="N146" s="718"/>
      <c r="O146" s="727"/>
      <c r="P146" s="713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3517</v>
      </c>
      <c r="H147" s="460">
        <f>G147+'11'!H147</f>
        <v>-62769</v>
      </c>
      <c r="I147" s="545"/>
      <c r="J147" s="552">
        <f>H147/DAY(B2)</f>
        <v>-5230.75</v>
      </c>
      <c r="K147" s="380"/>
      <c r="L147" s="377"/>
      <c r="N147" s="718"/>
      <c r="O147" s="727"/>
      <c r="P147" s="713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0.1635813953488372</v>
      </c>
      <c r="H148" s="460">
        <f>G148+'11'!H148</f>
        <v>-2.9163033871582851</v>
      </c>
      <c r="I148" s="545"/>
      <c r="J148" s="552">
        <f>H148/DAY(B2)</f>
        <v>-0.24302528226319042</v>
      </c>
      <c r="N148" s="718"/>
      <c r="O148" s="727"/>
      <c r="P148" s="713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1383</v>
      </c>
      <c r="H149" s="460">
        <f>G149+'11'!H149</f>
        <v>-27293.930000000051</v>
      </c>
      <c r="I149" s="480"/>
      <c r="J149" s="552">
        <f>H149/DAY(B2)</f>
        <v>-2274.4941666666709</v>
      </c>
      <c r="K149" s="381"/>
      <c r="N149" s="718"/>
      <c r="O149" s="727"/>
      <c r="P149" s="713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6.4325581395348844E-2</v>
      </c>
      <c r="H150" s="460">
        <f>G150+'11'!H150</f>
        <v>-1.2692748324634044</v>
      </c>
      <c r="I150" s="545"/>
      <c r="J150" s="552">
        <f>H150/DAY(B2)</f>
        <v>-0.10577290270528371</v>
      </c>
      <c r="N150" s="718"/>
      <c r="O150" s="727"/>
      <c r="P150" s="713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1483</v>
      </c>
      <c r="H151" s="460">
        <f>G151+'11'!H151</f>
        <v>-34362</v>
      </c>
      <c r="I151" s="545"/>
      <c r="J151" s="552">
        <f>H151/DAY(B2)</f>
        <v>-2863.5</v>
      </c>
      <c r="N151" s="718"/>
      <c r="O151" s="727"/>
      <c r="P151" s="713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6.8976744186046518E-2</v>
      </c>
      <c r="H152" s="460">
        <f>G152+'11'!H152</f>
        <v>-1.5987711431557523</v>
      </c>
      <c r="I152" s="480"/>
      <c r="J152" s="552">
        <f>H152/DAY(B2)</f>
        <v>-0.13323092859631269</v>
      </c>
      <c r="N152" s="718"/>
      <c r="O152" s="727"/>
      <c r="P152" s="713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1461</v>
      </c>
      <c r="H153" s="460">
        <f>G153+'11'!H153</f>
        <v>-26281.130000000005</v>
      </c>
      <c r="I153" s="480"/>
      <c r="J153" s="552">
        <f>H153/DAY(B2)</f>
        <v>-2190.0941666666672</v>
      </c>
      <c r="N153" s="718"/>
      <c r="O153" s="727"/>
      <c r="P153" s="713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6.7953488372093029E-2</v>
      </c>
      <c r="H154" s="460">
        <f>G154+'11'!H154</f>
        <v>-1.2209789098386303</v>
      </c>
      <c r="I154" s="568"/>
      <c r="J154" s="569">
        <f>H154/DAY(B2)</f>
        <v>-0.10174824248655252</v>
      </c>
      <c r="N154" s="718"/>
      <c r="O154" s="727"/>
      <c r="P154" s="713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84" t="s">
        <v>262</v>
      </c>
      <c r="B161" s="785"/>
      <c r="C161" s="785"/>
      <c r="D161" s="511" t="s">
        <v>186</v>
      </c>
      <c r="E161" s="541">
        <f>'11'!F161</f>
        <v>39318</v>
      </c>
      <c r="F161" s="658">
        <v>39400</v>
      </c>
      <c r="G161" s="473">
        <f t="shared" ref="G161:G164" si="16">F161-E161</f>
        <v>82</v>
      </c>
      <c r="N161" s="718"/>
    </row>
    <row r="162" spans="1:14">
      <c r="A162" s="784" t="s">
        <v>263</v>
      </c>
      <c r="B162" s="785"/>
      <c r="C162" s="785"/>
      <c r="D162" s="511" t="s">
        <v>186</v>
      </c>
      <c r="E162" s="541">
        <f>'11'!F162</f>
        <v>99314</v>
      </c>
      <c r="F162" s="658">
        <v>99749</v>
      </c>
      <c r="G162" s="473">
        <f t="shared" si="16"/>
        <v>435</v>
      </c>
      <c r="N162" s="718"/>
    </row>
    <row r="163" spans="1:14">
      <c r="A163" s="784" t="s">
        <v>264</v>
      </c>
      <c r="B163" s="785"/>
      <c r="C163" s="785"/>
      <c r="D163" s="511" t="s">
        <v>186</v>
      </c>
      <c r="E163" s="541">
        <f>'11'!F163</f>
        <v>47234</v>
      </c>
      <c r="F163" s="658">
        <v>47444</v>
      </c>
      <c r="G163" s="473">
        <f t="shared" si="16"/>
        <v>210</v>
      </c>
      <c r="N163" s="718"/>
    </row>
    <row r="164" spans="1:14">
      <c r="A164" s="784" t="s">
        <v>265</v>
      </c>
      <c r="B164" s="785"/>
      <c r="C164" s="785"/>
      <c r="D164" s="511" t="s">
        <v>186</v>
      </c>
      <c r="E164" s="541">
        <f>'11'!F164</f>
        <v>6657</v>
      </c>
      <c r="F164" s="658">
        <v>6671</v>
      </c>
      <c r="G164" s="473">
        <f t="shared" si="16"/>
        <v>14</v>
      </c>
      <c r="N164" s="718"/>
    </row>
    <row r="165" spans="1:14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ref="G165:G172" si="17">F165-E165</f>
        <v>0</v>
      </c>
      <c r="N165" s="718"/>
    </row>
    <row r="166" spans="1:14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8"/>
    </row>
    <row r="167" spans="1:14" ht="33" customHeight="1">
      <c r="A167" s="1546" t="s">
        <v>98</v>
      </c>
      <c r="B167" s="1546"/>
      <c r="C167" s="1546"/>
      <c r="D167" s="523" t="s">
        <v>186</v>
      </c>
      <c r="E167" s="514">
        <f t="shared" si="18"/>
        <v>163000</v>
      </c>
      <c r="F167" s="514">
        <f t="shared" si="19"/>
        <v>163334</v>
      </c>
      <c r="G167" s="473">
        <f t="shared" si="17"/>
        <v>334</v>
      </c>
      <c r="N167" s="718"/>
    </row>
    <row r="168" spans="1:14" ht="33" customHeight="1">
      <c r="A168" s="1546" t="s">
        <v>99</v>
      </c>
      <c r="B168" s="1546"/>
      <c r="C168" s="1546"/>
      <c r="D168" s="523" t="s">
        <v>186</v>
      </c>
      <c r="E168" s="514">
        <f t="shared" si="18"/>
        <v>163635</v>
      </c>
      <c r="F168" s="514">
        <f t="shared" si="19"/>
        <v>164001</v>
      </c>
      <c r="G168" s="473">
        <f t="shared" si="17"/>
        <v>366</v>
      </c>
      <c r="N168" s="718"/>
    </row>
    <row r="169" spans="1:14" ht="41.25" customHeight="1">
      <c r="A169" s="1546" t="s">
        <v>100</v>
      </c>
      <c r="B169" s="1546"/>
      <c r="C169" s="1546"/>
      <c r="D169" s="523" t="s">
        <v>186</v>
      </c>
      <c r="E169" s="514">
        <f t="shared" si="18"/>
        <v>60644</v>
      </c>
      <c r="F169" s="514">
        <f t="shared" si="19"/>
        <v>61071</v>
      </c>
      <c r="G169" s="473">
        <f t="shared" si="17"/>
        <v>427</v>
      </c>
      <c r="N169" s="718"/>
    </row>
    <row r="170" spans="1:14" ht="26.25" customHeight="1">
      <c r="A170" s="1546" t="s">
        <v>101</v>
      </c>
      <c r="B170" s="1546"/>
      <c r="C170" s="1546"/>
      <c r="D170" s="523" t="s">
        <v>186</v>
      </c>
      <c r="E170" s="514">
        <f t="shared" si="18"/>
        <v>256499</v>
      </c>
      <c r="F170" s="514">
        <f t="shared" si="19"/>
        <v>256958</v>
      </c>
      <c r="G170" s="473">
        <f t="shared" si="17"/>
        <v>459</v>
      </c>
      <c r="N170" s="718"/>
    </row>
    <row r="171" spans="1:14" ht="24" customHeight="1">
      <c r="A171" s="1546" t="s">
        <v>102</v>
      </c>
      <c r="B171" s="1546"/>
      <c r="C171" s="154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546" t="s">
        <v>103</v>
      </c>
      <c r="B172" s="1546"/>
      <c r="C172" s="1546"/>
      <c r="D172" s="523" t="s">
        <v>186</v>
      </c>
      <c r="E172" s="514">
        <f t="shared" si="18"/>
        <v>83077</v>
      </c>
      <c r="F172" s="514">
        <f t="shared" si="19"/>
        <v>83304</v>
      </c>
      <c r="G172" s="473">
        <f t="shared" si="17"/>
        <v>227</v>
      </c>
      <c r="N172" s="718"/>
    </row>
    <row r="173" spans="1:14">
      <c r="A173" s="1587" t="s">
        <v>352</v>
      </c>
      <c r="B173" s="1550"/>
      <c r="C173" s="785"/>
      <c r="D173" s="523" t="s">
        <v>186</v>
      </c>
      <c r="E173" s="542"/>
      <c r="F173" s="542"/>
      <c r="G173" s="542"/>
      <c r="N173" s="718"/>
    </row>
    <row r="174" spans="1:14">
      <c r="A174" s="1587" t="s">
        <v>353</v>
      </c>
      <c r="B174" s="1550"/>
      <c r="C174" s="785"/>
      <c r="D174" s="523" t="s">
        <v>186</v>
      </c>
      <c r="E174" s="542"/>
      <c r="F174" s="542"/>
      <c r="G174" s="542"/>
      <c r="N174" s="718"/>
    </row>
    <row r="175" spans="1:14">
      <c r="N175" s="718"/>
    </row>
    <row r="176" spans="1:14">
      <c r="N176" s="718"/>
    </row>
    <row r="177" spans="14:14" ht="18.75" customHeight="1">
      <c r="N177" s="718"/>
    </row>
    <row r="178" spans="14:14" ht="18.75" customHeight="1">
      <c r="N178" s="718"/>
    </row>
    <row r="179" spans="14:14" ht="18.75" customHeight="1">
      <c r="N179" s="718"/>
    </row>
    <row r="180" spans="14:14" ht="18" customHeight="1">
      <c r="N180" s="718"/>
    </row>
    <row r="181" spans="14:14" ht="18.75" customHeight="1">
      <c r="N181" s="718"/>
    </row>
    <row r="182" spans="14:14" ht="18.75" customHeight="1">
      <c r="N182" s="718"/>
    </row>
    <row r="183" spans="14:14" ht="18" customHeight="1">
      <c r="N183" s="718"/>
    </row>
    <row r="184" spans="14:14" ht="18" customHeight="1">
      <c r="N184" s="718"/>
    </row>
    <row r="185" spans="14:14" ht="18" customHeight="1">
      <c r="N185" s="718"/>
    </row>
    <row r="186" spans="14:14" ht="18" customHeight="1">
      <c r="N186" s="718"/>
    </row>
    <row r="187" spans="14:14" ht="18" customHeight="1">
      <c r="N187" s="718"/>
    </row>
    <row r="188" spans="14:14" ht="18" customHeight="1">
      <c r="N188" s="718"/>
    </row>
    <row r="189" spans="14:14" ht="18" customHeight="1">
      <c r="N189" s="718"/>
    </row>
    <row r="190" spans="14:14" ht="18.75" customHeight="1">
      <c r="N190" s="718"/>
    </row>
    <row r="191" spans="14:14" ht="18.75" customHeight="1">
      <c r="N191" s="718"/>
    </row>
    <row r="192" spans="14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37" zoomScale="55" zoomScaleSheetLayoutView="55" workbookViewId="0">
      <selection activeCell="F15" sqref="F15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359</v>
      </c>
      <c r="B2" s="1031">
        <v>44360</v>
      </c>
      <c r="C2" s="1141" t="s">
        <v>68</v>
      </c>
      <c r="D2" s="611">
        <v>0.26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41" t="s">
        <v>119</v>
      </c>
      <c r="D3" s="612">
        <v>27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41" t="s">
        <v>121</v>
      </c>
      <c r="D4" s="611">
        <v>0.92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'12'!F7</f>
        <v>179795.56</v>
      </c>
      <c r="F7" s="455">
        <f>E7+21500</f>
        <v>201295.56</v>
      </c>
      <c r="G7" s="678">
        <f>F7-E7</f>
        <v>21500</v>
      </c>
      <c r="H7" s="679">
        <f>G7+'12'!H7</f>
        <v>279342.56000000006</v>
      </c>
      <c r="I7" s="680">
        <f>'1'!I7</f>
        <v>12000</v>
      </c>
      <c r="J7" s="681">
        <f>H7/DAY(B2)</f>
        <v>21487.889230769237</v>
      </c>
      <c r="K7" s="549"/>
      <c r="L7" s="377"/>
      <c r="N7" s="729">
        <f>G7/G8</f>
        <v>1</v>
      </c>
      <c r="O7" s="725">
        <f>F7+200</f>
        <v>201495.56</v>
      </c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'12'!F8</f>
        <v>185453.78999999998</v>
      </c>
      <c r="F8" s="475">
        <f>E8+21500</f>
        <v>206953.78999999998</v>
      </c>
      <c r="G8" s="689">
        <f>F8-E8</f>
        <v>21500</v>
      </c>
      <c r="H8" s="679">
        <f>G8+'12'!H8</f>
        <v>280231.78999999998</v>
      </c>
      <c r="I8" s="686">
        <f>'1'!I8</f>
        <v>12000</v>
      </c>
      <c r="J8" s="681">
        <f>H8/DAY(B2)</f>
        <v>21556.291538461537</v>
      </c>
      <c r="K8" s="549"/>
      <c r="L8" s="425"/>
      <c r="M8" s="440"/>
      <c r="N8" s="718"/>
      <c r="O8" s="725">
        <f>F8+200</f>
        <v>207153.78999999998</v>
      </c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'12'!F9</f>
        <v>1675297</v>
      </c>
      <c r="F9" s="478">
        <v>1694972</v>
      </c>
      <c r="G9" s="702">
        <f t="shared" ref="G9:G12" si="0">F9-E9</f>
        <v>19675</v>
      </c>
      <c r="H9" s="679">
        <f>G9+'12'!H9</f>
        <v>-336030</v>
      </c>
      <c r="I9" s="690">
        <f>I7-J7</f>
        <v>-9487.8892307692367</v>
      </c>
      <c r="J9" s="681">
        <f>H9/DAY(B2)</f>
        <v>-25848.461538461539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'12'!F10</f>
        <v>2606.5500000000002</v>
      </c>
      <c r="F10" s="478">
        <v>2606.5500000000002</v>
      </c>
      <c r="G10" s="689">
        <f t="shared" si="0"/>
        <v>0</v>
      </c>
      <c r="H10" s="679">
        <f>G10+'12'!H10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G11+'12'!H11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G12+'12'!H12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19675</v>
      </c>
      <c r="H13" s="679">
        <f>G13+'12'!H13</f>
        <v>-352555</v>
      </c>
      <c r="I13" s="695">
        <f>G7-G13</f>
        <v>1825</v>
      </c>
      <c r="J13" s="681">
        <f>H13/DAY(B2)</f>
        <v>-27119.615384615383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'12'!F15</f>
        <v>1712667.16</v>
      </c>
      <c r="F15" s="700">
        <f>E15+700</f>
        <v>1713367.16</v>
      </c>
      <c r="G15" s="664">
        <f>(F15-E15)</f>
        <v>700</v>
      </c>
      <c r="H15" s="486">
        <f>G15+'12'!H15</f>
        <v>9684.1599999999162</v>
      </c>
      <c r="I15" s="474">
        <v>800</v>
      </c>
      <c r="J15" s="553">
        <f>H15/DAY(B2)</f>
        <v>744.93538461537821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55.064615384621789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'12'!F18</f>
        <v>6</v>
      </c>
      <c r="F18" s="478">
        <v>13</v>
      </c>
      <c r="G18" s="694">
        <f>F18*10</f>
        <v>130</v>
      </c>
      <c r="H18" s="679">
        <f>G18+'12'!H18</f>
        <v>1280</v>
      </c>
      <c r="I18" s="680">
        <f>'1'!I18</f>
        <v>65</v>
      </c>
      <c r="J18" s="681">
        <f>H18/DAY(B2)</f>
        <v>98.461538461538467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'12'!F19</f>
        <v>140368</v>
      </c>
      <c r="F19" s="478">
        <v>140432</v>
      </c>
      <c r="G19" s="689">
        <f t="shared" ref="G19" si="1">F19-E19</f>
        <v>64</v>
      </c>
      <c r="H19" s="679">
        <f>G19+'12'!H19</f>
        <v>-1063</v>
      </c>
      <c r="I19" s="696"/>
      <c r="J19" s="681">
        <f>H19/DAY(B2)</f>
        <v>-81.769230769230774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194</v>
      </c>
      <c r="H20" s="679">
        <f>G20+'12'!H20</f>
        <v>217</v>
      </c>
      <c r="I20" s="698">
        <f>I18-J20</f>
        <v>48.307692307692307</v>
      </c>
      <c r="J20" s="681">
        <f>H20/DAY(B2)</f>
        <v>16.692307692307693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39" t="s">
        <v>146</v>
      </c>
      <c r="B22" s="589"/>
      <c r="C22" s="589"/>
      <c r="D22" s="523" t="s">
        <v>147</v>
      </c>
      <c r="E22" s="634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39" t="s">
        <v>148</v>
      </c>
      <c r="B23" s="589"/>
      <c r="C23" s="589"/>
      <c r="D23" s="523" t="s">
        <v>147</v>
      </c>
      <c r="E23" s="634">
        <v>2000</v>
      </c>
      <c r="F23" s="478">
        <v>2000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G27+'12'!H27</f>
        <v>2522086.11</v>
      </c>
      <c r="I27" s="503"/>
      <c r="J27" s="552">
        <f>H27/DAY(B2)</f>
        <v>194006.62384615385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G28+'12'!H28</f>
        <v>503576.31999999564</v>
      </c>
      <c r="I28" s="505"/>
      <c r="J28" s="552">
        <f>H28/DAY(B2)</f>
        <v>38736.639999999665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64</v>
      </c>
      <c r="F30" s="501">
        <v>146</v>
      </c>
      <c r="G30" s="502">
        <f>E30*F30</f>
        <v>9344</v>
      </c>
      <c r="H30" s="460">
        <f>G30+'12'!H30</f>
        <v>-155782</v>
      </c>
      <c r="I30" s="505"/>
      <c r="J30" s="552">
        <f>H30/DAY(B2)</f>
        <v>-11983.23076923077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130</v>
      </c>
      <c r="F31" s="501">
        <v>80</v>
      </c>
      <c r="G31" s="502">
        <f>E31*F31</f>
        <v>10400</v>
      </c>
      <c r="H31" s="460">
        <f>G31+'12'!H31</f>
        <v>96800</v>
      </c>
      <c r="I31" s="505"/>
      <c r="J31" s="552">
        <f>H31/DAY(B2)</f>
        <v>7446.1538461538457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249644</v>
      </c>
      <c r="H32" s="460">
        <f>G32+'12'!H32</f>
        <v>2966680.429999995</v>
      </c>
      <c r="I32" s="509"/>
      <c r="J32" s="552">
        <f>H32/DAY(B2)</f>
        <v>228206.18692307654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'12'!F35</f>
        <v>979277</v>
      </c>
      <c r="F35" s="510">
        <v>981892</v>
      </c>
      <c r="G35" s="473">
        <f t="shared" ref="G35:G46" si="3">F35-E35</f>
        <v>2615</v>
      </c>
      <c r="H35" s="460">
        <f>G35+'12'!H35</f>
        <v>-46822</v>
      </c>
      <c r="I35" s="455"/>
      <c r="J35" s="552">
        <f>H35/DAY(B2)</f>
        <v>-3601.6923076923076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'12'!F36</f>
        <v>6954</v>
      </c>
      <c r="F36" s="510">
        <v>7511</v>
      </c>
      <c r="G36" s="473">
        <f t="shared" si="3"/>
        <v>557</v>
      </c>
      <c r="H36" s="460">
        <f>G36+'12'!H36</f>
        <v>-12950</v>
      </c>
      <c r="I36" s="455"/>
      <c r="J36" s="552">
        <f>H36/DAY(B2)</f>
        <v>-996.15384615384619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'12'!F37</f>
        <v>150289</v>
      </c>
      <c r="F37" s="510">
        <v>151702</v>
      </c>
      <c r="G37" s="473">
        <f t="shared" si="3"/>
        <v>1413</v>
      </c>
      <c r="H37" s="460">
        <f>G37+'12'!H37</f>
        <v>-24868</v>
      </c>
      <c r="I37" s="455"/>
      <c r="J37" s="552">
        <f>H37/DAY(B2)</f>
        <v>-1912.9230769230769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'12'!F38</f>
        <v>171165</v>
      </c>
      <c r="F38" s="469">
        <v>172659</v>
      </c>
      <c r="G38" s="473">
        <f t="shared" si="3"/>
        <v>1494</v>
      </c>
      <c r="H38" s="460">
        <f>G38+'12'!H38</f>
        <v>-25800</v>
      </c>
      <c r="I38" s="455"/>
      <c r="J38" s="552">
        <f>H38/DAY(B2)</f>
        <v>-1984.6153846153845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'12'!F39</f>
        <v>342095</v>
      </c>
      <c r="F39" s="510">
        <v>345464</v>
      </c>
      <c r="G39" s="473">
        <f t="shared" si="3"/>
        <v>3369</v>
      </c>
      <c r="H39" s="460">
        <f>G39+'12'!H39</f>
        <v>-59400</v>
      </c>
      <c r="I39" s="455"/>
      <c r="J39" s="552">
        <f>H39/DAY(B2)</f>
        <v>-4569.2307692307695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'12'!F40</f>
        <v>1057</v>
      </c>
      <c r="F40" s="510">
        <v>1226</v>
      </c>
      <c r="G40" s="473">
        <f t="shared" si="3"/>
        <v>169</v>
      </c>
      <c r="H40" s="460">
        <f>G40+'12'!H40</f>
        <v>-5887</v>
      </c>
      <c r="I40" s="455"/>
      <c r="J40" s="552">
        <f>H40/DAY(B2)</f>
        <v>-452.84615384615387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'12'!F41</f>
        <v>268701</v>
      </c>
      <c r="F41" s="510">
        <v>274199</v>
      </c>
      <c r="G41" s="473">
        <f t="shared" si="3"/>
        <v>5498</v>
      </c>
      <c r="H41" s="460">
        <f>G41+'12'!H41</f>
        <v>-55443</v>
      </c>
      <c r="I41" s="455"/>
      <c r="J41" s="552">
        <f>H41/DAY(B2)</f>
        <v>-4264.8461538461543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'12'!F42</f>
        <v>59211</v>
      </c>
      <c r="F42" s="510">
        <v>59211</v>
      </c>
      <c r="G42" s="473">
        <f t="shared" si="3"/>
        <v>0</v>
      </c>
      <c r="H42" s="460">
        <f>G42+'12'!H42</f>
        <v>12.110000000000582</v>
      </c>
      <c r="I42" s="455"/>
      <c r="J42" s="552">
        <f>H42/DAY(B2)</f>
        <v>0.93153846153850628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'12'!F43</f>
        <v>1071126</v>
      </c>
      <c r="F43" s="510">
        <v>1073773</v>
      </c>
      <c r="G43" s="473">
        <f t="shared" si="3"/>
        <v>2647</v>
      </c>
      <c r="H43" s="460">
        <f>G43+'12'!H43</f>
        <v>-46679</v>
      </c>
      <c r="I43" s="455"/>
      <c r="J43" s="552">
        <f>H43/DAY(B2)</f>
        <v>-3590.6923076923076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 t="s">
        <v>267</v>
      </c>
      <c r="G47" s="481">
        <f>G35+G36+G37+G38+G39+G40+G41+G42+G43+G44+G45+G46</f>
        <v>17762</v>
      </c>
      <c r="H47" s="460">
        <f>G47+'12'!H47</f>
        <v>-277035.39999999997</v>
      </c>
      <c r="I47" s="455"/>
      <c r="J47" s="552">
        <f>H47/DAY(B2)</f>
        <v>-21310.415384615382</v>
      </c>
      <c r="K47" s="428"/>
      <c r="L47" s="377"/>
      <c r="N47" s="718"/>
      <c r="O47" s="725"/>
      <c r="P47" s="382"/>
    </row>
    <row r="48" spans="1:16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'12'!F49</f>
        <v>260732.13</v>
      </c>
      <c r="F49" s="510">
        <v>260732.13</v>
      </c>
      <c r="G49" s="473">
        <f t="shared" ref="G49:G58" si="4">F49-E49</f>
        <v>0</v>
      </c>
      <c r="H49" s="460">
        <f>G49+'12'!H49</f>
        <v>0.13000000000465661</v>
      </c>
      <c r="I49" s="455"/>
      <c r="J49" s="552">
        <f>H49/DAY(B2)</f>
        <v>1.0000000000358202E-2</v>
      </c>
      <c r="K49" s="428"/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'12'!F50</f>
        <v>513808</v>
      </c>
      <c r="F50" s="510">
        <v>514858</v>
      </c>
      <c r="G50" s="473">
        <f t="shared" si="4"/>
        <v>1050</v>
      </c>
      <c r="H50" s="460">
        <f>G50+'12'!H50</f>
        <v>-20695</v>
      </c>
      <c r="I50" s="455"/>
      <c r="J50" s="552">
        <f>H50/DAY(B2)</f>
        <v>-1591.9230769230769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'12'!F53</f>
        <v>434232</v>
      </c>
      <c r="F53" s="510">
        <v>434232</v>
      </c>
      <c r="G53" s="473">
        <f t="shared" si="4"/>
        <v>0</v>
      </c>
      <c r="H53" s="460">
        <f>G53+'12'!H53</f>
        <v>-0.33000000001629815</v>
      </c>
      <c r="I53" s="455"/>
      <c r="J53" s="552">
        <f>H53/DAY(B2)</f>
        <v>-2.5384615385869089E-2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'12'!F54</f>
        <v>14744</v>
      </c>
      <c r="F54" s="510">
        <v>14825</v>
      </c>
      <c r="G54" s="473">
        <f t="shared" si="4"/>
        <v>81</v>
      </c>
      <c r="H54" s="460">
        <f>G54+'12'!H54</f>
        <v>-221</v>
      </c>
      <c r="I54" s="455"/>
      <c r="J54" s="552">
        <f>H54/DAY(B2)</f>
        <v>-17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'12'!F55</f>
        <v>68136.52</v>
      </c>
      <c r="F55" s="653">
        <v>69298</v>
      </c>
      <c r="G55" s="652">
        <f t="shared" si="4"/>
        <v>1161.4799999999959</v>
      </c>
      <c r="H55" s="705">
        <f>G55+'12'!H55</f>
        <v>-48338</v>
      </c>
      <c r="I55" s="706"/>
      <c r="J55" s="707">
        <f>H55/DAY(B2)</f>
        <v>-3718.3076923076924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'12'!F56</f>
        <v>648815</v>
      </c>
      <c r="F56" s="653">
        <v>648857</v>
      </c>
      <c r="G56" s="473">
        <f t="shared" si="4"/>
        <v>42</v>
      </c>
      <c r="H56" s="460">
        <f>G56+'12'!H56</f>
        <v>-175</v>
      </c>
      <c r="I56" s="455"/>
      <c r="J56" s="552">
        <f>H56/DAY(B2)</f>
        <v>-13.461538461538462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'12'!F58</f>
        <v>50934</v>
      </c>
      <c r="F58" s="653">
        <v>51172</v>
      </c>
      <c r="G58" s="473">
        <f t="shared" si="4"/>
        <v>238</v>
      </c>
      <c r="H58" s="460">
        <f>G58+'12'!H58</f>
        <v>-3053.2099999999991</v>
      </c>
      <c r="I58" s="455"/>
      <c r="J58" s="552">
        <f>H58/DAY(B2)</f>
        <v>-234.86230769230764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2572.8099999999959</v>
      </c>
      <c r="H59" s="460">
        <f>G59+'12'!H59</f>
        <v>-72482.140000000072</v>
      </c>
      <c r="I59" s="455">
        <f>G7-G60</f>
        <v>1165.1900000000023</v>
      </c>
      <c r="J59" s="552">
        <f>H59/DAY(B2)</f>
        <v>-5575.5492307692366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20334.809999999998</v>
      </c>
      <c r="H60" s="460">
        <f>G60+'12'!H60</f>
        <v>-348309.00000000012</v>
      </c>
      <c r="I60" s="455">
        <f>G13-G60</f>
        <v>-659.80999999999767</v>
      </c>
      <c r="J60" s="552">
        <f>H60/DAY(B2)</f>
        <v>-26793.000000000007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'12'!F62</f>
        <v>0</v>
      </c>
      <c r="F62" s="514">
        <v>0</v>
      </c>
      <c r="G62" s="473">
        <f t="shared" ref="G62:G70" si="5">F62-E62</f>
        <v>0</v>
      </c>
      <c r="H62" s="460">
        <f>G62+'12'!H62</f>
        <v>1.9999999967694748E-3</v>
      </c>
      <c r="I62" s="515"/>
      <c r="J62" s="552">
        <f>H62/DAY(B2)</f>
        <v>1.5384615359765192E-4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'12'!F63</f>
        <v>0</v>
      </c>
      <c r="F63" s="514">
        <v>0</v>
      </c>
      <c r="G63" s="473">
        <f t="shared" si="5"/>
        <v>0</v>
      </c>
      <c r="H63" s="460">
        <f>G63+'12'!H63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514">
        <f>'12'!F64</f>
        <v>163334</v>
      </c>
      <c r="F64" s="478">
        <v>163686</v>
      </c>
      <c r="G64" s="473">
        <f t="shared" si="5"/>
        <v>352</v>
      </c>
      <c r="H64" s="460">
        <f>G64+'12'!H64</f>
        <v>-6336</v>
      </c>
      <c r="I64" s="480"/>
      <c r="J64" s="552">
        <f>H64/DAY(B2)</f>
        <v>-487.38461538461536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'12'!F65</f>
        <v>164001</v>
      </c>
      <c r="F65" s="651">
        <v>164412</v>
      </c>
      <c r="G65" s="473">
        <f t="shared" si="5"/>
        <v>411</v>
      </c>
      <c r="H65" s="460">
        <f>G65+'12'!H65</f>
        <v>-5890</v>
      </c>
      <c r="I65" s="489"/>
      <c r="J65" s="552">
        <f>H65/DAY(B2)</f>
        <v>-453.07692307692309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'12'!F66</f>
        <v>61071</v>
      </c>
      <c r="F66" s="478">
        <v>61447</v>
      </c>
      <c r="G66" s="473">
        <f t="shared" si="5"/>
        <v>376</v>
      </c>
      <c r="H66" s="460">
        <f>G66+'12'!H66</f>
        <v>-6523</v>
      </c>
      <c r="I66" s="480"/>
      <c r="J66" s="552">
        <f>H66/DAY(B2)</f>
        <v>-501.76923076923077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'12'!F67</f>
        <v>256958</v>
      </c>
      <c r="F67" s="478">
        <v>257387</v>
      </c>
      <c r="G67" s="473">
        <f t="shared" si="5"/>
        <v>429</v>
      </c>
      <c r="H67" s="460">
        <f>G67+'12'!H67</f>
        <v>-7572</v>
      </c>
      <c r="I67" s="489"/>
      <c r="J67" s="552">
        <f>H67/DAY(B2)</f>
        <v>-582.46153846153845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'12'!F69</f>
        <v>83304</v>
      </c>
      <c r="F69" s="478">
        <v>83521</v>
      </c>
      <c r="G69" s="473">
        <f t="shared" si="5"/>
        <v>217</v>
      </c>
      <c r="H69" s="460">
        <f>G69+'12'!H69</f>
        <v>-3994</v>
      </c>
      <c r="I69" s="516"/>
      <c r="J69" s="552">
        <f>H69/DAY(B2)</f>
        <v>-307.23076923076923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18"/>
      <c r="O70" s="725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'12'!F72</f>
        <v>856001</v>
      </c>
      <c r="F72" s="654">
        <v>856014</v>
      </c>
      <c r="G72" s="473">
        <f t="shared" ref="G72:G84" si="6">F72-E72</f>
        <v>13</v>
      </c>
      <c r="H72" s="460">
        <f>G72+'12'!H72</f>
        <v>-208</v>
      </c>
      <c r="I72" s="480"/>
      <c r="J72" s="552">
        <f>H72/DAY(B2)</f>
        <v>-16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'12'!F73</f>
        <v>885951</v>
      </c>
      <c r="F73" s="655">
        <v>885952</v>
      </c>
      <c r="G73" s="652">
        <f t="shared" si="6"/>
        <v>1</v>
      </c>
      <c r="H73" s="460">
        <f>G73+'12'!H73</f>
        <v>-20</v>
      </c>
      <c r="I73" s="480"/>
      <c r="J73" s="552">
        <f>H73/DAY(B2)</f>
        <v>-1.5384615384615385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'12'!F74</f>
        <v>2599.96</v>
      </c>
      <c r="F74" s="655">
        <v>2599.96</v>
      </c>
      <c r="G74" s="473">
        <f t="shared" si="6"/>
        <v>0</v>
      </c>
      <c r="H74" s="460">
        <f>G74+'12'!H74</f>
        <v>-86096.04</v>
      </c>
      <c r="I74" s="480"/>
      <c r="J74" s="552">
        <f>H74/DAY(B2)</f>
        <v>-6622.7723076923075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'12'!F75</f>
        <v>13508</v>
      </c>
      <c r="F75" s="655">
        <v>13637</v>
      </c>
      <c r="G75" s="473">
        <f t="shared" si="6"/>
        <v>129</v>
      </c>
      <c r="H75" s="460">
        <f>G75+'12'!H75</f>
        <v>-2434</v>
      </c>
      <c r="I75" s="480"/>
      <c r="J75" s="552">
        <f>H75/DAY(B2)</f>
        <v>-187.23076923076923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'12'!F76</f>
        <v>8119</v>
      </c>
      <c r="F76" s="655">
        <v>8174</v>
      </c>
      <c r="G76" s="473">
        <f t="shared" si="6"/>
        <v>55</v>
      </c>
      <c r="H76" s="460">
        <f>G76+'12'!H76</f>
        <v>-1162</v>
      </c>
      <c r="I76" s="505"/>
      <c r="J76" s="552">
        <f>H76/DAY(B2)</f>
        <v>-89.384615384615387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'12'!F77</f>
        <v>703432</v>
      </c>
      <c r="F77" s="655">
        <v>703488</v>
      </c>
      <c r="G77" s="652">
        <f t="shared" si="6"/>
        <v>56</v>
      </c>
      <c r="H77" s="460">
        <f>G77+'12'!H77</f>
        <v>-886</v>
      </c>
      <c r="I77" s="505"/>
      <c r="J77" s="552">
        <f>H77/DAY(B2)</f>
        <v>-68.15384615384616</v>
      </c>
      <c r="K77" s="430"/>
      <c r="L77" s="377"/>
      <c r="N77" s="718"/>
      <c r="O77" s="725"/>
      <c r="P77" s="382"/>
    </row>
    <row r="78" spans="1:16" ht="27.75">
      <c r="A78" s="1142" t="s">
        <v>196</v>
      </c>
      <c r="B78" s="1115"/>
      <c r="C78" s="1115"/>
      <c r="D78" s="523" t="s">
        <v>186</v>
      </c>
      <c r="E78" s="519">
        <f>'12'!F78</f>
        <v>673895</v>
      </c>
      <c r="F78" s="656">
        <v>673925</v>
      </c>
      <c r="G78" s="473">
        <f t="shared" si="6"/>
        <v>30</v>
      </c>
      <c r="H78" s="460">
        <f>G78+'12'!H78</f>
        <v>-1489</v>
      </c>
      <c r="I78" s="505"/>
      <c r="J78" s="552">
        <f>H78/DAY(B2)</f>
        <v>-114.53846153846153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'12'!F79</f>
        <v>832779</v>
      </c>
      <c r="F79" s="656">
        <v>832915</v>
      </c>
      <c r="G79" s="473">
        <f t="shared" si="6"/>
        <v>136</v>
      </c>
      <c r="H79" s="460">
        <f>G79+'12'!H79</f>
        <v>-2501</v>
      </c>
      <c r="I79" s="505"/>
      <c r="J79" s="552">
        <f>H79/DAY(B2)</f>
        <v>-192.38461538461539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'12'!F80</f>
        <v>532070</v>
      </c>
      <c r="F80" s="655">
        <v>532450.52</v>
      </c>
      <c r="G80" s="473">
        <f t="shared" si="6"/>
        <v>380.52000000001863</v>
      </c>
      <c r="H80" s="460">
        <f>G80+'12'!H80</f>
        <v>-6562.4799999999814</v>
      </c>
      <c r="I80" s="505"/>
      <c r="J80" s="552">
        <f>H80/DAY(B2)</f>
        <v>-504.80615384615243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'12'!F81</f>
        <v>640219</v>
      </c>
      <c r="F81" s="655">
        <v>640343.80000000005</v>
      </c>
      <c r="G81" s="473">
        <f t="shared" si="6"/>
        <v>124.80000000004657</v>
      </c>
      <c r="H81" s="460">
        <f>G81+'12'!H81</f>
        <v>-2641.1999999999534</v>
      </c>
      <c r="I81" s="505"/>
      <c r="J81" s="552">
        <f>H81/DAY(B2)</f>
        <v>-203.1692307692272</v>
      </c>
      <c r="K81" s="430"/>
      <c r="L81" s="377"/>
      <c r="N81" s="718"/>
      <c r="O81" s="725"/>
      <c r="P81" s="382"/>
    </row>
    <row r="82" spans="1:16" ht="27.75">
      <c r="A82" s="1543" t="s">
        <v>92</v>
      </c>
      <c r="B82" s="1544"/>
      <c r="C82" s="1545"/>
      <c r="D82" s="485" t="s">
        <v>131</v>
      </c>
      <c r="E82" s="519">
        <f>'12'!F82</f>
        <v>108348</v>
      </c>
      <c r="F82" s="651">
        <v>108359</v>
      </c>
      <c r="G82" s="473">
        <f t="shared" si="6"/>
        <v>11</v>
      </c>
      <c r="H82" s="460">
        <f>G82+'12'!H82</f>
        <v>-322</v>
      </c>
      <c r="I82" s="486"/>
      <c r="J82" s="552">
        <f>H82/DAY(B2)</f>
        <v>-24.76923076923077</v>
      </c>
      <c r="K82" s="430"/>
      <c r="L82" s="377"/>
      <c r="N82" s="718"/>
      <c r="O82" s="725"/>
      <c r="P82" s="382"/>
    </row>
    <row r="83" spans="1:16" ht="27.75">
      <c r="A83" s="1543" t="s">
        <v>199</v>
      </c>
      <c r="B83" s="1544"/>
      <c r="C83" s="1545"/>
      <c r="D83" s="620" t="s">
        <v>131</v>
      </c>
      <c r="E83" s="519">
        <f>'12'!F83</f>
        <v>22884</v>
      </c>
      <c r="F83" s="511">
        <v>23120</v>
      </c>
      <c r="G83" s="473">
        <f t="shared" si="6"/>
        <v>236</v>
      </c>
      <c r="H83" s="460">
        <f>G83+'12'!H83</f>
        <v>-4431</v>
      </c>
      <c r="I83" s="481"/>
      <c r="J83" s="552">
        <f>H83/DAY(B2)</f>
        <v>-340.84615384615387</v>
      </c>
      <c r="K83" s="429"/>
      <c r="L83" s="377"/>
      <c r="N83" s="718"/>
      <c r="O83" s="725"/>
      <c r="P83" s="382"/>
    </row>
    <row r="84" spans="1:16">
      <c r="A84" s="1143" t="s">
        <v>200</v>
      </c>
      <c r="B84" s="571"/>
      <c r="C84" s="571"/>
      <c r="D84" s="478" t="s">
        <v>131</v>
      </c>
      <c r="E84" s="519">
        <f>'12'!F84</f>
        <v>509052</v>
      </c>
      <c r="F84" s="627">
        <v>509739</v>
      </c>
      <c r="G84" s="473">
        <f t="shared" si="6"/>
        <v>687</v>
      </c>
      <c r="H84" s="460">
        <f>G84+'12'!H84</f>
        <v>-13341</v>
      </c>
      <c r="I84" s="481"/>
      <c r="J84" s="552">
        <f>H84/DAY(B2)</f>
        <v>-1026.2307692307693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1859.3200000000652</v>
      </c>
      <c r="H85" s="460">
        <f>G85+'12'!H85</f>
        <v>-122093.71999999994</v>
      </c>
      <c r="I85" s="481"/>
      <c r="J85" s="552">
        <f>H85/DAY(B2)</f>
        <v>-9391.8246153846103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'12'!F86</f>
        <v>461307</v>
      </c>
      <c r="F86" s="647">
        <v>461336.44</v>
      </c>
      <c r="G86" s="705">
        <f t="shared" ref="G86:G91" si="7">F86-E86</f>
        <v>29.440000000002328</v>
      </c>
      <c r="H86" s="705">
        <f t="shared" ref="H86:H88" si="8">G86</f>
        <v>29.440000000002328</v>
      </c>
      <c r="I86" s="652"/>
      <c r="J86" s="707">
        <f>H86/DAY(B2)</f>
        <v>2.2646153846155639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'12'!F87</f>
        <v>81615</v>
      </c>
      <c r="F87" s="647">
        <v>81626</v>
      </c>
      <c r="G87" s="705">
        <f t="shared" si="7"/>
        <v>11</v>
      </c>
      <c r="H87" s="705">
        <f t="shared" si="8"/>
        <v>11</v>
      </c>
      <c r="I87" s="652"/>
      <c r="J87" s="707">
        <f>H87/DAY(B2)</f>
        <v>0.84615384615384615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'12'!F88</f>
        <v>153516</v>
      </c>
      <c r="F88" s="647">
        <v>153538.73000000001</v>
      </c>
      <c r="G88" s="705">
        <f t="shared" si="7"/>
        <v>22.730000000010477</v>
      </c>
      <c r="H88" s="705">
        <f t="shared" si="8"/>
        <v>22.730000000010477</v>
      </c>
      <c r="I88" s="652"/>
      <c r="J88" s="707">
        <f>H88/DAY(B2)</f>
        <v>1.7484615384623443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'12'!F89</f>
        <v>65381</v>
      </c>
      <c r="F89" s="647">
        <v>65397.8</v>
      </c>
      <c r="G89" s="705">
        <f t="shared" si="7"/>
        <v>16.80000000000291</v>
      </c>
      <c r="H89" s="705">
        <f>G89</f>
        <v>16.80000000000291</v>
      </c>
      <c r="I89" s="652"/>
      <c r="J89" s="707">
        <f>H89/DAY(B2)</f>
        <v>1.2923076923079162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'12'!F90</f>
        <v>3290</v>
      </c>
      <c r="F90" s="647">
        <v>3291.9</v>
      </c>
      <c r="G90" s="705">
        <f t="shared" si="7"/>
        <v>1.9000000000000909</v>
      </c>
      <c r="H90" s="705">
        <f>G90</f>
        <v>1.9000000000000909</v>
      </c>
      <c r="I90" s="652"/>
      <c r="J90" s="707">
        <f>H90/DAY(B2)</f>
        <v>0.14615384615385316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/>
      <c r="E91" s="627">
        <f>'12'!F91</f>
        <v>28112</v>
      </c>
      <c r="F91" s="647">
        <v>28113</v>
      </c>
      <c r="G91" s="705">
        <f t="shared" si="7"/>
        <v>1</v>
      </c>
      <c r="H91" s="705">
        <f>G91</f>
        <v>1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'12'!F93</f>
        <v>245956</v>
      </c>
      <c r="F93" s="478">
        <v>246080</v>
      </c>
      <c r="G93" s="473">
        <f t="shared" ref="G93:G94" si="9">F93-E93</f>
        <v>124</v>
      </c>
      <c r="H93" s="460">
        <f>G93+'12'!H93</f>
        <v>-1272</v>
      </c>
      <c r="I93" s="480"/>
      <c r="J93" s="552">
        <f>H93/DAY(B2)</f>
        <v>-97.84615384615384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'12'!F94</f>
        <v>187288</v>
      </c>
      <c r="F94" s="478">
        <v>187397</v>
      </c>
      <c r="G94" s="473">
        <f t="shared" si="9"/>
        <v>109</v>
      </c>
      <c r="H94" s="460">
        <f>G94+'12'!H94</f>
        <v>-2057</v>
      </c>
      <c r="I94" s="480"/>
      <c r="J94" s="552">
        <f>H94/DAY(B2)</f>
        <v>-158.23076923076923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'12'!F95</f>
        <v>0</v>
      </c>
      <c r="F95" s="478"/>
      <c r="G95" s="473">
        <f>G93+G94</f>
        <v>233</v>
      </c>
      <c r="H95" s="460">
        <f>G95+'12'!H95</f>
        <v>-3515</v>
      </c>
      <c r="I95" s="480"/>
      <c r="J95" s="552">
        <f>H95/DAY(B2)</f>
        <v>-270.38461538461536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'12'!F96</f>
        <v>414846</v>
      </c>
      <c r="F96" s="478">
        <v>414910</v>
      </c>
      <c r="G96" s="473">
        <f t="shared" ref="G96:G101" si="10">F96-E96</f>
        <v>64</v>
      </c>
      <c r="H96" s="460">
        <f>G96+'12'!H96</f>
        <v>-1089</v>
      </c>
      <c r="I96" s="480"/>
      <c r="J96" s="552">
        <f>H96/DAY(B2)</f>
        <v>-83.769230769230774</v>
      </c>
      <c r="K96" s="380"/>
      <c r="L96" s="377"/>
      <c r="N96" s="718"/>
      <c r="O96" s="725"/>
      <c r="P96" s="382"/>
    </row>
    <row r="97" spans="1:16" ht="27.75">
      <c r="A97" s="1139" t="s">
        <v>209</v>
      </c>
      <c r="B97" s="1140"/>
      <c r="C97" s="1140"/>
      <c r="D97" s="523" t="s">
        <v>143</v>
      </c>
      <c r="E97" s="484">
        <f>'12'!F97</f>
        <v>102786</v>
      </c>
      <c r="F97" s="478">
        <v>102820</v>
      </c>
      <c r="G97" s="473">
        <f t="shared" si="10"/>
        <v>34</v>
      </c>
      <c r="H97" s="460">
        <f>G97+'12'!H97</f>
        <v>-343</v>
      </c>
      <c r="I97" s="480"/>
      <c r="J97" s="552">
        <f>H97/DAY(B2)</f>
        <v>-26.384615384615383</v>
      </c>
      <c r="K97" s="427"/>
      <c r="L97" s="377"/>
      <c r="N97" s="718"/>
      <c r="O97" s="725"/>
      <c r="P97" s="382"/>
    </row>
    <row r="98" spans="1:16" ht="27.75">
      <c r="A98" s="1139" t="s">
        <v>210</v>
      </c>
      <c r="B98" s="1140"/>
      <c r="C98" s="1140"/>
      <c r="D98" s="523" t="s">
        <v>143</v>
      </c>
      <c r="E98" s="484">
        <f>'12'!F98</f>
        <v>98188</v>
      </c>
      <c r="F98" s="478">
        <v>98235</v>
      </c>
      <c r="G98" s="473">
        <f t="shared" si="10"/>
        <v>47</v>
      </c>
      <c r="H98" s="460">
        <f>G98+'12'!H98</f>
        <v>-422</v>
      </c>
      <c r="I98" s="480"/>
      <c r="J98" s="552">
        <f>H98/DAY(B2)</f>
        <v>-32.46153846153846</v>
      </c>
      <c r="K98" s="432"/>
      <c r="L98" s="377"/>
      <c r="N98" s="718"/>
      <c r="O98" s="725"/>
      <c r="P98" s="382"/>
    </row>
    <row r="99" spans="1:16" ht="27.75">
      <c r="A99" s="1139" t="s">
        <v>211</v>
      </c>
      <c r="B99" s="1140"/>
      <c r="C99" s="1140"/>
      <c r="D99" s="523" t="s">
        <v>143</v>
      </c>
      <c r="E99" s="484">
        <f>'12'!F99</f>
        <v>149957</v>
      </c>
      <c r="F99" s="478">
        <v>149965</v>
      </c>
      <c r="G99" s="473">
        <f t="shared" si="10"/>
        <v>8</v>
      </c>
      <c r="H99" s="460">
        <f>G99+'12'!H99</f>
        <v>-440</v>
      </c>
      <c r="I99" s="480"/>
      <c r="J99" s="552">
        <f>H99/DAY(B2)</f>
        <v>-33.846153846153847</v>
      </c>
      <c r="K99" s="380"/>
      <c r="L99" s="377"/>
      <c r="N99" s="720"/>
      <c r="O99" s="725"/>
      <c r="P99" s="382"/>
    </row>
    <row r="100" spans="1:16" ht="27.75">
      <c r="A100" s="1139" t="s">
        <v>212</v>
      </c>
      <c r="B100" s="1140"/>
      <c r="C100" s="1140"/>
      <c r="D100" s="523" t="s">
        <v>143</v>
      </c>
      <c r="E100" s="484">
        <f>'12'!F100</f>
        <v>7514</v>
      </c>
      <c r="F100" s="478">
        <v>7527</v>
      </c>
      <c r="G100" s="473">
        <f t="shared" si="10"/>
        <v>13</v>
      </c>
      <c r="H100" s="460">
        <f>G100+'12'!H100</f>
        <v>-270</v>
      </c>
      <c r="I100" s="480"/>
      <c r="J100" s="552">
        <f>H100/DAY(B2)</f>
        <v>-20.76923076923077</v>
      </c>
      <c r="K100" s="380"/>
      <c r="L100" s="377"/>
      <c r="N100" s="718"/>
      <c r="O100" s="725"/>
      <c r="P100" s="382"/>
    </row>
    <row r="101" spans="1:16" ht="27.75">
      <c r="A101" s="1139" t="s">
        <v>213</v>
      </c>
      <c r="B101" s="1140"/>
      <c r="C101" s="1140"/>
      <c r="D101" s="523" t="s">
        <v>143</v>
      </c>
      <c r="E101" s="484">
        <f>'12'!F101</f>
        <v>5489</v>
      </c>
      <c r="F101" s="626">
        <v>5501</v>
      </c>
      <c r="G101" s="473">
        <f t="shared" si="10"/>
        <v>12</v>
      </c>
      <c r="H101" s="460">
        <f>G101+'12'!H101</f>
        <v>-173</v>
      </c>
      <c r="I101" s="480"/>
      <c r="J101" s="552">
        <f>H101/DAY(B2)</f>
        <v>-13.307692307692308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178</v>
      </c>
      <c r="H102" s="460">
        <f>G102+'12'!H102</f>
        <v>-2737</v>
      </c>
      <c r="I102" s="526"/>
      <c r="J102" s="552">
        <f>H102/DAY(B2)</f>
        <v>-210.53846153846155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138"/>
      <c r="D105" s="622" t="s">
        <v>143</v>
      </c>
      <c r="E105" s="484">
        <f>'12'!F105</f>
        <v>7473</v>
      </c>
      <c r="F105" s="659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5.3369230769230152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138"/>
      <c r="D106" s="622" t="s">
        <v>143</v>
      </c>
      <c r="E106" s="484">
        <f>'12'!F106</f>
        <v>36006</v>
      </c>
      <c r="F106" s="659">
        <v>36019</v>
      </c>
      <c r="G106" s="532">
        <f t="shared" ref="G106:G107" si="11">F106-E106</f>
        <v>13</v>
      </c>
      <c r="H106" s="533">
        <f>SUM(G106+'1'!G77)</f>
        <v>66</v>
      </c>
      <c r="I106" s="532"/>
      <c r="J106" s="558">
        <f>H106/DAY(B2)</f>
        <v>5.0769230769230766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'12'!F107</f>
        <v>19746</v>
      </c>
      <c r="F107" s="659">
        <v>19751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9.1538461538461533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138"/>
      <c r="D108" s="622"/>
      <c r="E108" s="484"/>
      <c r="F108" s="659"/>
      <c r="G108" s="532">
        <f>SUM(G105:G107)</f>
        <v>18</v>
      </c>
      <c r="H108" s="533">
        <f>SUM(G108+'1'!G79)</f>
        <v>171</v>
      </c>
      <c r="I108" s="532"/>
      <c r="J108" s="558">
        <f>H108/DAY(B2)</f>
        <v>13.153846153846153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138"/>
      <c r="D109" s="622" t="s">
        <v>143</v>
      </c>
      <c r="E109" s="484"/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138"/>
      <c r="D110" s="622" t="s">
        <v>143</v>
      </c>
      <c r="E110" s="484">
        <f>'12'!F110</f>
        <v>63549</v>
      </c>
      <c r="F110" s="659">
        <v>63612</v>
      </c>
      <c r="G110" s="532">
        <f>F110-E110</f>
        <v>63</v>
      </c>
      <c r="H110" s="533">
        <f>SUM(G110+'1'!G81)</f>
        <v>194.64000000001397</v>
      </c>
      <c r="I110" s="532"/>
      <c r="J110" s="558">
        <f>H110/DAY(B2)</f>
        <v>14.972307692308767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138"/>
      <c r="D111" s="622" t="s">
        <v>143</v>
      </c>
      <c r="E111" s="484">
        <f>'12'!F111</f>
        <v>32697</v>
      </c>
      <c r="F111" s="659">
        <v>32697</v>
      </c>
      <c r="G111" s="532">
        <f t="shared" ref="G111:G112" si="12">F111-E111</f>
        <v>0</v>
      </c>
      <c r="H111" s="533">
        <f>SUM(G111+'1'!G82)</f>
        <v>24.899999999994179</v>
      </c>
      <c r="I111" s="532"/>
      <c r="J111" s="558">
        <f>H111/DAY(B2)</f>
        <v>1.9153846153841676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138"/>
      <c r="D112" s="622" t="s">
        <v>143</v>
      </c>
      <c r="E112" s="484">
        <f>'12'!F112</f>
        <v>4621</v>
      </c>
      <c r="F112" s="659">
        <v>4621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27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138"/>
      <c r="D113" s="622"/>
      <c r="E113" s="484"/>
      <c r="F113" s="659"/>
      <c r="G113" s="532">
        <f>SUM(G110:G112)</f>
        <v>63</v>
      </c>
      <c r="H113" s="533">
        <f>SUM(G113+'1'!G84)</f>
        <v>879</v>
      </c>
      <c r="I113" s="532"/>
      <c r="J113" s="558">
        <f>H113/DAY(B2)</f>
        <v>67.615384615384613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138"/>
      <c r="D114" s="622"/>
      <c r="E114" s="484"/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'12'!F115</f>
        <v>11677</v>
      </c>
      <c r="F115" s="659">
        <v>11693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1.2307692307692308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'12'!F116</f>
        <v>8397</v>
      </c>
      <c r="F116" s="659">
        <v>8412</v>
      </c>
      <c r="G116" s="534">
        <f t="shared" ref="G116:G117" si="13">F116-E116</f>
        <v>15</v>
      </c>
      <c r="H116" s="533">
        <f>SUM(G116+'1'!G93)</f>
        <v>104</v>
      </c>
      <c r="I116" s="532"/>
      <c r="J116" s="558">
        <f>H116/DAY(B2)</f>
        <v>8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7.4615384615384617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31</v>
      </c>
      <c r="H118" s="533">
        <f>SUM(G118+'1'!G96)</f>
        <v>117</v>
      </c>
      <c r="I118" s="534"/>
      <c r="J118" s="558">
        <f>H118/DAY(B2)</f>
        <v>9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188</v>
      </c>
      <c r="G119" s="536">
        <f>SUM(G19+G93)</f>
        <v>188</v>
      </c>
      <c r="H119" s="533">
        <f>SUM(G119+'1'!G97)</f>
        <v>205</v>
      </c>
      <c r="I119" s="535"/>
      <c r="J119" s="559">
        <f>H119/DAY(B2)</f>
        <v>15.76923076923077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170</v>
      </c>
      <c r="G120" s="536">
        <f>SUM(G96,G97,G98,G100,G101)</f>
        <v>170</v>
      </c>
      <c r="H120" s="533">
        <f>SUM(G120+'1'!G99)</f>
        <v>220</v>
      </c>
      <c r="I120" s="535"/>
      <c r="J120" s="559">
        <f>H120/DAY(B2)</f>
        <v>16.923076923076923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63</v>
      </c>
      <c r="G121" s="534">
        <f>SUM(G113)</f>
        <v>63</v>
      </c>
      <c r="H121" s="533">
        <f>SUM(G121+'1'!G101)</f>
        <v>68</v>
      </c>
      <c r="I121" s="535"/>
      <c r="J121" s="559">
        <f>H121/DAY(B2)</f>
        <v>5.2307692307692308</v>
      </c>
      <c r="N121" s="718"/>
      <c r="O121" s="725"/>
      <c r="P121" s="382"/>
    </row>
    <row r="122" spans="1:16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39" t="s">
        <v>230</v>
      </c>
      <c r="B124" s="1140"/>
      <c r="C124" s="1140"/>
      <c r="D124" s="523" t="s">
        <v>140</v>
      </c>
      <c r="E124" s="478">
        <f>'12'!F124</f>
        <v>834687</v>
      </c>
      <c r="F124" s="478">
        <v>834932</v>
      </c>
      <c r="G124" s="473">
        <f t="shared" ref="G124:G128" si="14">F124-E124</f>
        <v>245</v>
      </c>
      <c r="H124" s="460">
        <f>G124+'12'!H124</f>
        <v>-4738</v>
      </c>
      <c r="I124" s="526"/>
      <c r="J124" s="552">
        <f>H124/DAY(B2)</f>
        <v>-364.46153846153845</v>
      </c>
      <c r="K124" s="380"/>
      <c r="L124" s="377"/>
      <c r="N124" s="718"/>
      <c r="O124" s="725"/>
      <c r="P124" s="382"/>
    </row>
    <row r="125" spans="1:16" ht="27.75">
      <c r="A125" s="1139" t="s">
        <v>231</v>
      </c>
      <c r="B125" s="1140"/>
      <c r="C125" s="1140"/>
      <c r="D125" s="523" t="s">
        <v>140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'12'!F126</f>
        <v>147247</v>
      </c>
      <c r="F126" s="478">
        <v>147307</v>
      </c>
      <c r="G126" s="473">
        <f t="shared" si="14"/>
        <v>60</v>
      </c>
      <c r="H126" s="460">
        <f>G126+'12'!H126</f>
        <v>-1290</v>
      </c>
      <c r="I126" s="526"/>
      <c r="J126" s="552">
        <f>H126/DAY(B2)</f>
        <v>-99.230769230769226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40"/>
      <c r="C127" s="1140"/>
      <c r="D127" s="523" t="s">
        <v>140</v>
      </c>
      <c r="E127" s="626">
        <f>'12'!F127</f>
        <v>31409</v>
      </c>
      <c r="F127" s="626">
        <v>31477</v>
      </c>
      <c r="G127" s="473">
        <f t="shared" si="14"/>
        <v>68</v>
      </c>
      <c r="H127" s="460">
        <f>G127+'12'!H127</f>
        <v>-594</v>
      </c>
      <c r="I127" s="526"/>
      <c r="J127" s="552">
        <f>H127/DAY(B2)</f>
        <v>-45.692307692307693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40"/>
      <c r="C128" s="1140"/>
      <c r="D128" s="523" t="s">
        <v>140</v>
      </c>
      <c r="E128" s="626">
        <f>'12'!F128</f>
        <v>8972</v>
      </c>
      <c r="F128" s="626">
        <v>8974</v>
      </c>
      <c r="G128" s="473">
        <f t="shared" si="14"/>
        <v>2</v>
      </c>
      <c r="H128" s="460">
        <f>G128+'12'!H128</f>
        <v>-38</v>
      </c>
      <c r="I128" s="480"/>
      <c r="J128" s="552">
        <f>H128/DAY(B2)</f>
        <v>-2.9230769230769229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325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39" t="s">
        <v>237</v>
      </c>
      <c r="B131" s="1140"/>
      <c r="C131" s="1140"/>
      <c r="D131" s="523" t="s">
        <v>238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39" t="s">
        <v>239</v>
      </c>
      <c r="B132" s="1140"/>
      <c r="C132" s="1140"/>
      <c r="D132" s="523" t="s">
        <v>238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39" t="s">
        <v>240</v>
      </c>
      <c r="B133" s="1140"/>
      <c r="C133" s="1140"/>
      <c r="D133" s="523" t="s">
        <v>238</v>
      </c>
      <c r="E133" s="541">
        <f>'12'!F133</f>
        <v>40170.449999999997</v>
      </c>
      <c r="F133" s="651">
        <v>40194</v>
      </c>
      <c r="G133" s="473">
        <f t="shared" si="15"/>
        <v>23.55000000000291</v>
      </c>
      <c r="H133" s="460">
        <f>G133+'12'!H133</f>
        <v>-259</v>
      </c>
      <c r="I133" s="480"/>
      <c r="J133" s="552">
        <f>H133/DAY(B2)</f>
        <v>-19.923076923076923</v>
      </c>
      <c r="N133" s="718"/>
      <c r="O133" s="725"/>
      <c r="P133" s="382"/>
    </row>
    <row r="134" spans="1:16" ht="27.75">
      <c r="A134" s="1139" t="s">
        <v>241</v>
      </c>
      <c r="B134" s="1140"/>
      <c r="C134" s="1140"/>
      <c r="D134" s="523" t="s">
        <v>238</v>
      </c>
      <c r="E134" s="701">
        <f>'12'!F134</f>
        <v>300</v>
      </c>
      <c r="F134" s="626">
        <v>300</v>
      </c>
      <c r="G134" s="473">
        <f t="shared" si="15"/>
        <v>0</v>
      </c>
      <c r="H134" s="460">
        <f>G134+'12'!H134</f>
        <v>0</v>
      </c>
      <c r="I134" s="480">
        <f>G131+G132+G133+G134</f>
        <v>23.55000000000291</v>
      </c>
      <c r="J134" s="552">
        <f>H134/DAY(B2)</f>
        <v>0</v>
      </c>
      <c r="N134" s="718"/>
      <c r="O134" s="725"/>
      <c r="P134" s="382"/>
    </row>
    <row r="135" spans="1:16" ht="27.75">
      <c r="A135" s="1139" t="s">
        <v>242</v>
      </c>
      <c r="B135" s="1140"/>
      <c r="C135" s="1140"/>
      <c r="D135" s="523" t="s">
        <v>238</v>
      </c>
      <c r="E135" s="701">
        <f>'12'!F135</f>
        <v>41730.449999999997</v>
      </c>
      <c r="F135" s="626">
        <v>41736</v>
      </c>
      <c r="G135" s="473">
        <f t="shared" si="15"/>
        <v>5.5500000000029104</v>
      </c>
      <c r="H135" s="460">
        <f>G135+'12'!H135</f>
        <v>-236</v>
      </c>
      <c r="I135" s="480"/>
      <c r="J135" s="552">
        <f>H135/DAY(B2)</f>
        <v>-18.153846153846153</v>
      </c>
      <c r="N135" s="718"/>
      <c r="O135" s="725"/>
      <c r="P135" s="382"/>
    </row>
    <row r="136" spans="1:16" ht="27.75">
      <c r="A136" s="1139" t="s">
        <v>243</v>
      </c>
      <c r="B136" s="1140"/>
      <c r="C136" s="1140"/>
      <c r="D136" s="523" t="s">
        <v>238</v>
      </c>
      <c r="E136" s="541">
        <f>'12'!F136</f>
        <v>32874</v>
      </c>
      <c r="F136" s="651">
        <v>32874</v>
      </c>
      <c r="G136" s="473">
        <f t="shared" si="15"/>
        <v>0</v>
      </c>
      <c r="H136" s="460">
        <f>G136+'12'!H136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39" t="s">
        <v>244</v>
      </c>
      <c r="B137" s="1140"/>
      <c r="C137" s="1140"/>
      <c r="D137" s="523" t="s">
        <v>238</v>
      </c>
      <c r="E137" s="541">
        <f>'12'!F137</f>
        <v>22833.51</v>
      </c>
      <c r="F137" s="651">
        <v>22841.51</v>
      </c>
      <c r="G137" s="473">
        <f t="shared" si="15"/>
        <v>8</v>
      </c>
      <c r="H137" s="460">
        <f>G137+'12'!H137</f>
        <v>-49.980000000003201</v>
      </c>
      <c r="I137" s="480">
        <f>G135+G136+G137</f>
        <v>13.55000000000291</v>
      </c>
      <c r="J137" s="552">
        <f>H137/DAY(B2)</f>
        <v>-3.844615384615631</v>
      </c>
      <c r="N137" s="718"/>
      <c r="O137" s="725"/>
      <c r="P137" s="382"/>
    </row>
    <row r="138" spans="1:16" ht="27.75">
      <c r="A138" s="1139" t="s">
        <v>245</v>
      </c>
      <c r="B138" s="1140"/>
      <c r="C138" s="1140"/>
      <c r="D138" s="523" t="s">
        <v>238</v>
      </c>
      <c r="E138" s="541">
        <f>'12'!F138</f>
        <v>25051.82</v>
      </c>
      <c r="F138" s="651">
        <v>25051.82</v>
      </c>
      <c r="G138" s="473">
        <f t="shared" si="15"/>
        <v>0</v>
      </c>
      <c r="H138" s="460">
        <f>G138+'12'!H138</f>
        <v>-39.569999999999709</v>
      </c>
      <c r="I138" s="480"/>
      <c r="J138" s="552">
        <f>H138/DAY(B2)</f>
        <v>-3.0438461538461317</v>
      </c>
      <c r="N138" s="718"/>
      <c r="O138" s="725"/>
      <c r="P138" s="382"/>
    </row>
    <row r="139" spans="1:16" ht="27.75">
      <c r="A139" s="1139" t="s">
        <v>246</v>
      </c>
      <c r="B139" s="1140"/>
      <c r="C139" s="1140"/>
      <c r="D139" s="523" t="s">
        <v>238</v>
      </c>
      <c r="E139" s="541">
        <f>'12'!F139</f>
        <v>70460.649999999994</v>
      </c>
      <c r="F139" s="651">
        <v>70460.649999999994</v>
      </c>
      <c r="G139" s="473">
        <f t="shared" si="15"/>
        <v>0</v>
      </c>
      <c r="H139" s="460">
        <f>G139+'12'!H139</f>
        <v>-52.970000000001164</v>
      </c>
      <c r="I139" s="480">
        <f>G138+G139</f>
        <v>0</v>
      </c>
      <c r="J139" s="552">
        <f>H139/DAY(B2)</f>
        <v>-4.0746153846154742</v>
      </c>
      <c r="N139" s="718"/>
      <c r="O139" s="725"/>
      <c r="P139" s="382"/>
    </row>
    <row r="140" spans="1:16" ht="27.75">
      <c r="A140" s="1139" t="s">
        <v>247</v>
      </c>
      <c r="B140" s="1140"/>
      <c r="C140" s="1140"/>
      <c r="D140" s="523" t="s">
        <v>238</v>
      </c>
      <c r="E140" s="701">
        <f>'12'!F140</f>
        <v>1943.38</v>
      </c>
      <c r="F140" s="626">
        <v>1952.6</v>
      </c>
      <c r="G140" s="473">
        <f t="shared" si="15"/>
        <v>9.2199999999997999</v>
      </c>
      <c r="H140" s="460">
        <f>G140+'12'!H140</f>
        <v>-176.57999999999993</v>
      </c>
      <c r="I140" s="542"/>
      <c r="J140" s="552">
        <f>H140/DAY(B2)</f>
        <v>-13.583076923076918</v>
      </c>
      <c r="N140" s="718"/>
      <c r="O140" s="725"/>
      <c r="P140" s="382"/>
    </row>
    <row r="141" spans="1:16" ht="27.75">
      <c r="A141" s="1139" t="s">
        <v>248</v>
      </c>
      <c r="B141" s="1140"/>
      <c r="C141" s="1140"/>
      <c r="D141" s="523" t="s">
        <v>238</v>
      </c>
      <c r="E141" s="484">
        <f>'12'!F141</f>
        <v>4636.88</v>
      </c>
      <c r="F141" s="478">
        <v>4636.88</v>
      </c>
      <c r="G141" s="473">
        <f t="shared" si="15"/>
        <v>0</v>
      </c>
      <c r="H141" s="460">
        <f>G141+'12'!H141</f>
        <v>-0.11999999999989086</v>
      </c>
      <c r="I141" s="542"/>
      <c r="J141" s="552">
        <f>H141/DAY(B2)</f>
        <v>-9.2307692307608356E-3</v>
      </c>
      <c r="N141" s="718"/>
      <c r="O141" s="725"/>
      <c r="P141" s="382"/>
    </row>
    <row r="142" spans="1:16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5262.33</v>
      </c>
      <c r="H143" s="460">
        <f>G143+'12'!H143</f>
        <v>-93500.54</v>
      </c>
      <c r="I143" s="480"/>
      <c r="J143" s="552">
        <f>H143/DAY(B2)</f>
        <v>-7192.3492307692304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0.24475953488372093</v>
      </c>
      <c r="H144" s="460">
        <f>G144+'12'!H144</f>
        <v>-4.3445468074526588</v>
      </c>
      <c r="I144" s="544"/>
      <c r="J144" s="552">
        <f>H144/DAY(B2)</f>
        <v>-0.33419590826558915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6701.4799999999959</v>
      </c>
      <c r="H145" s="460">
        <f>G145+'12'!H145</f>
        <v>-103943.88999999998</v>
      </c>
      <c r="I145" s="480"/>
      <c r="J145" s="552">
        <f>H145/DAY(B2)</f>
        <v>-7995.6838461538446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0.31169674418604632</v>
      </c>
      <c r="H146" s="460">
        <f>G146+'12'!H146</f>
        <v>-4.8353071560971221</v>
      </c>
      <c r="I146" s="544"/>
      <c r="J146" s="552">
        <f>H146/DAY(B2)</f>
        <v>-0.37194670431516325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3369</v>
      </c>
      <c r="H147" s="460">
        <f>G147+'12'!H147</f>
        <v>-59400</v>
      </c>
      <c r="I147" s="545"/>
      <c r="J147" s="552">
        <f>H147/DAY(B2)</f>
        <v>-4569.2307692307695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0.15669767441860466</v>
      </c>
      <c r="H148" s="460">
        <f>G148+'12'!H148</f>
        <v>-2.7596057127396802</v>
      </c>
      <c r="I148" s="545"/>
      <c r="J148" s="552">
        <f>H148/DAY(B2)</f>
        <v>-0.21227736251843693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1494</v>
      </c>
      <c r="H149" s="460">
        <f>G149+'12'!H149</f>
        <v>-25799.930000000051</v>
      </c>
      <c r="I149" s="480"/>
      <c r="J149" s="552">
        <f>H149/DAY(B2)</f>
        <v>-1984.610000000004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6.9488372093023262E-2</v>
      </c>
      <c r="H150" s="460">
        <f>G150+'12'!H150</f>
        <v>-1.1997864603703812</v>
      </c>
      <c r="I150" s="545"/>
      <c r="J150" s="552">
        <f>H150/DAY(B2)</f>
        <v>-9.2291266182337017E-2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1607</v>
      </c>
      <c r="H151" s="460">
        <f>G151+'12'!H151</f>
        <v>-32755</v>
      </c>
      <c r="I151" s="545"/>
      <c r="J151" s="552">
        <f>H151/DAY(B2)</f>
        <v>-2519.6153846153848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7.4744186046511632E-2</v>
      </c>
      <c r="H152" s="460">
        <f>G152+'12'!H152</f>
        <v>-1.5240269571092406</v>
      </c>
      <c r="I152" s="480"/>
      <c r="J152" s="552">
        <f>H152/DAY(B2)</f>
        <v>-0.11723284285455697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1413</v>
      </c>
      <c r="H153" s="460">
        <f>G153+'12'!H153</f>
        <v>-24868.130000000005</v>
      </c>
      <c r="I153" s="480"/>
      <c r="J153" s="552">
        <f>H153/DAY(B2)</f>
        <v>-1912.9330769230774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6.5720930232558136E-2</v>
      </c>
      <c r="H154" s="460">
        <f>G154+'12'!H154</f>
        <v>-1.1552579796060722</v>
      </c>
      <c r="I154" s="568"/>
      <c r="J154" s="569">
        <f>H154/DAY(B2)</f>
        <v>-8.8865998431236326E-2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'12'!F161</f>
        <v>39400</v>
      </c>
      <c r="F161" s="803">
        <v>39481</v>
      </c>
      <c r="G161" s="473">
        <f t="shared" ref="G161:G164" si="16">F161-E161</f>
        <v>81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'12'!F162</f>
        <v>99749</v>
      </c>
      <c r="F162" s="803">
        <v>100170</v>
      </c>
      <c r="G162" s="473">
        <f t="shared" si="16"/>
        <v>421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'12'!F163</f>
        <v>47444</v>
      </c>
      <c r="F163" s="803">
        <v>47650</v>
      </c>
      <c r="G163" s="473">
        <f t="shared" si="16"/>
        <v>206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'12'!F164</f>
        <v>6671</v>
      </c>
      <c r="F164" s="803">
        <v>6679</v>
      </c>
      <c r="G164" s="473">
        <f t="shared" si="16"/>
        <v>8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14">
        <f>E62</f>
        <v>0</v>
      </c>
      <c r="F165" s="514">
        <f>F62</f>
        <v>0</v>
      </c>
      <c r="G165" s="473">
        <f t="shared" ref="G165:G174" si="17">F165-E165</f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8"/>
    </row>
    <row r="167" spans="1:14" ht="21.75" customHeight="1">
      <c r="A167" s="1612" t="s">
        <v>98</v>
      </c>
      <c r="B167" s="1612"/>
      <c r="C167" s="1612"/>
      <c r="D167" s="524" t="s">
        <v>186</v>
      </c>
      <c r="E167" s="514">
        <f t="shared" si="18"/>
        <v>163334</v>
      </c>
      <c r="F167" s="514">
        <f t="shared" si="19"/>
        <v>163686</v>
      </c>
      <c r="G167" s="473">
        <f t="shared" si="17"/>
        <v>352</v>
      </c>
      <c r="N167" s="718"/>
    </row>
    <row r="168" spans="1:14" ht="21.75" customHeight="1">
      <c r="A168" s="1612" t="s">
        <v>99</v>
      </c>
      <c r="B168" s="1612"/>
      <c r="C168" s="1612"/>
      <c r="D168" s="524" t="s">
        <v>186</v>
      </c>
      <c r="E168" s="514">
        <f t="shared" si="18"/>
        <v>164001</v>
      </c>
      <c r="F168" s="514">
        <f t="shared" si="19"/>
        <v>164412</v>
      </c>
      <c r="G168" s="473">
        <f t="shared" si="17"/>
        <v>411</v>
      </c>
      <c r="N168" s="718"/>
    </row>
    <row r="169" spans="1:14" ht="21.75" customHeight="1">
      <c r="A169" s="1612" t="s">
        <v>100</v>
      </c>
      <c r="B169" s="1612"/>
      <c r="C169" s="1612"/>
      <c r="D169" s="524" t="s">
        <v>186</v>
      </c>
      <c r="E169" s="514">
        <f t="shared" si="18"/>
        <v>61071</v>
      </c>
      <c r="F169" s="514">
        <f t="shared" si="19"/>
        <v>61447</v>
      </c>
      <c r="G169" s="473">
        <f t="shared" si="17"/>
        <v>376</v>
      </c>
      <c r="N169" s="718"/>
    </row>
    <row r="170" spans="1:14" ht="26.25" customHeight="1">
      <c r="A170" s="1612" t="s">
        <v>101</v>
      </c>
      <c r="B170" s="1612"/>
      <c r="C170" s="1612"/>
      <c r="D170" s="524" t="s">
        <v>186</v>
      </c>
      <c r="E170" s="514">
        <f t="shared" si="18"/>
        <v>256958</v>
      </c>
      <c r="F170" s="514">
        <f t="shared" si="19"/>
        <v>257387</v>
      </c>
      <c r="G170" s="473">
        <f t="shared" si="17"/>
        <v>429</v>
      </c>
      <c r="N170" s="718"/>
    </row>
    <row r="171" spans="1:14" ht="24" customHeight="1">
      <c r="A171" s="1612" t="s">
        <v>102</v>
      </c>
      <c r="B171" s="1612"/>
      <c r="C171" s="1612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14">
        <f t="shared" si="18"/>
        <v>83304</v>
      </c>
      <c r="F172" s="514">
        <f t="shared" si="19"/>
        <v>83521</v>
      </c>
      <c r="G172" s="473">
        <f t="shared" si="17"/>
        <v>217</v>
      </c>
      <c r="N172" s="718"/>
    </row>
    <row r="173" spans="1:14">
      <c r="A173" s="1587" t="s">
        <v>352</v>
      </c>
      <c r="B173" s="1550"/>
      <c r="C173" s="785"/>
      <c r="D173" s="523" t="s">
        <v>186</v>
      </c>
      <c r="E173" s="532">
        <v>189285</v>
      </c>
      <c r="F173" s="532">
        <v>189285</v>
      </c>
      <c r="G173" s="473">
        <f t="shared" si="17"/>
        <v>0</v>
      </c>
      <c r="N173" s="718"/>
    </row>
    <row r="174" spans="1:14">
      <c r="A174" s="1587" t="s">
        <v>353</v>
      </c>
      <c r="B174" s="1550"/>
      <c r="C174" s="785"/>
      <c r="D174" s="523" t="s">
        <v>186</v>
      </c>
      <c r="E174" s="532">
        <v>275511</v>
      </c>
      <c r="F174" s="532">
        <v>275556</v>
      </c>
      <c r="G174" s="473">
        <f t="shared" si="17"/>
        <v>45</v>
      </c>
      <c r="N174" s="718"/>
    </row>
    <row r="175" spans="1:14">
      <c r="N175" s="718"/>
    </row>
    <row r="176" spans="1:14">
      <c r="N176" s="718"/>
    </row>
    <row r="177" spans="14:14" ht="18.75" customHeight="1">
      <c r="N177" s="718"/>
    </row>
    <row r="178" spans="14:14" ht="18.75" customHeight="1">
      <c r="N178" s="718"/>
    </row>
    <row r="179" spans="14:14" ht="18.75" customHeight="1">
      <c r="N179" s="718"/>
    </row>
    <row r="180" spans="14:14" ht="18" customHeight="1">
      <c r="N180" s="718"/>
    </row>
    <row r="181" spans="14:14" ht="18.75" customHeight="1">
      <c r="N181" s="718"/>
    </row>
    <row r="182" spans="14:14" ht="18.75" customHeight="1">
      <c r="N182" s="718"/>
    </row>
    <row r="183" spans="14:14" ht="18" customHeight="1">
      <c r="N183" s="718"/>
    </row>
    <row r="184" spans="14:14" ht="18" customHeight="1">
      <c r="N184" s="718"/>
    </row>
    <row r="185" spans="14:14" ht="18" customHeight="1">
      <c r="N185" s="718"/>
    </row>
    <row r="186" spans="14:14" ht="18" customHeight="1">
      <c r="N186" s="718"/>
    </row>
    <row r="187" spans="14:14" ht="18" customHeight="1">
      <c r="N187" s="718"/>
    </row>
    <row r="188" spans="14:14" ht="18" customHeight="1">
      <c r="N188" s="718"/>
    </row>
    <row r="189" spans="14:14" ht="18" customHeight="1">
      <c r="N189" s="718"/>
    </row>
    <row r="190" spans="14:14" ht="18.75" customHeight="1">
      <c r="N190" s="718"/>
    </row>
    <row r="191" spans="14:14" ht="18.75" customHeight="1">
      <c r="N191" s="718"/>
    </row>
    <row r="192" spans="14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8" zoomScale="55" zoomScaleSheetLayoutView="55" workbookViewId="0">
      <selection activeCell="F15" sqref="F15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269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346</v>
      </c>
      <c r="B2" s="1031">
        <v>44361</v>
      </c>
      <c r="C2" s="1190" t="s">
        <v>68</v>
      </c>
      <c r="D2" s="611">
        <v>0.25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90" t="s">
        <v>119</v>
      </c>
      <c r="D3" s="612">
        <v>28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90" t="s">
        <v>121</v>
      </c>
      <c r="D4" s="611">
        <v>0.85</v>
      </c>
      <c r="E4" s="464"/>
      <c r="F4" s="464"/>
      <c r="G4" s="464"/>
      <c r="H4" s="464"/>
      <c r="I4" s="465"/>
      <c r="J4" s="615" t="s">
        <v>214</v>
      </c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'13'!F7</f>
        <v>201295.56</v>
      </c>
      <c r="F7" s="455">
        <f>E7+21500</f>
        <v>222795.56</v>
      </c>
      <c r="G7" s="678">
        <f>F7-E7</f>
        <v>21500</v>
      </c>
      <c r="H7" s="679">
        <f>G7+'13'!H7</f>
        <v>300842.56000000006</v>
      </c>
      <c r="I7" s="680">
        <f>'1'!I7</f>
        <v>12000</v>
      </c>
      <c r="J7" s="681">
        <f>H7/DAY(B2)</f>
        <v>21488.754285714291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'13'!F8</f>
        <v>206953.78999999998</v>
      </c>
      <c r="F8" s="475">
        <f>E8+21500</f>
        <v>228453.78999999998</v>
      </c>
      <c r="G8" s="689">
        <f>F8-E8</f>
        <v>21500</v>
      </c>
      <c r="H8" s="679">
        <f>G8+'13'!H8</f>
        <v>301731.78999999998</v>
      </c>
      <c r="I8" s="686">
        <f>'1'!I8</f>
        <v>12000</v>
      </c>
      <c r="J8" s="681">
        <f>H8/DAY(B2)</f>
        <v>21552.270714285714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'13'!F9</f>
        <v>1694972</v>
      </c>
      <c r="F9" s="478">
        <v>1714221</v>
      </c>
      <c r="G9" s="702">
        <f t="shared" ref="G9:G12" si="0">F9-E9</f>
        <v>19249</v>
      </c>
      <c r="H9" s="679">
        <f>G9+'13'!H9</f>
        <v>-316781</v>
      </c>
      <c r="I9" s="690">
        <f>I7-J7</f>
        <v>-9488.7542857142907</v>
      </c>
      <c r="J9" s="681">
        <f>H9/DAY(B2)</f>
        <v>-22627.214285714286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'13'!F10</f>
        <v>2606.5500000000002</v>
      </c>
      <c r="F10" s="478">
        <v>2606.5500000000002</v>
      </c>
      <c r="G10" s="689">
        <f t="shared" si="0"/>
        <v>0</v>
      </c>
      <c r="H10" s="679">
        <f>G10+'13'!H10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G11+'13'!H11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G12+'13'!H12</f>
        <v>0</v>
      </c>
      <c r="I12" s="691"/>
      <c r="J12" s="681">
        <f>H12/DAY(B2)</f>
        <v>0</v>
      </c>
      <c r="K12" s="428"/>
      <c r="L12" s="377" t="s">
        <v>267</v>
      </c>
      <c r="N12" s="718"/>
      <c r="O12" s="725">
        <v>0</v>
      </c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19249</v>
      </c>
      <c r="H13" s="679">
        <f>G13+'13'!H13</f>
        <v>-333306</v>
      </c>
      <c r="I13" s="695">
        <f>G7-G13</f>
        <v>2251</v>
      </c>
      <c r="J13" s="681">
        <f>H13/DAY(B2)</f>
        <v>-23807.571428571428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'13'!F15</f>
        <v>1713367.16</v>
      </c>
      <c r="F15" s="700">
        <f>E15+700</f>
        <v>1714067.16</v>
      </c>
      <c r="G15" s="664">
        <f>(F15-E15)</f>
        <v>700</v>
      </c>
      <c r="H15" s="486">
        <f>G15+'13'!H15</f>
        <v>10384.159999999916</v>
      </c>
      <c r="I15" s="474">
        <v>800</v>
      </c>
      <c r="J15" s="553">
        <f>H15/DAY(B2)</f>
        <v>741.72571428570825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58.27428571429175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'13'!F18</f>
        <v>13</v>
      </c>
      <c r="F18" s="478">
        <v>12</v>
      </c>
      <c r="G18" s="694">
        <f>F18*10</f>
        <v>120</v>
      </c>
      <c r="H18" s="679">
        <f>G18+'13'!H18</f>
        <v>1400</v>
      </c>
      <c r="I18" s="680">
        <f>'1'!I18</f>
        <v>65</v>
      </c>
      <c r="J18" s="681">
        <f>H18/DAY(B2)</f>
        <v>100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'13'!F19</f>
        <v>140432</v>
      </c>
      <c r="F19" s="478">
        <v>140495</v>
      </c>
      <c r="G19" s="689">
        <f t="shared" ref="G19" si="1">F19-E19</f>
        <v>63</v>
      </c>
      <c r="H19" s="679">
        <f>G19+'13'!H19</f>
        <v>-1000</v>
      </c>
      <c r="I19" s="696"/>
      <c r="J19" s="681">
        <f>H19/DAY(B2)</f>
        <v>-71.428571428571431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183</v>
      </c>
      <c r="H20" s="679">
        <f>G20+'13'!H20</f>
        <v>400</v>
      </c>
      <c r="I20" s="698">
        <f>I18-J20</f>
        <v>36.428571428571431</v>
      </c>
      <c r="J20" s="681">
        <f>H20/DAY(B2)</f>
        <v>28.571428571428573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83" t="s">
        <v>146</v>
      </c>
      <c r="B22" s="589"/>
      <c r="C22" s="589"/>
      <c r="D22" s="523" t="s">
        <v>147</v>
      </c>
      <c r="E22" s="634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83" t="s">
        <v>148</v>
      </c>
      <c r="B23" s="589"/>
      <c r="C23" s="589"/>
      <c r="D23" s="523" t="s">
        <v>147</v>
      </c>
      <c r="E23" s="634">
        <f>'13'!F23</f>
        <v>2000</v>
      </c>
      <c r="F23" s="478">
        <v>2000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'13'!F24</f>
        <v>4970</v>
      </c>
      <c r="F24" s="485">
        <v>4970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G27+'13'!H27</f>
        <v>2715586.11</v>
      </c>
      <c r="I27" s="503"/>
      <c r="J27" s="552">
        <f>H27/DAY(B2)</f>
        <v>193970.43642857141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G28+'13'!H28</f>
        <v>539976.31999999564</v>
      </c>
      <c r="I28" s="505"/>
      <c r="J28" s="552">
        <f>H28/DAY(B2)</f>
        <v>38569.737142856829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63</v>
      </c>
      <c r="F30" s="501">
        <v>146</v>
      </c>
      <c r="G30" s="502">
        <f>E30*F30</f>
        <v>9198</v>
      </c>
      <c r="H30" s="460">
        <f>G30+'13'!H30</f>
        <v>-146584</v>
      </c>
      <c r="I30" s="505"/>
      <c r="J30" s="552">
        <f>H30/DAY(B2)</f>
        <v>-10470.285714285714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120</v>
      </c>
      <c r="F31" s="501">
        <v>80</v>
      </c>
      <c r="G31" s="502">
        <f>E31*F31</f>
        <v>9600</v>
      </c>
      <c r="H31" s="460">
        <f>G31+'13'!H31</f>
        <v>106400</v>
      </c>
      <c r="I31" s="505"/>
      <c r="J31" s="552">
        <f>H31/DAY(B2)</f>
        <v>7600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248698</v>
      </c>
      <c r="H32" s="460">
        <f>G32+'13'!H32</f>
        <v>3215378.429999995</v>
      </c>
      <c r="I32" s="509"/>
      <c r="J32" s="552">
        <f>H32/DAY(B2)</f>
        <v>229669.88785714252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185"/>
      <c r="C34" s="1185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'13'!F35</f>
        <v>981892</v>
      </c>
      <c r="F35" s="510">
        <v>984474</v>
      </c>
      <c r="G35" s="473">
        <f t="shared" ref="G35:G46" si="3">F35-E35</f>
        <v>2582</v>
      </c>
      <c r="H35" s="460">
        <f>G35+'13'!H35</f>
        <v>-44240</v>
      </c>
      <c r="I35" s="455"/>
      <c r="J35" s="552">
        <f>H35/DAY(B2)</f>
        <v>-3160</v>
      </c>
      <c r="K35" s="428"/>
      <c r="L35" s="377"/>
      <c r="N35" s="718"/>
      <c r="O35" s="726" t="s">
        <v>267</v>
      </c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'13'!F36</f>
        <v>7511</v>
      </c>
      <c r="F36" s="510">
        <v>8159</v>
      </c>
      <c r="G36" s="473">
        <f t="shared" si="3"/>
        <v>648</v>
      </c>
      <c r="H36" s="460">
        <f>G36+'13'!H36</f>
        <v>-12302</v>
      </c>
      <c r="I36" s="455"/>
      <c r="J36" s="552">
        <f>H36/DAY(B2)</f>
        <v>-878.71428571428567</v>
      </c>
      <c r="K36" s="428"/>
      <c r="L36" s="377"/>
      <c r="N36" s="719"/>
      <c r="O36" s="726" t="s">
        <v>270</v>
      </c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'13'!F37</f>
        <v>151702</v>
      </c>
      <c r="F37" s="510">
        <v>153090</v>
      </c>
      <c r="G37" s="473">
        <f t="shared" si="3"/>
        <v>1388</v>
      </c>
      <c r="H37" s="460">
        <f>G37+'13'!H37</f>
        <v>-23480</v>
      </c>
      <c r="I37" s="455"/>
      <c r="J37" s="552">
        <f>H37/DAY(B2)</f>
        <v>-1677.1428571428571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'13'!F38</f>
        <v>172659</v>
      </c>
      <c r="F38" s="469">
        <v>174129</v>
      </c>
      <c r="G38" s="473">
        <f t="shared" si="3"/>
        <v>1470</v>
      </c>
      <c r="H38" s="460">
        <f>G38+'13'!H38</f>
        <v>-24330</v>
      </c>
      <c r="I38" s="455"/>
      <c r="J38" s="552">
        <f>H38/DAY(B2)</f>
        <v>-1737.8571428571429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'13'!F39</f>
        <v>345464</v>
      </c>
      <c r="F39" s="510">
        <v>348716</v>
      </c>
      <c r="G39" s="473">
        <f t="shared" si="3"/>
        <v>3252</v>
      </c>
      <c r="H39" s="460">
        <f>G39+'13'!H39</f>
        <v>-56148</v>
      </c>
      <c r="I39" s="455"/>
      <c r="J39" s="552">
        <f>H39/DAY(B2)</f>
        <v>-4010.5714285714284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'13'!F40</f>
        <v>1226</v>
      </c>
      <c r="F40" s="510">
        <v>1458</v>
      </c>
      <c r="G40" s="473">
        <f t="shared" si="3"/>
        <v>232</v>
      </c>
      <c r="H40" s="460">
        <f>G40+'13'!H40</f>
        <v>-5655</v>
      </c>
      <c r="I40" s="455"/>
      <c r="J40" s="552">
        <f>H40/DAY(B2)</f>
        <v>-403.92857142857144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 t="s">
        <v>214</v>
      </c>
      <c r="D41" s="523" t="s">
        <v>131</v>
      </c>
      <c r="E41" s="510">
        <f>'13'!F41</f>
        <v>274199</v>
      </c>
      <c r="F41" s="510">
        <v>279337</v>
      </c>
      <c r="G41" s="473">
        <f t="shared" si="3"/>
        <v>5138</v>
      </c>
      <c r="H41" s="460">
        <f>G41+'13'!H41</f>
        <v>-50305</v>
      </c>
      <c r="I41" s="455"/>
      <c r="J41" s="552">
        <f>H41/DAY(B2)</f>
        <v>-3593.2142857142858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'13'!F42</f>
        <v>59211</v>
      </c>
      <c r="F42" s="510">
        <v>59211</v>
      </c>
      <c r="G42" s="473">
        <f t="shared" si="3"/>
        <v>0</v>
      </c>
      <c r="H42" s="460">
        <f>G42+'13'!H42</f>
        <v>12.110000000000582</v>
      </c>
      <c r="I42" s="455"/>
      <c r="J42" s="552">
        <f>H42/DAY(B2)</f>
        <v>0.86500000000004162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'13'!F43</f>
        <v>1073773</v>
      </c>
      <c r="F43" s="510">
        <v>1076429</v>
      </c>
      <c r="G43" s="473">
        <f t="shared" si="3"/>
        <v>2656</v>
      </c>
      <c r="H43" s="460">
        <f>G43+'13'!H43</f>
        <v>-44023</v>
      </c>
      <c r="I43" s="455"/>
      <c r="J43" s="552">
        <f>H43/DAY(B2)</f>
        <v>-3144.5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17366</v>
      </c>
      <c r="H47" s="460">
        <f>G47+'13'!H47</f>
        <v>-259669.39999999997</v>
      </c>
      <c r="I47" s="455"/>
      <c r="J47" s="552">
        <f>H47/DAY(B2)</f>
        <v>-18547.814285714285</v>
      </c>
      <c r="K47" s="428"/>
      <c r="L47" s="377"/>
      <c r="N47" s="718"/>
      <c r="O47" s="725"/>
      <c r="P47" s="382"/>
    </row>
    <row r="48" spans="1:16">
      <c r="A48" s="598" t="s">
        <v>176</v>
      </c>
      <c r="B48" s="1185"/>
      <c r="C48" s="1185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'13'!F49</f>
        <v>260732.13</v>
      </c>
      <c r="F49" s="510">
        <v>260732</v>
      </c>
      <c r="G49" s="473">
        <f t="shared" ref="G49:G58" si="4">F49-E49</f>
        <v>-0.13000000000465661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'13'!F50</f>
        <v>514858</v>
      </c>
      <c r="F50" s="510">
        <v>515805</v>
      </c>
      <c r="G50" s="473">
        <f t="shared" si="4"/>
        <v>947</v>
      </c>
      <c r="H50" s="460">
        <f>G50+'13'!H50</f>
        <v>-19748</v>
      </c>
      <c r="I50" s="455"/>
      <c r="J50" s="552">
        <f>H50/DAY(B2)</f>
        <v>-1410.5714285714287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'13'!F53</f>
        <v>434232</v>
      </c>
      <c r="F53" s="510">
        <v>434232</v>
      </c>
      <c r="G53" s="473">
        <f t="shared" si="4"/>
        <v>0</v>
      </c>
      <c r="H53" s="460">
        <f>G53+'13'!H53</f>
        <v>-0.33000000001629815</v>
      </c>
      <c r="I53" s="455"/>
      <c r="J53" s="552">
        <f>H53/DAY(B2)</f>
        <v>-2.3571428572592725E-2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'13'!F54</f>
        <v>14825</v>
      </c>
      <c r="F54" s="510">
        <v>14908</v>
      </c>
      <c r="G54" s="473">
        <f t="shared" si="4"/>
        <v>83</v>
      </c>
      <c r="H54" s="460">
        <f>G54+'13'!H54</f>
        <v>-138</v>
      </c>
      <c r="I54" s="455"/>
      <c r="J54" s="552">
        <f>H54/DAY(B2)</f>
        <v>-9.8571428571428577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'13'!F55</f>
        <v>69298</v>
      </c>
      <c r="F55" s="653">
        <v>70500</v>
      </c>
      <c r="G55" s="652">
        <f t="shared" si="4"/>
        <v>1202</v>
      </c>
      <c r="H55" s="705">
        <f>G55+'13'!H55</f>
        <v>-47136</v>
      </c>
      <c r="I55" s="706"/>
      <c r="J55" s="707">
        <f>H55/DAY(B2)</f>
        <v>-3366.8571428571427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'13'!F56</f>
        <v>648857</v>
      </c>
      <c r="F56" s="653">
        <v>648867</v>
      </c>
      <c r="G56" s="473">
        <f t="shared" si="4"/>
        <v>10</v>
      </c>
      <c r="H56" s="460">
        <f>G56+'13'!H56</f>
        <v>-165</v>
      </c>
      <c r="I56" s="455"/>
      <c r="J56" s="552">
        <f>H56/DAY(B2)</f>
        <v>-11.785714285714286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'13'!F58</f>
        <v>51172</v>
      </c>
      <c r="F58" s="653">
        <v>51396</v>
      </c>
      <c r="G58" s="473">
        <f t="shared" si="4"/>
        <v>224</v>
      </c>
      <c r="H58" s="460">
        <f>G58+'13'!H58</f>
        <v>-2829.2099999999991</v>
      </c>
      <c r="I58" s="455"/>
      <c r="J58" s="552">
        <f>H58/DAY(B2)</f>
        <v>-202.08642857142851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2465.8699999999953</v>
      </c>
      <c r="H59" s="460">
        <f>G59+'13'!H59</f>
        <v>-70016.270000000077</v>
      </c>
      <c r="I59" s="455">
        <f>G7-G60</f>
        <v>1668.1300000000047</v>
      </c>
      <c r="J59" s="552">
        <f>H59/DAY(B2)</f>
        <v>-5001.162142857148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19831.869999999995</v>
      </c>
      <c r="H60" s="460">
        <f>G60+'13'!H60</f>
        <v>-328477.13000000012</v>
      </c>
      <c r="I60" s="455">
        <f>G13-G60</f>
        <v>-582.86999999999534</v>
      </c>
      <c r="J60" s="552">
        <f>H60/DAY(B2)</f>
        <v>-23462.65214285715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1.9999999967694748E-3</v>
      </c>
      <c r="I62" s="515"/>
      <c r="J62" s="552">
        <f>H62/DAY(B2)</f>
        <v>1.4285714262639106E-4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'13'!F63</f>
        <v>0</v>
      </c>
      <c r="F63" s="514">
        <v>0</v>
      </c>
      <c r="G63" s="473">
        <f t="shared" si="5"/>
        <v>0</v>
      </c>
      <c r="H63" s="460">
        <f>G63+'13'!H63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514">
        <f>'13'!F64</f>
        <v>163686</v>
      </c>
      <c r="F64" s="478">
        <v>164066</v>
      </c>
      <c r="G64" s="473">
        <f t="shared" si="5"/>
        <v>380</v>
      </c>
      <c r="H64" s="460">
        <f>G64+'13'!H64</f>
        <v>-5956</v>
      </c>
      <c r="I64" s="480"/>
      <c r="J64" s="552">
        <f>H64/DAY(B2)</f>
        <v>-425.42857142857144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'13'!F65</f>
        <v>164412</v>
      </c>
      <c r="F65" s="651">
        <v>164738</v>
      </c>
      <c r="G65" s="473">
        <f t="shared" si="5"/>
        <v>326</v>
      </c>
      <c r="H65" s="460">
        <f>G65+'13'!H65</f>
        <v>-5564</v>
      </c>
      <c r="I65" s="489"/>
      <c r="J65" s="552">
        <f>H65/DAY(B2)</f>
        <v>-397.42857142857144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'13'!F66</f>
        <v>61447</v>
      </c>
      <c r="F66" s="478">
        <v>61756</v>
      </c>
      <c r="G66" s="473">
        <f t="shared" si="5"/>
        <v>309</v>
      </c>
      <c r="H66" s="460">
        <f>G66+'13'!H66</f>
        <v>-6214</v>
      </c>
      <c r="I66" s="480"/>
      <c r="J66" s="552">
        <f>H66/DAY(B2)</f>
        <v>-443.85714285714283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'13'!F67</f>
        <v>257387</v>
      </c>
      <c r="F67" s="478">
        <v>257836</v>
      </c>
      <c r="G67" s="473">
        <f t="shared" si="5"/>
        <v>449</v>
      </c>
      <c r="H67" s="460">
        <f>G67+'13'!H67</f>
        <v>-7123</v>
      </c>
      <c r="I67" s="489"/>
      <c r="J67" s="552">
        <f>H67/DAY(B2)</f>
        <v>-508.78571428571428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'13'!F69</f>
        <v>83521</v>
      </c>
      <c r="F69" s="478">
        <v>83730</v>
      </c>
      <c r="G69" s="473">
        <f t="shared" si="5"/>
        <v>209</v>
      </c>
      <c r="H69" s="460">
        <f>G69+'13'!H69</f>
        <v>-3785</v>
      </c>
      <c r="I69" s="516"/>
      <c r="J69" s="552">
        <f>H69/DAY(B2)</f>
        <v>-270.35714285714283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'13'!F72</f>
        <v>856014</v>
      </c>
      <c r="F72" s="654">
        <v>856027</v>
      </c>
      <c r="G72" s="473">
        <f t="shared" ref="G72" si="6">F72-E72</f>
        <v>13</v>
      </c>
      <c r="H72" s="460">
        <f>G72+'12'!H72</f>
        <v>-208</v>
      </c>
      <c r="I72" s="480"/>
      <c r="J72" s="552">
        <f>H72/DAY(B2)</f>
        <v>-14.857142857142858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'13'!F73</f>
        <v>885952</v>
      </c>
      <c r="F73" s="655">
        <v>885953</v>
      </c>
      <c r="G73" s="652">
        <f t="shared" ref="G73:G84" si="7">F73-E73</f>
        <v>1</v>
      </c>
      <c r="H73" s="460">
        <f>G73+'13'!H72</f>
        <v>-207</v>
      </c>
      <c r="I73" s="480"/>
      <c r="J73" s="552">
        <f>H73/DAY(B2)</f>
        <v>-14.785714285714286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v>88679</v>
      </c>
      <c r="F74" s="655">
        <v>88679</v>
      </c>
      <c r="G74" s="473">
        <f t="shared" si="7"/>
        <v>0</v>
      </c>
      <c r="H74" s="460">
        <f>G74+'13'!H74</f>
        <v>-86096.04</v>
      </c>
      <c r="I74" s="480"/>
      <c r="J74" s="552">
        <f>H74/DAY(B2)</f>
        <v>-6149.7171428571428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'13'!F75</f>
        <v>13637</v>
      </c>
      <c r="F75" s="655">
        <v>13766</v>
      </c>
      <c r="G75" s="473">
        <f t="shared" si="7"/>
        <v>129</v>
      </c>
      <c r="H75" s="460">
        <f>G75+'13'!H75</f>
        <v>-2305</v>
      </c>
      <c r="I75" s="480"/>
      <c r="J75" s="552">
        <f>H75/DAY(B2)</f>
        <v>-164.64285714285714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'13'!F76</f>
        <v>8174</v>
      </c>
      <c r="F76" s="655">
        <v>8235</v>
      </c>
      <c r="G76" s="473">
        <f t="shared" si="7"/>
        <v>61</v>
      </c>
      <c r="H76" s="460">
        <f>G76+'13'!H75</f>
        <v>-2373</v>
      </c>
      <c r="I76" s="505"/>
      <c r="J76" s="552">
        <f>H76/DAY(B2)</f>
        <v>-169.5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'13'!F77</f>
        <v>703488</v>
      </c>
      <c r="F77" s="655">
        <v>703538</v>
      </c>
      <c r="G77" s="652">
        <f t="shared" si="7"/>
        <v>50</v>
      </c>
      <c r="H77" s="460">
        <f>G77+'13'!H77</f>
        <v>-836</v>
      </c>
      <c r="I77" s="505"/>
      <c r="J77" s="552">
        <f>H77/DAY(B2)</f>
        <v>-59.714285714285715</v>
      </c>
      <c r="K77" s="430"/>
      <c r="L77" s="377"/>
      <c r="N77" s="718"/>
      <c r="O77" s="725"/>
      <c r="P77" s="382"/>
    </row>
    <row r="78" spans="1:16" ht="27.75">
      <c r="A78" s="1186" t="s">
        <v>196</v>
      </c>
      <c r="B78" s="1182"/>
      <c r="C78" s="1182"/>
      <c r="D78" s="523" t="s">
        <v>186</v>
      </c>
      <c r="E78" s="519">
        <f>'13'!F78</f>
        <v>673925</v>
      </c>
      <c r="F78" s="656">
        <v>673971</v>
      </c>
      <c r="G78" s="473">
        <f t="shared" si="7"/>
        <v>46</v>
      </c>
      <c r="H78" s="460">
        <f>G78+'13'!H78</f>
        <v>-1443</v>
      </c>
      <c r="I78" s="505"/>
      <c r="J78" s="552">
        <f>H78/DAY(B2)</f>
        <v>-103.07142857142857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'13'!F79</f>
        <v>832915</v>
      </c>
      <c r="F79" s="656">
        <v>833067</v>
      </c>
      <c r="G79" s="473">
        <f t="shared" si="7"/>
        <v>152</v>
      </c>
      <c r="H79" s="460">
        <f>G79+'13'!H78</f>
        <v>-1337</v>
      </c>
      <c r="I79" s="505"/>
      <c r="J79" s="552">
        <f>H79/DAY(B2)</f>
        <v>-95.5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'13'!F80</f>
        <v>532450.52</v>
      </c>
      <c r="F80" s="655">
        <v>532805</v>
      </c>
      <c r="G80" s="473">
        <f t="shared" si="7"/>
        <v>354.47999999998137</v>
      </c>
      <c r="H80" s="460">
        <f>G80+'13'!H79</f>
        <v>-2146.5200000000186</v>
      </c>
      <c r="I80" s="505"/>
      <c r="J80" s="552">
        <f>H80/DAY(B2)</f>
        <v>-153.32285714285848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'13'!F81</f>
        <v>640343.80000000005</v>
      </c>
      <c r="F81" s="655">
        <v>640498</v>
      </c>
      <c r="G81" s="473">
        <f t="shared" si="7"/>
        <v>154.19999999995343</v>
      </c>
      <c r="H81" s="460">
        <f>G81+'13'!H81</f>
        <v>-2487</v>
      </c>
      <c r="I81" s="505"/>
      <c r="J81" s="552">
        <f>H81/DAY(B2)</f>
        <v>-177.64285714285714</v>
      </c>
      <c r="K81" s="430"/>
      <c r="L81" s="377"/>
      <c r="N81" s="718"/>
      <c r="O81" s="725"/>
      <c r="P81" s="382"/>
    </row>
    <row r="82" spans="1:16" ht="27.75">
      <c r="A82" s="1543" t="s">
        <v>92</v>
      </c>
      <c r="B82" s="1544"/>
      <c r="C82" s="1545"/>
      <c r="D82" s="485" t="s">
        <v>131</v>
      </c>
      <c r="E82" s="519">
        <f>'13'!F82</f>
        <v>108359</v>
      </c>
      <c r="F82" s="651">
        <v>108381</v>
      </c>
      <c r="G82" s="473">
        <f t="shared" si="7"/>
        <v>22</v>
      </c>
      <c r="H82" s="460">
        <f>G82+'13'!H82</f>
        <v>-300</v>
      </c>
      <c r="I82" s="486"/>
      <c r="J82" s="552">
        <f>H82/DAY(B2)</f>
        <v>-21.428571428571427</v>
      </c>
      <c r="K82" s="430"/>
      <c r="L82" s="377"/>
      <c r="N82" s="718"/>
      <c r="O82" s="725"/>
      <c r="P82" s="382"/>
    </row>
    <row r="83" spans="1:16" ht="27.75">
      <c r="A83" s="1543" t="s">
        <v>199</v>
      </c>
      <c r="B83" s="1544"/>
      <c r="C83" s="1545"/>
      <c r="D83" s="620" t="s">
        <v>131</v>
      </c>
      <c r="E83" s="519">
        <f>'13'!F83</f>
        <v>23120</v>
      </c>
      <c r="F83" s="511">
        <v>23382</v>
      </c>
      <c r="G83" s="473">
        <f t="shared" si="7"/>
        <v>262</v>
      </c>
      <c r="H83" s="460">
        <f>G83+'13'!H83</f>
        <v>-4169</v>
      </c>
      <c r="I83" s="481"/>
      <c r="J83" s="552">
        <f>H83/DAY(B2)</f>
        <v>-297.78571428571428</v>
      </c>
      <c r="K83" s="429"/>
      <c r="L83" s="377"/>
      <c r="N83" s="718"/>
      <c r="O83" s="725"/>
      <c r="P83" s="382"/>
    </row>
    <row r="84" spans="1:16">
      <c r="A84" s="1189" t="s">
        <v>200</v>
      </c>
      <c r="B84" s="571"/>
      <c r="C84" s="571"/>
      <c r="D84" s="478" t="s">
        <v>131</v>
      </c>
      <c r="E84" s="519">
        <f>'13'!F84</f>
        <v>509739</v>
      </c>
      <c r="F84" s="627">
        <v>510493</v>
      </c>
      <c r="G84" s="473">
        <f t="shared" si="7"/>
        <v>754</v>
      </c>
      <c r="H84" s="460">
        <f>G84+'13'!H84</f>
        <v>-12587</v>
      </c>
      <c r="I84" s="481"/>
      <c r="J84" s="552">
        <f>H84/DAY(B2)</f>
        <v>-899.07142857142856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1998.6799999999348</v>
      </c>
      <c r="H85" s="460">
        <f>G85+'13'!H85</f>
        <v>-120095.04000000001</v>
      </c>
      <c r="I85" s="481"/>
      <c r="J85" s="552">
        <f>H85/DAY(B2)</f>
        <v>-8578.2171428571437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'13'!F86</f>
        <v>461336.44</v>
      </c>
      <c r="F86" s="647">
        <v>461365</v>
      </c>
      <c r="G86" s="705">
        <f t="shared" ref="G86:G91" si="8">F86-E86</f>
        <v>28.559999999997672</v>
      </c>
      <c r="H86" s="705">
        <f t="shared" ref="H86:H88" si="9">G86</f>
        <v>28.559999999997672</v>
      </c>
      <c r="I86" s="652"/>
      <c r="J86" s="707">
        <f>H86/DAY(B2)</f>
        <v>2.0399999999998335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'13'!F87</f>
        <v>81626</v>
      </c>
      <c r="F87" s="647">
        <v>81654</v>
      </c>
      <c r="G87" s="705">
        <f t="shared" si="8"/>
        <v>28</v>
      </c>
      <c r="H87" s="705">
        <f t="shared" si="9"/>
        <v>28</v>
      </c>
      <c r="I87" s="652"/>
      <c r="J87" s="707">
        <f>H87/DAY(B2)</f>
        <v>2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'13'!F88</f>
        <v>153538.73000000001</v>
      </c>
      <c r="F88" s="647">
        <v>153690</v>
      </c>
      <c r="G88" s="705">
        <f t="shared" si="8"/>
        <v>151.26999999998952</v>
      </c>
      <c r="H88" s="705">
        <f t="shared" si="9"/>
        <v>151.26999999998952</v>
      </c>
      <c r="I88" s="652"/>
      <c r="J88" s="707">
        <f>H88/DAY(B2)</f>
        <v>10.804999999999252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'13'!F89</f>
        <v>65397.8</v>
      </c>
      <c r="F89" s="647">
        <v>65425</v>
      </c>
      <c r="G89" s="705">
        <f t="shared" si="8"/>
        <v>27.19999999999709</v>
      </c>
      <c r="H89" s="705">
        <f>G89</f>
        <v>27.19999999999709</v>
      </c>
      <c r="I89" s="652"/>
      <c r="J89" s="707">
        <f>H89/DAY(B2)</f>
        <v>1.942857142856935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'13'!F90</f>
        <v>3291.9</v>
      </c>
      <c r="F90" s="647">
        <v>3295</v>
      </c>
      <c r="G90" s="705">
        <f t="shared" si="8"/>
        <v>3.0999999999999091</v>
      </c>
      <c r="H90" s="705">
        <f>G90</f>
        <v>3.0999999999999091</v>
      </c>
      <c r="I90" s="652"/>
      <c r="J90" s="707">
        <f>H90/DAY(B2)</f>
        <v>0.22142857142856492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/>
      <c r="E91" s="627">
        <f>'13'!F91</f>
        <v>28113</v>
      </c>
      <c r="F91" s="647">
        <v>28122</v>
      </c>
      <c r="G91" s="705">
        <f t="shared" si="8"/>
        <v>9</v>
      </c>
      <c r="H91" s="705">
        <f>G91</f>
        <v>9</v>
      </c>
      <c r="I91" s="652"/>
      <c r="J91" s="707">
        <f>H91/DAY(B2)</f>
        <v>0.6428571428571429</v>
      </c>
      <c r="K91" s="733"/>
      <c r="L91" s="734"/>
      <c r="N91" s="777"/>
      <c r="O91" s="382"/>
    </row>
    <row r="92" spans="1:16" s="379" customFormat="1">
      <c r="A92" s="606" t="s">
        <v>204</v>
      </c>
      <c r="B92" s="1187"/>
      <c r="C92" s="1187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'13'!F93</f>
        <v>246080</v>
      </c>
      <c r="F93" s="478">
        <v>246148</v>
      </c>
      <c r="G93" s="473">
        <f t="shared" ref="G93:G94" si="10">F93-E93</f>
        <v>68</v>
      </c>
      <c r="H93" s="460">
        <f>G93+'13'!H93</f>
        <v>-1204</v>
      </c>
      <c r="I93" s="480"/>
      <c r="J93" s="552">
        <f>H93/DAY(B2)</f>
        <v>-86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'13'!F94</f>
        <v>187397</v>
      </c>
      <c r="F94" s="651">
        <v>187551</v>
      </c>
      <c r="G94" s="473">
        <f t="shared" si="10"/>
        <v>154</v>
      </c>
      <c r="H94" s="460">
        <f>G94+'13'!H94</f>
        <v>-1903</v>
      </c>
      <c r="I94" s="480"/>
      <c r="J94" s="552">
        <f>H94/DAY(B2)</f>
        <v>-135.92857142857142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'13'!F95</f>
        <v>0</v>
      </c>
      <c r="F95" s="478"/>
      <c r="G95" s="473">
        <f>G93+G94</f>
        <v>222</v>
      </c>
      <c r="H95" s="460">
        <f>G95+'13'!H95</f>
        <v>-3293</v>
      </c>
      <c r="I95" s="480"/>
      <c r="J95" s="552">
        <f>H95/DAY(B2)</f>
        <v>-235.21428571428572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'13'!F96</f>
        <v>414910</v>
      </c>
      <c r="F96" s="478">
        <v>414978</v>
      </c>
      <c r="G96" s="473">
        <f t="shared" ref="G96:G101" si="11">F96-E96</f>
        <v>68</v>
      </c>
      <c r="H96" s="460">
        <f>G96+'13'!H96</f>
        <v>-1021</v>
      </c>
      <c r="I96" s="480"/>
      <c r="J96" s="552">
        <f>H96/DAY(B2)</f>
        <v>-72.928571428571431</v>
      </c>
      <c r="K96" s="380"/>
      <c r="L96" s="377"/>
      <c r="N96" s="718"/>
      <c r="O96" s="725"/>
      <c r="P96" s="382"/>
    </row>
    <row r="97" spans="1:16" ht="27.75">
      <c r="A97" s="1183" t="s">
        <v>209</v>
      </c>
      <c r="B97" s="1184"/>
      <c r="C97" s="1184"/>
      <c r="D97" s="523" t="s">
        <v>143</v>
      </c>
      <c r="E97" s="484">
        <f>'13'!F97</f>
        <v>102820</v>
      </c>
      <c r="F97" s="478">
        <v>102843</v>
      </c>
      <c r="G97" s="473">
        <f t="shared" si="11"/>
        <v>23</v>
      </c>
      <c r="H97" s="460">
        <f>G97+'13'!H97</f>
        <v>-320</v>
      </c>
      <c r="I97" s="480"/>
      <c r="J97" s="552">
        <f>H97/DAY(B2)</f>
        <v>-22.857142857142858</v>
      </c>
      <c r="K97" s="427"/>
      <c r="L97" s="377"/>
      <c r="N97" s="718"/>
      <c r="O97" s="725"/>
      <c r="P97" s="382"/>
    </row>
    <row r="98" spans="1:16" ht="27.75">
      <c r="A98" s="1183" t="s">
        <v>210</v>
      </c>
      <c r="B98" s="1184"/>
      <c r="C98" s="1184"/>
      <c r="D98" s="523" t="s">
        <v>143</v>
      </c>
      <c r="E98" s="484">
        <f>'13'!F98</f>
        <v>98235</v>
      </c>
      <c r="F98" s="478">
        <v>98256</v>
      </c>
      <c r="G98" s="473">
        <f t="shared" si="11"/>
        <v>21</v>
      </c>
      <c r="H98" s="460">
        <f>G98+'13'!H98</f>
        <v>-401</v>
      </c>
      <c r="I98" s="480"/>
      <c r="J98" s="552">
        <f>H98/DAY(B2)</f>
        <v>-28.642857142857142</v>
      </c>
      <c r="K98" s="432"/>
      <c r="L98" s="377"/>
      <c r="N98" s="718"/>
      <c r="O98" s="725"/>
      <c r="P98" s="382"/>
    </row>
    <row r="99" spans="1:16" ht="27.75">
      <c r="A99" s="1183" t="s">
        <v>211</v>
      </c>
      <c r="B99" s="1184"/>
      <c r="C99" s="1184"/>
      <c r="D99" s="523" t="s">
        <v>143</v>
      </c>
      <c r="E99" s="484">
        <f>'13'!F99</f>
        <v>149965</v>
      </c>
      <c r="F99" s="478">
        <v>149973</v>
      </c>
      <c r="G99" s="473">
        <f t="shared" si="11"/>
        <v>8</v>
      </c>
      <c r="H99" s="460">
        <f>G99+'13'!H99</f>
        <v>-432</v>
      </c>
      <c r="I99" s="480"/>
      <c r="J99" s="552">
        <f>H99/DAY(B2)</f>
        <v>-30.857142857142858</v>
      </c>
      <c r="K99" s="380"/>
      <c r="L99" s="377"/>
      <c r="N99" s="720"/>
      <c r="O99" s="725"/>
      <c r="P99" s="382"/>
    </row>
    <row r="100" spans="1:16" ht="27.75">
      <c r="A100" s="1183" t="s">
        <v>212</v>
      </c>
      <c r="B100" s="1184"/>
      <c r="C100" s="1184"/>
      <c r="D100" s="523" t="s">
        <v>143</v>
      </c>
      <c r="E100" s="484">
        <f>'13'!F100</f>
        <v>7527</v>
      </c>
      <c r="F100" s="478">
        <v>7534</v>
      </c>
      <c r="G100" s="473">
        <f t="shared" si="11"/>
        <v>7</v>
      </c>
      <c r="H100" s="460">
        <f>G100+'13'!H100</f>
        <v>-263</v>
      </c>
      <c r="I100" s="480"/>
      <c r="J100" s="552">
        <f>H100/DAY(B2)</f>
        <v>-18.785714285714285</v>
      </c>
      <c r="K100" s="380"/>
      <c r="L100" s="377"/>
      <c r="N100" s="718"/>
      <c r="O100" s="725"/>
      <c r="P100" s="382"/>
    </row>
    <row r="101" spans="1:16" ht="27.75">
      <c r="A101" s="1183" t="s">
        <v>213</v>
      </c>
      <c r="B101" s="1184"/>
      <c r="C101" s="1184"/>
      <c r="D101" s="523" t="s">
        <v>143</v>
      </c>
      <c r="E101" s="484">
        <f>'13'!F101</f>
        <v>5501</v>
      </c>
      <c r="F101" s="478">
        <v>5508</v>
      </c>
      <c r="G101" s="473">
        <f t="shared" si="11"/>
        <v>7</v>
      </c>
      <c r="H101" s="460">
        <f>G101+'13'!H101</f>
        <v>-166</v>
      </c>
      <c r="I101" s="480"/>
      <c r="J101" s="552">
        <f>H101/DAY(B2)</f>
        <v>-11.857142857142858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134</v>
      </c>
      <c r="H102" s="460">
        <f>G102+'13'!H102</f>
        <v>-2603</v>
      </c>
      <c r="I102" s="526"/>
      <c r="J102" s="552">
        <f>H102/DAY(B2)</f>
        <v>-185.92857142857142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1059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188"/>
      <c r="D105" s="622" t="s">
        <v>143</v>
      </c>
      <c r="E105" s="484">
        <f>'13'!F105</f>
        <v>7473</v>
      </c>
      <c r="F105" s="658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4.9557142857142287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188"/>
      <c r="D106" s="622" t="s">
        <v>143</v>
      </c>
      <c r="E106" s="484">
        <f>'13'!F106</f>
        <v>36019</v>
      </c>
      <c r="F106" s="659">
        <v>36033</v>
      </c>
      <c r="G106" s="532">
        <f t="shared" ref="G106:G107" si="12">F106-E106</f>
        <v>14</v>
      </c>
      <c r="H106" s="533">
        <f>SUM(G106+'1'!G77)</f>
        <v>67</v>
      </c>
      <c r="I106" s="532"/>
      <c r="J106" s="558">
        <f>H106/DAY(B2)</f>
        <v>4.7857142857142856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'13'!F107</f>
        <v>19751</v>
      </c>
      <c r="F107" s="659">
        <v>19756</v>
      </c>
      <c r="G107" s="532">
        <f t="shared" si="12"/>
        <v>5</v>
      </c>
      <c r="H107" s="533">
        <f>SUM(G107+'1'!G78)</f>
        <v>119</v>
      </c>
      <c r="I107" s="532"/>
      <c r="J107" s="558">
        <f>H107/DAY(B2)</f>
        <v>8.5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188"/>
      <c r="D108" s="622"/>
      <c r="E108" s="484">
        <f>'13'!F108</f>
        <v>0</v>
      </c>
      <c r="F108" s="659"/>
      <c r="G108" s="532">
        <f>SUM(G105:G107)</f>
        <v>19</v>
      </c>
      <c r="H108" s="533">
        <f>SUM(G108+'1'!G79)</f>
        <v>172</v>
      </c>
      <c r="I108" s="532"/>
      <c r="J108" s="558">
        <f>H108/DAY(B2)</f>
        <v>12.285714285714286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188"/>
      <c r="D109" s="622" t="s">
        <v>143</v>
      </c>
      <c r="E109" s="484">
        <f>'13'!F109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188"/>
      <c r="D110" s="622" t="s">
        <v>143</v>
      </c>
      <c r="E110" s="484">
        <f>'13'!F110</f>
        <v>63612</v>
      </c>
      <c r="F110" s="659">
        <v>63685</v>
      </c>
      <c r="G110" s="532">
        <f>F110-E110</f>
        <v>73</v>
      </c>
      <c r="H110" s="533">
        <f>SUM(G110+'1'!G81)</f>
        <v>204.64000000001397</v>
      </c>
      <c r="I110" s="532"/>
      <c r="J110" s="558">
        <f>H110/DAY(B2)</f>
        <v>14.617142857143856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188"/>
      <c r="D111" s="622" t="s">
        <v>143</v>
      </c>
      <c r="E111" s="484">
        <f>'13'!F111</f>
        <v>32697</v>
      </c>
      <c r="F111" s="659">
        <v>32697</v>
      </c>
      <c r="G111" s="532">
        <f t="shared" ref="G111:G112" si="13">F111-E111</f>
        <v>0</v>
      </c>
      <c r="H111" s="533">
        <f>SUM(G111+'1'!G82)</f>
        <v>24.899999999994179</v>
      </c>
      <c r="I111" s="532"/>
      <c r="J111" s="558">
        <f>H111/DAY(B2)</f>
        <v>1.7785714285710128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188"/>
      <c r="D112" s="622" t="s">
        <v>143</v>
      </c>
      <c r="E112" s="484">
        <f>'13'!F112</f>
        <v>4621</v>
      </c>
      <c r="F112" s="659">
        <v>4621</v>
      </c>
      <c r="G112" s="532">
        <f t="shared" si="13"/>
        <v>0</v>
      </c>
      <c r="H112" s="533">
        <f>SUM(G112+'1'!G83)</f>
        <v>351</v>
      </c>
      <c r="I112" s="532"/>
      <c r="J112" s="558">
        <f>H112/DAY(B2)</f>
        <v>25.071428571428573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188"/>
      <c r="D113" s="622"/>
      <c r="E113" s="484">
        <f>'13'!F113</f>
        <v>0</v>
      </c>
      <c r="F113" s="659"/>
      <c r="G113" s="532">
        <f>SUM(G110:G112)</f>
        <v>73</v>
      </c>
      <c r="H113" s="533">
        <f>SUM(G113+'1'!G84)</f>
        <v>889</v>
      </c>
      <c r="I113" s="532"/>
      <c r="J113" s="558">
        <f>H113/DAY(B2)</f>
        <v>63.5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188"/>
      <c r="D114" s="622"/>
      <c r="E114" s="484">
        <f>'13'!F114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'13'!F115</f>
        <v>11693</v>
      </c>
      <c r="F115" s="659">
        <v>11703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0.7142857142857143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'13'!F116</f>
        <v>8412</v>
      </c>
      <c r="F116" s="659">
        <v>8418</v>
      </c>
      <c r="G116" s="534">
        <f t="shared" ref="G116:G117" si="14">F116-E116</f>
        <v>6</v>
      </c>
      <c r="H116" s="533">
        <f>SUM(G116+'1'!G93)</f>
        <v>95</v>
      </c>
      <c r="I116" s="532"/>
      <c r="J116" s="558">
        <f>H116/DAY(B2)</f>
        <v>6.7857142857142856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4"/>
        <v>0</v>
      </c>
      <c r="H117" s="533">
        <f>SUM(G117+'1'!G94)</f>
        <v>97</v>
      </c>
      <c r="I117" s="532"/>
      <c r="J117" s="558">
        <f>H117/DAY(B2)</f>
        <v>6.9285714285714288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16</v>
      </c>
      <c r="H118" s="533">
        <f>SUM(G118+'1'!G96)</f>
        <v>102</v>
      </c>
      <c r="I118" s="534"/>
      <c r="J118" s="558">
        <f>H118/DAY(B2)</f>
        <v>7.2857142857142856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191"/>
      <c r="D119" s="624" t="s">
        <v>143</v>
      </c>
      <c r="E119" s="536"/>
      <c r="F119" s="660"/>
      <c r="G119" s="536">
        <f>SUM(G19+G93)</f>
        <v>131</v>
      </c>
      <c r="H119" s="533">
        <f>SUM(G119+'1'!G97)</f>
        <v>148</v>
      </c>
      <c r="I119" s="535"/>
      <c r="J119" s="559">
        <f>H119/DAY(B2)</f>
        <v>10.571428571428571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191"/>
      <c r="D120" s="624" t="s">
        <v>143</v>
      </c>
      <c r="E120" s="536"/>
      <c r="F120" s="660">
        <f>SUM(G96,G97,G98,G100,G101)</f>
        <v>126</v>
      </c>
      <c r="G120" s="536">
        <f>SUM(G96,G97,G98,G100,G101)</f>
        <v>126</v>
      </c>
      <c r="H120" s="533">
        <f>SUM(G120+'1'!G99)</f>
        <v>176</v>
      </c>
      <c r="I120" s="535"/>
      <c r="J120" s="559">
        <f>H120/DAY(B2)</f>
        <v>12.571428571428571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191"/>
      <c r="D121" s="624" t="s">
        <v>143</v>
      </c>
      <c r="E121" s="534"/>
      <c r="F121" s="659">
        <f>SUM(G113)</f>
        <v>73</v>
      </c>
      <c r="G121" s="534">
        <f>SUM(G113)</f>
        <v>73</v>
      </c>
      <c r="H121" s="533">
        <f>SUM(G121+'1'!G101)</f>
        <v>78</v>
      </c>
      <c r="I121" s="535"/>
      <c r="J121" s="559">
        <f>H121/DAY(B2)</f>
        <v>5.5714285714285712</v>
      </c>
      <c r="N121" s="718"/>
      <c r="O121" s="725"/>
      <c r="P121" s="382"/>
    </row>
    <row r="122" spans="1:16" s="442" customFormat="1" ht="27.75">
      <c r="A122" s="1549"/>
      <c r="B122" s="1550"/>
      <c r="C122" s="1192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83" t="s">
        <v>230</v>
      </c>
      <c r="B124" s="1184"/>
      <c r="C124" s="1184"/>
      <c r="D124" s="523" t="s">
        <v>140</v>
      </c>
      <c r="E124" s="478">
        <f>'13'!F124</f>
        <v>834932</v>
      </c>
      <c r="F124" s="478">
        <v>835191</v>
      </c>
      <c r="G124" s="473">
        <f t="shared" ref="G124:G128" si="15">F124-E124</f>
        <v>259</v>
      </c>
      <c r="H124" s="460">
        <f>G124+'13'!H124</f>
        <v>-4479</v>
      </c>
      <c r="I124" s="526"/>
      <c r="J124" s="552">
        <f>H124/DAY(B2)</f>
        <v>-319.92857142857144</v>
      </c>
      <c r="K124" s="380"/>
      <c r="L124" s="377"/>
      <c r="N124" s="718"/>
      <c r="O124" s="725"/>
      <c r="P124" s="382"/>
    </row>
    <row r="125" spans="1:16" ht="27.75">
      <c r="A125" s="1183" t="s">
        <v>231</v>
      </c>
      <c r="B125" s="1184"/>
      <c r="C125" s="1184"/>
      <c r="D125" s="523" t="s">
        <v>140</v>
      </c>
      <c r="E125" s="626">
        <f>'13'!F125</f>
        <v>73583</v>
      </c>
      <c r="F125" s="626">
        <v>73583</v>
      </c>
      <c r="G125" s="473">
        <f t="shared" si="15"/>
        <v>0</v>
      </c>
      <c r="H125" s="460">
        <f>G125+'13'!H125</f>
        <v>-0.39999999999417923</v>
      </c>
      <c r="I125" s="526"/>
      <c r="J125" s="552">
        <f>H125/DAY(B2)</f>
        <v>-2.8571428571012802E-2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'13'!F126</f>
        <v>147307</v>
      </c>
      <c r="F126" s="478">
        <v>147379</v>
      </c>
      <c r="G126" s="473">
        <f t="shared" si="15"/>
        <v>72</v>
      </c>
      <c r="H126" s="460">
        <f>G126+'13'!H126</f>
        <v>-1218</v>
      </c>
      <c r="I126" s="526"/>
      <c r="J126" s="552">
        <f>H126/DAY(B2)</f>
        <v>-87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84"/>
      <c r="C127" s="1184"/>
      <c r="D127" s="523" t="s">
        <v>140</v>
      </c>
      <c r="E127" s="626">
        <f>'13'!F127</f>
        <v>31477</v>
      </c>
      <c r="F127" s="626">
        <v>31503</v>
      </c>
      <c r="G127" s="473">
        <f t="shared" si="15"/>
        <v>26</v>
      </c>
      <c r="H127" s="460">
        <f>G127+'13'!H127</f>
        <v>-568</v>
      </c>
      <c r="I127" s="526"/>
      <c r="J127" s="552">
        <f>H127/DAY(B2)</f>
        <v>-40.571428571428569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84"/>
      <c r="C128" s="1184"/>
      <c r="D128" s="523" t="s">
        <v>140</v>
      </c>
      <c r="E128" s="626">
        <f>'13'!F128</f>
        <v>8974</v>
      </c>
      <c r="F128" s="626">
        <v>8975</v>
      </c>
      <c r="G128" s="473">
        <f t="shared" si="15"/>
        <v>1</v>
      </c>
      <c r="H128" s="460">
        <f>G128+'13'!H128</f>
        <v>-37</v>
      </c>
      <c r="I128" s="480"/>
      <c r="J128" s="552">
        <f>H128/DAY(B2)</f>
        <v>-2.6428571428571428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84"/>
      <c r="C129" s="1184"/>
      <c r="D129" s="523"/>
      <c r="E129" s="478"/>
      <c r="F129" s="478"/>
      <c r="G129" s="473">
        <f>G15-SUM(G124:G128)</f>
        <v>342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83" t="s">
        <v>237</v>
      </c>
      <c r="B131" s="1184"/>
      <c r="C131" s="1184"/>
      <c r="D131" s="523" t="s">
        <v>238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83" t="s">
        <v>239</v>
      </c>
      <c r="B132" s="1184"/>
      <c r="C132" s="1184"/>
      <c r="D132" s="523" t="s">
        <v>238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83" t="s">
        <v>240</v>
      </c>
      <c r="B133" s="1184"/>
      <c r="C133" s="1184"/>
      <c r="D133" s="523" t="s">
        <v>238</v>
      </c>
      <c r="E133" s="541">
        <f>'13'!F133</f>
        <v>40194</v>
      </c>
      <c r="F133" s="651">
        <v>40218</v>
      </c>
      <c r="G133" s="473">
        <f t="shared" si="16"/>
        <v>24</v>
      </c>
      <c r="H133" s="460">
        <f>G133+'13'!H133</f>
        <v>-235</v>
      </c>
      <c r="I133" s="480"/>
      <c r="J133" s="552">
        <f>H133/DAY(B2)</f>
        <v>-16.785714285714285</v>
      </c>
      <c r="N133" s="718"/>
      <c r="O133" s="725"/>
      <c r="P133" s="382"/>
    </row>
    <row r="134" spans="1:16" ht="27.75">
      <c r="A134" s="1183" t="s">
        <v>241</v>
      </c>
      <c r="B134" s="1184"/>
      <c r="C134" s="1184"/>
      <c r="D134" s="523" t="s">
        <v>238</v>
      </c>
      <c r="E134" s="701">
        <f>'13'!F134</f>
        <v>300</v>
      </c>
      <c r="F134" s="626">
        <v>300</v>
      </c>
      <c r="G134" s="473">
        <f t="shared" si="16"/>
        <v>0</v>
      </c>
      <c r="H134" s="460">
        <f>G134+'13'!H134</f>
        <v>0</v>
      </c>
      <c r="I134" s="480">
        <f>G131+G132+G133+G134</f>
        <v>24</v>
      </c>
      <c r="J134" s="552">
        <f>H134/DAY(B2)</f>
        <v>0</v>
      </c>
      <c r="N134" s="718"/>
      <c r="O134" s="725"/>
      <c r="P134" s="382"/>
    </row>
    <row r="135" spans="1:16" ht="27.75">
      <c r="A135" s="1183" t="s">
        <v>242</v>
      </c>
      <c r="B135" s="1184"/>
      <c r="C135" s="1184"/>
      <c r="D135" s="523" t="s">
        <v>238</v>
      </c>
      <c r="E135" s="701">
        <f>'13'!F135</f>
        <v>41736</v>
      </c>
      <c r="F135" s="626">
        <v>41743</v>
      </c>
      <c r="G135" s="473">
        <f t="shared" si="16"/>
        <v>7</v>
      </c>
      <c r="H135" s="460">
        <f>G135+'13'!H135</f>
        <v>-229</v>
      </c>
      <c r="I135" s="480"/>
      <c r="J135" s="552">
        <f>H135/DAY(B2)</f>
        <v>-16.357142857142858</v>
      </c>
      <c r="N135" s="718"/>
      <c r="O135" s="725"/>
      <c r="P135" s="382"/>
    </row>
    <row r="136" spans="1:16" ht="27.75">
      <c r="A136" s="1183" t="s">
        <v>243</v>
      </c>
      <c r="B136" s="1184"/>
      <c r="C136" s="1184"/>
      <c r="D136" s="523" t="s">
        <v>238</v>
      </c>
      <c r="E136" s="541">
        <f>'13'!F136</f>
        <v>32874</v>
      </c>
      <c r="F136" s="651">
        <v>32874</v>
      </c>
      <c r="G136" s="473">
        <f t="shared" si="16"/>
        <v>0</v>
      </c>
      <c r="H136" s="460">
        <f>G136+'13'!H136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83" t="s">
        <v>244</v>
      </c>
      <c r="B137" s="1184"/>
      <c r="C137" s="1184"/>
      <c r="D137" s="523" t="s">
        <v>238</v>
      </c>
      <c r="E137" s="541">
        <f>'13'!F137</f>
        <v>22841.51</v>
      </c>
      <c r="F137" s="651">
        <v>22850.49</v>
      </c>
      <c r="G137" s="473">
        <f t="shared" si="16"/>
        <v>8.9800000000032014</v>
      </c>
      <c r="H137" s="460">
        <f>G137+'13'!H137</f>
        <v>-41</v>
      </c>
      <c r="I137" s="480">
        <f>G135+G136+G137</f>
        <v>15.980000000003201</v>
      </c>
      <c r="J137" s="552">
        <f>H137/DAY(B2)</f>
        <v>-2.9285714285714284</v>
      </c>
      <c r="N137" s="718"/>
      <c r="O137" s="725"/>
      <c r="P137" s="382"/>
    </row>
    <row r="138" spans="1:16" ht="27.75">
      <c r="A138" s="1183" t="s">
        <v>245</v>
      </c>
      <c r="B138" s="1184"/>
      <c r="C138" s="1184"/>
      <c r="D138" s="523" t="s">
        <v>238</v>
      </c>
      <c r="E138" s="541">
        <f>'13'!F138</f>
        <v>25051.82</v>
      </c>
      <c r="F138" s="651">
        <v>25051.82</v>
      </c>
      <c r="G138" s="473">
        <f t="shared" si="16"/>
        <v>0</v>
      </c>
      <c r="H138" s="460">
        <f>G138+'13'!H138</f>
        <v>-39.569999999999709</v>
      </c>
      <c r="I138" s="480"/>
      <c r="J138" s="552">
        <f>H138/DAY(B2)</f>
        <v>-2.8264285714285506</v>
      </c>
      <c r="N138" s="718"/>
      <c r="O138" s="725"/>
      <c r="P138" s="382"/>
    </row>
    <row r="139" spans="1:16" ht="27.75">
      <c r="A139" s="1183" t="s">
        <v>246</v>
      </c>
      <c r="B139" s="1184"/>
      <c r="C139" s="1184"/>
      <c r="D139" s="523" t="s">
        <v>238</v>
      </c>
      <c r="E139" s="541">
        <f>'13'!F139</f>
        <v>70460.649999999994</v>
      </c>
      <c r="F139" s="651">
        <v>70460.649999999994</v>
      </c>
      <c r="G139" s="473">
        <f t="shared" si="16"/>
        <v>0</v>
      </c>
      <c r="H139" s="460">
        <f>G139+'13'!H139</f>
        <v>-52.970000000001164</v>
      </c>
      <c r="I139" s="480">
        <f>G138+G139</f>
        <v>0</v>
      </c>
      <c r="J139" s="552">
        <f>H139/DAY(B2)</f>
        <v>-3.7835714285715119</v>
      </c>
      <c r="N139" s="718"/>
      <c r="O139" s="725"/>
      <c r="P139" s="382"/>
    </row>
    <row r="140" spans="1:16" ht="27.75">
      <c r="A140" s="1183" t="s">
        <v>247</v>
      </c>
      <c r="B140" s="1184"/>
      <c r="C140" s="1184"/>
      <c r="D140" s="523" t="s">
        <v>238</v>
      </c>
      <c r="E140" s="701">
        <f>'13'!F140</f>
        <v>1952.6</v>
      </c>
      <c r="F140" s="626">
        <v>1962.31</v>
      </c>
      <c r="G140" s="473">
        <f t="shared" si="16"/>
        <v>9.7100000000000364</v>
      </c>
      <c r="H140" s="460">
        <f>G140+'13'!H140</f>
        <v>-166.86999999999989</v>
      </c>
      <c r="I140" s="542"/>
      <c r="J140" s="552">
        <f>H140/DAY(B2)</f>
        <v>-11.919285714285706</v>
      </c>
      <c r="N140" s="718"/>
      <c r="O140" s="725"/>
      <c r="P140" s="382"/>
    </row>
    <row r="141" spans="1:16" ht="27.75">
      <c r="A141" s="1183" t="s">
        <v>248</v>
      </c>
      <c r="B141" s="1184"/>
      <c r="C141" s="1184"/>
      <c r="D141" s="523" t="s">
        <v>238</v>
      </c>
      <c r="E141" s="484">
        <f>'13'!F141</f>
        <v>4636.88</v>
      </c>
      <c r="F141" s="478">
        <v>4636.88</v>
      </c>
      <c r="G141" s="473">
        <f t="shared" si="16"/>
        <v>0</v>
      </c>
      <c r="H141" s="460">
        <f>G141+'13'!H141</f>
        <v>-0.11999999999989086</v>
      </c>
      <c r="I141" s="542"/>
      <c r="J141" s="552">
        <f>H141/DAY(B2)</f>
        <v>-8.571428571420776E-3</v>
      </c>
      <c r="N141" s="718"/>
      <c r="O141" s="725"/>
      <c r="P141" s="382"/>
    </row>
    <row r="142" spans="1:16">
      <c r="A142" s="1562" t="s">
        <v>249</v>
      </c>
      <c r="B142" s="1563"/>
      <c r="C142" s="118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5237.8699999999953</v>
      </c>
      <c r="H143" s="460">
        <f>G143+'13'!H143</f>
        <v>-88262.67</v>
      </c>
      <c r="I143" s="480"/>
      <c r="J143" s="552">
        <f>H143/DAY(B2)</f>
        <v>-6304.4764285714282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0.24362186046511605</v>
      </c>
      <c r="H144" s="460">
        <f>G144+'13'!H144</f>
        <v>-4.1009249469875426</v>
      </c>
      <c r="I144" s="544"/>
      <c r="J144" s="552">
        <f>H144/DAY(B2)</f>
        <v>-0.29292321049911019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6350</v>
      </c>
      <c r="H145" s="460">
        <f>G145+'13'!H145</f>
        <v>-97593.889999999985</v>
      </c>
      <c r="I145" s="480"/>
      <c r="J145" s="552">
        <f>H145/DAY(B2)</f>
        <v>-6970.9921428571415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0.29534883720930233</v>
      </c>
      <c r="H146" s="460">
        <f>G146+'13'!H146</f>
        <v>-4.5399583188878196</v>
      </c>
      <c r="I146" s="544"/>
      <c r="J146" s="552">
        <f>H146/DAY(B2)</f>
        <v>-0.3242827370634157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3252</v>
      </c>
      <c r="H147" s="460">
        <f>G147+'13'!H147</f>
        <v>-56148</v>
      </c>
      <c r="I147" s="545"/>
      <c r="J147" s="552">
        <f>H147/DAY(B2)</f>
        <v>-4010.5714285714284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0.15125581395348836</v>
      </c>
      <c r="H148" s="460">
        <f>G148+'13'!H148</f>
        <v>-2.6083498987861917</v>
      </c>
      <c r="I148" s="545"/>
      <c r="J148" s="552">
        <f>H148/DAY(B2)</f>
        <v>-0.18631070705615654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1470</v>
      </c>
      <c r="H149" s="460">
        <f>G149+'13'!H149</f>
        <v>-24329.930000000051</v>
      </c>
      <c r="I149" s="480"/>
      <c r="J149" s="552">
        <f>H149/DAY(B2)</f>
        <v>-1737.8521428571464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6.8372093023255809E-2</v>
      </c>
      <c r="H150" s="460">
        <f>G150+'13'!H150</f>
        <v>-1.1314143673471253</v>
      </c>
      <c r="I150" s="545"/>
      <c r="J150" s="552">
        <f>H150/DAY(B2)</f>
        <v>-8.0815311953366095E-2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1595</v>
      </c>
      <c r="H151" s="460">
        <f>G151+'13'!H151</f>
        <v>-31160</v>
      </c>
      <c r="I151" s="545"/>
      <c r="J151" s="552">
        <f>H151/DAY(B2)</f>
        <v>-2225.7142857142858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7.4186046511627912E-2</v>
      </c>
      <c r="H152" s="460">
        <f>G152+'13'!H152</f>
        <v>-1.4498409105976127</v>
      </c>
      <c r="I152" s="480"/>
      <c r="J152" s="552">
        <f>H152/DAY(B2)</f>
        <v>-0.10356006504268662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1388</v>
      </c>
      <c r="H153" s="460">
        <f>G153+'13'!H153</f>
        <v>-23480.130000000005</v>
      </c>
      <c r="I153" s="480"/>
      <c r="J153" s="552">
        <f>H153/DAY(B2)</f>
        <v>-1677.1521428571432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6.4558139534883721E-2</v>
      </c>
      <c r="H154" s="460">
        <f>G154+'13'!H154</f>
        <v>-1.0906998400711885</v>
      </c>
      <c r="I154" s="568"/>
      <c r="J154" s="569">
        <f>H154/DAY(B2)</f>
        <v>-7.7907131433656324E-2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'13'!F161</f>
        <v>39481</v>
      </c>
      <c r="F161" s="803">
        <v>39560</v>
      </c>
      <c r="G161" s="473">
        <f t="shared" ref="G161:G164" si="17">F161-E161</f>
        <v>79</v>
      </c>
      <c r="N161" s="718"/>
    </row>
    <row r="162" spans="1:14" ht="21.75" customHeight="1">
      <c r="A162" s="794" t="s">
        <v>263</v>
      </c>
      <c r="B162" s="795"/>
      <c r="C162" s="795"/>
      <c r="D162" s="620" t="s">
        <v>186</v>
      </c>
      <c r="E162" s="522">
        <f>'13'!F162</f>
        <v>100170</v>
      </c>
      <c r="F162" s="803">
        <v>100606</v>
      </c>
      <c r="G162" s="473">
        <f t="shared" si="17"/>
        <v>436</v>
      </c>
      <c r="N162" s="718"/>
    </row>
    <row r="163" spans="1:14" ht="21.75" customHeight="1">
      <c r="A163" s="794" t="s">
        <v>264</v>
      </c>
      <c r="B163" s="795"/>
      <c r="C163" s="795"/>
      <c r="D163" s="620" t="s">
        <v>186</v>
      </c>
      <c r="E163" s="522">
        <f>'13'!F163</f>
        <v>47650</v>
      </c>
      <c r="F163" s="803">
        <v>47858</v>
      </c>
      <c r="G163" s="473">
        <f t="shared" si="17"/>
        <v>208</v>
      </c>
      <c r="N163" s="718"/>
    </row>
    <row r="164" spans="1:14" ht="21.75" customHeight="1">
      <c r="A164" s="794" t="s">
        <v>265</v>
      </c>
      <c r="B164" s="795"/>
      <c r="C164" s="795"/>
      <c r="D164" s="620" t="s">
        <v>186</v>
      </c>
      <c r="E164" s="522">
        <f>'13'!F164</f>
        <v>6679</v>
      </c>
      <c r="F164" s="803">
        <v>6689</v>
      </c>
      <c r="G164" s="473">
        <f t="shared" si="17"/>
        <v>10</v>
      </c>
      <c r="N164" s="718"/>
    </row>
    <row r="165" spans="1:14" ht="21.75" customHeight="1">
      <c r="A165" s="796" t="s">
        <v>97</v>
      </c>
      <c r="B165" s="797"/>
      <c r="C165" s="797"/>
      <c r="D165" s="620" t="s">
        <v>186</v>
      </c>
      <c r="E165" s="514">
        <f>E62</f>
        <v>0</v>
      </c>
      <c r="F165" s="514">
        <f>F62</f>
        <v>0</v>
      </c>
      <c r="G165" s="473">
        <f t="shared" ref="G165:G174" si="18">F165-E165</f>
        <v>0</v>
      </c>
      <c r="N165" s="718"/>
    </row>
    <row r="166" spans="1:14" ht="21.75" customHeight="1">
      <c r="A166" s="796" t="s">
        <v>187</v>
      </c>
      <c r="B166" s="797"/>
      <c r="C166" s="797"/>
      <c r="D166" s="620" t="s">
        <v>186</v>
      </c>
      <c r="E166" s="514">
        <f t="shared" ref="E166:E172" si="19">E63</f>
        <v>0</v>
      </c>
      <c r="F166" s="514">
        <f t="shared" ref="F166:F172" si="20">F63</f>
        <v>0</v>
      </c>
      <c r="G166" s="473">
        <f t="shared" si="18"/>
        <v>0</v>
      </c>
      <c r="N166" s="718"/>
    </row>
    <row r="167" spans="1:14" ht="21.75" customHeight="1">
      <c r="A167" s="1612" t="s">
        <v>98</v>
      </c>
      <c r="B167" s="1612"/>
      <c r="C167" s="1612"/>
      <c r="D167" s="524" t="s">
        <v>186</v>
      </c>
      <c r="E167" s="514">
        <f t="shared" si="19"/>
        <v>163686</v>
      </c>
      <c r="F167" s="514">
        <f t="shared" si="20"/>
        <v>164066</v>
      </c>
      <c r="G167" s="473">
        <f t="shared" si="18"/>
        <v>380</v>
      </c>
      <c r="N167" s="718"/>
    </row>
    <row r="168" spans="1:14" ht="21.75" customHeight="1">
      <c r="A168" s="1612" t="s">
        <v>99</v>
      </c>
      <c r="B168" s="1612"/>
      <c r="C168" s="1612"/>
      <c r="D168" s="524" t="s">
        <v>186</v>
      </c>
      <c r="E168" s="514">
        <f t="shared" si="19"/>
        <v>164412</v>
      </c>
      <c r="F168" s="514">
        <f t="shared" si="20"/>
        <v>164738</v>
      </c>
      <c r="G168" s="473">
        <f t="shared" si="18"/>
        <v>326</v>
      </c>
      <c r="N168" s="718"/>
    </row>
    <row r="169" spans="1:14" ht="21.75" customHeight="1">
      <c r="A169" s="1612" t="s">
        <v>100</v>
      </c>
      <c r="B169" s="1612"/>
      <c r="C169" s="1612"/>
      <c r="D169" s="524" t="s">
        <v>186</v>
      </c>
      <c r="E169" s="514">
        <f t="shared" si="19"/>
        <v>61447</v>
      </c>
      <c r="F169" s="514">
        <f t="shared" si="20"/>
        <v>61756</v>
      </c>
      <c r="G169" s="473">
        <f t="shared" si="18"/>
        <v>309</v>
      </c>
      <c r="N169" s="718"/>
    </row>
    <row r="170" spans="1:14" ht="21.75" customHeight="1">
      <c r="A170" s="1612" t="s">
        <v>101</v>
      </c>
      <c r="B170" s="1612"/>
      <c r="C170" s="1612"/>
      <c r="D170" s="524" t="s">
        <v>186</v>
      </c>
      <c r="E170" s="514">
        <f t="shared" si="19"/>
        <v>257387</v>
      </c>
      <c r="F170" s="514">
        <f t="shared" si="20"/>
        <v>257836</v>
      </c>
      <c r="G170" s="473">
        <f t="shared" si="18"/>
        <v>449</v>
      </c>
      <c r="N170" s="718"/>
    </row>
    <row r="171" spans="1:14" ht="24" customHeight="1">
      <c r="A171" s="1612" t="s">
        <v>102</v>
      </c>
      <c r="B171" s="1612"/>
      <c r="C171" s="1612"/>
      <c r="D171" s="524" t="s">
        <v>186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14">
        <f t="shared" si="19"/>
        <v>83521</v>
      </c>
      <c r="F172" s="514">
        <f t="shared" si="20"/>
        <v>83730</v>
      </c>
      <c r="G172" s="473">
        <f t="shared" si="18"/>
        <v>209</v>
      </c>
      <c r="N172" s="718"/>
    </row>
    <row r="173" spans="1:14">
      <c r="A173" s="1587" t="s">
        <v>352</v>
      </c>
      <c r="B173" s="1550"/>
      <c r="C173" s="785"/>
      <c r="D173" s="523" t="s">
        <v>186</v>
      </c>
      <c r="E173" s="532">
        <v>189285</v>
      </c>
      <c r="F173" s="532">
        <v>189285</v>
      </c>
      <c r="G173" s="473">
        <f t="shared" si="18"/>
        <v>0</v>
      </c>
      <c r="N173" s="718"/>
    </row>
    <row r="174" spans="1:14">
      <c r="A174" s="1587" t="s">
        <v>353</v>
      </c>
      <c r="B174" s="1550"/>
      <c r="C174" s="785"/>
      <c r="D174" s="523" t="s">
        <v>186</v>
      </c>
      <c r="E174" s="532">
        <v>275511</v>
      </c>
      <c r="F174" s="532">
        <v>275555</v>
      </c>
      <c r="G174" s="473">
        <f t="shared" si="18"/>
        <v>44</v>
      </c>
      <c r="N174" s="718"/>
    </row>
    <row r="175" spans="1:14">
      <c r="N175" s="718"/>
    </row>
    <row r="176" spans="1:14">
      <c r="N176" s="718"/>
    </row>
    <row r="177" spans="14:14" ht="18.75" customHeight="1">
      <c r="N177" s="718"/>
    </row>
    <row r="178" spans="14:14" ht="22.5" customHeight="1">
      <c r="N178" s="718"/>
    </row>
    <row r="179" spans="14:14" ht="22.5" customHeight="1">
      <c r="N179" s="718"/>
    </row>
    <row r="180" spans="14:14" ht="22.5" customHeight="1">
      <c r="N180" s="718"/>
    </row>
    <row r="181" spans="14:14" ht="22.5" customHeight="1">
      <c r="N181" s="718"/>
    </row>
    <row r="182" spans="14:14" ht="22.5" customHeight="1">
      <c r="N182" s="718"/>
    </row>
    <row r="183" spans="14:14" ht="22.5" customHeight="1">
      <c r="N183" s="718"/>
    </row>
    <row r="184" spans="14:14" ht="22.5" customHeight="1">
      <c r="N184" s="718"/>
    </row>
    <row r="185" spans="14:14" ht="22.5" customHeight="1">
      <c r="N185" s="718"/>
    </row>
    <row r="186" spans="14:14" ht="22.5" customHeight="1">
      <c r="N186" s="718"/>
    </row>
    <row r="187" spans="14:14" ht="22.5" customHeight="1">
      <c r="N187" s="718"/>
    </row>
    <row r="188" spans="14:14" ht="22.5" customHeight="1">
      <c r="N188" s="718"/>
    </row>
    <row r="189" spans="14:14" ht="22.5" customHeight="1">
      <c r="N189" s="718"/>
    </row>
    <row r="190" spans="14:14" ht="22.5" customHeight="1">
      <c r="N190" s="718"/>
    </row>
    <row r="191" spans="14:14" ht="22.5" customHeight="1">
      <c r="N191" s="718"/>
    </row>
    <row r="192" spans="14:14" ht="22.5" customHeight="1">
      <c r="N192" s="718"/>
    </row>
    <row r="193" spans="14:14" ht="22.5" customHeight="1">
      <c r="N193" s="718"/>
    </row>
    <row r="194" spans="14:14" ht="22.5" customHeight="1">
      <c r="N194" s="718"/>
    </row>
    <row r="195" spans="14:14" ht="22.5" customHeight="1">
      <c r="N195" s="718"/>
    </row>
    <row r="196" spans="14:14" ht="22.5" customHeight="1">
      <c r="N196" s="718"/>
    </row>
    <row r="197" spans="14:14" ht="22.5" customHeight="1">
      <c r="N197" s="718"/>
    </row>
    <row r="198" spans="14:14" ht="22.5" customHeight="1">
      <c r="N198" s="718"/>
    </row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</sheetData>
  <mergeCells count="76">
    <mergeCell ref="A173:B173"/>
    <mergeCell ref="A174:B174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2" zoomScale="55" zoomScaleNormal="80" zoomScaleSheetLayoutView="55" workbookViewId="0">
      <selection activeCell="F15" sqref="F15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287</v>
      </c>
      <c r="B2" s="1031">
        <v>44362</v>
      </c>
      <c r="C2" s="1199" t="s">
        <v>68</v>
      </c>
      <c r="D2" s="611">
        <v>0.26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99" t="s">
        <v>119</v>
      </c>
      <c r="D3" s="612">
        <v>28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99" t="s">
        <v>121</v>
      </c>
      <c r="D4" s="611">
        <v>0.89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'14'!F7</f>
        <v>222795.56</v>
      </c>
      <c r="F7" s="455">
        <f>E7+21500</f>
        <v>244295.56</v>
      </c>
      <c r="G7" s="678">
        <f t="shared" ref="G7:G12" si="0">F7-E7</f>
        <v>21500</v>
      </c>
      <c r="H7" s="679">
        <f>G7+'14'!H7</f>
        <v>322342.56000000006</v>
      </c>
      <c r="I7" s="680">
        <f>'1'!I7</f>
        <v>12000</v>
      </c>
      <c r="J7" s="681">
        <f>H7/DAY(B2)</f>
        <v>21489.504000000004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'14'!F8</f>
        <v>228453.78999999998</v>
      </c>
      <c r="F8" s="475">
        <f>E8+21500</f>
        <v>249953.78999999998</v>
      </c>
      <c r="G8" s="689">
        <f t="shared" si="0"/>
        <v>21500</v>
      </c>
      <c r="H8" s="679">
        <f>G8+'14'!H8</f>
        <v>323231.78999999998</v>
      </c>
      <c r="I8" s="686">
        <f>'1'!I8</f>
        <v>12000</v>
      </c>
      <c r="J8" s="681">
        <f>H8/DAY(B2)</f>
        <v>21548.786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'14'!F9</f>
        <v>1714221</v>
      </c>
      <c r="F9" s="478">
        <v>1731422</v>
      </c>
      <c r="G9" s="702">
        <f t="shared" si="0"/>
        <v>17201</v>
      </c>
      <c r="H9" s="679">
        <f>G9+'14'!H9</f>
        <v>-299580</v>
      </c>
      <c r="I9" s="690">
        <f>I7-J7</f>
        <v>-9489.5040000000045</v>
      </c>
      <c r="J9" s="681">
        <f>H9/DAY(B2)</f>
        <v>-19972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'14'!F10</f>
        <v>2606.5500000000002</v>
      </c>
      <c r="F10" s="478">
        <v>2606.5500000000002</v>
      </c>
      <c r="G10" s="689">
        <f t="shared" si="0"/>
        <v>0</v>
      </c>
      <c r="H10" s="679">
        <f>G10+'14'!H10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G11+'14'!H11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G12+'14'!H12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17201</v>
      </c>
      <c r="H13" s="679">
        <f>G13+'14'!H13</f>
        <v>-316105</v>
      </c>
      <c r="I13" s="695">
        <f>G7-G13</f>
        <v>4299</v>
      </c>
      <c r="J13" s="681">
        <f>H13/DAY(B2)</f>
        <v>-21073.666666666668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'14'!F15</f>
        <v>1714067.16</v>
      </c>
      <c r="F15" s="700">
        <f>E15+700</f>
        <v>1714767.16</v>
      </c>
      <c r="G15" s="664">
        <f>(F15-E15)</f>
        <v>700</v>
      </c>
      <c r="H15" s="486">
        <f>G15+'14'!H15</f>
        <v>11084.159999999916</v>
      </c>
      <c r="I15" s="474">
        <v>800</v>
      </c>
      <c r="J15" s="553">
        <f>H15/DAY(B2)</f>
        <v>738.94399999999439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61.056000000005611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'14'!F18</f>
        <v>12</v>
      </c>
      <c r="F18" s="478">
        <v>8</v>
      </c>
      <c r="G18" s="694">
        <f>F18*10</f>
        <v>80</v>
      </c>
      <c r="H18" s="679">
        <f>G18+'14'!H18</f>
        <v>1480</v>
      </c>
      <c r="I18" s="680">
        <f>'1'!I18</f>
        <v>65</v>
      </c>
      <c r="J18" s="681">
        <f>H18/DAY(B2)</f>
        <v>98.666666666666671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'14'!F19</f>
        <v>140495</v>
      </c>
      <c r="F19" s="478">
        <v>140557</v>
      </c>
      <c r="G19" s="689">
        <f t="shared" ref="G19" si="1">F19-E19</f>
        <v>62</v>
      </c>
      <c r="H19" s="679">
        <f>G19+'14'!H19</f>
        <v>-938</v>
      </c>
      <c r="I19" s="696"/>
      <c r="J19" s="681">
        <f>H19/DAY(B2)</f>
        <v>-62.533333333333331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142</v>
      </c>
      <c r="H20" s="679">
        <f>G20+'14'!H20</f>
        <v>542</v>
      </c>
      <c r="I20" s="698">
        <f>I18-J20</f>
        <v>28.866666666666667</v>
      </c>
      <c r="J20" s="681">
        <f>H20/DAY(B2)</f>
        <v>36.133333333333333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97" t="s">
        <v>146</v>
      </c>
      <c r="B22" s="589"/>
      <c r="C22" s="589"/>
      <c r="D22" s="523" t="s">
        <v>147</v>
      </c>
      <c r="E22" s="634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97" t="s">
        <v>148</v>
      </c>
      <c r="B23" s="589"/>
      <c r="C23" s="589"/>
      <c r="D23" s="523" t="s">
        <v>147</v>
      </c>
      <c r="E23" s="634">
        <f>'14'!F23</f>
        <v>2000</v>
      </c>
      <c r="F23" s="478">
        <v>2000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'14'!F24</f>
        <v>4970</v>
      </c>
      <c r="F24" s="485">
        <v>4970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G27+'14'!H27</f>
        <v>2909086.11</v>
      </c>
      <c r="I27" s="503"/>
      <c r="J27" s="552">
        <f>H27/DAY(B2)</f>
        <v>193939.07399999999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G28+'14'!H28</f>
        <v>576376.31999999564</v>
      </c>
      <c r="I28" s="505"/>
      <c r="J28" s="552">
        <f>H28/DAY(B2)</f>
        <v>38425.087999999712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62</v>
      </c>
      <c r="F30" s="501">
        <v>146</v>
      </c>
      <c r="G30" s="502">
        <f>E30*F30</f>
        <v>9052</v>
      </c>
      <c r="H30" s="460">
        <f>G30+'14'!H30</f>
        <v>-137532</v>
      </c>
      <c r="I30" s="505"/>
      <c r="J30" s="552">
        <f>H30/DAY(B2)</f>
        <v>-9168.7999999999993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80</v>
      </c>
      <c r="F31" s="501">
        <v>80</v>
      </c>
      <c r="G31" s="502">
        <f>E31*F31</f>
        <v>6400</v>
      </c>
      <c r="H31" s="460">
        <f>G31+'14'!H31</f>
        <v>112800</v>
      </c>
      <c r="I31" s="505"/>
      <c r="J31" s="552">
        <f>H31/DAY(B2)</f>
        <v>7520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245352</v>
      </c>
      <c r="H32" s="460">
        <f>G32+'14'!H32</f>
        <v>3460730.429999995</v>
      </c>
      <c r="I32" s="509"/>
      <c r="J32" s="552" t="s">
        <v>360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202"/>
      <c r="C34" s="1202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'14'!F35</f>
        <v>984474</v>
      </c>
      <c r="F35" s="510">
        <v>986946</v>
      </c>
      <c r="G35" s="473">
        <f t="shared" ref="G35:G46" si="3">F35-E35</f>
        <v>2472</v>
      </c>
      <c r="H35" s="460">
        <f>G35+'14'!H35</f>
        <v>-41768</v>
      </c>
      <c r="I35" s="455"/>
      <c r="J35" s="552">
        <f>H35/DAY(B2)</f>
        <v>-2784.5333333333333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'14'!F36</f>
        <v>8159</v>
      </c>
      <c r="F36" s="510">
        <v>8823</v>
      </c>
      <c r="G36" s="473">
        <f t="shared" si="3"/>
        <v>664</v>
      </c>
      <c r="H36" s="460">
        <f>G36+'14'!H36</f>
        <v>-11638</v>
      </c>
      <c r="I36" s="455"/>
      <c r="J36" s="552">
        <f>H36/DAY(B2)</f>
        <v>-775.86666666666667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'14'!F37</f>
        <v>153090</v>
      </c>
      <c r="F37" s="510">
        <v>154495</v>
      </c>
      <c r="G37" s="473">
        <f t="shared" si="3"/>
        <v>1405</v>
      </c>
      <c r="H37" s="460">
        <f>G37+'14'!H37</f>
        <v>-22075</v>
      </c>
      <c r="I37" s="455"/>
      <c r="J37" s="552">
        <f>H37/DAY(B2)</f>
        <v>-1471.6666666666667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'14'!F38</f>
        <v>174129</v>
      </c>
      <c r="F38" s="469">
        <v>175383</v>
      </c>
      <c r="G38" s="473">
        <f t="shared" si="3"/>
        <v>1254</v>
      </c>
      <c r="H38" s="460">
        <f>G38+'14'!H38</f>
        <v>-23076</v>
      </c>
      <c r="I38" s="455"/>
      <c r="J38" s="552">
        <f>H38/DAY(B2)</f>
        <v>-1538.4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'14'!F39</f>
        <v>348716</v>
      </c>
      <c r="F39" s="510">
        <v>351609</v>
      </c>
      <c r="G39" s="473">
        <f t="shared" si="3"/>
        <v>2893</v>
      </c>
      <c r="H39" s="460">
        <f>G39+'14'!H39</f>
        <v>-53255</v>
      </c>
      <c r="I39" s="455"/>
      <c r="J39" s="552">
        <f>H39/DAY(B2)</f>
        <v>-3550.3333333333335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'14'!F40</f>
        <v>1458</v>
      </c>
      <c r="F40" s="510">
        <v>1678</v>
      </c>
      <c r="G40" s="473">
        <f t="shared" si="3"/>
        <v>220</v>
      </c>
      <c r="H40" s="460">
        <f>G40+'14'!H40</f>
        <v>-5435</v>
      </c>
      <c r="I40" s="455"/>
      <c r="J40" s="552">
        <f>H40/DAY(B2)</f>
        <v>-362.33333333333331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'14'!F41</f>
        <v>279337</v>
      </c>
      <c r="F41" s="510">
        <v>284526</v>
      </c>
      <c r="G41" s="473">
        <f t="shared" si="3"/>
        <v>5189</v>
      </c>
      <c r="H41" s="460">
        <f>G41+'14'!H41</f>
        <v>-45116</v>
      </c>
      <c r="I41" s="455"/>
      <c r="J41" s="552">
        <f>H41/DAY(B2)</f>
        <v>-3007.7333333333331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'14'!F42</f>
        <v>59211</v>
      </c>
      <c r="F42" s="510">
        <v>59211</v>
      </c>
      <c r="G42" s="473">
        <f t="shared" si="3"/>
        <v>0</v>
      </c>
      <c r="H42" s="460">
        <f>G42+'14'!H42</f>
        <v>12.110000000000582</v>
      </c>
      <c r="I42" s="455"/>
      <c r="J42" s="552">
        <f>H42/DAY(B2)</f>
        <v>0.80733333333337209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'14'!F43</f>
        <v>1076429</v>
      </c>
      <c r="F43" s="510">
        <v>1078896</v>
      </c>
      <c r="G43" s="473">
        <f t="shared" si="3"/>
        <v>2467</v>
      </c>
      <c r="H43" s="460">
        <f>G43+'14'!H43</f>
        <v>-41556</v>
      </c>
      <c r="I43" s="455"/>
      <c r="J43" s="552">
        <f>H43/DAY(B2)</f>
        <v>-2770.4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16564</v>
      </c>
      <c r="H47" s="460">
        <f>G47+'14'!H47</f>
        <v>-243105.39999999997</v>
      </c>
      <c r="I47" s="455"/>
      <c r="J47" s="552">
        <f>H47/DAY(B2)</f>
        <v>-16207.026666666665</v>
      </c>
      <c r="K47" s="428"/>
      <c r="L47" s="377"/>
      <c r="N47" s="718"/>
      <c r="O47" s="725"/>
      <c r="P47" s="382"/>
    </row>
    <row r="48" spans="1:16">
      <c r="A48" s="598" t="s">
        <v>176</v>
      </c>
      <c r="B48" s="1202"/>
      <c r="C48" s="1202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'14'!F49</f>
        <v>260732</v>
      </c>
      <c r="F49" s="510">
        <v>260732</v>
      </c>
      <c r="G49" s="473">
        <f t="shared" ref="G49:G58" si="4">F49-E49</f>
        <v>0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'14'!F50</f>
        <v>515805</v>
      </c>
      <c r="F50" s="510">
        <v>516817</v>
      </c>
      <c r="G50" s="473">
        <f t="shared" si="4"/>
        <v>1012</v>
      </c>
      <c r="H50" s="460">
        <f>G50+'14'!H50</f>
        <v>-18736</v>
      </c>
      <c r="I50" s="455"/>
      <c r="J50" s="552">
        <f>H50/DAY(B2)</f>
        <v>-1249.0666666666666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'14'!F53</f>
        <v>434232</v>
      </c>
      <c r="F53" s="510">
        <v>434232</v>
      </c>
      <c r="G53" s="473">
        <f t="shared" si="4"/>
        <v>0</v>
      </c>
      <c r="H53" s="460">
        <f>G53+'14'!H53</f>
        <v>-0.33000000001629815</v>
      </c>
      <c r="I53" s="455"/>
      <c r="J53" s="552">
        <f>H53/DAY(B2)</f>
        <v>-2.2000000001086543E-2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'14'!F54</f>
        <v>14908</v>
      </c>
      <c r="F54" s="510">
        <v>14967</v>
      </c>
      <c r="G54" s="473">
        <f t="shared" si="4"/>
        <v>59</v>
      </c>
      <c r="H54" s="460">
        <f>G54+'14'!H54</f>
        <v>-79</v>
      </c>
      <c r="I54" s="455"/>
      <c r="J54" s="552">
        <f>H54/DAY(B2)</f>
        <v>-5.2666666666666666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'14'!F55</f>
        <v>70500</v>
      </c>
      <c r="F55" s="653">
        <v>70500</v>
      </c>
      <c r="G55" s="652">
        <f t="shared" si="4"/>
        <v>0</v>
      </c>
      <c r="H55" s="705">
        <f>G55+'14'!H55</f>
        <v>-47136</v>
      </c>
      <c r="I55" s="706"/>
      <c r="J55" s="707">
        <f>H55/DAY(B2)</f>
        <v>-3142.4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'14'!F56</f>
        <v>648867</v>
      </c>
      <c r="F56" s="653">
        <v>648878</v>
      </c>
      <c r="G56" s="473">
        <f t="shared" si="4"/>
        <v>11</v>
      </c>
      <c r="H56" s="460">
        <f>G56+'14'!H56</f>
        <v>-154</v>
      </c>
      <c r="I56" s="455"/>
      <c r="J56" s="552">
        <f>H56/DAY(B2)</f>
        <v>-10.266666666666667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'14'!F58</f>
        <v>51396</v>
      </c>
      <c r="F58" s="653">
        <v>51500</v>
      </c>
      <c r="G58" s="473">
        <f t="shared" si="4"/>
        <v>104</v>
      </c>
      <c r="H58" s="460">
        <f>G58+'14'!H58</f>
        <v>-2725.2099999999991</v>
      </c>
      <c r="I58" s="455"/>
      <c r="J58" s="552">
        <f>H58/DAY(B2)</f>
        <v>-181.68066666666661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1185.9300000000512</v>
      </c>
      <c r="H59" s="460">
        <f>G59+'14'!H59</f>
        <v>-68830.340000000026</v>
      </c>
      <c r="I59" s="455">
        <f>G7-G60</f>
        <v>3750.0699999999488</v>
      </c>
      <c r="J59" s="552">
        <f>H59/DAY(B2)</f>
        <v>-4588.6893333333346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17749.930000000051</v>
      </c>
      <c r="H60" s="460">
        <f>G60+'14'!H60</f>
        <v>-310727.20000000007</v>
      </c>
      <c r="I60" s="455">
        <f>G13-G60</f>
        <v>-548.93000000005122</v>
      </c>
      <c r="J60" s="552">
        <f>H60/DAY(B2)</f>
        <v>-20715.146666666671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0.18199999999706051</v>
      </c>
      <c r="I62" s="515"/>
      <c r="J62" s="552">
        <f>H62/DAY(B2)</f>
        <v>1.2133333333137368E-2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'14'!F63</f>
        <v>0</v>
      </c>
      <c r="F63" s="514">
        <v>0</v>
      </c>
      <c r="G63" s="473">
        <f t="shared" si="5"/>
        <v>0</v>
      </c>
      <c r="H63" s="460">
        <f>G63+'14'!H63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514">
        <f>'14'!F64</f>
        <v>164066</v>
      </c>
      <c r="F64" s="478">
        <v>164442</v>
      </c>
      <c r="G64" s="473">
        <f t="shared" si="5"/>
        <v>376</v>
      </c>
      <c r="H64" s="460">
        <f>G64+'14'!H64</f>
        <v>-5580</v>
      </c>
      <c r="I64" s="480"/>
      <c r="J64" s="552">
        <f>H64/DAY(B2)</f>
        <v>-372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'14'!F65</f>
        <v>164738</v>
      </c>
      <c r="F65" s="651">
        <v>164888</v>
      </c>
      <c r="G65" s="473">
        <f t="shared" si="5"/>
        <v>150</v>
      </c>
      <c r="H65" s="460">
        <f>G65+'14'!H65</f>
        <v>-5414</v>
      </c>
      <c r="I65" s="489"/>
      <c r="J65" s="552">
        <f>H65/DAY(B2)</f>
        <v>-360.93333333333334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'14'!F66</f>
        <v>61756</v>
      </c>
      <c r="F66" s="478">
        <v>62024</v>
      </c>
      <c r="G66" s="473">
        <f t="shared" si="5"/>
        <v>268</v>
      </c>
      <c r="H66" s="460">
        <f>G66+'14'!H66</f>
        <v>-5946</v>
      </c>
      <c r="I66" s="480"/>
      <c r="J66" s="552">
        <f>H66/DAY(B2)</f>
        <v>-396.4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'14'!F67</f>
        <v>257836</v>
      </c>
      <c r="F67" s="478">
        <v>258242</v>
      </c>
      <c r="G67" s="473">
        <f t="shared" si="5"/>
        <v>406</v>
      </c>
      <c r="H67" s="460">
        <f>G67+'14'!H67</f>
        <v>-6717</v>
      </c>
      <c r="I67" s="489"/>
      <c r="J67" s="552">
        <f>H67/DAY(B2)</f>
        <v>-447.8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'14'!F69</f>
        <v>83730</v>
      </c>
      <c r="F69" s="478">
        <v>83932</v>
      </c>
      <c r="G69" s="473">
        <f t="shared" si="5"/>
        <v>202</v>
      </c>
      <c r="H69" s="460">
        <f>G69+'14'!H69</f>
        <v>-3583</v>
      </c>
      <c r="I69" s="516"/>
      <c r="J69" s="552">
        <f>H69/DAY(B2)</f>
        <v>-238.86666666666667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8"/>
      <c r="O70" s="725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'14'!F72</f>
        <v>856027</v>
      </c>
      <c r="F72" s="654">
        <v>856040</v>
      </c>
      <c r="G72" s="473">
        <f t="shared" ref="G72:G84" si="6">F72-E72</f>
        <v>13</v>
      </c>
      <c r="H72" s="460">
        <f>G72+'14'!H72</f>
        <v>-195</v>
      </c>
      <c r="I72" s="480"/>
      <c r="J72" s="552">
        <f>H72/DAY(B2)</f>
        <v>-13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'14'!F73</f>
        <v>885953</v>
      </c>
      <c r="F73" s="655">
        <v>885955</v>
      </c>
      <c r="G73" s="652">
        <f t="shared" si="6"/>
        <v>2</v>
      </c>
      <c r="H73" s="460">
        <f>G73+'14'!H73</f>
        <v>-205</v>
      </c>
      <c r="I73" s="480"/>
      <c r="J73" s="552">
        <f>H73/DAY(B2)</f>
        <v>-13.666666666666666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'14'!F74</f>
        <v>88679</v>
      </c>
      <c r="F74" s="655">
        <v>88680</v>
      </c>
      <c r="G74" s="473">
        <f t="shared" si="6"/>
        <v>1</v>
      </c>
      <c r="H74" s="460">
        <f>G74+'14'!H74</f>
        <v>-86095.039999999994</v>
      </c>
      <c r="I74" s="480"/>
      <c r="J74" s="552">
        <f>H74/DAY(B2)</f>
        <v>-5739.6693333333333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'14'!F75</f>
        <v>13766</v>
      </c>
      <c r="F75" s="655">
        <v>13893</v>
      </c>
      <c r="G75" s="473">
        <f t="shared" si="6"/>
        <v>127</v>
      </c>
      <c r="H75" s="460">
        <f>G75+'14'!H75</f>
        <v>-2178</v>
      </c>
      <c r="I75" s="480"/>
      <c r="J75" s="552">
        <f>H75/DAY(B2)</f>
        <v>-145.19999999999999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'14'!F76</f>
        <v>8235</v>
      </c>
      <c r="F76" s="655">
        <v>8293</v>
      </c>
      <c r="G76" s="473">
        <f t="shared" si="6"/>
        <v>58</v>
      </c>
      <c r="H76" s="460">
        <f>G76+'14'!H76</f>
        <v>-2315</v>
      </c>
      <c r="I76" s="505"/>
      <c r="J76" s="552">
        <f>H76/DAY(B2)</f>
        <v>-154.33333333333334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'14'!F77</f>
        <v>703538</v>
      </c>
      <c r="F77" s="655">
        <v>703584</v>
      </c>
      <c r="G77" s="652">
        <f t="shared" si="6"/>
        <v>46</v>
      </c>
      <c r="H77" s="460">
        <f>G77+'14'!H77</f>
        <v>-790</v>
      </c>
      <c r="I77" s="505"/>
      <c r="J77" s="552">
        <f>H77/DAY(B2)</f>
        <v>-52.666666666666664</v>
      </c>
      <c r="K77" s="430"/>
      <c r="L77" s="377"/>
      <c r="N77" s="718"/>
      <c r="O77" s="725"/>
      <c r="P77" s="382"/>
    </row>
    <row r="78" spans="1:16" ht="27.75">
      <c r="A78" s="1200" t="s">
        <v>196</v>
      </c>
      <c r="B78" s="1193"/>
      <c r="C78" s="1193"/>
      <c r="D78" s="523" t="s">
        <v>186</v>
      </c>
      <c r="E78" s="519">
        <f>'14'!F78</f>
        <v>673971</v>
      </c>
      <c r="F78" s="656">
        <v>674020</v>
      </c>
      <c r="G78" s="473">
        <f t="shared" si="6"/>
        <v>49</v>
      </c>
      <c r="H78" s="460">
        <f>G78+'14'!H78</f>
        <v>-1394</v>
      </c>
      <c r="I78" s="505"/>
      <c r="J78" s="552">
        <f>H78/DAY(B2)</f>
        <v>-92.933333333333337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'14'!F79</f>
        <v>833067</v>
      </c>
      <c r="F79" s="656">
        <v>833206</v>
      </c>
      <c r="G79" s="473">
        <f t="shared" si="6"/>
        <v>139</v>
      </c>
      <c r="H79" s="460">
        <f>G79+'14'!H79</f>
        <v>-1198</v>
      </c>
      <c r="I79" s="505"/>
      <c r="J79" s="552">
        <f>H79/DAY(B2)</f>
        <v>-79.86666666666666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'14'!F80</f>
        <v>532805</v>
      </c>
      <c r="F80" s="655">
        <v>533140</v>
      </c>
      <c r="G80" s="473">
        <f t="shared" si="6"/>
        <v>335</v>
      </c>
      <c r="H80" s="460">
        <f>G80+'14'!H80</f>
        <v>-1811.5200000000186</v>
      </c>
      <c r="I80" s="505"/>
      <c r="J80" s="552">
        <f>H80/DAY(B2)</f>
        <v>-120.76800000000124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'14'!F81</f>
        <v>640498</v>
      </c>
      <c r="F81" s="655">
        <v>640636</v>
      </c>
      <c r="G81" s="473">
        <f t="shared" si="6"/>
        <v>138</v>
      </c>
      <c r="H81" s="460">
        <f>G81+'14'!H81</f>
        <v>-2349</v>
      </c>
      <c r="I81" s="505"/>
      <c r="J81" s="552">
        <f>H81/DAY(B2)</f>
        <v>-156.6</v>
      </c>
      <c r="K81" s="430"/>
      <c r="L81" s="377"/>
      <c r="N81" s="718"/>
      <c r="O81" s="725"/>
      <c r="P81" s="382"/>
    </row>
    <row r="82" spans="1:16" s="775" customFormat="1" ht="27.75">
      <c r="A82" s="1613" t="s">
        <v>92</v>
      </c>
      <c r="B82" s="1614"/>
      <c r="C82" s="1615"/>
      <c r="D82" s="485" t="s">
        <v>131</v>
      </c>
      <c r="E82" s="519">
        <f>'14'!F82</f>
        <v>108381</v>
      </c>
      <c r="F82" s="485">
        <v>108408</v>
      </c>
      <c r="G82" s="473">
        <f t="shared" si="6"/>
        <v>27</v>
      </c>
      <c r="H82" s="486">
        <f>G82+'14'!H82</f>
        <v>-273</v>
      </c>
      <c r="I82" s="486"/>
      <c r="J82" s="553">
        <f>H82/DAY(B2)</f>
        <v>-18.2</v>
      </c>
      <c r="K82" s="1215"/>
      <c r="L82" s="1216"/>
      <c r="N82" s="722"/>
      <c r="O82" s="726"/>
      <c r="P82" s="721"/>
    </row>
    <row r="83" spans="1:16" s="775" customFormat="1" ht="27.75">
      <c r="A83" s="1616" t="s">
        <v>199</v>
      </c>
      <c r="B83" s="1617"/>
      <c r="C83" s="1618"/>
      <c r="D83" s="1310" t="s">
        <v>131</v>
      </c>
      <c r="E83" s="782">
        <f>'14'!F83</f>
        <v>23382</v>
      </c>
      <c r="F83" s="1310">
        <v>23525</v>
      </c>
      <c r="G83" s="773">
        <f t="shared" si="6"/>
        <v>143</v>
      </c>
      <c r="H83" s="479">
        <f>G83+'14'!H83</f>
        <v>-4026</v>
      </c>
      <c r="I83" s="773"/>
      <c r="J83" s="774">
        <f>H83/DAY(B2)</f>
        <v>-268.39999999999998</v>
      </c>
      <c r="K83" s="1311"/>
      <c r="L83" s="1216"/>
      <c r="N83" s="722"/>
      <c r="O83" s="726"/>
      <c r="P83" s="721"/>
    </row>
    <row r="84" spans="1:16">
      <c r="A84" s="1201" t="s">
        <v>200</v>
      </c>
      <c r="B84" s="571"/>
      <c r="C84" s="571"/>
      <c r="D84" s="478" t="s">
        <v>131</v>
      </c>
      <c r="E84" s="519">
        <f>'14'!F84</f>
        <v>510493</v>
      </c>
      <c r="F84" s="627">
        <v>511176</v>
      </c>
      <c r="G84" s="473">
        <f t="shared" si="6"/>
        <v>683</v>
      </c>
      <c r="H84" s="460">
        <f>G84+'14'!H84</f>
        <v>-11904</v>
      </c>
      <c r="I84" s="481"/>
      <c r="J84" s="552">
        <f>H84/DAY(B2)</f>
        <v>-793.6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1761</v>
      </c>
      <c r="H85" s="460">
        <f>G85+'14'!H85</f>
        <v>-118334.04000000001</v>
      </c>
      <c r="I85" s="481"/>
      <c r="J85" s="552">
        <f>H85/DAY(B2)</f>
        <v>-7888.9360000000006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'14'!F86</f>
        <v>461365</v>
      </c>
      <c r="F86" s="647">
        <v>461395</v>
      </c>
      <c r="G86" s="705">
        <f t="shared" ref="G86:G91" si="7">F86-E86</f>
        <v>30</v>
      </c>
      <c r="H86" s="705">
        <f t="shared" ref="H86:H88" si="8">G86</f>
        <v>30</v>
      </c>
      <c r="I86" s="652"/>
      <c r="J86" s="707">
        <f>H86/DAY(B2)</f>
        <v>2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'14'!F87</f>
        <v>81654</v>
      </c>
      <c r="F87" s="647">
        <v>81679</v>
      </c>
      <c r="G87" s="705">
        <f t="shared" si="7"/>
        <v>25</v>
      </c>
      <c r="H87" s="705">
        <f t="shared" si="8"/>
        <v>25</v>
      </c>
      <c r="I87" s="652"/>
      <c r="J87" s="707">
        <f>H87/DAY(B2)</f>
        <v>1.6666666666666667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'14'!F88</f>
        <v>153690</v>
      </c>
      <c r="F88" s="1462">
        <v>153927</v>
      </c>
      <c r="G88" s="705">
        <f t="shared" si="7"/>
        <v>237</v>
      </c>
      <c r="H88" s="705">
        <f t="shared" si="8"/>
        <v>237</v>
      </c>
      <c r="I88" s="652"/>
      <c r="J88" s="707">
        <f>H88/DAY(B2)</f>
        <v>15.8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'14'!F89</f>
        <v>65425</v>
      </c>
      <c r="F89" s="647">
        <v>65441</v>
      </c>
      <c r="G89" s="705">
        <f t="shared" si="7"/>
        <v>16</v>
      </c>
      <c r="H89" s="705">
        <f>G89</f>
        <v>16</v>
      </c>
      <c r="I89" s="652"/>
      <c r="J89" s="707">
        <f>H89/DAY(B2)</f>
        <v>1.0666666666666667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'14'!F90</f>
        <v>3295</v>
      </c>
      <c r="F90" s="647">
        <v>3298</v>
      </c>
      <c r="G90" s="705">
        <f t="shared" si="7"/>
        <v>3</v>
      </c>
      <c r="H90" s="705">
        <f>G90</f>
        <v>3</v>
      </c>
      <c r="I90" s="652"/>
      <c r="J90" s="707">
        <f>H90/DAY(B2)</f>
        <v>0.2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/>
      <c r="E91" s="627">
        <f>'14'!F91</f>
        <v>28122</v>
      </c>
      <c r="F91" s="647">
        <v>28131</v>
      </c>
      <c r="G91" s="705">
        <f t="shared" si="7"/>
        <v>9</v>
      </c>
      <c r="H91" s="705">
        <f>G91</f>
        <v>9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03"/>
      <c r="C92" s="1203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'14'!F93</f>
        <v>246148</v>
      </c>
      <c r="F93" s="478">
        <v>246205</v>
      </c>
      <c r="G93" s="473">
        <f t="shared" ref="G93:G94" si="9">F93-E93</f>
        <v>57</v>
      </c>
      <c r="H93" s="460">
        <f>G93+'14'!H93</f>
        <v>-1147</v>
      </c>
      <c r="I93" s="480"/>
      <c r="J93" s="552">
        <f>H93/DAY(B2)</f>
        <v>-76.466666666666669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'14'!F94</f>
        <v>187551</v>
      </c>
      <c r="F94" s="478">
        <v>187623</v>
      </c>
      <c r="G94" s="473">
        <f t="shared" si="9"/>
        <v>72</v>
      </c>
      <c r="H94" s="460">
        <f>G94+'14'!H94</f>
        <v>-1831</v>
      </c>
      <c r="I94" s="480"/>
      <c r="J94" s="552">
        <f>H94/DAY(B2)</f>
        <v>-122.06666666666666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/>
      <c r="F95" s="478"/>
      <c r="G95" s="473">
        <f>G93+G94</f>
        <v>129</v>
      </c>
      <c r="H95" s="460">
        <f>G95+'14'!H95</f>
        <v>-3164</v>
      </c>
      <c r="I95" s="480"/>
      <c r="J95" s="552">
        <f>H95/DAY(B2)</f>
        <v>-210.93333333333334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'14'!F96</f>
        <v>414978</v>
      </c>
      <c r="F96" s="478">
        <v>415043</v>
      </c>
      <c r="G96" s="473">
        <f t="shared" ref="G96:G101" si="10">F96-E96</f>
        <v>65</v>
      </c>
      <c r="H96" s="460">
        <f>G96+'14'!H96</f>
        <v>-956</v>
      </c>
      <c r="I96" s="480"/>
      <c r="J96" s="552">
        <f>H96/DAY(B2)</f>
        <v>-63.733333333333334</v>
      </c>
      <c r="K96" s="380"/>
      <c r="L96" s="377"/>
      <c r="N96" s="718"/>
      <c r="O96" s="725"/>
      <c r="P96" s="382"/>
    </row>
    <row r="97" spans="1:16" ht="27.75">
      <c r="A97" s="1197" t="s">
        <v>209</v>
      </c>
      <c r="B97" s="1198"/>
      <c r="C97" s="1198"/>
      <c r="D97" s="523" t="s">
        <v>143</v>
      </c>
      <c r="E97" s="484">
        <f>'14'!F97</f>
        <v>102843</v>
      </c>
      <c r="F97" s="478">
        <v>102853</v>
      </c>
      <c r="G97" s="473">
        <f t="shared" si="10"/>
        <v>10</v>
      </c>
      <c r="H97" s="460">
        <f>G97+'14'!H97</f>
        <v>-310</v>
      </c>
      <c r="I97" s="480"/>
      <c r="J97" s="552">
        <f>H97/DAY(B2)</f>
        <v>-20.666666666666668</v>
      </c>
      <c r="K97" s="427"/>
      <c r="L97" s="377"/>
      <c r="N97" s="718"/>
      <c r="O97" s="725"/>
      <c r="P97" s="382"/>
    </row>
    <row r="98" spans="1:16" ht="27.75">
      <c r="A98" s="1197" t="s">
        <v>210</v>
      </c>
      <c r="B98" s="1198"/>
      <c r="C98" s="1198"/>
      <c r="D98" s="523" t="s">
        <v>143</v>
      </c>
      <c r="E98" s="484">
        <f>'14'!F98</f>
        <v>98256</v>
      </c>
      <c r="F98" s="478">
        <v>98273</v>
      </c>
      <c r="G98" s="473">
        <f t="shared" si="10"/>
        <v>17</v>
      </c>
      <c r="H98" s="460">
        <f>G98+'14'!H98</f>
        <v>-384</v>
      </c>
      <c r="I98" s="480"/>
      <c r="J98" s="552">
        <f>H98/DAY(B2)</f>
        <v>-25.6</v>
      </c>
      <c r="K98" s="432"/>
      <c r="L98" s="377"/>
      <c r="N98" s="718"/>
      <c r="O98" s="725"/>
      <c r="P98" s="382"/>
    </row>
    <row r="99" spans="1:16" ht="27.75">
      <c r="A99" s="1197" t="s">
        <v>211</v>
      </c>
      <c r="B99" s="1198"/>
      <c r="C99" s="1198"/>
      <c r="D99" s="523" t="s">
        <v>143</v>
      </c>
      <c r="E99" s="484">
        <f>'14'!F99</f>
        <v>149973</v>
      </c>
      <c r="F99" s="478">
        <v>149980</v>
      </c>
      <c r="G99" s="473">
        <f t="shared" si="10"/>
        <v>7</v>
      </c>
      <c r="H99" s="460">
        <f>G99+'14'!H99</f>
        <v>-425</v>
      </c>
      <c r="I99" s="480"/>
      <c r="J99" s="552">
        <f>H99/DAY(B2)</f>
        <v>-28.333333333333332</v>
      </c>
      <c r="K99" s="380"/>
      <c r="L99" s="377"/>
      <c r="N99" s="720"/>
      <c r="O99" s="725"/>
      <c r="P99" s="382"/>
    </row>
    <row r="100" spans="1:16" ht="27.75">
      <c r="A100" s="1197" t="s">
        <v>212</v>
      </c>
      <c r="B100" s="1198"/>
      <c r="C100" s="1198"/>
      <c r="D100" s="523" t="s">
        <v>143</v>
      </c>
      <c r="E100" s="484">
        <f>'14'!F100</f>
        <v>7534</v>
      </c>
      <c r="F100" s="478">
        <v>7537</v>
      </c>
      <c r="G100" s="473">
        <f t="shared" si="10"/>
        <v>3</v>
      </c>
      <c r="H100" s="460">
        <f>G100+'14'!H100</f>
        <v>-260</v>
      </c>
      <c r="I100" s="480"/>
      <c r="J100" s="552">
        <f>H100/DAY(B2)</f>
        <v>-17.333333333333332</v>
      </c>
      <c r="K100" s="380"/>
      <c r="L100" s="377"/>
      <c r="N100" s="718"/>
      <c r="O100" s="725"/>
      <c r="P100" s="382"/>
    </row>
    <row r="101" spans="1:16" ht="27.75">
      <c r="A101" s="1197" t="s">
        <v>213</v>
      </c>
      <c r="B101" s="1198"/>
      <c r="C101" s="1198"/>
      <c r="D101" s="523" t="s">
        <v>143</v>
      </c>
      <c r="E101" s="484">
        <f>'14'!F101</f>
        <v>5508</v>
      </c>
      <c r="F101" s="478">
        <v>5516</v>
      </c>
      <c r="G101" s="473">
        <f t="shared" si="10"/>
        <v>8</v>
      </c>
      <c r="H101" s="460">
        <f>G101+'14'!H101</f>
        <v>-158</v>
      </c>
      <c r="I101" s="480"/>
      <c r="J101" s="552">
        <f>H101/DAY(B2)</f>
        <v>-10.533333333333333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110</v>
      </c>
      <c r="H102" s="460">
        <f>G102+'14'!H102</f>
        <v>-2493</v>
      </c>
      <c r="I102" s="526"/>
      <c r="J102" s="552">
        <f>H102/DAY(B2)</f>
        <v>-166.2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>
        <v>3</v>
      </c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196"/>
      <c r="D105" s="622" t="s">
        <v>143</v>
      </c>
      <c r="E105" s="484">
        <f>'14'!F105</f>
        <v>7473</v>
      </c>
      <c r="F105" s="658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4.6253333333332796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196"/>
      <c r="D106" s="622" t="s">
        <v>143</v>
      </c>
      <c r="E106" s="484">
        <f>'14'!F106</f>
        <v>36033</v>
      </c>
      <c r="F106" s="659">
        <v>36033</v>
      </c>
      <c r="G106" s="532">
        <f t="shared" ref="G106:G107" si="11">F106-E106</f>
        <v>0</v>
      </c>
      <c r="H106" s="533">
        <f>SUM(G106+'1'!G77)</f>
        <v>53</v>
      </c>
      <c r="I106" s="532"/>
      <c r="J106" s="558">
        <f>H106/DAY(B2)</f>
        <v>3.5333333333333332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'14'!F107</f>
        <v>19756</v>
      </c>
      <c r="F107" s="659">
        <v>19761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7.9333333333333336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196"/>
      <c r="D108" s="622"/>
      <c r="E108" s="484">
        <f>'14'!F108</f>
        <v>0</v>
      </c>
      <c r="F108" s="659"/>
      <c r="G108" s="532">
        <f>SUM(G105:G107)</f>
        <v>5</v>
      </c>
      <c r="H108" s="533">
        <f>SUM(G108+'1'!G79)</f>
        <v>158</v>
      </c>
      <c r="I108" s="532"/>
      <c r="J108" s="558">
        <f>H108/DAY(B2)</f>
        <v>10.533333333333333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196"/>
      <c r="D109" s="622" t="s">
        <v>143</v>
      </c>
      <c r="E109" s="484">
        <f>'14'!F109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196"/>
      <c r="D110" s="622" t="s">
        <v>143</v>
      </c>
      <c r="E110" s="484">
        <f>'14'!F110</f>
        <v>63685</v>
      </c>
      <c r="F110" s="659">
        <v>63730</v>
      </c>
      <c r="G110" s="532">
        <f>F110-E110</f>
        <v>45</v>
      </c>
      <c r="H110" s="533">
        <f>SUM(G110+'1'!G81)</f>
        <v>176.64000000001397</v>
      </c>
      <c r="I110" s="532"/>
      <c r="J110" s="558">
        <f>H110/DAY(B2)</f>
        <v>11.776000000000931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196"/>
      <c r="D111" s="622" t="s">
        <v>143</v>
      </c>
      <c r="E111" s="484">
        <f>'14'!F111</f>
        <v>32697</v>
      </c>
      <c r="F111" s="659">
        <v>32710</v>
      </c>
      <c r="G111" s="532">
        <f t="shared" ref="G111:G112" si="12">F111-E111</f>
        <v>13</v>
      </c>
      <c r="H111" s="533">
        <f>SUM(G111+'1'!G82)</f>
        <v>37.899999999994179</v>
      </c>
      <c r="I111" s="532"/>
      <c r="J111" s="558">
        <f>H111/DAY(B2)</f>
        <v>2.5266666666662787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196"/>
      <c r="D112" s="622" t="s">
        <v>143</v>
      </c>
      <c r="E112" s="484">
        <f>'14'!F112</f>
        <v>4621</v>
      </c>
      <c r="F112" s="659">
        <v>4621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23.4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196"/>
      <c r="D113" s="622"/>
      <c r="E113" s="484">
        <f>'14'!F113</f>
        <v>0</v>
      </c>
      <c r="F113" s="659"/>
      <c r="G113" s="532">
        <f>SUM(G110:G112)</f>
        <v>58</v>
      </c>
      <c r="H113" s="533">
        <f>SUM(G113+'1'!G84)</f>
        <v>874</v>
      </c>
      <c r="I113" s="532"/>
      <c r="J113" s="558">
        <f>H113/DAY(B2)</f>
        <v>58.266666666666666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196"/>
      <c r="D114" s="622"/>
      <c r="E114" s="484">
        <f>'14'!F114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'14'!F115</f>
        <v>11703</v>
      </c>
      <c r="F115" s="659">
        <v>11707</v>
      </c>
      <c r="G115" s="534">
        <f>F115-E115</f>
        <v>4</v>
      </c>
      <c r="H115" s="533">
        <f>SUM(G115+'1'!G92)</f>
        <v>4</v>
      </c>
      <c r="I115" s="532"/>
      <c r="J115" s="558">
        <f>H115/DAY(B2)</f>
        <v>0.26666666666666666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'14'!F116</f>
        <v>8418</v>
      </c>
      <c r="F116" s="659">
        <v>8425</v>
      </c>
      <c r="G116" s="534">
        <f t="shared" ref="G116:G117" si="13">F116-E116</f>
        <v>7</v>
      </c>
      <c r="H116" s="533">
        <f>SUM(G116+'1'!G93)</f>
        <v>96</v>
      </c>
      <c r="I116" s="532"/>
      <c r="J116" s="558">
        <f>H116/DAY(B2)</f>
        <v>6.4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>
        <f>'14'!F117</f>
        <v>0</v>
      </c>
      <c r="F117" s="659">
        <v>0</v>
      </c>
      <c r="G117" s="534">
        <f t="shared" si="13"/>
        <v>0</v>
      </c>
      <c r="H117" s="533">
        <f>SUM(G117+'1'!G94)</f>
        <v>97</v>
      </c>
      <c r="I117" s="532"/>
      <c r="J117" s="558">
        <f>H117/DAY(B2)</f>
        <v>6.4666666666666668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11</v>
      </c>
      <c r="H118" s="533">
        <f>SUM(G118+'1'!G96)</f>
        <v>97</v>
      </c>
      <c r="I118" s="534"/>
      <c r="J118" s="558">
        <f>H118/DAY(B2)</f>
        <v>6.4666666666666668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194"/>
      <c r="D119" s="624" t="s">
        <v>143</v>
      </c>
      <c r="E119" s="536"/>
      <c r="F119" s="660">
        <f>SUM(G19+G93)</f>
        <v>119</v>
      </c>
      <c r="G119" s="536">
        <f>SUM(G19+G93)</f>
        <v>119</v>
      </c>
      <c r="H119" s="533">
        <f>SUM(G119+'1'!G97)</f>
        <v>136</v>
      </c>
      <c r="I119" s="535"/>
      <c r="J119" s="559">
        <f>H119/DAY(B2)</f>
        <v>9.0666666666666664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194"/>
      <c r="D120" s="624" t="s">
        <v>143</v>
      </c>
      <c r="E120" s="536"/>
      <c r="F120" s="660">
        <f>SUM(G96,G97,G98,G100,G101)</f>
        <v>103</v>
      </c>
      <c r="G120" s="536">
        <f>SUM(G96,G97,G98,G100,G101)</f>
        <v>103</v>
      </c>
      <c r="H120" s="533">
        <f>SUM(G120+'1'!G99)</f>
        <v>153</v>
      </c>
      <c r="I120" s="535"/>
      <c r="J120" s="559">
        <f>H120/DAY(B2)</f>
        <v>10.199999999999999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194"/>
      <c r="D121" s="624" t="s">
        <v>143</v>
      </c>
      <c r="E121" s="534"/>
      <c r="F121" s="659">
        <f>SUM(G113)</f>
        <v>58</v>
      </c>
      <c r="G121" s="534">
        <f>SUM(G113)</f>
        <v>58</v>
      </c>
      <c r="H121" s="533">
        <f>SUM(G121+'1'!G101)</f>
        <v>63</v>
      </c>
      <c r="I121" s="535"/>
      <c r="J121" s="559">
        <f>H121/DAY(B2)</f>
        <v>4.2</v>
      </c>
      <c r="N121" s="718"/>
      <c r="O121" s="725"/>
      <c r="P121" s="382"/>
    </row>
    <row r="122" spans="1:16" s="442" customFormat="1" ht="27.75">
      <c r="A122" s="1549"/>
      <c r="B122" s="1550"/>
      <c r="C122" s="1195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97" t="s">
        <v>230</v>
      </c>
      <c r="B124" s="1198"/>
      <c r="C124" s="1198"/>
      <c r="D124" s="523" t="s">
        <v>140</v>
      </c>
      <c r="E124" s="478">
        <f>'14'!F124</f>
        <v>835191</v>
      </c>
      <c r="F124" s="478">
        <v>835450</v>
      </c>
      <c r="G124" s="473">
        <f>F124-E124</f>
        <v>259</v>
      </c>
      <c r="H124" s="460">
        <f>G124+'14'!H124</f>
        <v>-4220</v>
      </c>
      <c r="I124" s="526"/>
      <c r="J124" s="552">
        <f>H124/DAY(B2)</f>
        <v>-281.33333333333331</v>
      </c>
      <c r="K124" s="380"/>
      <c r="L124" s="377"/>
      <c r="N124" s="718"/>
      <c r="O124" s="725"/>
      <c r="P124" s="382"/>
    </row>
    <row r="125" spans="1:16" ht="27.75">
      <c r="A125" s="1197" t="s">
        <v>231</v>
      </c>
      <c r="B125" s="1198"/>
      <c r="C125" s="1198"/>
      <c r="D125" s="523" t="s">
        <v>140</v>
      </c>
      <c r="E125" s="626">
        <f>'14'!F125</f>
        <v>73583</v>
      </c>
      <c r="F125" s="626">
        <v>73583.399999999994</v>
      </c>
      <c r="G125" s="473">
        <f t="shared" ref="G125:G128" si="14">F125-E125</f>
        <v>0.39999999999417923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'14'!F126</f>
        <v>147379</v>
      </c>
      <c r="F126" s="478">
        <v>147443</v>
      </c>
      <c r="G126" s="473">
        <f t="shared" si="14"/>
        <v>64</v>
      </c>
      <c r="H126" s="460">
        <f>G126+'14'!H126</f>
        <v>-1154</v>
      </c>
      <c r="I126" s="526"/>
      <c r="J126" s="552">
        <f>H126/DAY(B2)</f>
        <v>-76.933333333333337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98"/>
      <c r="C127" s="1198"/>
      <c r="D127" s="523" t="s">
        <v>140</v>
      </c>
      <c r="E127" s="626">
        <f>'14'!F127</f>
        <v>31503</v>
      </c>
      <c r="F127" s="626">
        <v>31526</v>
      </c>
      <c r="G127" s="473">
        <f t="shared" si="14"/>
        <v>23</v>
      </c>
      <c r="H127" s="460">
        <f>G127+'14'!H127</f>
        <v>-545</v>
      </c>
      <c r="I127" s="526"/>
      <c r="J127" s="552">
        <f>H127/DAY(B2)</f>
        <v>-36.333333333333336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98"/>
      <c r="C128" s="1198"/>
      <c r="D128" s="523" t="s">
        <v>140</v>
      </c>
      <c r="E128" s="626">
        <f>'14'!F128</f>
        <v>8975</v>
      </c>
      <c r="F128" s="626">
        <v>8976</v>
      </c>
      <c r="G128" s="473">
        <f t="shared" si="14"/>
        <v>1</v>
      </c>
      <c r="H128" s="460">
        <f>G128+'14'!H128</f>
        <v>-36</v>
      </c>
      <c r="I128" s="480"/>
      <c r="J128" s="552">
        <f>H128/DAY(B2)</f>
        <v>-2.4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98"/>
      <c r="C129" s="1198"/>
      <c r="D129" s="523"/>
      <c r="E129" s="478"/>
      <c r="F129" s="478"/>
      <c r="G129" s="473">
        <f>G15-SUM(G124:G128)</f>
        <v>352.60000000000582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97" t="s">
        <v>237</v>
      </c>
      <c r="B131" s="1198"/>
      <c r="C131" s="1198"/>
      <c r="D131" s="523" t="s">
        <v>238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97" t="s">
        <v>239</v>
      </c>
      <c r="B132" s="1198"/>
      <c r="C132" s="1198"/>
      <c r="D132" s="523" t="s">
        <v>238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97" t="s">
        <v>240</v>
      </c>
      <c r="B133" s="1198"/>
      <c r="C133" s="1198"/>
      <c r="D133" s="523" t="s">
        <v>238</v>
      </c>
      <c r="E133" s="484">
        <f>'14'!F133</f>
        <v>40218</v>
      </c>
      <c r="F133" s="651">
        <v>40242</v>
      </c>
      <c r="G133" s="473">
        <f t="shared" si="15"/>
        <v>24</v>
      </c>
      <c r="H133" s="460">
        <f>G133+'14'!H133</f>
        <v>-211</v>
      </c>
      <c r="I133" s="480"/>
      <c r="J133" s="552">
        <f>H133/DAY(B2)</f>
        <v>-14.066666666666666</v>
      </c>
      <c r="N133" s="718"/>
      <c r="O133" s="725"/>
      <c r="P133" s="382"/>
    </row>
    <row r="134" spans="1:16" ht="27.75">
      <c r="A134" s="1197" t="s">
        <v>241</v>
      </c>
      <c r="B134" s="1198"/>
      <c r="C134" s="1198"/>
      <c r="D134" s="523" t="s">
        <v>238</v>
      </c>
      <c r="E134" s="484">
        <f>'14'!F134</f>
        <v>300</v>
      </c>
      <c r="F134" s="626">
        <v>300</v>
      </c>
      <c r="G134" s="473">
        <f t="shared" si="15"/>
        <v>0</v>
      </c>
      <c r="H134" s="460">
        <f>G134+'14'!H134</f>
        <v>0</v>
      </c>
      <c r="I134" s="480">
        <f>G131+G132+G133+G134</f>
        <v>24</v>
      </c>
      <c r="J134" s="552">
        <f>H134/DAY(B2)</f>
        <v>0</v>
      </c>
      <c r="N134" s="718"/>
      <c r="O134" s="725"/>
      <c r="P134" s="382"/>
    </row>
    <row r="135" spans="1:16" ht="27.75">
      <c r="A135" s="1197" t="s">
        <v>242</v>
      </c>
      <c r="B135" s="1198"/>
      <c r="C135" s="1198"/>
      <c r="D135" s="523" t="s">
        <v>238</v>
      </c>
      <c r="E135" s="484">
        <f>'14'!F135</f>
        <v>41743</v>
      </c>
      <c r="F135" s="626">
        <v>41743</v>
      </c>
      <c r="G135" s="473">
        <f t="shared" si="15"/>
        <v>0</v>
      </c>
      <c r="H135" s="460">
        <f>G135+'14'!H135</f>
        <v>-229</v>
      </c>
      <c r="I135" s="480"/>
      <c r="J135" s="552">
        <f>H135/DAY(B2)</f>
        <v>-15.266666666666667</v>
      </c>
      <c r="N135" s="718"/>
      <c r="O135" s="725"/>
      <c r="P135" s="382"/>
    </row>
    <row r="136" spans="1:16" ht="27.75">
      <c r="A136" s="1197" t="s">
        <v>243</v>
      </c>
      <c r="B136" s="1198"/>
      <c r="C136" s="1198"/>
      <c r="D136" s="523" t="s">
        <v>238</v>
      </c>
      <c r="E136" s="484">
        <f>'14'!F136</f>
        <v>32874</v>
      </c>
      <c r="F136" s="651">
        <v>32874</v>
      </c>
      <c r="G136" s="473">
        <f t="shared" si="15"/>
        <v>0</v>
      </c>
      <c r="H136" s="460">
        <f>G136+'14'!H136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97" t="s">
        <v>244</v>
      </c>
      <c r="B137" s="1198"/>
      <c r="C137" s="1198"/>
      <c r="D137" s="523" t="s">
        <v>238</v>
      </c>
      <c r="E137" s="484">
        <f>'14'!F137</f>
        <v>22850.49</v>
      </c>
      <c r="F137" s="651">
        <v>22850</v>
      </c>
      <c r="G137" s="473">
        <f t="shared" si="15"/>
        <v>-0.49000000000160071</v>
      </c>
      <c r="H137" s="460">
        <f>G137+'14'!H137</f>
        <v>-41.490000000001601</v>
      </c>
      <c r="I137" s="480">
        <f>G135+G136+G137</f>
        <v>-0.49000000000160071</v>
      </c>
      <c r="J137" s="552">
        <f>H137/DAY(B2)</f>
        <v>-2.7660000000001066</v>
      </c>
      <c r="N137" s="718"/>
      <c r="O137" s="725"/>
      <c r="P137" s="382"/>
    </row>
    <row r="138" spans="1:16" ht="27.75">
      <c r="A138" s="1197" t="s">
        <v>245</v>
      </c>
      <c r="B138" s="1198"/>
      <c r="C138" s="1198"/>
      <c r="D138" s="523" t="s">
        <v>238</v>
      </c>
      <c r="E138" s="484">
        <f>'14'!F138</f>
        <v>25051.82</v>
      </c>
      <c r="F138" s="651">
        <v>25051.82</v>
      </c>
      <c r="G138" s="473">
        <f t="shared" si="15"/>
        <v>0</v>
      </c>
      <c r="H138" s="460">
        <f>G138+'14'!H138</f>
        <v>-39.569999999999709</v>
      </c>
      <c r="I138" s="480"/>
      <c r="J138" s="552">
        <f>H138/DAY(B2)</f>
        <v>-2.6379999999999808</v>
      </c>
      <c r="N138" s="718"/>
      <c r="O138" s="725"/>
      <c r="P138" s="382"/>
    </row>
    <row r="139" spans="1:16" ht="27.75">
      <c r="A139" s="1197" t="s">
        <v>246</v>
      </c>
      <c r="B139" s="1198"/>
      <c r="C139" s="1198"/>
      <c r="D139" s="523" t="s">
        <v>238</v>
      </c>
      <c r="E139" s="484">
        <f>'14'!F139</f>
        <v>70460.649999999994</v>
      </c>
      <c r="F139" s="651">
        <v>70470.63</v>
      </c>
      <c r="G139" s="473">
        <f t="shared" si="15"/>
        <v>9.9800000000104774</v>
      </c>
      <c r="H139" s="460">
        <f>G139+'14'!H139</f>
        <v>-42.989999999990687</v>
      </c>
      <c r="I139" s="480">
        <f>G138+G139</f>
        <v>9.9800000000104774</v>
      </c>
      <c r="J139" s="552">
        <f>H139/DAY(B2)</f>
        <v>-2.8659999999993793</v>
      </c>
      <c r="N139" s="718"/>
      <c r="O139" s="725"/>
      <c r="P139" s="382"/>
    </row>
    <row r="140" spans="1:16" ht="27.75">
      <c r="A140" s="1197" t="s">
        <v>247</v>
      </c>
      <c r="B140" s="1198"/>
      <c r="C140" s="1198"/>
      <c r="D140" s="523" t="s">
        <v>238</v>
      </c>
      <c r="E140" s="484">
        <f>'14'!F140</f>
        <v>1962.31</v>
      </c>
      <c r="F140" s="626">
        <v>1972.72</v>
      </c>
      <c r="G140" s="473">
        <f t="shared" si="15"/>
        <v>10.410000000000082</v>
      </c>
      <c r="H140" s="460">
        <f>G140+'14'!H140</f>
        <v>-156.45999999999981</v>
      </c>
      <c r="I140" s="542"/>
      <c r="J140" s="552">
        <f>H140/DAY(B2)</f>
        <v>-10.430666666666655</v>
      </c>
      <c r="N140" s="718"/>
      <c r="O140" s="725"/>
      <c r="P140" s="382"/>
    </row>
    <row r="141" spans="1:16" ht="27.75">
      <c r="A141" s="1197" t="s">
        <v>248</v>
      </c>
      <c r="B141" s="1198"/>
      <c r="C141" s="1198"/>
      <c r="D141" s="523" t="s">
        <v>238</v>
      </c>
      <c r="E141" s="484">
        <f>'14'!F141</f>
        <v>4636.88</v>
      </c>
      <c r="F141" s="478">
        <v>4636.88</v>
      </c>
      <c r="G141" s="473">
        <f t="shared" si="15"/>
        <v>0</v>
      </c>
      <c r="H141" s="460">
        <f>G141+'14'!H141</f>
        <v>-0.11999999999989086</v>
      </c>
      <c r="I141" s="542"/>
      <c r="J141" s="552">
        <f>H141/DAY(B2)</f>
        <v>-7.9999999999927247E-3</v>
      </c>
      <c r="N141" s="718"/>
      <c r="O141" s="725"/>
      <c r="P141" s="382"/>
    </row>
    <row r="142" spans="1:16">
      <c r="A142" s="1562" t="s">
        <v>249</v>
      </c>
      <c r="B142" s="1563"/>
      <c r="C142" s="1203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4939</v>
      </c>
      <c r="H143" s="460">
        <f>G143+'14'!H143</f>
        <v>-83323.67</v>
      </c>
      <c r="I143" s="480"/>
      <c r="J143" s="552">
        <f>H143/DAY(B2)</f>
        <v>-5554.9113333333335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0.22972093023255813</v>
      </c>
      <c r="H144" s="460">
        <f>G144+'14'!H144</f>
        <v>-3.8712040167549846</v>
      </c>
      <c r="I144" s="544"/>
      <c r="J144" s="552">
        <f>H144/DAY(B2)</f>
        <v>-0.25808026778366566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5200</v>
      </c>
      <c r="H145" s="460">
        <f>G145+'14'!H145</f>
        <v>-92393.889999999985</v>
      </c>
      <c r="I145" s="480"/>
      <c r="J145" s="552">
        <f>H145/DAY(B2)</f>
        <v>-6159.5926666666655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0.24186046511627907</v>
      </c>
      <c r="H146" s="460">
        <f>G146+'14'!H146</f>
        <v>-4.2980978537715409</v>
      </c>
      <c r="I146" s="544"/>
      <c r="J146" s="552">
        <f>H146/DAY(B2)</f>
        <v>-0.28653985691810274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2893</v>
      </c>
      <c r="H147" s="460">
        <f>G147+'14'!H147</f>
        <v>-53255</v>
      </c>
      <c r="I147" s="545"/>
      <c r="J147" s="552">
        <f>H147/DAY(B2)</f>
        <v>-3550.3333333333335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0.13455813953488371</v>
      </c>
      <c r="H148" s="460">
        <f>G148+'14'!H148</f>
        <v>-2.4737917592513079</v>
      </c>
      <c r="I148" s="545"/>
      <c r="J148" s="552">
        <f>H148/DAY(B2)</f>
        <v>-0.16491945061675387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1253.9300000000512</v>
      </c>
      <c r="H149" s="460">
        <f>G149+'14'!H149</f>
        <v>-23076</v>
      </c>
      <c r="I149" s="480"/>
      <c r="J149" s="552">
        <f>H149/DAY(B2)</f>
        <v>-1538.4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5.832232558139773E-2</v>
      </c>
      <c r="H150" s="460">
        <f>G150+'14'!H150</f>
        <v>-1.0730920417657275</v>
      </c>
      <c r="I150" s="545"/>
      <c r="J150" s="552">
        <f>H150/DAY(B2)</f>
        <v>-7.1539469451048499E-2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1676</v>
      </c>
      <c r="H151" s="460">
        <f>G151+'14'!H151</f>
        <v>-29484</v>
      </c>
      <c r="I151" s="545"/>
      <c r="J151" s="552">
        <f>H151/DAY(B2)</f>
        <v>-1965.6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7.7953488372093024E-2</v>
      </c>
      <c r="H152" s="460">
        <f>G152+'14'!H152</f>
        <v>-1.3718874222255197</v>
      </c>
      <c r="I152" s="480"/>
      <c r="J152" s="552">
        <f>H152/DAY(B2)</f>
        <v>-9.1459161481701315E-2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1405</v>
      </c>
      <c r="H153" s="460">
        <f>G153+'14'!H153</f>
        <v>-22075.130000000005</v>
      </c>
      <c r="I153" s="480"/>
      <c r="J153" s="552">
        <f>H153/DAY(B2)</f>
        <v>-1471.6753333333336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6.5348837209302332E-2</v>
      </c>
      <c r="H154" s="460">
        <f>G154+'14'!H154</f>
        <v>-1.0253510028618862</v>
      </c>
      <c r="I154" s="568"/>
      <c r="J154" s="569">
        <f>H154/DAY(B2)</f>
        <v>-6.8356733524125746E-2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'14'!F161</f>
        <v>39560</v>
      </c>
      <c r="F161" s="803">
        <v>39641</v>
      </c>
      <c r="G161" s="473">
        <f t="shared" ref="G161:G164" si="16">F161-E161</f>
        <v>81</v>
      </c>
      <c r="N161" s="718"/>
    </row>
    <row r="162" spans="1:14" ht="21.75" customHeight="1">
      <c r="A162" s="794" t="s">
        <v>263</v>
      </c>
      <c r="B162" s="795"/>
      <c r="C162" s="795"/>
      <c r="D162" s="620" t="s">
        <v>186</v>
      </c>
      <c r="E162" s="522">
        <f>'14'!F162</f>
        <v>100606</v>
      </c>
      <c r="F162" s="803">
        <v>101054</v>
      </c>
      <c r="G162" s="473">
        <f t="shared" si="16"/>
        <v>448</v>
      </c>
      <c r="N162" s="718"/>
    </row>
    <row r="163" spans="1:14" ht="21.75" customHeight="1">
      <c r="A163" s="794" t="s">
        <v>264</v>
      </c>
      <c r="B163" s="795"/>
      <c r="C163" s="795"/>
      <c r="D163" s="620" t="s">
        <v>186</v>
      </c>
      <c r="E163" s="522">
        <f>'14'!F163</f>
        <v>47858</v>
      </c>
      <c r="F163" s="803">
        <v>48067</v>
      </c>
      <c r="G163" s="473">
        <f t="shared" si="16"/>
        <v>209</v>
      </c>
      <c r="N163" s="718"/>
    </row>
    <row r="164" spans="1:14" ht="21.75" customHeight="1">
      <c r="A164" s="794" t="s">
        <v>265</v>
      </c>
      <c r="B164" s="795"/>
      <c r="C164" s="795"/>
      <c r="D164" s="620" t="s">
        <v>186</v>
      </c>
      <c r="E164" s="522">
        <f>'14'!F164</f>
        <v>6689</v>
      </c>
      <c r="F164" s="803">
        <v>6700</v>
      </c>
      <c r="G164" s="473">
        <f t="shared" si="16"/>
        <v>11</v>
      </c>
      <c r="N164" s="718"/>
    </row>
    <row r="165" spans="1:14" ht="21.75" customHeight="1">
      <c r="A165" s="796" t="s">
        <v>97</v>
      </c>
      <c r="B165" s="797"/>
      <c r="C165" s="797"/>
      <c r="D165" s="620" t="s">
        <v>186</v>
      </c>
      <c r="E165" s="514">
        <f>E62</f>
        <v>20419</v>
      </c>
      <c r="F165" s="514">
        <f>F62</f>
        <v>20419.18</v>
      </c>
      <c r="G165" s="473">
        <f t="shared" ref="G165:G174" si="17">F165-E165</f>
        <v>0.18000000000029104</v>
      </c>
      <c r="N165" s="718"/>
    </row>
    <row r="166" spans="1:14" ht="21.75" customHeight="1">
      <c r="A166" s="796" t="s">
        <v>187</v>
      </c>
      <c r="B166" s="797"/>
      <c r="C166" s="797"/>
      <c r="D166" s="620" t="s">
        <v>186</v>
      </c>
      <c r="E166" s="514">
        <f t="shared" ref="E166:E172" si="18">E63</f>
        <v>0</v>
      </c>
      <c r="F166" s="514">
        <v>2415</v>
      </c>
      <c r="G166" s="473">
        <f t="shared" si="17"/>
        <v>2415</v>
      </c>
      <c r="N166" s="718"/>
    </row>
    <row r="167" spans="1:14" ht="21.75" customHeight="1">
      <c r="A167" s="1612" t="s">
        <v>98</v>
      </c>
      <c r="B167" s="1612"/>
      <c r="C167" s="1612"/>
      <c r="D167" s="524" t="s">
        <v>186</v>
      </c>
      <c r="E167" s="514">
        <f t="shared" si="18"/>
        <v>164066</v>
      </c>
      <c r="F167" s="514">
        <f t="shared" ref="F167:F172" si="19">F64</f>
        <v>164442</v>
      </c>
      <c r="G167" s="473">
        <f t="shared" si="17"/>
        <v>376</v>
      </c>
      <c r="N167" s="718"/>
    </row>
    <row r="168" spans="1:14" ht="21.75" customHeight="1">
      <c r="A168" s="1612" t="s">
        <v>99</v>
      </c>
      <c r="B168" s="1612"/>
      <c r="C168" s="1612"/>
      <c r="D168" s="524" t="s">
        <v>186</v>
      </c>
      <c r="E168" s="514">
        <f t="shared" si="18"/>
        <v>164738</v>
      </c>
      <c r="F168" s="514">
        <f t="shared" si="19"/>
        <v>164888</v>
      </c>
      <c r="G168" s="473">
        <f t="shared" si="17"/>
        <v>150</v>
      </c>
      <c r="N168" s="718"/>
    </row>
    <row r="169" spans="1:14" ht="21.75" customHeight="1">
      <c r="A169" s="1612" t="s">
        <v>100</v>
      </c>
      <c r="B169" s="1612"/>
      <c r="C169" s="1612"/>
      <c r="D169" s="524" t="s">
        <v>186</v>
      </c>
      <c r="E169" s="514">
        <f t="shared" si="18"/>
        <v>61756</v>
      </c>
      <c r="F169" s="514">
        <f t="shared" si="19"/>
        <v>62024</v>
      </c>
      <c r="G169" s="473">
        <f t="shared" si="17"/>
        <v>268</v>
      </c>
      <c r="N169" s="718"/>
    </row>
    <row r="170" spans="1:14" ht="23.25" customHeight="1">
      <c r="A170" s="1612" t="s">
        <v>101</v>
      </c>
      <c r="B170" s="1612"/>
      <c r="C170" s="1612"/>
      <c r="D170" s="524" t="s">
        <v>186</v>
      </c>
      <c r="E170" s="514">
        <f t="shared" si="18"/>
        <v>257836</v>
      </c>
      <c r="F170" s="514">
        <f t="shared" si="19"/>
        <v>258242</v>
      </c>
      <c r="G170" s="473">
        <f t="shared" si="17"/>
        <v>406</v>
      </c>
      <c r="N170" s="718"/>
    </row>
    <row r="171" spans="1:14" ht="24" customHeight="1">
      <c r="A171" s="1612" t="s">
        <v>102</v>
      </c>
      <c r="B171" s="1612"/>
      <c r="C171" s="1612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14">
        <f t="shared" si="18"/>
        <v>83730</v>
      </c>
      <c r="F172" s="514">
        <f t="shared" si="19"/>
        <v>83932</v>
      </c>
      <c r="G172" s="473">
        <f t="shared" si="17"/>
        <v>202</v>
      </c>
      <c r="N172" s="718"/>
    </row>
    <row r="173" spans="1:14">
      <c r="A173" s="1587" t="s">
        <v>352</v>
      </c>
      <c r="B173" s="1550"/>
      <c r="C173" s="785"/>
      <c r="D173" s="523" t="s">
        <v>186</v>
      </c>
      <c r="E173" s="532">
        <v>189285</v>
      </c>
      <c r="F173" s="532">
        <v>189324</v>
      </c>
      <c r="G173" s="473">
        <f t="shared" si="17"/>
        <v>39</v>
      </c>
      <c r="N173" s="718"/>
    </row>
    <row r="174" spans="1:14">
      <c r="A174" s="1587" t="s">
        <v>353</v>
      </c>
      <c r="B174" s="1550"/>
      <c r="C174" s="785"/>
      <c r="D174" s="523" t="s">
        <v>186</v>
      </c>
      <c r="E174" s="532">
        <v>38246</v>
      </c>
      <c r="F174" s="532">
        <v>38345</v>
      </c>
      <c r="G174" s="473">
        <f t="shared" si="17"/>
        <v>99</v>
      </c>
      <c r="N174" s="718"/>
    </row>
    <row r="175" spans="1:14">
      <c r="N175" s="718"/>
    </row>
    <row r="176" spans="1:14">
      <c r="N176" s="718"/>
    </row>
    <row r="177" spans="14:14" ht="18.75" customHeight="1">
      <c r="N177" s="718"/>
    </row>
    <row r="178" spans="14:14" ht="27" customHeight="1">
      <c r="N178" s="718"/>
    </row>
    <row r="179" spans="14:14" ht="27" customHeight="1">
      <c r="N179" s="718"/>
    </row>
    <row r="180" spans="14:14" ht="27" customHeight="1">
      <c r="N180" s="718"/>
    </row>
    <row r="181" spans="14:14" ht="27" customHeight="1">
      <c r="N181" s="718"/>
    </row>
    <row r="182" spans="14:14" ht="27" customHeight="1">
      <c r="N182" s="718"/>
    </row>
    <row r="183" spans="14:14" ht="27" customHeight="1">
      <c r="N183" s="718"/>
    </row>
    <row r="184" spans="14:14" ht="27" customHeight="1">
      <c r="N184" s="718"/>
    </row>
    <row r="185" spans="14:14" ht="27" customHeight="1">
      <c r="N185" s="718"/>
    </row>
    <row r="186" spans="14:14" ht="27" customHeight="1">
      <c r="N186" s="718"/>
    </row>
    <row r="187" spans="14:14" ht="27" customHeight="1">
      <c r="N187" s="718"/>
    </row>
    <row r="188" spans="14:14" ht="27" customHeight="1">
      <c r="N188" s="718"/>
    </row>
    <row r="189" spans="14:14" ht="27" customHeight="1">
      <c r="N189" s="718"/>
    </row>
    <row r="190" spans="14:14" ht="27" customHeight="1">
      <c r="N190" s="718"/>
    </row>
    <row r="191" spans="14:14" ht="27" customHeight="1">
      <c r="N191" s="718"/>
    </row>
    <row r="192" spans="14:14" ht="27" customHeight="1">
      <c r="N192" s="718"/>
    </row>
    <row r="193" spans="14:14" ht="27" customHeight="1">
      <c r="N193" s="718"/>
    </row>
    <row r="194" spans="14:14" ht="27" customHeight="1">
      <c r="N194" s="718"/>
    </row>
    <row r="195" spans="14:14" ht="27" customHeight="1">
      <c r="N195" s="718"/>
    </row>
    <row r="196" spans="14:14" ht="27" customHeight="1">
      <c r="N196" s="718"/>
    </row>
    <row r="197" spans="14:14" ht="27" customHeight="1">
      <c r="N197" s="718"/>
    </row>
    <row r="198" spans="14:14" ht="27" customHeight="1">
      <c r="N198" s="718"/>
    </row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91" zoomScale="55" zoomScaleNormal="90" zoomScaleSheetLayoutView="55" workbookViewId="0">
      <selection activeCell="F15" sqref="F15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3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361</v>
      </c>
      <c r="B2" s="1031">
        <v>44363</v>
      </c>
      <c r="C2" s="1212" t="s">
        <v>68</v>
      </c>
      <c r="D2" s="611">
        <v>0.52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212" t="s">
        <v>119</v>
      </c>
      <c r="D3" s="612">
        <v>30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212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'15'!F7</f>
        <v>244295.56</v>
      </c>
      <c r="F7" s="455">
        <f>E7+21500</f>
        <v>265795.56</v>
      </c>
      <c r="G7" s="678">
        <f>F7-E7</f>
        <v>21500</v>
      </c>
      <c r="H7" s="679">
        <f>G7+'15'!H7</f>
        <v>343842.56000000006</v>
      </c>
      <c r="I7" s="680">
        <f>'1'!I7</f>
        <v>12000</v>
      </c>
      <c r="J7" s="681">
        <f>H7/DAY(B2)</f>
        <v>21490.160000000003</v>
      </c>
      <c r="K7" s="549">
        <f>'1'!E7-'16'!F7</f>
        <v>656157.43999999994</v>
      </c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'15'!F8</f>
        <v>249953.78999999998</v>
      </c>
      <c r="F8" s="475">
        <f>E8+21500</f>
        <v>271453.78999999998</v>
      </c>
      <c r="G8" s="689">
        <f>F8-E8</f>
        <v>21500</v>
      </c>
      <c r="H8" s="679">
        <f>G8+'15'!H8</f>
        <v>344731.79</v>
      </c>
      <c r="I8" s="686">
        <f>'1'!I8</f>
        <v>12000</v>
      </c>
      <c r="J8" s="681">
        <f>H8/DAY(B2)</f>
        <v>21545.736874999999</v>
      </c>
      <c r="K8" s="549">
        <f>'1'!E8-'16'!F8</f>
        <v>655268.21</v>
      </c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'15'!F9</f>
        <v>1731422</v>
      </c>
      <c r="F9" s="478">
        <v>1749237.5</v>
      </c>
      <c r="G9" s="702">
        <f t="shared" ref="G9:G12" si="0">F9-E9</f>
        <v>17815.5</v>
      </c>
      <c r="H9" s="679">
        <f>G9+'15'!H9</f>
        <v>-281764.5</v>
      </c>
      <c r="I9" s="690">
        <f>I7-J7</f>
        <v>-9490.1600000000035</v>
      </c>
      <c r="J9" s="681">
        <f>H9/DAY(B2)</f>
        <v>-17610.28125</v>
      </c>
      <c r="K9" s="428">
        <f>'1'!E9-'16'!F9</f>
        <v>281764.5</v>
      </c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'15'!F10</f>
        <v>2606.5500000000002</v>
      </c>
      <c r="F10" s="478">
        <v>2606.85</v>
      </c>
      <c r="G10" s="689">
        <f t="shared" si="0"/>
        <v>0.29999999999972715</v>
      </c>
      <c r="H10" s="679">
        <f>G10+'15'!H10</f>
        <v>0.29999999999972715</v>
      </c>
      <c r="I10" s="691"/>
      <c r="J10" s="681">
        <f>H10/DAY(B2)</f>
        <v>1.8749999999982947E-2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G11+'15'!H11</f>
        <v>0</v>
      </c>
      <c r="I11" s="691"/>
      <c r="J11" s="681">
        <f>H11/DAY(B2)</f>
        <v>0</v>
      </c>
      <c r="K11" s="428"/>
      <c r="L11" s="377"/>
      <c r="N11" s="718">
        <f>G8-G10</f>
        <v>21499.7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G12+'15'!H12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17815.8</v>
      </c>
      <c r="H13" s="679">
        <f>G13+'15'!H13</f>
        <v>-298289.2</v>
      </c>
      <c r="I13" s="695">
        <f>G7-G13</f>
        <v>3684.2000000000007</v>
      </c>
      <c r="J13" s="681">
        <f>H13/DAY(B2)</f>
        <v>-18643.075000000001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'15'!F15</f>
        <v>1714767.16</v>
      </c>
      <c r="F15" s="700">
        <f>E15+700</f>
        <v>1715467.16</v>
      </c>
      <c r="G15" s="664">
        <f>(F15-E15)</f>
        <v>700</v>
      </c>
      <c r="H15" s="486">
        <f>G15+'15'!H15</f>
        <v>11784.159999999916</v>
      </c>
      <c r="I15" s="474">
        <f>'1'!I15</f>
        <v>800</v>
      </c>
      <c r="J15" s="553">
        <f>H15/DAY(B2)</f>
        <v>736.50999999999476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 t="s">
        <v>271</v>
      </c>
      <c r="G16" s="669"/>
      <c r="H16" s="486"/>
      <c r="I16" s="482">
        <f>I15-J15</f>
        <v>63.490000000005239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'15'!F18</f>
        <v>8</v>
      </c>
      <c r="F18" s="478">
        <v>3</v>
      </c>
      <c r="G18" s="694">
        <f>F18*10</f>
        <v>30</v>
      </c>
      <c r="H18" s="679">
        <f>G18+'15'!H18</f>
        <v>1510</v>
      </c>
      <c r="I18" s="680">
        <f>'1'!I18</f>
        <v>65</v>
      </c>
      <c r="J18" s="681">
        <f>H18/DAY(B2)</f>
        <v>94.375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'15'!F19</f>
        <v>140557</v>
      </c>
      <c r="F19" s="478">
        <v>140619</v>
      </c>
      <c r="G19" s="689">
        <f t="shared" ref="G19" si="1">F19-E19</f>
        <v>62</v>
      </c>
      <c r="H19" s="679">
        <f>G19+'15'!H19</f>
        <v>-876</v>
      </c>
      <c r="I19" s="696"/>
      <c r="J19" s="681">
        <f>H19/DAY(B2)</f>
        <v>-54.75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92</v>
      </c>
      <c r="H20" s="679">
        <f>G20+'15'!H20</f>
        <v>634</v>
      </c>
      <c r="I20" s="698">
        <f>I18-J20</f>
        <v>25.375</v>
      </c>
      <c r="J20" s="681">
        <f>H20/DAY(B2)</f>
        <v>39.625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205" t="s">
        <v>146</v>
      </c>
      <c r="B22" s="589"/>
      <c r="C22" s="589"/>
      <c r="D22" s="523" t="s">
        <v>147</v>
      </c>
      <c r="E22" s="634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205" t="s">
        <v>148</v>
      </c>
      <c r="B23" s="589"/>
      <c r="C23" s="589"/>
      <c r="D23" s="523" t="s">
        <v>147</v>
      </c>
      <c r="E23" s="634">
        <f>'15'!F23</f>
        <v>2000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'15'!F24</f>
        <v>4970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G27+'15'!H27</f>
        <v>3102586.11</v>
      </c>
      <c r="I27" s="503"/>
      <c r="J27" s="552">
        <f>H27/DAY(B2)</f>
        <v>193911.63187499999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G28+'15'!H28</f>
        <v>612776.31999999564</v>
      </c>
      <c r="I28" s="505"/>
      <c r="J28" s="552">
        <f>H28/DAY(B2)</f>
        <v>38298.519999999728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62</v>
      </c>
      <c r="F30" s="501">
        <v>146</v>
      </c>
      <c r="G30" s="502">
        <f>E30*F30</f>
        <v>9052</v>
      </c>
      <c r="H30" s="460">
        <f>G30+'15'!H30</f>
        <v>-128480</v>
      </c>
      <c r="I30" s="505"/>
      <c r="J30" s="552">
        <f>H30/DAY(B2)</f>
        <v>-8030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30</v>
      </c>
      <c r="F31" s="501">
        <v>80</v>
      </c>
      <c r="G31" s="502">
        <f>E31*F31</f>
        <v>2400</v>
      </c>
      <c r="H31" s="460">
        <f>G31+'15'!H31</f>
        <v>115200</v>
      </c>
      <c r="I31" s="505"/>
      <c r="J31" s="552"/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241352</v>
      </c>
      <c r="H32" s="460">
        <f>G32+'15'!H32</f>
        <v>3702082.429999995</v>
      </c>
      <c r="I32" s="509"/>
      <c r="J32" s="552">
        <f>H32/DAY(B2)</f>
        <v>231380.15187499969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207"/>
      <c r="C34" s="1207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'15'!F35</f>
        <v>986946</v>
      </c>
      <c r="F35" s="510">
        <v>989448.79</v>
      </c>
      <c r="G35" s="473">
        <f t="shared" ref="G35:G46" si="3">F35-E35</f>
        <v>2502.7900000000373</v>
      </c>
      <c r="H35" s="460">
        <f>G35+'15'!H35</f>
        <v>-39265.209999999963</v>
      </c>
      <c r="I35" s="455"/>
      <c r="J35" s="552">
        <f>H35/DAY(B2)</f>
        <v>-2454.0756249999977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'15'!F36</f>
        <v>8823</v>
      </c>
      <c r="F36" s="510">
        <v>9636.1200000000008</v>
      </c>
      <c r="G36" s="473">
        <f t="shared" si="3"/>
        <v>813.1200000000008</v>
      </c>
      <c r="H36" s="460">
        <f>G36+'15'!H36</f>
        <v>-10824.88</v>
      </c>
      <c r="I36" s="455"/>
      <c r="J36" s="552">
        <f>H36/DAY(B2)</f>
        <v>-676.55499999999995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'15'!F37</f>
        <v>154495</v>
      </c>
      <c r="F37" s="510">
        <v>155919.93</v>
      </c>
      <c r="G37" s="473">
        <f t="shared" si="3"/>
        <v>1424.929999999993</v>
      </c>
      <c r="H37" s="460">
        <f>G37+'15'!H37</f>
        <v>-20650.070000000007</v>
      </c>
      <c r="I37" s="455"/>
      <c r="J37" s="552">
        <f>H37/DAY(B2)</f>
        <v>-1290.6293750000004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'15'!F38</f>
        <v>175383</v>
      </c>
      <c r="F38" s="469">
        <v>176614.31</v>
      </c>
      <c r="G38" s="473">
        <f t="shared" si="3"/>
        <v>1231.3099999999977</v>
      </c>
      <c r="H38" s="460">
        <f>G38+'15'!H38</f>
        <v>-21844.690000000002</v>
      </c>
      <c r="I38" s="455"/>
      <c r="J38" s="552">
        <f>H38/DAY(B2)</f>
        <v>-1365.2931250000001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'15'!F39</f>
        <v>351609</v>
      </c>
      <c r="F39" s="510">
        <v>354781.9</v>
      </c>
      <c r="G39" s="473">
        <f t="shared" si="3"/>
        <v>3172.9000000000233</v>
      </c>
      <c r="H39" s="460">
        <f>G39+'15'!H39</f>
        <v>-50082.099999999977</v>
      </c>
      <c r="I39" s="455"/>
      <c r="J39" s="552">
        <f>H39/DAY(B2)</f>
        <v>-3130.1312499999985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'15'!F40</f>
        <v>1678</v>
      </c>
      <c r="F40" s="510">
        <v>1797.94</v>
      </c>
      <c r="G40" s="473">
        <f t="shared" si="3"/>
        <v>119.94000000000005</v>
      </c>
      <c r="H40" s="460">
        <f>G40+'15'!H40</f>
        <v>-5315.0599999999995</v>
      </c>
      <c r="I40" s="455"/>
      <c r="J40" s="552">
        <f>H40/DAY(B2)</f>
        <v>-332.19124999999997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'15'!F41</f>
        <v>284526</v>
      </c>
      <c r="F41" s="510">
        <v>289890.65000000002</v>
      </c>
      <c r="G41" s="473">
        <f t="shared" si="3"/>
        <v>5364.6500000000233</v>
      </c>
      <c r="H41" s="460">
        <f>G41+'15'!H41</f>
        <v>-39751.349999999977</v>
      </c>
      <c r="I41" s="455"/>
      <c r="J41" s="552">
        <f>H41/DAY(B2)</f>
        <v>-2484.4593749999985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'15'!F42</f>
        <v>59211</v>
      </c>
      <c r="F42" s="510">
        <v>59210.080000000002</v>
      </c>
      <c r="G42" s="473">
        <f>F42-E42</f>
        <v>-0.91999999999825377</v>
      </c>
      <c r="H42" s="460">
        <f>G42+'15'!H42</f>
        <v>11.190000000002328</v>
      </c>
      <c r="I42" s="455"/>
      <c r="J42" s="552">
        <f>H42/DAY(B2)</f>
        <v>0.69937500000014552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'15'!F43</f>
        <v>1078896</v>
      </c>
      <c r="F43" s="510">
        <v>1081331</v>
      </c>
      <c r="G43" s="473">
        <f t="shared" si="3"/>
        <v>2435</v>
      </c>
      <c r="H43" s="460">
        <f>G43+'15'!H43</f>
        <v>-39121</v>
      </c>
      <c r="I43" s="455"/>
      <c r="J43" s="552">
        <f>H43/DAY(B2)</f>
        <v>-2445.0625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17063.720000000078</v>
      </c>
      <c r="H47" s="460">
        <f>G47+'15'!H47</f>
        <v>-226041.67999999988</v>
      </c>
      <c r="I47" s="455"/>
      <c r="J47" s="552">
        <f>H47/DAY(B2)</f>
        <v>-14127.604999999992</v>
      </c>
      <c r="K47" s="428"/>
      <c r="L47" s="377"/>
      <c r="N47" s="718"/>
      <c r="O47" s="725"/>
      <c r="P47" s="382"/>
    </row>
    <row r="48" spans="1:16">
      <c r="A48" s="598" t="s">
        <v>176</v>
      </c>
      <c r="B48" s="1207"/>
      <c r="C48" s="1207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'15'!F50</f>
        <v>516817</v>
      </c>
      <c r="F50" s="1055">
        <v>517920.87</v>
      </c>
      <c r="G50" s="473">
        <f t="shared" si="4"/>
        <v>1103.8699999999953</v>
      </c>
      <c r="H50" s="460">
        <f>G50+'15'!H50</f>
        <v>-17632.130000000005</v>
      </c>
      <c r="I50" s="455"/>
      <c r="J50" s="552">
        <f>H50/DAY(B2)</f>
        <v>-1102.0081250000003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'15'!F52</f>
        <v>539606</v>
      </c>
      <c r="F52" s="510">
        <v>539606.06999999995</v>
      </c>
      <c r="G52" s="473">
        <f t="shared" si="4"/>
        <v>6.9999999948777258E-2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'15'!F53</f>
        <v>434232</v>
      </c>
      <c r="F53" s="510">
        <v>434231.59</v>
      </c>
      <c r="G53" s="473">
        <f t="shared" si="4"/>
        <v>-0.40999999997438863</v>
      </c>
      <c r="H53" s="460">
        <f>G53+'15'!H53</f>
        <v>-0.73999999999068677</v>
      </c>
      <c r="I53" s="455"/>
      <c r="J53" s="552">
        <f>H53/DAY(B2)</f>
        <v>-4.6249999999417923E-2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'15'!F54</f>
        <v>14967</v>
      </c>
      <c r="F54" s="510">
        <v>14967.27</v>
      </c>
      <c r="G54" s="473">
        <f t="shared" si="4"/>
        <v>0.27000000000043656</v>
      </c>
      <c r="H54" s="460">
        <f>G54+'15'!H54</f>
        <v>-78.729999999999563</v>
      </c>
      <c r="I54" s="455"/>
      <c r="J54" s="552">
        <f>H54/DAY(B2)</f>
        <v>-4.9206249999999727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'15'!F55</f>
        <v>70500</v>
      </c>
      <c r="F55" s="653">
        <v>70500.009999999995</v>
      </c>
      <c r="G55" s="652">
        <f t="shared" si="4"/>
        <v>9.9999999947613105E-3</v>
      </c>
      <c r="H55" s="705">
        <f>G55+'15'!H55</f>
        <v>-47135.990000000005</v>
      </c>
      <c r="I55" s="706"/>
      <c r="J55" s="707">
        <f>H55/DAY(B2)</f>
        <v>-2945.9993750000003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'15'!F56</f>
        <v>648878</v>
      </c>
      <c r="F56" s="653">
        <v>648888.51</v>
      </c>
      <c r="G56" s="473">
        <f t="shared" si="4"/>
        <v>10.510000000009313</v>
      </c>
      <c r="H56" s="460">
        <f>G56+'15'!H56</f>
        <v>-143.48999999999069</v>
      </c>
      <c r="I56" s="455"/>
      <c r="J56" s="552">
        <f>H56/DAY(B2)</f>
        <v>-8.9681249999994179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'15'!F58</f>
        <v>51500</v>
      </c>
      <c r="F58" s="653">
        <v>51517.11</v>
      </c>
      <c r="G58" s="473">
        <f t="shared" si="4"/>
        <v>17.110000000000582</v>
      </c>
      <c r="H58" s="460">
        <f>G58+'15'!H58</f>
        <v>-2708.0999999999985</v>
      </c>
      <c r="I58" s="455"/>
      <c r="J58" s="552">
        <f>H58/DAY(B2)</f>
        <v>-169.25624999999991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1131.5599999999795</v>
      </c>
      <c r="H59" s="460">
        <f>G59+'15'!H59</f>
        <v>-67698.780000000042</v>
      </c>
      <c r="I59" s="455">
        <f>G7-G60</f>
        <v>3304.719999999943</v>
      </c>
      <c r="J59" s="552">
        <f>H59/DAY(B2)</f>
        <v>-4231.1737500000027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18195.280000000057</v>
      </c>
      <c r="H60" s="460">
        <f>G60+'15'!H60</f>
        <v>-292531.92000000004</v>
      </c>
      <c r="I60" s="455">
        <f>G13-G60</f>
        <v>-379.48000000005777</v>
      </c>
      <c r="J60" s="552">
        <f>H60/DAY(B2)</f>
        <v>-18283.245000000003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0.18199999999706051</v>
      </c>
      <c r="I62" s="515"/>
      <c r="J62" s="552">
        <f>H62/DAY(B2)</f>
        <v>1.1374999999816282E-2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'15'!F63</f>
        <v>0</v>
      </c>
      <c r="F63" s="514">
        <v>0</v>
      </c>
      <c r="G63" s="473">
        <f t="shared" si="5"/>
        <v>0</v>
      </c>
      <c r="H63" s="460">
        <f>G63+'15'!H63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1229">
        <f>'15'!F64</f>
        <v>164442</v>
      </c>
      <c r="F64" s="626">
        <v>164857.35</v>
      </c>
      <c r="G64" s="773">
        <f t="shared" si="5"/>
        <v>415.35000000000582</v>
      </c>
      <c r="H64" s="460">
        <f>G64+'15'!H64</f>
        <v>-5164.6499999999942</v>
      </c>
      <c r="I64" s="480"/>
      <c r="J64" s="552">
        <f>H64/DAY(B2)</f>
        <v>-322.79062499999964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'15'!F65</f>
        <v>164888</v>
      </c>
      <c r="F65" s="651">
        <v>165153.25</v>
      </c>
      <c r="G65" s="473">
        <f t="shared" si="5"/>
        <v>265.25</v>
      </c>
      <c r="H65" s="460">
        <f>G65+'15'!H65</f>
        <v>-5148.75</v>
      </c>
      <c r="I65" s="489"/>
      <c r="J65" s="552">
        <f>H65/DAY(B2)</f>
        <v>-321.796875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'15'!F66</f>
        <v>62024</v>
      </c>
      <c r="F66" s="478">
        <v>62324.23</v>
      </c>
      <c r="G66" s="473">
        <f t="shared" si="5"/>
        <v>300.2300000000032</v>
      </c>
      <c r="H66" s="460">
        <f>G66+'15'!H66</f>
        <v>-5645.7699999999968</v>
      </c>
      <c r="I66" s="480"/>
      <c r="J66" s="552">
        <f>H66/DAY(B2)</f>
        <v>-352.8606249999998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'15'!F67</f>
        <v>258242</v>
      </c>
      <c r="F67" s="478">
        <v>258634.39</v>
      </c>
      <c r="G67" s="473">
        <f t="shared" si="5"/>
        <v>392.39000000001397</v>
      </c>
      <c r="H67" s="460">
        <f>G67+'15'!H67</f>
        <v>-6324.609999999986</v>
      </c>
      <c r="I67" s="489"/>
      <c r="J67" s="552">
        <f>H67/DAY(B2)</f>
        <v>-395.28812499999913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'15'!F69</f>
        <v>83932</v>
      </c>
      <c r="F69" s="478">
        <v>84160.27</v>
      </c>
      <c r="G69" s="473">
        <f t="shared" si="5"/>
        <v>228.27000000000407</v>
      </c>
      <c r="H69" s="460">
        <f>G69+'15'!H69</f>
        <v>-3354.7299999999959</v>
      </c>
      <c r="I69" s="516"/>
      <c r="J69" s="552">
        <f>H69/DAY(B2)</f>
        <v>-209.67062499999975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8"/>
      <c r="O70" s="725"/>
      <c r="P70" s="382"/>
    </row>
    <row r="71" spans="1:16" ht="31.5">
      <c r="A71" s="1584"/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'15'!F72</f>
        <v>856040</v>
      </c>
      <c r="F72" s="654">
        <v>856053</v>
      </c>
      <c r="G72" s="473">
        <f t="shared" ref="G72:G84" si="6">F72-E72</f>
        <v>13</v>
      </c>
      <c r="H72" s="460">
        <f>G72+'15'!H72</f>
        <v>-182</v>
      </c>
      <c r="I72" s="480"/>
      <c r="J72" s="552">
        <f>H72/DAY(B2)</f>
        <v>-11.375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'15'!F73</f>
        <v>885955</v>
      </c>
      <c r="F73" s="655">
        <v>885956</v>
      </c>
      <c r="G73" s="652">
        <f t="shared" si="6"/>
        <v>1</v>
      </c>
      <c r="H73" s="460">
        <f>G73+'15'!H73</f>
        <v>-204</v>
      </c>
      <c r="I73" s="480"/>
      <c r="J73" s="552">
        <f>H73/DAY(B2)</f>
        <v>-12.75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'15'!F74</f>
        <v>88680</v>
      </c>
      <c r="F74" s="655">
        <v>88681.8</v>
      </c>
      <c r="G74" s="473">
        <f t="shared" si="6"/>
        <v>1.8000000000029104</v>
      </c>
      <c r="H74" s="460">
        <f>G74+'15'!H74</f>
        <v>-86093.239999999991</v>
      </c>
      <c r="I74" s="480"/>
      <c r="J74" s="552">
        <f>H74/DAY(B2)</f>
        <v>-5380.8274999999994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'15'!F75</f>
        <v>13893</v>
      </c>
      <c r="F75" s="655">
        <v>14026.49</v>
      </c>
      <c r="G75" s="473">
        <f t="shared" si="6"/>
        <v>133.48999999999978</v>
      </c>
      <c r="H75" s="460">
        <f>G75+'15'!H75</f>
        <v>-2044.5100000000002</v>
      </c>
      <c r="I75" s="480"/>
      <c r="J75" s="552">
        <f>H75/DAY(B2)</f>
        <v>-127.78187500000001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'15'!F76</f>
        <v>8293</v>
      </c>
      <c r="F76" s="655">
        <v>8349.7199999999993</v>
      </c>
      <c r="G76" s="473">
        <f t="shared" si="6"/>
        <v>56.719999999999345</v>
      </c>
      <c r="H76" s="460">
        <f>G76+'15'!H76</f>
        <v>-2258.2800000000007</v>
      </c>
      <c r="I76" s="505"/>
      <c r="J76" s="552">
        <f>H76/DAY(B2)</f>
        <v>-141.14250000000004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'15'!F77</f>
        <v>703584</v>
      </c>
      <c r="F77" s="655">
        <v>703642</v>
      </c>
      <c r="G77" s="652">
        <f t="shared" si="6"/>
        <v>58</v>
      </c>
      <c r="H77" s="460">
        <f>G77+'15'!H77</f>
        <v>-732</v>
      </c>
      <c r="I77" s="505"/>
      <c r="J77" s="552">
        <f>H77/DAY(B2)</f>
        <v>-45.75</v>
      </c>
      <c r="K77" s="430"/>
      <c r="L77" s="377"/>
      <c r="N77" s="718"/>
      <c r="O77" s="725"/>
      <c r="P77" s="382"/>
    </row>
    <row r="78" spans="1:16" ht="27.75">
      <c r="A78" s="1208" t="s">
        <v>196</v>
      </c>
      <c r="B78" s="1204"/>
      <c r="C78" s="1204"/>
      <c r="D78" s="523" t="s">
        <v>186</v>
      </c>
      <c r="E78" s="519">
        <f>'15'!F78</f>
        <v>674020</v>
      </c>
      <c r="F78" s="656">
        <v>674088</v>
      </c>
      <c r="G78" s="473">
        <f t="shared" si="6"/>
        <v>68</v>
      </c>
      <c r="H78" s="460">
        <f>G78+'15'!H78</f>
        <v>-1326</v>
      </c>
      <c r="I78" s="505"/>
      <c r="J78" s="552">
        <f>H78/DAY(B2)</f>
        <v>-82.875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'15'!F79</f>
        <v>833206</v>
      </c>
      <c r="F79" s="656">
        <v>833360</v>
      </c>
      <c r="G79" s="473">
        <f t="shared" si="6"/>
        <v>154</v>
      </c>
      <c r="H79" s="460">
        <f>G79+'15'!H79</f>
        <v>-1044</v>
      </c>
      <c r="I79" s="505"/>
      <c r="J79" s="552">
        <f>H79/DAY(B2)</f>
        <v>-65.25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'15'!F80</f>
        <v>533140</v>
      </c>
      <c r="F80" s="1309">
        <v>533536</v>
      </c>
      <c r="G80" s="473">
        <f t="shared" si="6"/>
        <v>396</v>
      </c>
      <c r="H80" s="460">
        <f>G80+'15'!H80</f>
        <v>-1415.5200000000186</v>
      </c>
      <c r="I80" s="505"/>
      <c r="J80" s="552">
        <f>H80/DAY(B2)</f>
        <v>-88.470000000001164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'15'!F81</f>
        <v>640636</v>
      </c>
      <c r="F81" s="655">
        <v>640750.28</v>
      </c>
      <c r="G81" s="473">
        <f t="shared" si="6"/>
        <v>114.28000000002794</v>
      </c>
      <c r="H81" s="460">
        <f>G81+'15'!H81</f>
        <v>-2234.7199999999721</v>
      </c>
      <c r="I81" s="505"/>
      <c r="J81" s="552">
        <f>H81/DAY(B2)</f>
        <v>-139.66999999999825</v>
      </c>
      <c r="K81" s="430"/>
      <c r="L81" s="377"/>
      <c r="N81" s="718"/>
      <c r="O81" s="725"/>
      <c r="P81" s="382"/>
    </row>
    <row r="82" spans="1:16" s="441" customFormat="1" ht="27.75">
      <c r="A82" s="1619" t="s">
        <v>92</v>
      </c>
      <c r="B82" s="1620"/>
      <c r="C82" s="1621"/>
      <c r="D82" s="651" t="s">
        <v>131</v>
      </c>
      <c r="E82" s="520">
        <f>'15'!F82</f>
        <v>108408</v>
      </c>
      <c r="F82" s="651">
        <v>108421.66</v>
      </c>
      <c r="G82" s="652">
        <f t="shared" si="6"/>
        <v>13.660000000003492</v>
      </c>
      <c r="H82" s="705">
        <f>G82+'15'!H82</f>
        <v>-259.33999999999651</v>
      </c>
      <c r="I82" s="705"/>
      <c r="J82" s="707">
        <f>H82/DAY(B2)</f>
        <v>-16.208749999999782</v>
      </c>
      <c r="K82" s="1313"/>
      <c r="L82" s="1105"/>
      <c r="N82" s="718"/>
      <c r="O82" s="727"/>
      <c r="P82" s="713"/>
    </row>
    <row r="83" spans="1:16" ht="27.75">
      <c r="A83" s="1543" t="s">
        <v>199</v>
      </c>
      <c r="B83" s="1544"/>
      <c r="C83" s="1545"/>
      <c r="D83" s="620" t="s">
        <v>131</v>
      </c>
      <c r="E83" s="519">
        <f>'15'!F83</f>
        <v>23525</v>
      </c>
      <c r="F83" s="511">
        <v>23742</v>
      </c>
      <c r="G83" s="473">
        <f t="shared" si="6"/>
        <v>217</v>
      </c>
      <c r="H83" s="460">
        <f>G83+'15'!H83</f>
        <v>-3809</v>
      </c>
      <c r="I83" s="481"/>
      <c r="J83" s="552">
        <f>H83/DAY(B2)</f>
        <v>-238.0625</v>
      </c>
      <c r="K83" s="429"/>
      <c r="L83" s="377"/>
      <c r="N83" s="718"/>
      <c r="O83" s="725"/>
      <c r="P83" s="382"/>
    </row>
    <row r="84" spans="1:16">
      <c r="A84" s="1211" t="s">
        <v>200</v>
      </c>
      <c r="B84" s="571"/>
      <c r="C84" s="571"/>
      <c r="D84" s="478" t="s">
        <v>131</v>
      </c>
      <c r="E84" s="519">
        <f>'15'!F84</f>
        <v>511176</v>
      </c>
      <c r="F84" s="627">
        <v>511911</v>
      </c>
      <c r="G84" s="473">
        <f t="shared" si="6"/>
        <v>735</v>
      </c>
      <c r="H84" s="460">
        <f>G84+'15'!H84</f>
        <v>-11169</v>
      </c>
      <c r="I84" s="481"/>
      <c r="J84" s="552">
        <f>H84/DAY(B2)</f>
        <v>-698.0625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1961.9500000000335</v>
      </c>
      <c r="H85" s="460">
        <f>G85+'15'!H85</f>
        <v>-116372.08999999997</v>
      </c>
      <c r="I85" s="481"/>
      <c r="J85" s="552">
        <f>H85/DAY(B2)</f>
        <v>-7273.255624999998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'15'!F86</f>
        <v>461395</v>
      </c>
      <c r="F86" s="1462">
        <v>461431.44</v>
      </c>
      <c r="G86" s="705">
        <f t="shared" ref="G86:G91" si="7">F86-E86</f>
        <v>36.440000000002328</v>
      </c>
      <c r="H86" s="705">
        <f t="shared" ref="H86:H88" si="8">G86</f>
        <v>36.440000000002328</v>
      </c>
      <c r="I86" s="652"/>
      <c r="J86" s="707">
        <f>H86/DAY(B2)</f>
        <v>2.2775000000001455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'15'!F87</f>
        <v>81679</v>
      </c>
      <c r="F87" s="647">
        <v>81710.2</v>
      </c>
      <c r="G87" s="705">
        <f t="shared" si="7"/>
        <v>31.19999999999709</v>
      </c>
      <c r="H87" s="705">
        <f t="shared" si="8"/>
        <v>31.19999999999709</v>
      </c>
      <c r="I87" s="652"/>
      <c r="J87" s="707">
        <f>H87/DAY(B2)</f>
        <v>1.9499999999998181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'15'!F88</f>
        <v>153927</v>
      </c>
      <c r="F88" s="1462">
        <v>154005.91</v>
      </c>
      <c r="G88" s="705">
        <f t="shared" si="7"/>
        <v>78.910000000003492</v>
      </c>
      <c r="H88" s="705">
        <f t="shared" si="8"/>
        <v>78.910000000003492</v>
      </c>
      <c r="I88" s="652"/>
      <c r="J88" s="707">
        <f>H88/DAY(B2)</f>
        <v>4.9318750000002183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'15'!F89</f>
        <v>65441</v>
      </c>
      <c r="F89" s="647">
        <v>65494.9</v>
      </c>
      <c r="G89" s="705">
        <f t="shared" si="7"/>
        <v>53.900000000001455</v>
      </c>
      <c r="H89" s="705">
        <f>G89</f>
        <v>53.900000000001455</v>
      </c>
      <c r="I89" s="652"/>
      <c r="J89" s="707">
        <f>H89/DAY(B2)</f>
        <v>3.3687500000000909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'15'!F90</f>
        <v>3298</v>
      </c>
      <c r="F90" s="647">
        <v>3302.3</v>
      </c>
      <c r="G90" s="705">
        <f t="shared" si="7"/>
        <v>4.3000000000001819</v>
      </c>
      <c r="H90" s="705">
        <f>G90</f>
        <v>4.3000000000001819</v>
      </c>
      <c r="I90" s="652"/>
      <c r="J90" s="707">
        <f>H90/DAY(B2)</f>
        <v>0.26875000000001137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/>
      <c r="E91" s="627">
        <f>'15'!F91</f>
        <v>28131</v>
      </c>
      <c r="F91" s="647">
        <v>28140.4192</v>
      </c>
      <c r="G91" s="705">
        <f t="shared" si="7"/>
        <v>9.4192000000002736</v>
      </c>
      <c r="H91" s="705">
        <f>G91</f>
        <v>9.4192000000002736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09"/>
      <c r="C92" s="1209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'15'!F93</f>
        <v>246205</v>
      </c>
      <c r="F93" s="478">
        <v>246236</v>
      </c>
      <c r="G93" s="473">
        <f t="shared" ref="G93:G94" si="9">F93-E93</f>
        <v>31</v>
      </c>
      <c r="H93" s="460">
        <f>G93+'15'!H93</f>
        <v>-1116</v>
      </c>
      <c r="I93" s="480"/>
      <c r="J93" s="552">
        <f>H93/DAY(B2)</f>
        <v>-69.75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'15'!F94</f>
        <v>187623</v>
      </c>
      <c r="F94" s="478">
        <v>187689</v>
      </c>
      <c r="G94" s="473">
        <f t="shared" si="9"/>
        <v>66</v>
      </c>
      <c r="H94" s="460">
        <f>G94+'15'!H94</f>
        <v>-1765</v>
      </c>
      <c r="I94" s="480"/>
      <c r="J94" s="552">
        <f>H94/DAY(B2)</f>
        <v>-110.3125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'15'!F95</f>
        <v>0</v>
      </c>
      <c r="F95" s="478">
        <v>0</v>
      </c>
      <c r="G95" s="473">
        <f>G93+G94</f>
        <v>97</v>
      </c>
      <c r="H95" s="460">
        <f>G95+'15'!H95</f>
        <v>-3067</v>
      </c>
      <c r="I95" s="480"/>
      <c r="J95" s="552">
        <f>H95/DAY(B2)</f>
        <v>-191.6875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'15'!F96</f>
        <v>415043</v>
      </c>
      <c r="F96" s="478">
        <v>415077</v>
      </c>
      <c r="G96" s="473">
        <f t="shared" ref="G96:G101" si="10">F96-E96</f>
        <v>34</v>
      </c>
      <c r="H96" s="460">
        <f>G96+'15'!H96</f>
        <v>-922</v>
      </c>
      <c r="I96" s="480"/>
      <c r="J96" s="552">
        <f>H96/DAY(B2)</f>
        <v>-57.625</v>
      </c>
      <c r="K96" s="380"/>
      <c r="L96" s="377"/>
      <c r="N96" s="718"/>
      <c r="O96" s="725"/>
      <c r="P96" s="382"/>
    </row>
    <row r="97" spans="1:16" ht="27.75">
      <c r="A97" s="1205" t="s">
        <v>209</v>
      </c>
      <c r="B97" s="1206"/>
      <c r="C97" s="1206"/>
      <c r="D97" s="523" t="s">
        <v>143</v>
      </c>
      <c r="E97" s="484">
        <f>'15'!F97</f>
        <v>102853</v>
      </c>
      <c r="F97" s="478">
        <v>102865</v>
      </c>
      <c r="G97" s="473">
        <f t="shared" si="10"/>
        <v>12</v>
      </c>
      <c r="H97" s="460">
        <f>G97+'15'!H97</f>
        <v>-298</v>
      </c>
      <c r="I97" s="480"/>
      <c r="J97" s="552">
        <f>H97/DAY(B2)</f>
        <v>-18.625</v>
      </c>
      <c r="K97" s="427"/>
      <c r="L97" s="377"/>
      <c r="N97" s="718"/>
      <c r="O97" s="725"/>
      <c r="P97" s="382"/>
    </row>
    <row r="98" spans="1:16" ht="27.75">
      <c r="A98" s="1205" t="s">
        <v>210</v>
      </c>
      <c r="B98" s="1206"/>
      <c r="C98" s="1206"/>
      <c r="D98" s="523" t="s">
        <v>143</v>
      </c>
      <c r="E98" s="484">
        <f>'15'!F98</f>
        <v>98273</v>
      </c>
      <c r="F98" s="478">
        <v>98293</v>
      </c>
      <c r="G98" s="473">
        <f t="shared" si="10"/>
        <v>20</v>
      </c>
      <c r="H98" s="460">
        <f>G98+'15'!H98</f>
        <v>-364</v>
      </c>
      <c r="I98" s="480"/>
      <c r="J98" s="552">
        <f>H98/DAY(B2)</f>
        <v>-22.75</v>
      </c>
      <c r="K98" s="432"/>
      <c r="L98" s="377"/>
      <c r="N98" s="718">
        <v>96617</v>
      </c>
      <c r="O98" s="725"/>
      <c r="P98" s="382"/>
    </row>
    <row r="99" spans="1:16" ht="27.75">
      <c r="A99" s="1205" t="s">
        <v>211</v>
      </c>
      <c r="B99" s="1206"/>
      <c r="C99" s="1206"/>
      <c r="D99" s="523" t="s">
        <v>143</v>
      </c>
      <c r="E99" s="484">
        <f>'15'!F99</f>
        <v>149980</v>
      </c>
      <c r="F99" s="478">
        <v>149983</v>
      </c>
      <c r="G99" s="473">
        <f t="shared" si="10"/>
        <v>3</v>
      </c>
      <c r="H99" s="460">
        <f>G99+'15'!H99</f>
        <v>-422</v>
      </c>
      <c r="I99" s="480"/>
      <c r="J99" s="552">
        <f>H99/DAY(B2)</f>
        <v>-26.375</v>
      </c>
      <c r="K99" s="380"/>
      <c r="L99" s="377"/>
      <c r="N99" s="720"/>
      <c r="O99" s="725"/>
      <c r="P99" s="382"/>
    </row>
    <row r="100" spans="1:16" ht="27.75">
      <c r="A100" s="1205" t="s">
        <v>212</v>
      </c>
      <c r="B100" s="1206"/>
      <c r="C100" s="1206"/>
      <c r="D100" s="523" t="s">
        <v>143</v>
      </c>
      <c r="E100" s="484">
        <f>'15'!F100</f>
        <v>7537</v>
      </c>
      <c r="F100" s="478">
        <v>7543</v>
      </c>
      <c r="G100" s="473">
        <f t="shared" si="10"/>
        <v>6</v>
      </c>
      <c r="H100" s="460">
        <f>G100+'15'!H100</f>
        <v>-254</v>
      </c>
      <c r="I100" s="480"/>
      <c r="J100" s="552">
        <f>H100/DAY(B2)</f>
        <v>-15.875</v>
      </c>
      <c r="K100" s="380"/>
      <c r="L100" s="377"/>
      <c r="N100" s="718"/>
      <c r="O100" s="725"/>
      <c r="P100" s="382"/>
    </row>
    <row r="101" spans="1:16" ht="27.75">
      <c r="A101" s="1205" t="s">
        <v>213</v>
      </c>
      <c r="B101" s="1206"/>
      <c r="C101" s="1206"/>
      <c r="D101" s="523" t="s">
        <v>143</v>
      </c>
      <c r="E101" s="484">
        <f>'15'!F101</f>
        <v>5516</v>
      </c>
      <c r="F101" s="478">
        <v>5523</v>
      </c>
      <c r="G101" s="473">
        <f t="shared" si="10"/>
        <v>7</v>
      </c>
      <c r="H101" s="460">
        <f>G101+'15'!H101</f>
        <v>-151</v>
      </c>
      <c r="I101" s="480"/>
      <c r="J101" s="552">
        <f>H101/DAY(B2)</f>
        <v>-9.4375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82</v>
      </c>
      <c r="H102" s="460">
        <f>G102+'15'!H102</f>
        <v>-2411</v>
      </c>
      <c r="I102" s="526"/>
      <c r="J102" s="552">
        <f>H102/DAY(B2)</f>
        <v>-150.6875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210"/>
      <c r="D105" s="622" t="s">
        <v>143</v>
      </c>
      <c r="E105" s="484">
        <f>'15'!F105</f>
        <v>7473</v>
      </c>
      <c r="F105" s="1312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4.33624999999995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210"/>
      <c r="D106" s="622" t="s">
        <v>143</v>
      </c>
      <c r="E106" s="484">
        <f>'15'!F106</f>
        <v>36033</v>
      </c>
      <c r="F106" s="659">
        <v>36033</v>
      </c>
      <c r="G106" s="532">
        <f t="shared" ref="G106:G107" si="11">F106-E106</f>
        <v>0</v>
      </c>
      <c r="H106" s="533">
        <f>SUM(G106+'1'!G77)</f>
        <v>53</v>
      </c>
      <c r="I106" s="532"/>
      <c r="J106" s="558">
        <f>H106/DAY(B2)</f>
        <v>3.3125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'15'!F107</f>
        <v>19761</v>
      </c>
      <c r="F107" s="659">
        <v>19769</v>
      </c>
      <c r="G107" s="532">
        <f t="shared" si="11"/>
        <v>8</v>
      </c>
      <c r="H107" s="533">
        <f>SUM(G107+'1'!G78)</f>
        <v>122</v>
      </c>
      <c r="I107" s="532"/>
      <c r="J107" s="558">
        <f>H107/DAY(B2)</f>
        <v>7.625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210"/>
      <c r="D108" s="622"/>
      <c r="E108" s="484">
        <f>'15'!F108</f>
        <v>0</v>
      </c>
      <c r="F108" s="659"/>
      <c r="G108" s="532">
        <f>SUM(G105:G107)</f>
        <v>8</v>
      </c>
      <c r="H108" s="533">
        <f>SUM(G108+'1'!G79)</f>
        <v>161</v>
      </c>
      <c r="I108" s="532"/>
      <c r="J108" s="558">
        <f>H108/DAY(B2)</f>
        <v>10.0625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210"/>
      <c r="D109" s="622" t="s">
        <v>143</v>
      </c>
      <c r="E109" s="484">
        <f>'15'!F109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210"/>
      <c r="D110" s="622" t="s">
        <v>143</v>
      </c>
      <c r="E110" s="484">
        <f>'15'!F110</f>
        <v>63730</v>
      </c>
      <c r="F110" s="659">
        <v>63771</v>
      </c>
      <c r="G110" s="532">
        <f>F110-E110</f>
        <v>41</v>
      </c>
      <c r="H110" s="533">
        <f>SUM(G110+'1'!G81)</f>
        <v>172.64000000001397</v>
      </c>
      <c r="I110" s="532"/>
      <c r="J110" s="558">
        <f>H110/DAY(B2)</f>
        <v>10.790000000000873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210"/>
      <c r="D111" s="622" t="s">
        <v>143</v>
      </c>
      <c r="E111" s="484">
        <f>'15'!F111</f>
        <v>32710</v>
      </c>
      <c r="F111" s="659">
        <v>32710</v>
      </c>
      <c r="G111" s="532">
        <f t="shared" ref="G111:G112" si="12">F111-E111</f>
        <v>0</v>
      </c>
      <c r="H111" s="533">
        <f>SUM(G111+'1'!G82)</f>
        <v>24.899999999994179</v>
      </c>
      <c r="I111" s="532"/>
      <c r="J111" s="558">
        <f>H111/DAY(B2)</f>
        <v>1.5562499999996362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210"/>
      <c r="D112" s="622" t="s">
        <v>143</v>
      </c>
      <c r="E112" s="484">
        <f>'15'!F112</f>
        <v>4621</v>
      </c>
      <c r="F112" s="659">
        <v>4621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21.9375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210"/>
      <c r="D113" s="622"/>
      <c r="E113" s="484">
        <f>'15'!F113</f>
        <v>0</v>
      </c>
      <c r="F113" s="659"/>
      <c r="G113" s="532">
        <f>SUM(G110:G112)</f>
        <v>41</v>
      </c>
      <c r="H113" s="533">
        <f>SUM(G113+'1'!G84)</f>
        <v>857</v>
      </c>
      <c r="I113" s="532"/>
      <c r="J113" s="558">
        <f>H113/DAY(B2)</f>
        <v>53.5625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210"/>
      <c r="D114" s="622"/>
      <c r="E114" s="484">
        <f>'15'!F114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'15'!F115</f>
        <v>11707</v>
      </c>
      <c r="F115" s="659">
        <v>11713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0.375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'15'!F116</f>
        <v>8425</v>
      </c>
      <c r="F116" s="659">
        <v>8431</v>
      </c>
      <c r="G116" s="534">
        <f t="shared" ref="G116:G117" si="13">F116-E116</f>
        <v>6</v>
      </c>
      <c r="H116" s="533">
        <f>SUM(G116+'1'!G93)</f>
        <v>95</v>
      </c>
      <c r="I116" s="532"/>
      <c r="J116" s="558">
        <f>H116/DAY(B2)</f>
        <v>5.9375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6.0625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12</v>
      </c>
      <c r="H118" s="533">
        <f>SUM(G118+'1'!G96)</f>
        <v>98</v>
      </c>
      <c r="I118" s="534"/>
      <c r="J118" s="558">
        <f>H118/DAY(B2)</f>
        <v>6.125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213"/>
      <c r="D119" s="624" t="s">
        <v>143</v>
      </c>
      <c r="E119" s="536"/>
      <c r="F119" s="660">
        <f>SUM(G19+G93)</f>
        <v>93</v>
      </c>
      <c r="G119" s="536">
        <f>SUM(G19+G93)</f>
        <v>93</v>
      </c>
      <c r="H119" s="533">
        <f>SUM(G119+'1'!G97)</f>
        <v>110</v>
      </c>
      <c r="I119" s="535"/>
      <c r="J119" s="559">
        <f>H119/DAY(B2)</f>
        <v>6.875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213"/>
      <c r="D120" s="624" t="s">
        <v>143</v>
      </c>
      <c r="E120" s="536"/>
      <c r="F120" s="660">
        <f>SUM(G96,G97,G98,G100,G101)</f>
        <v>79</v>
      </c>
      <c r="G120" s="536">
        <f>SUM(G96,G97,G98,G100,G101)</f>
        <v>79</v>
      </c>
      <c r="H120" s="533">
        <f>SUM(G120+'1'!G99)</f>
        <v>129</v>
      </c>
      <c r="I120" s="535"/>
      <c r="J120" s="559">
        <f>H120/DAY(B2)</f>
        <v>8.0625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213"/>
      <c r="D121" s="624" t="s">
        <v>143</v>
      </c>
      <c r="E121" s="534"/>
      <c r="F121" s="659">
        <f>SUM(G113)</f>
        <v>41</v>
      </c>
      <c r="G121" s="534">
        <f>SUM(G113)</f>
        <v>41</v>
      </c>
      <c r="H121" s="533">
        <f>SUM(G121+'1'!G101)</f>
        <v>46</v>
      </c>
      <c r="I121" s="535"/>
      <c r="J121" s="559">
        <f>H121/DAY(B2)</f>
        <v>2.875</v>
      </c>
      <c r="N121" s="718"/>
      <c r="O121" s="725"/>
      <c r="P121" s="382"/>
    </row>
    <row r="122" spans="1:16" s="442" customFormat="1" ht="27.75">
      <c r="A122" s="1549"/>
      <c r="B122" s="1550"/>
      <c r="C122" s="1214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205" t="s">
        <v>230</v>
      </c>
      <c r="B124" s="1206"/>
      <c r="C124" s="1206"/>
      <c r="D124" s="523" t="s">
        <v>140</v>
      </c>
      <c r="E124" s="478">
        <f>'15'!F124</f>
        <v>835450</v>
      </c>
      <c r="F124" s="478">
        <v>835712.66</v>
      </c>
      <c r="G124" s="473">
        <f t="shared" ref="G124:G128" si="14">F124-E124</f>
        <v>262.6600000000326</v>
      </c>
      <c r="H124" s="460">
        <f>G124+'15'!H124</f>
        <v>-3957.3399999999674</v>
      </c>
      <c r="I124" s="526"/>
      <c r="J124" s="552">
        <f>H124/DAY(B2)</f>
        <v>-247.33374999999796</v>
      </c>
      <c r="K124" s="380"/>
      <c r="L124" s="377"/>
      <c r="N124" s="718"/>
      <c r="O124" s="725"/>
      <c r="P124" s="382"/>
    </row>
    <row r="125" spans="1:16" ht="27.75">
      <c r="A125" s="1205" t="s">
        <v>231</v>
      </c>
      <c r="B125" s="1206"/>
      <c r="C125" s="1206"/>
      <c r="D125" s="523" t="s">
        <v>140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'15'!F126</f>
        <v>147443</v>
      </c>
      <c r="F126" s="478">
        <v>147506.38</v>
      </c>
      <c r="G126" s="473">
        <f t="shared" si="14"/>
        <v>63.380000000004657</v>
      </c>
      <c r="H126" s="460">
        <f>G126+'15'!H126</f>
        <v>-1090.6199999999953</v>
      </c>
      <c r="I126" s="526"/>
      <c r="J126" s="552">
        <f>H126/DAY(B2)</f>
        <v>-68.163749999999709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206"/>
      <c r="C127" s="1206"/>
      <c r="D127" s="523" t="s">
        <v>140</v>
      </c>
      <c r="E127" s="626">
        <f>'15'!F127</f>
        <v>31526</v>
      </c>
      <c r="F127" s="626">
        <v>31561.200000000001</v>
      </c>
      <c r="G127" s="473">
        <f t="shared" si="14"/>
        <v>35.200000000000728</v>
      </c>
      <c r="H127" s="460">
        <f>G127+'15'!H127</f>
        <v>-509.79999999999927</v>
      </c>
      <c r="I127" s="526"/>
      <c r="J127" s="552">
        <f>H127/DAY(B2)</f>
        <v>-31.862499999999955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206"/>
      <c r="C128" s="1206"/>
      <c r="D128" s="523" t="s">
        <v>140</v>
      </c>
      <c r="E128" s="626">
        <f>'15'!F128</f>
        <v>8976</v>
      </c>
      <c r="F128" s="626">
        <v>8976.2999999999993</v>
      </c>
      <c r="G128" s="473">
        <f t="shared" si="14"/>
        <v>0.2999999999992724</v>
      </c>
      <c r="H128" s="460">
        <f>G128+'15'!H128</f>
        <v>-35.700000000000728</v>
      </c>
      <c r="I128" s="480"/>
      <c r="J128" s="552">
        <f>H128/DAY(B2)</f>
        <v>-2.2312500000000455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206"/>
      <c r="C129" s="1206"/>
      <c r="D129" s="523"/>
      <c r="E129" s="478"/>
      <c r="F129" s="478"/>
      <c r="G129" s="473">
        <f>G15-SUM(G124:G128)</f>
        <v>338.45999999996275</v>
      </c>
      <c r="H129" s="460">
        <f>G129+'15'!H129</f>
        <v>338.45999999996275</v>
      </c>
      <c r="I129" s="480"/>
      <c r="J129" s="552">
        <f>H129/DAY(B2)</f>
        <v>21.153749999997672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205" t="s">
        <v>237</v>
      </c>
      <c r="B131" s="1206"/>
      <c r="C131" s="1206"/>
      <c r="D131" s="523" t="s">
        <v>238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205" t="s">
        <v>239</v>
      </c>
      <c r="B132" s="1206"/>
      <c r="C132" s="1206"/>
      <c r="D132" s="523" t="s">
        <v>238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205" t="s">
        <v>240</v>
      </c>
      <c r="B133" s="1206"/>
      <c r="C133" s="1206"/>
      <c r="D133" s="523" t="s">
        <v>238</v>
      </c>
      <c r="E133" s="541">
        <f>'15'!F133</f>
        <v>40242</v>
      </c>
      <c r="F133" s="651">
        <v>40266.31</v>
      </c>
      <c r="G133" s="473">
        <f t="shared" si="15"/>
        <v>24.309999999997672</v>
      </c>
      <c r="H133" s="460">
        <f>G133+'15'!H133</f>
        <v>-186.69000000000233</v>
      </c>
      <c r="I133" s="480"/>
      <c r="J133" s="552">
        <f>H133/DAY(B2)</f>
        <v>-11.668125000000146</v>
      </c>
      <c r="N133" s="718"/>
      <c r="O133" s="725"/>
      <c r="P133" s="382"/>
    </row>
    <row r="134" spans="1:16" ht="27.75">
      <c r="A134" s="1205" t="s">
        <v>241</v>
      </c>
      <c r="B134" s="1206"/>
      <c r="C134" s="1206"/>
      <c r="D134" s="523" t="s">
        <v>238</v>
      </c>
      <c r="E134" s="701">
        <f>'15'!F134</f>
        <v>300</v>
      </c>
      <c r="F134" s="626">
        <v>300</v>
      </c>
      <c r="G134" s="473">
        <f t="shared" si="15"/>
        <v>0</v>
      </c>
      <c r="H134" s="460">
        <f>G134+'15'!H134</f>
        <v>0</v>
      </c>
      <c r="I134" s="480">
        <f>G131+G132+G133+G134</f>
        <v>24.309999999997672</v>
      </c>
      <c r="J134" s="552">
        <f>H134/DAY(B2)</f>
        <v>0</v>
      </c>
      <c r="N134" s="718"/>
      <c r="O134" s="725"/>
      <c r="P134" s="382"/>
    </row>
    <row r="135" spans="1:16" ht="27.75">
      <c r="A135" s="1205" t="s">
        <v>242</v>
      </c>
      <c r="B135" s="1206"/>
      <c r="C135" s="1206"/>
      <c r="D135" s="523" t="s">
        <v>238</v>
      </c>
      <c r="E135" s="701">
        <f>'15'!F135</f>
        <v>41743</v>
      </c>
      <c r="F135" s="626">
        <v>41743</v>
      </c>
      <c r="G135" s="473">
        <f t="shared" si="15"/>
        <v>0</v>
      </c>
      <c r="H135" s="460">
        <f>G135+'15'!H135</f>
        <v>-229</v>
      </c>
      <c r="I135" s="480"/>
      <c r="J135" s="552">
        <f>H135/DAY(B2)</f>
        <v>-14.3125</v>
      </c>
      <c r="N135" s="718"/>
      <c r="O135" s="725"/>
      <c r="P135" s="382"/>
    </row>
    <row r="136" spans="1:16" ht="27.75">
      <c r="A136" s="1205" t="s">
        <v>243</v>
      </c>
      <c r="B136" s="1206"/>
      <c r="C136" s="1206"/>
      <c r="D136" s="523" t="s">
        <v>238</v>
      </c>
      <c r="E136" s="541">
        <f>'15'!F136</f>
        <v>32874</v>
      </c>
      <c r="F136" s="651">
        <v>32874</v>
      </c>
      <c r="G136" s="473">
        <f t="shared" si="15"/>
        <v>0</v>
      </c>
      <c r="H136" s="460">
        <f>G136+'15'!H136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205" t="s">
        <v>244</v>
      </c>
      <c r="B137" s="1206"/>
      <c r="C137" s="1206"/>
      <c r="D137" s="523" t="s">
        <v>238</v>
      </c>
      <c r="E137" s="541">
        <f>'15'!F137</f>
        <v>22850</v>
      </c>
      <c r="F137" s="651">
        <v>22850.49</v>
      </c>
      <c r="G137" s="473">
        <f t="shared" si="15"/>
        <v>0.49000000000160071</v>
      </c>
      <c r="H137" s="460">
        <f>G137+'15'!H137</f>
        <v>-41</v>
      </c>
      <c r="I137" s="480">
        <f>G135+G136+G137</f>
        <v>0.49000000000160071</v>
      </c>
      <c r="J137" s="552">
        <f>H137/DAY(B2)</f>
        <v>-2.5625</v>
      </c>
      <c r="N137" s="718"/>
      <c r="O137" s="725"/>
      <c r="P137" s="382"/>
    </row>
    <row r="138" spans="1:16" ht="27.75">
      <c r="A138" s="1205" t="s">
        <v>245</v>
      </c>
      <c r="B138" s="1206"/>
      <c r="C138" s="1206"/>
      <c r="D138" s="523" t="s">
        <v>238</v>
      </c>
      <c r="E138" s="541">
        <f>'15'!F138</f>
        <v>25051.82</v>
      </c>
      <c r="F138" s="651">
        <v>25051.82</v>
      </c>
      <c r="G138" s="473">
        <f t="shared" si="15"/>
        <v>0</v>
      </c>
      <c r="H138" s="460">
        <f>G138+'15'!H138</f>
        <v>-39.569999999999709</v>
      </c>
      <c r="I138" s="480"/>
      <c r="J138" s="552">
        <f>H138/DAY(B2)</f>
        <v>-2.4731249999999818</v>
      </c>
      <c r="N138" s="718"/>
      <c r="O138" s="725"/>
      <c r="P138" s="382"/>
    </row>
    <row r="139" spans="1:16" ht="27.75">
      <c r="A139" s="1205" t="s">
        <v>246</v>
      </c>
      <c r="B139" s="1206"/>
      <c r="C139" s="1206"/>
      <c r="D139" s="523" t="s">
        <v>238</v>
      </c>
      <c r="E139" s="541">
        <f>'15'!F139</f>
        <v>70470.63</v>
      </c>
      <c r="F139" s="651">
        <v>70470.63</v>
      </c>
      <c r="G139" s="473">
        <f t="shared" si="15"/>
        <v>0</v>
      </c>
      <c r="H139" s="460">
        <f>G139+'15'!H139</f>
        <v>-42.989999999990687</v>
      </c>
      <c r="I139" s="480">
        <f>G138+G139</f>
        <v>0</v>
      </c>
      <c r="J139" s="552">
        <f>H139/DAY(B2)</f>
        <v>-2.6868749999994179</v>
      </c>
      <c r="N139" s="718"/>
      <c r="O139" s="725"/>
      <c r="P139" s="382"/>
    </row>
    <row r="140" spans="1:16" ht="27.75">
      <c r="A140" s="1205" t="s">
        <v>247</v>
      </c>
      <c r="B140" s="1206"/>
      <c r="C140" s="1206"/>
      <c r="D140" s="523" t="s">
        <v>238</v>
      </c>
      <c r="E140" s="701">
        <f>'15'!F140</f>
        <v>1972.72</v>
      </c>
      <c r="F140" s="626">
        <v>1982.12</v>
      </c>
      <c r="G140" s="473">
        <f t="shared" si="15"/>
        <v>9.3999999999998636</v>
      </c>
      <c r="H140" s="460">
        <f>G140+'15'!H140</f>
        <v>-147.05999999999995</v>
      </c>
      <c r="I140" s="542"/>
      <c r="J140" s="552">
        <f>H140/DAY(B2)</f>
        <v>-9.1912499999999966</v>
      </c>
      <c r="N140" s="718"/>
      <c r="O140" s="725"/>
      <c r="P140" s="382"/>
    </row>
    <row r="141" spans="1:16" ht="27.75">
      <c r="A141" s="1205" t="s">
        <v>248</v>
      </c>
      <c r="B141" s="1206"/>
      <c r="C141" s="1206"/>
      <c r="D141" s="523" t="s">
        <v>238</v>
      </c>
      <c r="E141" s="484">
        <f>'15'!F141</f>
        <v>4636.88</v>
      </c>
      <c r="F141" s="478">
        <v>4636.88</v>
      </c>
      <c r="G141" s="473">
        <f t="shared" si="15"/>
        <v>0</v>
      </c>
      <c r="H141" s="460">
        <f>G141+'15'!H141</f>
        <v>-0.11999999999989086</v>
      </c>
      <c r="I141" s="542"/>
      <c r="J141" s="552">
        <f>H141/DAY(B2)</f>
        <v>-7.4999999999931788E-3</v>
      </c>
      <c r="N141" s="718"/>
      <c r="O141" s="725"/>
      <c r="P141" s="382"/>
    </row>
    <row r="142" spans="1:16">
      <c r="A142" s="1562" t="s">
        <v>307</v>
      </c>
      <c r="B142" s="1563"/>
      <c r="C142" s="120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4937.9200000000419</v>
      </c>
      <c r="H143" s="460">
        <f>G143+'15'!H143</f>
        <v>-78385.749999999956</v>
      </c>
      <c r="I143" s="480"/>
      <c r="J143" s="552">
        <f>H143/DAY(B2)</f>
        <v>-4899.1093749999973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0.22967069767442055</v>
      </c>
      <c r="H144" s="460">
        <f>G144+'15'!H144</f>
        <v>-3.6415333190805641</v>
      </c>
      <c r="I144" s="544"/>
      <c r="J144" s="552">
        <f>H144/DAY(B2)</f>
        <v>-0.22759583244253526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5374.2500000000291</v>
      </c>
      <c r="H145" s="460">
        <f>G145+'15'!H145</f>
        <v>-87019.639999999956</v>
      </c>
      <c r="I145" s="480"/>
      <c r="J145" s="552">
        <f>H145/DAY(B2)</f>
        <v>-5438.7274999999972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0.24996511627907111</v>
      </c>
      <c r="H146" s="460">
        <f>G146+'15'!H146</f>
        <v>-4.0481327374924696</v>
      </c>
      <c r="I146" s="544"/>
      <c r="J146" s="552">
        <f>H146/DAY(B2)</f>
        <v>-0.25300829609327935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3172.4900000000489</v>
      </c>
      <c r="H147" s="460">
        <f>G147+'15'!H147</f>
        <v>-50082.509999999951</v>
      </c>
      <c r="I147" s="545"/>
      <c r="J147" s="552">
        <f>H147/DAY(B2)</f>
        <v>-3130.1568749999969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0.14755767441860693</v>
      </c>
      <c r="H148" s="460">
        <f>G148+'15'!H148</f>
        <v>-2.3262340848327008</v>
      </c>
      <c r="I148" s="545"/>
      <c r="J148" s="552">
        <f>H148/DAY(B2)</f>
        <v>-0.1453896303020438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1231.3799999999464</v>
      </c>
      <c r="H149" s="460">
        <f>G149+'15'!H149</f>
        <v>-21844.620000000054</v>
      </c>
      <c r="I149" s="480"/>
      <c r="J149" s="552">
        <f>H149/DAY(B2)</f>
        <v>-1365.2887500000033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5.7273488372090529E-2</v>
      </c>
      <c r="H150" s="460">
        <f>G150+'15'!H150</f>
        <v>-1.015818553393637</v>
      </c>
      <c r="I150" s="545"/>
      <c r="J150" s="552">
        <f>H150/DAY(B2)</f>
        <v>-6.3488659587102314E-2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1916.9899999999961</v>
      </c>
      <c r="H151" s="460">
        <f>G151+'15'!H151</f>
        <v>-27567.010000000002</v>
      </c>
      <c r="I151" s="545"/>
      <c r="J151" s="552">
        <f>H151/DAY(B2)</f>
        <v>-1722.9381250000001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8.9162325581395169E-2</v>
      </c>
      <c r="H152" s="460">
        <f>G152+'15'!H152</f>
        <v>-1.2827250966441246</v>
      </c>
      <c r="I152" s="480"/>
      <c r="J152" s="552">
        <f>H152/DAY(B2)</f>
        <v>-8.0170318540257787E-2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1424.929999999993</v>
      </c>
      <c r="H153" s="460">
        <f>G153+'15'!H153</f>
        <v>-20650.200000000012</v>
      </c>
      <c r="I153" s="480"/>
      <c r="J153" s="552">
        <f>H153/DAY(B2)</f>
        <v>-1290.6375000000007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6.6275813953488041E-2</v>
      </c>
      <c r="H154" s="460">
        <f>G154+'15'!H154</f>
        <v>-0.95907518890839816</v>
      </c>
      <c r="I154" s="568"/>
      <c r="J154" s="569">
        <f>H154/DAY(B2)</f>
        <v>-5.9942199306774885E-2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'15'!F161</f>
        <v>39641</v>
      </c>
      <c r="F161" s="803">
        <v>39719.64</v>
      </c>
      <c r="G161" s="473">
        <f t="shared" ref="G161:G164" si="16">F161-E161</f>
        <v>78.639999999999418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'15'!F162</f>
        <v>101054</v>
      </c>
      <c r="F162" s="803">
        <v>101503.63</v>
      </c>
      <c r="G162" s="473">
        <f t="shared" si="16"/>
        <v>449.63000000000466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'15'!F163</f>
        <v>48067</v>
      </c>
      <c r="F163" s="783">
        <v>48271.33</v>
      </c>
      <c r="G163" s="473">
        <f t="shared" si="16"/>
        <v>204.33000000000175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'15'!F164</f>
        <v>6700</v>
      </c>
      <c r="F164" s="803">
        <v>6710.01</v>
      </c>
      <c r="G164" s="473">
        <f t="shared" si="16"/>
        <v>10.010000000000218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v>0</v>
      </c>
      <c r="F166" s="514">
        <f t="shared" ref="F166:F172" si="18">F63</f>
        <v>0</v>
      </c>
      <c r="G166" s="473">
        <f t="shared" si="17"/>
        <v>0</v>
      </c>
      <c r="N166" s="718"/>
    </row>
    <row r="167" spans="1:14" ht="27.75">
      <c r="A167" s="1612" t="s">
        <v>98</v>
      </c>
      <c r="B167" s="1612"/>
      <c r="C167" s="1612"/>
      <c r="D167" s="524" t="s">
        <v>186</v>
      </c>
      <c r="E167" s="522">
        <f>'15'!F167</f>
        <v>164442</v>
      </c>
      <c r="F167" s="514">
        <f t="shared" si="18"/>
        <v>164857.35</v>
      </c>
      <c r="G167" s="473">
        <f t="shared" si="17"/>
        <v>415.35000000000582</v>
      </c>
      <c r="N167" s="718"/>
    </row>
    <row r="168" spans="1:14" ht="27.75">
      <c r="A168" s="1612" t="s">
        <v>99</v>
      </c>
      <c r="B168" s="1612"/>
      <c r="C168" s="1612"/>
      <c r="D168" s="524" t="s">
        <v>186</v>
      </c>
      <c r="E168" s="522">
        <f>'15'!F168</f>
        <v>164888</v>
      </c>
      <c r="F168" s="514">
        <f t="shared" si="18"/>
        <v>165153.25</v>
      </c>
      <c r="G168" s="473">
        <f t="shared" si="17"/>
        <v>265.25</v>
      </c>
      <c r="N168" s="718"/>
    </row>
    <row r="169" spans="1:14" ht="27.75">
      <c r="A169" s="1612" t="s">
        <v>100</v>
      </c>
      <c r="B169" s="1612"/>
      <c r="C169" s="1612"/>
      <c r="D169" s="524" t="s">
        <v>186</v>
      </c>
      <c r="E169" s="522">
        <f>'15'!F169</f>
        <v>62024</v>
      </c>
      <c r="F169" s="514">
        <f t="shared" si="18"/>
        <v>62324.23</v>
      </c>
      <c r="G169" s="473">
        <f t="shared" si="17"/>
        <v>300.2300000000032</v>
      </c>
      <c r="N169" s="718"/>
    </row>
    <row r="170" spans="1:14" ht="27.75">
      <c r="A170" s="1612" t="s">
        <v>101</v>
      </c>
      <c r="B170" s="1612"/>
      <c r="C170" s="1612"/>
      <c r="D170" s="524" t="s">
        <v>186</v>
      </c>
      <c r="E170" s="522">
        <f>'15'!F170</f>
        <v>258242</v>
      </c>
      <c r="F170" s="514">
        <f t="shared" si="18"/>
        <v>258634.39</v>
      </c>
      <c r="G170" s="473">
        <f t="shared" si="17"/>
        <v>392.39000000001397</v>
      </c>
      <c r="N170" s="718"/>
    </row>
    <row r="171" spans="1:14" ht="27.75">
      <c r="A171" s="1612" t="s">
        <v>102</v>
      </c>
      <c r="B171" s="1612"/>
      <c r="C171" s="1612"/>
      <c r="D171" s="524" t="s">
        <v>186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22">
        <f>'15'!F172</f>
        <v>83932</v>
      </c>
      <c r="F172" s="514">
        <f t="shared" si="18"/>
        <v>84160.27</v>
      </c>
      <c r="G172" s="473">
        <f t="shared" si="17"/>
        <v>228.27000000000407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2344.1000000000331</v>
      </c>
      <c r="N173" s="718"/>
    </row>
    <row r="174" spans="1:14">
      <c r="N174" s="718"/>
    </row>
    <row r="175" spans="1:14">
      <c r="A175" s="1587" t="s">
        <v>352</v>
      </c>
      <c r="B175" s="1550"/>
      <c r="C175" s="785"/>
      <c r="D175" s="523" t="s">
        <v>186</v>
      </c>
      <c r="N175" s="718"/>
    </row>
    <row r="176" spans="1:14">
      <c r="A176" s="1587" t="s">
        <v>353</v>
      </c>
      <c r="B176" s="1550"/>
      <c r="C176" s="785"/>
      <c r="D176" s="523" t="s">
        <v>186</v>
      </c>
      <c r="N176" s="718"/>
    </row>
    <row r="177" spans="14:14" ht="18.75" customHeight="1">
      <c r="N177" s="718"/>
    </row>
    <row r="178" spans="14:14" ht="23.25" customHeight="1">
      <c r="N178" s="718"/>
    </row>
    <row r="179" spans="14:14" ht="23.25" customHeight="1">
      <c r="N179" s="718"/>
    </row>
    <row r="180" spans="14:14" ht="23.25" customHeight="1">
      <c r="N180" s="718"/>
    </row>
    <row r="181" spans="14:14" ht="23.25" customHeight="1">
      <c r="N181" s="718"/>
    </row>
    <row r="182" spans="14:14" ht="23.25" customHeight="1">
      <c r="N182" s="718"/>
    </row>
    <row r="183" spans="14:14" ht="23.25" customHeight="1">
      <c r="N183" s="718"/>
    </row>
    <row r="184" spans="14:14" ht="23.25" customHeight="1">
      <c r="N184" s="718"/>
    </row>
    <row r="185" spans="14:14" ht="23.25" customHeight="1">
      <c r="N185" s="718"/>
    </row>
    <row r="186" spans="14:14" ht="23.25" customHeight="1">
      <c r="N186" s="718"/>
    </row>
    <row r="187" spans="14:14" ht="23.25" customHeight="1">
      <c r="N187" s="718"/>
    </row>
    <row r="188" spans="14:14" ht="23.25" customHeight="1">
      <c r="N188" s="718"/>
    </row>
    <row r="189" spans="14:14" ht="23.25" customHeight="1">
      <c r="N189" s="718"/>
    </row>
    <row r="190" spans="14:14" ht="23.25" customHeight="1">
      <c r="N190" s="718"/>
    </row>
    <row r="191" spans="14:14" ht="23.25" customHeight="1">
      <c r="N191" s="718"/>
    </row>
    <row r="192" spans="14:14" ht="23.25" customHeight="1">
      <c r="N192" s="718"/>
    </row>
    <row r="193" spans="14:14" ht="23.25" customHeight="1">
      <c r="N193" s="718"/>
    </row>
    <row r="194" spans="14:14" ht="23.25" customHeight="1">
      <c r="N194" s="718"/>
    </row>
    <row r="195" spans="14:14" ht="23.25" customHeight="1">
      <c r="N195" s="718"/>
    </row>
    <row r="196" spans="14:14" ht="23.25" customHeight="1">
      <c r="N196" s="718"/>
    </row>
    <row r="197" spans="14:14" ht="23.25" customHeight="1">
      <c r="N197" s="718"/>
    </row>
    <row r="198" spans="14:14" ht="23.25" customHeight="1">
      <c r="N198" s="718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175:B175"/>
    <mergeCell ref="A176:B176"/>
    <mergeCell ref="A25:C25"/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37" zoomScale="55" zoomScaleSheetLayoutView="55" zoomScalePageLayoutView="60" workbookViewId="0">
      <selection activeCell="F15" sqref="F15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3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362</v>
      </c>
      <c r="B2" s="1031">
        <v>44364</v>
      </c>
      <c r="C2" s="1224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224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224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'16'!F7</f>
        <v>265795.56</v>
      </c>
      <c r="F7" s="455">
        <f>E7+21500</f>
        <v>287295.56</v>
      </c>
      <c r="G7" s="678">
        <f>F7-E7</f>
        <v>21500</v>
      </c>
      <c r="H7" s="679">
        <f>G7+'16'!H7</f>
        <v>365342.56000000006</v>
      </c>
      <c r="I7" s="680">
        <f>'1'!I7</f>
        <v>12000</v>
      </c>
      <c r="J7" s="681">
        <f>H7/DAY(B2)</f>
        <v>21490.738823529417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'16'!F8</f>
        <v>271453.78999999998</v>
      </c>
      <c r="F8" s="475">
        <f>E8+21500</f>
        <v>292953.78999999998</v>
      </c>
      <c r="G8" s="689">
        <f>F8-E8</f>
        <v>21500</v>
      </c>
      <c r="H8" s="679">
        <f>G8+'16'!H8</f>
        <v>366231.79</v>
      </c>
      <c r="I8" s="686">
        <f>'1'!I8</f>
        <v>12000</v>
      </c>
      <c r="J8" s="681">
        <f>H8/DAY(B2)</f>
        <v>21543.046470588233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'16'!F9</f>
        <v>1749237.5</v>
      </c>
      <c r="F9" s="478">
        <v>1767757.9</v>
      </c>
      <c r="G9" s="702">
        <f t="shared" ref="G9:G12" si="0">F9-E9</f>
        <v>18520.399999999907</v>
      </c>
      <c r="H9" s="679">
        <f>G9+'16'!H9</f>
        <v>-263244.10000000009</v>
      </c>
      <c r="I9" s="690">
        <f>I7-J7</f>
        <v>-9490.7388235294165</v>
      </c>
      <c r="J9" s="681">
        <f>H9/DAY(B2)</f>
        <v>-15484.947058823534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'16'!F10</f>
        <v>2606.85</v>
      </c>
      <c r="F10" s="478">
        <v>2606.85</v>
      </c>
      <c r="G10" s="689">
        <f t="shared" si="0"/>
        <v>0</v>
      </c>
      <c r="H10" s="679">
        <f>G10+'16'!H10</f>
        <v>0.29999999999972715</v>
      </c>
      <c r="I10" s="691"/>
      <c r="J10" s="681">
        <f>H10/DAY(B2)</f>
        <v>1.7647058823513362E-2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G11+'16'!H11</f>
        <v>0</v>
      </c>
      <c r="I11" s="691"/>
      <c r="J11" s="681">
        <f>H11/DAY(B2)</f>
        <v>0</v>
      </c>
      <c r="K11" s="428"/>
      <c r="L11" s="377"/>
      <c r="N11" s="718">
        <f>G8-866</f>
        <v>20634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G12+'16'!H12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18520.399999999907</v>
      </c>
      <c r="H13" s="679">
        <f>G13+'16'!H13</f>
        <v>-279768.8000000001</v>
      </c>
      <c r="I13" s="695">
        <f>G7-G13</f>
        <v>2979.6000000000931</v>
      </c>
      <c r="J13" s="681">
        <f>H13/DAY(B2)</f>
        <v>-16456.988235294124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'16'!F15</f>
        <v>1715467.16</v>
      </c>
      <c r="F15" s="700">
        <f>E15+700</f>
        <v>1716167.16</v>
      </c>
      <c r="G15" s="664">
        <f>(F15-E15)</f>
        <v>700</v>
      </c>
      <c r="H15" s="486">
        <f>G15+'16'!H15</f>
        <v>12484.159999999916</v>
      </c>
      <c r="I15" s="474">
        <f>'1'!I15</f>
        <v>800</v>
      </c>
      <c r="J15" s="553">
        <f>H15/DAY(B2)</f>
        <v>734.36235294117159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65.637647058828406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'16'!F18</f>
        <v>3</v>
      </c>
      <c r="F18" s="478">
        <v>6</v>
      </c>
      <c r="G18" s="694">
        <f>F18*10</f>
        <v>60</v>
      </c>
      <c r="H18" s="679">
        <f>G18+'16'!H18</f>
        <v>1570</v>
      </c>
      <c r="I18" s="680">
        <f>'1'!I18</f>
        <v>65</v>
      </c>
      <c r="J18" s="681">
        <f>H18/DAY(B2)</f>
        <v>92.352941176470594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'16'!F19</f>
        <v>140619</v>
      </c>
      <c r="F19" s="478">
        <v>140681</v>
      </c>
      <c r="G19" s="689">
        <f>F19-E19</f>
        <v>62</v>
      </c>
      <c r="H19" s="679">
        <f>G19+'16'!H19</f>
        <v>-814</v>
      </c>
      <c r="I19" s="696"/>
      <c r="J19" s="681">
        <f>H19/DAY(B2)</f>
        <v>-47.882352941176471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122</v>
      </c>
      <c r="H20" s="679">
        <f>G20+'16'!H20</f>
        <v>756</v>
      </c>
      <c r="I20" s="698">
        <f>I18-J20</f>
        <v>20.529411764705884</v>
      </c>
      <c r="J20" s="681">
        <f>H20/DAY(B2)</f>
        <v>44.470588235294116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222" t="s">
        <v>146</v>
      </c>
      <c r="B22" s="589"/>
      <c r="C22" s="589"/>
      <c r="D22" s="523" t="s">
        <v>147</v>
      </c>
      <c r="E22" s="634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222" t="s">
        <v>148</v>
      </c>
      <c r="B23" s="589"/>
      <c r="C23" s="589"/>
      <c r="D23" s="523" t="s">
        <v>147</v>
      </c>
      <c r="E23" s="634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G27+'16'!H27</f>
        <v>3296086.11</v>
      </c>
      <c r="I27" s="503"/>
      <c r="J27" s="552">
        <f>H27/DAY(B2)</f>
        <v>193887.41823529411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G28+'16'!H28</f>
        <v>649176.31999999564</v>
      </c>
      <c r="I28" s="505"/>
      <c r="J28" s="552">
        <f>H28/DAY(B2)</f>
        <v>38186.842352940919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62</v>
      </c>
      <c r="F30" s="501">
        <v>146</v>
      </c>
      <c r="G30" s="502">
        <f>E30*F30</f>
        <v>9052</v>
      </c>
      <c r="H30" s="460">
        <f>G30+'16'!H30</f>
        <v>-119428</v>
      </c>
      <c r="I30" s="505"/>
      <c r="J30" s="552">
        <f>H30/DAY(B2)</f>
        <v>-7025.1764705882351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60</v>
      </c>
      <c r="F31" s="501">
        <v>80</v>
      </c>
      <c r="G31" s="502">
        <f>E31*F31</f>
        <v>4800</v>
      </c>
      <c r="H31" s="460">
        <f>G31+'16'!H31</f>
        <v>120000</v>
      </c>
      <c r="I31" s="505"/>
      <c r="J31" s="552"/>
      <c r="K31" s="373">
        <f>E31*80%</f>
        <v>48</v>
      </c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243752</v>
      </c>
      <c r="H32" s="460">
        <f>G32+'16'!H32</f>
        <v>3945834.429999995</v>
      </c>
      <c r="I32" s="509"/>
      <c r="J32" s="552">
        <f>H32/DAY(B2)</f>
        <v>232107.90764705854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227"/>
      <c r="C34" s="1227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'16'!F35</f>
        <v>989448.79</v>
      </c>
      <c r="F35" s="510">
        <v>991917.35</v>
      </c>
      <c r="G35" s="473">
        <f t="shared" ref="G35:G46" si="1">F35-E35</f>
        <v>2468.5599999999395</v>
      </c>
      <c r="H35" s="460">
        <f>G35+'16'!H35</f>
        <v>-36796.650000000023</v>
      </c>
      <c r="I35" s="455"/>
      <c r="J35" s="552">
        <f>H35/DAY(B2)</f>
        <v>-2164.5088235294133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'16'!F36</f>
        <v>9636.1200000000008</v>
      </c>
      <c r="F36" s="510">
        <v>10411.870000000001</v>
      </c>
      <c r="G36" s="473">
        <f t="shared" si="1"/>
        <v>775.75</v>
      </c>
      <c r="H36" s="460">
        <f>G36+'16'!H36</f>
        <v>-10049.129999999999</v>
      </c>
      <c r="I36" s="455"/>
      <c r="J36" s="552">
        <f>H36/DAY(B2)</f>
        <v>-591.12529411764706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'16'!F37</f>
        <v>155919.93</v>
      </c>
      <c r="F37" s="510">
        <v>157351.28</v>
      </c>
      <c r="G37" s="473">
        <f t="shared" si="1"/>
        <v>1431.3500000000058</v>
      </c>
      <c r="H37" s="460">
        <f>G37+'16'!H37</f>
        <v>-19218.72</v>
      </c>
      <c r="I37" s="455"/>
      <c r="J37" s="552">
        <f>H37/DAY(B2)</f>
        <v>-1130.5129411764706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'16'!F38</f>
        <v>176614.31</v>
      </c>
      <c r="F38" s="469">
        <v>177993.13</v>
      </c>
      <c r="G38" s="473">
        <f t="shared" si="1"/>
        <v>1378.820000000007</v>
      </c>
      <c r="H38" s="460">
        <f>G38+'16'!H38</f>
        <v>-20465.869999999995</v>
      </c>
      <c r="I38" s="455"/>
      <c r="J38" s="552">
        <f>H38/DAY(B2)</f>
        <v>-1203.8747058823526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'16'!F39</f>
        <v>354781.9</v>
      </c>
      <c r="F39" s="510">
        <v>358061.67</v>
      </c>
      <c r="G39" s="473">
        <f>F39-E39</f>
        <v>3279.7699999999604</v>
      </c>
      <c r="H39" s="460">
        <f>G39+'16'!H39</f>
        <v>-46802.330000000016</v>
      </c>
      <c r="I39" s="455"/>
      <c r="J39" s="552">
        <f>H39/DAY(B2)</f>
        <v>-2753.0782352941187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'16'!F40</f>
        <v>1797.94</v>
      </c>
      <c r="F40" s="510">
        <v>2019.52</v>
      </c>
      <c r="G40" s="473">
        <f t="shared" si="1"/>
        <v>221.57999999999993</v>
      </c>
      <c r="H40" s="460">
        <f>G40+'16'!H40</f>
        <v>-5093.4799999999996</v>
      </c>
      <c r="I40" s="455"/>
      <c r="J40" s="552">
        <f>H40/DAY(B2)</f>
        <v>-299.61647058823525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'16'!F41</f>
        <v>289890.65000000002</v>
      </c>
      <c r="F41" s="510">
        <v>293824.90999999997</v>
      </c>
      <c r="G41" s="473">
        <f t="shared" si="1"/>
        <v>3934.2599999999511</v>
      </c>
      <c r="H41" s="460">
        <f>G41+'16'!H41</f>
        <v>-35817.090000000026</v>
      </c>
      <c r="I41" s="455"/>
      <c r="J41" s="552">
        <f>H41/DAY(B2)</f>
        <v>-2106.8876470588252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'16'!F42</f>
        <v>59210.080000000002</v>
      </c>
      <c r="F42" s="510">
        <v>59210.080000000002</v>
      </c>
      <c r="G42" s="473">
        <f>F42-E42</f>
        <v>0</v>
      </c>
      <c r="H42" s="460">
        <f>G42+'16'!H42</f>
        <v>11.190000000002328</v>
      </c>
      <c r="I42" s="455"/>
      <c r="J42" s="552">
        <f>H42/DAY(B2)</f>
        <v>0.65823529411778403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'16'!F43</f>
        <v>1081331</v>
      </c>
      <c r="F43" s="510">
        <v>1083854.5</v>
      </c>
      <c r="G43" s="473">
        <f t="shared" si="1"/>
        <v>2523.5</v>
      </c>
      <c r="H43" s="460">
        <f>G43+'16'!H43</f>
        <v>-36597.5</v>
      </c>
      <c r="I43" s="455"/>
      <c r="J43" s="552">
        <f>H43/DAY(B2)</f>
        <v>-2152.794117647059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16013.589999999864</v>
      </c>
      <c r="H47" s="460">
        <f>G47+'16'!H47</f>
        <v>-210028.09000000003</v>
      </c>
      <c r="I47" s="455"/>
      <c r="J47" s="552">
        <f>H47/DAY(B2)</f>
        <v>-12354.593529411766</v>
      </c>
      <c r="K47" s="428"/>
      <c r="L47" s="377"/>
      <c r="N47" s="718"/>
      <c r="O47" s="725"/>
      <c r="P47" s="382"/>
    </row>
    <row r="48" spans="1:16">
      <c r="A48" s="598" t="s">
        <v>176</v>
      </c>
      <c r="B48" s="1227"/>
      <c r="C48" s="1227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'16'!F50</f>
        <v>517920.87</v>
      </c>
      <c r="F50" s="510">
        <v>518861.15</v>
      </c>
      <c r="G50" s="473">
        <f t="shared" si="2"/>
        <v>940.28000000002794</v>
      </c>
      <c r="H50" s="460">
        <f>G50+'16'!H50</f>
        <v>-16691.849999999977</v>
      </c>
      <c r="I50" s="455"/>
      <c r="J50" s="552">
        <f>H50/DAY(B2)</f>
        <v>-981.87352941176334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'16'!F52</f>
        <v>539606.06999999995</v>
      </c>
      <c r="F52" s="510">
        <v>539606.06999999995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'16'!F53</f>
        <v>434231.59</v>
      </c>
      <c r="F53" s="510">
        <v>434231.99</v>
      </c>
      <c r="G53" s="473">
        <f t="shared" si="2"/>
        <v>0.3999999999650754</v>
      </c>
      <c r="H53" s="460">
        <f>G53+'16'!H53</f>
        <v>-0.34000000002561137</v>
      </c>
      <c r="I53" s="455"/>
      <c r="J53" s="552">
        <f>H53/DAY(B2)</f>
        <v>-2.0000000001506552E-2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'16'!F54</f>
        <v>14967.27</v>
      </c>
      <c r="F54" s="510">
        <v>14967.27</v>
      </c>
      <c r="G54" s="473">
        <f t="shared" si="2"/>
        <v>0</v>
      </c>
      <c r="H54" s="460">
        <f>G54+'16'!H54</f>
        <v>-78.729999999999563</v>
      </c>
      <c r="I54" s="455"/>
      <c r="J54" s="552">
        <f>H54/DAY(B2)</f>
        <v>-4.6311764705882092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'16'!F55</f>
        <v>70500.009999999995</v>
      </c>
      <c r="F55" s="653">
        <v>72232.070000000007</v>
      </c>
      <c r="G55" s="652">
        <f t="shared" si="2"/>
        <v>1732.0600000000122</v>
      </c>
      <c r="H55" s="705">
        <f>G55+'16'!H55</f>
        <v>-45403.929999999993</v>
      </c>
      <c r="I55" s="706"/>
      <c r="J55" s="707">
        <f>H55/DAY(B2)</f>
        <v>-2670.8194117647054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'16'!F56</f>
        <v>648888.51</v>
      </c>
      <c r="F56" s="653">
        <v>648898.63</v>
      </c>
      <c r="G56" s="473">
        <f>F56-E56</f>
        <v>10.119999999995343</v>
      </c>
      <c r="H56" s="460">
        <f>G56+'16'!H56</f>
        <v>-133.36999999999534</v>
      </c>
      <c r="I56" s="455"/>
      <c r="J56" s="552">
        <f>H56/DAY(B2)</f>
        <v>-7.8452941176467847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'16'!F58</f>
        <v>51517.11</v>
      </c>
      <c r="F58" s="653">
        <v>51763.74</v>
      </c>
      <c r="G58" s="473">
        <f t="shared" si="2"/>
        <v>246.62999999999738</v>
      </c>
      <c r="H58" s="460">
        <f>G58+'16'!H58</f>
        <v>-2461.4700000000012</v>
      </c>
      <c r="I58" s="455"/>
      <c r="J58" s="552">
        <f>H58/DAY(B2)</f>
        <v>-144.79235294117655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2929.6200000000026</v>
      </c>
      <c r="H59" s="460">
        <f>G59+'16'!H59</f>
        <v>-64769.16000000004</v>
      </c>
      <c r="I59" s="455">
        <f>G7-G60</f>
        <v>2556.7900000001318</v>
      </c>
      <c r="J59" s="552">
        <f>H59/DAY(B2)</f>
        <v>-3809.9505882352964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18943.209999999868</v>
      </c>
      <c r="H60" s="460">
        <f>G60+'16'!H60</f>
        <v>-273588.7100000002</v>
      </c>
      <c r="I60" s="455">
        <f>G13-G60</f>
        <v>-422.80999999996129</v>
      </c>
      <c r="J60" s="552">
        <f>H60/DAY(B2)</f>
        <v>-16093.453529411776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1.9999999967694748E-3</v>
      </c>
      <c r="I62" s="515"/>
      <c r="J62" s="552">
        <f>H62/DAY(B2)</f>
        <v>1.1764705863349852E-4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'16'!F63</f>
        <v>0</v>
      </c>
      <c r="F63" s="514">
        <v>0</v>
      </c>
      <c r="G63" s="473">
        <f t="shared" si="3"/>
        <v>0</v>
      </c>
      <c r="H63" s="460">
        <f>G63+'16'!H63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1229">
        <f>'16'!F64</f>
        <v>164857.35</v>
      </c>
      <c r="F64" s="626">
        <v>165201.93</v>
      </c>
      <c r="G64" s="773">
        <f t="shared" si="3"/>
        <v>344.57999999998719</v>
      </c>
      <c r="H64" s="460">
        <f>G64+'16'!H64</f>
        <v>-4820.070000000007</v>
      </c>
      <c r="I64" s="480"/>
      <c r="J64" s="552">
        <f>H64/DAY(B2)</f>
        <v>-283.53352941176513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'16'!F65</f>
        <v>165153.25</v>
      </c>
      <c r="F65" s="651">
        <v>165495.54999999999</v>
      </c>
      <c r="G65" s="473">
        <f t="shared" si="3"/>
        <v>342.29999999998836</v>
      </c>
      <c r="H65" s="460">
        <f>G65+'16'!H65</f>
        <v>-4806.4500000000116</v>
      </c>
      <c r="I65" s="489"/>
      <c r="J65" s="552">
        <f>H65/DAY(B2)</f>
        <v>-282.73235294117717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'16'!F66</f>
        <v>62324.23</v>
      </c>
      <c r="F66" s="478">
        <v>62655.67</v>
      </c>
      <c r="G66" s="473">
        <f t="shared" si="3"/>
        <v>331.43999999999505</v>
      </c>
      <c r="H66" s="460">
        <f>G66+'16'!H66</f>
        <v>-5314.3300000000017</v>
      </c>
      <c r="I66" s="480"/>
      <c r="J66" s="552">
        <f>H66/DAY(B2)</f>
        <v>-312.60764705882366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'16'!F67</f>
        <v>258634.39</v>
      </c>
      <c r="F67" s="478">
        <v>259060.43</v>
      </c>
      <c r="G67" s="473">
        <f t="shared" si="3"/>
        <v>426.03999999997905</v>
      </c>
      <c r="H67" s="460">
        <f>G67+'16'!H67</f>
        <v>-5898.570000000007</v>
      </c>
      <c r="I67" s="489"/>
      <c r="J67" s="552">
        <f>H67/DAY(B2)</f>
        <v>-346.97470588235336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'16'!F69</f>
        <v>84160.27</v>
      </c>
      <c r="F69" s="478">
        <v>84334.43</v>
      </c>
      <c r="G69" s="473">
        <f t="shared" si="3"/>
        <v>174.15999999998894</v>
      </c>
      <c r="H69" s="460">
        <f>G69+'16'!H69</f>
        <v>-3180.570000000007</v>
      </c>
      <c r="I69" s="516"/>
      <c r="J69" s="552">
        <f>H69/DAY(B2)</f>
        <v>-187.09235294117687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84">
        <v>855695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'16'!F72</f>
        <v>856053</v>
      </c>
      <c r="F72" s="654">
        <v>856066</v>
      </c>
      <c r="G72" s="473">
        <f t="shared" ref="G72:G84" si="4">F72-E72</f>
        <v>13</v>
      </c>
      <c r="H72" s="460">
        <f>G72+'16'!H72</f>
        <v>-169</v>
      </c>
      <c r="I72" s="480"/>
      <c r="J72" s="552">
        <f>H72/DAY(B2)</f>
        <v>-9.9411764705882355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'16'!F73</f>
        <v>885956</v>
      </c>
      <c r="F73" s="655">
        <v>885958</v>
      </c>
      <c r="G73" s="652">
        <f t="shared" si="4"/>
        <v>2</v>
      </c>
      <c r="H73" s="460">
        <f>G73+'16'!H73</f>
        <v>-202</v>
      </c>
      <c r="I73" s="480"/>
      <c r="J73" s="552">
        <f>H73/DAY(B2)</f>
        <v>-11.882352941176471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'16'!F74</f>
        <v>88681.8</v>
      </c>
      <c r="F74" s="655">
        <v>88682.7</v>
      </c>
      <c r="G74" s="473">
        <f t="shared" si="4"/>
        <v>0.89999999999417923</v>
      </c>
      <c r="H74" s="460">
        <f>G74+'16'!H74</f>
        <v>-86092.34</v>
      </c>
      <c r="I74" s="480"/>
      <c r="J74" s="552">
        <f>H74/DAY(B2)</f>
        <v>-5064.2552941176473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'16'!F75</f>
        <v>14026.49</v>
      </c>
      <c r="F75" s="655">
        <v>14156.57</v>
      </c>
      <c r="G75" s="473">
        <f t="shared" si="4"/>
        <v>130.07999999999993</v>
      </c>
      <c r="H75" s="460">
        <f>G75+'16'!H75</f>
        <v>-1914.4300000000003</v>
      </c>
      <c r="I75" s="480"/>
      <c r="J75" s="552">
        <f>H75/DAY(B2)</f>
        <v>-112.61352941176472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'16'!F76</f>
        <v>8349.7199999999993</v>
      </c>
      <c r="F76" s="655">
        <v>8407.7999999999993</v>
      </c>
      <c r="G76" s="473">
        <f t="shared" si="4"/>
        <v>58.079999999999927</v>
      </c>
      <c r="H76" s="460">
        <f>G76+'16'!H76</f>
        <v>-2200.2000000000007</v>
      </c>
      <c r="I76" s="505"/>
      <c r="J76" s="552">
        <f>H76/DAY(B2)</f>
        <v>-129.42352941176475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'16'!F77</f>
        <v>703642</v>
      </c>
      <c r="F77" s="655">
        <v>703690</v>
      </c>
      <c r="G77" s="652">
        <f t="shared" si="4"/>
        <v>48</v>
      </c>
      <c r="H77" s="460">
        <f>G77+'16'!H77</f>
        <v>-684</v>
      </c>
      <c r="I77" s="505"/>
      <c r="J77" s="552">
        <f>H77/DAY(B2)</f>
        <v>-40.235294117647058</v>
      </c>
      <c r="K77" s="430"/>
      <c r="L77" s="377"/>
      <c r="N77" s="718"/>
      <c r="O77" s="725"/>
      <c r="P77" s="382"/>
    </row>
    <row r="78" spans="1:16" ht="27.75">
      <c r="A78" s="1225" t="s">
        <v>196</v>
      </c>
      <c r="B78" s="1218"/>
      <c r="C78" s="1218"/>
      <c r="D78" s="523" t="s">
        <v>186</v>
      </c>
      <c r="E78" s="519">
        <f>'16'!F78</f>
        <v>674088</v>
      </c>
      <c r="F78" s="656">
        <v>674191</v>
      </c>
      <c r="G78" s="473">
        <f t="shared" si="4"/>
        <v>103</v>
      </c>
      <c r="H78" s="460">
        <f>G78+'16'!H78</f>
        <v>-1223</v>
      </c>
      <c r="I78" s="505"/>
      <c r="J78" s="552">
        <f>H78/DAY(B2)</f>
        <v>-71.941176470588232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'16'!F79</f>
        <v>833360</v>
      </c>
      <c r="F79" s="656">
        <v>833493</v>
      </c>
      <c r="G79" s="473">
        <f t="shared" si="4"/>
        <v>133</v>
      </c>
      <c r="H79" s="460">
        <f>G79+'16'!H79</f>
        <v>-911</v>
      </c>
      <c r="I79" s="505"/>
      <c r="J79" s="552">
        <f>H79/DAY(B2)</f>
        <v>-53.588235294117645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'16'!F80</f>
        <v>533536</v>
      </c>
      <c r="F80" s="655">
        <v>533870.52</v>
      </c>
      <c r="G80" s="473">
        <f t="shared" si="4"/>
        <v>334.52000000001863</v>
      </c>
      <c r="H80" s="460">
        <f>G80+'16'!H80</f>
        <v>-1081</v>
      </c>
      <c r="I80" s="505"/>
      <c r="J80" s="552">
        <f>H80/DAY(B2)</f>
        <v>-63.588235294117645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'16'!F81</f>
        <v>640750.28</v>
      </c>
      <c r="F81" s="655">
        <v>640893.56000000006</v>
      </c>
      <c r="G81" s="473">
        <f t="shared" si="4"/>
        <v>143.28000000002794</v>
      </c>
      <c r="H81" s="460">
        <f>G81+'16'!H81</f>
        <v>-2091.4399999999441</v>
      </c>
      <c r="I81" s="505"/>
      <c r="J81" s="552">
        <f>H81/DAY(B2)</f>
        <v>-123.02588235293788</v>
      </c>
      <c r="K81" s="430"/>
      <c r="L81" s="377"/>
      <c r="N81" s="718"/>
      <c r="O81" s="725"/>
      <c r="P81" s="382"/>
    </row>
    <row r="82" spans="1:16" s="775" customFormat="1" ht="27.75">
      <c r="A82" s="1616" t="s">
        <v>92</v>
      </c>
      <c r="B82" s="1617"/>
      <c r="C82" s="1618"/>
      <c r="D82" s="626" t="s">
        <v>131</v>
      </c>
      <c r="E82" s="519">
        <f>'16'!F82</f>
        <v>108421.66</v>
      </c>
      <c r="F82" s="626">
        <v>108435.34</v>
      </c>
      <c r="G82" s="773">
        <f t="shared" si="4"/>
        <v>13.679999999993015</v>
      </c>
      <c r="H82" s="479">
        <f>G82+'16'!H82</f>
        <v>-245.66000000000349</v>
      </c>
      <c r="I82" s="479"/>
      <c r="J82" s="774">
        <f>H82/DAY(B2)</f>
        <v>-14.450588235294322</v>
      </c>
      <c r="K82" s="1215"/>
      <c r="L82" s="1216"/>
      <c r="N82" s="722"/>
      <c r="O82" s="726"/>
      <c r="P82" s="721"/>
    </row>
    <row r="83" spans="1:16" ht="27.75">
      <c r="A83" s="1543" t="s">
        <v>199</v>
      </c>
      <c r="B83" s="1544"/>
      <c r="C83" s="1545"/>
      <c r="D83" s="620" t="s">
        <v>131</v>
      </c>
      <c r="E83" s="519">
        <f>'16'!F83</f>
        <v>23742</v>
      </c>
      <c r="F83" s="511">
        <v>23906</v>
      </c>
      <c r="G83" s="473">
        <f t="shared" si="4"/>
        <v>164</v>
      </c>
      <c r="H83" s="460">
        <f>G83+'16'!H83</f>
        <v>-3645</v>
      </c>
      <c r="I83" s="481"/>
      <c r="J83" s="552">
        <f>H83/DAY(B2)</f>
        <v>-214.41176470588235</v>
      </c>
      <c r="K83" s="429"/>
      <c r="L83" s="377"/>
      <c r="N83" s="718"/>
      <c r="O83" s="725"/>
      <c r="P83" s="382"/>
    </row>
    <row r="84" spans="1:16">
      <c r="A84" s="1226" t="s">
        <v>200</v>
      </c>
      <c r="B84" s="571"/>
      <c r="C84" s="571"/>
      <c r="D84" s="478" t="s">
        <v>131</v>
      </c>
      <c r="E84" s="519">
        <f>'16'!F84</f>
        <v>511911</v>
      </c>
      <c r="F84" s="627">
        <v>512617</v>
      </c>
      <c r="G84" s="473">
        <f t="shared" si="4"/>
        <v>706</v>
      </c>
      <c r="H84" s="460">
        <f>G84+'16'!H84</f>
        <v>-10463</v>
      </c>
      <c r="I84" s="481"/>
      <c r="J84" s="552">
        <f>H84/DAY(B2)</f>
        <v>-615.47058823529414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1849.5400000000336</v>
      </c>
      <c r="H85" s="460">
        <f>G85+'16'!H85</f>
        <v>-114522.54999999993</v>
      </c>
      <c r="I85" s="481"/>
      <c r="J85" s="552">
        <f>H85/DAY(B2)</f>
        <v>-6736.6205882352897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'16'!F86</f>
        <v>461431.44</v>
      </c>
      <c r="F86" s="1462">
        <v>461458.28</v>
      </c>
      <c r="G86" s="705">
        <f t="shared" ref="G86:G91" si="5">F86-E86</f>
        <v>26.840000000025611</v>
      </c>
      <c r="H86" s="705">
        <f t="shared" ref="H86:H88" si="6">G86</f>
        <v>26.840000000025611</v>
      </c>
      <c r="I86" s="652"/>
      <c r="J86" s="707">
        <f>H86/DAY(B2)</f>
        <v>1.5788235294132713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'16'!F87</f>
        <v>81710.2</v>
      </c>
      <c r="F87" s="647">
        <v>81728.800000000003</v>
      </c>
      <c r="G87" s="705">
        <f t="shared" si="5"/>
        <v>18.600000000005821</v>
      </c>
      <c r="H87" s="705">
        <f t="shared" si="6"/>
        <v>18.600000000005821</v>
      </c>
      <c r="I87" s="652"/>
      <c r="J87" s="707">
        <f>H87/DAY(B2)</f>
        <v>1.094117647059166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'16'!F88</f>
        <v>154005.91</v>
      </c>
      <c r="F88" s="647">
        <v>154077.66</v>
      </c>
      <c r="G88" s="705">
        <f t="shared" si="5"/>
        <v>71.75</v>
      </c>
      <c r="H88" s="705">
        <f t="shared" si="6"/>
        <v>71.75</v>
      </c>
      <c r="I88" s="652"/>
      <c r="J88" s="707">
        <f>H88/DAY(B2)</f>
        <v>4.2205882352941178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'16'!F89</f>
        <v>65494.9</v>
      </c>
      <c r="F89" s="647">
        <v>65512.1</v>
      </c>
      <c r="G89" s="705">
        <f t="shared" si="5"/>
        <v>17.19999999999709</v>
      </c>
      <c r="H89" s="705">
        <f>G89</f>
        <v>17.19999999999709</v>
      </c>
      <c r="I89" s="652"/>
      <c r="J89" s="707">
        <f>H89/DAY(B2)</f>
        <v>1.0117647058821817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'16'!F90</f>
        <v>3302.3</v>
      </c>
      <c r="F90" s="647">
        <v>3303.9</v>
      </c>
      <c r="G90" s="705">
        <f t="shared" si="5"/>
        <v>1.5999999999999091</v>
      </c>
      <c r="H90" s="705">
        <f>G90</f>
        <v>1.5999999999999091</v>
      </c>
      <c r="I90" s="652"/>
      <c r="J90" s="707">
        <f>H90/DAY(B2)</f>
        <v>9.4117647058818185E-2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/>
      <c r="E91" s="627">
        <f>'16'!F91</f>
        <v>28140.4192</v>
      </c>
      <c r="F91" s="647">
        <v>28145.72</v>
      </c>
      <c r="G91" s="705">
        <f t="shared" si="5"/>
        <v>5.3008000000008906</v>
      </c>
      <c r="H91" s="705">
        <f>G91</f>
        <v>5.3008000000008906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28"/>
      <c r="C92" s="1228"/>
      <c r="D92" s="472"/>
      <c r="E92" s="472"/>
      <c r="F92" s="472" t="s">
        <v>267</v>
      </c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'16'!F93</f>
        <v>246236</v>
      </c>
      <c r="F93" s="478">
        <v>246293</v>
      </c>
      <c r="G93" s="473">
        <f t="shared" ref="G93:G94" si="7">F93-E93</f>
        <v>57</v>
      </c>
      <c r="H93" s="460">
        <f>G93+'16'!H93</f>
        <v>-1059</v>
      </c>
      <c r="I93" s="480"/>
      <c r="J93" s="552">
        <f>H93/DAY(B2)</f>
        <v>-62.294117647058826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'16'!F94</f>
        <v>187689</v>
      </c>
      <c r="F94" s="478">
        <v>187755</v>
      </c>
      <c r="G94" s="473">
        <f t="shared" si="7"/>
        <v>66</v>
      </c>
      <c r="H94" s="460">
        <f>G94+'16'!H94</f>
        <v>-1699</v>
      </c>
      <c r="I94" s="480"/>
      <c r="J94" s="552">
        <f>H94/DAY(B2)</f>
        <v>-99.941176470588232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'16'!F95</f>
        <v>0</v>
      </c>
      <c r="F95" s="478"/>
      <c r="G95" s="473">
        <f>G93+G94</f>
        <v>123</v>
      </c>
      <c r="H95" s="460">
        <f>G95+'16'!H95</f>
        <v>-2944</v>
      </c>
      <c r="I95" s="480"/>
      <c r="J95" s="552">
        <f>H95/DAY(B2)</f>
        <v>-173.1764705882353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'16'!F96</f>
        <v>415077</v>
      </c>
      <c r="F96" s="478">
        <v>415149</v>
      </c>
      <c r="G96" s="473">
        <f t="shared" ref="G96:G101" si="8">F96-E96</f>
        <v>72</v>
      </c>
      <c r="H96" s="460">
        <f>G96+'16'!H96</f>
        <v>-850</v>
      </c>
      <c r="I96" s="480"/>
      <c r="J96" s="552">
        <f>H96/DAY(B2)</f>
        <v>-50</v>
      </c>
      <c r="K96" s="380"/>
      <c r="L96" s="377"/>
      <c r="N96" s="718"/>
      <c r="O96" s="725"/>
      <c r="P96" s="382"/>
    </row>
    <row r="97" spans="1:16" ht="27.75">
      <c r="A97" s="1222" t="s">
        <v>209</v>
      </c>
      <c r="B97" s="1223"/>
      <c r="C97" s="1223"/>
      <c r="D97" s="523" t="s">
        <v>143</v>
      </c>
      <c r="E97" s="484">
        <f>'16'!F97</f>
        <v>102865</v>
      </c>
      <c r="F97" s="478">
        <v>102875</v>
      </c>
      <c r="G97" s="473">
        <f t="shared" si="8"/>
        <v>10</v>
      </c>
      <c r="H97" s="460">
        <f>G97+'16'!H97</f>
        <v>-288</v>
      </c>
      <c r="I97" s="480"/>
      <c r="J97" s="552">
        <f>H97/DAY(B2)</f>
        <v>-16.941176470588236</v>
      </c>
      <c r="K97" s="427"/>
      <c r="L97" s="377"/>
      <c r="N97" s="718"/>
      <c r="O97" s="725"/>
      <c r="P97" s="382"/>
    </row>
    <row r="98" spans="1:16" ht="27.75">
      <c r="A98" s="1222" t="s">
        <v>210</v>
      </c>
      <c r="B98" s="1223"/>
      <c r="C98" s="1223"/>
      <c r="D98" s="523" t="s">
        <v>143</v>
      </c>
      <c r="E98" s="484">
        <f>'16'!F98</f>
        <v>98293</v>
      </c>
      <c r="F98" s="478">
        <v>98315</v>
      </c>
      <c r="G98" s="473">
        <f t="shared" si="8"/>
        <v>22</v>
      </c>
      <c r="H98" s="460">
        <f>G98+'16'!H98</f>
        <v>-342</v>
      </c>
      <c r="I98" s="480"/>
      <c r="J98" s="552">
        <f>H98/DAY(B2)</f>
        <v>-20.117647058823529</v>
      </c>
      <c r="K98" s="432"/>
      <c r="L98" s="377"/>
      <c r="N98" s="718"/>
      <c r="O98" s="725"/>
      <c r="P98" s="382"/>
    </row>
    <row r="99" spans="1:16" ht="27.75">
      <c r="A99" s="1222" t="s">
        <v>211</v>
      </c>
      <c r="B99" s="1223"/>
      <c r="C99" s="1223"/>
      <c r="D99" s="523" t="s">
        <v>143</v>
      </c>
      <c r="E99" s="484">
        <f>'16'!F99</f>
        <v>149983</v>
      </c>
      <c r="F99" s="478">
        <v>149989</v>
      </c>
      <c r="G99" s="473">
        <f t="shared" si="8"/>
        <v>6</v>
      </c>
      <c r="H99" s="460">
        <f>G99+'16'!H99</f>
        <v>-416</v>
      </c>
      <c r="I99" s="480"/>
      <c r="J99" s="552">
        <f>H99/DAY(B2)</f>
        <v>-24.470588235294116</v>
      </c>
      <c r="K99" s="380"/>
      <c r="L99" s="377"/>
      <c r="N99" s="720"/>
      <c r="O99" s="725"/>
      <c r="P99" s="382"/>
    </row>
    <row r="100" spans="1:16" ht="27.75">
      <c r="A100" s="1222" t="s">
        <v>212</v>
      </c>
      <c r="B100" s="1223"/>
      <c r="C100" s="1223"/>
      <c r="D100" s="523" t="s">
        <v>143</v>
      </c>
      <c r="E100" s="484">
        <f>'16'!F100</f>
        <v>7543</v>
      </c>
      <c r="F100" s="478">
        <v>7547</v>
      </c>
      <c r="G100" s="473">
        <f t="shared" si="8"/>
        <v>4</v>
      </c>
      <c r="H100" s="460">
        <f>G100+'16'!H100</f>
        <v>-250</v>
      </c>
      <c r="I100" s="480"/>
      <c r="J100" s="552">
        <f>H100/DAY(B2)</f>
        <v>-14.705882352941176</v>
      </c>
      <c r="K100" s="380"/>
      <c r="L100" s="377"/>
      <c r="N100" s="718"/>
      <c r="O100" s="725"/>
      <c r="P100" s="382"/>
    </row>
    <row r="101" spans="1:16" ht="27.75">
      <c r="A101" s="1222" t="s">
        <v>213</v>
      </c>
      <c r="B101" s="1223"/>
      <c r="C101" s="1223"/>
      <c r="D101" s="523" t="s">
        <v>143</v>
      </c>
      <c r="E101" s="484">
        <f>'16'!F101</f>
        <v>5523</v>
      </c>
      <c r="F101" s="478">
        <v>5532</v>
      </c>
      <c r="G101" s="473">
        <f t="shared" si="8"/>
        <v>9</v>
      </c>
      <c r="H101" s="460">
        <f>G101+'16'!H101</f>
        <v>-142</v>
      </c>
      <c r="I101" s="480"/>
      <c r="J101" s="552">
        <f>H101/DAY(B2)</f>
        <v>-8.3529411764705888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123</v>
      </c>
      <c r="H102" s="460">
        <f>G102+'16'!H102</f>
        <v>-2288</v>
      </c>
      <c r="I102" s="526"/>
      <c r="J102" s="552">
        <f>H102/DAY(B2)</f>
        <v>-134.58823529411765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221"/>
      <c r="D105" s="622" t="s">
        <v>143</v>
      </c>
      <c r="E105" s="484">
        <f>'16'!F105</f>
        <v>7473</v>
      </c>
      <c r="F105" s="658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4.0811764705881881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221"/>
      <c r="D106" s="622" t="s">
        <v>143</v>
      </c>
      <c r="E106" s="484">
        <f>'16'!F106</f>
        <v>36033</v>
      </c>
      <c r="F106" s="659">
        <v>36053</v>
      </c>
      <c r="G106" s="532">
        <f t="shared" ref="G106:G107" si="9">F106-E106</f>
        <v>20</v>
      </c>
      <c r="H106" s="533">
        <f>SUM(G106+'1'!G77)</f>
        <v>73</v>
      </c>
      <c r="I106" s="532"/>
      <c r="J106" s="558">
        <f>H106/DAY(B2)</f>
        <v>4.2941176470588234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'16'!F107</f>
        <v>19769</v>
      </c>
      <c r="F107" s="783">
        <v>19767</v>
      </c>
      <c r="G107" s="532">
        <f t="shared" si="9"/>
        <v>-2</v>
      </c>
      <c r="H107" s="533">
        <f>SUM(G107+'1'!G78)</f>
        <v>112</v>
      </c>
      <c r="I107" s="532"/>
      <c r="J107" s="558">
        <f>H107/DAY(B2)</f>
        <v>6.5882352941176467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221"/>
      <c r="D108" s="622"/>
      <c r="E108" s="484">
        <f>'16'!F108</f>
        <v>0</v>
      </c>
      <c r="F108" s="659"/>
      <c r="G108" s="532">
        <f>SUM(G105:G107)</f>
        <v>18</v>
      </c>
      <c r="H108" s="533">
        <f>SUM(G108+'1'!G79)</f>
        <v>171</v>
      </c>
      <c r="I108" s="532"/>
      <c r="J108" s="558">
        <f>H108/DAY(B2)</f>
        <v>10.058823529411764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221"/>
      <c r="D109" s="622" t="s">
        <v>143</v>
      </c>
      <c r="E109" s="484">
        <f>'16'!F109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221"/>
      <c r="D110" s="622" t="s">
        <v>143</v>
      </c>
      <c r="E110" s="484">
        <f>'16'!F110</f>
        <v>63771</v>
      </c>
      <c r="F110" s="659">
        <v>63832</v>
      </c>
      <c r="G110" s="532">
        <f>F110-E110</f>
        <v>61</v>
      </c>
      <c r="H110" s="533">
        <f>SUM(G110+'1'!G81)</f>
        <v>192.64000000001397</v>
      </c>
      <c r="I110" s="532"/>
      <c r="J110" s="558">
        <f>H110/DAY(B2)</f>
        <v>11.331764705883174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221"/>
      <c r="D111" s="622" t="s">
        <v>143</v>
      </c>
      <c r="E111" s="484">
        <f>'16'!F111</f>
        <v>32710</v>
      </c>
      <c r="F111" s="659">
        <v>32720</v>
      </c>
      <c r="G111" s="532">
        <f t="shared" ref="G111:G112" si="10">F111-E111</f>
        <v>10</v>
      </c>
      <c r="H111" s="533">
        <f>SUM(G111+'1'!G82)</f>
        <v>34.899999999994179</v>
      </c>
      <c r="I111" s="532"/>
      <c r="J111" s="558">
        <f>H111/DAY(B2)</f>
        <v>2.0529411764702457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221"/>
      <c r="D112" s="622" t="s">
        <v>143</v>
      </c>
      <c r="E112" s="484">
        <f>'16'!F112</f>
        <v>4621</v>
      </c>
      <c r="F112" s="659">
        <v>4621</v>
      </c>
      <c r="G112" s="532">
        <f t="shared" si="10"/>
        <v>0</v>
      </c>
      <c r="H112" s="533">
        <f>SUM(G112+'1'!G83)</f>
        <v>351</v>
      </c>
      <c r="I112" s="532"/>
      <c r="J112" s="558">
        <f>H112/DAY(B2)</f>
        <v>20.647058823529413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221"/>
      <c r="D113" s="622"/>
      <c r="E113" s="484">
        <f>'16'!F113</f>
        <v>0</v>
      </c>
      <c r="F113" s="659"/>
      <c r="G113" s="532">
        <f>SUM(G110:G112)</f>
        <v>71</v>
      </c>
      <c r="H113" s="533">
        <f>SUM(G113+'1'!G84)</f>
        <v>887</v>
      </c>
      <c r="I113" s="532"/>
      <c r="J113" s="558">
        <f>H113/DAY(B2)</f>
        <v>52.176470588235297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221"/>
      <c r="D114" s="622"/>
      <c r="E114" s="484">
        <f>'16'!F114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'16'!F115</f>
        <v>11713</v>
      </c>
      <c r="F115" s="659">
        <v>11718</v>
      </c>
      <c r="G115" s="534">
        <f>F115-E115</f>
        <v>5</v>
      </c>
      <c r="H115" s="533">
        <f>SUM(G115+'1'!G92)</f>
        <v>5</v>
      </c>
      <c r="I115" s="532"/>
      <c r="J115" s="558">
        <f>H115/DAY(B2)</f>
        <v>0.29411764705882354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'16'!F116</f>
        <v>8431</v>
      </c>
      <c r="F116" s="659">
        <v>8437</v>
      </c>
      <c r="G116" s="534">
        <f t="shared" ref="G116:G117" si="11">F116-E116</f>
        <v>6</v>
      </c>
      <c r="H116" s="533">
        <f>SUM(G116+'1'!G93)</f>
        <v>95</v>
      </c>
      <c r="I116" s="532"/>
      <c r="J116" s="558">
        <f>H116/DAY(B2)</f>
        <v>5.5882352941176467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1"/>
        <v>0</v>
      </c>
      <c r="H117" s="533">
        <f>SUM(G117+'1'!G94)</f>
        <v>97</v>
      </c>
      <c r="I117" s="532"/>
      <c r="J117" s="558">
        <f>H117/DAY(B2)</f>
        <v>5.7058823529411766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11</v>
      </c>
      <c r="H118" s="533">
        <f>SUM(G118+'1'!G96)</f>
        <v>97</v>
      </c>
      <c r="I118" s="534"/>
      <c r="J118" s="558">
        <f>H118/DAY(B2)</f>
        <v>5.7058823529411766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219"/>
      <c r="D119" s="624" t="s">
        <v>143</v>
      </c>
      <c r="E119" s="536"/>
      <c r="F119" s="660">
        <f>SUM(G19+G93)</f>
        <v>119</v>
      </c>
      <c r="G119" s="536">
        <f>SUM(G19+G93)</f>
        <v>119</v>
      </c>
      <c r="H119" s="533">
        <f>SUM(G119+'1'!G97)</f>
        <v>136</v>
      </c>
      <c r="I119" s="535"/>
      <c r="J119" s="559">
        <f>H119/DAY(B2)</f>
        <v>8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219"/>
      <c r="D120" s="624" t="s">
        <v>143</v>
      </c>
      <c r="E120" s="536"/>
      <c r="F120" s="660">
        <f>SUM(G96,G97,G98,G100,G101)</f>
        <v>117</v>
      </c>
      <c r="G120" s="536">
        <f>SUM(G96,G97,G98,G100,G101)</f>
        <v>117</v>
      </c>
      <c r="H120" s="533">
        <f>SUM(G120+'1'!G99)</f>
        <v>167</v>
      </c>
      <c r="I120" s="535"/>
      <c r="J120" s="559">
        <f>H120/DAY(B2)</f>
        <v>9.8235294117647065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219"/>
      <c r="D121" s="624" t="s">
        <v>143</v>
      </c>
      <c r="E121" s="534"/>
      <c r="F121" s="659">
        <f>SUM(G113)</f>
        <v>71</v>
      </c>
      <c r="G121" s="534">
        <f>SUM(G113)</f>
        <v>71</v>
      </c>
      <c r="H121" s="533">
        <f>SUM(G121+'1'!G101)</f>
        <v>76</v>
      </c>
      <c r="I121" s="535"/>
      <c r="J121" s="559">
        <f>H121/DAY(B2)</f>
        <v>4.4705882352941178</v>
      </c>
      <c r="N121" s="718"/>
      <c r="O121" s="725"/>
      <c r="P121" s="382"/>
    </row>
    <row r="122" spans="1:16" s="442" customFormat="1" ht="27.75">
      <c r="A122" s="1549"/>
      <c r="B122" s="1550"/>
      <c r="C122" s="1220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222" t="s">
        <v>230</v>
      </c>
      <c r="B124" s="1223"/>
      <c r="C124" s="1223"/>
      <c r="D124" s="523" t="s">
        <v>140</v>
      </c>
      <c r="E124" s="478">
        <f>'16'!F124</f>
        <v>835712.66</v>
      </c>
      <c r="F124" s="478">
        <v>836015.84</v>
      </c>
      <c r="G124" s="473">
        <f t="shared" ref="G124:G128" si="12">F124-E124</f>
        <v>303.17999999993481</v>
      </c>
      <c r="H124" s="460">
        <f>G124+'16'!H124</f>
        <v>-3654.1600000000326</v>
      </c>
      <c r="I124" s="526"/>
      <c r="J124" s="552">
        <f>H124/DAY(B2)</f>
        <v>-214.95058823529604</v>
      </c>
      <c r="K124" s="380"/>
      <c r="L124" s="377"/>
      <c r="N124" s="718"/>
      <c r="O124" s="725"/>
      <c r="P124" s="382"/>
    </row>
    <row r="125" spans="1:16" ht="27.75">
      <c r="A125" s="1222" t="s">
        <v>231</v>
      </c>
      <c r="B125" s="1223"/>
      <c r="C125" s="1223"/>
      <c r="D125" s="523" t="s">
        <v>140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'16'!F126</f>
        <v>147506.38</v>
      </c>
      <c r="F126" s="478">
        <v>147575.88</v>
      </c>
      <c r="G126" s="473">
        <f t="shared" si="12"/>
        <v>69.5</v>
      </c>
      <c r="H126" s="460">
        <f>G126+'16'!H126</f>
        <v>-1021.1199999999953</v>
      </c>
      <c r="I126" s="526"/>
      <c r="J126" s="552">
        <f>H126/DAY(B2)</f>
        <v>-60.065882352940903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223"/>
      <c r="C127" s="1223"/>
      <c r="D127" s="523" t="s">
        <v>140</v>
      </c>
      <c r="E127" s="626">
        <f>'16'!F127</f>
        <v>31561.200000000001</v>
      </c>
      <c r="F127" s="626">
        <v>31591.200000000001</v>
      </c>
      <c r="G127" s="473">
        <f t="shared" si="12"/>
        <v>30</v>
      </c>
      <c r="H127" s="460">
        <f>G127+'16'!H127</f>
        <v>-479.79999999999927</v>
      </c>
      <c r="I127" s="526"/>
      <c r="J127" s="552">
        <f>H127/DAY(B2)</f>
        <v>-28.223529411764662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223"/>
      <c r="C128" s="1223"/>
      <c r="D128" s="523" t="s">
        <v>140</v>
      </c>
      <c r="E128" s="626">
        <f>'16'!F128</f>
        <v>8976.2999999999993</v>
      </c>
      <c r="F128" s="626">
        <v>8976.4</v>
      </c>
      <c r="G128" s="473">
        <f t="shared" si="12"/>
        <v>0.1000000000003638</v>
      </c>
      <c r="H128" s="460">
        <f>G128+'16'!H128</f>
        <v>-35.600000000000364</v>
      </c>
      <c r="I128" s="480"/>
      <c r="J128" s="552">
        <f>H128/DAY(B2)</f>
        <v>-2.094117647058845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223"/>
      <c r="C129" s="1223"/>
      <c r="D129" s="523"/>
      <c r="E129" s="478"/>
      <c r="F129" s="478"/>
      <c r="G129" s="473">
        <f>G15-SUM(G124:G128)</f>
        <v>297.22000000006483</v>
      </c>
      <c r="H129" s="460">
        <f>G129+'16'!H129</f>
        <v>635.68000000002758</v>
      </c>
      <c r="I129" s="480"/>
      <c r="J129" s="552">
        <f>H129/DAY(B2)</f>
        <v>37.392941176472213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222" t="s">
        <v>237</v>
      </c>
      <c r="B131" s="1223"/>
      <c r="C131" s="1223"/>
      <c r="D131" s="523" t="s">
        <v>238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222" t="s">
        <v>239</v>
      </c>
      <c r="B132" s="1223"/>
      <c r="C132" s="1223"/>
      <c r="D132" s="523" t="s">
        <v>238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222" t="s">
        <v>240</v>
      </c>
      <c r="B133" s="1223"/>
      <c r="C133" s="1223"/>
      <c r="D133" s="523" t="s">
        <v>238</v>
      </c>
      <c r="E133" s="541">
        <f>'16'!F133</f>
        <v>40266.31</v>
      </c>
      <c r="F133" s="651">
        <v>40284</v>
      </c>
      <c r="G133" s="473">
        <f>F133-E133</f>
        <v>17.690000000002328</v>
      </c>
      <c r="H133" s="460">
        <f>G133+'16'!H133</f>
        <v>-169</v>
      </c>
      <c r="I133" s="480"/>
      <c r="J133" s="552">
        <f>H133/DAY(B2)</f>
        <v>-9.9411764705882355</v>
      </c>
      <c r="N133" s="718"/>
      <c r="O133" s="725"/>
      <c r="P133" s="382"/>
    </row>
    <row r="134" spans="1:16" ht="27.75">
      <c r="A134" s="1222" t="s">
        <v>241</v>
      </c>
      <c r="B134" s="1223"/>
      <c r="C134" s="1223"/>
      <c r="D134" s="523" t="s">
        <v>238</v>
      </c>
      <c r="E134" s="701">
        <f>'16'!F134</f>
        <v>300</v>
      </c>
      <c r="F134" s="626">
        <v>300</v>
      </c>
      <c r="G134" s="473">
        <f t="shared" si="13"/>
        <v>0</v>
      </c>
      <c r="H134" s="460">
        <f>G134+'16'!H134</f>
        <v>0</v>
      </c>
      <c r="I134" s="480">
        <f>G131+G132+G133+G134</f>
        <v>17.690000000002328</v>
      </c>
      <c r="J134" s="552">
        <f>H134/DAY(B2)</f>
        <v>0</v>
      </c>
      <c r="N134" s="718"/>
      <c r="O134" s="725"/>
      <c r="P134" s="382"/>
    </row>
    <row r="135" spans="1:16" ht="27.75">
      <c r="A135" s="1222" t="s">
        <v>242</v>
      </c>
      <c r="B135" s="1223"/>
      <c r="C135" s="1223"/>
      <c r="D135" s="523" t="s">
        <v>238</v>
      </c>
      <c r="E135" s="701">
        <f>'16'!F135</f>
        <v>41743</v>
      </c>
      <c r="F135" s="626">
        <v>41751.269999999997</v>
      </c>
      <c r="G135" s="473">
        <f t="shared" si="13"/>
        <v>8.2699999999967986</v>
      </c>
      <c r="H135" s="460">
        <f>G135+'16'!H135</f>
        <v>-220.7300000000032</v>
      </c>
      <c r="I135" s="480"/>
      <c r="J135" s="552">
        <f>H135/DAY(B2)</f>
        <v>-12.984117647059012</v>
      </c>
      <c r="N135" s="718"/>
      <c r="O135" s="725"/>
      <c r="P135" s="382"/>
    </row>
    <row r="136" spans="1:16" ht="27.75">
      <c r="A136" s="1222" t="s">
        <v>243</v>
      </c>
      <c r="B136" s="1223"/>
      <c r="C136" s="1223"/>
      <c r="D136" s="523" t="s">
        <v>238</v>
      </c>
      <c r="E136" s="541">
        <f>'16'!F136</f>
        <v>32874</v>
      </c>
      <c r="F136" s="651">
        <v>32874</v>
      </c>
      <c r="G136" s="473">
        <f t="shared" si="13"/>
        <v>0</v>
      </c>
      <c r="H136" s="460">
        <f>G136+'16'!H136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222" t="s">
        <v>244</v>
      </c>
      <c r="B137" s="1223"/>
      <c r="C137" s="1223"/>
      <c r="D137" s="523" t="s">
        <v>238</v>
      </c>
      <c r="E137" s="541">
        <f>'16'!F137</f>
        <v>22850.49</v>
      </c>
      <c r="F137" s="651">
        <v>22859.1</v>
      </c>
      <c r="G137" s="473">
        <f t="shared" si="13"/>
        <v>8.6099999999969441</v>
      </c>
      <c r="H137" s="460">
        <f>G137+'16'!H137</f>
        <v>-32.390000000003056</v>
      </c>
      <c r="I137" s="480">
        <f>G135+G136+G137</f>
        <v>16.879999999993743</v>
      </c>
      <c r="J137" s="552">
        <f>H137/DAY(B2)</f>
        <v>-1.9052941176472387</v>
      </c>
      <c r="N137" s="718"/>
      <c r="O137" s="725"/>
      <c r="P137" s="382"/>
    </row>
    <row r="138" spans="1:16" ht="27.75">
      <c r="A138" s="1222" t="s">
        <v>245</v>
      </c>
      <c r="B138" s="1223"/>
      <c r="C138" s="1223"/>
      <c r="D138" s="523" t="s">
        <v>238</v>
      </c>
      <c r="E138" s="541">
        <f>'16'!F138</f>
        <v>25051.82</v>
      </c>
      <c r="F138" s="651">
        <v>25051.82</v>
      </c>
      <c r="G138" s="473">
        <f t="shared" si="13"/>
        <v>0</v>
      </c>
      <c r="H138" s="460">
        <f>G138+'16'!H138</f>
        <v>-39.569999999999709</v>
      </c>
      <c r="I138" s="480"/>
      <c r="J138" s="552">
        <f>H138/DAY(B2)</f>
        <v>-2.3276470588235121</v>
      </c>
      <c r="N138" s="718"/>
      <c r="O138" s="725"/>
      <c r="P138" s="382"/>
    </row>
    <row r="139" spans="1:16" ht="27.75">
      <c r="A139" s="1222" t="s">
        <v>246</v>
      </c>
      <c r="B139" s="1223"/>
      <c r="C139" s="1223"/>
      <c r="D139" s="523" t="s">
        <v>238</v>
      </c>
      <c r="E139" s="541">
        <f>'16'!F139</f>
        <v>70470.63</v>
      </c>
      <c r="F139" s="651">
        <v>70470.63</v>
      </c>
      <c r="G139" s="473">
        <f t="shared" si="13"/>
        <v>0</v>
      </c>
      <c r="H139" s="460">
        <f>G139+'16'!H139</f>
        <v>-42.989999999990687</v>
      </c>
      <c r="I139" s="480">
        <f>G138+G139</f>
        <v>0</v>
      </c>
      <c r="J139" s="552">
        <f>H139/DAY(B2)</f>
        <v>-2.5288235294112167</v>
      </c>
      <c r="N139" s="718"/>
      <c r="O139" s="725"/>
      <c r="P139" s="382"/>
    </row>
    <row r="140" spans="1:16" ht="27.75">
      <c r="A140" s="1222" t="s">
        <v>247</v>
      </c>
      <c r="B140" s="1223"/>
      <c r="C140" s="1223"/>
      <c r="D140" s="523" t="s">
        <v>238</v>
      </c>
      <c r="E140" s="701">
        <f>'16'!F140</f>
        <v>1982.12</v>
      </c>
      <c r="F140" s="626">
        <v>1993.42</v>
      </c>
      <c r="G140" s="473">
        <f t="shared" si="13"/>
        <v>11.300000000000182</v>
      </c>
      <c r="H140" s="460">
        <f>G140+'16'!H140</f>
        <v>-135.75999999999976</v>
      </c>
      <c r="I140" s="542"/>
      <c r="J140" s="552">
        <f>H140/DAY(B2)</f>
        <v>-7.9858823529411627</v>
      </c>
      <c r="N140" s="718"/>
      <c r="O140" s="725"/>
      <c r="P140" s="382"/>
    </row>
    <row r="141" spans="1:16" ht="27.75">
      <c r="A141" s="1222" t="s">
        <v>248</v>
      </c>
      <c r="B141" s="1223"/>
      <c r="C141" s="1223"/>
      <c r="D141" s="523" t="s">
        <v>238</v>
      </c>
      <c r="E141" s="484">
        <f>'16'!F141</f>
        <v>4636.88</v>
      </c>
      <c r="F141" s="478">
        <v>4636.88</v>
      </c>
      <c r="G141" s="473">
        <f t="shared" si="13"/>
        <v>0</v>
      </c>
      <c r="H141" s="460">
        <f>G141+'16'!H141</f>
        <v>-0.11999999999989086</v>
      </c>
      <c r="I141" s="542"/>
      <c r="J141" s="552">
        <f>H141/DAY(B2)</f>
        <v>-7.0588235294053447E-3</v>
      </c>
      <c r="N141" s="718"/>
      <c r="O141" s="725"/>
      <c r="P141" s="382"/>
    </row>
    <row r="142" spans="1:16">
      <c r="A142" s="1562" t="s">
        <v>249</v>
      </c>
      <c r="B142" s="1563"/>
      <c r="C142" s="1228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v>3349</v>
      </c>
      <c r="H143" s="460">
        <f>G143+'16'!H143</f>
        <v>-75036.749999999956</v>
      </c>
      <c r="I143" s="480"/>
      <c r="J143" s="552">
        <f>H143/DAY(B2)</f>
        <v>-4413.9264705882324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0.15576744186046512</v>
      </c>
      <c r="H144" s="460">
        <f>G144+'16'!H144</f>
        <v>-3.485765877220099</v>
      </c>
      <c r="I144" s="544"/>
      <c r="J144" s="552">
        <f>H144/DAY(B2)</f>
        <v>-0.2050450516011823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5676.4399999999587</v>
      </c>
      <c r="H145" s="460">
        <f>G145+'16'!H145</f>
        <v>-81343.199999999997</v>
      </c>
      <c r="I145" s="480"/>
      <c r="J145" s="552">
        <f>H145/DAY(B2)</f>
        <v>-4784.8941176470589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0.26402046511627714</v>
      </c>
      <c r="H146" s="460">
        <f>G146+'16'!H146</f>
        <v>-3.7841122723761926</v>
      </c>
      <c r="I146" s="544"/>
      <c r="J146" s="552">
        <f>H146/DAY(B2)</f>
        <v>-0.22259483955154075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3280.1699999999255</v>
      </c>
      <c r="H147" s="460">
        <f>G147+'16'!H147</f>
        <v>-46802.340000000026</v>
      </c>
      <c r="I147" s="545"/>
      <c r="J147" s="552">
        <f>H147/DAY(B2)</f>
        <v>-2753.0788235294131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0.15256604651162445</v>
      </c>
      <c r="H148" s="460">
        <f>G148+'16'!H148</f>
        <v>-2.1736680383210762</v>
      </c>
      <c r="I148" s="545"/>
      <c r="J148" s="552">
        <f>H148/DAY(B2)</f>
        <v>-0.12786282578359273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1378.820000000007</v>
      </c>
      <c r="H149" s="460">
        <f>G149+'16'!H149</f>
        <v>-20465.800000000047</v>
      </c>
      <c r="I149" s="480"/>
      <c r="J149" s="552">
        <f>H149/DAY(B2)</f>
        <v>-1203.870588235297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6.4131162790697999E-2</v>
      </c>
      <c r="H150" s="460">
        <f>G150+'16'!H150</f>
        <v>-0.95168739060293905</v>
      </c>
      <c r="I150" s="545"/>
      <c r="J150" s="552">
        <f>H150/DAY(B2)</f>
        <v>-5.5981611211937593E-2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1716.0300000000279</v>
      </c>
      <c r="H151" s="460">
        <f>G151+'16'!H151</f>
        <v>-25850.979999999974</v>
      </c>
      <c r="I151" s="545"/>
      <c r="J151" s="552">
        <f>H151/DAY(B2)</f>
        <v>-1520.6458823529397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7.9815348837210601E-2</v>
      </c>
      <c r="H152" s="460">
        <f>G152+'16'!H152</f>
        <v>-1.202909747806914</v>
      </c>
      <c r="I152" s="480"/>
      <c r="J152" s="552">
        <f>H152/DAY(B2)</f>
        <v>-7.0759396929818474E-2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1431.4800000000105</v>
      </c>
      <c r="H153" s="460">
        <f>G153+'16'!H153</f>
        <v>-19218.72</v>
      </c>
      <c r="I153" s="480"/>
      <c r="J153" s="552">
        <f>H153/DAY(B2)</f>
        <v>-1130.5129411764706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6.6580465116279561E-2</v>
      </c>
      <c r="H154" s="460">
        <f>G154+'16'!H154</f>
        <v>-0.89249472379211858</v>
      </c>
      <c r="I154" s="568"/>
      <c r="J154" s="569">
        <f>H154/DAY(B2)</f>
        <v>-5.2499689634830503E-2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'16'!F161</f>
        <v>39719.64</v>
      </c>
      <c r="F161" s="803">
        <v>39799.879999999997</v>
      </c>
      <c r="G161" s="473">
        <f t="shared" ref="G161:G164" si="14">F161-E161</f>
        <v>80.239999999997963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'16'!F162</f>
        <v>101503.63</v>
      </c>
      <c r="F162" s="803">
        <v>101956.39</v>
      </c>
      <c r="G162" s="473">
        <f t="shared" si="14"/>
        <v>452.75999999999476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'16'!F163</f>
        <v>48271.33</v>
      </c>
      <c r="F163" s="783">
        <v>48474.5</v>
      </c>
      <c r="G163" s="473">
        <f t="shared" si="14"/>
        <v>203.16999999999825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'16'!F164</f>
        <v>6710.01</v>
      </c>
      <c r="F164" s="803">
        <v>6720.43</v>
      </c>
      <c r="G164" s="473">
        <f t="shared" si="14"/>
        <v>10.420000000000073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f t="shared" ref="E166:E172" si="16">E63</f>
        <v>0</v>
      </c>
      <c r="F166" s="514">
        <f t="shared" ref="F166:F172" si="17">F63</f>
        <v>0</v>
      </c>
      <c r="G166" s="473">
        <f t="shared" si="15"/>
        <v>0</v>
      </c>
      <c r="N166" s="718"/>
    </row>
    <row r="167" spans="1:14" ht="27.75">
      <c r="A167" s="1612" t="s">
        <v>98</v>
      </c>
      <c r="B167" s="1612"/>
      <c r="C167" s="1612"/>
      <c r="D167" s="524" t="s">
        <v>186</v>
      </c>
      <c r="E167" s="522">
        <f t="shared" si="16"/>
        <v>164857.35</v>
      </c>
      <c r="F167" s="514">
        <f t="shared" si="17"/>
        <v>165201.93</v>
      </c>
      <c r="G167" s="473">
        <f t="shared" si="15"/>
        <v>344.57999999998719</v>
      </c>
      <c r="N167" s="718"/>
    </row>
    <row r="168" spans="1:14" ht="27.75">
      <c r="A168" s="1612" t="s">
        <v>99</v>
      </c>
      <c r="B168" s="1612"/>
      <c r="C168" s="1612"/>
      <c r="D168" s="524" t="s">
        <v>186</v>
      </c>
      <c r="E168" s="522">
        <f t="shared" si="16"/>
        <v>165153.25</v>
      </c>
      <c r="F168" s="514">
        <f>F65</f>
        <v>165495.54999999999</v>
      </c>
      <c r="G168" s="473">
        <f t="shared" si="15"/>
        <v>342.29999999998836</v>
      </c>
      <c r="N168" s="718"/>
    </row>
    <row r="169" spans="1:14" ht="27.75">
      <c r="A169" s="1612" t="s">
        <v>100</v>
      </c>
      <c r="B169" s="1612"/>
      <c r="C169" s="1612"/>
      <c r="D169" s="524" t="s">
        <v>186</v>
      </c>
      <c r="E169" s="522">
        <f t="shared" si="16"/>
        <v>62324.23</v>
      </c>
      <c r="F169" s="514">
        <f t="shared" si="17"/>
        <v>62655.67</v>
      </c>
      <c r="G169" s="473">
        <f t="shared" si="15"/>
        <v>331.43999999999505</v>
      </c>
      <c r="N169" s="718"/>
    </row>
    <row r="170" spans="1:14" ht="27.75">
      <c r="A170" s="1612" t="s">
        <v>101</v>
      </c>
      <c r="B170" s="1612"/>
      <c r="C170" s="1612"/>
      <c r="D170" s="524" t="s">
        <v>186</v>
      </c>
      <c r="E170" s="522">
        <f t="shared" si="16"/>
        <v>258634.39</v>
      </c>
      <c r="F170" s="514">
        <f t="shared" si="17"/>
        <v>259060.43</v>
      </c>
      <c r="G170" s="473">
        <f t="shared" si="15"/>
        <v>426.03999999997905</v>
      </c>
      <c r="N170" s="718"/>
    </row>
    <row r="171" spans="1:14" ht="27.75">
      <c r="A171" s="1612" t="s">
        <v>102</v>
      </c>
      <c r="B171" s="1612"/>
      <c r="C171" s="1612"/>
      <c r="D171" s="524" t="s">
        <v>186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22">
        <f t="shared" si="16"/>
        <v>84160.27</v>
      </c>
      <c r="F172" s="514">
        <f t="shared" si="17"/>
        <v>84334.43</v>
      </c>
      <c r="G172" s="473">
        <f t="shared" si="15"/>
        <v>174.15999999998894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2364.9299999999294</v>
      </c>
      <c r="N173" s="718"/>
    </row>
    <row r="174" spans="1:14">
      <c r="N174" s="718"/>
    </row>
    <row r="175" spans="1:14">
      <c r="A175" s="1587" t="s">
        <v>352</v>
      </c>
      <c r="B175" s="1550"/>
      <c r="C175" s="785"/>
      <c r="D175" s="523" t="s">
        <v>186</v>
      </c>
      <c r="N175" s="718"/>
    </row>
    <row r="176" spans="1:14">
      <c r="A176" s="1587" t="s">
        <v>353</v>
      </c>
      <c r="B176" s="1550"/>
      <c r="C176" s="785"/>
      <c r="D176" s="523" t="s">
        <v>186</v>
      </c>
      <c r="N176" s="718"/>
    </row>
    <row r="177" spans="14:14" ht="18.75" customHeight="1">
      <c r="N177" s="718"/>
    </row>
    <row r="178" spans="14:14" ht="18.75" customHeight="1">
      <c r="N178" s="718"/>
    </row>
    <row r="179" spans="14:14" ht="17.25" customHeight="1">
      <c r="N179" s="718"/>
    </row>
    <row r="180" spans="14:14" ht="18.75" customHeight="1">
      <c r="N180" s="718"/>
    </row>
    <row r="181" spans="14:14" ht="18.75" customHeight="1">
      <c r="N181" s="718"/>
    </row>
    <row r="182" spans="14:14" ht="17.25" customHeight="1">
      <c r="N182" s="718"/>
    </row>
    <row r="183" spans="14:14" ht="18.75" customHeight="1">
      <c r="N183" s="718"/>
    </row>
    <row r="184" spans="14:14" ht="18.75" customHeight="1">
      <c r="N184" s="718"/>
    </row>
    <row r="185" spans="14:14" ht="17.25" customHeight="1">
      <c r="N185" s="718"/>
    </row>
    <row r="186" spans="14:14" ht="17.25" customHeight="1">
      <c r="N186" s="718"/>
    </row>
    <row r="187" spans="14:14" ht="17.25" customHeight="1">
      <c r="N187" s="718"/>
    </row>
    <row r="188" spans="14:14" ht="17.25" customHeight="1">
      <c r="N188" s="718"/>
    </row>
    <row r="189" spans="14:14" ht="17.25" customHeight="1">
      <c r="N189" s="718"/>
    </row>
    <row r="190" spans="14:14" ht="17.25" customHeight="1">
      <c r="N190" s="718"/>
    </row>
    <row r="191" spans="14:14" ht="17.25" customHeight="1">
      <c r="N191" s="718"/>
    </row>
    <row r="192" spans="14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49" zoomScale="55" zoomScaleNormal="68" zoomScaleSheetLayoutView="55" workbookViewId="0">
      <selection activeCell="F15" sqref="F15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3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363</v>
      </c>
      <c r="B2" s="1031">
        <v>44365</v>
      </c>
      <c r="C2" s="1321" t="s">
        <v>68</v>
      </c>
      <c r="D2" s="611">
        <v>0.54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321" t="s">
        <v>119</v>
      </c>
      <c r="D3" s="612">
        <v>29</v>
      </c>
      <c r="E3" s="1573" t="s">
        <v>120</v>
      </c>
      <c r="F3" s="1574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7"/>
      <c r="O3" s="724"/>
    </row>
    <row r="4" spans="1:16" s="281" customFormat="1" ht="27">
      <c r="A4" s="576"/>
      <c r="B4" s="616"/>
      <c r="C4" s="1321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'17'!F7</f>
        <v>287295.56</v>
      </c>
      <c r="F7" s="455">
        <f>E7+21500</f>
        <v>308795.56</v>
      </c>
      <c r="G7" s="678">
        <f>F7-E7</f>
        <v>21500</v>
      </c>
      <c r="H7" s="679">
        <f>G7+'17'!H7</f>
        <v>386842.56000000006</v>
      </c>
      <c r="I7" s="680">
        <f>'1'!I7</f>
        <v>12000</v>
      </c>
      <c r="J7" s="681">
        <f>H7/DAY(B2)</f>
        <v>21491.253333333338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'17'!F8</f>
        <v>292953.78999999998</v>
      </c>
      <c r="F8" s="475">
        <f>E8+21500</f>
        <v>314453.78999999998</v>
      </c>
      <c r="G8" s="689">
        <f>F8-E8</f>
        <v>21500</v>
      </c>
      <c r="H8" s="679">
        <f>G8+'17'!H8</f>
        <v>387731.79</v>
      </c>
      <c r="I8" s="686">
        <f>'1'!I8</f>
        <v>12000</v>
      </c>
      <c r="J8" s="681">
        <f>H8/DAY(B2)</f>
        <v>21540.654999999999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'17'!F9</f>
        <v>1767757.9</v>
      </c>
      <c r="F9" s="478">
        <v>1787137.7</v>
      </c>
      <c r="G9" s="702">
        <f t="shared" ref="G9:G12" si="0">F9-E9</f>
        <v>19379.800000000047</v>
      </c>
      <c r="H9" s="679">
        <f>G9+'17'!H9</f>
        <v>-243864.30000000005</v>
      </c>
      <c r="I9" s="690">
        <f>I7-J7</f>
        <v>-9491.2533333333377</v>
      </c>
      <c r="J9" s="681">
        <f>H9/DAY(B2)</f>
        <v>-13548.01666666667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'17'!F10</f>
        <v>2606.85</v>
      </c>
      <c r="F10" s="478">
        <v>2606.85</v>
      </c>
      <c r="G10" s="689">
        <f t="shared" si="0"/>
        <v>0</v>
      </c>
      <c r="H10" s="679">
        <f>G10+'17'!H10</f>
        <v>0.29999999999972715</v>
      </c>
      <c r="I10" s="691"/>
      <c r="J10" s="681">
        <f>H10/DAY(B2)</f>
        <v>1.6666666666651508E-2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'17'!F11</f>
        <v>37000</v>
      </c>
      <c r="F11" s="455">
        <v>37000</v>
      </c>
      <c r="G11" s="689">
        <f t="shared" si="0"/>
        <v>0</v>
      </c>
      <c r="H11" s="679">
        <f>G11+'17'!H11</f>
        <v>0</v>
      </c>
      <c r="I11" s="691"/>
      <c r="J11" s="681">
        <f>H11/DAY(B2)</f>
        <v>0</v>
      </c>
      <c r="K11" s="428"/>
      <c r="L11" s="377"/>
      <c r="N11" s="718">
        <f>G8-866</f>
        <v>20634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'17'!F12</f>
        <v>40010</v>
      </c>
      <c r="F12" s="478">
        <v>40010</v>
      </c>
      <c r="G12" s="689">
        <f t="shared" si="0"/>
        <v>0</v>
      </c>
      <c r="H12" s="679">
        <f>G12+'17'!H12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19379.800000000047</v>
      </c>
      <c r="H13" s="679">
        <f>G13+'17'!H13</f>
        <v>-260389.00000000006</v>
      </c>
      <c r="I13" s="695">
        <f>G7-G13</f>
        <v>2120.1999999999534</v>
      </c>
      <c r="J13" s="681">
        <f>H13/DAY(B2)</f>
        <v>-14466.055555555558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'17'!F15</f>
        <v>1716167.16</v>
      </c>
      <c r="F15" s="700">
        <f>E15+700</f>
        <v>1716867.16</v>
      </c>
      <c r="G15" s="664">
        <f>(F15-E15)</f>
        <v>700</v>
      </c>
      <c r="H15" s="486">
        <f>G15+'17'!H15</f>
        <v>13184.159999999916</v>
      </c>
      <c r="I15" s="474">
        <f>'1'!I15</f>
        <v>800</v>
      </c>
      <c r="J15" s="553">
        <f>H15/DAY(B2)</f>
        <v>732.45333333332871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67.546666666671285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'17'!F18</f>
        <v>6</v>
      </c>
      <c r="F18" s="478">
        <v>8</v>
      </c>
      <c r="G18" s="694">
        <f>F18*10</f>
        <v>80</v>
      </c>
      <c r="H18" s="679">
        <f>G18+'17'!H18</f>
        <v>1650</v>
      </c>
      <c r="I18" s="680">
        <f>'1'!I18</f>
        <v>65</v>
      </c>
      <c r="J18" s="681">
        <f>H18/DAY(B2)</f>
        <v>91.666666666666671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'17'!F19</f>
        <v>140681</v>
      </c>
      <c r="F19" s="478">
        <v>140746</v>
      </c>
      <c r="G19" s="689">
        <f t="shared" ref="G19" si="1">F19-E19</f>
        <v>65</v>
      </c>
      <c r="H19" s="679">
        <f>G19+'17'!H19</f>
        <v>-749</v>
      </c>
      <c r="I19" s="696"/>
      <c r="J19" s="681">
        <f>H19/DAY(B2)</f>
        <v>-41.611111111111114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145</v>
      </c>
      <c r="H20" s="679">
        <f>G20+'17'!H20</f>
        <v>901</v>
      </c>
      <c r="I20" s="698">
        <f>I18-J20</f>
        <v>14.944444444444443</v>
      </c>
      <c r="J20" s="681">
        <f>H20/DAY(B2)</f>
        <v>50.055555555555557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319" t="s">
        <v>146</v>
      </c>
      <c r="B22" s="589"/>
      <c r="C22" s="589"/>
      <c r="D22" s="523" t="s">
        <v>147</v>
      </c>
      <c r="E22" s="634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319" t="s">
        <v>148</v>
      </c>
      <c r="B23" s="589"/>
      <c r="C23" s="589"/>
      <c r="D23" s="523" t="s">
        <v>147</v>
      </c>
      <c r="E23" s="634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G27+'17'!H27</f>
        <v>3489586.11</v>
      </c>
      <c r="I27" s="503"/>
      <c r="J27" s="552">
        <f>H27/DAY(B2)</f>
        <v>193865.89499999999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G28+'17'!H28</f>
        <v>685576.31999999564</v>
      </c>
      <c r="I28" s="505"/>
      <c r="J28" s="552">
        <f>H28/DAY(B2)</f>
        <v>38087.573333333094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65</v>
      </c>
      <c r="F30" s="501">
        <v>146</v>
      </c>
      <c r="G30" s="502">
        <f>E30*F30</f>
        <v>9490</v>
      </c>
      <c r="H30" s="460">
        <f>G30+'17'!H30</f>
        <v>-109938</v>
      </c>
      <c r="I30" s="505"/>
      <c r="J30" s="552">
        <f>H30/DAY(B2)</f>
        <v>-6107.666666666667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80</v>
      </c>
      <c r="F31" s="501">
        <v>80</v>
      </c>
      <c r="G31" s="502">
        <f>E31*F31</f>
        <v>6400</v>
      </c>
      <c r="H31" s="460">
        <f>G31+'17'!H31</f>
        <v>126400</v>
      </c>
      <c r="I31" s="505"/>
      <c r="J31" s="552"/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245790</v>
      </c>
      <c r="H32" s="460">
        <f>G32+'17'!H32</f>
        <v>4191624.429999995</v>
      </c>
      <c r="I32" s="509"/>
      <c r="J32" s="552">
        <f>H32/DAY(B2)</f>
        <v>232868.02388888862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324"/>
      <c r="C34" s="1324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'17'!F35</f>
        <v>991917.35</v>
      </c>
      <c r="F35" s="510">
        <v>994564.87</v>
      </c>
      <c r="G35" s="473">
        <f>F35-E35</f>
        <v>2647.5200000000186</v>
      </c>
      <c r="H35" s="460">
        <f>G35+'17'!H35</f>
        <v>-34149.130000000005</v>
      </c>
      <c r="I35" s="455"/>
      <c r="J35" s="552">
        <f>H35/DAY(B2)</f>
        <v>-1897.1738888888892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'17'!F36</f>
        <v>10411.870000000001</v>
      </c>
      <c r="F36" s="510">
        <v>11027.19</v>
      </c>
      <c r="G36" s="473">
        <f t="shared" ref="G36:G46" si="3">F36-E36</f>
        <v>615.31999999999971</v>
      </c>
      <c r="H36" s="460">
        <f>G36+'17'!H36</f>
        <v>-9433.81</v>
      </c>
      <c r="I36" s="455"/>
      <c r="J36" s="552">
        <f>H36/DAY(B2)</f>
        <v>-524.1005555555555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'17'!F37</f>
        <v>157351.28</v>
      </c>
      <c r="F37" s="510">
        <v>158802.87</v>
      </c>
      <c r="G37" s="473">
        <f>F37-E37</f>
        <v>1451.5899999999965</v>
      </c>
      <c r="H37" s="460">
        <f>G37+'17'!H37</f>
        <v>-17767.130000000005</v>
      </c>
      <c r="I37" s="455"/>
      <c r="J37" s="552">
        <f>H37/DAY(B2)</f>
        <v>-987.06277777777802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'17'!F38</f>
        <v>177993.13</v>
      </c>
      <c r="F38" s="469">
        <v>179368.33</v>
      </c>
      <c r="G38" s="473">
        <f t="shared" si="3"/>
        <v>1375.1999999999825</v>
      </c>
      <c r="H38" s="460">
        <f>G38+'17'!H38</f>
        <v>-19090.670000000013</v>
      </c>
      <c r="I38" s="455"/>
      <c r="J38" s="552">
        <f>H38/DAY(B2)</f>
        <v>-1060.5927777777786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'17'!F39</f>
        <v>358061.67</v>
      </c>
      <c r="F39" s="510">
        <v>361552.47</v>
      </c>
      <c r="G39" s="473">
        <f>F39-E39</f>
        <v>3490.7999999999884</v>
      </c>
      <c r="H39" s="460">
        <f>G39+'17'!H39</f>
        <v>-43311.530000000028</v>
      </c>
      <c r="I39" s="455"/>
      <c r="J39" s="552">
        <f>H39/DAY(B2)</f>
        <v>-2406.1961111111127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'17'!F40</f>
        <v>2019.52</v>
      </c>
      <c r="F40" s="510">
        <v>2657.41</v>
      </c>
      <c r="G40" s="473">
        <f t="shared" si="3"/>
        <v>637.88999999999987</v>
      </c>
      <c r="H40" s="460">
        <f>G40+'17'!H40</f>
        <v>-4455.59</v>
      </c>
      <c r="I40" s="455"/>
      <c r="J40" s="552">
        <f>H40/DAY(B2)</f>
        <v>-247.5327777777778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'17'!F41</f>
        <v>293824.90999999997</v>
      </c>
      <c r="F41" s="510">
        <v>295098.84999999998</v>
      </c>
      <c r="G41" s="473">
        <f t="shared" si="3"/>
        <v>1273.9400000000023</v>
      </c>
      <c r="H41" s="460">
        <f>G41+'17'!H41</f>
        <v>-34543.150000000023</v>
      </c>
      <c r="I41" s="455"/>
      <c r="J41" s="552">
        <f>H41/DAY(B2)</f>
        <v>-1919.0638888888902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'17'!F42</f>
        <v>59210.080000000002</v>
      </c>
      <c r="F42" s="510">
        <v>59210.080000000002</v>
      </c>
      <c r="G42" s="473">
        <f t="shared" si="3"/>
        <v>0</v>
      </c>
      <c r="H42" s="460">
        <f>G42+'17'!H42</f>
        <v>11.190000000002328</v>
      </c>
      <c r="I42" s="455"/>
      <c r="J42" s="552">
        <f>H42/DAY(B2)</f>
        <v>0.62166666666679604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'17'!F43</f>
        <v>1083854.5</v>
      </c>
      <c r="F43" s="510">
        <v>1086611.3999999999</v>
      </c>
      <c r="G43" s="473">
        <f t="shared" si="3"/>
        <v>2756.8999999999069</v>
      </c>
      <c r="H43" s="460">
        <f>G43+'17'!H43</f>
        <v>-33840.600000000093</v>
      </c>
      <c r="I43" s="455"/>
      <c r="J43" s="552">
        <f>H43/DAY(B2)</f>
        <v>-1880.0333333333385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14249.109999999895</v>
      </c>
      <c r="H47" s="460">
        <f>G47+'17'!H47</f>
        <v>-195778.98000000013</v>
      </c>
      <c r="I47" s="455"/>
      <c r="J47" s="552">
        <f>H47/DAY(B2)</f>
        <v>-10876.610000000008</v>
      </c>
      <c r="K47" s="428"/>
      <c r="L47" s="377"/>
      <c r="N47" s="718"/>
      <c r="O47" s="725"/>
      <c r="P47" s="382"/>
    </row>
    <row r="48" spans="1:16">
      <c r="A48" s="598" t="s">
        <v>176</v>
      </c>
      <c r="B48" s="1324"/>
      <c r="C48" s="1324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'17'!F50</f>
        <v>518861.15</v>
      </c>
      <c r="F50" s="510">
        <v>519829.99</v>
      </c>
      <c r="G50" s="473">
        <f t="shared" si="4"/>
        <v>968.8399999999674</v>
      </c>
      <c r="H50" s="460">
        <f>G50+'17'!H50</f>
        <v>-15723.010000000009</v>
      </c>
      <c r="I50" s="455"/>
      <c r="J50" s="552">
        <f>H50/DAY(B2)</f>
        <v>-873.50055555555605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'17'!F52</f>
        <v>539606.06999999995</v>
      </c>
      <c r="F52" s="510">
        <v>539606</v>
      </c>
      <c r="G52" s="473">
        <f t="shared" si="4"/>
        <v>-6.9999999948777258E-2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'17'!F53</f>
        <v>434231.99</v>
      </c>
      <c r="F53" s="510">
        <v>434231.59</v>
      </c>
      <c r="G53" s="473">
        <f t="shared" si="4"/>
        <v>-0.3999999999650754</v>
      </c>
      <c r="H53" s="460">
        <f>G53+'17'!H53</f>
        <v>-0.73999999999068677</v>
      </c>
      <c r="I53" s="455"/>
      <c r="J53" s="552">
        <f>H53/DAY(B2)</f>
        <v>-4.1111111110593707E-2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'17'!F54</f>
        <v>14967.27</v>
      </c>
      <c r="F54" s="510">
        <v>14967.35</v>
      </c>
      <c r="G54" s="473">
        <f t="shared" si="4"/>
        <v>7.999999999992724E-2</v>
      </c>
      <c r="H54" s="460">
        <f>G54+'17'!H54</f>
        <v>-78.649999999999636</v>
      </c>
      <c r="I54" s="455"/>
      <c r="J54" s="552">
        <f>H54/DAY(B2)</f>
        <v>-4.369444444444424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'17'!F55</f>
        <v>72232.070000000007</v>
      </c>
      <c r="F55" s="653">
        <v>77276.399999999994</v>
      </c>
      <c r="G55" s="652">
        <f t="shared" si="4"/>
        <v>5044.3299999999872</v>
      </c>
      <c r="H55" s="705">
        <f>G55+'17'!H55</f>
        <v>-40359.600000000006</v>
      </c>
      <c r="I55" s="706"/>
      <c r="J55" s="707">
        <f>H55/DAY(B2)</f>
        <v>-2242.2000000000003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'17'!F56</f>
        <v>648898.63</v>
      </c>
      <c r="F56" s="653">
        <v>648909.06999999995</v>
      </c>
      <c r="G56" s="473">
        <f t="shared" si="4"/>
        <v>10.439999999944121</v>
      </c>
      <c r="H56" s="460">
        <f>G56+'17'!H56</f>
        <v>-122.93000000005122</v>
      </c>
      <c r="I56" s="455"/>
      <c r="J56" s="552">
        <f>H56/DAY(B2)</f>
        <v>-6.8294444444472902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'17'!F58</f>
        <v>51763.74</v>
      </c>
      <c r="F58" s="653">
        <v>51918.14</v>
      </c>
      <c r="G58" s="473">
        <f t="shared" si="4"/>
        <v>154.40000000000146</v>
      </c>
      <c r="H58" s="460">
        <f>G58+'17'!H58</f>
        <v>-2307.0699999999997</v>
      </c>
      <c r="I58" s="455"/>
      <c r="J58" s="552">
        <f>H58/DAY(B2)</f>
        <v>-128.17055555555555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6177.6199999999862</v>
      </c>
      <c r="H59" s="460">
        <f>G59+'17'!H59</f>
        <v>-58591.540000000052</v>
      </c>
      <c r="I59" s="455">
        <f>G7-G60</f>
        <v>1073.2700000001205</v>
      </c>
      <c r="J59" s="552">
        <f>H59/DAY(B2)</f>
        <v>-3255.0855555555586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20426.72999999988</v>
      </c>
      <c r="H60" s="460">
        <f>G60+'17'!H60</f>
        <v>-253161.98000000033</v>
      </c>
      <c r="I60" s="455">
        <f>G13-G60</f>
        <v>-1046.9299999998329</v>
      </c>
      <c r="J60" s="552">
        <f>H60/DAY(B2)</f>
        <v>-14064.554444444462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0.18199999999706051</v>
      </c>
      <c r="I62" s="515"/>
      <c r="J62" s="552">
        <f>H62/DAY(B2)</f>
        <v>1.0111111110947806E-2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'17'!F63</f>
        <v>0</v>
      </c>
      <c r="F63" s="514">
        <v>0</v>
      </c>
      <c r="G63" s="473">
        <f t="shared" si="5"/>
        <v>0</v>
      </c>
      <c r="H63" s="460">
        <f>G63+'17'!H63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514">
        <f>'17'!F64</f>
        <v>165201.93</v>
      </c>
      <c r="F64" s="626">
        <v>165546.95000000001</v>
      </c>
      <c r="G64" s="773">
        <f t="shared" si="5"/>
        <v>345.02000000001863</v>
      </c>
      <c r="H64" s="460">
        <f>G64+'17'!H64</f>
        <v>-4475.0499999999884</v>
      </c>
      <c r="I64" s="480"/>
      <c r="J64" s="552">
        <f>H64/DAY(B2)</f>
        <v>-248.61388888888825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'17'!F65</f>
        <v>165495.54999999999</v>
      </c>
      <c r="F65" s="651">
        <v>165867.10999999999</v>
      </c>
      <c r="G65" s="473">
        <f t="shared" si="5"/>
        <v>371.55999999999767</v>
      </c>
      <c r="H65" s="460">
        <f>G65+'17'!H65</f>
        <v>-4434.890000000014</v>
      </c>
      <c r="I65" s="489"/>
      <c r="J65" s="552">
        <f>H65/DAY(B2)</f>
        <v>-246.38277777777856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'17'!F66</f>
        <v>62655.67</v>
      </c>
      <c r="F66" s="478">
        <v>63008.51</v>
      </c>
      <c r="G66" s="473">
        <f t="shared" si="5"/>
        <v>352.84000000000378</v>
      </c>
      <c r="H66" s="460">
        <f>G66+'17'!H66</f>
        <v>-4961.489999999998</v>
      </c>
      <c r="I66" s="480"/>
      <c r="J66" s="552">
        <f>H66/DAY(B2)</f>
        <v>-275.63833333333321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'17'!F67</f>
        <v>259060.43</v>
      </c>
      <c r="F67" s="478">
        <v>259536.45</v>
      </c>
      <c r="G67" s="473">
        <f t="shared" si="5"/>
        <v>476.02000000001863</v>
      </c>
      <c r="H67" s="460">
        <f>G67+'17'!H67</f>
        <v>-5422.5499999999884</v>
      </c>
      <c r="I67" s="489"/>
      <c r="J67" s="552">
        <f>H67/DAY(B2)</f>
        <v>-301.25277777777711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'17'!F69</f>
        <v>84334.43</v>
      </c>
      <c r="F69" s="478">
        <v>84579.38</v>
      </c>
      <c r="G69" s="473">
        <f t="shared" si="5"/>
        <v>244.95000000001164</v>
      </c>
      <c r="H69" s="460">
        <f>G69+'17'!H69</f>
        <v>-2935.6199999999953</v>
      </c>
      <c r="I69" s="516"/>
      <c r="J69" s="552">
        <f>H69/DAY(B2)</f>
        <v>-163.08999999999975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'17'!F72</f>
        <v>856066</v>
      </c>
      <c r="F72" s="654">
        <v>856078</v>
      </c>
      <c r="G72" s="473">
        <f t="shared" ref="G72:G84" si="6">F72-E72</f>
        <v>12</v>
      </c>
      <c r="H72" s="460">
        <f>G72+'17'!H72</f>
        <v>-157</v>
      </c>
      <c r="I72" s="480"/>
      <c r="J72" s="552">
        <f>H72/DAY(B2)</f>
        <v>-8.7222222222222214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'17'!F73</f>
        <v>885958</v>
      </c>
      <c r="F73" s="655">
        <v>885958</v>
      </c>
      <c r="G73" s="652">
        <f t="shared" si="6"/>
        <v>0</v>
      </c>
      <c r="H73" s="460">
        <f>G73+'17'!H73</f>
        <v>-202</v>
      </c>
      <c r="I73" s="480"/>
      <c r="J73" s="552">
        <f>H73/DAY(B2)</f>
        <v>-11.222222222222221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'17'!F74</f>
        <v>88682.7</v>
      </c>
      <c r="F74" s="655">
        <v>88683.3</v>
      </c>
      <c r="G74" s="473">
        <f t="shared" si="6"/>
        <v>0.60000000000582077</v>
      </c>
      <c r="H74" s="460">
        <f>G74+'17'!H74</f>
        <v>-86091.739999999991</v>
      </c>
      <c r="I74" s="480"/>
      <c r="J74" s="552">
        <f>H74/DAY(B2)</f>
        <v>-4782.8744444444437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'17'!F75</f>
        <v>14156.57</v>
      </c>
      <c r="F75" s="655">
        <v>14299.42</v>
      </c>
      <c r="G75" s="473">
        <f t="shared" si="6"/>
        <v>142.85000000000036</v>
      </c>
      <c r="H75" s="460">
        <f>G75+'17'!H75</f>
        <v>-1771.58</v>
      </c>
      <c r="I75" s="480"/>
      <c r="J75" s="552">
        <f>H75/DAY(B2)</f>
        <v>-98.421111111111102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'17'!F76</f>
        <v>8407.7999999999993</v>
      </c>
      <c r="F76" s="655">
        <v>8466.48</v>
      </c>
      <c r="G76" s="473">
        <f t="shared" si="6"/>
        <v>58.680000000000291</v>
      </c>
      <c r="H76" s="460">
        <f>G76+'17'!H76</f>
        <v>-2141.5200000000004</v>
      </c>
      <c r="I76" s="505"/>
      <c r="J76" s="552">
        <f>H76/DAY(B2)</f>
        <v>-118.97333333333336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'17'!F77</f>
        <v>703690</v>
      </c>
      <c r="F77" s="655">
        <v>703744</v>
      </c>
      <c r="G77" s="652">
        <f t="shared" si="6"/>
        <v>54</v>
      </c>
      <c r="H77" s="460">
        <f>G77+'17'!H77</f>
        <v>-630</v>
      </c>
      <c r="I77" s="505"/>
      <c r="J77" s="552">
        <f>H77/DAY(B2)</f>
        <v>-35</v>
      </c>
      <c r="K77" s="430"/>
      <c r="L77" s="377"/>
      <c r="N77" s="718"/>
      <c r="O77" s="725"/>
      <c r="P77" s="382"/>
    </row>
    <row r="78" spans="1:16" ht="27.75">
      <c r="A78" s="1322" t="s">
        <v>196</v>
      </c>
      <c r="B78" s="1315"/>
      <c r="C78" s="1315"/>
      <c r="D78" s="523" t="s">
        <v>186</v>
      </c>
      <c r="E78" s="519">
        <f>'17'!F78</f>
        <v>674191</v>
      </c>
      <c r="F78" s="656">
        <v>674311</v>
      </c>
      <c r="G78" s="473">
        <f t="shared" si="6"/>
        <v>120</v>
      </c>
      <c r="H78" s="460">
        <f>G78+'17'!H78</f>
        <v>-1103</v>
      </c>
      <c r="I78" s="505"/>
      <c r="J78" s="552">
        <f>H78/DAY(B2)</f>
        <v>-61.277777777777779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'17'!F79</f>
        <v>833493</v>
      </c>
      <c r="F79" s="656">
        <v>833636</v>
      </c>
      <c r="G79" s="473">
        <f t="shared" si="6"/>
        <v>143</v>
      </c>
      <c r="H79" s="460">
        <f>G79+'17'!H79</f>
        <v>-768</v>
      </c>
      <c r="I79" s="505"/>
      <c r="J79" s="552">
        <f>H79/DAY(B2)</f>
        <v>-42.666666666666664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'17'!F80</f>
        <v>533870.52</v>
      </c>
      <c r="F80" s="655">
        <v>534260.84</v>
      </c>
      <c r="G80" s="473">
        <f t="shared" si="6"/>
        <v>390.31999999994878</v>
      </c>
      <c r="H80" s="460">
        <f>G80+'17'!H80</f>
        <v>-690.68000000005122</v>
      </c>
      <c r="I80" s="505"/>
      <c r="J80" s="552">
        <f>H80/DAY(B2)</f>
        <v>-38.371111111113954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'17'!F81</f>
        <v>640893.56000000006</v>
      </c>
      <c r="F81" s="655">
        <v>641035.31999999995</v>
      </c>
      <c r="G81" s="473">
        <f t="shared" si="6"/>
        <v>141.7599999998929</v>
      </c>
      <c r="H81" s="460">
        <f>G81+'17'!H81</f>
        <v>-1949.6800000000512</v>
      </c>
      <c r="I81" s="505"/>
      <c r="J81" s="552">
        <f>H81/DAY(B2)</f>
        <v>-108.3155555555584</v>
      </c>
      <c r="K81" s="430"/>
      <c r="L81" s="377"/>
      <c r="N81" s="718"/>
      <c r="O81" s="725"/>
      <c r="P81" s="382"/>
    </row>
    <row r="82" spans="1:16" s="775" customFormat="1" ht="27.75">
      <c r="A82" s="1616" t="s">
        <v>92</v>
      </c>
      <c r="B82" s="1617"/>
      <c r="C82" s="1618"/>
      <c r="D82" s="626" t="s">
        <v>131</v>
      </c>
      <c r="E82" s="519">
        <f>'17'!F82</f>
        <v>108435.34</v>
      </c>
      <c r="F82" s="626">
        <v>108460.61</v>
      </c>
      <c r="G82" s="773">
        <f t="shared" si="6"/>
        <v>25.270000000004075</v>
      </c>
      <c r="H82" s="479">
        <f>G82+'17'!H82</f>
        <v>-220.38999999999942</v>
      </c>
      <c r="I82" s="479"/>
      <c r="J82" s="774">
        <f>H82/DAY(B2)</f>
        <v>-12.243888888888856</v>
      </c>
      <c r="K82" s="1215"/>
      <c r="L82" s="1216"/>
      <c r="N82" s="722"/>
      <c r="O82" s="726"/>
      <c r="P82" s="721"/>
    </row>
    <row r="83" spans="1:16" ht="27.75">
      <c r="A83" s="1543" t="s">
        <v>199</v>
      </c>
      <c r="B83" s="1544"/>
      <c r="C83" s="1545"/>
      <c r="D83" s="620" t="s">
        <v>131</v>
      </c>
      <c r="E83" s="519">
        <f>'17'!F83</f>
        <v>23906</v>
      </c>
      <c r="F83" s="511">
        <v>24106</v>
      </c>
      <c r="G83" s="473">
        <f t="shared" si="6"/>
        <v>200</v>
      </c>
      <c r="H83" s="460">
        <f>G83+'17'!H83</f>
        <v>-3445</v>
      </c>
      <c r="I83" s="481"/>
      <c r="J83" s="552">
        <f>H83/DAY(B2)</f>
        <v>-191.38888888888889</v>
      </c>
      <c r="K83" s="429"/>
      <c r="L83" s="377"/>
      <c r="N83" s="718"/>
      <c r="O83" s="725"/>
      <c r="P83" s="382"/>
    </row>
    <row r="84" spans="1:16">
      <c r="A84" s="1323" t="s">
        <v>200</v>
      </c>
      <c r="B84" s="571"/>
      <c r="C84" s="571"/>
      <c r="D84" s="478" t="s">
        <v>131</v>
      </c>
      <c r="E84" s="519">
        <f>'17'!F84</f>
        <v>512617</v>
      </c>
      <c r="F84" s="627">
        <v>513364</v>
      </c>
      <c r="G84" s="473">
        <f t="shared" si="6"/>
        <v>747</v>
      </c>
      <c r="H84" s="460">
        <f>G84+'17'!H84</f>
        <v>-9716</v>
      </c>
      <c r="I84" s="481"/>
      <c r="J84" s="552">
        <f>H84/DAY(B2)</f>
        <v>-539.77777777777783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2035.4799999998522</v>
      </c>
      <c r="H85" s="460">
        <f>G85+'17'!H85</f>
        <v>-112487.07000000008</v>
      </c>
      <c r="I85" s="481"/>
      <c r="J85" s="552">
        <f>H85/DAY(B2)</f>
        <v>-6249.2816666666713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'17'!F86</f>
        <v>461458.28</v>
      </c>
      <c r="F86" s="647">
        <v>461480.2</v>
      </c>
      <c r="G86" s="705">
        <f t="shared" ref="G86:G91" si="7">F86-E86</f>
        <v>21.919999999983702</v>
      </c>
      <c r="H86" s="705">
        <f t="shared" ref="H86:H88" si="8">G86</f>
        <v>21.919999999983702</v>
      </c>
      <c r="I86" s="652"/>
      <c r="J86" s="707">
        <f>H86/DAY(B2)</f>
        <v>1.2177777777768723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'17'!F87</f>
        <v>81728.800000000003</v>
      </c>
      <c r="F87" s="647">
        <v>81757.7</v>
      </c>
      <c r="G87" s="705">
        <f t="shared" si="7"/>
        <v>28.899999999994179</v>
      </c>
      <c r="H87" s="705">
        <f t="shared" si="8"/>
        <v>28.899999999994179</v>
      </c>
      <c r="I87" s="652"/>
      <c r="J87" s="707">
        <f>H87/DAY(B2)</f>
        <v>1.6055555555552321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'17'!F88</f>
        <v>154077.66</v>
      </c>
      <c r="F88" s="647">
        <v>154172.51</v>
      </c>
      <c r="G88" s="705">
        <f t="shared" si="7"/>
        <v>94.850000000005821</v>
      </c>
      <c r="H88" s="705">
        <f t="shared" si="8"/>
        <v>94.850000000005821</v>
      </c>
      <c r="I88" s="652"/>
      <c r="J88" s="707">
        <f>H88/DAY(B2)</f>
        <v>5.2694444444447681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'17'!F89</f>
        <v>65512.1</v>
      </c>
      <c r="F89" s="647">
        <v>65528.6</v>
      </c>
      <c r="G89" s="705">
        <f t="shared" si="7"/>
        <v>16.5</v>
      </c>
      <c r="H89" s="705">
        <f>G89</f>
        <v>16.5</v>
      </c>
      <c r="I89" s="652"/>
      <c r="J89" s="707">
        <f>H89/DAY(B2)</f>
        <v>0.91666666666666663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'17'!F90</f>
        <v>3303.9</v>
      </c>
      <c r="F90" s="647">
        <v>3307.4</v>
      </c>
      <c r="G90" s="705">
        <f t="shared" si="7"/>
        <v>3.5</v>
      </c>
      <c r="H90" s="705">
        <f>G90</f>
        <v>3.5</v>
      </c>
      <c r="I90" s="652"/>
      <c r="J90" s="707">
        <f>H90/DAY(B2)</f>
        <v>0.19444444444444445</v>
      </c>
      <c r="K90" s="733"/>
      <c r="L90" s="734"/>
      <c r="N90" s="777"/>
      <c r="O90" s="382"/>
    </row>
    <row r="91" spans="1:16" s="735" customFormat="1">
      <c r="A91" s="730" t="s">
        <v>348</v>
      </c>
      <c r="B91" s="731"/>
      <c r="C91" s="731"/>
      <c r="D91" s="732" t="s">
        <v>131</v>
      </c>
      <c r="E91" s="627">
        <f>'17'!F91</f>
        <v>28145.72</v>
      </c>
      <c r="F91" s="647">
        <v>28154.166399999998</v>
      </c>
      <c r="G91" s="705">
        <f t="shared" si="7"/>
        <v>8.4463999999970838</v>
      </c>
      <c r="H91" s="705">
        <f>G91</f>
        <v>8.4463999999970838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325"/>
      <c r="C92" s="1325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'17'!F93</f>
        <v>246293</v>
      </c>
      <c r="F93" s="478">
        <v>246344</v>
      </c>
      <c r="G93" s="473">
        <f t="shared" ref="G93:G94" si="9">F93-E93</f>
        <v>51</v>
      </c>
      <c r="H93" s="460">
        <f>G93+'17'!H93</f>
        <v>-1008</v>
      </c>
      <c r="I93" s="480"/>
      <c r="J93" s="552">
        <f>H93/DAY(B2)</f>
        <v>-56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'17'!F94</f>
        <v>187755</v>
      </c>
      <c r="F94" s="478">
        <v>187830</v>
      </c>
      <c r="G94" s="473">
        <f t="shared" si="9"/>
        <v>75</v>
      </c>
      <c r="H94" s="460">
        <f>G94+'17'!H94</f>
        <v>-1624</v>
      </c>
      <c r="I94" s="480"/>
      <c r="J94" s="552">
        <f>H94/DAY(B2)</f>
        <v>-90.222222222222229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'17'!F95</f>
        <v>0</v>
      </c>
      <c r="F95" s="478"/>
      <c r="G95" s="473">
        <f>G93+G94</f>
        <v>126</v>
      </c>
      <c r="H95" s="460">
        <f>G95+'17'!H95</f>
        <v>-2818</v>
      </c>
      <c r="I95" s="480"/>
      <c r="J95" s="552">
        <f>H95/DAY(B2)</f>
        <v>-156.55555555555554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'17'!F96</f>
        <v>415149</v>
      </c>
      <c r="F96" s="478">
        <v>415205</v>
      </c>
      <c r="G96" s="473">
        <f t="shared" ref="G96:G101" si="10">F96-E96</f>
        <v>56</v>
      </c>
      <c r="H96" s="460">
        <f>G96+'17'!H96</f>
        <v>-794</v>
      </c>
      <c r="I96" s="480"/>
      <c r="J96" s="552">
        <f>H96/DAY(B2)</f>
        <v>-44.111111111111114</v>
      </c>
      <c r="K96" s="380"/>
      <c r="L96" s="377"/>
      <c r="N96" s="718"/>
      <c r="O96" s="725"/>
      <c r="P96" s="382"/>
    </row>
    <row r="97" spans="1:16" ht="27.75">
      <c r="A97" s="1319" t="s">
        <v>209</v>
      </c>
      <c r="B97" s="1320"/>
      <c r="C97" s="1320"/>
      <c r="D97" s="523" t="s">
        <v>143</v>
      </c>
      <c r="E97" s="484">
        <f>'17'!F97</f>
        <v>102875</v>
      </c>
      <c r="F97" s="478">
        <v>102889</v>
      </c>
      <c r="G97" s="473">
        <f t="shared" si="10"/>
        <v>14</v>
      </c>
      <c r="H97" s="460">
        <f>G97+'17'!H97</f>
        <v>-274</v>
      </c>
      <c r="I97" s="480"/>
      <c r="J97" s="552">
        <f>H97/DAY(B2)</f>
        <v>-15.222222222222221</v>
      </c>
      <c r="K97" s="427"/>
      <c r="L97" s="377"/>
      <c r="N97" s="718"/>
      <c r="O97" s="725"/>
      <c r="P97" s="382"/>
    </row>
    <row r="98" spans="1:16" ht="27.75">
      <c r="A98" s="1319" t="s">
        <v>210</v>
      </c>
      <c r="B98" s="1320"/>
      <c r="C98" s="1320"/>
      <c r="D98" s="523" t="s">
        <v>143</v>
      </c>
      <c r="E98" s="484">
        <f>'17'!F98</f>
        <v>98315</v>
      </c>
      <c r="F98" s="478">
        <v>98343</v>
      </c>
      <c r="G98" s="473">
        <f t="shared" si="10"/>
        <v>28</v>
      </c>
      <c r="H98" s="460">
        <f>G98+'17'!H98</f>
        <v>-314</v>
      </c>
      <c r="I98" s="480"/>
      <c r="J98" s="552">
        <f>H98/DAY(B2)</f>
        <v>-17.444444444444443</v>
      </c>
      <c r="K98" s="432"/>
      <c r="L98" s="377"/>
      <c r="N98" s="718"/>
      <c r="O98" s="725"/>
      <c r="P98" s="382"/>
    </row>
    <row r="99" spans="1:16" ht="27.75">
      <c r="A99" s="1319" t="s">
        <v>211</v>
      </c>
      <c r="B99" s="1320"/>
      <c r="C99" s="1320"/>
      <c r="D99" s="523" t="s">
        <v>143</v>
      </c>
      <c r="E99" s="484">
        <f>'17'!F99</f>
        <v>149989</v>
      </c>
      <c r="F99" s="478">
        <v>149994</v>
      </c>
      <c r="G99" s="473">
        <f t="shared" si="10"/>
        <v>5</v>
      </c>
      <c r="H99" s="460">
        <f>G99+'17'!H99</f>
        <v>-411</v>
      </c>
      <c r="I99" s="480"/>
      <c r="J99" s="552">
        <f>H99/DAY(B2)</f>
        <v>-22.833333333333332</v>
      </c>
      <c r="K99" s="380"/>
      <c r="L99" s="377"/>
      <c r="N99" s="720"/>
      <c r="O99" s="725"/>
      <c r="P99" s="382"/>
    </row>
    <row r="100" spans="1:16" ht="27.75">
      <c r="A100" s="1319" t="s">
        <v>212</v>
      </c>
      <c r="B100" s="1320"/>
      <c r="C100" s="1320"/>
      <c r="D100" s="523" t="s">
        <v>143</v>
      </c>
      <c r="E100" s="484">
        <f>'17'!F100</f>
        <v>7547</v>
      </c>
      <c r="F100" s="478">
        <v>7553</v>
      </c>
      <c r="G100" s="473">
        <f t="shared" si="10"/>
        <v>6</v>
      </c>
      <c r="H100" s="460">
        <f>G100+'17'!H100</f>
        <v>-244</v>
      </c>
      <c r="I100" s="480"/>
      <c r="J100" s="552">
        <f>H100/DAY(B2)</f>
        <v>-13.555555555555555</v>
      </c>
      <c r="K100" s="380"/>
      <c r="L100" s="377"/>
      <c r="N100" s="718"/>
      <c r="O100" s="725"/>
      <c r="P100" s="382"/>
    </row>
    <row r="101" spans="1:16" ht="27.75">
      <c r="A101" s="1319" t="s">
        <v>213</v>
      </c>
      <c r="B101" s="1320"/>
      <c r="C101" s="1320"/>
      <c r="D101" s="523" t="s">
        <v>143</v>
      </c>
      <c r="E101" s="484">
        <f>'17'!F101</f>
        <v>5532</v>
      </c>
      <c r="F101" s="478">
        <v>5541</v>
      </c>
      <c r="G101" s="473">
        <f t="shared" si="10"/>
        <v>9</v>
      </c>
      <c r="H101" s="460">
        <f>G101+'17'!H101</f>
        <v>-133</v>
      </c>
      <c r="I101" s="480"/>
      <c r="J101" s="552">
        <f>H101/DAY(B2)</f>
        <v>-7.3888888888888893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118</v>
      </c>
      <c r="H102" s="460">
        <f>G102+'17'!H102</f>
        <v>-2170</v>
      </c>
      <c r="I102" s="526"/>
      <c r="J102" s="552">
        <f>H102/DAY(B2)</f>
        <v>-120.55555555555556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318"/>
      <c r="D105" s="622" t="s">
        <v>143</v>
      </c>
      <c r="E105" s="484">
        <f>'17'!F105</f>
        <v>7473</v>
      </c>
      <c r="F105" s="658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3.8544444444443999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318"/>
      <c r="D106" s="622" t="s">
        <v>143</v>
      </c>
      <c r="E106" s="484">
        <f>'17'!F106</f>
        <v>36053</v>
      </c>
      <c r="F106" s="659">
        <v>36054</v>
      </c>
      <c r="G106" s="532">
        <f t="shared" ref="G106:G107" si="11">F106-E106</f>
        <v>1</v>
      </c>
      <c r="H106" s="533">
        <f>SUM(G106+'1'!G77)</f>
        <v>54</v>
      </c>
      <c r="I106" s="532"/>
      <c r="J106" s="558">
        <f>H106/DAY(B2)</f>
        <v>3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'17'!F107</f>
        <v>19767</v>
      </c>
      <c r="F107" s="659">
        <v>19769</v>
      </c>
      <c r="G107" s="532">
        <f t="shared" si="11"/>
        <v>2</v>
      </c>
      <c r="H107" s="533">
        <f>SUM(G107+'1'!G78)</f>
        <v>116</v>
      </c>
      <c r="I107" s="532"/>
      <c r="J107" s="558">
        <f>H107/DAY(B2)</f>
        <v>6.4444444444444446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318"/>
      <c r="D108" s="622"/>
      <c r="E108" s="484">
        <f>'17'!F108</f>
        <v>0</v>
      </c>
      <c r="F108" s="659"/>
      <c r="G108" s="532">
        <f>SUM(G105:G107)</f>
        <v>3</v>
      </c>
      <c r="H108" s="533">
        <f>SUM(G108+'1'!G79)</f>
        <v>156</v>
      </c>
      <c r="I108" s="532"/>
      <c r="J108" s="558">
        <f>H108/DAY(B2)</f>
        <v>8.6666666666666661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318"/>
      <c r="D109" s="622" t="s">
        <v>143</v>
      </c>
      <c r="E109" s="484">
        <f>'17'!F109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318"/>
      <c r="D110" s="622" t="s">
        <v>143</v>
      </c>
      <c r="E110" s="484">
        <f>'17'!F110</f>
        <v>63832</v>
      </c>
      <c r="F110" s="659">
        <v>63907</v>
      </c>
      <c r="G110" s="532">
        <f>F110-E110</f>
        <v>75</v>
      </c>
      <c r="H110" s="533">
        <f>SUM(G110+'1'!G81)</f>
        <v>206.64000000001397</v>
      </c>
      <c r="I110" s="532"/>
      <c r="J110" s="558">
        <f>H110/DAY(B2)</f>
        <v>11.480000000000777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318"/>
      <c r="D111" s="622" t="s">
        <v>143</v>
      </c>
      <c r="E111" s="484">
        <f>'17'!F111</f>
        <v>32720</v>
      </c>
      <c r="F111" s="659">
        <v>32730</v>
      </c>
      <c r="G111" s="532">
        <f t="shared" ref="G111:G112" si="12">F111-E111</f>
        <v>10</v>
      </c>
      <c r="H111" s="533">
        <f>SUM(G111+'1'!G82)</f>
        <v>34.899999999994179</v>
      </c>
      <c r="I111" s="532"/>
      <c r="J111" s="558">
        <f>H111/DAY(B2)</f>
        <v>1.9388888888885656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318"/>
      <c r="D112" s="622" t="s">
        <v>143</v>
      </c>
      <c r="E112" s="484">
        <f>'17'!F112</f>
        <v>4621</v>
      </c>
      <c r="F112" s="659">
        <v>4621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19.5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318"/>
      <c r="D113" s="622"/>
      <c r="E113" s="484">
        <f>'17'!F113</f>
        <v>0</v>
      </c>
      <c r="F113" s="659"/>
      <c r="G113" s="532">
        <f>SUM(G110:G112)</f>
        <v>85</v>
      </c>
      <c r="H113" s="533">
        <f>SUM(G113+'1'!G84)</f>
        <v>901</v>
      </c>
      <c r="I113" s="532"/>
      <c r="J113" s="558">
        <f>H113/DAY(B2)</f>
        <v>50.055555555555557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318"/>
      <c r="D114" s="622"/>
      <c r="E114" s="484">
        <f>'17'!F114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'17'!F115</f>
        <v>11718</v>
      </c>
      <c r="F115" s="659">
        <v>11727</v>
      </c>
      <c r="G115" s="534">
        <f>F115-E115</f>
        <v>9</v>
      </c>
      <c r="H115" s="533">
        <f>SUM(G115+'1'!G92)</f>
        <v>9</v>
      </c>
      <c r="I115" s="532"/>
      <c r="J115" s="558">
        <f>H115/DAY(B2)</f>
        <v>0.5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'17'!F116</f>
        <v>8437</v>
      </c>
      <c r="F116" s="659">
        <v>8445</v>
      </c>
      <c r="G116" s="534">
        <f t="shared" ref="G116:G117" si="13">F116-E116</f>
        <v>8</v>
      </c>
      <c r="H116" s="533">
        <f>SUM(G116+'1'!G93)</f>
        <v>97</v>
      </c>
      <c r="I116" s="532"/>
      <c r="J116" s="558">
        <f>H116/DAY(B2)</f>
        <v>5.3888888888888893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5.3888888888888893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17</v>
      </c>
      <c r="H118" s="533">
        <f>SUM(G118+'1'!G96)</f>
        <v>103</v>
      </c>
      <c r="I118" s="534"/>
      <c r="J118" s="558">
        <f>H118/DAY(B2)</f>
        <v>5.7222222222222223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316"/>
      <c r="D119" s="624" t="s">
        <v>143</v>
      </c>
      <c r="E119" s="536"/>
      <c r="F119" s="660">
        <f>SUM(G19+G93)</f>
        <v>116</v>
      </c>
      <c r="G119" s="536">
        <f>SUM(G19+G93)</f>
        <v>116</v>
      </c>
      <c r="H119" s="533">
        <f>SUM(G119+'1'!G97)</f>
        <v>133</v>
      </c>
      <c r="I119" s="535"/>
      <c r="J119" s="559">
        <f>H119/DAY(B2)</f>
        <v>7.3888888888888893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316"/>
      <c r="D120" s="624" t="s">
        <v>143</v>
      </c>
      <c r="E120" s="536"/>
      <c r="F120" s="660">
        <f>SUM(G96,G97,G98,G100,G101)</f>
        <v>113</v>
      </c>
      <c r="G120" s="536">
        <f>SUM(G96,G97,G98,G100,G101)</f>
        <v>113</v>
      </c>
      <c r="H120" s="533">
        <f>SUM(G120+'1'!G99)</f>
        <v>163</v>
      </c>
      <c r="I120" s="535"/>
      <c r="J120" s="559">
        <f>H120/DAY(B2)</f>
        <v>9.0555555555555554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316"/>
      <c r="D121" s="624" t="s">
        <v>143</v>
      </c>
      <c r="E121" s="534"/>
      <c r="F121" s="659">
        <f>SUM(G113)</f>
        <v>85</v>
      </c>
      <c r="G121" s="534">
        <f>SUM(G113)</f>
        <v>85</v>
      </c>
      <c r="H121" s="533">
        <f>SUM(G121+'1'!G101)</f>
        <v>90</v>
      </c>
      <c r="I121" s="535"/>
      <c r="J121" s="559">
        <f>H121/DAY(B2)</f>
        <v>5</v>
      </c>
      <c r="N121" s="718"/>
      <c r="O121" s="725"/>
      <c r="P121" s="382"/>
    </row>
    <row r="122" spans="1:16" s="442" customFormat="1" ht="27.75">
      <c r="A122" s="1549"/>
      <c r="B122" s="1550"/>
      <c r="C122" s="1317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319" t="s">
        <v>230</v>
      </c>
      <c r="B124" s="1320"/>
      <c r="C124" s="1320"/>
      <c r="D124" s="523" t="s">
        <v>140</v>
      </c>
      <c r="E124" s="478">
        <f>'17'!F124</f>
        <v>836015.84</v>
      </c>
      <c r="F124" s="478">
        <v>836288.71</v>
      </c>
      <c r="G124" s="473">
        <f t="shared" ref="G124:G128" si="14">F124-E124</f>
        <v>272.86999999999534</v>
      </c>
      <c r="H124" s="460">
        <f>G124+'17'!H124</f>
        <v>-3381.2900000000373</v>
      </c>
      <c r="I124" s="526"/>
      <c r="J124" s="552">
        <f>H124/DAY(B2)</f>
        <v>-187.8494444444465</v>
      </c>
      <c r="K124" s="380"/>
      <c r="L124" s="377"/>
      <c r="N124" s="718"/>
      <c r="O124" s="725"/>
      <c r="P124" s="382"/>
    </row>
    <row r="125" spans="1:16" ht="27.75">
      <c r="A125" s="1319" t="s">
        <v>231</v>
      </c>
      <c r="B125" s="1320"/>
      <c r="C125" s="1320"/>
      <c r="D125" s="523" t="s">
        <v>140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'17'!F126</f>
        <v>147575.88</v>
      </c>
      <c r="F126" s="478">
        <v>147643.68</v>
      </c>
      <c r="G126" s="473">
        <f t="shared" si="14"/>
        <v>67.799999999988358</v>
      </c>
      <c r="H126" s="460">
        <f>G126+'17'!H126</f>
        <v>-953.32000000000698</v>
      </c>
      <c r="I126" s="526"/>
      <c r="J126" s="552">
        <f>H126/DAY(B2)</f>
        <v>-52.962222222222607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320"/>
      <c r="C127" s="1320"/>
      <c r="D127" s="523" t="s">
        <v>140</v>
      </c>
      <c r="E127" s="478">
        <f>'17'!F127</f>
        <v>31591.200000000001</v>
      </c>
      <c r="F127" s="626">
        <v>31625.1</v>
      </c>
      <c r="G127" s="473">
        <f t="shared" si="14"/>
        <v>33.899999999997817</v>
      </c>
      <c r="H127" s="460">
        <f>G127+'17'!H127</f>
        <v>-445.90000000000146</v>
      </c>
      <c r="I127" s="526"/>
      <c r="J127" s="552">
        <f>H127/DAY(B2)</f>
        <v>-24.772222222222304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320"/>
      <c r="C128" s="1320"/>
      <c r="D128" s="523" t="s">
        <v>140</v>
      </c>
      <c r="E128" s="478">
        <f>'17'!F128</f>
        <v>8976.4</v>
      </c>
      <c r="F128" s="626">
        <v>8978.7000000000007</v>
      </c>
      <c r="G128" s="473">
        <f t="shared" si="14"/>
        <v>2.3000000000010914</v>
      </c>
      <c r="H128" s="460">
        <f>G128+'17'!H128</f>
        <v>-33.299999999999272</v>
      </c>
      <c r="I128" s="480"/>
      <c r="J128" s="552">
        <f>H128/DAY(B2)</f>
        <v>-1.8499999999999597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320"/>
      <c r="C129" s="1320"/>
      <c r="D129" s="523"/>
      <c r="E129" s="478"/>
      <c r="F129" s="478"/>
      <c r="G129" s="473">
        <f>G15-SUM(G124:G128)</f>
        <v>323.13000000001739</v>
      </c>
      <c r="H129" s="460">
        <f>G129+'17'!H129</f>
        <v>958.81000000004497</v>
      </c>
      <c r="I129" s="480"/>
      <c r="J129" s="552">
        <f>H129/DAY(B2)</f>
        <v>53.267222222224717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319" t="s">
        <v>237</v>
      </c>
      <c r="B131" s="1320"/>
      <c r="C131" s="1320"/>
      <c r="D131" s="523" t="s">
        <v>238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319" t="s">
        <v>239</v>
      </c>
      <c r="B132" s="1320"/>
      <c r="C132" s="1320"/>
      <c r="D132" s="523" t="s">
        <v>238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319" t="s">
        <v>240</v>
      </c>
      <c r="B133" s="1320"/>
      <c r="C133" s="1320"/>
      <c r="D133" s="523" t="s">
        <v>238</v>
      </c>
      <c r="E133" s="484">
        <f>'17'!F133</f>
        <v>40284</v>
      </c>
      <c r="F133" s="651">
        <v>40290</v>
      </c>
      <c r="G133" s="473">
        <f t="shared" si="15"/>
        <v>6</v>
      </c>
      <c r="H133" s="460">
        <f>G133+'17'!H133</f>
        <v>-163</v>
      </c>
      <c r="I133" s="480"/>
      <c r="J133" s="552">
        <f>H133/DAY(B2)</f>
        <v>-9.0555555555555554</v>
      </c>
      <c r="N133" s="718"/>
      <c r="O133" s="725"/>
      <c r="P133" s="382"/>
    </row>
    <row r="134" spans="1:16" ht="27.75">
      <c r="A134" s="1319" t="s">
        <v>241</v>
      </c>
      <c r="B134" s="1320"/>
      <c r="C134" s="1320"/>
      <c r="D134" s="523" t="s">
        <v>238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6</v>
      </c>
      <c r="J134" s="552">
        <f>H134/DAY(B2)</f>
        <v>0</v>
      </c>
      <c r="N134" s="718"/>
      <c r="O134" s="725"/>
      <c r="P134" s="382"/>
    </row>
    <row r="135" spans="1:16" ht="27.75">
      <c r="A135" s="1319" t="s">
        <v>242</v>
      </c>
      <c r="B135" s="1320"/>
      <c r="C135" s="1320"/>
      <c r="D135" s="523" t="s">
        <v>238</v>
      </c>
      <c r="E135" s="484">
        <f>'17'!F135</f>
        <v>41751.269999999997</v>
      </c>
      <c r="F135" s="626">
        <v>41775.199999999997</v>
      </c>
      <c r="G135" s="473">
        <f t="shared" si="15"/>
        <v>23.930000000000291</v>
      </c>
      <c r="H135" s="460">
        <f>G135+'17'!H135</f>
        <v>-196.80000000000291</v>
      </c>
      <c r="I135" s="480"/>
      <c r="J135" s="552">
        <f>H135/DAY(B2)</f>
        <v>-10.933333333333495</v>
      </c>
      <c r="N135" s="718"/>
      <c r="O135" s="725"/>
      <c r="P135" s="382"/>
    </row>
    <row r="136" spans="1:16" ht="27.75">
      <c r="A136" s="1319" t="s">
        <v>243</v>
      </c>
      <c r="B136" s="1320"/>
      <c r="C136" s="1320"/>
      <c r="D136" s="523" t="s">
        <v>238</v>
      </c>
      <c r="E136" s="484">
        <f>'17'!F136</f>
        <v>32874</v>
      </c>
      <c r="F136" s="651">
        <v>32874</v>
      </c>
      <c r="G136" s="473">
        <f t="shared" si="15"/>
        <v>0</v>
      </c>
      <c r="H136" s="460">
        <f>G136+'17'!H136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319" t="s">
        <v>244</v>
      </c>
      <c r="B137" s="1320"/>
      <c r="C137" s="1320"/>
      <c r="D137" s="523" t="s">
        <v>238</v>
      </c>
      <c r="E137" s="484">
        <f>'17'!F137</f>
        <v>22859.1</v>
      </c>
      <c r="F137" s="651">
        <v>22859.1</v>
      </c>
      <c r="G137" s="473">
        <f t="shared" si="15"/>
        <v>0</v>
      </c>
      <c r="H137" s="460">
        <f>G137+'17'!H137</f>
        <v>-32.390000000003056</v>
      </c>
      <c r="I137" s="480">
        <f>G135+G136+G137</f>
        <v>23.930000000000291</v>
      </c>
      <c r="J137" s="552">
        <f>H137/DAY(B2)</f>
        <v>-1.7994444444446143</v>
      </c>
      <c r="N137" s="718"/>
      <c r="O137" s="725"/>
      <c r="P137" s="382"/>
    </row>
    <row r="138" spans="1:16" ht="27.75">
      <c r="A138" s="1319" t="s">
        <v>245</v>
      </c>
      <c r="B138" s="1320"/>
      <c r="C138" s="1320"/>
      <c r="D138" s="523" t="s">
        <v>238</v>
      </c>
      <c r="E138" s="484">
        <f>'17'!F138</f>
        <v>25051.82</v>
      </c>
      <c r="F138" s="651">
        <v>25051.87</v>
      </c>
      <c r="G138" s="473">
        <f t="shared" si="15"/>
        <v>4.9999999999272404E-2</v>
      </c>
      <c r="H138" s="460">
        <f>G138+'17'!H138</f>
        <v>-39.520000000000437</v>
      </c>
      <c r="I138" s="480"/>
      <c r="J138" s="552">
        <f>H138/DAY(B2)</f>
        <v>-2.1955555555555799</v>
      </c>
      <c r="N138" s="718"/>
      <c r="O138" s="725"/>
      <c r="P138" s="382"/>
    </row>
    <row r="139" spans="1:16" ht="27.75">
      <c r="A139" s="1319" t="s">
        <v>246</v>
      </c>
      <c r="B139" s="1320"/>
      <c r="C139" s="1320"/>
      <c r="D139" s="523" t="s">
        <v>238</v>
      </c>
      <c r="E139" s="484">
        <f>'17'!F139</f>
        <v>70470.63</v>
      </c>
      <c r="F139" s="651">
        <v>70483.41</v>
      </c>
      <c r="G139" s="473">
        <f t="shared" si="15"/>
        <v>12.779999999998836</v>
      </c>
      <c r="H139" s="460">
        <f>G139+'17'!H139</f>
        <v>-30.209999999991851</v>
      </c>
      <c r="I139" s="480">
        <f>G138+G139</f>
        <v>12.829999999998108</v>
      </c>
      <c r="J139" s="552">
        <f>H139/DAY(B2)</f>
        <v>-1.6783333333328807</v>
      </c>
      <c r="N139" s="718"/>
      <c r="O139" s="725"/>
      <c r="P139" s="382"/>
    </row>
    <row r="140" spans="1:16" ht="27.75">
      <c r="A140" s="1319" t="s">
        <v>247</v>
      </c>
      <c r="B140" s="1320"/>
      <c r="C140" s="1320"/>
      <c r="D140" s="523" t="s">
        <v>238</v>
      </c>
      <c r="E140" s="484">
        <f>'17'!F140</f>
        <v>1993.42</v>
      </c>
      <c r="F140" s="626">
        <v>2003.62</v>
      </c>
      <c r="G140" s="473">
        <f t="shared" si="15"/>
        <v>10.199999999999818</v>
      </c>
      <c r="H140" s="460">
        <f>G140+'17'!H140</f>
        <v>-125.55999999999995</v>
      </c>
      <c r="I140" s="542"/>
      <c r="J140" s="552">
        <f>H140/DAY(B2)</f>
        <v>-6.9755555555555526</v>
      </c>
      <c r="N140" s="718"/>
      <c r="O140" s="725"/>
      <c r="P140" s="382"/>
    </row>
    <row r="141" spans="1:16" ht="27.75">
      <c r="A141" s="1319" t="s">
        <v>248</v>
      </c>
      <c r="B141" s="1320"/>
      <c r="C141" s="1320"/>
      <c r="D141" s="523" t="s">
        <v>238</v>
      </c>
      <c r="E141" s="484">
        <f>'17'!F141</f>
        <v>4636.88</v>
      </c>
      <c r="F141" s="478">
        <v>4636.97</v>
      </c>
      <c r="G141" s="473">
        <f t="shared" si="15"/>
        <v>9.0000000000145519E-2</v>
      </c>
      <c r="H141" s="460">
        <f>G141+'17'!H141</f>
        <v>-2.9999999999745341E-2</v>
      </c>
      <c r="I141" s="542"/>
      <c r="J141" s="552">
        <f>H141/DAY(B2)</f>
        <v>-1.666666666652519E-3</v>
      </c>
      <c r="N141" s="718"/>
      <c r="O141" s="725"/>
      <c r="P141" s="382"/>
    </row>
    <row r="142" spans="1:16">
      <c r="A142" s="1562" t="s">
        <v>249</v>
      </c>
      <c r="B142" s="1563"/>
      <c r="C142" s="132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5404.4199999999255</v>
      </c>
      <c r="H143" s="460">
        <f>G143+'17'!H143</f>
        <v>-69632.330000000031</v>
      </c>
      <c r="I143" s="480"/>
      <c r="J143" s="552">
        <f>H143/DAY(B2)</f>
        <v>-3868.4627777777796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0.25136837209301977</v>
      </c>
      <c r="H144" s="460">
        <f>G144+'17'!H144</f>
        <v>-3.2343975051270792</v>
      </c>
      <c r="I144" s="544"/>
      <c r="J144" s="552">
        <f>H144/DAY(B2)</f>
        <v>-0.17968875028483774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6328.7099999999336</v>
      </c>
      <c r="H145" s="460">
        <f>G145+'17'!H145</f>
        <v>-75014.490000000063</v>
      </c>
      <c r="I145" s="480"/>
      <c r="J145" s="552">
        <f>H145/DAY(B2)</f>
        <v>-4167.47166666667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 t="s">
        <v>272</v>
      </c>
      <c r="G146" s="543">
        <f>G145/G7</f>
        <v>0.29435860465115971</v>
      </c>
      <c r="H146" s="460">
        <f>G146+'17'!H146</f>
        <v>-3.4897536677250329</v>
      </c>
      <c r="I146" s="544"/>
      <c r="J146" s="552">
        <f>H146/DAY(B2)</f>
        <v>-0.19387520376250184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3490.4000000000233</v>
      </c>
      <c r="H147" s="460">
        <f>G147+'17'!H147</f>
        <v>-43311.94</v>
      </c>
      <c r="I147" s="545"/>
      <c r="J147" s="552">
        <f>H147/DAY(B2)</f>
        <v>-2406.2188888888891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0.16234418604651271</v>
      </c>
      <c r="H148" s="460">
        <f>G148+'17'!H148</f>
        <v>-2.0113238522745633</v>
      </c>
      <c r="I148" s="545"/>
      <c r="J148" s="552">
        <f>H148/DAY(B2)</f>
        <v>-0.11174021401525353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1375.1300000000338</v>
      </c>
      <c r="H149" s="460">
        <f>G149+'17'!H149</f>
        <v>-19090.670000000013</v>
      </c>
      <c r="I149" s="480"/>
      <c r="J149" s="552">
        <f>H149/DAY(B2)</f>
        <v>-1060.5927777777786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6.3959534883722496E-2</v>
      </c>
      <c r="H150" s="460">
        <f>G150+'17'!H150</f>
        <v>-0.88772785571921653</v>
      </c>
      <c r="I150" s="545"/>
      <c r="J150" s="552">
        <f>H150/DAY(B2)</f>
        <v>-4.9318214206623141E-2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1584.1599999999671</v>
      </c>
      <c r="H151" s="460">
        <f>G151+'17'!H151</f>
        <v>-24266.820000000007</v>
      </c>
      <c r="I151" s="545"/>
      <c r="J151" s="552">
        <f>H151/DAY(B2)</f>
        <v>-1348.156666666667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7.3681860465114754E-2</v>
      </c>
      <c r="H152" s="460">
        <f>G152+'17'!H152</f>
        <v>-1.1292278873417991</v>
      </c>
      <c r="I152" s="480"/>
      <c r="J152" s="552">
        <f>H152/DAY(B2)</f>
        <v>-6.273488263009995E-2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1451.5899999999965</v>
      </c>
      <c r="H153" s="460">
        <f>G153+'17'!H153</f>
        <v>-17767.130000000005</v>
      </c>
      <c r="I153" s="480"/>
      <c r="J153" s="552">
        <f>H153/DAY(B2)</f>
        <v>-987.06277777777802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6.7515813953488213E-2</v>
      </c>
      <c r="H154" s="460">
        <f>G154+'17'!H154</f>
        <v>-0.82497890983863043</v>
      </c>
      <c r="I154" s="568"/>
      <c r="J154" s="569">
        <f>H154/DAY(B2)</f>
        <v>-4.5832161657701688E-2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'17'!F161</f>
        <v>39799.879999999997</v>
      </c>
      <c r="F161" s="803">
        <v>39881.129999999997</v>
      </c>
      <c r="G161" s="473">
        <f t="shared" ref="G161:G166" si="16">F161-E161</f>
        <v>81.25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'17'!F162</f>
        <v>101956.39</v>
      </c>
      <c r="F162" s="803">
        <v>102410.34</v>
      </c>
      <c r="G162" s="473">
        <f t="shared" si="16"/>
        <v>453.94999999999709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'17'!F163</f>
        <v>48474.5</v>
      </c>
      <c r="F163" s="783">
        <v>48685.31</v>
      </c>
      <c r="G163" s="473">
        <f t="shared" si="16"/>
        <v>210.80999999999767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'17'!F164</f>
        <v>6720.43</v>
      </c>
      <c r="F164" s="803">
        <v>6726.91</v>
      </c>
      <c r="G164" s="473">
        <f t="shared" si="16"/>
        <v>6.4799999999995634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'17'!F165</f>
        <v>20419</v>
      </c>
      <c r="F165" s="514">
        <v>20419</v>
      </c>
      <c r="G165" s="473">
        <f t="shared" si="16"/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f>'17'!F166</f>
        <v>0</v>
      </c>
      <c r="F166" s="514">
        <f>F63</f>
        <v>0</v>
      </c>
      <c r="G166" s="473">
        <f t="shared" si="16"/>
        <v>0</v>
      </c>
      <c r="N166" s="718"/>
    </row>
    <row r="167" spans="1:14" ht="27.75">
      <c r="A167" s="1612" t="s">
        <v>98</v>
      </c>
      <c r="B167" s="1612"/>
      <c r="C167" s="1612"/>
      <c r="D167" s="524" t="s">
        <v>186</v>
      </c>
      <c r="E167" s="522">
        <f>'17'!F167</f>
        <v>165201.93</v>
      </c>
      <c r="F167" s="514">
        <f t="shared" ref="F167:F172" si="17">F64</f>
        <v>165546.95000000001</v>
      </c>
      <c r="G167" s="473">
        <f>F64-E64</f>
        <v>345.02000000001863</v>
      </c>
      <c r="N167" s="718"/>
    </row>
    <row r="168" spans="1:14" ht="27.75">
      <c r="A168" s="1612" t="s">
        <v>99</v>
      </c>
      <c r="B168" s="1612"/>
      <c r="C168" s="1612"/>
      <c r="D168" s="524" t="s">
        <v>186</v>
      </c>
      <c r="E168" s="522">
        <f>'17'!F168</f>
        <v>165495.54999999999</v>
      </c>
      <c r="F168" s="514">
        <f t="shared" si="17"/>
        <v>165867.10999999999</v>
      </c>
      <c r="G168" s="473">
        <f t="shared" ref="G168:G172" si="18">F65-E65</f>
        <v>371.55999999999767</v>
      </c>
      <c r="N168" s="718"/>
    </row>
    <row r="169" spans="1:14" ht="27.75">
      <c r="A169" s="1612" t="s">
        <v>100</v>
      </c>
      <c r="B169" s="1612"/>
      <c r="C169" s="1612"/>
      <c r="D169" s="524" t="s">
        <v>186</v>
      </c>
      <c r="E169" s="522">
        <f>'17'!F169</f>
        <v>62655.67</v>
      </c>
      <c r="F169" s="514">
        <f t="shared" si="17"/>
        <v>63008.51</v>
      </c>
      <c r="G169" s="473">
        <f t="shared" si="18"/>
        <v>352.84000000000378</v>
      </c>
      <c r="N169" s="718"/>
    </row>
    <row r="170" spans="1:14" ht="27.75">
      <c r="A170" s="1612" t="s">
        <v>101</v>
      </c>
      <c r="B170" s="1612"/>
      <c r="C170" s="1612"/>
      <c r="D170" s="524" t="s">
        <v>186</v>
      </c>
      <c r="E170" s="522">
        <f>'17'!F170</f>
        <v>259060.43</v>
      </c>
      <c r="F170" s="514">
        <f t="shared" si="17"/>
        <v>259536.45</v>
      </c>
      <c r="G170" s="473">
        <f t="shared" si="18"/>
        <v>476.02000000001863</v>
      </c>
      <c r="N170" s="718"/>
    </row>
    <row r="171" spans="1:14" ht="27.75">
      <c r="A171" s="1612" t="s">
        <v>102</v>
      </c>
      <c r="B171" s="1612"/>
      <c r="C171" s="1612"/>
      <c r="D171" s="524" t="s">
        <v>186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22">
        <f>'17'!F172</f>
        <v>84334.43</v>
      </c>
      <c r="F172" s="514">
        <f t="shared" si="17"/>
        <v>84579.38</v>
      </c>
      <c r="G172" s="473">
        <f t="shared" si="18"/>
        <v>244.95000000001164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2542.8800000000447</v>
      </c>
      <c r="N173" s="718"/>
    </row>
    <row r="174" spans="1:14">
      <c r="N174" s="718"/>
    </row>
    <row r="175" spans="1:14">
      <c r="A175" s="1587" t="s">
        <v>352</v>
      </c>
      <c r="B175" s="1550"/>
      <c r="C175" s="785"/>
      <c r="D175" s="523" t="s">
        <v>186</v>
      </c>
      <c r="N175" s="718"/>
    </row>
    <row r="176" spans="1:14">
      <c r="A176" s="1587" t="s">
        <v>353</v>
      </c>
      <c r="B176" s="1550"/>
      <c r="C176" s="785"/>
      <c r="D176" s="523" t="s">
        <v>186</v>
      </c>
      <c r="N176" s="718"/>
    </row>
    <row r="177" spans="14:14">
      <c r="N177" s="718"/>
    </row>
    <row r="178" spans="14:14" ht="18.75" customHeight="1">
      <c r="N178" s="718"/>
    </row>
    <row r="179" spans="14:14" ht="23.25" customHeight="1">
      <c r="N179" s="718"/>
    </row>
    <row r="180" spans="14:14" ht="23.25" customHeight="1">
      <c r="N180" s="718"/>
    </row>
    <row r="181" spans="14:14" ht="23.25" customHeight="1">
      <c r="N181" s="718"/>
    </row>
    <row r="182" spans="14:14" ht="23.25" customHeight="1">
      <c r="N182" s="718"/>
    </row>
    <row r="183" spans="14:14" ht="23.25" customHeight="1">
      <c r="N183" s="718"/>
    </row>
    <row r="184" spans="14:14" ht="23.25" customHeight="1">
      <c r="N184" s="718"/>
    </row>
    <row r="185" spans="14:14" ht="23.25" customHeight="1">
      <c r="N185" s="718"/>
    </row>
    <row r="186" spans="14:14" ht="23.25" customHeight="1">
      <c r="N186" s="718"/>
    </row>
    <row r="187" spans="14:14" ht="23.25" customHeight="1">
      <c r="N187" s="718"/>
    </row>
    <row r="188" spans="14:14" ht="23.25" customHeight="1">
      <c r="N188" s="718"/>
    </row>
    <row r="189" spans="14:14" ht="23.25" customHeight="1">
      <c r="N189" s="718"/>
    </row>
    <row r="190" spans="14:14" ht="23.25" customHeight="1">
      <c r="N190" s="718"/>
    </row>
    <row r="191" spans="14:14" ht="23.25" customHeight="1">
      <c r="N191" s="718"/>
    </row>
    <row r="192" spans="14:14" ht="23.25" customHeight="1">
      <c r="N192" s="718"/>
    </row>
    <row r="193" spans="14:14" ht="23.25" customHeight="1">
      <c r="N193" s="718"/>
    </row>
    <row r="194" spans="14:14" ht="23.25" customHeight="1">
      <c r="N194" s="718"/>
    </row>
    <row r="195" spans="14:14" ht="23.25" customHeight="1">
      <c r="N195" s="718"/>
    </row>
    <row r="196" spans="14:14" ht="23.25" customHeight="1">
      <c r="N196" s="718"/>
    </row>
    <row r="197" spans="14:14" ht="23.25" customHeight="1">
      <c r="N197" s="718"/>
    </row>
    <row r="198" spans="14:14" ht="23.25" customHeight="1">
      <c r="N198" s="718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7" zoomScale="55" zoomScaleNormal="40" zoomScaleSheetLayoutView="55" zoomScalePageLayoutView="60" workbookViewId="0">
      <selection activeCell="F15" sqref="F15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364</v>
      </c>
      <c r="B2" s="1031">
        <v>44366</v>
      </c>
      <c r="C2" s="1141" t="s">
        <v>68</v>
      </c>
      <c r="D2" s="611">
        <v>0.1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27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'18'!F7</f>
        <v>308795.56</v>
      </c>
      <c r="F7" s="455">
        <f>E7+21500</f>
        <v>330295.56</v>
      </c>
      <c r="G7" s="473">
        <f>F7-E7</f>
        <v>21500</v>
      </c>
      <c r="H7" s="460">
        <f>G7+'18'!H7</f>
        <v>408342.56000000006</v>
      </c>
      <c r="I7" s="474">
        <f>'1'!I7</f>
        <v>12000</v>
      </c>
      <c r="J7" s="552">
        <f>H7/DAY(B2)</f>
        <v>21491.713684210528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'18'!F8</f>
        <v>314453.78999999998</v>
      </c>
      <c r="F8" s="475">
        <f>E8+21500</f>
        <v>335953.79</v>
      </c>
      <c r="G8" s="476">
        <f>F8-E8</f>
        <v>21500</v>
      </c>
      <c r="H8" s="460">
        <f>G8+'18'!H8</f>
        <v>409231.79</v>
      </c>
      <c r="I8" s="477">
        <f>'1'!I8</f>
        <v>12000</v>
      </c>
      <c r="J8" s="552">
        <f>H8/DAY(B2)</f>
        <v>21538.515263157893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'18'!F9</f>
        <v>1787137.7</v>
      </c>
      <c r="F9" s="478">
        <v>1809519.3</v>
      </c>
      <c r="G9" s="473">
        <f t="shared" ref="G9:G12" si="0">F9-E9</f>
        <v>22381.600000000093</v>
      </c>
      <c r="H9" s="460">
        <f>G9+'18'!H9</f>
        <v>-221482.69999999995</v>
      </c>
      <c r="I9" s="479">
        <f>I8-J8</f>
        <v>-9538.5152631578931</v>
      </c>
      <c r="J9" s="552">
        <f>H9/DAY(B2)</f>
        <v>-11656.984210526314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'18'!F10</f>
        <v>2606.85</v>
      </c>
      <c r="F10" s="478"/>
      <c r="G10" s="473">
        <v>0</v>
      </c>
      <c r="H10" s="460">
        <f>G10+'18'!H10</f>
        <v>0.29999999999972715</v>
      </c>
      <c r="I10" s="480"/>
      <c r="J10" s="552">
        <f>H10/DAY(B2)</f>
        <v>1.5789473684196167E-2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22381.600000000093</v>
      </c>
      <c r="H13" s="460">
        <f>G13+'18'!H13</f>
        <v>-238007.39999999997</v>
      </c>
      <c r="I13" s="482">
        <f>G7-G13</f>
        <v>-881.60000000009313</v>
      </c>
      <c r="J13" s="552">
        <f>H13/DAY(B2)</f>
        <v>-12526.705263157894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39" t="s">
        <v>139</v>
      </c>
      <c r="B15" s="589"/>
      <c r="C15" s="589"/>
      <c r="D15" s="523" t="s">
        <v>140</v>
      </c>
      <c r="E15" s="484">
        <f>'18'!F15</f>
        <v>1716867.16</v>
      </c>
      <c r="F15" s="700">
        <f>E15+700</f>
        <v>1717567.16</v>
      </c>
      <c r="G15" s="779">
        <f>(F15-E15)</f>
        <v>700</v>
      </c>
      <c r="H15" s="460">
        <f>G15+'18'!H15</f>
        <v>13884.159999999916</v>
      </c>
      <c r="I15" s="474">
        <v>800</v>
      </c>
      <c r="J15" s="552">
        <f>H15/DAY(B2)</f>
        <v>730.74526315789035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69.254736842109651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'18'!F18</f>
        <v>8</v>
      </c>
      <c r="F18" s="484">
        <v>13</v>
      </c>
      <c r="G18" s="481">
        <f>F18*10</f>
        <v>130</v>
      </c>
      <c r="H18" s="460">
        <f>G18+'18'!H18</f>
        <v>1780</v>
      </c>
      <c r="I18" s="474">
        <f>'1'!I18</f>
        <v>65</v>
      </c>
      <c r="J18" s="552">
        <f>H18/DAY(B2)</f>
        <v>93.684210526315795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'18'!F19</f>
        <v>140746</v>
      </c>
      <c r="F19" s="484">
        <v>140809</v>
      </c>
      <c r="G19" s="473">
        <f t="shared" ref="G19" si="1">F19-E19</f>
        <v>63</v>
      </c>
      <c r="H19" s="460">
        <f>G19+'18'!H19</f>
        <v>-686</v>
      </c>
      <c r="I19" s="489"/>
      <c r="J19" s="552">
        <f>H19/DAY(B2)</f>
        <v>-36.10526315789474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193</v>
      </c>
      <c r="H20" s="460">
        <f>G20+'18'!H20</f>
        <v>1094</v>
      </c>
      <c r="I20" s="492">
        <f>I18-J20</f>
        <v>7.4210526315789451</v>
      </c>
      <c r="J20" s="552">
        <f>H20/DAY(B2)</f>
        <v>57.578947368421055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21500</v>
      </c>
      <c r="F27" s="501">
        <v>9</v>
      </c>
      <c r="G27" s="502">
        <f>E27*F27</f>
        <v>193500</v>
      </c>
      <c r="H27" s="460">
        <f>G27+'18'!H27</f>
        <v>3683086.11</v>
      </c>
      <c r="I27" s="503"/>
      <c r="J27" s="552">
        <f>H27/DAY(B2)</f>
        <v>193846.63736842104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700</v>
      </c>
      <c r="F28" s="501">
        <v>52</v>
      </c>
      <c r="G28" s="502">
        <f>E28*F28</f>
        <v>36400</v>
      </c>
      <c r="H28" s="460">
        <f>G28+'18'!H28</f>
        <v>721976.31999999564</v>
      </c>
      <c r="I28" s="505"/>
      <c r="J28" s="552">
        <f>H28/DAY(B2)</f>
        <v>37998.7536842103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63</v>
      </c>
      <c r="F30" s="501">
        <v>146</v>
      </c>
      <c r="G30" s="502">
        <f>E30*F30</f>
        <v>9198</v>
      </c>
      <c r="H30" s="460">
        <f>G30+'18'!H30</f>
        <v>-100740</v>
      </c>
      <c r="I30" s="505"/>
      <c r="J30" s="552">
        <f>H30/DAY(B2)</f>
        <v>-5302.105263157895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130</v>
      </c>
      <c r="F31" s="501">
        <v>80</v>
      </c>
      <c r="G31" s="502">
        <f>E31*F31</f>
        <v>10400</v>
      </c>
      <c r="H31" s="460">
        <f>G31+'18'!H31</f>
        <v>136800</v>
      </c>
      <c r="I31" s="505"/>
      <c r="J31" s="552">
        <f>H31/DAY(B2)</f>
        <v>7200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249498</v>
      </c>
      <c r="H32" s="460">
        <f>G32+'18'!H32</f>
        <v>4441122.429999995</v>
      </c>
      <c r="I32" s="509"/>
      <c r="J32" s="552">
        <f>H32/DAY(B2)</f>
        <v>233743.28578947342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'18'!F35</f>
        <v>994564.87</v>
      </c>
      <c r="F35" s="510">
        <v>997523.03</v>
      </c>
      <c r="G35" s="473">
        <f t="shared" ref="G35:G44" si="3">F35-E35</f>
        <v>2958.1600000000326</v>
      </c>
      <c r="H35" s="460">
        <f>G35+'18'!H35</f>
        <v>-31190.969999999972</v>
      </c>
      <c r="I35" s="455"/>
      <c r="J35" s="552">
        <f>H35/DAY(B2)</f>
        <v>-1641.6299999999985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'18'!F36</f>
        <v>11027.19</v>
      </c>
      <c r="F36" s="510">
        <v>12057.47</v>
      </c>
      <c r="G36" s="473">
        <f t="shared" si="3"/>
        <v>1030.2799999999988</v>
      </c>
      <c r="H36" s="460">
        <f>G36+'18'!H36</f>
        <v>-8403.5300000000007</v>
      </c>
      <c r="I36" s="455"/>
      <c r="J36" s="552">
        <f>H36/DAY(B2)</f>
        <v>-442.29105263157896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'18'!F37</f>
        <v>158802.87</v>
      </c>
      <c r="F37" s="469">
        <v>160349.26</v>
      </c>
      <c r="G37" s="473">
        <f t="shared" si="3"/>
        <v>1546.390000000014</v>
      </c>
      <c r="H37" s="460">
        <f>G37+'18'!H37</f>
        <v>-16220.739999999991</v>
      </c>
      <c r="I37" s="455"/>
      <c r="J37" s="552">
        <f>H37/DAY(B2)</f>
        <v>-853.72315789473635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'18'!F38</f>
        <v>179368.33</v>
      </c>
      <c r="F38" s="510">
        <v>180981.33</v>
      </c>
      <c r="G38" s="473">
        <f t="shared" si="3"/>
        <v>1613</v>
      </c>
      <c r="H38" s="460">
        <f>G38+'18'!H38</f>
        <v>-17477.670000000013</v>
      </c>
      <c r="I38" s="455"/>
      <c r="J38" s="552">
        <f>H38/DAY(B2)</f>
        <v>-919.87736842105335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'18'!F39</f>
        <v>361552.47</v>
      </c>
      <c r="F39" s="510">
        <v>365296.75</v>
      </c>
      <c r="G39" s="473">
        <f t="shared" si="3"/>
        <v>3744.2800000000279</v>
      </c>
      <c r="H39" s="460">
        <f>G39+'18'!H39</f>
        <v>-39567.25</v>
      </c>
      <c r="I39" s="455"/>
      <c r="J39" s="552">
        <f>H39/DAY(B2)</f>
        <v>-2082.4868421052633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'18'!F40</f>
        <v>2657.41</v>
      </c>
      <c r="F40" s="510">
        <v>3254.05</v>
      </c>
      <c r="G40" s="473">
        <f t="shared" si="3"/>
        <v>596.64000000000033</v>
      </c>
      <c r="H40" s="460">
        <f>G40+'18'!H40</f>
        <v>-3858.95</v>
      </c>
      <c r="I40" s="455"/>
      <c r="J40" s="552">
        <f>H40/DAY(B2)</f>
        <v>-203.10263157894735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'18'!F41</f>
        <v>295098.84999999998</v>
      </c>
      <c r="F41" s="510">
        <v>296609.46999999997</v>
      </c>
      <c r="G41" s="473">
        <f t="shared" si="3"/>
        <v>1510.6199999999953</v>
      </c>
      <c r="H41" s="460">
        <f>G41+'18'!H41</f>
        <v>-33032.530000000028</v>
      </c>
      <c r="I41" s="455"/>
      <c r="J41" s="552">
        <f>H41/DAY(B2)</f>
        <v>-1738.5542105263173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'18'!F42</f>
        <v>59210.080000000002</v>
      </c>
      <c r="F42" s="510">
        <v>59210.080000000002</v>
      </c>
      <c r="G42" s="473">
        <f t="shared" si="3"/>
        <v>0</v>
      </c>
      <c r="H42" s="460">
        <f>G42+'18'!H42</f>
        <v>11.190000000002328</v>
      </c>
      <c r="I42" s="455"/>
      <c r="J42" s="552">
        <f>H42/DAY(B2)</f>
        <v>0.58894736842117512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'18'!F43</f>
        <v>1086611.3999999999</v>
      </c>
      <c r="F43" s="510">
        <v>1089539.3999999999</v>
      </c>
      <c r="G43" s="473">
        <f t="shared" si="3"/>
        <v>2928</v>
      </c>
      <c r="H43" s="460">
        <f>G43+'18'!H43</f>
        <v>-30912.600000000093</v>
      </c>
      <c r="I43" s="455"/>
      <c r="J43" s="552">
        <f>H43/DAY(B2)</f>
        <v>-1626.9789473684259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'18'!F44</f>
        <v>0</v>
      </c>
      <c r="F44" s="1494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ref="G45:G46" si="4">F45-E45</f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4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15927.370000000068</v>
      </c>
      <c r="H47" s="460">
        <f>G47+'18'!H47</f>
        <v>-179851.61000000004</v>
      </c>
      <c r="I47" s="455"/>
      <c r="J47" s="552">
        <f>H47/DAY(B2)</f>
        <v>-9465.8742105263173</v>
      </c>
      <c r="K47" s="428"/>
      <c r="L47" s="377"/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'18'!F49</f>
        <v>260732.13</v>
      </c>
      <c r="F49" s="510">
        <v>260732.13</v>
      </c>
      <c r="G49" s="473">
        <f t="shared" ref="G49:G58" si="5">F49-E49</f>
        <v>0</v>
      </c>
      <c r="H49" s="460">
        <f>G49+'18'!H49</f>
        <v>0.13000000000465661</v>
      </c>
      <c r="I49" s="455"/>
      <c r="J49" s="552">
        <f>H49/DAY(B2)</f>
        <v>6.8421052634029794E-3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'18'!F50</f>
        <v>519829.99</v>
      </c>
      <c r="F50" s="510">
        <v>521403.23</v>
      </c>
      <c r="G50" s="473">
        <f t="shared" si="5"/>
        <v>1573.2399999999907</v>
      </c>
      <c r="H50" s="460">
        <f>G50+'18'!H50</f>
        <v>-14149.770000000019</v>
      </c>
      <c r="I50" s="455"/>
      <c r="J50" s="552">
        <f>H50/DAY(B2)</f>
        <v>-744.72473684210627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'18'!F51</f>
        <v>144640</v>
      </c>
      <c r="F51" s="510">
        <v>144639.87</v>
      </c>
      <c r="G51" s="473">
        <f t="shared" si="5"/>
        <v>-0.13000000000465661</v>
      </c>
      <c r="H51" s="460">
        <f>G51+'18'!H51</f>
        <v>-0.13000000000465661</v>
      </c>
      <c r="I51" s="455"/>
      <c r="J51" s="552">
        <f>H51/DAY(B2)</f>
        <v>-6.8421052634029794E-3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'18'!F52</f>
        <v>539606</v>
      </c>
      <c r="F52" s="510">
        <v>539606.06999999995</v>
      </c>
      <c r="G52" s="473">
        <f t="shared" si="5"/>
        <v>6.9999999948777258E-2</v>
      </c>
      <c r="H52" s="460">
        <f>G52+'18'!H52</f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'18'!F53</f>
        <v>434231.59</v>
      </c>
      <c r="F53" s="510">
        <v>434231.59</v>
      </c>
      <c r="G53" s="473">
        <f t="shared" si="5"/>
        <v>0</v>
      </c>
      <c r="H53" s="460">
        <f>G53+'18'!H53</f>
        <v>-0.73999999999068677</v>
      </c>
      <c r="I53" s="455"/>
      <c r="J53" s="552">
        <f>H53/DAY(B2)</f>
        <v>-3.8947368420562463E-2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'18'!F54</f>
        <v>14967.35</v>
      </c>
      <c r="F54" s="510">
        <v>14967.38</v>
      </c>
      <c r="G54" s="473">
        <f t="shared" si="5"/>
        <v>2.9999999998835847E-2</v>
      </c>
      <c r="H54" s="460">
        <f>G54+'18'!H54</f>
        <v>-78.6200000000008</v>
      </c>
      <c r="I54" s="455"/>
      <c r="J54" s="552">
        <f>H54/DAY(B2)</f>
        <v>-4.1378947368421475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'18'!F55</f>
        <v>77276.399999999994</v>
      </c>
      <c r="F55" s="510">
        <v>82777.33</v>
      </c>
      <c r="G55" s="473">
        <f t="shared" si="5"/>
        <v>5500.9300000000076</v>
      </c>
      <c r="H55" s="460">
        <f>G55+'18'!H55</f>
        <v>-34858.67</v>
      </c>
      <c r="I55" s="455"/>
      <c r="J55" s="552">
        <f>H55/DAY(B2)</f>
        <v>-1834.666842105263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'18'!F56</f>
        <v>648909.06999999995</v>
      </c>
      <c r="F56" s="510">
        <v>648919.23</v>
      </c>
      <c r="G56" s="473">
        <f t="shared" si="5"/>
        <v>10.160000000032596</v>
      </c>
      <c r="H56" s="460">
        <f>G56+'18'!H56</f>
        <v>-112.77000000001863</v>
      </c>
      <c r="I56" s="455"/>
      <c r="J56" s="552">
        <f>H56/DAY(B2)</f>
        <v>-5.9352631578957169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'18'!F57</f>
        <v>7711.33</v>
      </c>
      <c r="F57" s="510">
        <v>7711</v>
      </c>
      <c r="G57" s="473">
        <f t="shared" si="5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'18'!F58</f>
        <v>51918.14</v>
      </c>
      <c r="F58" s="510">
        <v>52232.27</v>
      </c>
      <c r="G58" s="473">
        <f t="shared" si="5"/>
        <v>314.12999999999738</v>
      </c>
      <c r="H58" s="460">
        <f>G58+'18'!H58</f>
        <v>-1992.9400000000023</v>
      </c>
      <c r="I58" s="455"/>
      <c r="J58" s="552">
        <f>H58/DAY(B2)</f>
        <v>-104.89157894736854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7398.0999999999713</v>
      </c>
      <c r="H59" s="460">
        <f>G59+'18'!H59</f>
        <v>-51193.440000000082</v>
      </c>
      <c r="I59" s="455">
        <f>G7-G60</f>
        <v>-1825.4700000000375</v>
      </c>
      <c r="J59" s="552">
        <f>H59/DAY(B2)</f>
        <v>-2694.3915789473726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23325.470000000038</v>
      </c>
      <c r="H60" s="460">
        <f>G60+'18'!H60</f>
        <v>-229836.5100000003</v>
      </c>
      <c r="I60" s="455">
        <f>G13-G60</f>
        <v>-943.86999999994441</v>
      </c>
      <c r="J60" s="552">
        <f>H60/DAY(B2)</f>
        <v>-12096.658421052647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'18'!F62</f>
        <v>20419.18</v>
      </c>
      <c r="F62" s="514">
        <v>20419.2</v>
      </c>
      <c r="G62" s="473">
        <f t="shared" ref="G62:G69" si="6">F62-E62</f>
        <v>2.0000000000436557E-2</v>
      </c>
      <c r="H62" s="460">
        <f>G62+'18'!H62</f>
        <v>0.20199999999749707</v>
      </c>
      <c r="I62" s="515"/>
      <c r="J62" s="552">
        <f>H62/DAY(B2)</f>
        <v>1.0631578947236688E-2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'18'!F63</f>
        <v>0</v>
      </c>
      <c r="F63" s="514">
        <v>0</v>
      </c>
      <c r="G63" s="473">
        <f t="shared" si="6"/>
        <v>0</v>
      </c>
      <c r="H63" s="460">
        <f>G63+'18'!H63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f>'18'!F64</f>
        <v>165546.95000000001</v>
      </c>
      <c r="F64" s="484">
        <v>165890.62</v>
      </c>
      <c r="G64" s="473">
        <f t="shared" si="6"/>
        <v>343.6699999999837</v>
      </c>
      <c r="H64" s="460">
        <f>G64+'18'!H64</f>
        <v>-4131.3800000000047</v>
      </c>
      <c r="I64" s="480"/>
      <c r="J64" s="552">
        <f>H64/DAY(B2)</f>
        <v>-217.4410526315792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f>'18'!F65</f>
        <v>165867.10999999999</v>
      </c>
      <c r="F65" s="484">
        <v>166289.87</v>
      </c>
      <c r="G65" s="473">
        <f t="shared" si="6"/>
        <v>422.76000000000931</v>
      </c>
      <c r="H65" s="460">
        <f>G65+'18'!H65</f>
        <v>-4012.1300000000047</v>
      </c>
      <c r="I65" s="489"/>
      <c r="J65" s="552">
        <f>H65/DAY(B2)</f>
        <v>-211.1647368421055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f>'18'!F66</f>
        <v>63008.51</v>
      </c>
      <c r="F66" s="484">
        <v>63429.97</v>
      </c>
      <c r="G66" s="473">
        <f t="shared" si="6"/>
        <v>421.45999999999913</v>
      </c>
      <c r="H66" s="460">
        <f>G66+'18'!H66</f>
        <v>-4540.0299999999988</v>
      </c>
      <c r="I66" s="480"/>
      <c r="J66" s="552">
        <f>H66/DAY(B2)</f>
        <v>-238.94894736842099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f>'18'!F67</f>
        <v>259536.45</v>
      </c>
      <c r="F67" s="484">
        <v>260027.21</v>
      </c>
      <c r="G67" s="473">
        <f t="shared" si="6"/>
        <v>490.75999999998021</v>
      </c>
      <c r="H67" s="460">
        <f>G67+'18'!H67</f>
        <v>-4931.7900000000081</v>
      </c>
      <c r="I67" s="489"/>
      <c r="J67" s="552">
        <f>H67/DAY(B2)</f>
        <v>-259.56789473684256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f>'18'!F68</f>
        <v>85321</v>
      </c>
      <c r="F68" s="484">
        <v>85321</v>
      </c>
      <c r="G68" s="473">
        <f t="shared" si="6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f>'18'!F69</f>
        <v>84579.38</v>
      </c>
      <c r="F69" s="484">
        <v>84858.91</v>
      </c>
      <c r="G69" s="473">
        <f t="shared" si="6"/>
        <v>279.52999999999884</v>
      </c>
      <c r="H69" s="460">
        <f>G69+'18'!H69</f>
        <v>-2656.0899999999965</v>
      </c>
      <c r="I69" s="516"/>
      <c r="J69" s="552">
        <f>H69/DAY(B2)</f>
        <v>-139.7942105263156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'18'!F72</f>
        <v>856078</v>
      </c>
      <c r="F72" s="519">
        <v>856091</v>
      </c>
      <c r="G72" s="473">
        <f t="shared" ref="G72:G84" si="7">F72-E72</f>
        <v>13</v>
      </c>
      <c r="H72" s="460">
        <f>G72+'18'!H72</f>
        <v>-144</v>
      </c>
      <c r="I72" s="480"/>
      <c r="J72" s="552">
        <f>H72/DAY(B2)</f>
        <v>-7.5789473684210522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20">
        <f>'18'!F73</f>
        <v>885958</v>
      </c>
      <c r="F73" s="520">
        <v>885959</v>
      </c>
      <c r="G73" s="473">
        <f t="shared" si="7"/>
        <v>1</v>
      </c>
      <c r="H73" s="460">
        <f>G73+'18'!H73</f>
        <v>-201</v>
      </c>
      <c r="I73" s="480"/>
      <c r="J73" s="552">
        <f>H73/DAY(B2)</f>
        <v>-10.578947368421053</v>
      </c>
      <c r="K73" s="430"/>
      <c r="L73" s="377"/>
      <c r="N73" s="382"/>
      <c r="O73" s="382"/>
    </row>
    <row r="74" spans="1:15" ht="27.75">
      <c r="A74" s="1622" t="s">
        <v>192</v>
      </c>
      <c r="B74" s="1623"/>
      <c r="C74" s="1624"/>
      <c r="D74" s="523" t="s">
        <v>186</v>
      </c>
      <c r="E74" s="521">
        <f>'18'!F74</f>
        <v>88683.3</v>
      </c>
      <c r="F74" s="521">
        <v>88684.4</v>
      </c>
      <c r="G74" s="473">
        <f t="shared" si="7"/>
        <v>1.0999999999912689</v>
      </c>
      <c r="H74" s="460">
        <f>G74+'18'!H74</f>
        <v>-86090.64</v>
      </c>
      <c r="I74" s="480"/>
      <c r="J74" s="552">
        <f>H74/DAY(B2)</f>
        <v>-4531.0863157894737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21">
        <f>'18'!F75</f>
        <v>14299.42</v>
      </c>
      <c r="F75" s="521">
        <v>14473.9</v>
      </c>
      <c r="G75" s="473">
        <f t="shared" si="7"/>
        <v>174.47999999999956</v>
      </c>
      <c r="H75" s="460">
        <f>G75+'18'!H75</f>
        <v>-1597.1000000000004</v>
      </c>
      <c r="I75" s="480"/>
      <c r="J75" s="552">
        <f>H75/DAY(B2)</f>
        <v>-84.05789473684213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20">
        <f>'18'!F76</f>
        <v>8466.48</v>
      </c>
      <c r="F76" s="520">
        <v>8533.0300000000007</v>
      </c>
      <c r="G76" s="473">
        <f t="shared" si="7"/>
        <v>66.550000000001091</v>
      </c>
      <c r="H76" s="460">
        <f>G76+'18'!H76</f>
        <v>-2074.9699999999993</v>
      </c>
      <c r="I76" s="505"/>
      <c r="J76" s="552">
        <f>H76/DAY(B2)</f>
        <v>-109.20894736842102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21">
        <f>'18'!F77</f>
        <v>703744</v>
      </c>
      <c r="F77" s="521">
        <v>703787</v>
      </c>
      <c r="G77" s="473">
        <f t="shared" si="7"/>
        <v>43</v>
      </c>
      <c r="H77" s="460">
        <f>G77+'18'!H77</f>
        <v>-587</v>
      </c>
      <c r="I77" s="505"/>
      <c r="J77" s="552">
        <f>H77/DAY(B2)</f>
        <v>-30.894736842105264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'18'!F78</f>
        <v>674311</v>
      </c>
      <c r="F78" s="521">
        <v>674432</v>
      </c>
      <c r="G78" s="473">
        <f t="shared" si="7"/>
        <v>121</v>
      </c>
      <c r="H78" s="460">
        <f>G78+'18'!H78</f>
        <v>-982</v>
      </c>
      <c r="I78" s="505"/>
      <c r="J78" s="552">
        <f>H78/DAY(B2)</f>
        <v>-51.684210526315788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f>'18'!F79</f>
        <v>833636</v>
      </c>
      <c r="F79" s="521">
        <v>833783</v>
      </c>
      <c r="G79" s="473">
        <f t="shared" si="7"/>
        <v>147</v>
      </c>
      <c r="H79" s="460">
        <f>G79+'18'!H79</f>
        <v>-621</v>
      </c>
      <c r="I79" s="505"/>
      <c r="J79" s="552">
        <f>H79/DAY(B2)</f>
        <v>-32.684210526315788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f>'18'!F80</f>
        <v>534260.84</v>
      </c>
      <c r="F80" s="520">
        <v>534665.16</v>
      </c>
      <c r="G80" s="473">
        <f t="shared" si="7"/>
        <v>404.32000000006519</v>
      </c>
      <c r="H80" s="460">
        <f>G80+'18'!H80</f>
        <v>-286.35999999998603</v>
      </c>
      <c r="I80" s="505"/>
      <c r="J80" s="552">
        <f>H80/DAY(B2)</f>
        <v>-15.071578947367685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'18'!F81</f>
        <v>641035.31999999995</v>
      </c>
      <c r="F81" s="520">
        <v>641219.96</v>
      </c>
      <c r="G81" s="473">
        <f t="shared" si="7"/>
        <v>184.64000000001397</v>
      </c>
      <c r="H81" s="460">
        <f>G81+'18'!H81</f>
        <v>-1765.0400000000373</v>
      </c>
      <c r="I81" s="505"/>
      <c r="J81" s="552">
        <f>H81/DAY(B2)</f>
        <v>-92.896842105265122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'18'!F82</f>
        <v>108460.61</v>
      </c>
      <c r="F82" s="522">
        <v>108479.52</v>
      </c>
      <c r="G82" s="473">
        <f t="shared" si="7"/>
        <v>18.910000000003492</v>
      </c>
      <c r="H82" s="460">
        <f>G82+'18'!H82</f>
        <v>-201.47999999999593</v>
      </c>
      <c r="I82" s="486"/>
      <c r="J82" s="552">
        <f>H82/DAY(B2)</f>
        <v>-10.604210526315574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f>'18'!F83</f>
        <v>24106</v>
      </c>
      <c r="F83" s="511">
        <v>24413</v>
      </c>
      <c r="G83" s="473">
        <f t="shared" si="7"/>
        <v>307</v>
      </c>
      <c r="H83" s="460">
        <f>G83+'18'!H83</f>
        <v>-3138</v>
      </c>
      <c r="I83" s="481"/>
      <c r="J83" s="552">
        <f>H83/DAY(B2)</f>
        <v>-165.15789473684211</v>
      </c>
      <c r="K83" s="429"/>
      <c r="L83" s="377"/>
      <c r="N83" s="382"/>
      <c r="O83" s="721"/>
    </row>
    <row r="84" spans="1:15">
      <c r="A84" s="1143" t="s">
        <v>200</v>
      </c>
      <c r="B84" s="571"/>
      <c r="C84" s="571"/>
      <c r="D84" s="478" t="s">
        <v>131</v>
      </c>
      <c r="E84" s="627">
        <f>'18'!F84</f>
        <v>513364</v>
      </c>
      <c r="F84" s="627">
        <v>514155</v>
      </c>
      <c r="G84" s="473">
        <f t="shared" si="7"/>
        <v>791</v>
      </c>
      <c r="H84" s="460">
        <f>G84+'18'!H84</f>
        <v>-8925</v>
      </c>
      <c r="I84" s="481"/>
      <c r="J84" s="552">
        <f>H84/DAY(B2)</f>
        <v>-469.73684210526318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2273.0000000000746</v>
      </c>
      <c r="H85" s="460">
        <f>G85+'18'!H85</f>
        <v>-110214.07</v>
      </c>
      <c r="I85" s="481"/>
      <c r="J85" s="552">
        <f>H85/DAY(B2)</f>
        <v>-5800.7405263157898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'18'!F86</f>
        <v>461480.2</v>
      </c>
      <c r="F86" s="647">
        <v>461496.24</v>
      </c>
      <c r="G86" s="705">
        <f t="shared" ref="G86:G91" si="8">F86-E86</f>
        <v>16.039999999979045</v>
      </c>
      <c r="H86" s="460">
        <f>G86+'18'!H86</f>
        <v>37.959999999962747</v>
      </c>
      <c r="I86" s="652"/>
      <c r="J86" s="707">
        <f>H86/DAY(B2)</f>
        <v>1.9978947368401445</v>
      </c>
      <c r="K86" s="733">
        <v>424609</v>
      </c>
      <c r="L86" s="734">
        <f>K86-F86</f>
        <v>-36887.239999999991</v>
      </c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'18'!F87</f>
        <v>81757.7</v>
      </c>
      <c r="F87" s="647">
        <v>81776.800000000003</v>
      </c>
      <c r="G87" s="705">
        <f t="shared" si="8"/>
        <v>19.100000000005821</v>
      </c>
      <c r="H87" s="460">
        <f>G87+'18'!H87</f>
        <v>48</v>
      </c>
      <c r="I87" s="652"/>
      <c r="J87" s="707">
        <f>H87/DAY(B2)</f>
        <v>2.5263157894736841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'18'!F88</f>
        <v>154172.51</v>
      </c>
      <c r="F88" s="647">
        <v>154227.82999999999</v>
      </c>
      <c r="G88" s="705">
        <f t="shared" si="8"/>
        <v>55.319999999977881</v>
      </c>
      <c r="H88" s="460">
        <f>G88+'18'!H88</f>
        <v>150.1699999999837</v>
      </c>
      <c r="I88" s="652"/>
      <c r="J88" s="707">
        <f>H88/DAY(B2)</f>
        <v>7.9036842105254577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'18'!F89</f>
        <v>65528.6</v>
      </c>
      <c r="F89" s="647">
        <v>65543.5</v>
      </c>
      <c r="G89" s="705">
        <f t="shared" si="8"/>
        <v>14.900000000001455</v>
      </c>
      <c r="H89" s="460">
        <f>G89+'18'!H89</f>
        <v>31.400000000001455</v>
      </c>
      <c r="I89" s="652"/>
      <c r="J89" s="707">
        <f>H89/DAY(B2)</f>
        <v>1.6526315789474451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'18'!F90</f>
        <v>3307.4</v>
      </c>
      <c r="F90" s="647">
        <v>3308.7</v>
      </c>
      <c r="G90" s="705">
        <f t="shared" si="8"/>
        <v>1.2999999999997272</v>
      </c>
      <c r="H90" s="705">
        <f>G90</f>
        <v>1.2999999999997272</v>
      </c>
      <c r="I90" s="652"/>
      <c r="J90" s="707">
        <f>H90/DAY(B2)</f>
        <v>6.8421052631564588E-2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47">
        <f>'18'!F91</f>
        <v>28154.166399999998</v>
      </c>
      <c r="F91" s="647">
        <v>28159.68</v>
      </c>
      <c r="G91" s="705">
        <f t="shared" si="8"/>
        <v>5.5136000000020431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647">
        <f>'18'!F93</f>
        <v>246344</v>
      </c>
      <c r="F93" s="484">
        <v>246443</v>
      </c>
      <c r="G93" s="473">
        <f t="shared" ref="G93:G94" si="9">F93-E93</f>
        <v>99</v>
      </c>
      <c r="H93" s="460">
        <f>G93+'18'!H93</f>
        <v>-909</v>
      </c>
      <c r="I93" s="480"/>
      <c r="J93" s="552">
        <f>H93/DAY(B2)</f>
        <v>-47.842105263157897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'18'!F94</f>
        <v>187830</v>
      </c>
      <c r="F94" s="484">
        <v>188011</v>
      </c>
      <c r="G94" s="473">
        <f t="shared" si="9"/>
        <v>181</v>
      </c>
      <c r="H94" s="460">
        <f>G94+'18'!H94</f>
        <v>-1443</v>
      </c>
      <c r="I94" s="480"/>
      <c r="J94" s="552">
        <f>H94/DAY(B2)</f>
        <v>-75.94736842105263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>
        <f>'18'!F95</f>
        <v>0</v>
      </c>
      <c r="F95" s="484"/>
      <c r="G95" s="473">
        <f>G93+G94</f>
        <v>280</v>
      </c>
      <c r="H95" s="460">
        <f>G95+'18'!H95</f>
        <v>-2538</v>
      </c>
      <c r="I95" s="480"/>
      <c r="J95" s="552">
        <f>H95/DAY(B2)</f>
        <v>-133.57894736842104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'18'!F96</f>
        <v>415205</v>
      </c>
      <c r="F96" s="484">
        <v>415280</v>
      </c>
      <c r="G96" s="473">
        <f t="shared" ref="G96:G101" si="10">F96-E96</f>
        <v>75</v>
      </c>
      <c r="H96" s="460">
        <f>G96+'18'!H96</f>
        <v>-719</v>
      </c>
      <c r="I96" s="480"/>
      <c r="J96" s="552">
        <f>H96/DAY(B2)</f>
        <v>-37.842105263157897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'18'!F97</f>
        <v>102889</v>
      </c>
      <c r="F97" s="484">
        <v>102911</v>
      </c>
      <c r="G97" s="473">
        <f t="shared" si="10"/>
        <v>22</v>
      </c>
      <c r="H97" s="460">
        <f>G97+'18'!H97</f>
        <v>-252</v>
      </c>
      <c r="I97" s="480"/>
      <c r="J97" s="552">
        <f>H97/DAY(B2)</f>
        <v>-13.263157894736842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'18'!F98</f>
        <v>98343</v>
      </c>
      <c r="F98" s="484">
        <v>98382</v>
      </c>
      <c r="G98" s="473">
        <f t="shared" si="10"/>
        <v>39</v>
      </c>
      <c r="H98" s="460">
        <f>G98+'18'!H98</f>
        <v>-275</v>
      </c>
      <c r="I98" s="480"/>
      <c r="J98" s="552">
        <f>H98/DAY(B2)</f>
        <v>-14.473684210526315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'18'!F99</f>
        <v>149994</v>
      </c>
      <c r="F99" s="484">
        <v>150008</v>
      </c>
      <c r="G99" s="473">
        <f t="shared" si="10"/>
        <v>14</v>
      </c>
      <c r="H99" s="460">
        <f>G99+'18'!H99</f>
        <v>-397</v>
      </c>
      <c r="I99" s="480"/>
      <c r="J99" s="552">
        <f>H99/DAY(B2)</f>
        <v>-20.894736842105264</v>
      </c>
      <c r="K99" s="380"/>
      <c r="L99" s="377"/>
      <c r="N99" s="382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'18'!F100</f>
        <v>7553</v>
      </c>
      <c r="F100" s="484">
        <v>7565</v>
      </c>
      <c r="G100" s="473">
        <f t="shared" si="10"/>
        <v>12</v>
      </c>
      <c r="H100" s="460">
        <f>G100+'18'!H100</f>
        <v>-232</v>
      </c>
      <c r="I100" s="480"/>
      <c r="J100" s="552">
        <f>H100/DAY(B2)</f>
        <v>-12.210526315789474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'18'!F101</f>
        <v>5541</v>
      </c>
      <c r="F101" s="484">
        <v>5555</v>
      </c>
      <c r="G101" s="473">
        <f t="shared" si="10"/>
        <v>14</v>
      </c>
      <c r="H101" s="460">
        <f>G101+'18'!H101</f>
        <v>-119</v>
      </c>
      <c r="I101" s="480"/>
      <c r="J101" s="552">
        <f>H101/DAY(B2)</f>
        <v>-6.2631578947368425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525">
        <f>SUM(G96:G101)</f>
        <v>176</v>
      </c>
      <c r="H102" s="460">
        <f>G102+'18'!H102</f>
        <v>-1994</v>
      </c>
      <c r="I102" s="526"/>
      <c r="J102" s="552">
        <f>H102/DAY(B2)</f>
        <v>-104.94736842105263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137"/>
      <c r="D105" s="622" t="s">
        <v>143</v>
      </c>
      <c r="E105" s="532">
        <f>'18'!F105</f>
        <v>7473</v>
      </c>
      <c r="F105" s="532">
        <v>7473</v>
      </c>
      <c r="G105" s="532">
        <f>F105-E105</f>
        <v>0</v>
      </c>
      <c r="H105" s="460">
        <f>G105+'18'!H105</f>
        <v>69.3799999999992</v>
      </c>
      <c r="I105" s="532"/>
      <c r="J105" s="558">
        <f>H105/DAY(B2)</f>
        <v>3.6515789473683791</v>
      </c>
      <c r="N105" s="444"/>
      <c r="O105" s="382"/>
    </row>
    <row r="106" spans="1:15" s="442" customFormat="1" ht="27.75">
      <c r="A106" s="1551" t="s">
        <v>76</v>
      </c>
      <c r="B106" s="1552"/>
      <c r="C106" s="1137"/>
      <c r="D106" s="622" t="s">
        <v>143</v>
      </c>
      <c r="E106" s="534">
        <f>'18'!F106</f>
        <v>36054</v>
      </c>
      <c r="F106" s="534">
        <v>36069</v>
      </c>
      <c r="G106" s="532">
        <f t="shared" ref="G106" si="11">F106-E106</f>
        <v>15</v>
      </c>
      <c r="H106" s="460">
        <f>G106+'18'!H106</f>
        <v>69</v>
      </c>
      <c r="I106" s="532"/>
      <c r="J106" s="558">
        <f>H106/DAY(B2)</f>
        <v>3.6315789473684212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'18'!F107</f>
        <v>19769</v>
      </c>
      <c r="F107" s="532">
        <v>19774</v>
      </c>
      <c r="G107" s="532">
        <f>F107-E107</f>
        <v>5</v>
      </c>
      <c r="H107" s="460">
        <f>G107+'18'!H107</f>
        <v>121</v>
      </c>
      <c r="I107" s="532"/>
      <c r="J107" s="558">
        <f>H107/DAY(B2)</f>
        <v>6.3684210526315788</v>
      </c>
      <c r="N107" s="444"/>
      <c r="O107" s="382"/>
    </row>
    <row r="108" spans="1:15" s="442" customFormat="1" ht="27.75">
      <c r="A108" s="1553" t="s">
        <v>201</v>
      </c>
      <c r="B108" s="1554"/>
      <c r="C108" s="1137"/>
      <c r="D108" s="622"/>
      <c r="E108" s="532">
        <f>'18'!F108</f>
        <v>0</v>
      </c>
      <c r="F108" s="532"/>
      <c r="G108" s="532">
        <f>SUM(G105:G107)</f>
        <v>20</v>
      </c>
      <c r="H108" s="460">
        <f>G108+'18'!H108</f>
        <v>176</v>
      </c>
      <c r="I108" s="532"/>
      <c r="J108" s="558">
        <f>H108/DAY(B2)</f>
        <v>9.2631578947368425</v>
      </c>
      <c r="N108" s="444"/>
      <c r="O108" s="382"/>
    </row>
    <row r="109" spans="1:15" s="442" customFormat="1" ht="27.75">
      <c r="A109" s="1557" t="s">
        <v>78</v>
      </c>
      <c r="B109" s="1558"/>
      <c r="C109" s="1137"/>
      <c r="D109" s="622" t="s">
        <v>143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137"/>
      <c r="D110" s="622" t="s">
        <v>143</v>
      </c>
      <c r="E110" s="532">
        <f>'18'!F110</f>
        <v>63907</v>
      </c>
      <c r="F110" s="532">
        <v>63977</v>
      </c>
      <c r="G110" s="532">
        <f>F110-E110</f>
        <v>70</v>
      </c>
      <c r="H110" s="460">
        <f>G110+'18'!H110</f>
        <v>276.64000000001397</v>
      </c>
      <c r="I110" s="532"/>
      <c r="J110" s="558">
        <f>H110/DAY(B2)</f>
        <v>14.560000000000736</v>
      </c>
      <c r="N110" s="444"/>
      <c r="O110" s="382"/>
    </row>
    <row r="111" spans="1:15" s="442" customFormat="1" ht="27.75">
      <c r="A111" s="1551" t="s">
        <v>220</v>
      </c>
      <c r="B111" s="1552"/>
      <c r="C111" s="1137"/>
      <c r="D111" s="622" t="s">
        <v>143</v>
      </c>
      <c r="E111" s="532">
        <f>'18'!F111</f>
        <v>32730</v>
      </c>
      <c r="F111" s="532">
        <v>32750</v>
      </c>
      <c r="G111" s="532">
        <f t="shared" ref="G111:G112" si="12">F111-E111</f>
        <v>20</v>
      </c>
      <c r="H111" s="460">
        <f>G111+'18'!H111</f>
        <v>54.899999999994179</v>
      </c>
      <c r="I111" s="532"/>
      <c r="J111" s="558">
        <f>H111/DAY(B2)</f>
        <v>2.8894736842102198</v>
      </c>
      <c r="N111" s="444"/>
      <c r="O111" s="382"/>
    </row>
    <row r="112" spans="1:15" s="442" customFormat="1" ht="27.75">
      <c r="A112" s="1551" t="s">
        <v>221</v>
      </c>
      <c r="B112" s="1552"/>
      <c r="C112" s="1137"/>
      <c r="D112" s="622" t="s">
        <v>143</v>
      </c>
      <c r="E112" s="532">
        <f>'18'!F112</f>
        <v>4621</v>
      </c>
      <c r="F112" s="532">
        <v>4621</v>
      </c>
      <c r="G112" s="532">
        <f t="shared" si="12"/>
        <v>0</v>
      </c>
      <c r="H112" s="460">
        <f>G112+'18'!H112</f>
        <v>351</v>
      </c>
      <c r="I112" s="532"/>
      <c r="J112" s="558">
        <f>H112/DAY(B2)</f>
        <v>18.473684210526315</v>
      </c>
      <c r="N112" s="444"/>
      <c r="O112" s="382"/>
    </row>
    <row r="113" spans="1:15" s="442" customFormat="1" ht="27.75">
      <c r="A113" s="1555" t="s">
        <v>109</v>
      </c>
      <c r="B113" s="1556"/>
      <c r="C113" s="1137"/>
      <c r="D113" s="622"/>
      <c r="E113" s="532">
        <f>'18'!F113</f>
        <v>0</v>
      </c>
      <c r="F113" s="532"/>
      <c r="G113" s="532">
        <f>SUM(G110:G112)</f>
        <v>90</v>
      </c>
      <c r="H113" s="460">
        <f>G113+'18'!H113</f>
        <v>991</v>
      </c>
      <c r="I113" s="532"/>
      <c r="J113" s="558">
        <f>H113/DAY(B2)</f>
        <v>52.157894736842103</v>
      </c>
      <c r="N113" s="444"/>
      <c r="O113" s="382"/>
    </row>
    <row r="114" spans="1:15" s="442" customFormat="1" ht="27.75">
      <c r="A114" s="1557" t="s">
        <v>222</v>
      </c>
      <c r="B114" s="1558"/>
      <c r="C114" s="1137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f>'18'!F115</f>
        <v>11727</v>
      </c>
      <c r="F115" s="534">
        <v>11742</v>
      </c>
      <c r="G115" s="534">
        <f>F115-E115</f>
        <v>15</v>
      </c>
      <c r="H115" s="460">
        <f>G115+'18'!H115</f>
        <v>24</v>
      </c>
      <c r="I115" s="532"/>
      <c r="J115" s="558">
        <f>H115/DAY(B2)</f>
        <v>1.263157894736842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f>'18'!F116</f>
        <v>8445</v>
      </c>
      <c r="F116" s="534">
        <v>8454</v>
      </c>
      <c r="G116" s="534">
        <f t="shared" ref="G116:G117" si="13">F116-E116</f>
        <v>9</v>
      </c>
      <c r="H116" s="460">
        <f>G116+'18'!H116</f>
        <v>106</v>
      </c>
      <c r="I116" s="532"/>
      <c r="J116" s="558">
        <f>H116/DAY(B2)</f>
        <v>5.5789473684210522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G117+'18'!H117</f>
        <v>97</v>
      </c>
      <c r="I117" s="532"/>
      <c r="J117" s="558">
        <f>H117/DAY(B2)</f>
        <v>5.1052631578947372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534">
        <f>SUM(G115:G117)</f>
        <v>24</v>
      </c>
      <c r="H118" s="460">
        <f>G118+'18'!H118</f>
        <v>127</v>
      </c>
      <c r="I118" s="534"/>
      <c r="J118" s="558">
        <f>H118/DAY(B2)</f>
        <v>6.6842105263157894</v>
      </c>
      <c r="N118" s="447"/>
      <c r="O118" s="382"/>
    </row>
    <row r="119" spans="1:15" s="446" customFormat="1" ht="27.75">
      <c r="A119" s="1547" t="s">
        <v>226</v>
      </c>
      <c r="B119" s="1548"/>
      <c r="C119" s="1136"/>
      <c r="D119" s="624" t="s">
        <v>143</v>
      </c>
      <c r="E119" s="536"/>
      <c r="F119" s="536">
        <f>SUM(G19+G93)</f>
        <v>162</v>
      </c>
      <c r="G119" s="536">
        <f>SUM(G19+G93)</f>
        <v>162</v>
      </c>
      <c r="H119" s="460">
        <f>G119+'18'!H119</f>
        <v>295</v>
      </c>
      <c r="I119" s="535"/>
      <c r="J119" s="559">
        <f>H119/DAY(B2)</f>
        <v>15.526315789473685</v>
      </c>
      <c r="N119" s="778"/>
      <c r="O119" s="382"/>
    </row>
    <row r="120" spans="1:15" s="446" customFormat="1" ht="27.75">
      <c r="A120" s="1547" t="s">
        <v>227</v>
      </c>
      <c r="B120" s="1548"/>
      <c r="C120" s="1136"/>
      <c r="D120" s="624" t="s">
        <v>143</v>
      </c>
      <c r="E120" s="536"/>
      <c r="F120" s="536">
        <f>SUM(G96,G97,G98,G100,G101)</f>
        <v>162</v>
      </c>
      <c r="G120" s="536">
        <f>SUM(G96,G97,G98,G100,G101)</f>
        <v>162</v>
      </c>
      <c r="H120" s="460">
        <f>G120+'18'!H120</f>
        <v>325</v>
      </c>
      <c r="I120" s="535"/>
      <c r="J120" s="559">
        <f>H120/DAY(B2)</f>
        <v>17.105263157894736</v>
      </c>
      <c r="N120" s="778"/>
      <c r="O120" s="382"/>
    </row>
    <row r="121" spans="1:15" s="446" customFormat="1" ht="27.75">
      <c r="A121" s="1547" t="s">
        <v>228</v>
      </c>
      <c r="B121" s="1548"/>
      <c r="C121" s="1136"/>
      <c r="D121" s="624" t="s">
        <v>143</v>
      </c>
      <c r="E121" s="534"/>
      <c r="F121" s="534">
        <f>SUM(G113)</f>
        <v>90</v>
      </c>
      <c r="G121" s="534">
        <f>SUM(G113)</f>
        <v>90</v>
      </c>
      <c r="H121" s="460">
        <f>G121+'18'!H121</f>
        <v>180</v>
      </c>
      <c r="I121" s="535"/>
      <c r="J121" s="559">
        <f>H121/DAY(B2)</f>
        <v>9.473684210526315</v>
      </c>
      <c r="N121" s="778"/>
      <c r="O121" s="382"/>
    </row>
    <row r="122" spans="1:15" s="442" customFormat="1" ht="27.75">
      <c r="A122" s="1549"/>
      <c r="B122" s="1550"/>
      <c r="C122" s="1137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78">
        <f>'18'!F124</f>
        <v>836288.71</v>
      </c>
      <c r="F124" s="478">
        <v>836576.38</v>
      </c>
      <c r="G124" s="473">
        <f t="shared" ref="G124:G128" si="14">F124-E124</f>
        <v>287.67000000004191</v>
      </c>
      <c r="H124" s="460">
        <f>G124+'18'!H124</f>
        <v>-3093.6199999999953</v>
      </c>
      <c r="I124" s="526"/>
      <c r="J124" s="552">
        <f>H124/DAY(B2)</f>
        <v>-162.82210526315765</v>
      </c>
      <c r="K124" s="380"/>
      <c r="L124" s="377"/>
      <c r="N124" s="382"/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626">
        <f>'18'!F125</f>
        <v>73583.399999999994</v>
      </c>
      <c r="F125" s="626">
        <v>73583.399999999994</v>
      </c>
      <c r="G125" s="473">
        <f t="shared" si="14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78">
        <f>'18'!F126</f>
        <v>147643.68</v>
      </c>
      <c r="F126" s="478">
        <v>147735.46</v>
      </c>
      <c r="G126" s="473">
        <f t="shared" si="14"/>
        <v>91.779999999998836</v>
      </c>
      <c r="H126" s="460">
        <f>G126+'18'!H126</f>
        <v>-861.54000000000815</v>
      </c>
      <c r="I126" s="526"/>
      <c r="J126" s="552">
        <f>H126/DAY(B2)</f>
        <v>-45.344210526316218</v>
      </c>
      <c r="K126" s="380"/>
      <c r="L126" s="377"/>
      <c r="N126" s="382"/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626">
        <f>'18'!F127</f>
        <v>31625.1</v>
      </c>
      <c r="F127" s="626">
        <v>31665.7</v>
      </c>
      <c r="G127" s="473">
        <f t="shared" si="14"/>
        <v>40.600000000002183</v>
      </c>
      <c r="H127" s="460">
        <f>G127+'18'!H127</f>
        <v>-405.29999999999927</v>
      </c>
      <c r="I127" s="526"/>
      <c r="J127" s="552">
        <f>H127/DAY(B2)</f>
        <v>-21.331578947368381</v>
      </c>
      <c r="K127" s="380"/>
      <c r="L127" s="377"/>
      <c r="N127" s="382"/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626">
        <f>'18'!F128</f>
        <v>8978.7000000000007</v>
      </c>
      <c r="F128" s="626">
        <v>8980.9</v>
      </c>
      <c r="G128" s="473">
        <f t="shared" si="14"/>
        <v>2.1999999999989086</v>
      </c>
      <c r="H128" s="460">
        <f>G128+'18'!H128</f>
        <v>-31.100000000000364</v>
      </c>
      <c r="I128" s="480"/>
      <c r="J128" s="552">
        <f>H128/DAY(B2)</f>
        <v>-1.636842105263177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277.74999999995816</v>
      </c>
      <c r="H129" s="460">
        <f>G129+'18'!H129</f>
        <v>1236.5600000000031</v>
      </c>
      <c r="I129" s="480"/>
      <c r="J129" s="552">
        <f>H129/DAY(B2)</f>
        <v>65.082105263158056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84">
        <f>'18'!F131</f>
        <v>0</v>
      </c>
      <c r="F131" s="484">
        <v>0</v>
      </c>
      <c r="G131" s="473">
        <f t="shared" ref="G131:G141" si="15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84">
        <f>'18'!F132</f>
        <v>0</v>
      </c>
      <c r="F132" s="484">
        <v>0</v>
      </c>
      <c r="G132" s="473">
        <f t="shared" si="15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541">
        <f>'18'!F133</f>
        <v>40290</v>
      </c>
      <c r="F133" s="541">
        <v>40297.519999999997</v>
      </c>
      <c r="G133" s="473">
        <f t="shared" si="15"/>
        <v>7.5199999999967986</v>
      </c>
      <c r="H133" s="460">
        <f>G133+'18'!H133</f>
        <v>-155.4800000000032</v>
      </c>
      <c r="I133" s="480"/>
      <c r="J133" s="552">
        <f>H133/DAY(B2)</f>
        <v>-8.1831578947370112</v>
      </c>
      <c r="N133" s="382"/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541">
        <f>'18'!F134</f>
        <v>300</v>
      </c>
      <c r="F134" s="541">
        <v>300</v>
      </c>
      <c r="G134" s="652">
        <f t="shared" si="15"/>
        <v>0</v>
      </c>
      <c r="H134" s="705">
        <f>G134+'18'!H134</f>
        <v>0</v>
      </c>
      <c r="I134" s="1071">
        <f>G131+G132+G133+G134</f>
        <v>7.5199999999967986</v>
      </c>
      <c r="J134" s="707">
        <f>H134/DAY(B2)</f>
        <v>0</v>
      </c>
      <c r="N134" s="713"/>
      <c r="O134" s="713"/>
    </row>
    <row r="135" spans="1:15" ht="27.75">
      <c r="A135" s="1139" t="s">
        <v>242</v>
      </c>
      <c r="B135" s="1140"/>
      <c r="C135" s="1140"/>
      <c r="D135" s="523" t="s">
        <v>238</v>
      </c>
      <c r="E135" s="541">
        <f>'18'!F135</f>
        <v>41775.199999999997</v>
      </c>
      <c r="F135" s="541">
        <v>41799</v>
      </c>
      <c r="G135" s="473">
        <f t="shared" si="15"/>
        <v>23.80000000000291</v>
      </c>
      <c r="H135" s="460">
        <f>G135+'18'!H135</f>
        <v>-173</v>
      </c>
      <c r="I135" s="480"/>
      <c r="J135" s="552">
        <f>H135/DAY(B2)</f>
        <v>-9.1052631578947363</v>
      </c>
      <c r="N135" s="382"/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541">
        <f>'18'!F136</f>
        <v>32874</v>
      </c>
      <c r="F136" s="541">
        <v>32874</v>
      </c>
      <c r="G136" s="473">
        <f t="shared" si="15"/>
        <v>0</v>
      </c>
      <c r="H136" s="460">
        <f>G136+'18'!H136</f>
        <v>0</v>
      </c>
      <c r="I136" s="480"/>
      <c r="J136" s="552">
        <f>H136/DAY(B2)</f>
        <v>0</v>
      </c>
      <c r="N136" s="382"/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541">
        <f>'18'!F137</f>
        <v>22859.1</v>
      </c>
      <c r="F137" s="541">
        <v>22859.1</v>
      </c>
      <c r="G137" s="473">
        <f t="shared" si="15"/>
        <v>0</v>
      </c>
      <c r="H137" s="460">
        <f>G137+'18'!H137</f>
        <v>-32.390000000003056</v>
      </c>
      <c r="I137" s="480">
        <f>G135+G136+G137</f>
        <v>23.80000000000291</v>
      </c>
      <c r="J137" s="552">
        <f>H137/DAY(B2)</f>
        <v>-1.7047368421054241</v>
      </c>
      <c r="N137" s="382"/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541">
        <f>'18'!F138</f>
        <v>25051.87</v>
      </c>
      <c r="F138" s="541">
        <v>25063.87</v>
      </c>
      <c r="G138" s="473">
        <f t="shared" si="15"/>
        <v>12</v>
      </c>
      <c r="H138" s="460">
        <f>G138+'18'!H138</f>
        <v>-27.520000000000437</v>
      </c>
      <c r="I138" s="480"/>
      <c r="J138" s="552">
        <f>H138/DAY(B2)</f>
        <v>-1.4484210526316019</v>
      </c>
      <c r="N138" s="382"/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541">
        <f>'18'!F139</f>
        <v>70483.41</v>
      </c>
      <c r="F139" s="541">
        <v>70483.41</v>
      </c>
      <c r="G139" s="473">
        <f t="shared" si="15"/>
        <v>0</v>
      </c>
      <c r="H139" s="460">
        <f>G139+'18'!H139</f>
        <v>-30.209999999991851</v>
      </c>
      <c r="I139" s="480">
        <f>G138+G139</f>
        <v>12</v>
      </c>
      <c r="J139" s="552">
        <f>H139/DAY(B2)</f>
        <v>-1.5899999999995711</v>
      </c>
      <c r="N139" s="382"/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84">
        <f>'18'!F140</f>
        <v>2003.62</v>
      </c>
      <c r="F140" s="484">
        <v>2014.34</v>
      </c>
      <c r="G140" s="473">
        <f t="shared" si="15"/>
        <v>10.720000000000027</v>
      </c>
      <c r="H140" s="460">
        <f>G140+'18'!H140</f>
        <v>-114.83999999999992</v>
      </c>
      <c r="I140" s="542"/>
      <c r="J140" s="552">
        <f>H140/DAY(B2)</f>
        <v>-6.0442105263157853</v>
      </c>
      <c r="N140" s="382"/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84">
        <f>'18'!F141</f>
        <v>4636.97</v>
      </c>
      <c r="F141" s="484">
        <v>4636.88</v>
      </c>
      <c r="G141" s="473">
        <f t="shared" si="15"/>
        <v>-9.0000000000145519E-2</v>
      </c>
      <c r="H141" s="460">
        <f>G141+'18'!H141</f>
        <v>-0.11999999999989086</v>
      </c>
      <c r="I141" s="542"/>
      <c r="J141" s="552">
        <f>H141/DAY(B2)</f>
        <v>-6.3157894736784667E-3</v>
      </c>
      <c r="N141" s="382"/>
      <c r="O141" s="382"/>
    </row>
    <row r="142" spans="1:15">
      <c r="A142" s="1562" t="s">
        <v>249</v>
      </c>
      <c r="B142" s="1563"/>
      <c r="C142" s="1145"/>
      <c r="D142" s="472"/>
      <c r="E142" s="472"/>
      <c r="F142" s="472" t="s">
        <v>272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5885.8300000000327</v>
      </c>
      <c r="H143" s="460">
        <f>G143+'18'!H143</f>
        <v>-63746.5</v>
      </c>
      <c r="I143" s="480"/>
      <c r="J143" s="552">
        <f>H143/DAY(B2)</f>
        <v>-3355.0789473684213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0.27375953488372246</v>
      </c>
      <c r="H144" s="460">
        <f>G144+'18'!H144</f>
        <v>-2.960637970243357</v>
      </c>
      <c r="I144" s="544"/>
      <c r="J144" s="552">
        <f>H144/DAY(B2)</f>
        <v>-0.15582305106543984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7021.7100000000355</v>
      </c>
      <c r="H145" s="460">
        <f>G145+'18'!H145</f>
        <v>-67992.780000000028</v>
      </c>
      <c r="I145" s="480"/>
      <c r="J145" s="552">
        <f>H145/DAY(B2)</f>
        <v>-3578.5673684210542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0.32659116279069933</v>
      </c>
      <c r="H146" s="460">
        <f>G146+'18'!H146</f>
        <v>-3.1631625049343337</v>
      </c>
      <c r="I146" s="544"/>
      <c r="J146" s="552">
        <f>H146/DAY(B2)</f>
        <v>-0.16648223710180704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3744.2800000000279</v>
      </c>
      <c r="H147" s="460">
        <f>G147+'18'!H147</f>
        <v>-39567.659999999974</v>
      </c>
      <c r="I147" s="545"/>
      <c r="J147" s="552">
        <f>H147/DAY(B2)</f>
        <v>-2082.5084210526302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0.17415255813953617</v>
      </c>
      <c r="H148" s="460">
        <f>G148+'18'!H148</f>
        <v>-1.8371712941350271</v>
      </c>
      <c r="I148" s="545"/>
      <c r="J148" s="552">
        <f>H148/DAY(B2)</f>
        <v>-9.6693226007106683E-2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1613.0699999999488</v>
      </c>
      <c r="H149" s="460">
        <f>G149+'18'!H149</f>
        <v>-17477.600000000064</v>
      </c>
      <c r="I149" s="480"/>
      <c r="J149" s="552">
        <f>H149/DAY(B2)</f>
        <v>-919.87368421052963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7.5026511627904593E-2</v>
      </c>
      <c r="H150" s="460">
        <f>G150+'18'!H150</f>
        <v>-0.81270134409131189</v>
      </c>
      <c r="I150" s="545"/>
      <c r="J150" s="552">
        <f>H150/DAY(B2)</f>
        <v>-4.2773754952174309E-2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2603.5199999999895</v>
      </c>
      <c r="H151" s="460">
        <f>G151+'18'!H151</f>
        <v>-21663.300000000017</v>
      </c>
      <c r="I151" s="545"/>
      <c r="J151" s="552">
        <f>H151/DAY(B2)</f>
        <v>-1140.1736842105272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0.12109395348837161</v>
      </c>
      <c r="H152" s="460">
        <f>G152+'18'!H152</f>
        <v>-1.0081339338534274</v>
      </c>
      <c r="I152" s="480"/>
      <c r="J152" s="552">
        <f>H152/DAY(B2)</f>
        <v>-5.3059680729127756E-2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1546.2600000000093</v>
      </c>
      <c r="H153" s="460">
        <f>G153+'18'!H153</f>
        <v>-16220.869999999995</v>
      </c>
      <c r="I153" s="480"/>
      <c r="J153" s="552">
        <f>H153/DAY(B2)</f>
        <v>-853.72999999999979</v>
      </c>
      <c r="N153" s="382"/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7.1919069767442292E-2</v>
      </c>
      <c r="H154" s="460">
        <f>G154+'18'!H154</f>
        <v>-0.75305984007118809</v>
      </c>
      <c r="I154" s="568"/>
      <c r="J154" s="569">
        <f>H154/DAY(B2)</f>
        <v>-3.963472842479937E-2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4" t="s">
        <v>262</v>
      </c>
      <c r="B161" s="785"/>
      <c r="C161" s="785"/>
      <c r="D161" s="511" t="s">
        <v>186</v>
      </c>
      <c r="E161" s="658">
        <f>'18'!F161</f>
        <v>39881.129999999997</v>
      </c>
      <c r="F161" s="658">
        <v>39961.699999999997</v>
      </c>
      <c r="G161" s="473">
        <f t="shared" ref="G161:G164" si="16">F161-E161</f>
        <v>80.569999999999709</v>
      </c>
    </row>
    <row r="162" spans="1:7">
      <c r="A162" s="784" t="s">
        <v>263</v>
      </c>
      <c r="B162" s="785"/>
      <c r="C162" s="785"/>
      <c r="D162" s="511" t="s">
        <v>186</v>
      </c>
      <c r="E162" s="658">
        <f>'18'!F162</f>
        <v>102410.34</v>
      </c>
      <c r="F162" s="658">
        <v>102842.27</v>
      </c>
      <c r="G162" s="473">
        <f t="shared" si="16"/>
        <v>431.93000000000757</v>
      </c>
    </row>
    <row r="163" spans="1:7">
      <c r="A163" s="784" t="s">
        <v>264</v>
      </c>
      <c r="B163" s="785"/>
      <c r="C163" s="785"/>
      <c r="D163" s="511" t="s">
        <v>186</v>
      </c>
      <c r="E163" s="658">
        <f>'18'!F163</f>
        <v>48685.31</v>
      </c>
      <c r="F163" s="658">
        <v>48920.62</v>
      </c>
      <c r="G163" s="473">
        <f t="shared" si="16"/>
        <v>235.31000000000495</v>
      </c>
    </row>
    <row r="164" spans="1:7">
      <c r="A164" s="784" t="s">
        <v>265</v>
      </c>
      <c r="B164" s="785"/>
      <c r="C164" s="785"/>
      <c r="D164" s="511" t="s">
        <v>186</v>
      </c>
      <c r="E164" s="658">
        <f>'18'!F164</f>
        <v>6726.91</v>
      </c>
      <c r="F164" s="658">
        <v>6737.38</v>
      </c>
      <c r="G164" s="473">
        <f t="shared" si="16"/>
        <v>10.470000000000255</v>
      </c>
    </row>
    <row r="165" spans="1:7">
      <c r="A165" s="786" t="s">
        <v>97</v>
      </c>
      <c r="B165" s="604"/>
      <c r="C165" s="604"/>
      <c r="D165" s="511" t="s">
        <v>186</v>
      </c>
      <c r="E165" s="658">
        <f>'18'!F165</f>
        <v>20419</v>
      </c>
      <c r="F165" s="514">
        <v>20419</v>
      </c>
      <c r="G165" s="473">
        <f t="shared" ref="G165:G166" si="17">F165-E165</f>
        <v>0</v>
      </c>
    </row>
    <row r="166" spans="1:7">
      <c r="A166" s="786" t="s">
        <v>187</v>
      </c>
      <c r="B166" s="604"/>
      <c r="C166" s="604"/>
      <c r="D166" s="511" t="s">
        <v>186</v>
      </c>
      <c r="E166" s="658">
        <f>'18'!F166</f>
        <v>0</v>
      </c>
      <c r="F166" s="514">
        <v>2431</v>
      </c>
      <c r="G166" s="473">
        <f t="shared" si="17"/>
        <v>2431</v>
      </c>
    </row>
    <row r="167" spans="1:7" ht="27.75">
      <c r="A167" s="1546" t="s">
        <v>98</v>
      </c>
      <c r="B167" s="1546"/>
      <c r="C167" s="1546"/>
      <c r="D167" s="523" t="s">
        <v>186</v>
      </c>
      <c r="E167" s="658">
        <f>'18'!F167</f>
        <v>165546.95000000001</v>
      </c>
      <c r="F167" s="514">
        <v>106166</v>
      </c>
      <c r="G167" s="473">
        <f>F64-E64</f>
        <v>343.6699999999837</v>
      </c>
    </row>
    <row r="168" spans="1:7" ht="27.75">
      <c r="A168" s="1546" t="s">
        <v>99</v>
      </c>
      <c r="B168" s="1546"/>
      <c r="C168" s="1546"/>
      <c r="D168" s="523" t="s">
        <v>186</v>
      </c>
      <c r="E168" s="658">
        <f>'18'!F168</f>
        <v>165867.10999999999</v>
      </c>
      <c r="F168" s="514">
        <v>116811.03</v>
      </c>
      <c r="G168" s="473">
        <f t="shared" ref="G168:G172" si="18">F65-E65</f>
        <v>422.76000000000931</v>
      </c>
    </row>
    <row r="169" spans="1:7" ht="27.75">
      <c r="A169" s="1546" t="s">
        <v>100</v>
      </c>
      <c r="B169" s="1546"/>
      <c r="C169" s="1546"/>
      <c r="D169" s="523" t="s">
        <v>186</v>
      </c>
      <c r="E169" s="658">
        <f>'18'!F169</f>
        <v>63008.51</v>
      </c>
      <c r="F169" s="514">
        <v>9380.09</v>
      </c>
      <c r="G169" s="473">
        <f t="shared" si="18"/>
        <v>421.45999999999913</v>
      </c>
    </row>
    <row r="170" spans="1:7" ht="27.75">
      <c r="A170" s="1546" t="s">
        <v>101</v>
      </c>
      <c r="B170" s="1546"/>
      <c r="C170" s="1546"/>
      <c r="D170" s="523" t="s">
        <v>186</v>
      </c>
      <c r="E170" s="658">
        <f>'18'!F170</f>
        <v>259536.45</v>
      </c>
      <c r="F170" s="514">
        <v>180787.83</v>
      </c>
      <c r="G170" s="473">
        <f t="shared" si="18"/>
        <v>490.75999999998021</v>
      </c>
    </row>
    <row r="171" spans="1:7" ht="27.75">
      <c r="A171" s="1546" t="s">
        <v>102</v>
      </c>
      <c r="B171" s="1546"/>
      <c r="C171" s="1546"/>
      <c r="D171" s="523" t="s">
        <v>186</v>
      </c>
      <c r="E171" s="658">
        <f>'18'!F171</f>
        <v>85321</v>
      </c>
      <c r="F171" s="514">
        <v>59451.31</v>
      </c>
      <c r="G171" s="473">
        <f t="shared" si="18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658">
        <f>'18'!F172</f>
        <v>84579.38</v>
      </c>
      <c r="F172" s="514">
        <v>52064.98</v>
      </c>
      <c r="G172" s="473">
        <f t="shared" si="18"/>
        <v>279.52999999999884</v>
      </c>
    </row>
    <row r="173" spans="1:7">
      <c r="G173" s="537">
        <f>SUM(G161:G172)</f>
        <v>5147.4599999999837</v>
      </c>
    </row>
    <row r="174" spans="1:7" ht="27.75">
      <c r="A174" s="1546" t="s">
        <v>345</v>
      </c>
      <c r="B174" s="1546"/>
      <c r="C174" s="1546"/>
      <c r="D174" s="523" t="s">
        <v>186</v>
      </c>
      <c r="E174" s="658"/>
      <c r="F174" s="514"/>
      <c r="G174" s="473">
        <f t="shared" ref="G174" si="19">F174-E174</f>
        <v>0</v>
      </c>
    </row>
    <row r="175" spans="1:7">
      <c r="A175" s="1587" t="s">
        <v>352</v>
      </c>
      <c r="B175" s="1550"/>
      <c r="C175" s="785"/>
      <c r="D175" s="523" t="s">
        <v>186</v>
      </c>
    </row>
    <row r="176" spans="1:7">
      <c r="A176" s="1587" t="s">
        <v>353</v>
      </c>
      <c r="B176" s="1550"/>
      <c r="C176" s="785"/>
      <c r="D176" s="523" t="s">
        <v>186</v>
      </c>
    </row>
    <row r="177" ht="18.75" customHeight="1"/>
  </sheetData>
  <mergeCells count="77"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28" zoomScale="55" zoomScaleSheetLayoutView="55" zoomScalePageLayoutView="78" workbookViewId="0">
      <selection activeCell="F15" sqref="F1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5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365</v>
      </c>
      <c r="B2" s="1031">
        <v>44367</v>
      </c>
      <c r="C2" s="1141" t="s">
        <v>68</v>
      </c>
      <c r="D2" s="611">
        <v>0.86</v>
      </c>
      <c r="E2" s="461"/>
      <c r="F2" s="461"/>
      <c r="G2" s="1326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27</v>
      </c>
      <c r="E3" s="1573" t="s">
        <v>120</v>
      </c>
      <c r="F3" s="1574"/>
      <c r="G3" s="132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464"/>
      <c r="G4" s="1327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1329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'19'!F7</f>
        <v>330295.56</v>
      </c>
      <c r="F7" s="455">
        <f>E7+21500</f>
        <v>351795.56</v>
      </c>
      <c r="G7" s="1330">
        <f>F7-E7</f>
        <v>21500</v>
      </c>
      <c r="H7" s="460">
        <f>G7+'19'!H7</f>
        <v>429842.56000000006</v>
      </c>
      <c r="I7" s="474">
        <f>'1'!I7</f>
        <v>12000</v>
      </c>
      <c r="J7" s="552">
        <f>H7/DAY(B2)</f>
        <v>21492.128000000004</v>
      </c>
      <c r="K7" s="549">
        <v>11998</v>
      </c>
      <c r="L7" s="377">
        <f>G7-K7</f>
        <v>9502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'19'!F8</f>
        <v>335953.79</v>
      </c>
      <c r="F8" s="475">
        <f>E8+21500</f>
        <v>357453.79</v>
      </c>
      <c r="G8" s="1331">
        <f>F8-E8</f>
        <v>21500</v>
      </c>
      <c r="H8" s="460">
        <f>G8+'19'!H8</f>
        <v>430731.79</v>
      </c>
      <c r="I8" s="477">
        <f>'1'!I8</f>
        <v>12000</v>
      </c>
      <c r="J8" s="552">
        <f>H8/DAY(B2)</f>
        <v>21536.589499999998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'19'!F9</f>
        <v>1809519.3</v>
      </c>
      <c r="F9" s="478">
        <v>1832034.9</v>
      </c>
      <c r="G9" s="1330">
        <f t="shared" ref="G9:G12" si="0">F9-E9</f>
        <v>22515.59999999986</v>
      </c>
      <c r="H9" s="460">
        <f>G9+'19'!H9</f>
        <v>-198967.10000000009</v>
      </c>
      <c r="I9" s="479">
        <f>I8-J8</f>
        <v>-9536.5894999999982</v>
      </c>
      <c r="J9" s="552">
        <f>H9/DAY(B2)</f>
        <v>-9948.355000000005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'19'!F10</f>
        <v>0</v>
      </c>
      <c r="F10" s="478"/>
      <c r="G10" s="1330">
        <f t="shared" si="0"/>
        <v>0</v>
      </c>
      <c r="H10" s="460">
        <f>G10+'19'!H10</f>
        <v>0.29999999999972715</v>
      </c>
      <c r="I10" s="480"/>
      <c r="J10" s="552">
        <f>H10/DAY(B2)</f>
        <v>1.4999999999986358E-2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'19'!F11</f>
        <v>37000</v>
      </c>
      <c r="F11" s="455">
        <v>37000</v>
      </c>
      <c r="G11" s="1330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'19'!F12</f>
        <v>40010</v>
      </c>
      <c r="F12" s="478">
        <v>40010</v>
      </c>
      <c r="G12" s="1330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2">
        <f>G9+G10+G11+G12</f>
        <v>22515.59999999986</v>
      </c>
      <c r="H13" s="460">
        <f>G13+'19'!H13</f>
        <v>-215491.8000000001</v>
      </c>
      <c r="I13" s="482">
        <f>G7-G13</f>
        <v>-1015.5999999998603</v>
      </c>
      <c r="J13" s="552">
        <f>H13/DAY(B2)</f>
        <v>-10774.590000000006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1333"/>
      <c r="H14" s="472"/>
      <c r="I14" s="472"/>
      <c r="J14" s="551"/>
      <c r="K14" s="429"/>
      <c r="L14" s="377"/>
      <c r="N14" s="382"/>
      <c r="O14" s="382"/>
    </row>
    <row r="15" spans="1:15">
      <c r="A15" s="1139" t="s">
        <v>139</v>
      </c>
      <c r="B15" s="589"/>
      <c r="C15" s="589"/>
      <c r="D15" s="523" t="s">
        <v>140</v>
      </c>
      <c r="E15" s="484">
        <f>'19'!F15</f>
        <v>1717567.16</v>
      </c>
      <c r="F15" s="700">
        <f>E15+700</f>
        <v>1718267.16</v>
      </c>
      <c r="G15" s="1334">
        <f>(F15-E15)</f>
        <v>700</v>
      </c>
      <c r="H15" s="460">
        <f>G15+'19'!H15</f>
        <v>14584.159999999916</v>
      </c>
      <c r="I15" s="474">
        <v>800</v>
      </c>
      <c r="J15" s="552">
        <f>H15/DAY(B2)</f>
        <v>729.20799999999576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0"/>
      <c r="H16" s="486"/>
      <c r="I16" s="487">
        <f>I15-J15</f>
        <v>70.792000000004236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1333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'19'!F18</f>
        <v>13</v>
      </c>
      <c r="F18" s="484">
        <v>20</v>
      </c>
      <c r="G18" s="1332">
        <f>F18*10</f>
        <v>200</v>
      </c>
      <c r="H18" s="460">
        <f>G18+'19'!H18</f>
        <v>1980</v>
      </c>
      <c r="I18" s="474">
        <f>'1'!I18</f>
        <v>65</v>
      </c>
      <c r="J18" s="552">
        <f>H18/DAY(B2)</f>
        <v>99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'19'!F19</f>
        <v>140809</v>
      </c>
      <c r="F19" s="484">
        <v>140870</v>
      </c>
      <c r="G19" s="1330">
        <f t="shared" ref="G19" si="1">F19-E19</f>
        <v>61</v>
      </c>
      <c r="H19" s="460">
        <f>G19+'19'!H19</f>
        <v>-625</v>
      </c>
      <c r="I19" s="489"/>
      <c r="J19" s="552">
        <f>H19/DAY(B2)</f>
        <v>-31.25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5">
        <f>G18+G19</f>
        <v>261</v>
      </c>
      <c r="H20" s="460">
        <f>G20+'19'!H20</f>
        <v>1355</v>
      </c>
      <c r="I20" s="492">
        <f>I18-J20</f>
        <v>-2.75</v>
      </c>
      <c r="J20" s="552">
        <f>H20/DAY(B2)</f>
        <v>67.75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133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484">
        <f>'19'!F22</f>
        <v>2970</v>
      </c>
      <c r="F22" s="484">
        <v>2970</v>
      </c>
      <c r="G22" s="1332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484">
        <f>'19'!F23</f>
        <v>2000</v>
      </c>
      <c r="F23" s="484">
        <v>2000</v>
      </c>
      <c r="G23" s="1332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f>'19'!F24</f>
        <v>4970</v>
      </c>
      <c r="F24" s="332">
        <v>4970</v>
      </c>
      <c r="G24" s="1332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133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21500</v>
      </c>
      <c r="F27" s="501">
        <v>9</v>
      </c>
      <c r="G27" s="1338">
        <f>E27*F27</f>
        <v>193500</v>
      </c>
      <c r="H27" s="460">
        <f>G27+'19'!H27</f>
        <v>3876586.11</v>
      </c>
      <c r="I27" s="503"/>
      <c r="J27" s="552">
        <f>H27/DAY(B2)</f>
        <v>193829.30549999999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700</v>
      </c>
      <c r="F28" s="501">
        <v>52</v>
      </c>
      <c r="G28" s="1338">
        <f>E28*F28</f>
        <v>36400</v>
      </c>
      <c r="H28" s="460">
        <f>G28+'19'!H28</f>
        <v>758376.31999999564</v>
      </c>
      <c r="I28" s="505"/>
      <c r="J28" s="552">
        <f>H28/DAY(B2)</f>
        <v>37918.815999999781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8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61</v>
      </c>
      <c r="F30" s="501">
        <v>146</v>
      </c>
      <c r="G30" s="1338">
        <f>E30*F30</f>
        <v>8906</v>
      </c>
      <c r="H30" s="460">
        <f>G30+'19'!H30</f>
        <v>-91834</v>
      </c>
      <c r="I30" s="505"/>
      <c r="J30" s="552">
        <f>H30/DAY(B2)</f>
        <v>-4591.7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200</v>
      </c>
      <c r="F31" s="501">
        <v>80</v>
      </c>
      <c r="G31" s="1338">
        <f>E31*F31</f>
        <v>16000</v>
      </c>
      <c r="H31" s="460">
        <f>G31+'19'!H31</f>
        <v>152800</v>
      </c>
      <c r="I31" s="505"/>
      <c r="J31" s="552">
        <f>H31/DAY(B2)</f>
        <v>7640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39">
        <f>G27+G28+G29+G30+G31</f>
        <v>254806</v>
      </c>
      <c r="H32" s="460">
        <f>G32+'19'!H32</f>
        <v>4695928.429999995</v>
      </c>
      <c r="I32" s="509"/>
      <c r="J32" s="552">
        <f>H32/DAY(B2)</f>
        <v>234796.42149999976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71"/>
      <c r="G34" s="1340"/>
      <c r="H34" s="472"/>
      <c r="I34" s="472"/>
      <c r="J34" s="551" t="s">
        <v>310</v>
      </c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484">
        <f>'19'!F35</f>
        <v>997523.03</v>
      </c>
      <c r="F35" s="510">
        <v>1000428.6</v>
      </c>
      <c r="G35" s="1330">
        <f t="shared" ref="G35:G46" si="2">F35-E35</f>
        <v>2905.5699999999488</v>
      </c>
      <c r="H35" s="460">
        <f>G35+'19'!H35</f>
        <v>-28285.400000000023</v>
      </c>
      <c r="I35" s="455"/>
      <c r="J35" s="552">
        <f>H35/DAY(B2)</f>
        <v>-1414.2700000000011</v>
      </c>
      <c r="K35" s="428">
        <v>1457.2799999999697</v>
      </c>
      <c r="L35" s="377">
        <f>G35-K35</f>
        <v>1448.289999999979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484">
        <f>'19'!F36</f>
        <v>12057.47</v>
      </c>
      <c r="F36" s="510">
        <v>13082.87</v>
      </c>
      <c r="G36" s="1330">
        <f t="shared" si="2"/>
        <v>1025.4000000000015</v>
      </c>
      <c r="H36" s="460">
        <f>G36+'19'!H36</f>
        <v>-7378.1299999999992</v>
      </c>
      <c r="I36" s="455"/>
      <c r="J36" s="552">
        <f>H36/DAY(B2)</f>
        <v>-368.90649999999994</v>
      </c>
      <c r="K36" s="428">
        <v>483.92999999999302</v>
      </c>
      <c r="L36" s="377">
        <f t="shared" ref="L36:L60" si="3">G36-K36</f>
        <v>541.47000000000844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484">
        <f>'19'!F37</f>
        <v>160349.26</v>
      </c>
      <c r="F37" s="510">
        <v>161888.04999999999</v>
      </c>
      <c r="G37" s="1330">
        <f>F37-E37</f>
        <v>1538.789999999979</v>
      </c>
      <c r="H37" s="460">
        <f>G37+'19'!H37</f>
        <v>-14681.950000000012</v>
      </c>
      <c r="I37" s="455"/>
      <c r="J37" s="552">
        <f>H37/DAY(B2)</f>
        <v>-734.09750000000054</v>
      </c>
      <c r="K37" s="428">
        <v>1173.9200000000128</v>
      </c>
      <c r="L37" s="377">
        <f>G37-K37</f>
        <v>364.86999999996624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84">
        <f>'19'!F38</f>
        <v>180981.33</v>
      </c>
      <c r="F38" s="469">
        <v>182709.43</v>
      </c>
      <c r="G38" s="1330">
        <f t="shared" si="2"/>
        <v>1728.1000000000058</v>
      </c>
      <c r="H38" s="460">
        <f>G38+'19'!H38</f>
        <v>-15749.570000000007</v>
      </c>
      <c r="I38" s="455"/>
      <c r="J38" s="552">
        <f>H38/DAY(B2)</f>
        <v>-787.47850000000039</v>
      </c>
      <c r="K38" s="428">
        <v>0</v>
      </c>
      <c r="L38" s="377">
        <f t="shared" si="3"/>
        <v>1728.1000000000058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484">
        <f>'19'!F39</f>
        <v>365296.75</v>
      </c>
      <c r="F39" s="510">
        <v>368907.47</v>
      </c>
      <c r="G39" s="1330">
        <f t="shared" si="2"/>
        <v>3610.7199999999721</v>
      </c>
      <c r="H39" s="460">
        <f>G39+'19'!H39</f>
        <v>-35956.530000000028</v>
      </c>
      <c r="I39" s="455"/>
      <c r="J39" s="552">
        <f>H39/DAY(B2)</f>
        <v>-1797.8265000000015</v>
      </c>
      <c r="K39" s="428">
        <v>1987.0400000000373</v>
      </c>
      <c r="L39" s="377">
        <f t="shared" si="3"/>
        <v>1623.6799999999348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484">
        <f>'19'!F40</f>
        <v>3254.05</v>
      </c>
      <c r="F40" s="510">
        <v>3598.31</v>
      </c>
      <c r="G40" s="1330">
        <f t="shared" si="2"/>
        <v>344.25999999999976</v>
      </c>
      <c r="H40" s="460">
        <f>G40+'19'!H40</f>
        <v>-3514.69</v>
      </c>
      <c r="I40" s="455"/>
      <c r="J40" s="552">
        <f>H40/DAY(B2)</f>
        <v>-175.7345</v>
      </c>
      <c r="K40" s="429">
        <v>0</v>
      </c>
      <c r="L40" s="377">
        <f t="shared" si="3"/>
        <v>344.25999999999976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484">
        <f>'19'!F41</f>
        <v>296609.46999999997</v>
      </c>
      <c r="F41" s="510">
        <v>299709.45</v>
      </c>
      <c r="G41" s="1330">
        <f t="shared" si="2"/>
        <v>3099.9800000000396</v>
      </c>
      <c r="H41" s="460">
        <f>G41+'19'!H41</f>
        <v>-29932.549999999988</v>
      </c>
      <c r="I41" s="455"/>
      <c r="J41" s="552">
        <f>H41/DAY(B2)</f>
        <v>-1496.6274999999994</v>
      </c>
      <c r="K41" s="428">
        <v>0</v>
      </c>
      <c r="L41" s="377">
        <f t="shared" si="3"/>
        <v>3099.9800000000396</v>
      </c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484">
        <f>'19'!F42</f>
        <v>59210.080000000002</v>
      </c>
      <c r="F42" s="510">
        <v>59210.080000000002</v>
      </c>
      <c r="G42" s="1330">
        <f t="shared" si="2"/>
        <v>0</v>
      </c>
      <c r="H42" s="460">
        <f>G42+'19'!H42</f>
        <v>11.190000000002328</v>
      </c>
      <c r="I42" s="455"/>
      <c r="J42" s="552">
        <f>H42/DAY(B2)</f>
        <v>0.55950000000011646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484">
        <f>'19'!F43</f>
        <v>1089539.3999999999</v>
      </c>
      <c r="F43" s="510">
        <v>1092467.7</v>
      </c>
      <c r="G43" s="1330">
        <f t="shared" si="2"/>
        <v>2928.3000000000466</v>
      </c>
      <c r="H43" s="460">
        <f>G43+'19'!H43</f>
        <v>-27984.300000000047</v>
      </c>
      <c r="I43" s="455"/>
      <c r="J43" s="552">
        <f>H43/DAY(B2)</f>
        <v>-1399.2150000000024</v>
      </c>
      <c r="K43" s="428">
        <v>1559.2000000000116</v>
      </c>
      <c r="L43" s="377">
        <f t="shared" si="3"/>
        <v>1369.1000000000349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484">
        <f>'19'!F44</f>
        <v>0</v>
      </c>
      <c r="F44" s="510">
        <v>0</v>
      </c>
      <c r="G44" s="1330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484">
        <f>'19'!F45</f>
        <v>0</v>
      </c>
      <c r="F45" s="510">
        <v>0</v>
      </c>
      <c r="G45" s="1330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484">
        <f>'19'!F46</f>
        <v>0</v>
      </c>
      <c r="F46" s="510">
        <v>0</v>
      </c>
      <c r="G46" s="1330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2">
        <f>G35+G36+G37+G38+G39+G40+G41+G42+G43+G44+G45+G46</f>
        <v>17181.119999999995</v>
      </c>
      <c r="H47" s="460">
        <f>G47+'19'!H47</f>
        <v>-162670.49000000005</v>
      </c>
      <c r="I47" s="455"/>
      <c r="J47" s="552">
        <f>H47/DAY(B2)</f>
        <v>-8133.5245000000023</v>
      </c>
      <c r="K47" s="428">
        <v>9907.8200000000252</v>
      </c>
      <c r="L47" s="377">
        <f t="shared" si="3"/>
        <v>7273.2999999999702</v>
      </c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471"/>
      <c r="G48" s="1340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'19'!F49</f>
        <v>260732.13</v>
      </c>
      <c r="F49" s="510">
        <v>260732.13</v>
      </c>
      <c r="G49" s="1330">
        <f t="shared" ref="G49:G58" si="4">F49-E49</f>
        <v>0</v>
      </c>
      <c r="H49" s="460">
        <f>G49+'19'!H49</f>
        <v>0.13000000000465661</v>
      </c>
      <c r="I49" s="455"/>
      <c r="J49" s="552">
        <f>H49/DAY(B2)</f>
        <v>6.5000000002328308E-3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'19'!F50</f>
        <v>521403.23</v>
      </c>
      <c r="F50" s="510">
        <v>523239.63</v>
      </c>
      <c r="G50" s="1330">
        <f t="shared" si="4"/>
        <v>1836.4000000000233</v>
      </c>
      <c r="H50" s="460">
        <f>G50+'19'!H50</f>
        <v>-12313.369999999995</v>
      </c>
      <c r="I50" s="455"/>
      <c r="J50" s="552">
        <f>H50/DAY(B2)</f>
        <v>-615.66849999999977</v>
      </c>
      <c r="K50" s="428">
        <v>631.67000000001281</v>
      </c>
      <c r="L50" s="377">
        <f t="shared" si="3"/>
        <v>1204.7300000000105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'19'!F51</f>
        <v>144639.87</v>
      </c>
      <c r="F51" s="510">
        <v>144639.87</v>
      </c>
      <c r="G51" s="1330">
        <f t="shared" si="4"/>
        <v>0</v>
      </c>
      <c r="H51" s="460">
        <f>G51+'19'!H51</f>
        <v>-0.13000000000465661</v>
      </c>
      <c r="I51" s="455"/>
      <c r="J51" s="552">
        <f>H51/DAY(B2)</f>
        <v>-6.5000000002328308E-3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'19'!F52</f>
        <v>539606.06999999995</v>
      </c>
      <c r="F52" s="510">
        <v>539606.06999999995</v>
      </c>
      <c r="G52" s="1330">
        <f t="shared" si="4"/>
        <v>0</v>
      </c>
      <c r="H52" s="460">
        <f>G52+'19'!H52</f>
        <v>0</v>
      </c>
      <c r="I52" s="455"/>
      <c r="J52" s="552">
        <f>H52/DAY(B2)</f>
        <v>0</v>
      </c>
      <c r="K52" s="428">
        <v>1057.5200000000186</v>
      </c>
      <c r="L52" s="377">
        <f t="shared" si="3"/>
        <v>-1057.5200000000186</v>
      </c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'19'!F53</f>
        <v>434231.59</v>
      </c>
      <c r="F53" s="510">
        <v>434231.59</v>
      </c>
      <c r="G53" s="1330">
        <f t="shared" si="4"/>
        <v>0</v>
      </c>
      <c r="H53" s="460">
        <f>G53+'19'!H53</f>
        <v>-0.73999999999068677</v>
      </c>
      <c r="I53" s="455"/>
      <c r="J53" s="552">
        <f>H53/DAY(B2)</f>
        <v>-3.6999999999534336E-2</v>
      </c>
      <c r="K53" s="428">
        <v>106.48999999999978</v>
      </c>
      <c r="L53" s="377">
        <f t="shared" si="3"/>
        <v>-106.48999999999978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'19'!F54</f>
        <v>14967.38</v>
      </c>
      <c r="F54" s="510">
        <v>14967.39</v>
      </c>
      <c r="G54" s="1330">
        <f t="shared" si="4"/>
        <v>1.0000000000218279E-2</v>
      </c>
      <c r="H54" s="460">
        <f>G54+'19'!H54</f>
        <v>-78.610000000000582</v>
      </c>
      <c r="I54" s="455"/>
      <c r="J54" s="552">
        <f>H54/DAY(B2)</f>
        <v>-3.9305000000000292</v>
      </c>
      <c r="K54" s="428">
        <v>0</v>
      </c>
      <c r="L54" s="377">
        <f t="shared" si="3"/>
        <v>1.0000000000218279E-2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'19'!F55</f>
        <v>82777.33</v>
      </c>
      <c r="F55" s="510">
        <v>86765.31</v>
      </c>
      <c r="G55" s="1330">
        <f t="shared" si="4"/>
        <v>3987.9799999999959</v>
      </c>
      <c r="H55" s="460">
        <f>G55+'19'!H55</f>
        <v>-30870.690000000002</v>
      </c>
      <c r="I55" s="455"/>
      <c r="J55" s="552">
        <f>H55/DAY(B2)</f>
        <v>-1543.5345000000002</v>
      </c>
      <c r="K55" s="428">
        <v>0</v>
      </c>
      <c r="L55" s="377">
        <f t="shared" si="3"/>
        <v>3987.9799999999959</v>
      </c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'19'!F56</f>
        <v>648919.23</v>
      </c>
      <c r="F56" s="510">
        <v>648929.23</v>
      </c>
      <c r="G56" s="1330">
        <f t="shared" si="4"/>
        <v>10</v>
      </c>
      <c r="H56" s="460">
        <f>G56+'19'!H56</f>
        <v>-102.77000000001863</v>
      </c>
      <c r="I56" s="455"/>
      <c r="J56" s="552">
        <f>H56/DAY(B2)</f>
        <v>-5.1385000000009313</v>
      </c>
      <c r="K56" s="427">
        <v>0</v>
      </c>
      <c r="L56" s="377">
        <f t="shared" si="3"/>
        <v>10</v>
      </c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'19'!F57</f>
        <v>7711</v>
      </c>
      <c r="F57" s="510">
        <v>7711</v>
      </c>
      <c r="G57" s="1330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'19'!F58</f>
        <v>52232.27</v>
      </c>
      <c r="F58" s="510">
        <v>52426.52</v>
      </c>
      <c r="G58" s="1330">
        <f t="shared" si="4"/>
        <v>194.25</v>
      </c>
      <c r="H58" s="460">
        <f>G58+'19'!H58</f>
        <v>-1798.6900000000023</v>
      </c>
      <c r="I58" s="455"/>
      <c r="J58" s="552">
        <f>H58/DAY(B2)</f>
        <v>-89.934500000000114</v>
      </c>
      <c r="K58" s="428">
        <v>0</v>
      </c>
      <c r="L58" s="377">
        <f t="shared" si="3"/>
        <v>194.25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2">
        <f>G49+G50+G51+G52+G53+G54+G55+G56+G57+G58</f>
        <v>6028.6400000000194</v>
      </c>
      <c r="H59" s="460">
        <f>G59+'19'!H59</f>
        <v>-45164.800000000061</v>
      </c>
      <c r="I59" s="455">
        <f>G7-G60</f>
        <v>-1709.7600000000166</v>
      </c>
      <c r="J59" s="552">
        <f>H59/DAY(B2)</f>
        <v>-2258.240000000003</v>
      </c>
      <c r="K59" s="428">
        <v>1795.6800000000312</v>
      </c>
      <c r="L59" s="377">
        <f t="shared" si="3"/>
        <v>4232.9599999999882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2">
        <f>G47+G59</f>
        <v>23209.760000000017</v>
      </c>
      <c r="H60" s="460">
        <f>G60+'19'!H60</f>
        <v>-206626.75000000029</v>
      </c>
      <c r="I60" s="455">
        <f>G13-G60</f>
        <v>-694.16000000015629</v>
      </c>
      <c r="J60" s="552">
        <f>H60/DAY(B2)</f>
        <v>-10331.337500000014</v>
      </c>
      <c r="K60" s="428">
        <v>11703.500000000056</v>
      </c>
      <c r="L60" s="377">
        <f t="shared" si="3"/>
        <v>11506.25999999996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1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'19'!F62</f>
        <v>20419.2</v>
      </c>
      <c r="F62" s="514">
        <v>20419.2</v>
      </c>
      <c r="G62" s="1330">
        <f t="shared" ref="G62:G69" si="5">F62-E62</f>
        <v>0</v>
      </c>
      <c r="H62" s="460">
        <f>G62+'19'!H62</f>
        <v>0.20199999999749707</v>
      </c>
      <c r="I62" s="515"/>
      <c r="J62" s="552">
        <f>H62/DAY(B2)</f>
        <v>1.0099999999874853E-2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'19'!F63</f>
        <v>0</v>
      </c>
      <c r="F63" s="514">
        <v>0</v>
      </c>
      <c r="G63" s="1330">
        <f t="shared" si="5"/>
        <v>0</v>
      </c>
      <c r="H63" s="460">
        <f>G63+'19'!H63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f>'19'!F64</f>
        <v>165890.62</v>
      </c>
      <c r="F64" s="484">
        <v>166237.26999999999</v>
      </c>
      <c r="G64" s="1330">
        <f t="shared" si="5"/>
        <v>346.64999999999418</v>
      </c>
      <c r="H64" s="460">
        <f>G64+'19'!H64</f>
        <v>-3784.7300000000105</v>
      </c>
      <c r="I64" s="480"/>
      <c r="J64" s="552">
        <f>H64/DAY(B2)</f>
        <v>-189.23650000000052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f>'19'!F65</f>
        <v>166289.87</v>
      </c>
      <c r="F65" s="484">
        <v>166667.84</v>
      </c>
      <c r="G65" s="1330">
        <f t="shared" si="5"/>
        <v>377.97000000000116</v>
      </c>
      <c r="H65" s="460">
        <f>G65+'19'!H65</f>
        <v>-3634.1600000000035</v>
      </c>
      <c r="I65" s="489"/>
      <c r="J65" s="552">
        <f>H65/DAY(B2)</f>
        <v>-181.70800000000017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f>'19'!F66</f>
        <v>63429.97</v>
      </c>
      <c r="F66" s="484">
        <v>63824.5</v>
      </c>
      <c r="G66" s="1330">
        <f t="shared" si="5"/>
        <v>394.52999999999884</v>
      </c>
      <c r="H66" s="460">
        <f>G66+'19'!H66</f>
        <v>-4145.5</v>
      </c>
      <c r="I66" s="480"/>
      <c r="J66" s="552">
        <f>H66/DAY(B2)</f>
        <v>-207.27500000000001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f>'19'!F67</f>
        <v>260027.21</v>
      </c>
      <c r="F67" s="484">
        <v>260486.91</v>
      </c>
      <c r="G67" s="1330">
        <f t="shared" si="5"/>
        <v>459.70000000001164</v>
      </c>
      <c r="H67" s="460">
        <f>G67+'19'!H67</f>
        <v>-4472.0899999999965</v>
      </c>
      <c r="I67" s="489"/>
      <c r="J67" s="552">
        <f>H67/DAY(B2)</f>
        <v>-223.60449999999983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f>'19'!F68</f>
        <v>85321</v>
      </c>
      <c r="F68" s="484">
        <v>85321</v>
      </c>
      <c r="G68" s="1330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f>'19'!F69</f>
        <v>84858.91</v>
      </c>
      <c r="F69" s="484">
        <v>85116.51</v>
      </c>
      <c r="G69" s="1330">
        <f t="shared" si="5"/>
        <v>257.59999999999127</v>
      </c>
      <c r="H69" s="460">
        <f>G69+'19'!H69</f>
        <v>-2398.4900000000052</v>
      </c>
      <c r="I69" s="516"/>
      <c r="J69" s="552">
        <f>H69/DAY(B2)</f>
        <v>-119.92450000000026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1342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'19'!F72</f>
        <v>856091</v>
      </c>
      <c r="F72" s="519">
        <v>856104</v>
      </c>
      <c r="G72" s="1330">
        <f t="shared" ref="G72:G84" si="6">F72-E72</f>
        <v>13</v>
      </c>
      <c r="H72" s="460">
        <f>G72+'19'!H72</f>
        <v>-131</v>
      </c>
      <c r="I72" s="480"/>
      <c r="J72" s="552">
        <f>H72/DAY(B2)</f>
        <v>-6.55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19">
        <f>'19'!F73</f>
        <v>885959</v>
      </c>
      <c r="F73" s="520">
        <v>885960</v>
      </c>
      <c r="G73" s="1330">
        <f t="shared" si="6"/>
        <v>1</v>
      </c>
      <c r="H73" s="460">
        <f>G73+'19'!H73</f>
        <v>-200</v>
      </c>
      <c r="I73" s="480"/>
      <c r="J73" s="552">
        <f>H73/DAY(B2)</f>
        <v>-10</v>
      </c>
      <c r="K73" s="430"/>
      <c r="L73" s="377"/>
      <c r="N73" s="382"/>
      <c r="O73" s="382"/>
    </row>
    <row r="74" spans="1:15" ht="27.75">
      <c r="A74" s="1622" t="s">
        <v>192</v>
      </c>
      <c r="B74" s="1623"/>
      <c r="C74" s="1624"/>
      <c r="D74" s="523" t="s">
        <v>186</v>
      </c>
      <c r="E74" s="519">
        <f>'19'!F74</f>
        <v>88684.4</v>
      </c>
      <c r="F74" s="521">
        <v>88686</v>
      </c>
      <c r="G74" s="1330">
        <f t="shared" si="6"/>
        <v>1.6000000000058208</v>
      </c>
      <c r="H74" s="460">
        <f>G74+'19'!H74</f>
        <v>-86089.04</v>
      </c>
      <c r="I74" s="480"/>
      <c r="J74" s="552">
        <f>H74/DAY(B2)</f>
        <v>-4304.4519999999993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19">
        <f>'19'!F75</f>
        <v>14473.9</v>
      </c>
      <c r="F75" s="521">
        <v>14618.25</v>
      </c>
      <c r="G75" s="1330">
        <f t="shared" si="6"/>
        <v>144.35000000000036</v>
      </c>
      <c r="H75" s="460">
        <f>G75+'19'!H75</f>
        <v>-1452.75</v>
      </c>
      <c r="I75" s="480"/>
      <c r="J75" s="552">
        <f>H75/DAY(B2)</f>
        <v>-72.637500000000003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19">
        <f>'19'!F76</f>
        <v>8533.0300000000007</v>
      </c>
      <c r="F76" s="654">
        <v>8596.83</v>
      </c>
      <c r="G76" s="1330">
        <f>F76-E76</f>
        <v>63.799999999999272</v>
      </c>
      <c r="H76" s="460">
        <f>G76+'19'!H76</f>
        <v>-2011.17</v>
      </c>
      <c r="I76" s="505"/>
      <c r="J76" s="552">
        <f>H76/DAY(B2)</f>
        <v>-100.55850000000001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19">
        <f>'19'!F77</f>
        <v>703787</v>
      </c>
      <c r="F77" s="521">
        <v>703840</v>
      </c>
      <c r="G77" s="1330">
        <f t="shared" si="6"/>
        <v>53</v>
      </c>
      <c r="H77" s="460">
        <f>G77+'19'!H77</f>
        <v>-534</v>
      </c>
      <c r="I77" s="505"/>
      <c r="J77" s="552">
        <f>H77/DAY(B2)</f>
        <v>-26.7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'19'!F78</f>
        <v>674432</v>
      </c>
      <c r="F78" s="521">
        <v>674552</v>
      </c>
      <c r="G78" s="1330">
        <f t="shared" si="6"/>
        <v>120</v>
      </c>
      <c r="H78" s="460">
        <f>G78+'19'!H78</f>
        <v>-862</v>
      </c>
      <c r="I78" s="505"/>
      <c r="J78" s="552">
        <f>H78/DAY(B2)</f>
        <v>-43.1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f>'19'!F79</f>
        <v>833783</v>
      </c>
      <c r="F79" s="521">
        <v>833932</v>
      </c>
      <c r="G79" s="1330">
        <f t="shared" si="6"/>
        <v>149</v>
      </c>
      <c r="H79" s="460">
        <f>G79+'19'!H79</f>
        <v>-472</v>
      </c>
      <c r="I79" s="505"/>
      <c r="J79" s="552">
        <f>H79/DAY(B2)</f>
        <v>-23.6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f>'19'!F80</f>
        <v>534665.16</v>
      </c>
      <c r="F80" s="520">
        <v>535107</v>
      </c>
      <c r="G80" s="1330">
        <f t="shared" si="6"/>
        <v>441.8399999999674</v>
      </c>
      <c r="H80" s="460">
        <f>G80+'19'!H80</f>
        <v>155.47999999998137</v>
      </c>
      <c r="I80" s="505"/>
      <c r="J80" s="552">
        <f>H80/DAY(B2)</f>
        <v>7.7739999999990683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'19'!F81</f>
        <v>641219.96</v>
      </c>
      <c r="F81" s="520">
        <v>641422</v>
      </c>
      <c r="G81" s="1330">
        <f t="shared" si="6"/>
        <v>202.04000000003725</v>
      </c>
      <c r="H81" s="460">
        <f>G81+'19'!H81</f>
        <v>-1563</v>
      </c>
      <c r="I81" s="505"/>
      <c r="J81" s="552">
        <f>H81/DAY(B2)</f>
        <v>-78.150000000000006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'19'!F82</f>
        <v>108479.52</v>
      </c>
      <c r="F82" s="522">
        <v>108504.35</v>
      </c>
      <c r="G82" s="1330">
        <f t="shared" si="6"/>
        <v>24.830000000001746</v>
      </c>
      <c r="H82" s="460">
        <f>G82+'19'!H82</f>
        <v>-176.64999999999418</v>
      </c>
      <c r="I82" s="486"/>
      <c r="J82" s="552">
        <f>H82/DAY(B2)</f>
        <v>-8.8324999999997083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22">
        <f>'19'!F83</f>
        <v>24413</v>
      </c>
      <c r="F83" s="511">
        <v>24672</v>
      </c>
      <c r="G83" s="1330">
        <f t="shared" si="6"/>
        <v>259</v>
      </c>
      <c r="H83" s="460">
        <f>G83+'19'!H83</f>
        <v>-2879</v>
      </c>
      <c r="I83" s="481"/>
      <c r="J83" s="552">
        <f>H83/DAY(B2)</f>
        <v>-143.94999999999999</v>
      </c>
      <c r="K83" s="429"/>
      <c r="L83" s="377"/>
      <c r="N83" s="382"/>
      <c r="O83" s="721"/>
    </row>
    <row r="84" spans="1:15">
      <c r="A84" s="1143" t="s">
        <v>200</v>
      </c>
      <c r="B84" s="571"/>
      <c r="C84" s="571"/>
      <c r="D84" s="478" t="s">
        <v>131</v>
      </c>
      <c r="E84" s="522">
        <f>'19'!F84</f>
        <v>514155</v>
      </c>
      <c r="F84" s="627">
        <v>515021</v>
      </c>
      <c r="G84" s="1330">
        <f t="shared" si="6"/>
        <v>866</v>
      </c>
      <c r="H84" s="460">
        <f>G84+'19'!H84</f>
        <v>-8059</v>
      </c>
      <c r="I84" s="481"/>
      <c r="J84" s="552">
        <f>H84/DAY(B2)</f>
        <v>-402.95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3">
        <f xml:space="preserve"> SUM(G72:G84)</f>
        <v>2339.4600000000119</v>
      </c>
      <c r="H85" s="460">
        <f>G85+'19'!H85</f>
        <v>-107874.61</v>
      </c>
      <c r="I85" s="481"/>
      <c r="J85" s="552">
        <f>H85/DAY(B2)</f>
        <v>-5393.7304999999997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'19'!F86</f>
        <v>461496.24</v>
      </c>
      <c r="F86" s="647">
        <v>461512</v>
      </c>
      <c r="G86" s="1344">
        <f>F86-E86</f>
        <v>15.760000000009313</v>
      </c>
      <c r="H86" s="460">
        <f>G86+'19'!H86</f>
        <v>53.71999999997206</v>
      </c>
      <c r="I86" s="652"/>
      <c r="J86" s="707">
        <f>H86/DAY(B2)</f>
        <v>2.6859999999986028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'19'!F87</f>
        <v>81776.800000000003</v>
      </c>
      <c r="F87" s="647">
        <v>81787.7</v>
      </c>
      <c r="G87" s="1344">
        <f t="shared" ref="G87:G91" si="7">F87-E87</f>
        <v>10.899999999994179</v>
      </c>
      <c r="H87" s="460">
        <f>G87+'19'!H87</f>
        <v>58.899999999994179</v>
      </c>
      <c r="I87" s="652"/>
      <c r="J87" s="707">
        <f>H87/DAY(B2)</f>
        <v>2.944999999999709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'19'!F88</f>
        <v>154227.82999999999</v>
      </c>
      <c r="F88" s="647">
        <v>154260</v>
      </c>
      <c r="G88" s="1344">
        <f t="shared" si="7"/>
        <v>32.170000000012806</v>
      </c>
      <c r="H88" s="460">
        <f>G88+'19'!H88</f>
        <v>182.33999999999651</v>
      </c>
      <c r="I88" s="652"/>
      <c r="J88" s="707">
        <f>H88/DAY(B2)</f>
        <v>9.116999999999825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'19'!F89</f>
        <v>65543.5</v>
      </c>
      <c r="F89" s="647">
        <v>65558.5</v>
      </c>
      <c r="G89" s="1344">
        <f t="shared" si="7"/>
        <v>15</v>
      </c>
      <c r="H89" s="460">
        <f>G89+'19'!H89</f>
        <v>46.400000000001455</v>
      </c>
      <c r="I89" s="652"/>
      <c r="J89" s="707">
        <f>H89/DAY(B2)</f>
        <v>2.3200000000000727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'19'!F90</f>
        <v>3308.7</v>
      </c>
      <c r="F90" s="647">
        <v>3309.8</v>
      </c>
      <c r="G90" s="1344">
        <f t="shared" si="7"/>
        <v>1.1000000000003638</v>
      </c>
      <c r="H90" s="460">
        <f>G90+'19'!H90</f>
        <v>2.4000000000000909</v>
      </c>
      <c r="I90" s="652"/>
      <c r="J90" s="707">
        <f>H90/DAY(B2)</f>
        <v>0.12000000000000455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47">
        <f>'19'!F91</f>
        <v>28159.68</v>
      </c>
      <c r="F91" s="647">
        <v>28160.45</v>
      </c>
      <c r="G91" s="705">
        <f t="shared" si="7"/>
        <v>0.77000000000043656</v>
      </c>
      <c r="H91" s="460">
        <f>G91+'19'!H91</f>
        <v>0.77000000000043656</v>
      </c>
      <c r="I91" s="652"/>
      <c r="J91" s="707">
        <f>H91/DAY(B2)</f>
        <v>3.8500000000021829E-2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1333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'19'!F93</f>
        <v>246443</v>
      </c>
      <c r="F93" s="484">
        <v>246590</v>
      </c>
      <c r="G93" s="1330">
        <f t="shared" ref="G93:G94" si="8">F93-E93</f>
        <v>147</v>
      </c>
      <c r="H93" s="460">
        <f>G93+'19'!H93</f>
        <v>-762</v>
      </c>
      <c r="I93" s="480"/>
      <c r="J93" s="552">
        <f>H93/DAY(B2)</f>
        <v>-38.1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'19'!F94</f>
        <v>188011</v>
      </c>
      <c r="F94" s="484">
        <v>188219</v>
      </c>
      <c r="G94" s="1330">
        <f t="shared" si="8"/>
        <v>208</v>
      </c>
      <c r="H94" s="460">
        <f>G94+'19'!H94</f>
        <v>-1235</v>
      </c>
      <c r="I94" s="480"/>
      <c r="J94" s="552">
        <f>H94/DAY(B2)</f>
        <v>-61.75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>
        <f>'19'!F95</f>
        <v>0</v>
      </c>
      <c r="F95" s="484"/>
      <c r="G95" s="1330">
        <f>G93+G94</f>
        <v>355</v>
      </c>
      <c r="H95" s="460">
        <f>G95+'19'!H95</f>
        <v>-2183</v>
      </c>
      <c r="I95" s="480"/>
      <c r="J95" s="552">
        <f>H95/DAY(B2)</f>
        <v>-109.15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'19'!F96</f>
        <v>415280</v>
      </c>
      <c r="F96" s="484">
        <v>415362</v>
      </c>
      <c r="G96" s="1330">
        <f t="shared" ref="G96:G101" si="9">F96-E96</f>
        <v>82</v>
      </c>
      <c r="H96" s="460">
        <f>G96+'19'!H96</f>
        <v>-637</v>
      </c>
      <c r="I96" s="480"/>
      <c r="J96" s="552">
        <f>H96/DAY(B2)</f>
        <v>-31.85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'19'!F97</f>
        <v>102911</v>
      </c>
      <c r="F97" s="484">
        <v>102953</v>
      </c>
      <c r="G97" s="1330">
        <f t="shared" si="9"/>
        <v>42</v>
      </c>
      <c r="H97" s="460">
        <f>G97+'19'!H97</f>
        <v>-210</v>
      </c>
      <c r="I97" s="480"/>
      <c r="J97" s="552">
        <f>H97/DAY(B2)</f>
        <v>-10.5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'19'!F98</f>
        <v>98382</v>
      </c>
      <c r="F98" s="484">
        <v>98424</v>
      </c>
      <c r="G98" s="1330">
        <f t="shared" si="9"/>
        <v>42</v>
      </c>
      <c r="H98" s="460">
        <f>G98+'19'!H98</f>
        <v>-233</v>
      </c>
      <c r="I98" s="480"/>
      <c r="J98" s="552">
        <f>H98/DAY(B2)</f>
        <v>-11.65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'19'!F99</f>
        <v>150008</v>
      </c>
      <c r="F99" s="484">
        <v>150051</v>
      </c>
      <c r="G99" s="1330">
        <f t="shared" si="9"/>
        <v>43</v>
      </c>
      <c r="H99" s="460">
        <f>G99+'19'!H99</f>
        <v>-354</v>
      </c>
      <c r="I99" s="480"/>
      <c r="J99" s="552">
        <f>H99/DAY(B2)</f>
        <v>-17.7</v>
      </c>
      <c r="K99" s="380"/>
      <c r="L99" s="377"/>
      <c r="N99" s="382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'19'!F100</f>
        <v>7565</v>
      </c>
      <c r="F100" s="484">
        <v>7596</v>
      </c>
      <c r="G100" s="1330">
        <f t="shared" si="9"/>
        <v>31</v>
      </c>
      <c r="H100" s="460">
        <f>G100+'19'!H100</f>
        <v>-201</v>
      </c>
      <c r="I100" s="480"/>
      <c r="J100" s="552">
        <f>H100/DAY(B2)</f>
        <v>-10.050000000000001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'19'!F101</f>
        <v>5555</v>
      </c>
      <c r="F101" s="484">
        <v>5574</v>
      </c>
      <c r="G101" s="1330">
        <f t="shared" si="9"/>
        <v>19</v>
      </c>
      <c r="H101" s="460">
        <f>G101+'19'!H101</f>
        <v>-100</v>
      </c>
      <c r="I101" s="480"/>
      <c r="J101" s="552">
        <f>H101/DAY(B2)</f>
        <v>-5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1345">
        <f>SUM(G96:G101)</f>
        <v>259</v>
      </c>
      <c r="H102" s="460">
        <f>G102+'19'!H102</f>
        <v>-1735</v>
      </c>
      <c r="I102" s="526"/>
      <c r="J102" s="552">
        <f>H102/DAY(B2)</f>
        <v>-86.75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6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1347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137"/>
      <c r="D105" s="622" t="s">
        <v>143</v>
      </c>
      <c r="E105" s="532">
        <v>7637</v>
      </c>
      <c r="F105" s="532">
        <v>7637</v>
      </c>
      <c r="G105" s="1347">
        <f>F105-E105</f>
        <v>0</v>
      </c>
      <c r="H105" s="460">
        <f>G105+'19'!H105</f>
        <v>69.3799999999992</v>
      </c>
      <c r="I105" s="532"/>
      <c r="J105" s="558">
        <f>H105/DAY(B2)</f>
        <v>3.4689999999999599</v>
      </c>
      <c r="N105" s="444"/>
      <c r="O105" s="382"/>
    </row>
    <row r="106" spans="1:15" s="442" customFormat="1" ht="27.75">
      <c r="A106" s="1551" t="s">
        <v>76</v>
      </c>
      <c r="B106" s="1552"/>
      <c r="C106" s="1137"/>
      <c r="D106" s="622" t="s">
        <v>143</v>
      </c>
      <c r="E106" s="534">
        <f>'19'!F106</f>
        <v>36069</v>
      </c>
      <c r="F106" s="534">
        <v>36077</v>
      </c>
      <c r="G106" s="1347">
        <f t="shared" ref="G106:G107" si="10">F106-E106</f>
        <v>8</v>
      </c>
      <c r="H106" s="460">
        <f>G106+'19'!H106</f>
        <v>77</v>
      </c>
      <c r="I106" s="532"/>
      <c r="J106" s="558">
        <f>H106/DAY(B2)</f>
        <v>3.85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'19'!F107</f>
        <v>19774</v>
      </c>
      <c r="F107" s="532">
        <v>19779</v>
      </c>
      <c r="G107" s="1347">
        <f t="shared" si="10"/>
        <v>5</v>
      </c>
      <c r="H107" s="460">
        <f>G107+'19'!H107</f>
        <v>126</v>
      </c>
      <c r="I107" s="532"/>
      <c r="J107" s="558">
        <f>H107/DAY(B2)</f>
        <v>6.3</v>
      </c>
      <c r="N107" s="444"/>
      <c r="O107" s="382"/>
    </row>
    <row r="108" spans="1:15" s="442" customFormat="1" ht="27.75">
      <c r="A108" s="1553" t="s">
        <v>201</v>
      </c>
      <c r="B108" s="1554"/>
      <c r="C108" s="1137"/>
      <c r="D108" s="622"/>
      <c r="E108" s="532">
        <f>'19'!F108</f>
        <v>0</v>
      </c>
      <c r="F108" s="532"/>
      <c r="G108" s="1347">
        <f>SUM(G105:G107)</f>
        <v>13</v>
      </c>
      <c r="H108" s="460">
        <f>G108+'19'!H108</f>
        <v>189</v>
      </c>
      <c r="I108" s="532"/>
      <c r="J108" s="558">
        <f>H108/DAY(B2)</f>
        <v>9.4499999999999993</v>
      </c>
      <c r="N108" s="444"/>
      <c r="O108" s="382"/>
    </row>
    <row r="109" spans="1:15" s="442" customFormat="1" ht="27.75">
      <c r="A109" s="1557" t="s">
        <v>78</v>
      </c>
      <c r="B109" s="1558"/>
      <c r="C109" s="1137"/>
      <c r="D109" s="622" t="s">
        <v>143</v>
      </c>
      <c r="E109" s="532">
        <f>'19'!F109</f>
        <v>0</v>
      </c>
      <c r="F109" s="532"/>
      <c r="G109" s="1347"/>
      <c r="H109" s="460"/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137"/>
      <c r="D110" s="622" t="s">
        <v>143</v>
      </c>
      <c r="E110" s="532">
        <f>'19'!F110</f>
        <v>63977</v>
      </c>
      <c r="F110" s="532">
        <v>64053</v>
      </c>
      <c r="G110" s="1347">
        <f>F110-E110</f>
        <v>76</v>
      </c>
      <c r="H110" s="460">
        <f>G110+'19'!H110</f>
        <v>352.64000000001397</v>
      </c>
      <c r="I110" s="532"/>
      <c r="J110" s="558">
        <f>H110/DAY(B2)</f>
        <v>17.632000000000698</v>
      </c>
      <c r="N110" s="444"/>
      <c r="O110" s="382"/>
    </row>
    <row r="111" spans="1:15" s="442" customFormat="1" ht="27.75">
      <c r="A111" s="1551" t="s">
        <v>220</v>
      </c>
      <c r="B111" s="1552"/>
      <c r="C111" s="1137"/>
      <c r="D111" s="622" t="s">
        <v>143</v>
      </c>
      <c r="E111" s="532">
        <f>'19'!F111</f>
        <v>32750</v>
      </c>
      <c r="F111" s="532">
        <v>32765</v>
      </c>
      <c r="G111" s="1347">
        <f t="shared" ref="G111:G112" si="11">F111-E111</f>
        <v>15</v>
      </c>
      <c r="H111" s="460">
        <f>G111+'19'!H111</f>
        <v>69.899999999994179</v>
      </c>
      <c r="I111" s="532"/>
      <c r="J111" s="558">
        <f>H111/DAY(B2)</f>
        <v>3.4949999999997088</v>
      </c>
      <c r="N111" s="444"/>
      <c r="O111" s="382"/>
    </row>
    <row r="112" spans="1:15" s="442" customFormat="1" ht="27.75">
      <c r="A112" s="1551" t="s">
        <v>221</v>
      </c>
      <c r="B112" s="1552"/>
      <c r="C112" s="1137"/>
      <c r="D112" s="622" t="s">
        <v>143</v>
      </c>
      <c r="E112" s="532">
        <f>'19'!F112</f>
        <v>4621</v>
      </c>
      <c r="F112" s="532">
        <v>4621</v>
      </c>
      <c r="G112" s="1347">
        <f t="shared" si="11"/>
        <v>0</v>
      </c>
      <c r="H112" s="460">
        <f>G112+'19'!H112</f>
        <v>351</v>
      </c>
      <c r="I112" s="532"/>
      <c r="J112" s="558">
        <f>H112/DAY(B2)</f>
        <v>17.55</v>
      </c>
      <c r="N112" s="444"/>
      <c r="O112" s="382"/>
    </row>
    <row r="113" spans="1:15" s="442" customFormat="1" ht="27.75">
      <c r="A113" s="1555" t="s">
        <v>109</v>
      </c>
      <c r="B113" s="1556"/>
      <c r="C113" s="1137"/>
      <c r="D113" s="622"/>
      <c r="E113" s="532">
        <f>'19'!F113</f>
        <v>0</v>
      </c>
      <c r="F113" s="532"/>
      <c r="G113" s="1347">
        <f>SUM(G110:G112)</f>
        <v>91</v>
      </c>
      <c r="H113" s="460">
        <f>G113+'19'!H113</f>
        <v>1082</v>
      </c>
      <c r="I113" s="532"/>
      <c r="J113" s="558">
        <f>H113/DAY(B2)</f>
        <v>54.1</v>
      </c>
      <c r="N113" s="444"/>
      <c r="O113" s="382"/>
    </row>
    <row r="114" spans="1:15" s="442" customFormat="1" ht="27.75">
      <c r="A114" s="1557" t="s">
        <v>222</v>
      </c>
      <c r="B114" s="1558"/>
      <c r="C114" s="1137"/>
      <c r="D114" s="622"/>
      <c r="E114" s="532">
        <f>'19'!F114</f>
        <v>0</v>
      </c>
      <c r="F114" s="532"/>
      <c r="G114" s="134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f>'19'!F115</f>
        <v>11742</v>
      </c>
      <c r="F115" s="534">
        <v>11778</v>
      </c>
      <c r="G115" s="1348">
        <f>F115-E115</f>
        <v>36</v>
      </c>
      <c r="H115" s="460">
        <f>G115+'19'!H115</f>
        <v>60</v>
      </c>
      <c r="I115" s="532"/>
      <c r="J115" s="558">
        <f>H115/DAY(B2)</f>
        <v>3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f>'19'!F116</f>
        <v>8454</v>
      </c>
      <c r="F116" s="534">
        <v>8465</v>
      </c>
      <c r="G116" s="1348">
        <f t="shared" ref="G116:G117" si="12">F116-E116</f>
        <v>11</v>
      </c>
      <c r="H116" s="460">
        <f>G116+'19'!H116</f>
        <v>117</v>
      </c>
      <c r="I116" s="532"/>
      <c r="J116" s="558">
        <f>H116/DAY(B2)</f>
        <v>5.85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1348">
        <f t="shared" si="12"/>
        <v>0</v>
      </c>
      <c r="H117" s="460">
        <f>G117+'19'!H117</f>
        <v>97</v>
      </c>
      <c r="I117" s="532"/>
      <c r="J117" s="558">
        <f>H117/DAY(B2)</f>
        <v>4.8499999999999996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1348">
        <f>SUM(G115:G117)</f>
        <v>47</v>
      </c>
      <c r="H118" s="460">
        <f>G118+'19'!H118</f>
        <v>174</v>
      </c>
      <c r="I118" s="534"/>
      <c r="J118" s="558">
        <f>H118/DAY(B2)</f>
        <v>8.6999999999999993</v>
      </c>
      <c r="N118" s="447"/>
      <c r="O118" s="382"/>
    </row>
    <row r="119" spans="1:15" s="446" customFormat="1" ht="27.75">
      <c r="A119" s="1547" t="s">
        <v>226</v>
      </c>
      <c r="B119" s="1548"/>
      <c r="C119" s="1136"/>
      <c r="D119" s="624" t="s">
        <v>143</v>
      </c>
      <c r="E119" s="536"/>
      <c r="F119" s="536">
        <f>SUM(G19+G93)</f>
        <v>208</v>
      </c>
      <c r="G119" s="1348">
        <f>SUM(G19+G93)</f>
        <v>208</v>
      </c>
      <c r="H119" s="460">
        <f>G119+'19'!H119</f>
        <v>503</v>
      </c>
      <c r="I119" s="535"/>
      <c r="J119" s="559">
        <f>H119/DAY(B2)</f>
        <v>25.15</v>
      </c>
      <c r="N119" s="778"/>
      <c r="O119" s="382"/>
    </row>
    <row r="120" spans="1:15" s="446" customFormat="1" ht="27.75">
      <c r="A120" s="1547" t="s">
        <v>227</v>
      </c>
      <c r="B120" s="1548"/>
      <c r="C120" s="1136"/>
      <c r="D120" s="624" t="s">
        <v>143</v>
      </c>
      <c r="E120" s="536"/>
      <c r="F120" s="536">
        <f>SUM(G96,G97,G98,G100,G101)</f>
        <v>216</v>
      </c>
      <c r="G120" s="1348">
        <f>SUM(G96,G97,G98,G100,G101)</f>
        <v>216</v>
      </c>
      <c r="H120" s="460">
        <f>G120+'19'!H120</f>
        <v>541</v>
      </c>
      <c r="I120" s="535"/>
      <c r="J120" s="559">
        <f>H120/DAY(B2)</f>
        <v>27.05</v>
      </c>
      <c r="N120" s="778"/>
      <c r="O120" s="382"/>
    </row>
    <row r="121" spans="1:15" s="446" customFormat="1" ht="27.75">
      <c r="A121" s="1547" t="s">
        <v>228</v>
      </c>
      <c r="B121" s="1548"/>
      <c r="C121" s="1136"/>
      <c r="D121" s="624" t="s">
        <v>143</v>
      </c>
      <c r="E121" s="534"/>
      <c r="F121" s="534">
        <f>SUM(G113)</f>
        <v>91</v>
      </c>
      <c r="G121" s="1348">
        <f>SUM(G113)</f>
        <v>91</v>
      </c>
      <c r="H121" s="460">
        <f>G121+'19'!H121</f>
        <v>271</v>
      </c>
      <c r="I121" s="535"/>
      <c r="J121" s="559">
        <f>H121/DAY(B2)</f>
        <v>13.55</v>
      </c>
      <c r="N121" s="778"/>
      <c r="O121" s="382"/>
    </row>
    <row r="122" spans="1:15" s="442" customFormat="1" ht="27.75">
      <c r="A122" s="1549"/>
      <c r="B122" s="1550"/>
      <c r="C122" s="1137"/>
      <c r="D122" s="560"/>
      <c r="E122" s="560"/>
      <c r="F122" s="560" t="s">
        <v>214</v>
      </c>
      <c r="G122" s="1349"/>
      <c r="H122" s="561"/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1333"/>
      <c r="H123" s="483"/>
      <c r="I123" s="483"/>
      <c r="J123" s="563"/>
      <c r="K123" s="380"/>
      <c r="L123" s="377"/>
      <c r="N123" s="382"/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78">
        <f>'19'!F124</f>
        <v>836576.38</v>
      </c>
      <c r="F124" s="478">
        <v>836889.21</v>
      </c>
      <c r="G124" s="1330">
        <f t="shared" ref="G124:G128" si="13">F124-E124</f>
        <v>312.82999999995809</v>
      </c>
      <c r="H124" s="460">
        <f>G124+'19'!H124</f>
        <v>-2780.7900000000373</v>
      </c>
      <c r="I124" s="526"/>
      <c r="J124" s="552">
        <f>H124/DAY(B2)</f>
        <v>-139.03950000000185</v>
      </c>
      <c r="K124" s="380"/>
      <c r="L124" s="377"/>
      <c r="N124" s="382"/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626">
        <f>'19'!F125</f>
        <v>73583.399999999994</v>
      </c>
      <c r="F125" s="626">
        <v>73583.399999999994</v>
      </c>
      <c r="G125" s="1330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78">
        <f>'19'!F126</f>
        <v>147735.46</v>
      </c>
      <c r="F126" s="478">
        <v>147815.85</v>
      </c>
      <c r="G126" s="1330">
        <f t="shared" si="13"/>
        <v>80.39000000001397</v>
      </c>
      <c r="H126" s="460">
        <f>G126+'19'!H126</f>
        <v>-781.14999999999418</v>
      </c>
      <c r="I126" s="526"/>
      <c r="J126" s="552">
        <f>H126/DAY(B2)</f>
        <v>-39.057499999999706</v>
      </c>
      <c r="K126" s="380"/>
      <c r="L126" s="377"/>
      <c r="N126" s="382"/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626">
        <f>'19'!F127</f>
        <v>31665.7</v>
      </c>
      <c r="F127" s="626">
        <v>31718.400000000001</v>
      </c>
      <c r="G127" s="1330">
        <f t="shared" si="13"/>
        <v>52.700000000000728</v>
      </c>
      <c r="H127" s="460">
        <f>G127+'19'!H127</f>
        <v>-352.59999999999854</v>
      </c>
      <c r="I127" s="526"/>
      <c r="J127" s="552">
        <f>H127/DAY(B2)</f>
        <v>-17.629999999999928</v>
      </c>
      <c r="K127" s="380"/>
      <c r="L127" s="377"/>
      <c r="N127" s="382"/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626">
        <f>'19'!F128</f>
        <v>8980.9</v>
      </c>
      <c r="F128" s="626">
        <v>8982.5</v>
      </c>
      <c r="G128" s="1330">
        <f t="shared" si="13"/>
        <v>1.6000000000003638</v>
      </c>
      <c r="H128" s="460">
        <f>G128+'19'!H128</f>
        <v>-29.5</v>
      </c>
      <c r="I128" s="480"/>
      <c r="J128" s="552">
        <f>H128/DAY(B2)</f>
        <v>-1.4750000000000001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1330">
        <f>G15-SUM(G124:G128)</f>
        <v>252.48000000002685</v>
      </c>
      <c r="H129" s="460">
        <f>G129+'19'!H129</f>
        <v>1489.04000000003</v>
      </c>
      <c r="I129" s="480"/>
      <c r="J129" s="552">
        <f>H129/DAY(B2)</f>
        <v>74.452000000001505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0"/>
      <c r="H130" s="540"/>
      <c r="I130" s="540"/>
      <c r="J130" s="564"/>
      <c r="N130" s="382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84">
        <f>'19'!F131</f>
        <v>0</v>
      </c>
      <c r="F131" s="484">
        <v>0</v>
      </c>
      <c r="G131" s="1330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84">
        <f>'19'!F132</f>
        <v>0</v>
      </c>
      <c r="F132" s="484">
        <v>0</v>
      </c>
      <c r="G132" s="1330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484">
        <f>'19'!F133</f>
        <v>40297.519999999997</v>
      </c>
      <c r="F133" s="635">
        <v>40311.07</v>
      </c>
      <c r="G133" s="1464">
        <f t="shared" si="14"/>
        <v>13.55000000000291</v>
      </c>
      <c r="H133" s="460">
        <f>G133+'19'!H133</f>
        <v>-141.93000000000029</v>
      </c>
      <c r="I133" s="480"/>
      <c r="J133" s="552">
        <f>H133/DAY(B2)</f>
        <v>-7.0965000000000149</v>
      </c>
      <c r="N133" s="382">
        <f>G133-24</f>
        <v>-10.44999999999709</v>
      </c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484">
        <f>'19'!F134</f>
        <v>300</v>
      </c>
      <c r="F134" s="635">
        <v>300</v>
      </c>
      <c r="G134" s="1465">
        <f t="shared" si="14"/>
        <v>0</v>
      </c>
      <c r="H134" s="705">
        <f>G134+'19'!H134</f>
        <v>0</v>
      </c>
      <c r="I134" s="1071">
        <f>G131+G132+G133+G134</f>
        <v>13.55000000000291</v>
      </c>
      <c r="J134" s="707">
        <f>H134/DAY(B2)</f>
        <v>0</v>
      </c>
      <c r="N134" s="713"/>
      <c r="O134" s="713"/>
    </row>
    <row r="135" spans="1:15" ht="27.75">
      <c r="A135" s="1139" t="s">
        <v>242</v>
      </c>
      <c r="B135" s="1140"/>
      <c r="C135" s="1140"/>
      <c r="D135" s="523" t="s">
        <v>238</v>
      </c>
      <c r="E135" s="484">
        <f>'19'!F135</f>
        <v>41799</v>
      </c>
      <c r="F135" s="635">
        <v>41818.04</v>
      </c>
      <c r="G135" s="1464">
        <f t="shared" si="14"/>
        <v>19.040000000000873</v>
      </c>
      <c r="H135" s="460">
        <f>G135+'19'!H135</f>
        <v>-153.95999999999913</v>
      </c>
      <c r="I135" s="480"/>
      <c r="J135" s="552">
        <f>H135/DAY(B2)</f>
        <v>-7.697999999999956</v>
      </c>
      <c r="N135" s="382"/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484">
        <f>'19'!F136</f>
        <v>32874</v>
      </c>
      <c r="F136" s="541">
        <v>32874.050000000003</v>
      </c>
      <c r="G136" s="1330">
        <f t="shared" si="14"/>
        <v>5.0000000002910383E-2</v>
      </c>
      <c r="H136" s="460">
        <f>G136+'19'!H136</f>
        <v>5.0000000002910383E-2</v>
      </c>
      <c r="I136" s="480"/>
      <c r="J136" s="552">
        <f>H136/DAY(B2)</f>
        <v>2.5000000001455191E-3</v>
      </c>
      <c r="N136" s="382"/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484">
        <f>'19'!F137</f>
        <v>22859.1</v>
      </c>
      <c r="F137" s="541">
        <v>22859.1</v>
      </c>
      <c r="G137" s="1330">
        <f t="shared" si="14"/>
        <v>0</v>
      </c>
      <c r="H137" s="460">
        <f>G137+'19'!H137</f>
        <v>-32.390000000003056</v>
      </c>
      <c r="I137" s="480">
        <f>G135+G136+G137</f>
        <v>19.090000000003783</v>
      </c>
      <c r="J137" s="552">
        <f>H137/DAY(B2)</f>
        <v>-1.6195000000001527</v>
      </c>
      <c r="N137" s="382"/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484">
        <f>'19'!F138</f>
        <v>25063.87</v>
      </c>
      <c r="F138" s="541">
        <v>25071.15</v>
      </c>
      <c r="G138" s="1330">
        <f t="shared" si="14"/>
        <v>7.2800000000024738</v>
      </c>
      <c r="H138" s="460">
        <f>G138+'19'!H138</f>
        <v>-20.239999999997963</v>
      </c>
      <c r="I138" s="480"/>
      <c r="J138" s="552">
        <f>H138/DAY(B2)</f>
        <v>-1.0119999999998981</v>
      </c>
      <c r="N138" s="382"/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484">
        <f>'19'!F139</f>
        <v>70483.41</v>
      </c>
      <c r="F139" s="541">
        <v>70487.08</v>
      </c>
      <c r="G139" s="1330">
        <f t="shared" si="14"/>
        <v>3.6699999999982538</v>
      </c>
      <c r="H139" s="460">
        <f>G139+'19'!H139</f>
        <v>-26.539999999993597</v>
      </c>
      <c r="I139" s="480">
        <f>G138+G139</f>
        <v>10.950000000000728</v>
      </c>
      <c r="J139" s="552">
        <f>H139/DAY(B2)</f>
        <v>-1.3269999999996798</v>
      </c>
      <c r="N139" s="382"/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84">
        <f>'19'!F140</f>
        <v>2014.34</v>
      </c>
      <c r="F140" s="484">
        <v>2026.02</v>
      </c>
      <c r="G140" s="1330">
        <f t="shared" si="14"/>
        <v>11.680000000000064</v>
      </c>
      <c r="H140" s="460">
        <f>G140+'19'!H140</f>
        <v>-103.15999999999985</v>
      </c>
      <c r="I140" s="542"/>
      <c r="J140" s="552">
        <f>H140/DAY(B2)</f>
        <v>-5.1579999999999924</v>
      </c>
      <c r="N140" s="382"/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84">
        <f>'19'!F141</f>
        <v>4636.88</v>
      </c>
      <c r="F141" s="484">
        <v>4636.88</v>
      </c>
      <c r="G141" s="1330">
        <f t="shared" si="14"/>
        <v>0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>
      <c r="A142" s="1562" t="s">
        <v>249</v>
      </c>
      <c r="B142" s="1563"/>
      <c r="C142" s="1145"/>
      <c r="D142" s="472"/>
      <c r="E142" s="472"/>
      <c r="F142" s="472"/>
      <c r="G142" s="133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1343">
        <f>G35+G43+G49+G57</f>
        <v>5833.8699999999953</v>
      </c>
      <c r="H143" s="460">
        <f>G143+'19'!H143</f>
        <v>-57912.630000000005</v>
      </c>
      <c r="I143" s="480"/>
      <c r="J143" s="552">
        <f>H143/DAY(B2)</f>
        <v>-2895.6315000000004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1352">
        <f>G143/G7</f>
        <v>0.2713427906976742</v>
      </c>
      <c r="H144" s="460">
        <f>G144+'19'!H144</f>
        <v>-2.6892951795456828</v>
      </c>
      <c r="I144" s="544"/>
      <c r="J144" s="552">
        <f>H144/DAY(B2)</f>
        <v>-0.13446475897728413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1343">
        <f>G41+G42+G55+G56</f>
        <v>7097.9600000000355</v>
      </c>
      <c r="H145" s="460">
        <f>G145+'19'!H145</f>
        <v>-60894.819999999992</v>
      </c>
      <c r="I145" s="480"/>
      <c r="J145" s="552">
        <f>H145/DAY(B2)</f>
        <v>-3044.7409999999995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1352">
        <f>G145/G7</f>
        <v>0.33013767441860631</v>
      </c>
      <c r="H146" s="460">
        <f>G146+'19'!H146</f>
        <v>-2.8330248305157273</v>
      </c>
      <c r="I146" s="544"/>
      <c r="J146" s="552">
        <f>H146/DAY(B2)</f>
        <v>-0.14165124152578637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1343">
        <f>G39+G53</f>
        <v>3610.7199999999721</v>
      </c>
      <c r="H147" s="460">
        <f>G147+'19'!H147</f>
        <v>-35956.94</v>
      </c>
      <c r="I147" s="545"/>
      <c r="J147" s="552">
        <f>H147/DAY(B2)</f>
        <v>-1797.8470000000002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1352">
        <f>G147/G7</f>
        <v>0.16794046511627778</v>
      </c>
      <c r="H148" s="460">
        <f>G148+'19'!H148</f>
        <v>-1.6692308290187494</v>
      </c>
      <c r="I148" s="545"/>
      <c r="J148" s="552">
        <f>H148/DAY(B2)</f>
        <v>-8.3461541450937468E-2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1343">
        <f>G38+G52</f>
        <v>1728.1000000000058</v>
      </c>
      <c r="H149" s="460">
        <f>G149+'19'!H149</f>
        <v>-15749.500000000058</v>
      </c>
      <c r="I149" s="480"/>
      <c r="J149" s="552">
        <f>H149/DAY(B2)</f>
        <v>-787.47500000000286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1352">
        <f>G149/G7</f>
        <v>8.0376744186046789E-2</v>
      </c>
      <c r="H150" s="460">
        <f>G150+'19'!H150</f>
        <v>-0.73232459990526511</v>
      </c>
      <c r="I150" s="545"/>
      <c r="J150" s="552">
        <f>H150/DAY(B2)</f>
        <v>-3.6616229995263254E-2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1343">
        <f>G36+G50</f>
        <v>2861.8000000000247</v>
      </c>
      <c r="H151" s="460">
        <f>G151+'19'!H151</f>
        <v>-18801.499999999993</v>
      </c>
      <c r="I151" s="545"/>
      <c r="J151" s="552">
        <f>H151/DAY(B2)</f>
        <v>-940.07499999999959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1352">
        <f>G151/G7</f>
        <v>0.1331069767441872</v>
      </c>
      <c r="H152" s="460">
        <f>G152+'19'!H152</f>
        <v>-0.87502695710924017</v>
      </c>
      <c r="I152" s="480"/>
      <c r="J152" s="552">
        <f>H152/DAY(B2)</f>
        <v>-4.375134785546201E-2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1343">
        <f>G37+G51</f>
        <v>1538.789999999979</v>
      </c>
      <c r="H153" s="460">
        <f>G153+'19'!H153</f>
        <v>-14682.080000000016</v>
      </c>
      <c r="I153" s="480"/>
      <c r="J153" s="552">
        <f>H153/DAY(B2)</f>
        <v>-734.10400000000084</v>
      </c>
      <c r="L153" s="376" t="s">
        <v>273</v>
      </c>
      <c r="M153" s="376">
        <v>0.5</v>
      </c>
      <c r="N153" s="382">
        <v>50</v>
      </c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1353">
        <f>G153/G7</f>
        <v>7.1571627906975771E-2</v>
      </c>
      <c r="H154" s="460">
        <f>G154+'19'!H154</f>
        <v>-0.68148821216421229</v>
      </c>
      <c r="I154" s="568"/>
      <c r="J154" s="569">
        <f>H154/DAY(B2)</f>
        <v>-3.4074410608210613E-2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4"/>
      <c r="H155" s="547"/>
      <c r="I155" s="546"/>
      <c r="J155" s="548"/>
      <c r="O155" s="382"/>
    </row>
    <row r="161" spans="1:12">
      <c r="A161" s="784" t="s">
        <v>262</v>
      </c>
      <c r="B161" s="785"/>
      <c r="C161" s="785"/>
      <c r="D161" s="511" t="s">
        <v>186</v>
      </c>
      <c r="E161" s="658">
        <f>'19'!F161</f>
        <v>39961.699999999997</v>
      </c>
      <c r="F161" s="658">
        <v>40041.760000000002</v>
      </c>
      <c r="G161" s="1330">
        <f t="shared" ref="G161:G164" si="15">F161-E161</f>
        <v>80.060000000004948</v>
      </c>
      <c r="K161" s="376">
        <v>70.399999999999636</v>
      </c>
      <c r="L161" s="376">
        <f t="shared" ref="L161:L172" si="16">G161-K161</f>
        <v>9.6600000000053114</v>
      </c>
    </row>
    <row r="162" spans="1:12">
      <c r="A162" s="784" t="s">
        <v>263</v>
      </c>
      <c r="B162" s="785"/>
      <c r="C162" s="785"/>
      <c r="D162" s="511" t="s">
        <v>186</v>
      </c>
      <c r="E162" s="658">
        <f>'19'!F162</f>
        <v>102842.27</v>
      </c>
      <c r="F162" s="658">
        <v>103252.73</v>
      </c>
      <c r="G162" s="1330">
        <f t="shared" si="15"/>
        <v>410.45999999999185</v>
      </c>
      <c r="K162" s="376">
        <v>124.25999999999999</v>
      </c>
      <c r="L162" s="376">
        <f t="shared" si="16"/>
        <v>286.19999999999186</v>
      </c>
    </row>
    <row r="163" spans="1:12">
      <c r="A163" s="784" t="s">
        <v>264</v>
      </c>
      <c r="B163" s="785"/>
      <c r="C163" s="785"/>
      <c r="D163" s="511" t="s">
        <v>186</v>
      </c>
      <c r="E163" s="658">
        <f>'19'!F163</f>
        <v>48920.62</v>
      </c>
      <c r="F163" s="658">
        <v>49146.86</v>
      </c>
      <c r="G163" s="1330">
        <f t="shared" si="15"/>
        <v>226.23999999999796</v>
      </c>
      <c r="K163" s="376">
        <v>138.98000000000002</v>
      </c>
      <c r="L163" s="376">
        <f t="shared" si="16"/>
        <v>87.259999999997945</v>
      </c>
    </row>
    <row r="164" spans="1:12">
      <c r="A164" s="784" t="s">
        <v>265</v>
      </c>
      <c r="B164" s="785"/>
      <c r="C164" s="785"/>
      <c r="D164" s="511" t="s">
        <v>186</v>
      </c>
      <c r="E164" s="658">
        <f>'19'!F164</f>
        <v>6737.38</v>
      </c>
      <c r="F164" s="658">
        <v>6746.63</v>
      </c>
      <c r="G164" s="1330">
        <f t="shared" si="15"/>
        <v>9.25</v>
      </c>
      <c r="K164" s="376">
        <v>45.830000000000041</v>
      </c>
      <c r="L164" s="376">
        <f t="shared" si="16"/>
        <v>-36.580000000000041</v>
      </c>
    </row>
    <row r="165" spans="1:12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0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1330">
        <f t="shared" si="17"/>
        <v>0</v>
      </c>
      <c r="K166" s="376">
        <v>0</v>
      </c>
      <c r="L166" s="376">
        <f t="shared" si="16"/>
        <v>0</v>
      </c>
    </row>
    <row r="167" spans="1:12" ht="27.75">
      <c r="A167" s="1546" t="s">
        <v>98</v>
      </c>
      <c r="B167" s="1546"/>
      <c r="C167" s="1546"/>
      <c r="D167" s="523" t="s">
        <v>186</v>
      </c>
      <c r="E167" s="514">
        <f t="shared" si="18"/>
        <v>165890.62</v>
      </c>
      <c r="F167" s="514">
        <f t="shared" si="19"/>
        <v>166237.26999999999</v>
      </c>
      <c r="G167" s="1330">
        <f t="shared" si="17"/>
        <v>346.64999999999418</v>
      </c>
      <c r="K167" s="376">
        <v>193.55000000000291</v>
      </c>
      <c r="L167" s="376">
        <f t="shared" si="16"/>
        <v>153.09999999999127</v>
      </c>
    </row>
    <row r="168" spans="1:12" ht="27.75">
      <c r="A168" s="1546" t="s">
        <v>99</v>
      </c>
      <c r="B168" s="1546"/>
      <c r="C168" s="1546"/>
      <c r="D168" s="523" t="s">
        <v>186</v>
      </c>
      <c r="E168" s="514">
        <f t="shared" si="18"/>
        <v>166289.87</v>
      </c>
      <c r="F168" s="514">
        <f t="shared" si="19"/>
        <v>166667.84</v>
      </c>
      <c r="G168" s="1330">
        <f t="shared" si="17"/>
        <v>377.97000000000116</v>
      </c>
      <c r="K168" s="376">
        <v>168.39999999999418</v>
      </c>
      <c r="L168" s="376">
        <f t="shared" si="16"/>
        <v>209.57000000000698</v>
      </c>
    </row>
    <row r="169" spans="1:12" ht="27.75">
      <c r="A169" s="1546" t="s">
        <v>100</v>
      </c>
      <c r="B169" s="1546"/>
      <c r="C169" s="1546"/>
      <c r="D169" s="523" t="s">
        <v>186</v>
      </c>
      <c r="E169" s="514">
        <f t="shared" si="18"/>
        <v>63429.97</v>
      </c>
      <c r="F169" s="514">
        <f t="shared" si="19"/>
        <v>63824.5</v>
      </c>
      <c r="G169" s="1330">
        <f t="shared" si="17"/>
        <v>394.52999999999884</v>
      </c>
      <c r="K169" s="376">
        <v>221.18999999999505</v>
      </c>
      <c r="L169" s="376">
        <f t="shared" si="16"/>
        <v>173.34000000000378</v>
      </c>
    </row>
    <row r="170" spans="1:12" ht="27.75">
      <c r="A170" s="1546" t="s">
        <v>101</v>
      </c>
      <c r="B170" s="1546"/>
      <c r="C170" s="1546"/>
      <c r="D170" s="523" t="s">
        <v>186</v>
      </c>
      <c r="E170" s="514">
        <f t="shared" si="18"/>
        <v>260027.21</v>
      </c>
      <c r="F170" s="514">
        <f t="shared" si="19"/>
        <v>260486.91</v>
      </c>
      <c r="G170" s="1330">
        <f t="shared" si="17"/>
        <v>459.70000000001164</v>
      </c>
      <c r="K170" s="376">
        <v>337.19000000000233</v>
      </c>
      <c r="L170" s="376">
        <f t="shared" si="16"/>
        <v>122.51000000000931</v>
      </c>
    </row>
    <row r="171" spans="1:12" ht="27.75">
      <c r="A171" s="1546" t="s">
        <v>102</v>
      </c>
      <c r="B171" s="1546"/>
      <c r="C171" s="1546"/>
      <c r="D171" s="523" t="s">
        <v>186</v>
      </c>
      <c r="E171" s="514">
        <f t="shared" si="18"/>
        <v>85321</v>
      </c>
      <c r="F171" s="514">
        <f t="shared" si="19"/>
        <v>85321</v>
      </c>
      <c r="G171" s="1330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46" t="s">
        <v>103</v>
      </c>
      <c r="B172" s="1546"/>
      <c r="C172" s="1546"/>
      <c r="D172" s="523" t="s">
        <v>186</v>
      </c>
      <c r="E172" s="514">
        <f t="shared" si="18"/>
        <v>84858.91</v>
      </c>
      <c r="F172" s="514">
        <f t="shared" si="19"/>
        <v>85116.51</v>
      </c>
      <c r="G172" s="1330">
        <f t="shared" si="17"/>
        <v>257.59999999999127</v>
      </c>
      <c r="K172" s="376">
        <v>11.799999999999272</v>
      </c>
      <c r="L172" s="376">
        <f t="shared" si="16"/>
        <v>245.799999999992</v>
      </c>
    </row>
    <row r="173" spans="1:12" ht="24.75" customHeight="1">
      <c r="G173" s="1463">
        <f>SUM(G161:G172)</f>
        <v>2562.4599999999919</v>
      </c>
      <c r="L173" s="376">
        <f>SUM(L161:L172)</f>
        <v>1135.9499999999985</v>
      </c>
    </row>
    <row r="174" spans="1:12" ht="24.75" customHeight="1">
      <c r="A174" s="1546" t="s">
        <v>345</v>
      </c>
      <c r="B174" s="1546"/>
      <c r="C174" s="1546"/>
      <c r="D174" s="523" t="s">
        <v>186</v>
      </c>
      <c r="E174" s="514">
        <v>28159.68</v>
      </c>
      <c r="F174" s="514">
        <v>28160.45</v>
      </c>
      <c r="G174" s="473">
        <f t="shared" ref="G174:G176" si="20">F174-E174</f>
        <v>0.77000000000043656</v>
      </c>
    </row>
    <row r="175" spans="1:12" ht="24.75" customHeight="1">
      <c r="A175" s="1587" t="s">
        <v>352</v>
      </c>
      <c r="B175" s="1550"/>
      <c r="C175" s="785"/>
      <c r="D175" s="523" t="s">
        <v>186</v>
      </c>
      <c r="E175" s="1494">
        <v>18951.5</v>
      </c>
      <c r="F175" s="1494">
        <v>18956</v>
      </c>
      <c r="G175" s="473">
        <f t="shared" si="20"/>
        <v>4.5</v>
      </c>
    </row>
    <row r="176" spans="1:12" ht="24.75" customHeight="1">
      <c r="A176" s="1587" t="s">
        <v>353</v>
      </c>
      <c r="B176" s="1550"/>
      <c r="C176" s="785"/>
      <c r="D176" s="523" t="s">
        <v>186</v>
      </c>
      <c r="E176" s="1494">
        <v>27582.2</v>
      </c>
      <c r="F176" s="1494">
        <v>27586.400000000001</v>
      </c>
      <c r="G176" s="473">
        <f t="shared" si="20"/>
        <v>4.2000000000007276</v>
      </c>
    </row>
    <row r="177" ht="24.75" customHeight="1"/>
    <row r="302" spans="6:6">
      <c r="F302" s="537" t="s">
        <v>267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</sheetData>
  <mergeCells count="77">
    <mergeCell ref="A175:B175"/>
    <mergeCell ref="A176:B176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148" zoomScale="55" zoomScaleNormal="60" zoomScaleSheetLayoutView="55" zoomScalePageLayoutView="20" workbookViewId="0">
      <selection activeCell="F15" sqref="F1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5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214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366</v>
      </c>
      <c r="B2" s="1031">
        <v>44368</v>
      </c>
      <c r="C2" s="1141" t="s">
        <v>68</v>
      </c>
      <c r="D2" s="611">
        <v>0.66</v>
      </c>
      <c r="E2" s="461"/>
      <c r="F2" s="461"/>
      <c r="G2" s="1326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28</v>
      </c>
      <c r="E3" s="1573" t="s">
        <v>120</v>
      </c>
      <c r="F3" s="1574"/>
      <c r="G3" s="132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464"/>
      <c r="G4" s="1327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1329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'20'!F7</f>
        <v>351795.56</v>
      </c>
      <c r="F7" s="455">
        <f>E7+21500</f>
        <v>373295.56</v>
      </c>
      <c r="G7" s="1330">
        <f>F7-E7</f>
        <v>21500</v>
      </c>
      <c r="H7" s="460">
        <f>G7+'20'!H7</f>
        <v>451342.56000000006</v>
      </c>
      <c r="I7" s="474">
        <f>'1'!I7</f>
        <v>12000</v>
      </c>
      <c r="J7" s="552">
        <f>H7/DAY(B2)</f>
        <v>21492.502857142859</v>
      </c>
      <c r="K7" s="549">
        <v>12199</v>
      </c>
      <c r="L7" s="377">
        <f>G7-K7</f>
        <v>9301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'20'!F8</f>
        <v>357453.79</v>
      </c>
      <c r="F8" s="475">
        <f>E8+21500</f>
        <v>378953.79</v>
      </c>
      <c r="G8" s="1331">
        <f>F8-E8</f>
        <v>21500</v>
      </c>
      <c r="H8" s="460">
        <f>G8+'20'!H8</f>
        <v>452231.79</v>
      </c>
      <c r="I8" s="477">
        <f>'1'!I8</f>
        <v>12000</v>
      </c>
      <c r="J8" s="552">
        <f>H8/DAY(B2)</f>
        <v>21534.847142857143</v>
      </c>
      <c r="K8" s="549">
        <v>12262</v>
      </c>
      <c r="L8" s="425">
        <f>G8-K8</f>
        <v>9238</v>
      </c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'20'!F9</f>
        <v>1832034.9</v>
      </c>
      <c r="F9" s="478">
        <v>1853193.5</v>
      </c>
      <c r="G9" s="1330">
        <f t="shared" ref="G9:G12" si="0">F9-E9</f>
        <v>21158.600000000093</v>
      </c>
      <c r="H9" s="460">
        <f>G9+'20'!H9</f>
        <v>-177808.5</v>
      </c>
      <c r="I9" s="479">
        <f>I8-J8</f>
        <v>-9534.8471428571429</v>
      </c>
      <c r="J9" s="552">
        <f>H9/DAY(B2)</f>
        <v>-8467.0714285714294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'20'!F10</f>
        <v>0</v>
      </c>
      <c r="F10" s="478"/>
      <c r="G10" s="1330">
        <f t="shared" si="0"/>
        <v>0</v>
      </c>
      <c r="H10" s="460">
        <f>G10+'20'!H10</f>
        <v>0.29999999999972715</v>
      </c>
      <c r="I10" s="480"/>
      <c r="J10" s="552">
        <f>H10/DAY(B2)</f>
        <v>1.4285714285701292E-2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'20'!F11</f>
        <v>37000</v>
      </c>
      <c r="F11" s="455">
        <v>37000</v>
      </c>
      <c r="G11" s="1330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'20'!F12</f>
        <v>40010</v>
      </c>
      <c r="F12" s="478">
        <v>40010</v>
      </c>
      <c r="G12" s="1330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2">
        <f>G9+G10+G11+G12</f>
        <v>21158.600000000093</v>
      </c>
      <c r="H13" s="460">
        <f>G13+'20'!H13</f>
        <v>-194333.2</v>
      </c>
      <c r="I13" s="482">
        <f>G7-G13</f>
        <v>341.39999999990687</v>
      </c>
      <c r="J13" s="552">
        <f>H13/DAY(B2)</f>
        <v>-9253.9619047619053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1333"/>
      <c r="H14" s="472"/>
      <c r="I14" s="472"/>
      <c r="J14" s="551"/>
      <c r="K14" s="429"/>
      <c r="L14" s="377"/>
      <c r="N14" s="382"/>
      <c r="O14" s="382"/>
    </row>
    <row r="15" spans="1:15">
      <c r="A15" s="1139" t="s">
        <v>139</v>
      </c>
      <c r="B15" s="589"/>
      <c r="C15" s="589"/>
      <c r="D15" s="523" t="s">
        <v>140</v>
      </c>
      <c r="E15" s="484">
        <f>'20'!F15</f>
        <v>1718267.16</v>
      </c>
      <c r="F15" s="700">
        <f>E15+700</f>
        <v>1718967.16</v>
      </c>
      <c r="G15" s="1334">
        <f>(F15-E15)</f>
        <v>700</v>
      </c>
      <c r="H15" s="460">
        <f>G15+'20'!H15</f>
        <v>15284.159999999916</v>
      </c>
      <c r="I15" s="474">
        <v>800</v>
      </c>
      <c r="J15" s="552">
        <f>H15/DAY(B2)</f>
        <v>727.81714285713883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0"/>
      <c r="H16" s="486"/>
      <c r="I16" s="487">
        <f>I15-J15</f>
        <v>72.182857142861167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1333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'20'!F18</f>
        <v>20</v>
      </c>
      <c r="F18" s="484">
        <v>14</v>
      </c>
      <c r="G18" s="1332">
        <f>F18*10</f>
        <v>140</v>
      </c>
      <c r="H18" s="460">
        <f>G18+'20'!H18</f>
        <v>2120</v>
      </c>
      <c r="I18" s="474">
        <f>'1'!I18</f>
        <v>65</v>
      </c>
      <c r="J18" s="552">
        <f>H18/DAY(B2)</f>
        <v>100.95238095238095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'20'!F19</f>
        <v>140870</v>
      </c>
      <c r="F19" s="484">
        <v>140931</v>
      </c>
      <c r="G19" s="1330">
        <f t="shared" ref="G19" si="1">F19-E19</f>
        <v>61</v>
      </c>
      <c r="H19" s="460">
        <f>G19+'20'!H19</f>
        <v>-564</v>
      </c>
      <c r="I19" s="489"/>
      <c r="J19" s="552">
        <f>H19/DAY(B2)</f>
        <v>-26.857142857142858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5">
        <f>G18+G19</f>
        <v>201</v>
      </c>
      <c r="H20" s="460">
        <f>G20+'20'!H20</f>
        <v>1556</v>
      </c>
      <c r="I20" s="492">
        <f>I18-J20</f>
        <v>-9.095238095238102</v>
      </c>
      <c r="J20" s="552">
        <f>H20/DAY(B2)</f>
        <v>74.095238095238102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133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484">
        <f>'20'!F22</f>
        <v>2970</v>
      </c>
      <c r="F22" s="484">
        <v>2970</v>
      </c>
      <c r="G22" s="1332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484">
        <f>'20'!F23</f>
        <v>2000</v>
      </c>
      <c r="F23" s="484">
        <v>2000</v>
      </c>
      <c r="G23" s="1332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'20'!F24</f>
        <v>4970</v>
      </c>
      <c r="F24" s="493">
        <v>4970</v>
      </c>
      <c r="G24" s="1332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133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21500</v>
      </c>
      <c r="F27" s="501">
        <v>9</v>
      </c>
      <c r="G27" s="1338">
        <f>E27*F27</f>
        <v>193500</v>
      </c>
      <c r="H27" s="460">
        <f>G27+'20'!H27</f>
        <v>4070086.11</v>
      </c>
      <c r="I27" s="503"/>
      <c r="J27" s="552">
        <f>H27/DAY(B2)</f>
        <v>193813.62428571429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700</v>
      </c>
      <c r="F28" s="501">
        <v>52</v>
      </c>
      <c r="G28" s="1338">
        <f t="shared" ref="G28:G30" si="3">E28*F28</f>
        <v>36400</v>
      </c>
      <c r="H28" s="460">
        <f>G28+'20'!H28</f>
        <v>794776.31999999564</v>
      </c>
      <c r="I28" s="505"/>
      <c r="J28" s="552">
        <f>H28/DAY(B2)</f>
        <v>37846.491428571222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8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61</v>
      </c>
      <c r="F30" s="501">
        <v>146</v>
      </c>
      <c r="G30" s="1338">
        <f t="shared" si="3"/>
        <v>8906</v>
      </c>
      <c r="H30" s="460">
        <f>G30+'20'!H30</f>
        <v>-82928</v>
      </c>
      <c r="I30" s="505"/>
      <c r="J30" s="552">
        <f>H30/DAY(B2)</f>
        <v>-3948.9523809523807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140</v>
      </c>
      <c r="F31" s="501">
        <v>80</v>
      </c>
      <c r="G31" s="1338">
        <f>E31*F31</f>
        <v>11200</v>
      </c>
      <c r="H31" s="460">
        <f>G31+'20'!H31</f>
        <v>164000</v>
      </c>
      <c r="I31" s="505"/>
      <c r="J31" s="552">
        <f>H31/DAY(B2)</f>
        <v>7809.5238095238092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39">
        <f>G27+G28+G29+G30+G31</f>
        <v>250006</v>
      </c>
      <c r="H32" s="460">
        <f>G32+'20'!H32</f>
        <v>4945934.429999995</v>
      </c>
      <c r="I32" s="509"/>
      <c r="J32" s="552">
        <f>H32/DAY(B2)</f>
        <v>235520.68714285691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71"/>
      <c r="G34" s="134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'20'!F35</f>
        <v>1000428.6</v>
      </c>
      <c r="F35" s="510">
        <v>1003179.1</v>
      </c>
      <c r="G35" s="1330">
        <f t="shared" ref="G35:G46" si="4">F35-E35</f>
        <v>2750.5</v>
      </c>
      <c r="H35" s="460">
        <f>G35+'20'!H35</f>
        <v>-25534.900000000023</v>
      </c>
      <c r="I35" s="455"/>
      <c r="J35" s="552">
        <f>H35/DAY(B2)</f>
        <v>-1215.9476190476203</v>
      </c>
      <c r="K35" s="428">
        <v>1520.2800000000279</v>
      </c>
      <c r="L35" s="377">
        <f t="shared" ref="L35:L60" si="5">G35-K35</f>
        <v>1230.2199999999721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'20'!F36</f>
        <v>13082.87</v>
      </c>
      <c r="F36" s="510">
        <v>13824.15</v>
      </c>
      <c r="G36" s="1330">
        <f t="shared" si="4"/>
        <v>741.27999999999884</v>
      </c>
      <c r="H36" s="460">
        <f>G36+'20'!H36</f>
        <v>-6636.85</v>
      </c>
      <c r="I36" s="455"/>
      <c r="J36" s="552">
        <f>H36/DAY(B2)</f>
        <v>-316.04047619047623</v>
      </c>
      <c r="K36" s="428">
        <v>485.22000000000116</v>
      </c>
      <c r="L36" s="377">
        <f t="shared" si="5"/>
        <v>256.05999999999767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'20'!F37</f>
        <v>161888.04999999999</v>
      </c>
      <c r="F37" s="510">
        <v>163376.22</v>
      </c>
      <c r="G37" s="1330">
        <f t="shared" si="4"/>
        <v>1488.1700000000128</v>
      </c>
      <c r="H37" s="460">
        <f>G37+'20'!H37</f>
        <v>-13193.779999999999</v>
      </c>
      <c r="I37" s="455"/>
      <c r="J37" s="552">
        <f>H37/DAY(B2)</f>
        <v>-628.27523809523802</v>
      </c>
      <c r="K37" s="428">
        <v>1194.8999999999942</v>
      </c>
      <c r="L37" s="377">
        <f t="shared" si="5"/>
        <v>293.27000000001863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'20'!F38</f>
        <v>182709.43</v>
      </c>
      <c r="F38" s="469">
        <v>184337.75</v>
      </c>
      <c r="G38" s="1330">
        <f t="shared" si="4"/>
        <v>1628.320000000007</v>
      </c>
      <c r="H38" s="460">
        <f>G38+'20'!H38</f>
        <v>-14121.25</v>
      </c>
      <c r="I38" s="455"/>
      <c r="J38" s="552">
        <f>H38/DAY(B2)</f>
        <v>-672.44047619047615</v>
      </c>
      <c r="K38" s="428">
        <v>0</v>
      </c>
      <c r="L38" s="377">
        <f t="shared" si="5"/>
        <v>1628.320000000007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'20'!F39</f>
        <v>368907.47</v>
      </c>
      <c r="F39" s="510">
        <v>372469.99</v>
      </c>
      <c r="G39" s="1330">
        <f t="shared" si="4"/>
        <v>3562.5200000000186</v>
      </c>
      <c r="H39" s="460">
        <f>G39+'20'!H39</f>
        <v>-32394.010000000009</v>
      </c>
      <c r="I39" s="455"/>
      <c r="J39" s="552">
        <f>H39/DAY(B2)</f>
        <v>-1542.5719047619052</v>
      </c>
      <c r="K39" s="428">
        <v>2147.359999999986</v>
      </c>
      <c r="L39" s="377">
        <f t="shared" si="5"/>
        <v>1415.1600000000326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'20'!F40</f>
        <v>3598.31</v>
      </c>
      <c r="F40" s="510">
        <v>3986.96</v>
      </c>
      <c r="G40" s="1330">
        <f t="shared" si="4"/>
        <v>388.65000000000009</v>
      </c>
      <c r="H40" s="460">
        <f>G40+'20'!H40</f>
        <v>-3126.04</v>
      </c>
      <c r="I40" s="455"/>
      <c r="J40" s="552">
        <f>H40/DAY(B2)</f>
        <v>-148.85904761904763</v>
      </c>
      <c r="K40" s="429">
        <v>0</v>
      </c>
      <c r="L40" s="377">
        <f t="shared" si="5"/>
        <v>388.65000000000009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'20'!F41</f>
        <v>299709.45</v>
      </c>
      <c r="F41" s="510">
        <v>304892.09000000003</v>
      </c>
      <c r="G41" s="1330">
        <f t="shared" si="4"/>
        <v>5182.640000000014</v>
      </c>
      <c r="H41" s="460">
        <f>G41+'20'!H41</f>
        <v>-24749.909999999974</v>
      </c>
      <c r="I41" s="455"/>
      <c r="J41" s="552">
        <f>H41/DAY(B2)</f>
        <v>-1178.5671428571416</v>
      </c>
      <c r="K41" s="428">
        <v>0</v>
      </c>
      <c r="L41" s="377">
        <f t="shared" si="5"/>
        <v>5182.640000000014</v>
      </c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'20'!F42</f>
        <v>59210.080000000002</v>
      </c>
      <c r="F42" s="510">
        <v>59210.080000000002</v>
      </c>
      <c r="G42" s="1330">
        <f t="shared" si="4"/>
        <v>0</v>
      </c>
      <c r="H42" s="460">
        <f>G42+'20'!H42</f>
        <v>11.190000000002328</v>
      </c>
      <c r="I42" s="455"/>
      <c r="J42" s="552">
        <f>H42/DAY(B2)</f>
        <v>0.53285714285725372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'20'!F43</f>
        <v>1092467.7</v>
      </c>
      <c r="F43" s="510">
        <v>1095339.3999999999</v>
      </c>
      <c r="G43" s="1330">
        <f t="shared" si="4"/>
        <v>2871.6999999999534</v>
      </c>
      <c r="H43" s="460">
        <f>G43+'20'!H43</f>
        <v>-25112.600000000093</v>
      </c>
      <c r="I43" s="455"/>
      <c r="J43" s="552">
        <f>H43/DAY(B2)</f>
        <v>-1195.8380952380996</v>
      </c>
      <c r="K43" s="428">
        <v>1595.679999999993</v>
      </c>
      <c r="L43" s="377">
        <f t="shared" si="5"/>
        <v>1276.0199999999604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'20'!F44</f>
        <v>0</v>
      </c>
      <c r="F44" s="510">
        <v>0</v>
      </c>
      <c r="G44" s="1330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'20'!F45</f>
        <v>0</v>
      </c>
      <c r="F45" s="510">
        <v>0</v>
      </c>
      <c r="G45" s="1330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'20'!F46</f>
        <v>0</v>
      </c>
      <c r="F46" s="510">
        <v>0</v>
      </c>
      <c r="G46" s="1330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2">
        <f>G35+G36+G37+G38+G39+G40+G41+G42+G43+G44+G45+G46</f>
        <v>18613.780000000006</v>
      </c>
      <c r="H47" s="460">
        <f>G47+'20'!H47</f>
        <v>-144056.71000000005</v>
      </c>
      <c r="I47" s="455"/>
      <c r="J47" s="552">
        <f>H47/DAY(B2)</f>
        <v>-6859.843333333336</v>
      </c>
      <c r="K47" s="428">
        <v>10172.060000000001</v>
      </c>
      <c r="L47" s="377">
        <f t="shared" si="5"/>
        <v>8441.7200000000048</v>
      </c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471"/>
      <c r="G48" s="1340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'20'!F49</f>
        <v>260732.13</v>
      </c>
      <c r="F49" s="510">
        <v>260732.13</v>
      </c>
      <c r="G49" s="1330">
        <f t="shared" ref="G49:G58" si="6">F49-E49</f>
        <v>0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'20'!F50</f>
        <v>523239.63</v>
      </c>
      <c r="F50" s="510">
        <v>524730.82999999996</v>
      </c>
      <c r="G50" s="1330">
        <f>F50-E50</f>
        <v>1491.1999999999534</v>
      </c>
      <c r="H50" s="460">
        <f>G50+'20'!H50</f>
        <v>-10822.170000000042</v>
      </c>
      <c r="I50" s="455"/>
      <c r="J50" s="552">
        <f>H50/DAY(B2)</f>
        <v>-515.34142857143058</v>
      </c>
      <c r="K50" s="428">
        <v>700.86999999999534</v>
      </c>
      <c r="L50" s="377">
        <f t="shared" si="5"/>
        <v>790.32999999995809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'20'!F51</f>
        <v>144639.87</v>
      </c>
      <c r="F51" s="510">
        <v>144639.87</v>
      </c>
      <c r="G51" s="1330">
        <f t="shared" si="6"/>
        <v>0</v>
      </c>
      <c r="H51" s="460">
        <f>G51+'20'!H51</f>
        <v>-0.13000000000465661</v>
      </c>
      <c r="I51" s="455"/>
      <c r="J51" s="552">
        <f>H51/DAY(B2)</f>
        <v>-6.1904761906979343E-3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'20'!F52</f>
        <v>539606.06999999995</v>
      </c>
      <c r="F52" s="510">
        <v>539606.06999999995</v>
      </c>
      <c r="G52" s="1330">
        <f t="shared" si="6"/>
        <v>0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-985.97999999998137</v>
      </c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'20'!F53</f>
        <v>434231.59</v>
      </c>
      <c r="F53" s="510">
        <v>434231.59</v>
      </c>
      <c r="G53" s="1330">
        <f t="shared" si="6"/>
        <v>0</v>
      </c>
      <c r="H53" s="460">
        <f>G53+'20'!H53</f>
        <v>-0.73999999999068677</v>
      </c>
      <c r="I53" s="455"/>
      <c r="J53" s="552">
        <f>H53/DAY(B2)</f>
        <v>-3.523809523765175E-2</v>
      </c>
      <c r="K53" s="428">
        <v>107.60000000000036</v>
      </c>
      <c r="L53" s="377">
        <f t="shared" si="5"/>
        <v>-107.60000000000036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'20'!F54</f>
        <v>14967.39</v>
      </c>
      <c r="F54" s="510">
        <v>14967.39</v>
      </c>
      <c r="G54" s="1330">
        <f t="shared" si="6"/>
        <v>0</v>
      </c>
      <c r="H54" s="460">
        <f>G54+'20'!H54</f>
        <v>-78.610000000000582</v>
      </c>
      <c r="I54" s="455"/>
      <c r="J54" s="552">
        <f>H54/DAY(B2)</f>
        <v>-3.7433333333333612</v>
      </c>
      <c r="K54" s="428">
        <v>0</v>
      </c>
      <c r="L54" s="377">
        <f t="shared" si="5"/>
        <v>0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'20'!F55</f>
        <v>86765.31</v>
      </c>
      <c r="F55" s="510">
        <v>88280.54</v>
      </c>
      <c r="G55" s="1330">
        <f t="shared" si="6"/>
        <v>1515.2299999999959</v>
      </c>
      <c r="H55" s="460">
        <f>G55+'20'!H55</f>
        <v>-29355.460000000006</v>
      </c>
      <c r="I55" s="455"/>
      <c r="J55" s="552">
        <f>H55/DAY(B2)</f>
        <v>-1397.8790476190479</v>
      </c>
      <c r="K55" s="428">
        <v>0</v>
      </c>
      <c r="L55" s="377">
        <f t="shared" si="5"/>
        <v>1515.2299999999959</v>
      </c>
      <c r="N55" s="382"/>
      <c r="O55" s="382"/>
    </row>
    <row r="56" spans="1:15" s="441" customFormat="1">
      <c r="A56" s="1102" t="s">
        <v>181</v>
      </c>
      <c r="B56" s="1103"/>
      <c r="C56" s="1103"/>
      <c r="D56" s="627" t="s">
        <v>182</v>
      </c>
      <c r="E56" s="653">
        <f>'20'!F56</f>
        <v>648929.23</v>
      </c>
      <c r="F56" s="653">
        <v>648939.47</v>
      </c>
      <c r="G56" s="1351">
        <f t="shared" si="6"/>
        <v>10.239999999990687</v>
      </c>
      <c r="H56" s="705">
        <f>G56+'20'!H56</f>
        <v>-92.53000000002794</v>
      </c>
      <c r="I56" s="706"/>
      <c r="J56" s="707">
        <f>H56/DAY(B2)</f>
        <v>-4.4061904761918065</v>
      </c>
      <c r="K56" s="1356">
        <v>0</v>
      </c>
      <c r="L56" s="1105">
        <f t="shared" si="5"/>
        <v>10.239999999990687</v>
      </c>
      <c r="N56" s="713"/>
      <c r="O56" s="713"/>
    </row>
    <row r="57" spans="1:15">
      <c r="A57" s="578" t="s">
        <v>171</v>
      </c>
      <c r="B57" s="601"/>
      <c r="C57" s="601"/>
      <c r="D57" s="523" t="s">
        <v>131</v>
      </c>
      <c r="E57" s="510">
        <f>'20'!F57</f>
        <v>7711</v>
      </c>
      <c r="F57" s="510">
        <v>7711</v>
      </c>
      <c r="G57" s="1330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'20'!F58</f>
        <v>52426.52</v>
      </c>
      <c r="F58" s="510">
        <v>52669.21</v>
      </c>
      <c r="G58" s="1330">
        <f t="shared" si="6"/>
        <v>242.69000000000233</v>
      </c>
      <c r="H58" s="460">
        <f>G58+'20'!H58</f>
        <v>-1556</v>
      </c>
      <c r="I58" s="455"/>
      <c r="J58" s="552">
        <f>H58/DAY(B2)</f>
        <v>-74.095238095238102</v>
      </c>
      <c r="K58" s="428">
        <v>0</v>
      </c>
      <c r="L58" s="377">
        <f t="shared" si="5"/>
        <v>242.69000000000233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2">
        <f>G49+G50+G51+G52+G53+G54+G55+G56+G57+G58</f>
        <v>3259.3599999999424</v>
      </c>
      <c r="H59" s="460">
        <f>G59+'20'!H59</f>
        <v>-41905.440000000119</v>
      </c>
      <c r="I59" s="455">
        <f>G7-G60</f>
        <v>-373.13999999994849</v>
      </c>
      <c r="J59" s="552">
        <f>H59/DAY(B2)</f>
        <v>-1995.4971428571484</v>
      </c>
      <c r="K59" s="428">
        <v>1794.4499999999771</v>
      </c>
      <c r="L59" s="377">
        <f t="shared" si="5"/>
        <v>1464.9099999999653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2">
        <f>G47+G59</f>
        <v>21873.139999999948</v>
      </c>
      <c r="H60" s="460">
        <f>G60+'20'!H60</f>
        <v>-184753.61000000034</v>
      </c>
      <c r="I60" s="455">
        <f>G13-G60</f>
        <v>-714.53999999985535</v>
      </c>
      <c r="J60" s="552">
        <f>H60/DAY(B2)</f>
        <v>-8797.7909523809685</v>
      </c>
      <c r="K60" s="428">
        <v>11966.509999999978</v>
      </c>
      <c r="L60" s="377">
        <f t="shared" si="5"/>
        <v>9906.6299999999701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1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'20'!F62</f>
        <v>20419.2</v>
      </c>
      <c r="F62" s="514">
        <v>20419.2</v>
      </c>
      <c r="G62" s="1330">
        <f t="shared" ref="G62:G69" si="7">F62-E62</f>
        <v>0</v>
      </c>
      <c r="H62" s="460">
        <f>G62+'20'!H62</f>
        <v>0.20199999999749707</v>
      </c>
      <c r="I62" s="515"/>
      <c r="J62" s="552">
        <f>H62/DAY(B2)</f>
        <v>9.6190476189284314E-3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'20'!F63</f>
        <v>0</v>
      </c>
      <c r="F63" s="514">
        <v>0</v>
      </c>
      <c r="G63" s="1330">
        <f t="shared" si="7"/>
        <v>0</v>
      </c>
      <c r="H63" s="460">
        <f>G63+'20'!H63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f>'20'!F64</f>
        <v>166237.26999999999</v>
      </c>
      <c r="F64" s="484">
        <v>166627.75</v>
      </c>
      <c r="G64" s="1330">
        <f t="shared" si="7"/>
        <v>390.48000000001048</v>
      </c>
      <c r="H64" s="460">
        <f>G64+'20'!H64</f>
        <v>-3394.25</v>
      </c>
      <c r="I64" s="480"/>
      <c r="J64" s="552">
        <f>H64/DAY(B2)</f>
        <v>-161.63095238095238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f>'20'!F65</f>
        <v>166667.84</v>
      </c>
      <c r="F65" s="484">
        <v>166980.74</v>
      </c>
      <c r="G65" s="1330">
        <f t="shared" si="7"/>
        <v>312.89999999999418</v>
      </c>
      <c r="H65" s="460">
        <f>G65+'20'!H65</f>
        <v>-3321.2600000000093</v>
      </c>
      <c r="I65" s="489"/>
      <c r="J65" s="552">
        <f>H65/DAY(B2)</f>
        <v>-158.15523809523853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f>'20'!F66</f>
        <v>63824.5</v>
      </c>
      <c r="F66" s="484">
        <v>64226.15</v>
      </c>
      <c r="G66" s="1330">
        <f t="shared" si="7"/>
        <v>401.65000000000146</v>
      </c>
      <c r="H66" s="460">
        <f>G66+'20'!H66</f>
        <v>-3743.8499999999985</v>
      </c>
      <c r="I66" s="480"/>
      <c r="J66" s="552">
        <f>H66/DAY(B2)</f>
        <v>-178.27857142857135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f>'20'!F67</f>
        <v>260486.91</v>
      </c>
      <c r="F67" s="484">
        <v>260958</v>
      </c>
      <c r="G67" s="1330">
        <f t="shared" si="7"/>
        <v>471.08999999999651</v>
      </c>
      <c r="H67" s="460">
        <f>G67+'20'!H67</f>
        <v>-4001</v>
      </c>
      <c r="I67" s="489"/>
      <c r="J67" s="552">
        <f>H67/DAY(B2)</f>
        <v>-190.52380952380952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f>'20'!F68</f>
        <v>85321</v>
      </c>
      <c r="F68" s="484">
        <v>85321</v>
      </c>
      <c r="G68" s="1330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f>'20'!F69</f>
        <v>85116.51</v>
      </c>
      <c r="F69" s="484">
        <v>85351.83</v>
      </c>
      <c r="G69" s="1330">
        <f t="shared" si="7"/>
        <v>235.32000000000698</v>
      </c>
      <c r="H69" s="460">
        <f>G69+'20'!H69</f>
        <v>-2163.1699999999983</v>
      </c>
      <c r="I69" s="516"/>
      <c r="J69" s="552">
        <f>H69/DAY(B2)</f>
        <v>-103.00809523809515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1342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'20'!F72</f>
        <v>856104</v>
      </c>
      <c r="F72" s="519">
        <v>856117</v>
      </c>
      <c r="G72" s="1330">
        <f t="shared" ref="G72:G84" si="8">F72-E72</f>
        <v>13</v>
      </c>
      <c r="H72" s="460">
        <f>G72+'20'!H72</f>
        <v>-118</v>
      </c>
      <c r="I72" s="480"/>
      <c r="J72" s="552">
        <f>H72/DAY(B2)</f>
        <v>-5.6190476190476186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20">
        <f>'20'!F73</f>
        <v>885960</v>
      </c>
      <c r="F73" s="520">
        <v>885961</v>
      </c>
      <c r="G73" s="1330">
        <f t="shared" si="8"/>
        <v>1</v>
      </c>
      <c r="H73" s="460">
        <f>G73+'20'!H73</f>
        <v>-199</v>
      </c>
      <c r="I73" s="480"/>
      <c r="J73" s="552">
        <f>H73/DAY(B2)</f>
        <v>-9.4761904761904763</v>
      </c>
      <c r="K73" s="430"/>
      <c r="L73" s="377"/>
      <c r="N73" s="382"/>
      <c r="O73" s="382"/>
    </row>
    <row r="74" spans="1:15" ht="27.75">
      <c r="A74" s="1622" t="s">
        <v>192</v>
      </c>
      <c r="B74" s="1623"/>
      <c r="C74" s="1624"/>
      <c r="D74" s="523" t="s">
        <v>186</v>
      </c>
      <c r="E74" s="521">
        <f>'20'!F74</f>
        <v>88686</v>
      </c>
      <c r="F74" s="521">
        <v>88687</v>
      </c>
      <c r="G74" s="1330">
        <f t="shared" si="8"/>
        <v>1</v>
      </c>
      <c r="H74" s="460">
        <f>G74+'20'!H74</f>
        <v>-86088.04</v>
      </c>
      <c r="I74" s="480"/>
      <c r="J74" s="552">
        <f>H74/DAY(B2)</f>
        <v>-4099.4304761904759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21">
        <f>'20'!F75</f>
        <v>14618.25</v>
      </c>
      <c r="F75" s="521">
        <v>14756.38</v>
      </c>
      <c r="G75" s="1330">
        <f t="shared" si="8"/>
        <v>138.1299999999992</v>
      </c>
      <c r="H75" s="460">
        <f>G75+'20'!H75</f>
        <v>-1314.6200000000008</v>
      </c>
      <c r="I75" s="480"/>
      <c r="J75" s="552">
        <f>H75/DAY(B2)</f>
        <v>-62.600952380952421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20">
        <f>'20'!F76</f>
        <v>8596.83</v>
      </c>
      <c r="F76" s="646">
        <v>8664.5300000000007</v>
      </c>
      <c r="G76" s="1330">
        <f t="shared" si="8"/>
        <v>67.700000000000728</v>
      </c>
      <c r="H76" s="460">
        <f>G76+'20'!H76</f>
        <v>-1943.4699999999993</v>
      </c>
      <c r="I76" s="505"/>
      <c r="J76" s="552">
        <f>H76/DAY(B2)</f>
        <v>-92.546190476190446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21">
        <f>'20'!F77</f>
        <v>703840</v>
      </c>
      <c r="F77" s="521">
        <v>703890</v>
      </c>
      <c r="G77" s="1330">
        <f t="shared" si="8"/>
        <v>50</v>
      </c>
      <c r="H77" s="460">
        <f>G77+'20'!H77</f>
        <v>-484</v>
      </c>
      <c r="I77" s="505"/>
      <c r="J77" s="552">
        <f>H77/DAY(B2)</f>
        <v>-23.047619047619047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'20'!F78</f>
        <v>674552</v>
      </c>
      <c r="F78" s="521">
        <v>674622</v>
      </c>
      <c r="G78" s="1330">
        <f t="shared" si="8"/>
        <v>70</v>
      </c>
      <c r="H78" s="460">
        <f>G78+'20'!H78</f>
        <v>-792</v>
      </c>
      <c r="I78" s="505"/>
      <c r="J78" s="552">
        <f>H78/DAY(B2)</f>
        <v>-37.714285714285715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f>'20'!F79</f>
        <v>833932</v>
      </c>
      <c r="F79" s="521">
        <v>834076</v>
      </c>
      <c r="G79" s="1330">
        <f t="shared" si="8"/>
        <v>144</v>
      </c>
      <c r="H79" s="460">
        <f>G79+'20'!H79</f>
        <v>-328</v>
      </c>
      <c r="I79" s="505"/>
      <c r="J79" s="552">
        <f>H79/DAY(B2)</f>
        <v>-15.619047619047619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f>'20'!F80</f>
        <v>535107</v>
      </c>
      <c r="F80" s="520">
        <v>535477</v>
      </c>
      <c r="G80" s="1330">
        <f t="shared" si="8"/>
        <v>370</v>
      </c>
      <c r="H80" s="460">
        <f>G80+'20'!H80</f>
        <v>525.47999999998137</v>
      </c>
      <c r="I80" s="505"/>
      <c r="J80" s="552">
        <f>H80/DAY(B2)</f>
        <v>25.022857142856257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'20'!F81</f>
        <v>641422</v>
      </c>
      <c r="F81" s="520">
        <v>641606</v>
      </c>
      <c r="G81" s="1330">
        <f t="shared" si="8"/>
        <v>184</v>
      </c>
      <c r="H81" s="460">
        <f>G81+'20'!H81</f>
        <v>-1379</v>
      </c>
      <c r="I81" s="505"/>
      <c r="J81" s="552">
        <f>H81/DAY(B2)</f>
        <v>-65.666666666666671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'20'!F82</f>
        <v>108504.35</v>
      </c>
      <c r="F82" s="522">
        <v>108517</v>
      </c>
      <c r="G82" s="1330">
        <f t="shared" si="8"/>
        <v>12.649999999994179</v>
      </c>
      <c r="H82" s="460">
        <f>G82+'20'!H82</f>
        <v>-164</v>
      </c>
      <c r="I82" s="486"/>
      <c r="J82" s="552">
        <f>H82/DAY(B2)</f>
        <v>-7.8095238095238093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f>'20'!F83</f>
        <v>24672</v>
      </c>
      <c r="F83" s="511">
        <v>25040</v>
      </c>
      <c r="G83" s="1330">
        <f t="shared" si="8"/>
        <v>368</v>
      </c>
      <c r="H83" s="460">
        <f>G83+'20'!H83</f>
        <v>-2511</v>
      </c>
      <c r="I83" s="481"/>
      <c r="J83" s="552">
        <f>H83/DAY(B2)</f>
        <v>-119.57142857142857</v>
      </c>
      <c r="K83" s="429"/>
      <c r="L83" s="377"/>
      <c r="N83" s="382"/>
      <c r="O83" s="721"/>
    </row>
    <row r="84" spans="1:15">
      <c r="A84" s="1143" t="s">
        <v>200</v>
      </c>
      <c r="B84" s="571"/>
      <c r="C84" s="571"/>
      <c r="D84" s="478" t="s">
        <v>131</v>
      </c>
      <c r="E84" s="627">
        <f>'20'!F84</f>
        <v>515021</v>
      </c>
      <c r="F84" s="627">
        <v>515798</v>
      </c>
      <c r="G84" s="1330">
        <f t="shared" si="8"/>
        <v>777</v>
      </c>
      <c r="H84" s="460">
        <f>G84+'20'!H84</f>
        <v>-7282</v>
      </c>
      <c r="I84" s="481"/>
      <c r="J84" s="552">
        <f>H84/DAY(B2)</f>
        <v>-346.76190476190476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3">
        <f xml:space="preserve"> SUM(G72:G84)</f>
        <v>2196.4799999999941</v>
      </c>
      <c r="H85" s="460">
        <f>G85+'20'!H85</f>
        <v>-105678.13</v>
      </c>
      <c r="I85" s="481"/>
      <c r="J85" s="552">
        <f>H85/DAY(B2)</f>
        <v>-5032.2919047619052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'20'!F86</f>
        <v>461512</v>
      </c>
      <c r="F86" s="647">
        <v>461528</v>
      </c>
      <c r="G86" s="1344">
        <f t="shared" ref="G86:G91" si="9">F86-E86</f>
        <v>16</v>
      </c>
      <c r="H86" s="460">
        <f>G86+'20'!H86</f>
        <v>69.71999999997206</v>
      </c>
      <c r="I86" s="652"/>
      <c r="J86" s="707">
        <f>H86/DAY(B2)</f>
        <v>3.3199999999986693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'20'!F87</f>
        <v>81787.7</v>
      </c>
      <c r="F87" s="647">
        <v>81818.5</v>
      </c>
      <c r="G87" s="1344">
        <f t="shared" si="9"/>
        <v>30.80000000000291</v>
      </c>
      <c r="H87" s="460">
        <f>G87+'20'!H87</f>
        <v>89.69999999999709</v>
      </c>
      <c r="I87" s="652"/>
      <c r="J87" s="707">
        <f>H87/DAY(B2)</f>
        <v>4.2714285714284328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'20'!F88</f>
        <v>154260</v>
      </c>
      <c r="F88" s="647">
        <v>154344</v>
      </c>
      <c r="G88" s="1344">
        <f t="shared" si="9"/>
        <v>84</v>
      </c>
      <c r="H88" s="460">
        <f>G88+'20'!H88</f>
        <v>266.33999999999651</v>
      </c>
      <c r="I88" s="652"/>
      <c r="J88" s="707">
        <f>H88/DAY(B2)</f>
        <v>12.682857142856976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'20'!F89</f>
        <v>65558.5</v>
      </c>
      <c r="F89" s="647">
        <v>65593.2</v>
      </c>
      <c r="G89" s="1344">
        <f t="shared" si="9"/>
        <v>34.69999999999709</v>
      </c>
      <c r="H89" s="460">
        <f>G89+'20'!H89</f>
        <v>81.099999999998545</v>
      </c>
      <c r="I89" s="652"/>
      <c r="J89" s="707">
        <f>H89/DAY(B2)</f>
        <v>3.8619047619046927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'20'!F90</f>
        <v>3309.8</v>
      </c>
      <c r="F90" s="647">
        <v>3314.8</v>
      </c>
      <c r="G90" s="1344">
        <f t="shared" si="9"/>
        <v>5</v>
      </c>
      <c r="H90" s="460">
        <f>G90+'20'!H90</f>
        <v>7.4000000000000909</v>
      </c>
      <c r="I90" s="652"/>
      <c r="J90" s="707">
        <f>H90/DAY(B2)</f>
        <v>0.35238095238095674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47">
        <f>'20'!F91</f>
        <v>28160.45</v>
      </c>
      <c r="F91" s="647">
        <v>28171.439999999999</v>
      </c>
      <c r="G91" s="705">
        <f t="shared" si="9"/>
        <v>10.989999999997963</v>
      </c>
      <c r="H91" s="460">
        <f>G91+'20'!H91</f>
        <v>11.759999999998399</v>
      </c>
      <c r="I91" s="652"/>
      <c r="J91" s="707">
        <f>H91/DAY(B2)</f>
        <v>0.55999999999992378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1333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'20'!F93</f>
        <v>246590</v>
      </c>
      <c r="F93" s="484">
        <v>246690</v>
      </c>
      <c r="G93" s="1330">
        <f t="shared" ref="G93:G94" si="10">F93-E93</f>
        <v>100</v>
      </c>
      <c r="H93" s="460">
        <f>G93+'20'!H93</f>
        <v>-662</v>
      </c>
      <c r="I93" s="480"/>
      <c r="J93" s="552">
        <f>H93/DAY(B2)</f>
        <v>-31.523809523809526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'20'!F94</f>
        <v>188219</v>
      </c>
      <c r="F94" s="484">
        <v>188422</v>
      </c>
      <c r="G94" s="1330">
        <f t="shared" si="10"/>
        <v>203</v>
      </c>
      <c r="H94" s="460">
        <f>G94+'20'!H94</f>
        <v>-1032</v>
      </c>
      <c r="I94" s="480"/>
      <c r="J94" s="552">
        <f>H94/DAY(B2)</f>
        <v>-49.142857142857146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>
        <v>0</v>
      </c>
      <c r="F95" s="484">
        <v>0</v>
      </c>
      <c r="G95" s="1330">
        <f>G93+G94</f>
        <v>303</v>
      </c>
      <c r="H95" s="460">
        <f>G95+'20'!H95</f>
        <v>-1880</v>
      </c>
      <c r="I95" s="480"/>
      <c r="J95" s="552">
        <f>H95/DAY(B2)</f>
        <v>-89.523809523809518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'20'!F96</f>
        <v>415362</v>
      </c>
      <c r="F96" s="484">
        <v>415432</v>
      </c>
      <c r="G96" s="1330">
        <f t="shared" ref="G96:G101" si="11">F96-E96</f>
        <v>70</v>
      </c>
      <c r="H96" s="460">
        <f>G96+'20'!H96</f>
        <v>-567</v>
      </c>
      <c r="I96" s="480"/>
      <c r="J96" s="552">
        <f>H96/DAY(B2)</f>
        <v>-27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'20'!F97</f>
        <v>102953</v>
      </c>
      <c r="F97" s="484">
        <v>102976</v>
      </c>
      <c r="G97" s="1330">
        <f t="shared" si="11"/>
        <v>23</v>
      </c>
      <c r="H97" s="460">
        <f>G97+'20'!H97</f>
        <v>-187</v>
      </c>
      <c r="I97" s="480"/>
      <c r="J97" s="552">
        <f>H97/DAY(B2)</f>
        <v>-8.9047619047619051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'20'!F98</f>
        <v>98424</v>
      </c>
      <c r="F98" s="484">
        <v>98449</v>
      </c>
      <c r="G98" s="1330">
        <f t="shared" si="11"/>
        <v>25</v>
      </c>
      <c r="H98" s="460">
        <f>G98+'20'!H98</f>
        <v>-208</v>
      </c>
      <c r="I98" s="480"/>
      <c r="J98" s="552">
        <f>H98/DAY(B2)</f>
        <v>-9.9047619047619051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'20'!F99</f>
        <v>150051</v>
      </c>
      <c r="F99" s="484">
        <v>150062</v>
      </c>
      <c r="G99" s="1330">
        <f t="shared" si="11"/>
        <v>11</v>
      </c>
      <c r="H99" s="460">
        <f>G99+'20'!H99</f>
        <v>-343</v>
      </c>
      <c r="I99" s="480"/>
      <c r="J99" s="552">
        <f>H99/DAY(B2)</f>
        <v>-16.333333333333332</v>
      </c>
      <c r="K99" s="380"/>
      <c r="L99" s="377"/>
      <c r="N99" s="382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'20'!F100</f>
        <v>7596</v>
      </c>
      <c r="F100" s="484">
        <v>7621</v>
      </c>
      <c r="G100" s="1330">
        <f t="shared" si="11"/>
        <v>25</v>
      </c>
      <c r="H100" s="460">
        <f>G100+'20'!H100</f>
        <v>-176</v>
      </c>
      <c r="I100" s="480"/>
      <c r="J100" s="552">
        <f>H100/DAY(B2)</f>
        <v>-8.3809523809523814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'20'!F101</f>
        <v>5574</v>
      </c>
      <c r="F101" s="484">
        <v>5581</v>
      </c>
      <c r="G101" s="1330">
        <f t="shared" si="11"/>
        <v>7</v>
      </c>
      <c r="H101" s="460">
        <f>G101+'20'!H101</f>
        <v>-93</v>
      </c>
      <c r="I101" s="480"/>
      <c r="J101" s="552">
        <f>H101/DAY(B2)</f>
        <v>-4.4285714285714288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1345">
        <f>SUM(G96:G101)</f>
        <v>161</v>
      </c>
      <c r="H102" s="460">
        <f>G102+'20'!H102</f>
        <v>-1574</v>
      </c>
      <c r="I102" s="526"/>
      <c r="J102" s="552">
        <f>H102/DAY(B2)</f>
        <v>-74.952380952380949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6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1347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137"/>
      <c r="D105" s="622" t="s">
        <v>143</v>
      </c>
      <c r="E105" s="532">
        <f>'20'!F105</f>
        <v>7637</v>
      </c>
      <c r="F105" s="532">
        <v>7637</v>
      </c>
      <c r="G105" s="1347">
        <f>F105-E105</f>
        <v>0</v>
      </c>
      <c r="H105" s="460">
        <f>G105+'20'!H105</f>
        <v>69.3799999999992</v>
      </c>
      <c r="I105" s="532"/>
      <c r="J105" s="558">
        <f>H105/DAY(B2)</f>
        <v>3.3038095238094858</v>
      </c>
      <c r="N105" s="444"/>
      <c r="O105" s="382"/>
    </row>
    <row r="106" spans="1:15" s="442" customFormat="1" ht="27.75">
      <c r="A106" s="1551" t="s">
        <v>76</v>
      </c>
      <c r="B106" s="1552"/>
      <c r="C106" s="1137"/>
      <c r="D106" s="622" t="s">
        <v>143</v>
      </c>
      <c r="E106" s="534">
        <f>'20'!F106</f>
        <v>36077</v>
      </c>
      <c r="F106" s="534">
        <v>36089</v>
      </c>
      <c r="G106" s="1347">
        <f t="shared" ref="G106:G107" si="12">F106-E106</f>
        <v>12</v>
      </c>
      <c r="H106" s="460">
        <f>G106+'20'!H106</f>
        <v>89</v>
      </c>
      <c r="I106" s="532"/>
      <c r="J106" s="558">
        <f>H106/DAY(B2)</f>
        <v>4.2380952380952381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'20'!F107</f>
        <v>19779</v>
      </c>
      <c r="F107" s="532">
        <v>19786</v>
      </c>
      <c r="G107" s="1347">
        <f t="shared" si="12"/>
        <v>7</v>
      </c>
      <c r="H107" s="460">
        <f>G107+'20'!H107</f>
        <v>133</v>
      </c>
      <c r="I107" s="532"/>
      <c r="J107" s="558">
        <f>H107/DAY(B2)</f>
        <v>6.333333333333333</v>
      </c>
      <c r="N107" s="444"/>
      <c r="O107" s="382"/>
    </row>
    <row r="108" spans="1:15" s="442" customFormat="1" ht="27.75">
      <c r="A108" s="1553" t="s">
        <v>201</v>
      </c>
      <c r="B108" s="1554"/>
      <c r="C108" s="1137"/>
      <c r="D108" s="622"/>
      <c r="E108" s="532">
        <f>'20'!F108</f>
        <v>0</v>
      </c>
      <c r="F108" s="532"/>
      <c r="G108" s="1347">
        <f>SUM(G105:G107)</f>
        <v>19</v>
      </c>
      <c r="H108" s="460">
        <f>G108+'20'!H108</f>
        <v>208</v>
      </c>
      <c r="I108" s="532"/>
      <c r="J108" s="558">
        <f>H108/DAY(B2)</f>
        <v>9.9047619047619051</v>
      </c>
      <c r="N108" s="444"/>
      <c r="O108" s="382"/>
    </row>
    <row r="109" spans="1:15" s="442" customFormat="1" ht="27.75">
      <c r="A109" s="1557" t="s">
        <v>78</v>
      </c>
      <c r="B109" s="1558"/>
      <c r="C109" s="1137"/>
      <c r="D109" s="622" t="s">
        <v>143</v>
      </c>
      <c r="E109" s="532">
        <f>'20'!F109</f>
        <v>0</v>
      </c>
      <c r="F109" s="532"/>
      <c r="G109" s="1347"/>
      <c r="H109" s="460"/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137"/>
      <c r="D110" s="622" t="s">
        <v>143</v>
      </c>
      <c r="E110" s="532">
        <f>'20'!F110</f>
        <v>64053</v>
      </c>
      <c r="F110" s="532">
        <v>64167</v>
      </c>
      <c r="G110" s="1347">
        <f>F110-E110</f>
        <v>114</v>
      </c>
      <c r="H110" s="460">
        <f>G110+'20'!H110</f>
        <v>466.64000000001397</v>
      </c>
      <c r="I110" s="532"/>
      <c r="J110" s="558">
        <f>H110/DAY(B2)</f>
        <v>22.220952380953047</v>
      </c>
      <c r="N110" s="444"/>
      <c r="O110" s="382"/>
    </row>
    <row r="111" spans="1:15" s="442" customFormat="1" ht="27.75">
      <c r="A111" s="1551" t="s">
        <v>220</v>
      </c>
      <c r="B111" s="1552"/>
      <c r="C111" s="1137"/>
      <c r="D111" s="622" t="s">
        <v>143</v>
      </c>
      <c r="E111" s="532">
        <f>'20'!F111</f>
        <v>32765</v>
      </c>
      <c r="F111" s="532">
        <v>32796</v>
      </c>
      <c r="G111" s="1347">
        <f t="shared" ref="G111:G112" si="13">F111-E111</f>
        <v>31</v>
      </c>
      <c r="H111" s="460">
        <f>G111+'20'!H111</f>
        <v>100.89999999999418</v>
      </c>
      <c r="I111" s="532"/>
      <c r="J111" s="558">
        <f>H111/DAY(B2)</f>
        <v>4.8047619047616275</v>
      </c>
      <c r="N111" s="444"/>
      <c r="O111" s="382"/>
    </row>
    <row r="112" spans="1:15" s="442" customFormat="1" ht="27.75">
      <c r="A112" s="1551" t="s">
        <v>221</v>
      </c>
      <c r="B112" s="1552"/>
      <c r="C112" s="1137"/>
      <c r="D112" s="622" t="s">
        <v>143</v>
      </c>
      <c r="E112" s="532">
        <f>'20'!F112</f>
        <v>4621</v>
      </c>
      <c r="F112" s="532">
        <v>4621</v>
      </c>
      <c r="G112" s="1347">
        <f t="shared" si="13"/>
        <v>0</v>
      </c>
      <c r="H112" s="460">
        <f>G112+'20'!H112</f>
        <v>351</v>
      </c>
      <c r="I112" s="532"/>
      <c r="J112" s="558">
        <f>H112/DAY(B2)</f>
        <v>16.714285714285715</v>
      </c>
      <c r="N112" s="444"/>
      <c r="O112" s="382"/>
    </row>
    <row r="113" spans="1:15" s="442" customFormat="1" ht="27.75">
      <c r="A113" s="1555" t="s">
        <v>109</v>
      </c>
      <c r="B113" s="1556"/>
      <c r="C113" s="1137"/>
      <c r="D113" s="622"/>
      <c r="E113" s="532">
        <f>'20'!F113</f>
        <v>0</v>
      </c>
      <c r="F113" s="532"/>
      <c r="G113" s="1347">
        <f>SUM(G110:G112)</f>
        <v>145</v>
      </c>
      <c r="H113" s="460">
        <f>G113+'20'!H113</f>
        <v>1227</v>
      </c>
      <c r="I113" s="532"/>
      <c r="J113" s="558">
        <f>H113/DAY(B2)</f>
        <v>58.428571428571431</v>
      </c>
      <c r="N113" s="444"/>
      <c r="O113" s="382"/>
    </row>
    <row r="114" spans="1:15" s="442" customFormat="1" ht="27.75">
      <c r="A114" s="1557" t="s">
        <v>222</v>
      </c>
      <c r="B114" s="1558"/>
      <c r="C114" s="1137"/>
      <c r="D114" s="622"/>
      <c r="E114" s="532">
        <f>'20'!F114</f>
        <v>0</v>
      </c>
      <c r="F114" s="532"/>
      <c r="G114" s="134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f>'20'!F115</f>
        <v>11778</v>
      </c>
      <c r="F115" s="534">
        <v>11806</v>
      </c>
      <c r="G115" s="1348">
        <f>F115-E115</f>
        <v>28</v>
      </c>
      <c r="H115" s="460">
        <f>G115+'20'!H115</f>
        <v>88</v>
      </c>
      <c r="I115" s="532"/>
      <c r="J115" s="558">
        <f>H115/DAY(B2)</f>
        <v>4.1904761904761907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f>'20'!F116</f>
        <v>8465</v>
      </c>
      <c r="F116" s="534">
        <v>8477</v>
      </c>
      <c r="G116" s="1348">
        <f t="shared" ref="G116:G117" si="14">F116-E116</f>
        <v>12</v>
      </c>
      <c r="H116" s="460">
        <f>G116+'20'!H116</f>
        <v>129</v>
      </c>
      <c r="I116" s="532"/>
      <c r="J116" s="558">
        <f>H116/DAY(B2)</f>
        <v>6.1428571428571432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1348">
        <f t="shared" si="14"/>
        <v>0</v>
      </c>
      <c r="H117" s="460">
        <f>G117+'20'!H117</f>
        <v>97</v>
      </c>
      <c r="I117" s="532"/>
      <c r="J117" s="558">
        <f>H117/DAY(B2)</f>
        <v>4.6190476190476186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1348">
        <f>SUM(G115:G117)</f>
        <v>40</v>
      </c>
      <c r="H118" s="460">
        <f>G118+'20'!H118</f>
        <v>214</v>
      </c>
      <c r="I118" s="534"/>
      <c r="J118" s="558">
        <f>H118/DAY(B2)</f>
        <v>10.19047619047619</v>
      </c>
      <c r="N118" s="447"/>
      <c r="O118" s="382"/>
    </row>
    <row r="119" spans="1:15" s="446" customFormat="1" ht="27.75">
      <c r="A119" s="1547" t="s">
        <v>226</v>
      </c>
      <c r="B119" s="1548"/>
      <c r="C119" s="1136"/>
      <c r="D119" s="624" t="s">
        <v>143</v>
      </c>
      <c r="E119" s="536"/>
      <c r="F119" s="536">
        <f>SUM(G19+G93)</f>
        <v>161</v>
      </c>
      <c r="G119" s="1348">
        <f>SUM(G19+G93)</f>
        <v>161</v>
      </c>
      <c r="H119" s="460">
        <f>G119+'20'!H119</f>
        <v>664</v>
      </c>
      <c r="I119" s="535"/>
      <c r="J119" s="559">
        <f>H119/DAY(B2)</f>
        <v>31.61904761904762</v>
      </c>
      <c r="N119" s="778"/>
      <c r="O119" s="382"/>
    </row>
    <row r="120" spans="1:15" s="446" customFormat="1" ht="27.75">
      <c r="A120" s="1547" t="s">
        <v>227</v>
      </c>
      <c r="B120" s="1548"/>
      <c r="C120" s="1136"/>
      <c r="D120" s="624" t="s">
        <v>143</v>
      </c>
      <c r="E120" s="536"/>
      <c r="F120" s="536">
        <f>SUM(G96,G97,G98,G100,G101)</f>
        <v>150</v>
      </c>
      <c r="G120" s="1348">
        <f>SUM(G96,G97,G98,G100,G101)</f>
        <v>150</v>
      </c>
      <c r="H120" s="460">
        <f>G120+'20'!H120</f>
        <v>691</v>
      </c>
      <c r="I120" s="535"/>
      <c r="J120" s="559">
        <f>H120/DAY(B2)</f>
        <v>32.904761904761905</v>
      </c>
      <c r="N120" s="778"/>
      <c r="O120" s="382"/>
    </row>
    <row r="121" spans="1:15" s="446" customFormat="1" ht="27.75">
      <c r="A121" s="1547" t="s">
        <v>228</v>
      </c>
      <c r="B121" s="1548"/>
      <c r="C121" s="1136"/>
      <c r="D121" s="624" t="s">
        <v>143</v>
      </c>
      <c r="E121" s="534"/>
      <c r="F121" s="534">
        <f>SUM(G113)</f>
        <v>145</v>
      </c>
      <c r="G121" s="1348">
        <f>SUM(G113)</f>
        <v>145</v>
      </c>
      <c r="H121" s="460">
        <f>G121+'20'!H121</f>
        <v>416</v>
      </c>
      <c r="I121" s="535"/>
      <c r="J121" s="559">
        <f>H121/DAY(B2)</f>
        <v>19.80952380952381</v>
      </c>
      <c r="N121" s="778"/>
      <c r="O121" s="382"/>
    </row>
    <row r="122" spans="1:15" s="442" customFormat="1" ht="27.75">
      <c r="A122" s="1549"/>
      <c r="B122" s="1550"/>
      <c r="C122" s="1137"/>
      <c r="D122" s="560"/>
      <c r="E122" s="560"/>
      <c r="F122" s="560" t="s">
        <v>214</v>
      </c>
      <c r="G122" s="1349"/>
      <c r="H122" s="561">
        <v>0</v>
      </c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1333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78">
        <f>'20'!F124</f>
        <v>836889.21</v>
      </c>
      <c r="F124" s="478">
        <v>837160</v>
      </c>
      <c r="G124" s="1330">
        <f t="shared" ref="G124:G128" si="15">F124-E124</f>
        <v>270.79000000003725</v>
      </c>
      <c r="H124" s="460">
        <f>G124+'20'!H124</f>
        <v>-2510</v>
      </c>
      <c r="I124" s="526"/>
      <c r="J124" s="552">
        <f>H124/DAY(B2)</f>
        <v>-119.52380952380952</v>
      </c>
      <c r="K124" s="380"/>
      <c r="L124" s="377"/>
      <c r="N124" s="382"/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626">
        <f>'20'!F125</f>
        <v>73583.399999999994</v>
      </c>
      <c r="F125" s="626">
        <v>73583.399999999994</v>
      </c>
      <c r="G125" s="1330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78">
        <f>'20'!F126</f>
        <v>147815.85</v>
      </c>
      <c r="F126" s="478">
        <v>147886.95000000001</v>
      </c>
      <c r="G126" s="1330">
        <f t="shared" si="15"/>
        <v>71.100000000005821</v>
      </c>
      <c r="H126" s="460">
        <f>G126+'20'!H126</f>
        <v>-710.04999999998836</v>
      </c>
      <c r="I126" s="526"/>
      <c r="J126" s="552">
        <f>H126/DAY(B2)</f>
        <v>-33.811904761904209</v>
      </c>
      <c r="K126" s="380"/>
      <c r="L126" s="377"/>
      <c r="N126" s="382"/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626">
        <f>'20'!F127</f>
        <v>31718.400000000001</v>
      </c>
      <c r="F127" s="626">
        <v>31757</v>
      </c>
      <c r="G127" s="1330">
        <f t="shared" si="15"/>
        <v>38.599999999998545</v>
      </c>
      <c r="H127" s="460">
        <f>G127+'20'!H127</f>
        <v>-314</v>
      </c>
      <c r="I127" s="526"/>
      <c r="J127" s="552">
        <f>H127/DAY(B2)</f>
        <v>-14.952380952380953</v>
      </c>
      <c r="K127" s="380"/>
      <c r="L127" s="377"/>
      <c r="N127" s="382"/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626">
        <f>'20'!F128</f>
        <v>8982.5</v>
      </c>
      <c r="F128" s="626">
        <v>8983.1</v>
      </c>
      <c r="G128" s="1330">
        <f t="shared" si="15"/>
        <v>0.6000000000003638</v>
      </c>
      <c r="H128" s="460">
        <f>G128+'20'!H128</f>
        <v>-28.899999999999636</v>
      </c>
      <c r="I128" s="480"/>
      <c r="J128" s="552">
        <f>H128/DAY(B2)</f>
        <v>-1.3761904761904589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1330">
        <f>G15-SUM(G124:G128)</f>
        <v>318.90999999995802</v>
      </c>
      <c r="H129" s="460">
        <f>G129+'20'!H129</f>
        <v>1807.949999999988</v>
      </c>
      <c r="I129" s="480"/>
      <c r="J129" s="552">
        <f>H129/DAY(B2)</f>
        <v>86.092857142856573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0"/>
      <c r="H130" s="540"/>
      <c r="I130" s="540"/>
      <c r="J130" s="564"/>
      <c r="N130" s="382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84">
        <f>'20'!F131</f>
        <v>0</v>
      </c>
      <c r="F131" s="484">
        <v>0</v>
      </c>
      <c r="G131" s="1330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84">
        <f>'20'!F132</f>
        <v>0</v>
      </c>
      <c r="F132" s="484">
        <v>0</v>
      </c>
      <c r="G132" s="1330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541">
        <f>'20'!F133</f>
        <v>40311.07</v>
      </c>
      <c r="F133" s="541">
        <v>40335.1</v>
      </c>
      <c r="G133" s="1330">
        <f t="shared" si="16"/>
        <v>24.029999999998836</v>
      </c>
      <c r="H133" s="460">
        <f>G133+'20'!H133</f>
        <v>-117.90000000000146</v>
      </c>
      <c r="I133" s="480"/>
      <c r="J133" s="552">
        <f>H133/DAY(B2)</f>
        <v>-5.6142857142857832</v>
      </c>
      <c r="N133" s="382"/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541">
        <f>'20'!F134</f>
        <v>300</v>
      </c>
      <c r="F134" s="541">
        <v>300</v>
      </c>
      <c r="G134" s="1351">
        <f t="shared" si="16"/>
        <v>0</v>
      </c>
      <c r="H134" s="705">
        <f>G134+'20'!H134</f>
        <v>0</v>
      </c>
      <c r="I134" s="1071">
        <f>G131+G132+G133+G134</f>
        <v>24.029999999998836</v>
      </c>
      <c r="J134" s="707">
        <f>H134/DAY(B2)</f>
        <v>0</v>
      </c>
      <c r="N134" s="713"/>
      <c r="O134" s="713"/>
    </row>
    <row r="135" spans="1:15" ht="27.75">
      <c r="A135" s="1139" t="s">
        <v>242</v>
      </c>
      <c r="B135" s="1140"/>
      <c r="C135" s="1140"/>
      <c r="D135" s="523" t="s">
        <v>238</v>
      </c>
      <c r="E135" s="541">
        <f>'20'!F135</f>
        <v>41818.04</v>
      </c>
      <c r="F135" s="541">
        <v>41826.050000000003</v>
      </c>
      <c r="G135" s="1330">
        <f t="shared" si="16"/>
        <v>8.0100000000020373</v>
      </c>
      <c r="H135" s="460">
        <f>G135+'20'!H135</f>
        <v>-145.94999999999709</v>
      </c>
      <c r="I135" s="480"/>
      <c r="J135" s="552">
        <f>H135/DAY(B2)</f>
        <v>-6.9499999999998616</v>
      </c>
      <c r="N135" s="382"/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541">
        <f>'20'!F136</f>
        <v>32874.050000000003</v>
      </c>
      <c r="F136" s="541">
        <v>32874.050000000003</v>
      </c>
      <c r="G136" s="1330">
        <f t="shared" si="16"/>
        <v>0</v>
      </c>
      <c r="H136" s="460">
        <f>G136+'20'!H136</f>
        <v>5.0000000002910383E-2</v>
      </c>
      <c r="I136" s="480"/>
      <c r="J136" s="552">
        <f>H136/DAY(B2)</f>
        <v>2.3809523810909708E-3</v>
      </c>
      <c r="N136" s="382"/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541">
        <f>'20'!F137</f>
        <v>22859.1</v>
      </c>
      <c r="F137" s="541">
        <v>22859.1</v>
      </c>
      <c r="G137" s="1330">
        <f t="shared" si="16"/>
        <v>0</v>
      </c>
      <c r="H137" s="460">
        <f>G137+'20'!H137</f>
        <v>-32.390000000003056</v>
      </c>
      <c r="I137" s="480">
        <f>G135+G136+G137</f>
        <v>8.0100000000020373</v>
      </c>
      <c r="J137" s="552">
        <f>H137/DAY(B2)</f>
        <v>-1.5423809523810978</v>
      </c>
      <c r="N137" s="382"/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541">
        <f>'20'!F138</f>
        <v>25071.15</v>
      </c>
      <c r="F138" s="541">
        <v>25081.89</v>
      </c>
      <c r="G138" s="1330">
        <f t="shared" si="16"/>
        <v>10.739999999997963</v>
      </c>
      <c r="H138" s="460">
        <f>G138+'20'!H138</f>
        <v>-9.5</v>
      </c>
      <c r="I138" s="480"/>
      <c r="J138" s="552">
        <f>H138/DAY(B2)</f>
        <v>-0.45238095238095238</v>
      </c>
      <c r="N138" s="382"/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541">
        <f>'20'!F139</f>
        <v>70487.08</v>
      </c>
      <c r="F139" s="541">
        <v>70487.08</v>
      </c>
      <c r="G139" s="1330">
        <f t="shared" si="16"/>
        <v>0</v>
      </c>
      <c r="H139" s="460">
        <f>G139+'20'!H139</f>
        <v>-26.539999999993597</v>
      </c>
      <c r="I139" s="480">
        <f>G138+G139</f>
        <v>10.739999999997963</v>
      </c>
      <c r="J139" s="552">
        <f>H139/DAY(B2)</f>
        <v>-1.2638095238092188</v>
      </c>
      <c r="N139" s="382"/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84">
        <f>'20'!F140</f>
        <v>2026.02</v>
      </c>
      <c r="F140" s="484">
        <v>2036.18</v>
      </c>
      <c r="G140" s="1330">
        <f t="shared" si="16"/>
        <v>10.160000000000082</v>
      </c>
      <c r="H140" s="460">
        <f>G140+'20'!H140</f>
        <v>-92.999999999999773</v>
      </c>
      <c r="I140" s="542"/>
      <c r="J140" s="552">
        <f>H140/DAY(B2)</f>
        <v>-4.4285714285714182</v>
      </c>
      <c r="N140" s="382"/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84">
        <f>'20'!F141</f>
        <v>4636.88</v>
      </c>
      <c r="F141" s="484">
        <v>4636.88</v>
      </c>
      <c r="G141" s="1330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>
      <c r="A142" s="1562" t="s">
        <v>249</v>
      </c>
      <c r="B142" s="1563"/>
      <c r="C142" s="1145"/>
      <c r="D142" s="472"/>
      <c r="E142" s="472"/>
      <c r="F142" s="472"/>
      <c r="G142" s="133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1343">
        <f>G35+G43+G49+G57</f>
        <v>5622.1999999999534</v>
      </c>
      <c r="H143" s="460">
        <f>G143+'20'!H143</f>
        <v>-52290.430000000051</v>
      </c>
      <c r="I143" s="480"/>
      <c r="J143" s="552">
        <f>H143/DAY(B2)</f>
        <v>-2490.0204761904788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1352">
        <f>G143/G7</f>
        <v>0.2614976744186025</v>
      </c>
      <c r="H144" s="460">
        <f>G144+'20'!H144</f>
        <v>-2.4277975051270801</v>
      </c>
      <c r="I144" s="544"/>
      <c r="J144" s="552">
        <f>H144/DAY(B2)</f>
        <v>-0.11560940500605144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1343">
        <f>G41+G42+G55+G56</f>
        <v>6708.1100000000006</v>
      </c>
      <c r="H145" s="460">
        <f>G145+'20'!H145</f>
        <v>-54186.709999999992</v>
      </c>
      <c r="I145" s="480"/>
      <c r="J145" s="552">
        <f>H145/DAY(B2)</f>
        <v>-2580.3195238095236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1352">
        <f>G145/G7</f>
        <v>0.31200511627906979</v>
      </c>
      <c r="H146" s="460">
        <f>G146+'20'!H146</f>
        <v>-2.5210197142366573</v>
      </c>
      <c r="I146" s="544"/>
      <c r="J146" s="552">
        <f>H146/DAY(B2)</f>
        <v>-0.1200485578207932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1343">
        <f>G39+G53</f>
        <v>3562.5200000000186</v>
      </c>
      <c r="H147" s="460">
        <f>G147+'20'!H147</f>
        <v>-32394.419999999984</v>
      </c>
      <c r="I147" s="545"/>
      <c r="J147" s="552">
        <f>H147/DAY(B2)</f>
        <v>-1542.5914285714277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1352">
        <f>G147/G7</f>
        <v>0.16569860465116365</v>
      </c>
      <c r="H148" s="460">
        <f>G148+'20'!H148</f>
        <v>-1.5035322243675857</v>
      </c>
      <c r="I148" s="545"/>
      <c r="J148" s="552">
        <f>H148/DAY(B2)</f>
        <v>-7.1596772588932656E-2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1343">
        <f>G38+G52</f>
        <v>1628.320000000007</v>
      </c>
      <c r="H149" s="460">
        <f>G149+'20'!H149</f>
        <v>-14121.180000000051</v>
      </c>
      <c r="I149" s="480"/>
      <c r="J149" s="552">
        <f>H149/DAY(B2)</f>
        <v>-672.43714285714532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1352">
        <f>G149/G7</f>
        <v>7.5735813953488704E-2</v>
      </c>
      <c r="H150" s="460">
        <f>G150+'20'!H150</f>
        <v>-0.65658878595177639</v>
      </c>
      <c r="I150" s="545"/>
      <c r="J150" s="552">
        <f>H150/DAY(B2)</f>
        <v>-3.1266132664370304E-2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1343">
        <f>G36+G50</f>
        <v>2232.4799999999523</v>
      </c>
      <c r="H151" s="460">
        <f>G151+'20'!H151</f>
        <v>-16569.02000000004</v>
      </c>
      <c r="I151" s="545"/>
      <c r="J151" s="552">
        <f>H151/DAY(B2)</f>
        <v>-789.00095238095435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1352">
        <f>G151/G7</f>
        <v>0.10383627906976522</v>
      </c>
      <c r="H152" s="460">
        <f>G152+'20'!H152</f>
        <v>-0.77119067803947494</v>
      </c>
      <c r="I152" s="480"/>
      <c r="J152" s="552">
        <f>H152/DAY(B2)</f>
        <v>-3.672336562092738E-2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1343">
        <f>G37+G51</f>
        <v>1488.1700000000128</v>
      </c>
      <c r="H153" s="460">
        <f>G153+'20'!H153</f>
        <v>-13193.910000000003</v>
      </c>
      <c r="I153" s="480"/>
      <c r="J153" s="552">
        <f>H153/DAY(B2)</f>
        <v>-628.28142857142871</v>
      </c>
      <c r="N153" s="382"/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1353">
        <f>G153/G7</f>
        <v>6.921720930232618E-2</v>
      </c>
      <c r="H154" s="460">
        <f>G154+'20'!H154</f>
        <v>-0.61227100286188607</v>
      </c>
      <c r="I154" s="568"/>
      <c r="J154" s="569">
        <f>H154/DAY(B2)</f>
        <v>-2.9155762041042192E-2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4"/>
      <c r="H155" s="547"/>
      <c r="I155" s="546"/>
      <c r="J155" s="548"/>
      <c r="O155" s="382"/>
    </row>
    <row r="161" spans="1:12">
      <c r="A161" s="784" t="s">
        <v>262</v>
      </c>
      <c r="B161" s="785"/>
      <c r="C161" s="785"/>
      <c r="D161" s="511" t="s">
        <v>186</v>
      </c>
      <c r="E161" s="658">
        <f>'20'!F161</f>
        <v>40041.760000000002</v>
      </c>
      <c r="F161" s="658">
        <v>40121.879999999997</v>
      </c>
      <c r="G161" s="1330">
        <f t="shared" ref="G161:G164" si="17">F161-E161</f>
        <v>80.119999999995343</v>
      </c>
      <c r="K161" s="376">
        <v>68.829999999999927</v>
      </c>
      <c r="L161" s="376">
        <f t="shared" ref="L161:L172" si="18">G161-K161</f>
        <v>11.289999999995416</v>
      </c>
    </row>
    <row r="162" spans="1:12">
      <c r="A162" s="784" t="s">
        <v>263</v>
      </c>
      <c r="B162" s="785"/>
      <c r="C162" s="785"/>
      <c r="D162" s="511" t="s">
        <v>186</v>
      </c>
      <c r="E162" s="658">
        <f>'20'!F162</f>
        <v>103252.73</v>
      </c>
      <c r="F162" s="658">
        <v>103701.59</v>
      </c>
      <c r="G162" s="1330">
        <f t="shared" si="17"/>
        <v>448.86000000000058</v>
      </c>
      <c r="K162" s="376">
        <v>122.46000000000004</v>
      </c>
      <c r="L162" s="376">
        <f t="shared" si="18"/>
        <v>326.40000000000055</v>
      </c>
    </row>
    <row r="163" spans="1:12">
      <c r="A163" s="784" t="s">
        <v>264</v>
      </c>
      <c r="B163" s="785"/>
      <c r="C163" s="785"/>
      <c r="D163" s="511" t="s">
        <v>186</v>
      </c>
      <c r="E163" s="658">
        <f>'20'!F163</f>
        <v>49146.86</v>
      </c>
      <c r="F163" s="658">
        <v>49379.37</v>
      </c>
      <c r="G163" s="1330">
        <f t="shared" si="17"/>
        <v>232.51000000000204</v>
      </c>
      <c r="K163" s="376">
        <v>139.42000000000007</v>
      </c>
      <c r="L163" s="376">
        <f t="shared" si="18"/>
        <v>93.090000000001965</v>
      </c>
    </row>
    <row r="164" spans="1:12">
      <c r="A164" s="784" t="s">
        <v>265</v>
      </c>
      <c r="B164" s="785"/>
      <c r="C164" s="785"/>
      <c r="D164" s="511" t="s">
        <v>186</v>
      </c>
      <c r="E164" s="658">
        <f>'20'!F164</f>
        <v>6746.63</v>
      </c>
      <c r="F164" s="658">
        <v>6758.52</v>
      </c>
      <c r="G164" s="1330">
        <f t="shared" si="17"/>
        <v>11.890000000000327</v>
      </c>
      <c r="K164" s="376">
        <v>49.659999999999968</v>
      </c>
      <c r="L164" s="376">
        <f t="shared" si="18"/>
        <v>-37.769999999999641</v>
      </c>
    </row>
    <row r="165" spans="1:12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0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6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1330">
        <f t="shared" si="19"/>
        <v>0</v>
      </c>
      <c r="K166" s="376">
        <v>0</v>
      </c>
      <c r="L166" s="376">
        <f t="shared" si="18"/>
        <v>0</v>
      </c>
    </row>
    <row r="167" spans="1:12" ht="27.75">
      <c r="A167" s="1546" t="s">
        <v>98</v>
      </c>
      <c r="B167" s="1546"/>
      <c r="C167" s="1546"/>
      <c r="D167" s="523" t="s">
        <v>186</v>
      </c>
      <c r="E167" s="514">
        <f t="shared" si="20"/>
        <v>166237.26999999999</v>
      </c>
      <c r="F167" s="514">
        <f t="shared" si="21"/>
        <v>166627.75</v>
      </c>
      <c r="G167" s="1330">
        <f t="shared" si="19"/>
        <v>390.48000000001048</v>
      </c>
      <c r="K167" s="376">
        <v>201.76000000000204</v>
      </c>
      <c r="L167" s="376">
        <f t="shared" si="18"/>
        <v>188.72000000000844</v>
      </c>
    </row>
    <row r="168" spans="1:12" ht="27.75">
      <c r="A168" s="1546" t="s">
        <v>99</v>
      </c>
      <c r="B168" s="1546"/>
      <c r="C168" s="1546"/>
      <c r="D168" s="523" t="s">
        <v>186</v>
      </c>
      <c r="E168" s="514">
        <f t="shared" si="20"/>
        <v>166667.84</v>
      </c>
      <c r="F168" s="514">
        <f t="shared" si="21"/>
        <v>166980.74</v>
      </c>
      <c r="G168" s="1330">
        <f t="shared" si="19"/>
        <v>312.89999999999418</v>
      </c>
      <c r="K168" s="376">
        <v>191.63000000000466</v>
      </c>
      <c r="L168" s="376">
        <f t="shared" si="18"/>
        <v>121.26999999998952</v>
      </c>
    </row>
    <row r="169" spans="1:12" ht="27.75">
      <c r="A169" s="1546" t="s">
        <v>100</v>
      </c>
      <c r="B169" s="1546"/>
      <c r="C169" s="1546"/>
      <c r="D169" s="523" t="s">
        <v>186</v>
      </c>
      <c r="E169" s="514">
        <f t="shared" si="20"/>
        <v>63824.5</v>
      </c>
      <c r="F169" s="514">
        <f t="shared" si="21"/>
        <v>64226.15</v>
      </c>
      <c r="G169" s="1330">
        <f t="shared" si="19"/>
        <v>401.65000000000146</v>
      </c>
      <c r="K169" s="376">
        <v>231.68000000000029</v>
      </c>
      <c r="L169" s="376">
        <f t="shared" si="18"/>
        <v>169.97000000000116</v>
      </c>
    </row>
    <row r="170" spans="1:12" ht="27.75">
      <c r="A170" s="1546" t="s">
        <v>101</v>
      </c>
      <c r="B170" s="1546"/>
      <c r="C170" s="1546"/>
      <c r="D170" s="523" t="s">
        <v>186</v>
      </c>
      <c r="E170" s="514">
        <f t="shared" si="20"/>
        <v>260486.91</v>
      </c>
      <c r="F170" s="514">
        <f t="shared" si="21"/>
        <v>260958</v>
      </c>
      <c r="G170" s="1330">
        <f t="shared" si="19"/>
        <v>471.08999999999651</v>
      </c>
      <c r="K170" s="376">
        <v>344.30000000000291</v>
      </c>
      <c r="L170" s="376">
        <f t="shared" si="18"/>
        <v>126.7899999999936</v>
      </c>
    </row>
    <row r="171" spans="1:12" ht="27.75">
      <c r="A171" s="1546" t="s">
        <v>102</v>
      </c>
      <c r="B171" s="1546"/>
      <c r="C171" s="1546"/>
      <c r="D171" s="523" t="s">
        <v>186</v>
      </c>
      <c r="E171" s="514">
        <f t="shared" si="20"/>
        <v>85321</v>
      </c>
      <c r="F171" s="514">
        <f t="shared" si="21"/>
        <v>85321</v>
      </c>
      <c r="G171" s="1330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46" t="s">
        <v>103</v>
      </c>
      <c r="B172" s="1546"/>
      <c r="C172" s="1546"/>
      <c r="D172" s="523" t="s">
        <v>186</v>
      </c>
      <c r="E172" s="514">
        <f t="shared" si="20"/>
        <v>85116.51</v>
      </c>
      <c r="F172" s="514">
        <f t="shared" si="21"/>
        <v>85351.83</v>
      </c>
      <c r="G172" s="1330">
        <f t="shared" si="19"/>
        <v>235.32000000000698</v>
      </c>
      <c r="K172" s="376">
        <v>57.709999999999127</v>
      </c>
      <c r="L172" s="376">
        <f t="shared" si="18"/>
        <v>177.61000000000786</v>
      </c>
    </row>
    <row r="173" spans="1:12">
      <c r="G173" s="1355">
        <f>SUM(G161:G172)</f>
        <v>2584.8200000000079</v>
      </c>
    </row>
    <row r="174" spans="1:12" ht="27.75">
      <c r="A174" s="1546" t="s">
        <v>345</v>
      </c>
      <c r="B174" s="1546"/>
      <c r="C174" s="1546"/>
      <c r="D174" s="523" t="s">
        <v>186</v>
      </c>
      <c r="E174" s="658">
        <f>'20'!F174</f>
        <v>28160.45</v>
      </c>
      <c r="F174" s="514">
        <v>28171.439999999999</v>
      </c>
      <c r="G174" s="1330">
        <f t="shared" ref="G174:G176" si="22">F174-E174</f>
        <v>10.989999999997963</v>
      </c>
    </row>
    <row r="175" spans="1:12">
      <c r="A175" s="1587" t="s">
        <v>352</v>
      </c>
      <c r="B175" s="1550"/>
      <c r="C175" s="785"/>
      <c r="D175" s="523" t="s">
        <v>186</v>
      </c>
      <c r="E175" s="658">
        <f>'20'!F175</f>
        <v>18956</v>
      </c>
      <c r="F175" s="1494">
        <v>18960.7</v>
      </c>
      <c r="G175" s="1330">
        <f t="shared" si="22"/>
        <v>4.7000000000007276</v>
      </c>
    </row>
    <row r="176" spans="1:12">
      <c r="A176" s="1587" t="s">
        <v>353</v>
      </c>
      <c r="B176" s="1550"/>
      <c r="C176" s="785"/>
      <c r="D176" s="523" t="s">
        <v>186</v>
      </c>
      <c r="E176" s="658">
        <f>'20'!F176</f>
        <v>27586.400000000001</v>
      </c>
      <c r="F176" s="1494">
        <v>27591.3</v>
      </c>
      <c r="G176" s="1330">
        <f t="shared" si="22"/>
        <v>4.8999999999978172</v>
      </c>
    </row>
    <row r="177" spans="6:6" ht="18.75" customHeight="1"/>
    <row r="178" spans="6:6" ht="21" customHeight="1">
      <c r="F178" s="537" t="s">
        <v>275</v>
      </c>
    </row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</sheetData>
  <mergeCells count="77"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1" zoomScale="55" zoomScaleNormal="71" zoomScaleSheetLayoutView="55" workbookViewId="0">
      <selection activeCell="F15" sqref="F1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5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367</v>
      </c>
      <c r="B2" s="1031">
        <v>44369</v>
      </c>
      <c r="C2" s="1362" t="s">
        <v>68</v>
      </c>
      <c r="D2" s="611">
        <v>0.72</v>
      </c>
      <c r="E2" s="461"/>
      <c r="F2" s="461"/>
      <c r="G2" s="1326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62" t="s">
        <v>119</v>
      </c>
      <c r="D3" s="612">
        <v>27</v>
      </c>
      <c r="E3" s="1573" t="s">
        <v>120</v>
      </c>
      <c r="F3" s="1574"/>
      <c r="G3" s="132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62" t="s">
        <v>121</v>
      </c>
      <c r="D4" s="611">
        <v>0.84</v>
      </c>
      <c r="E4" s="464"/>
      <c r="F4" s="464"/>
      <c r="G4" s="1327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1329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'21'!F7</f>
        <v>373295.56</v>
      </c>
      <c r="F7" s="455">
        <f>E7+21500</f>
        <v>394795.56</v>
      </c>
      <c r="G7" s="1330">
        <f>F7-E7</f>
        <v>21500</v>
      </c>
      <c r="H7" s="460">
        <f>G7+'21'!H7</f>
        <v>472842.56000000006</v>
      </c>
      <c r="I7" s="474">
        <f>'1'!I7</f>
        <v>12000</v>
      </c>
      <c r="J7" s="552">
        <f>H7/DAY(B2)</f>
        <v>21492.843636363639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'21'!F8</f>
        <v>378953.79</v>
      </c>
      <c r="F8" s="475">
        <f>E8+21500</f>
        <v>400453.79</v>
      </c>
      <c r="G8" s="1331">
        <f>F8-E8</f>
        <v>21500</v>
      </c>
      <c r="H8" s="460">
        <f>G8+'21'!H8</f>
        <v>473731.79</v>
      </c>
      <c r="I8" s="477">
        <f>'1'!I8</f>
        <v>12000</v>
      </c>
      <c r="J8" s="552">
        <f>H8/DAY(B2)</f>
        <v>21533.26318181818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'21'!F9</f>
        <v>1853193.5</v>
      </c>
      <c r="F9" s="478">
        <v>1873128.53</v>
      </c>
      <c r="G9" s="1330">
        <f t="shared" ref="G9:G12" si="0">F9-E9</f>
        <v>19935.030000000028</v>
      </c>
      <c r="H9" s="460">
        <f>G9+'21'!H9</f>
        <v>-157873.46999999997</v>
      </c>
      <c r="I9" s="479">
        <f>I8-J8</f>
        <v>-9533.2631818181799</v>
      </c>
      <c r="J9" s="552">
        <f>H9/DAY(B2)</f>
        <v>-7176.0668181818173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'21'!F10</f>
        <v>0</v>
      </c>
      <c r="F10" s="478"/>
      <c r="G10" s="1330">
        <f t="shared" si="0"/>
        <v>0</v>
      </c>
      <c r="H10" s="460">
        <f>G10+'21'!H10</f>
        <v>0.29999999999972715</v>
      </c>
      <c r="I10" s="480"/>
      <c r="J10" s="552">
        <f>H10/DAY(B2)</f>
        <v>1.3636363636351234E-2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'21'!F11</f>
        <v>37000</v>
      </c>
      <c r="F11" s="455">
        <v>37000</v>
      </c>
      <c r="G11" s="1330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'21'!F12</f>
        <v>40010</v>
      </c>
      <c r="F12" s="478">
        <v>40010</v>
      </c>
      <c r="G12" s="1330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2">
        <f>G9+G10+G11+G12</f>
        <v>19935.030000000028</v>
      </c>
      <c r="H13" s="460">
        <f>G13+'21'!H13</f>
        <v>-174398.16999999998</v>
      </c>
      <c r="I13" s="482">
        <f>G7-G13</f>
        <v>1564.9699999999721</v>
      </c>
      <c r="J13" s="552">
        <f>H13/DAY(B2)</f>
        <v>-7927.1895454545447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1333"/>
      <c r="H14" s="472"/>
      <c r="I14" s="472"/>
      <c r="J14" s="551"/>
      <c r="K14" s="429"/>
      <c r="L14" s="377"/>
      <c r="N14" s="382"/>
      <c r="O14" s="382"/>
    </row>
    <row r="15" spans="1:15">
      <c r="A15" s="1360" t="s">
        <v>139</v>
      </c>
      <c r="B15" s="589"/>
      <c r="C15" s="589"/>
      <c r="D15" s="523" t="s">
        <v>140</v>
      </c>
      <c r="E15" s="484">
        <f>'21'!F15</f>
        <v>1718967.16</v>
      </c>
      <c r="F15" s="700">
        <f>E15+700</f>
        <v>1719667.16</v>
      </c>
      <c r="G15" s="1334">
        <f>(F15-E15)</f>
        <v>700</v>
      </c>
      <c r="H15" s="460">
        <f>G15+'21'!H15</f>
        <v>15984.159999999916</v>
      </c>
      <c r="I15" s="474">
        <v>800</v>
      </c>
      <c r="J15" s="552">
        <f>H15/DAY(B2)</f>
        <v>726.55272727272347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0"/>
      <c r="H16" s="486"/>
      <c r="I16" s="487">
        <f>I15-J15</f>
        <v>73.447272727276527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1333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'21'!F18</f>
        <v>14</v>
      </c>
      <c r="F18" s="484">
        <v>9</v>
      </c>
      <c r="G18" s="1332">
        <f>F18*10</f>
        <v>90</v>
      </c>
      <c r="H18" s="460">
        <f>G18+'21'!H18</f>
        <v>2210</v>
      </c>
      <c r="I18" s="474">
        <f>'1'!I18</f>
        <v>65</v>
      </c>
      <c r="J18" s="552">
        <f>H18/DAY(B2)</f>
        <v>100.45454545454545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'21'!F19</f>
        <v>140931</v>
      </c>
      <c r="F19" s="484">
        <v>140993</v>
      </c>
      <c r="G19" s="1330">
        <f t="shared" ref="G19" si="1">F19-E19</f>
        <v>62</v>
      </c>
      <c r="H19" s="460">
        <f>G19+'21'!H19</f>
        <v>-502</v>
      </c>
      <c r="I19" s="489"/>
      <c r="J19" s="552">
        <f>H19/DAY(B2)</f>
        <v>-22.818181818181817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5">
        <f>G18+G19</f>
        <v>152</v>
      </c>
      <c r="H20" s="460">
        <f>G20+'21'!H20</f>
        <v>1708</v>
      </c>
      <c r="I20" s="492">
        <f>I18-J20</f>
        <v>-12.63636363636364</v>
      </c>
      <c r="J20" s="552">
        <f>H20/DAY(B2)</f>
        <v>77.63636363636364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1333"/>
      <c r="H21" s="472"/>
      <c r="I21" s="472"/>
      <c r="J21" s="551"/>
      <c r="K21" s="428"/>
      <c r="L21" s="377"/>
      <c r="N21" s="382"/>
      <c r="O21" s="382"/>
    </row>
    <row r="22" spans="1:15">
      <c r="A22" s="1360" t="s">
        <v>146</v>
      </c>
      <c r="B22" s="589"/>
      <c r="C22" s="589"/>
      <c r="D22" s="523" t="s">
        <v>147</v>
      </c>
      <c r="E22" s="484">
        <f>'21'!F22</f>
        <v>2970</v>
      </c>
      <c r="F22" s="484">
        <v>2970</v>
      </c>
      <c r="G22" s="1332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0" t="s">
        <v>148</v>
      </c>
      <c r="B23" s="589"/>
      <c r="C23" s="589"/>
      <c r="D23" s="523" t="s">
        <v>147</v>
      </c>
      <c r="E23" s="484">
        <f>'21'!F23</f>
        <v>2000</v>
      </c>
      <c r="F23" s="484">
        <v>2000</v>
      </c>
      <c r="G23" s="1332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'21'!F24</f>
        <v>4970</v>
      </c>
      <c r="F24" s="493">
        <v>4970</v>
      </c>
      <c r="G24" s="1332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133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21500</v>
      </c>
      <c r="F27" s="501">
        <v>9</v>
      </c>
      <c r="G27" s="1338">
        <f>E27*F27</f>
        <v>193500</v>
      </c>
      <c r="H27" s="460">
        <f>G27+'21'!H27</f>
        <v>4263586.1099999994</v>
      </c>
      <c r="I27" s="503"/>
      <c r="J27" s="552">
        <f>H27/DAY(B2)</f>
        <v>193799.36863636362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700</v>
      </c>
      <c r="F28" s="501">
        <v>52</v>
      </c>
      <c r="G28" s="1338">
        <f>E28*F28</f>
        <v>36400</v>
      </c>
      <c r="H28" s="460">
        <f>G28+'21'!H28</f>
        <v>831176.31999999564</v>
      </c>
      <c r="I28" s="505"/>
      <c r="J28" s="552">
        <f>H28/DAY(B2)</f>
        <v>37780.741818181617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8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62</v>
      </c>
      <c r="F30" s="501">
        <v>146</v>
      </c>
      <c r="G30" s="1338">
        <f>E30*F30</f>
        <v>9052</v>
      </c>
      <c r="H30" s="460">
        <f>G30+'21'!H30</f>
        <v>-73876</v>
      </c>
      <c r="I30" s="505"/>
      <c r="J30" s="552">
        <f>H30/DAY(B2)</f>
        <v>-3358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90</v>
      </c>
      <c r="F31" s="501">
        <v>80</v>
      </c>
      <c r="G31" s="1338">
        <f>E31*F31</f>
        <v>7200</v>
      </c>
      <c r="H31" s="460">
        <f>G31+'21'!H31</f>
        <v>171200</v>
      </c>
      <c r="I31" s="505"/>
      <c r="J31" s="552">
        <f>H31/DAY(B2)</f>
        <v>7781.818181818182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39">
        <f>G27+G28+G29+G30+G31</f>
        <v>246152</v>
      </c>
      <c r="H32" s="460">
        <f>G32+'21'!H32</f>
        <v>5192086.429999995</v>
      </c>
      <c r="I32" s="509"/>
      <c r="J32" s="552">
        <f>H32/DAY(B2)</f>
        <v>236003.92863636342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365"/>
      <c r="C34" s="1365"/>
      <c r="D34" s="472"/>
      <c r="E34" s="471"/>
      <c r="F34" s="471"/>
      <c r="G34" s="134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'21'!F35</f>
        <v>1003179.1</v>
      </c>
      <c r="F35" s="510">
        <v>1006080</v>
      </c>
      <c r="G35" s="1330">
        <f t="shared" ref="G35:G46" si="2">F35-E35</f>
        <v>2900.9000000000233</v>
      </c>
      <c r="H35" s="460">
        <f>G35+'21'!H35</f>
        <v>-22634</v>
      </c>
      <c r="I35" s="455"/>
      <c r="J35" s="552">
        <f>H35/DAY(B2)</f>
        <v>-1028.8181818181818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'21'!F36</f>
        <v>13824.15</v>
      </c>
      <c r="F36" s="510">
        <v>14565.67</v>
      </c>
      <c r="G36" s="1330">
        <f t="shared" si="2"/>
        <v>741.52000000000044</v>
      </c>
      <c r="H36" s="460">
        <f>G36+'21'!H36</f>
        <v>-5895.33</v>
      </c>
      <c r="I36" s="455"/>
      <c r="J36" s="552">
        <f>H36/DAY(B2)</f>
        <v>-267.96954545454543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'21'!F37</f>
        <v>163376.22</v>
      </c>
      <c r="F37" s="510">
        <v>164855.25</v>
      </c>
      <c r="G37" s="1330">
        <f t="shared" si="2"/>
        <v>1479.0299999999988</v>
      </c>
      <c r="H37" s="460">
        <f>G37+'21'!H37</f>
        <v>-11714.75</v>
      </c>
      <c r="I37" s="455"/>
      <c r="J37" s="552">
        <f>H37/DAY(B2)</f>
        <v>-532.48863636363637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'21'!F38</f>
        <v>184337.75</v>
      </c>
      <c r="F38" s="469">
        <v>185915.75</v>
      </c>
      <c r="G38" s="1330">
        <f t="shared" si="2"/>
        <v>1578</v>
      </c>
      <c r="H38" s="460">
        <f>G38+'21'!H38</f>
        <v>-12543.25</v>
      </c>
      <c r="I38" s="455"/>
      <c r="J38" s="552">
        <f>H38/DAY(B2)</f>
        <v>-570.14772727272725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'21'!F39</f>
        <v>372469.99</v>
      </c>
      <c r="F39" s="510">
        <v>375879.99</v>
      </c>
      <c r="G39" s="1330">
        <f t="shared" si="2"/>
        <v>3410</v>
      </c>
      <c r="H39" s="460">
        <f>G39+'21'!H39</f>
        <v>-28984.010000000009</v>
      </c>
      <c r="I39" s="455"/>
      <c r="J39" s="552">
        <f>H39/DAY(B2)</f>
        <v>-1317.4550000000004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'21'!F40</f>
        <v>3986.96</v>
      </c>
      <c r="F40" s="510">
        <v>4607.82</v>
      </c>
      <c r="G40" s="1330">
        <f t="shared" si="2"/>
        <v>620.85999999999967</v>
      </c>
      <c r="H40" s="460">
        <f>G40+'21'!H40</f>
        <v>-2505.1800000000003</v>
      </c>
      <c r="I40" s="455"/>
      <c r="J40" s="552">
        <f>H40/DAY(B2)</f>
        <v>-113.8718181818182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'21'!F41</f>
        <v>304892.09000000003</v>
      </c>
      <c r="F41" s="510">
        <v>308352.25</v>
      </c>
      <c r="G41" s="1330">
        <f t="shared" si="2"/>
        <v>3460.1599999999744</v>
      </c>
      <c r="H41" s="460">
        <f>G41+'21'!H41</f>
        <v>-21289.75</v>
      </c>
      <c r="I41" s="455"/>
      <c r="J41" s="552">
        <f>H41/DAY(B2)</f>
        <v>-967.71590909090912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'21'!F42</f>
        <v>59210.080000000002</v>
      </c>
      <c r="F42" s="510">
        <v>59210.080000000002</v>
      </c>
      <c r="G42" s="1330">
        <f t="shared" si="2"/>
        <v>0</v>
      </c>
      <c r="H42" s="460">
        <f>G42+'21'!H42</f>
        <v>11.190000000002328</v>
      </c>
      <c r="I42" s="455"/>
      <c r="J42" s="552">
        <f>H42/DAY(B2)</f>
        <v>0.50863636363646947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'21'!F43</f>
        <v>1095339.3999999999</v>
      </c>
      <c r="F43" s="510">
        <v>1098241.1000000001</v>
      </c>
      <c r="G43" s="1330">
        <f>F43-E43</f>
        <v>2901.7000000001863</v>
      </c>
      <c r="H43" s="460">
        <f>G43+'21'!H43</f>
        <v>-22210.899999999907</v>
      </c>
      <c r="I43" s="455"/>
      <c r="J43" s="552">
        <f>H43/DAY(B2)</f>
        <v>-1009.5863636363594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'21'!F44</f>
        <v>0</v>
      </c>
      <c r="F44" s="510">
        <v>0</v>
      </c>
      <c r="G44" s="1330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'21'!F45</f>
        <v>0</v>
      </c>
      <c r="F45" s="510">
        <v>0</v>
      </c>
      <c r="G45" s="1330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'21'!F46</f>
        <v>0</v>
      </c>
      <c r="F46" s="510">
        <v>0</v>
      </c>
      <c r="G46" s="1330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2">
        <f>G35+G36+G37+G38+G39+G40+G41+G42+G43+G44+G45+G46</f>
        <v>17092.170000000184</v>
      </c>
      <c r="H47" s="460">
        <f>G47+'21'!H47</f>
        <v>-126964.53999999986</v>
      </c>
      <c r="I47" s="455"/>
      <c r="J47" s="552">
        <f>H47/DAY(B2)</f>
        <v>-5771.1154545454483</v>
      </c>
      <c r="K47" s="428"/>
      <c r="L47" s="377"/>
      <c r="N47" s="382"/>
      <c r="O47" s="382"/>
    </row>
    <row r="48" spans="1:15">
      <c r="A48" s="598" t="s">
        <v>176</v>
      </c>
      <c r="B48" s="1365"/>
      <c r="C48" s="1365"/>
      <c r="D48" s="472"/>
      <c r="E48" s="471"/>
      <c r="F48" s="471"/>
      <c r="G48" s="1340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'21'!F49</f>
        <v>260732.13</v>
      </c>
      <c r="F49" s="510">
        <v>260732.13</v>
      </c>
      <c r="G49" s="1330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'21'!F50</f>
        <v>524730.82999999996</v>
      </c>
      <c r="F50" s="510">
        <v>525794.99</v>
      </c>
      <c r="G50" s="1330">
        <f t="shared" si="3"/>
        <v>1064.1600000000326</v>
      </c>
      <c r="H50" s="460">
        <f>G50+'21'!H50</f>
        <v>-9758.0100000000093</v>
      </c>
      <c r="I50" s="455"/>
      <c r="J50" s="552">
        <f>H50/DAY(B2)</f>
        <v>-443.5459090909095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'21'!F51</f>
        <v>144639.87</v>
      </c>
      <c r="F51" s="510">
        <v>144639.87</v>
      </c>
      <c r="G51" s="1330">
        <f t="shared" si="3"/>
        <v>0</v>
      </c>
      <c r="H51" s="460">
        <f>G51+'21'!H51</f>
        <v>-0.13000000000465661</v>
      </c>
      <c r="I51" s="455"/>
      <c r="J51" s="552">
        <f>H51/DAY(B2)</f>
        <v>-5.909090909302573E-3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'21'!F52</f>
        <v>539606.06999999995</v>
      </c>
      <c r="F52" s="510">
        <v>539606.06999999995</v>
      </c>
      <c r="G52" s="1330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'21'!F53</f>
        <v>434231.59</v>
      </c>
      <c r="F53" s="510">
        <v>434231.59</v>
      </c>
      <c r="G53" s="1330">
        <f t="shared" si="3"/>
        <v>0</v>
      </c>
      <c r="H53" s="460">
        <f>G53+'21'!H53</f>
        <v>-0.73999999999068677</v>
      </c>
      <c r="I53" s="455"/>
      <c r="J53" s="552">
        <f>H53/DAY(B2)</f>
        <v>-3.363636363594031E-2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'21'!F54</f>
        <v>14967.39</v>
      </c>
      <c r="F54" s="510">
        <v>14967.39</v>
      </c>
      <c r="G54" s="1330">
        <f t="shared" si="3"/>
        <v>0</v>
      </c>
      <c r="H54" s="460">
        <f>G54+'21'!H54</f>
        <v>-78.610000000000582</v>
      </c>
      <c r="I54" s="455"/>
      <c r="J54" s="552">
        <f>H54/DAY(B2)</f>
        <v>-3.5731818181818444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'21'!F55</f>
        <v>88280.54</v>
      </c>
      <c r="F55" s="510">
        <v>90898.63</v>
      </c>
      <c r="G55" s="1330">
        <f t="shared" si="3"/>
        <v>2618.0900000000111</v>
      </c>
      <c r="H55" s="460">
        <f>G55+'21'!H55</f>
        <v>-26737.369999999995</v>
      </c>
      <c r="I55" s="455"/>
      <c r="J55" s="552">
        <f>H55/DAY(B2)</f>
        <v>-1215.3349999999998</v>
      </c>
      <c r="K55" s="428"/>
      <c r="L55" s="377"/>
      <c r="N55" s="382"/>
      <c r="O55" s="382"/>
    </row>
    <row r="56" spans="1:15" s="441" customFormat="1">
      <c r="A56" s="1102" t="s">
        <v>181</v>
      </c>
      <c r="B56" s="1103"/>
      <c r="C56" s="1103"/>
      <c r="D56" s="627" t="s">
        <v>182</v>
      </c>
      <c r="E56" s="653">
        <f>'21'!F56</f>
        <v>648939.47</v>
      </c>
      <c r="F56" s="653">
        <v>648949.79</v>
      </c>
      <c r="G56" s="1351">
        <f t="shared" si="3"/>
        <v>10.320000000065193</v>
      </c>
      <c r="H56" s="705">
        <f>G56+'21'!H56</f>
        <v>-82.209999999962747</v>
      </c>
      <c r="I56" s="706"/>
      <c r="J56" s="707">
        <f>H56/DAY(B2)</f>
        <v>-3.7368181818164885</v>
      </c>
      <c r="K56" s="1356"/>
      <c r="L56" s="1105"/>
      <c r="N56" s="713"/>
      <c r="O56" s="713"/>
    </row>
    <row r="57" spans="1:15">
      <c r="A57" s="578" t="s">
        <v>171</v>
      </c>
      <c r="B57" s="601"/>
      <c r="C57" s="601"/>
      <c r="D57" s="523" t="s">
        <v>131</v>
      </c>
      <c r="E57" s="510">
        <f>'21'!F57</f>
        <v>7711</v>
      </c>
      <c r="F57" s="510">
        <v>7711</v>
      </c>
      <c r="G57" s="1330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'21'!F58</f>
        <v>52669.21</v>
      </c>
      <c r="F58" s="510">
        <v>52761.38</v>
      </c>
      <c r="G58" s="1330">
        <f t="shared" si="3"/>
        <v>92.169999999998254</v>
      </c>
      <c r="H58" s="460">
        <f>G58+'21'!H58</f>
        <v>-1463.8300000000017</v>
      </c>
      <c r="I58" s="455"/>
      <c r="J58" s="552">
        <f>H58/DAY(B2)</f>
        <v>-66.537727272727352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2">
        <f>G49+G50+G51+G52+G53+G54+G55+G56+G57+G58</f>
        <v>3784.7400000001071</v>
      </c>
      <c r="H59" s="460">
        <f>G59+'21'!H59</f>
        <v>-38120.700000000012</v>
      </c>
      <c r="I59" s="455">
        <f>G7-G60</f>
        <v>623.08999999970911</v>
      </c>
      <c r="J59" s="552">
        <f>H59/DAY(B2)</f>
        <v>-1732.7590909090914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2">
        <f>G47+G59</f>
        <v>20876.910000000291</v>
      </c>
      <c r="H60" s="460">
        <f>G60+'21'!H60</f>
        <v>-163876.70000000004</v>
      </c>
      <c r="I60" s="455">
        <f>G13-G60</f>
        <v>-941.88000000026295</v>
      </c>
      <c r="J60" s="552">
        <f>H47/DAY(B2)</f>
        <v>-5771.1154545454483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1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'21'!F62</f>
        <v>20419.2</v>
      </c>
      <c r="F62" s="514">
        <v>20419.2</v>
      </c>
      <c r="G62" s="1330">
        <f t="shared" ref="G62:G69" si="4">F62-E62</f>
        <v>0</v>
      </c>
      <c r="H62" s="460">
        <f>G62+'21'!H62</f>
        <v>0.20199999999749707</v>
      </c>
      <c r="I62" s="515"/>
      <c r="J62" s="552">
        <f>H62/DAY(B2)</f>
        <v>9.1818181817044115E-3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'21'!F63</f>
        <v>0</v>
      </c>
      <c r="F63" s="514">
        <v>0</v>
      </c>
      <c r="G63" s="1330">
        <f t="shared" si="4"/>
        <v>0</v>
      </c>
      <c r="H63" s="460">
        <f>G63+'21'!H63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f>'21'!F64</f>
        <v>166627.75</v>
      </c>
      <c r="F64" s="484">
        <v>167012.26</v>
      </c>
      <c r="G64" s="1330">
        <f t="shared" si="4"/>
        <v>384.51000000000931</v>
      </c>
      <c r="H64" s="460">
        <f>G64+'21'!H64</f>
        <v>-3009.7399999999907</v>
      </c>
      <c r="I64" s="480"/>
      <c r="J64" s="552">
        <f>H64/DAY(B2)</f>
        <v>-136.80636363636322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f>'21'!F65</f>
        <v>166980.74</v>
      </c>
      <c r="F65" s="484">
        <v>167241.76999999999</v>
      </c>
      <c r="G65" s="1330">
        <f t="shared" si="4"/>
        <v>261.02999999999884</v>
      </c>
      <c r="H65" s="460">
        <f>G65+'21'!H65</f>
        <v>-3060.2300000000105</v>
      </c>
      <c r="I65" s="489"/>
      <c r="J65" s="552">
        <f>H65/DAY(B2)</f>
        <v>-139.10136363636411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f>'21'!F66</f>
        <v>64226.15</v>
      </c>
      <c r="F66" s="484">
        <v>64618.53</v>
      </c>
      <c r="G66" s="1330">
        <f t="shared" si="4"/>
        <v>392.37999999999738</v>
      </c>
      <c r="H66" s="460">
        <f>G66+'21'!H66</f>
        <v>-3351.4700000000012</v>
      </c>
      <c r="I66" s="480"/>
      <c r="J66" s="552">
        <f>H66/DAY(B2)</f>
        <v>-152.33954545454552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f>'21'!F67</f>
        <v>260958</v>
      </c>
      <c r="F67" s="484">
        <v>261392</v>
      </c>
      <c r="G67" s="1330">
        <f t="shared" si="4"/>
        <v>434</v>
      </c>
      <c r="H67" s="460">
        <f>G67+'21'!H67</f>
        <v>-3567</v>
      </c>
      <c r="I67" s="489"/>
      <c r="J67" s="552">
        <f>H67/DAY(B2)</f>
        <v>-162.13636363636363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f>'21'!F68</f>
        <v>85321</v>
      </c>
      <c r="F68" s="484">
        <v>85321</v>
      </c>
      <c r="G68" s="1330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f>'21'!F69</f>
        <v>85351.83</v>
      </c>
      <c r="F69" s="484">
        <v>85602.95</v>
      </c>
      <c r="G69" s="1330">
        <f t="shared" si="4"/>
        <v>251.11999999999534</v>
      </c>
      <c r="H69" s="460">
        <f>G69+'21'!H69</f>
        <v>-1912.0500000000029</v>
      </c>
      <c r="I69" s="516"/>
      <c r="J69" s="552">
        <f>H69/DAY(B2)</f>
        <v>-86.911363636363774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1342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'21'!F72</f>
        <v>856117</v>
      </c>
      <c r="F72" s="519">
        <v>856130</v>
      </c>
      <c r="G72" s="1330">
        <f t="shared" ref="G72:G84" si="5">F72-E72</f>
        <v>13</v>
      </c>
      <c r="H72" s="460">
        <f>G72+'21'!H72</f>
        <v>-105</v>
      </c>
      <c r="I72" s="480"/>
      <c r="J72" s="552">
        <f>H72/DAY(B2)</f>
        <v>-4.7727272727272725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20">
        <f>'21'!F73</f>
        <v>885961</v>
      </c>
      <c r="F73" s="520">
        <v>885962</v>
      </c>
      <c r="G73" s="1330">
        <f t="shared" si="5"/>
        <v>1</v>
      </c>
      <c r="H73" s="460">
        <f>G73+'21'!H73</f>
        <v>-198</v>
      </c>
      <c r="I73" s="480"/>
      <c r="J73" s="552">
        <f>H73/DAY(B2)</f>
        <v>-9</v>
      </c>
      <c r="K73" s="430"/>
      <c r="L73" s="377"/>
      <c r="N73" s="382"/>
      <c r="O73" s="382"/>
    </row>
    <row r="74" spans="1:15" ht="27.75">
      <c r="A74" s="1622" t="s">
        <v>192</v>
      </c>
      <c r="B74" s="1623"/>
      <c r="C74" s="1624"/>
      <c r="D74" s="523" t="s">
        <v>186</v>
      </c>
      <c r="E74" s="521">
        <f>'21'!F74</f>
        <v>88687</v>
      </c>
      <c r="F74" s="521">
        <v>88688</v>
      </c>
      <c r="G74" s="1330">
        <f t="shared" si="5"/>
        <v>1</v>
      </c>
      <c r="H74" s="460">
        <f>G74+'21'!H74</f>
        <v>-86087.039999999994</v>
      </c>
      <c r="I74" s="480"/>
      <c r="J74" s="552">
        <f>H74/DAY(B2)</f>
        <v>-3913.0472727272722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21">
        <f>'21'!F75</f>
        <v>14756.38</v>
      </c>
      <c r="F75" s="521">
        <v>14890.3</v>
      </c>
      <c r="G75" s="1330">
        <f t="shared" si="5"/>
        <v>133.92000000000007</v>
      </c>
      <c r="H75" s="460">
        <f>G75+'21'!H75</f>
        <v>-1180.7000000000007</v>
      </c>
      <c r="I75" s="480"/>
      <c r="J75" s="552">
        <f>H75/DAY(B2)</f>
        <v>-53.66818181818185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20">
        <f>'21'!F76</f>
        <v>8664.5300000000007</v>
      </c>
      <c r="F76" s="646">
        <v>8735.59</v>
      </c>
      <c r="G76" s="1330">
        <f t="shared" si="5"/>
        <v>71.059999999999491</v>
      </c>
      <c r="H76" s="460">
        <f>G76+'21'!H76</f>
        <v>-1872.4099999999999</v>
      </c>
      <c r="I76" s="505"/>
      <c r="J76" s="552">
        <f>H76/DAY(B2)</f>
        <v>-85.109545454545454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21">
        <f>'21'!F77</f>
        <v>703890</v>
      </c>
      <c r="F77" s="521">
        <v>703938</v>
      </c>
      <c r="G77" s="1330">
        <f t="shared" si="5"/>
        <v>48</v>
      </c>
      <c r="H77" s="460">
        <f>G77+'21'!H77</f>
        <v>-436</v>
      </c>
      <c r="I77" s="505"/>
      <c r="J77" s="552">
        <f>H77/DAY(B2)</f>
        <v>-19.818181818181817</v>
      </c>
      <c r="K77" s="430"/>
      <c r="L77" s="377"/>
      <c r="N77" s="382"/>
      <c r="O77" s="382"/>
    </row>
    <row r="78" spans="1:15" ht="27.75">
      <c r="A78" s="1363" t="s">
        <v>196</v>
      </c>
      <c r="B78" s="1357"/>
      <c r="C78" s="1357"/>
      <c r="D78" s="523" t="s">
        <v>186</v>
      </c>
      <c r="E78" s="521">
        <f>'21'!F78</f>
        <v>674622</v>
      </c>
      <c r="F78" s="521">
        <v>674672</v>
      </c>
      <c r="G78" s="1330">
        <f t="shared" si="5"/>
        <v>50</v>
      </c>
      <c r="H78" s="460">
        <f>G78+'21'!H78</f>
        <v>-742</v>
      </c>
      <c r="I78" s="505"/>
      <c r="J78" s="552">
        <f>H78/DAY(B2)</f>
        <v>-33.727272727272727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f>'21'!F79</f>
        <v>834076</v>
      </c>
      <c r="F79" s="521">
        <v>834225</v>
      </c>
      <c r="G79" s="1330">
        <f t="shared" si="5"/>
        <v>149</v>
      </c>
      <c r="H79" s="460">
        <f>G79+'21'!H79</f>
        <v>-179</v>
      </c>
      <c r="I79" s="505"/>
      <c r="J79" s="552">
        <f>H79/DAY(B2)</f>
        <v>-8.1363636363636367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f>'21'!F80</f>
        <v>535477</v>
      </c>
      <c r="F80" s="520">
        <v>535818</v>
      </c>
      <c r="G80" s="1330">
        <f t="shared" si="5"/>
        <v>341</v>
      </c>
      <c r="H80" s="460">
        <f>G80+'21'!H80</f>
        <v>866.47999999998137</v>
      </c>
      <c r="I80" s="505"/>
      <c r="J80" s="552">
        <f>H80/DAY(B2)</f>
        <v>39.385454545453698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'21'!F81</f>
        <v>641606</v>
      </c>
      <c r="F81" s="520">
        <v>641810</v>
      </c>
      <c r="G81" s="1330">
        <f t="shared" si="5"/>
        <v>204</v>
      </c>
      <c r="H81" s="460">
        <f>G81+'21'!H81</f>
        <v>-1175</v>
      </c>
      <c r="I81" s="505"/>
      <c r="J81" s="552">
        <f>H81/DAY(B2)</f>
        <v>-53.409090909090907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'21'!F82</f>
        <v>108517</v>
      </c>
      <c r="F82" s="522">
        <v>108541</v>
      </c>
      <c r="G82" s="1330">
        <f t="shared" si="5"/>
        <v>24</v>
      </c>
      <c r="H82" s="460">
        <f>G82+'21'!H82</f>
        <v>-140</v>
      </c>
      <c r="I82" s="486"/>
      <c r="J82" s="552">
        <f>H82/DAY(B2)</f>
        <v>-6.3636363636363633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f>'21'!F83</f>
        <v>25040</v>
      </c>
      <c r="F83" s="511">
        <v>25375</v>
      </c>
      <c r="G83" s="1330">
        <f t="shared" si="5"/>
        <v>335</v>
      </c>
      <c r="H83" s="460">
        <f>G83+'21'!H83</f>
        <v>-2176</v>
      </c>
      <c r="I83" s="481"/>
      <c r="J83" s="552">
        <f>H83/DAY(B2)</f>
        <v>-98.909090909090907</v>
      </c>
      <c r="K83" s="429"/>
      <c r="L83" s="377"/>
      <c r="N83" s="382"/>
      <c r="O83" s="721"/>
    </row>
    <row r="84" spans="1:15">
      <c r="A84" s="1364" t="s">
        <v>200</v>
      </c>
      <c r="B84" s="571"/>
      <c r="C84" s="571"/>
      <c r="D84" s="478" t="s">
        <v>131</v>
      </c>
      <c r="E84" s="627">
        <f>'21'!F84</f>
        <v>515798</v>
      </c>
      <c r="F84" s="627">
        <v>516617</v>
      </c>
      <c r="G84" s="1330">
        <f t="shared" si="5"/>
        <v>819</v>
      </c>
      <c r="H84" s="460">
        <f>G84+'21'!H84</f>
        <v>-6463</v>
      </c>
      <c r="I84" s="481"/>
      <c r="J84" s="552">
        <f>H84/DAY(B2)</f>
        <v>-293.77272727272725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3">
        <f xml:space="preserve"> SUM(G72:G84)</f>
        <v>2189.9799999999996</v>
      </c>
      <c r="H85" s="460">
        <f>G85+'21'!H85</f>
        <v>-103488.15000000001</v>
      </c>
      <c r="I85" s="481"/>
      <c r="J85" s="552">
        <f>H85/DAY(B2)</f>
        <v>-4704.0068181818187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'21'!F86</f>
        <v>461528</v>
      </c>
      <c r="F86" s="647">
        <v>461545.16</v>
      </c>
      <c r="G86" s="1344">
        <f t="shared" ref="G86:G88" si="6">F86-E86</f>
        <v>17.159999999974389</v>
      </c>
      <c r="H86" s="460">
        <f>G86+'21'!H86</f>
        <v>86.879999999946449</v>
      </c>
      <c r="I86" s="652"/>
      <c r="J86" s="707">
        <f>H86/DAY(B2)</f>
        <v>3.9490909090884752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'21'!F87</f>
        <v>81818.5</v>
      </c>
      <c r="F87" s="647">
        <v>81850.100000000006</v>
      </c>
      <c r="G87" s="1344">
        <f t="shared" si="6"/>
        <v>31.600000000005821</v>
      </c>
      <c r="H87" s="460">
        <f>G87+'21'!H87</f>
        <v>121.30000000000291</v>
      </c>
      <c r="I87" s="652"/>
      <c r="J87" s="707">
        <f>H87/DAY(B2)</f>
        <v>5.513636363636496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'21'!F88</f>
        <v>154344</v>
      </c>
      <c r="F88" s="647">
        <v>154464</v>
      </c>
      <c r="G88" s="1344">
        <f t="shared" si="6"/>
        <v>120</v>
      </c>
      <c r="H88" s="460">
        <f>G88+'21'!H88</f>
        <v>386.33999999999651</v>
      </c>
      <c r="I88" s="652"/>
      <c r="J88" s="707">
        <f>H88/DAY(B2)</f>
        <v>17.560909090908932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'21'!F89</f>
        <v>65593.2</v>
      </c>
      <c r="F89" s="647">
        <v>65625</v>
      </c>
      <c r="G89" s="1344">
        <f t="shared" ref="G89:G91" si="7">F89-E89</f>
        <v>31.80000000000291</v>
      </c>
      <c r="H89" s="460">
        <f>G89+'21'!H89</f>
        <v>112.90000000000146</v>
      </c>
      <c r="I89" s="652"/>
      <c r="J89" s="707">
        <f>H89/DAY(B2)</f>
        <v>5.1318181818182476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'21'!F90</f>
        <v>3314.8</v>
      </c>
      <c r="F90" s="647">
        <v>3319.7</v>
      </c>
      <c r="G90" s="1344">
        <f t="shared" si="7"/>
        <v>4.8999999999996362</v>
      </c>
      <c r="H90" s="460">
        <f>G90+'21'!H90</f>
        <v>12.299999999999727</v>
      </c>
      <c r="I90" s="652"/>
      <c r="J90" s="707">
        <f>H90/DAY(B2)</f>
        <v>0.55909090909089665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/>
      <c r="E91" s="647">
        <f>'21'!F91</f>
        <v>28171.439999999999</v>
      </c>
      <c r="F91" s="647">
        <v>28182.46</v>
      </c>
      <c r="G91" s="705">
        <f t="shared" si="7"/>
        <v>11.020000000000437</v>
      </c>
      <c r="H91" s="460">
        <f>G91+'21'!H91</f>
        <v>22.779999999998836</v>
      </c>
      <c r="I91" s="652"/>
      <c r="J91" s="707">
        <f>H91/DAY(B2)</f>
        <v>1.0354545454544926</v>
      </c>
      <c r="K91" s="733"/>
      <c r="L91" s="734"/>
      <c r="N91" s="777"/>
      <c r="O91" s="382"/>
    </row>
    <row r="92" spans="1:15" s="379" customFormat="1">
      <c r="A92" s="606" t="s">
        <v>204</v>
      </c>
      <c r="B92" s="1366"/>
      <c r="C92" s="1366"/>
      <c r="D92" s="472"/>
      <c r="E92" s="472"/>
      <c r="F92" s="472"/>
      <c r="G92" s="1333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'21'!F93</f>
        <v>246690</v>
      </c>
      <c r="F93" s="484">
        <v>246753</v>
      </c>
      <c r="G93" s="1330">
        <f t="shared" ref="G93:G94" si="8">F93-E93</f>
        <v>63</v>
      </c>
      <c r="H93" s="460">
        <f>G93+'21'!H93</f>
        <v>-599</v>
      </c>
      <c r="I93" s="480"/>
      <c r="J93" s="552">
        <f>H93/DAY(B2)</f>
        <v>-27.227272727272727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'21'!F94</f>
        <v>188422</v>
      </c>
      <c r="F94" s="484">
        <v>188599</v>
      </c>
      <c r="G94" s="1330">
        <f t="shared" si="8"/>
        <v>177</v>
      </c>
      <c r="H94" s="460">
        <f>G94+'21'!H94</f>
        <v>-855</v>
      </c>
      <c r="I94" s="480"/>
      <c r="J94" s="552">
        <f>H94/DAY(B2)</f>
        <v>-38.863636363636367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>
        <f>'21'!F95</f>
        <v>0</v>
      </c>
      <c r="F95" s="484"/>
      <c r="G95" s="1330">
        <f>G93+G94</f>
        <v>240</v>
      </c>
      <c r="H95" s="460">
        <f>G95+'21'!H95</f>
        <v>-1640</v>
      </c>
      <c r="I95" s="480"/>
      <c r="J95" s="552">
        <f>H95/DAY(B2)</f>
        <v>-74.545454545454547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'21'!F96</f>
        <v>415432</v>
      </c>
      <c r="F96" s="484">
        <v>415490</v>
      </c>
      <c r="G96" s="1330">
        <f t="shared" ref="G96:G101" si="9">F96-E96</f>
        <v>58</v>
      </c>
      <c r="H96" s="460">
        <f>G96+'21'!H96</f>
        <v>-509</v>
      </c>
      <c r="I96" s="480"/>
      <c r="J96" s="552">
        <f>H96/DAY(B2)</f>
        <v>-23.136363636363637</v>
      </c>
      <c r="K96" s="380"/>
      <c r="L96" s="377"/>
      <c r="N96" s="382"/>
      <c r="O96" s="382"/>
    </row>
    <row r="97" spans="1:15" ht="27.75">
      <c r="A97" s="1360" t="s">
        <v>209</v>
      </c>
      <c r="B97" s="1361"/>
      <c r="C97" s="1361"/>
      <c r="D97" s="523" t="s">
        <v>143</v>
      </c>
      <c r="E97" s="484">
        <f>'21'!F97</f>
        <v>102976</v>
      </c>
      <c r="F97" s="484">
        <v>102993</v>
      </c>
      <c r="G97" s="1330">
        <f t="shared" si="9"/>
        <v>17</v>
      </c>
      <c r="H97" s="460">
        <f>G97+'21'!H97</f>
        <v>-170</v>
      </c>
      <c r="I97" s="480"/>
      <c r="J97" s="552">
        <f>H97/DAY(B2)</f>
        <v>-7.7272727272727275</v>
      </c>
      <c r="K97" s="427"/>
      <c r="L97" s="377"/>
      <c r="N97" s="382"/>
      <c r="O97" s="382"/>
    </row>
    <row r="98" spans="1:15" ht="27.75">
      <c r="A98" s="1360" t="s">
        <v>210</v>
      </c>
      <c r="B98" s="1361"/>
      <c r="C98" s="1361"/>
      <c r="D98" s="523" t="s">
        <v>143</v>
      </c>
      <c r="E98" s="484">
        <f>'21'!F98</f>
        <v>98449</v>
      </c>
      <c r="F98" s="484">
        <v>98470</v>
      </c>
      <c r="G98" s="1330">
        <f t="shared" si="9"/>
        <v>21</v>
      </c>
      <c r="H98" s="460">
        <f>G98+'21'!H98</f>
        <v>-187</v>
      </c>
      <c r="I98" s="480"/>
      <c r="J98" s="552">
        <f>H98/DAY(B2)</f>
        <v>-8.5</v>
      </c>
      <c r="K98" s="432"/>
      <c r="L98" s="377"/>
      <c r="N98" s="382"/>
      <c r="O98" s="382"/>
    </row>
    <row r="99" spans="1:15" ht="27.75">
      <c r="A99" s="1360" t="s">
        <v>211</v>
      </c>
      <c r="B99" s="1361"/>
      <c r="C99" s="1361"/>
      <c r="D99" s="523" t="s">
        <v>143</v>
      </c>
      <c r="E99" s="484">
        <f>'21'!F99</f>
        <v>150062</v>
      </c>
      <c r="F99" s="484">
        <v>150108</v>
      </c>
      <c r="G99" s="1330">
        <f t="shared" si="9"/>
        <v>46</v>
      </c>
      <c r="H99" s="460">
        <f>G99+'21'!H99</f>
        <v>-297</v>
      </c>
      <c r="I99" s="480"/>
      <c r="J99" s="552">
        <f>H99/DAY(B2)</f>
        <v>-13.5</v>
      </c>
      <c r="K99" s="380"/>
      <c r="L99" s="377"/>
      <c r="N99" s="382"/>
      <c r="O99" s="382"/>
    </row>
    <row r="100" spans="1:15" ht="27.75">
      <c r="A100" s="1360" t="s">
        <v>212</v>
      </c>
      <c r="B100" s="1361"/>
      <c r="C100" s="1361"/>
      <c r="D100" s="523" t="s">
        <v>143</v>
      </c>
      <c r="E100" s="484">
        <f>'21'!F100</f>
        <v>7621</v>
      </c>
      <c r="F100" s="484">
        <v>7645</v>
      </c>
      <c r="G100" s="1330">
        <f t="shared" si="9"/>
        <v>24</v>
      </c>
      <c r="H100" s="460">
        <f>G100+'21'!H100</f>
        <v>-152</v>
      </c>
      <c r="I100" s="480"/>
      <c r="J100" s="552">
        <f>H100/DAY(B2)</f>
        <v>-6.9090909090909092</v>
      </c>
      <c r="K100" s="380"/>
      <c r="L100" s="377"/>
      <c r="N100" s="382"/>
      <c r="O100" s="382"/>
    </row>
    <row r="101" spans="1:15" ht="27.75">
      <c r="A101" s="1360" t="s">
        <v>213</v>
      </c>
      <c r="B101" s="1361"/>
      <c r="C101" s="1361"/>
      <c r="D101" s="523" t="s">
        <v>143</v>
      </c>
      <c r="E101" s="484">
        <f>'21'!F101</f>
        <v>5581</v>
      </c>
      <c r="F101" s="484">
        <v>5587</v>
      </c>
      <c r="G101" s="1330">
        <f t="shared" si="9"/>
        <v>6</v>
      </c>
      <c r="H101" s="460">
        <f>G101+'21'!H101</f>
        <v>-87</v>
      </c>
      <c r="I101" s="480"/>
      <c r="J101" s="552">
        <f>H101/DAY(B2)</f>
        <v>-3.9545454545454546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1345">
        <f>SUM(G96:G101)</f>
        <v>172</v>
      </c>
      <c r="H102" s="460">
        <f>G102+'21'!H102</f>
        <v>-1402</v>
      </c>
      <c r="I102" s="526"/>
      <c r="J102" s="552">
        <f>H102/DAY(B2)</f>
        <v>-63.727272727272727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6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1347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359"/>
      <c r="D105" s="622" t="s">
        <v>143</v>
      </c>
      <c r="E105" s="532">
        <f>'21'!F105</f>
        <v>7637</v>
      </c>
      <c r="F105" s="532">
        <v>7637</v>
      </c>
      <c r="G105" s="1347">
        <f>F105-E105</f>
        <v>0</v>
      </c>
      <c r="H105" s="460">
        <f>SUM(G105+'1'!G76)</f>
        <v>69.3799999999992</v>
      </c>
      <c r="I105" s="532"/>
      <c r="J105" s="558">
        <f>H105/DAY(B2)</f>
        <v>3.1536363636363274</v>
      </c>
      <c r="N105" s="444"/>
      <c r="O105" s="382"/>
    </row>
    <row r="106" spans="1:15" s="442" customFormat="1" ht="27.75">
      <c r="A106" s="1551" t="s">
        <v>76</v>
      </c>
      <c r="B106" s="1552"/>
      <c r="C106" s="1359"/>
      <c r="D106" s="622" t="s">
        <v>143</v>
      </c>
      <c r="E106" s="534">
        <f>'21'!F106</f>
        <v>36089</v>
      </c>
      <c r="F106" s="534">
        <v>36089</v>
      </c>
      <c r="G106" s="1347">
        <f t="shared" ref="G106:G107" si="10">F106-E106</f>
        <v>0</v>
      </c>
      <c r="H106" s="460">
        <f>SUM(G106+'1'!G77)</f>
        <v>53</v>
      </c>
      <c r="I106" s="532"/>
      <c r="J106" s="558">
        <f>H106/DAY(B2)</f>
        <v>2.4090909090909092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'21'!F107</f>
        <v>19786</v>
      </c>
      <c r="F107" s="532">
        <v>19789</v>
      </c>
      <c r="G107" s="1347">
        <f t="shared" si="10"/>
        <v>3</v>
      </c>
      <c r="H107" s="460">
        <f>SUM(G107+'1'!G78)</f>
        <v>117</v>
      </c>
      <c r="I107" s="532"/>
      <c r="J107" s="558">
        <f>H107/DAY(B2)</f>
        <v>5.3181818181818183</v>
      </c>
      <c r="N107" s="444"/>
      <c r="O107" s="382"/>
    </row>
    <row r="108" spans="1:15" s="442" customFormat="1" ht="27.75">
      <c r="A108" s="1553" t="s">
        <v>201</v>
      </c>
      <c r="B108" s="1554"/>
      <c r="C108" s="1359"/>
      <c r="D108" s="622"/>
      <c r="E108" s="532">
        <f>'21'!F108</f>
        <v>0</v>
      </c>
      <c r="F108" s="532"/>
      <c r="G108" s="1347">
        <f>SUM(G105:G107)</f>
        <v>3</v>
      </c>
      <c r="H108" s="460">
        <f>SUM(G108+'1'!G79)</f>
        <v>156</v>
      </c>
      <c r="I108" s="532"/>
      <c r="J108" s="558">
        <f>H108/DAY(B2)</f>
        <v>7.0909090909090908</v>
      </c>
      <c r="N108" s="444"/>
      <c r="O108" s="382"/>
    </row>
    <row r="109" spans="1:15" s="442" customFormat="1" ht="27.75">
      <c r="A109" s="1557" t="s">
        <v>78</v>
      </c>
      <c r="B109" s="1558"/>
      <c r="C109" s="1359"/>
      <c r="D109" s="622" t="s">
        <v>143</v>
      </c>
      <c r="E109" s="532">
        <f>'21'!F109</f>
        <v>0</v>
      </c>
      <c r="F109" s="532"/>
      <c r="G109" s="1347"/>
      <c r="H109" s="460"/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359"/>
      <c r="D110" s="622" t="s">
        <v>143</v>
      </c>
      <c r="E110" s="532">
        <f>'21'!F110</f>
        <v>64167</v>
      </c>
      <c r="F110" s="532">
        <v>64330</v>
      </c>
      <c r="G110" s="1347">
        <f>F110-E110</f>
        <v>163</v>
      </c>
      <c r="H110" s="460">
        <f>SUM(G110+'1'!G81)</f>
        <v>294.64000000001397</v>
      </c>
      <c r="I110" s="532"/>
      <c r="J110" s="558">
        <f>H110/DAY(B2)</f>
        <v>13.392727272727909</v>
      </c>
      <c r="N110" s="444"/>
      <c r="O110" s="382"/>
    </row>
    <row r="111" spans="1:15" s="442" customFormat="1" ht="27.75">
      <c r="A111" s="1551" t="s">
        <v>220</v>
      </c>
      <c r="B111" s="1552"/>
      <c r="C111" s="1359"/>
      <c r="D111" s="622" t="s">
        <v>143</v>
      </c>
      <c r="E111" s="532">
        <f>'21'!F111</f>
        <v>32796</v>
      </c>
      <c r="F111" s="532">
        <v>32833</v>
      </c>
      <c r="G111" s="1347">
        <f t="shared" ref="G111:G112" si="11">F111-E111</f>
        <v>37</v>
      </c>
      <c r="H111" s="460">
        <f>SUM(G111+'1'!G82)</f>
        <v>61.899999999994179</v>
      </c>
      <c r="I111" s="532"/>
      <c r="J111" s="558">
        <f>H111/DAY(B2)</f>
        <v>2.8136363636360993</v>
      </c>
      <c r="N111" s="444"/>
      <c r="O111" s="382"/>
    </row>
    <row r="112" spans="1:15" s="442" customFormat="1" ht="27.75">
      <c r="A112" s="1551" t="s">
        <v>221</v>
      </c>
      <c r="B112" s="1552"/>
      <c r="C112" s="1359"/>
      <c r="D112" s="622" t="s">
        <v>143</v>
      </c>
      <c r="E112" s="532">
        <f>'21'!F112</f>
        <v>4621</v>
      </c>
      <c r="F112" s="532">
        <v>4621</v>
      </c>
      <c r="G112" s="1347">
        <f t="shared" si="11"/>
        <v>0</v>
      </c>
      <c r="H112" s="460">
        <f>SUM(G112+'1'!G83)</f>
        <v>351</v>
      </c>
      <c r="I112" s="532"/>
      <c r="J112" s="558">
        <f>H112/DAY(B2)</f>
        <v>15.954545454545455</v>
      </c>
      <c r="N112" s="444"/>
      <c r="O112" s="382"/>
    </row>
    <row r="113" spans="1:15" s="442" customFormat="1" ht="27.75">
      <c r="A113" s="1555" t="s">
        <v>109</v>
      </c>
      <c r="B113" s="1556"/>
      <c r="C113" s="1359"/>
      <c r="D113" s="622"/>
      <c r="E113" s="532">
        <f>'21'!F113</f>
        <v>0</v>
      </c>
      <c r="F113" s="532"/>
      <c r="G113" s="1347">
        <f>SUM(G110:G112)</f>
        <v>200</v>
      </c>
      <c r="H113" s="460">
        <f>SUM(G113+'1'!G84)</f>
        <v>1016</v>
      </c>
      <c r="I113" s="532"/>
      <c r="J113" s="558">
        <f>H113/DAY(B2)</f>
        <v>46.18181818181818</v>
      </c>
      <c r="N113" s="444"/>
      <c r="O113" s="382"/>
    </row>
    <row r="114" spans="1:15" s="442" customFormat="1" ht="27.75">
      <c r="A114" s="1557" t="s">
        <v>222</v>
      </c>
      <c r="B114" s="1558"/>
      <c r="C114" s="1359"/>
      <c r="D114" s="622"/>
      <c r="E114" s="532">
        <f>'21'!F114</f>
        <v>0</v>
      </c>
      <c r="F114" s="532"/>
      <c r="G114" s="134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f>'21'!F115</f>
        <v>11806</v>
      </c>
      <c r="F115" s="534">
        <v>11834</v>
      </c>
      <c r="G115" s="1348">
        <f>F115-E115</f>
        <v>28</v>
      </c>
      <c r="H115" s="460">
        <f>SUM(G115+'1'!G92)</f>
        <v>28</v>
      </c>
      <c r="I115" s="532"/>
      <c r="J115" s="558">
        <f>H115/DAY(B2)</f>
        <v>1.2727272727272727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f>'21'!F116</f>
        <v>8477</v>
      </c>
      <c r="F116" s="534">
        <v>8483</v>
      </c>
      <c r="G116" s="1348">
        <f t="shared" ref="G116:G117" si="12">F116-E116</f>
        <v>6</v>
      </c>
      <c r="H116" s="460">
        <f>SUM(G116+'1'!G93)</f>
        <v>95</v>
      </c>
      <c r="I116" s="532"/>
      <c r="J116" s="558">
        <f>H116/DAY(B2)</f>
        <v>4.3181818181818183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1348">
        <f t="shared" si="12"/>
        <v>0</v>
      </c>
      <c r="H117" s="460">
        <f>SUM(G117+'1'!G94)</f>
        <v>97</v>
      </c>
      <c r="I117" s="532"/>
      <c r="J117" s="558">
        <f>H117/DAY(B2)</f>
        <v>4.4090909090909092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1348">
        <f>SUM(G115:G117)</f>
        <v>34</v>
      </c>
      <c r="H118" s="460">
        <f>SUM(G118+'1'!G96)</f>
        <v>120</v>
      </c>
      <c r="I118" s="534"/>
      <c r="J118" s="558">
        <f>H118/DAY(B2)</f>
        <v>5.4545454545454541</v>
      </c>
      <c r="N118" s="447"/>
      <c r="O118" s="382"/>
    </row>
    <row r="119" spans="1:15" s="446" customFormat="1" ht="27.75">
      <c r="A119" s="1547" t="s">
        <v>226</v>
      </c>
      <c r="B119" s="1548"/>
      <c r="C119" s="1358"/>
      <c r="D119" s="624" t="s">
        <v>143</v>
      </c>
      <c r="E119" s="536"/>
      <c r="F119" s="536">
        <f>SUM(G19+G93)</f>
        <v>125</v>
      </c>
      <c r="G119" s="1348">
        <f>SUM(G19+G93)</f>
        <v>125</v>
      </c>
      <c r="H119" s="460">
        <f>SUM(G119+'1'!G97)</f>
        <v>142</v>
      </c>
      <c r="I119" s="535"/>
      <c r="J119" s="559">
        <f>H119/DAY(B2)</f>
        <v>6.4545454545454541</v>
      </c>
      <c r="N119" s="778"/>
      <c r="O119" s="382"/>
    </row>
    <row r="120" spans="1:15" s="446" customFormat="1" ht="27.75">
      <c r="A120" s="1547" t="s">
        <v>227</v>
      </c>
      <c r="B120" s="1548"/>
      <c r="C120" s="1358"/>
      <c r="D120" s="624" t="s">
        <v>143</v>
      </c>
      <c r="E120" s="536"/>
      <c r="F120" s="536">
        <f>SUM(G96,G97,G98,G100,G101)</f>
        <v>126</v>
      </c>
      <c r="G120" s="1348">
        <f>SUM(G96,G97,G98,G100,G101)</f>
        <v>126</v>
      </c>
      <c r="H120" s="460">
        <f>SUM(G120+'1'!G99)</f>
        <v>176</v>
      </c>
      <c r="I120" s="535"/>
      <c r="J120" s="559">
        <f>H120/DAY(B2)</f>
        <v>8</v>
      </c>
      <c r="N120" s="778"/>
      <c r="O120" s="382"/>
    </row>
    <row r="121" spans="1:15" s="446" customFormat="1" ht="27.75">
      <c r="A121" s="1547" t="s">
        <v>228</v>
      </c>
      <c r="B121" s="1548"/>
      <c r="C121" s="1358"/>
      <c r="D121" s="624" t="s">
        <v>143</v>
      </c>
      <c r="E121" s="534"/>
      <c r="F121" s="534">
        <f>SUM(G113)</f>
        <v>200</v>
      </c>
      <c r="G121" s="1348">
        <f>SUM(G113)</f>
        <v>200</v>
      </c>
      <c r="H121" s="460">
        <f>SUM(G121+'1'!G101)</f>
        <v>205</v>
      </c>
      <c r="I121" s="535"/>
      <c r="J121" s="559">
        <f>H121/DAY(B2)</f>
        <v>9.3181818181818183</v>
      </c>
      <c r="N121" s="778"/>
      <c r="O121" s="382"/>
    </row>
    <row r="122" spans="1:15" s="442" customFormat="1" ht="27.75">
      <c r="A122" s="1549"/>
      <c r="B122" s="1550"/>
      <c r="C122" s="1359"/>
      <c r="D122" s="560"/>
      <c r="E122" s="560"/>
      <c r="F122" s="560" t="s">
        <v>214</v>
      </c>
      <c r="G122" s="1349"/>
      <c r="H122" s="561"/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1333"/>
      <c r="H123" s="483"/>
      <c r="I123" s="483"/>
      <c r="J123" s="563"/>
      <c r="K123" s="380"/>
      <c r="L123" s="377"/>
      <c r="N123" s="382"/>
      <c r="O123" s="382"/>
    </row>
    <row r="124" spans="1:15" ht="27.75">
      <c r="A124" s="1360" t="s">
        <v>230</v>
      </c>
      <c r="B124" s="1361"/>
      <c r="C124" s="1361"/>
      <c r="D124" s="523" t="s">
        <v>140</v>
      </c>
      <c r="E124" s="478">
        <f>'21'!F124</f>
        <v>837160</v>
      </c>
      <c r="F124" s="478">
        <v>837424.77</v>
      </c>
      <c r="G124" s="1330">
        <f t="shared" ref="G124:G128" si="13">F124-E124</f>
        <v>264.77000000001863</v>
      </c>
      <c r="H124" s="460">
        <f>G124+'21'!H124</f>
        <v>-2245.2299999999814</v>
      </c>
      <c r="I124" s="526"/>
      <c r="J124" s="552">
        <f>H124/DAY(B2)</f>
        <v>-102.05590909090824</v>
      </c>
      <c r="K124" s="380"/>
      <c r="L124" s="377"/>
      <c r="N124" s="382"/>
      <c r="O124" s="382"/>
    </row>
    <row r="125" spans="1:15" ht="27.75">
      <c r="A125" s="1360" t="s">
        <v>231</v>
      </c>
      <c r="B125" s="1361"/>
      <c r="C125" s="1361"/>
      <c r="D125" s="523" t="s">
        <v>140</v>
      </c>
      <c r="E125" s="626">
        <f>'21'!F125</f>
        <v>73583.399999999994</v>
      </c>
      <c r="F125" s="626">
        <v>73583.399999999994</v>
      </c>
      <c r="G125" s="1330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78">
        <f>'21'!F126</f>
        <v>147886.95000000001</v>
      </c>
      <c r="F126" s="478">
        <v>147963.81</v>
      </c>
      <c r="G126" s="1330">
        <f t="shared" si="13"/>
        <v>76.85999999998603</v>
      </c>
      <c r="H126" s="460">
        <f>G126+'21'!H126</f>
        <v>-633.19000000000233</v>
      </c>
      <c r="I126" s="526"/>
      <c r="J126" s="552">
        <f>H126/DAY(B2)</f>
        <v>-28.781363636363743</v>
      </c>
      <c r="K126" s="380"/>
      <c r="L126" s="377"/>
      <c r="N126" s="382"/>
      <c r="O126" s="382"/>
    </row>
    <row r="127" spans="1:15" ht="27.75">
      <c r="A127" s="609" t="s">
        <v>233</v>
      </c>
      <c r="B127" s="1361"/>
      <c r="C127" s="1361"/>
      <c r="D127" s="523" t="s">
        <v>140</v>
      </c>
      <c r="E127" s="626">
        <f>'21'!F127</f>
        <v>31757</v>
      </c>
      <c r="F127" s="626">
        <v>31791.7</v>
      </c>
      <c r="G127" s="1330">
        <f t="shared" si="13"/>
        <v>34.700000000000728</v>
      </c>
      <c r="H127" s="460">
        <f>G127+'21'!H127</f>
        <v>-279.29999999999927</v>
      </c>
      <c r="I127" s="526"/>
      <c r="J127" s="552">
        <f>H127/DAY(B2)</f>
        <v>-12.695454545454512</v>
      </c>
      <c r="K127" s="380"/>
      <c r="L127" s="377"/>
      <c r="N127" s="382"/>
      <c r="O127" s="382"/>
    </row>
    <row r="128" spans="1:15" ht="27.75">
      <c r="A128" s="609" t="s">
        <v>234</v>
      </c>
      <c r="B128" s="1361"/>
      <c r="C128" s="1361"/>
      <c r="D128" s="523" t="s">
        <v>140</v>
      </c>
      <c r="E128" s="626">
        <f>'21'!F128</f>
        <v>8983.1</v>
      </c>
      <c r="F128" s="626">
        <v>8984.6</v>
      </c>
      <c r="G128" s="1330">
        <f t="shared" si="13"/>
        <v>1.5</v>
      </c>
      <c r="H128" s="460">
        <f>G128+'21'!H128</f>
        <v>-27.399999999999636</v>
      </c>
      <c r="I128" s="480"/>
      <c r="J128" s="552">
        <f>H128/DAY(B2)</f>
        <v>-1.2454545454545289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61"/>
      <c r="C129" s="1361"/>
      <c r="D129" s="523"/>
      <c r="E129" s="478"/>
      <c r="F129" s="478"/>
      <c r="G129" s="1330">
        <f>G15-SUM(G124:G128)</f>
        <v>322.16999999999462</v>
      </c>
      <c r="H129" s="460">
        <f>G129+'21'!H129</f>
        <v>2130.1199999999826</v>
      </c>
      <c r="I129" s="480"/>
      <c r="J129" s="552">
        <f>H129/DAY(B2)</f>
        <v>96.823636363635572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0"/>
      <c r="H130" s="540"/>
      <c r="I130" s="540"/>
      <c r="J130" s="564"/>
      <c r="N130" s="382"/>
      <c r="O130" s="382"/>
    </row>
    <row r="131" spans="1:15" ht="27.75">
      <c r="A131" s="1360" t="s">
        <v>237</v>
      </c>
      <c r="B131" s="1361"/>
      <c r="C131" s="1361"/>
      <c r="D131" s="523" t="s">
        <v>238</v>
      </c>
      <c r="E131" s="484">
        <f>'21'!F131</f>
        <v>0</v>
      </c>
      <c r="F131" s="484">
        <v>0</v>
      </c>
      <c r="G131" s="1330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0" t="s">
        <v>239</v>
      </c>
      <c r="B132" s="1361"/>
      <c r="C132" s="1361"/>
      <c r="D132" s="523" t="s">
        <v>238</v>
      </c>
      <c r="E132" s="484">
        <f>'21'!F132</f>
        <v>0</v>
      </c>
      <c r="F132" s="484">
        <v>0</v>
      </c>
      <c r="G132" s="1330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0" t="s">
        <v>240</v>
      </c>
      <c r="B133" s="1361"/>
      <c r="C133" s="1361"/>
      <c r="D133" s="523" t="s">
        <v>238</v>
      </c>
      <c r="E133" s="541">
        <f>'21'!F133</f>
        <v>40335.1</v>
      </c>
      <c r="F133" s="541">
        <v>40352.080000000002</v>
      </c>
      <c r="G133" s="1330">
        <f t="shared" si="14"/>
        <v>16.980000000003201</v>
      </c>
      <c r="H133" s="460">
        <f>G133+'21'!H133</f>
        <v>-100.91999999999825</v>
      </c>
      <c r="I133" s="480"/>
      <c r="J133" s="552">
        <f>H133/DAY(B2)</f>
        <v>-4.5872727272726479</v>
      </c>
      <c r="N133" s="382"/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541">
        <f>'21'!F134</f>
        <v>300</v>
      </c>
      <c r="F134" s="541">
        <v>300</v>
      </c>
      <c r="G134" s="1351">
        <f t="shared" si="14"/>
        <v>0</v>
      </c>
      <c r="H134" s="705">
        <f>G134+'21'!H134</f>
        <v>0</v>
      </c>
      <c r="I134" s="1071">
        <f>G131+G132+G133+G134</f>
        <v>16.980000000003201</v>
      </c>
      <c r="J134" s="707">
        <f>H134/DAY(B2)</f>
        <v>0</v>
      </c>
      <c r="N134" s="713"/>
      <c r="O134" s="713"/>
    </row>
    <row r="135" spans="1:15" ht="27.75">
      <c r="A135" s="1360" t="s">
        <v>242</v>
      </c>
      <c r="B135" s="1361"/>
      <c r="C135" s="1361"/>
      <c r="D135" s="523" t="s">
        <v>238</v>
      </c>
      <c r="E135" s="541">
        <f>'21'!F135</f>
        <v>41826.050000000003</v>
      </c>
      <c r="F135" s="541">
        <v>41839.360000000001</v>
      </c>
      <c r="G135" s="1330">
        <f t="shared" si="14"/>
        <v>13.309999999997672</v>
      </c>
      <c r="H135" s="460">
        <f>G135+'21'!H135</f>
        <v>-132.63999999999942</v>
      </c>
      <c r="I135" s="480"/>
      <c r="J135" s="552">
        <f>H135/DAY(B2)</f>
        <v>-6.0290909090908826</v>
      </c>
      <c r="N135" s="382"/>
      <c r="O135" s="382"/>
    </row>
    <row r="136" spans="1:15" ht="27.75">
      <c r="A136" s="1360" t="s">
        <v>243</v>
      </c>
      <c r="B136" s="1361"/>
      <c r="C136" s="1361"/>
      <c r="D136" s="523" t="s">
        <v>238</v>
      </c>
      <c r="E136" s="541">
        <f>'21'!F136</f>
        <v>32874.050000000003</v>
      </c>
      <c r="F136" s="541">
        <v>32874.050000000003</v>
      </c>
      <c r="G136" s="1330">
        <f t="shared" si="14"/>
        <v>0</v>
      </c>
      <c r="H136" s="460">
        <f>G136+'21'!H136</f>
        <v>5.0000000002910383E-2</v>
      </c>
      <c r="I136" s="480"/>
      <c r="J136" s="552">
        <f>H136/DAY(B2)</f>
        <v>2.2727272728595631E-3</v>
      </c>
      <c r="N136" s="382"/>
      <c r="O136" s="382"/>
    </row>
    <row r="137" spans="1:15" ht="27.75">
      <c r="A137" s="1360" t="s">
        <v>244</v>
      </c>
      <c r="B137" s="1361"/>
      <c r="C137" s="1361"/>
      <c r="D137" s="523" t="s">
        <v>238</v>
      </c>
      <c r="E137" s="541">
        <f>'21'!F137</f>
        <v>22859.1</v>
      </c>
      <c r="F137" s="541">
        <v>22859.1</v>
      </c>
      <c r="G137" s="1330">
        <f t="shared" si="14"/>
        <v>0</v>
      </c>
      <c r="H137" s="460">
        <f>G137+'21'!H137</f>
        <v>-32.390000000003056</v>
      </c>
      <c r="I137" s="480">
        <f>G135+G136+G137</f>
        <v>13.309999999997672</v>
      </c>
      <c r="J137" s="552">
        <f>H137/DAY(B2)</f>
        <v>-1.4722727272728662</v>
      </c>
      <c r="N137" s="382"/>
      <c r="O137" s="382"/>
    </row>
    <row r="138" spans="1:15" ht="27.75">
      <c r="A138" s="1360" t="s">
        <v>245</v>
      </c>
      <c r="B138" s="1361"/>
      <c r="C138" s="1361"/>
      <c r="D138" s="523" t="s">
        <v>238</v>
      </c>
      <c r="E138" s="541">
        <f>'21'!F138</f>
        <v>25081.89</v>
      </c>
      <c r="F138" s="541">
        <v>25081.89</v>
      </c>
      <c r="G138" s="1330">
        <f t="shared" si="14"/>
        <v>0</v>
      </c>
      <c r="H138" s="460">
        <f>G138+'21'!H138</f>
        <v>-9.5</v>
      </c>
      <c r="I138" s="480"/>
      <c r="J138" s="552">
        <f>H138/DAY(B2)</f>
        <v>-0.43181818181818182</v>
      </c>
      <c r="N138" s="382"/>
      <c r="O138" s="382"/>
    </row>
    <row r="139" spans="1:15" ht="27.75">
      <c r="A139" s="1360" t="s">
        <v>246</v>
      </c>
      <c r="B139" s="1361"/>
      <c r="C139" s="1361"/>
      <c r="D139" s="523" t="s">
        <v>238</v>
      </c>
      <c r="E139" s="541">
        <f>'21'!F139</f>
        <v>70487.08</v>
      </c>
      <c r="F139" s="541">
        <v>70496.73</v>
      </c>
      <c r="G139" s="1330">
        <f t="shared" si="14"/>
        <v>9.6499999999941792</v>
      </c>
      <c r="H139" s="460">
        <f>G139+'21'!H139</f>
        <v>-16.889999999999418</v>
      </c>
      <c r="I139" s="480">
        <f>G138+G139</f>
        <v>9.6499999999941792</v>
      </c>
      <c r="J139" s="552">
        <f>H139/DAY(B2)</f>
        <v>-0.76772727272724628</v>
      </c>
      <c r="N139" s="382"/>
      <c r="O139" s="382"/>
    </row>
    <row r="140" spans="1:15" ht="27.75">
      <c r="A140" s="1360" t="s">
        <v>247</v>
      </c>
      <c r="B140" s="1361"/>
      <c r="C140" s="1361"/>
      <c r="D140" s="523" t="s">
        <v>238</v>
      </c>
      <c r="E140" s="484">
        <f>'21'!F140</f>
        <v>2036.18</v>
      </c>
      <c r="F140" s="484">
        <v>2046.1</v>
      </c>
      <c r="G140" s="1330">
        <f t="shared" si="14"/>
        <v>9.9199999999998454</v>
      </c>
      <c r="H140" s="460">
        <f>G140+'21'!H140</f>
        <v>-83.079999999999927</v>
      </c>
      <c r="I140" s="542"/>
      <c r="J140" s="552">
        <f>H140/DAY(B2)</f>
        <v>-3.7763636363636333</v>
      </c>
      <c r="N140" s="382"/>
      <c r="O140" s="382"/>
    </row>
    <row r="141" spans="1:15" ht="27.75">
      <c r="A141" s="1360" t="s">
        <v>248</v>
      </c>
      <c r="B141" s="1361"/>
      <c r="C141" s="1361"/>
      <c r="D141" s="523" t="s">
        <v>238</v>
      </c>
      <c r="E141" s="484">
        <f>'21'!F141</f>
        <v>4636.88</v>
      </c>
      <c r="F141" s="484">
        <v>4636.88</v>
      </c>
      <c r="G141" s="1330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62" t="s">
        <v>249</v>
      </c>
      <c r="B142" s="1563"/>
      <c r="C142" s="1366"/>
      <c r="D142" s="472"/>
      <c r="E142" s="472"/>
      <c r="F142" s="472"/>
      <c r="G142" s="133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1343">
        <f>G35+G43+G49+G57</f>
        <v>5802.6000000002095</v>
      </c>
      <c r="H143" s="460">
        <f>G143+'21'!H143</f>
        <v>-46487.829999999842</v>
      </c>
      <c r="I143" s="480"/>
      <c r="J143" s="552">
        <f>H143/DAY(B2)</f>
        <v>-2113.0831818181746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1352">
        <f>G143/G7</f>
        <v>0.26988837209303301</v>
      </c>
      <c r="H144" s="460">
        <f>G144+'21'!H144</f>
        <v>-2.157909133034047</v>
      </c>
      <c r="I144" s="544"/>
      <c r="J144" s="552">
        <f>H144/DAY(B2)</f>
        <v>-9.8086778774274866E-2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1343">
        <f>G41+G42+G55+G56</f>
        <v>6088.5700000000506</v>
      </c>
      <c r="H145" s="460">
        <f>G145+'21'!H145</f>
        <v>-48098.139999999941</v>
      </c>
      <c r="I145" s="480"/>
      <c r="J145" s="552">
        <f>H145/DAY(B2)</f>
        <v>-2186.2790909090882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1352">
        <f>G145/G7</f>
        <v>0.28318930232558376</v>
      </c>
      <c r="H146" s="460">
        <f>G146+'21'!H146</f>
        <v>-2.2378304119110735</v>
      </c>
      <c r="I146" s="544"/>
      <c r="J146" s="552">
        <f>H146/DAY(B2)</f>
        <v>-0.10171956417777607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1343">
        <f>G39+G53</f>
        <v>3410</v>
      </c>
      <c r="H147" s="460">
        <f>G147+'21'!H147</f>
        <v>-28984.419999999984</v>
      </c>
      <c r="I147" s="545"/>
      <c r="J147" s="552">
        <f>H147/DAY(B2)</f>
        <v>-1317.4736363636357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1352">
        <f>G147/G7</f>
        <v>0.15860465116279071</v>
      </c>
      <c r="H148" s="460">
        <f>G148+'21'!H148</f>
        <v>-1.3449275732047949</v>
      </c>
      <c r="I148" s="545"/>
      <c r="J148" s="552">
        <f>H148/DAY(B2)</f>
        <v>-6.1133071509308863E-2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1343">
        <f>G38+G52</f>
        <v>1578</v>
      </c>
      <c r="H149" s="460">
        <f>G149+'21'!H149</f>
        <v>-12543.180000000051</v>
      </c>
      <c r="I149" s="480"/>
      <c r="J149" s="552">
        <f>H149/DAY(B2)</f>
        <v>-570.14454545454782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1352">
        <f>G149/G7</f>
        <v>7.3395348837209301E-2</v>
      </c>
      <c r="H150" s="460">
        <f>G150+'21'!H150</f>
        <v>-0.58319343711456706</v>
      </c>
      <c r="I150" s="545"/>
      <c r="J150" s="552">
        <f>H150/DAY(B2)</f>
        <v>-2.6508792596116684E-2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1343">
        <f>G36+G50</f>
        <v>1805.680000000033</v>
      </c>
      <c r="H151" s="460">
        <f>G151+'21'!H151</f>
        <v>-14763.340000000007</v>
      </c>
      <c r="I151" s="545"/>
      <c r="J151" s="552">
        <f>H151/DAY(B2)</f>
        <v>-671.06090909090938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1352">
        <f>G151/G7</f>
        <v>8.3985116279071306E-2</v>
      </c>
      <c r="H152" s="460">
        <f>G152+'21'!H152</f>
        <v>-0.68720556176040359</v>
      </c>
      <c r="I152" s="480"/>
      <c r="J152" s="552">
        <f>H152/DAY(B2)</f>
        <v>-3.1236616443654708E-2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1343">
        <f>G37+G51</f>
        <v>1479.0299999999988</v>
      </c>
      <c r="H153" s="460">
        <f>G153+'21'!H153</f>
        <v>-11714.880000000005</v>
      </c>
      <c r="I153" s="480"/>
      <c r="J153" s="552">
        <f>H153/DAY(B2)</f>
        <v>-532.49454545454569</v>
      </c>
      <c r="N153" s="382"/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1353">
        <f>G153/G7</f>
        <v>6.8792093023255757E-2</v>
      </c>
      <c r="H154" s="460">
        <f>G154+'21'!H154</f>
        <v>-0.54347890983863034</v>
      </c>
      <c r="I154" s="568"/>
      <c r="J154" s="569">
        <f>H154/DAY(B2)</f>
        <v>-2.4703586810846834E-2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4"/>
      <c r="H155" s="547"/>
      <c r="I155" s="546"/>
      <c r="J155" s="548"/>
      <c r="O155" s="382"/>
    </row>
    <row r="161" spans="1:8">
      <c r="A161" s="784" t="s">
        <v>262</v>
      </c>
      <c r="B161" s="785"/>
      <c r="C161" s="785"/>
      <c r="D161" s="511" t="s">
        <v>186</v>
      </c>
      <c r="E161" s="658">
        <f>'21'!F161</f>
        <v>40121.879999999997</v>
      </c>
      <c r="F161" s="658">
        <v>40200.47</v>
      </c>
      <c r="G161" s="1330">
        <f t="shared" ref="G161:G164" si="15">F161-E161</f>
        <v>78.590000000003783</v>
      </c>
      <c r="H161" s="538">
        <v>68.809999999999491</v>
      </c>
    </row>
    <row r="162" spans="1:8">
      <c r="A162" s="784" t="s">
        <v>263</v>
      </c>
      <c r="B162" s="785"/>
      <c r="C162" s="785"/>
      <c r="D162" s="511" t="s">
        <v>186</v>
      </c>
      <c r="E162" s="658">
        <f>'21'!F162</f>
        <v>103701.59</v>
      </c>
      <c r="F162" s="658">
        <v>104144.94</v>
      </c>
      <c r="G162" s="1330">
        <f t="shared" si="15"/>
        <v>443.35000000000582</v>
      </c>
      <c r="H162" s="538">
        <v>128.56999999999994</v>
      </c>
    </row>
    <row r="163" spans="1:8">
      <c r="A163" s="784" t="s">
        <v>264</v>
      </c>
      <c r="B163" s="785"/>
      <c r="C163" s="785"/>
      <c r="D163" s="511" t="s">
        <v>186</v>
      </c>
      <c r="E163" s="658">
        <f>'21'!F163</f>
        <v>49379.37</v>
      </c>
      <c r="F163" s="658">
        <v>49602.1</v>
      </c>
      <c r="G163" s="1330">
        <f t="shared" si="15"/>
        <v>222.72999999999593</v>
      </c>
      <c r="H163" s="538">
        <v>141.49</v>
      </c>
    </row>
    <row r="164" spans="1:8">
      <c r="A164" s="784" t="s">
        <v>265</v>
      </c>
      <c r="B164" s="785"/>
      <c r="C164" s="785"/>
      <c r="D164" s="511" t="s">
        <v>186</v>
      </c>
      <c r="E164" s="658">
        <f>'21'!F164</f>
        <v>6758.52</v>
      </c>
      <c r="F164" s="658">
        <v>6769.2</v>
      </c>
      <c r="G164" s="1330">
        <f t="shared" si="15"/>
        <v>10.679999999999382</v>
      </c>
      <c r="H164" s="538">
        <v>45.430000000000007</v>
      </c>
    </row>
    <row r="165" spans="1:8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v>20419</v>
      </c>
      <c r="G165" s="1330">
        <v>0</v>
      </c>
      <c r="H165" s="538">
        <v>0</v>
      </c>
    </row>
    <row r="166" spans="1:8">
      <c r="A166" s="786" t="s">
        <v>187</v>
      </c>
      <c r="B166" s="604"/>
      <c r="C166" s="604"/>
      <c r="D166" s="511" t="s">
        <v>186</v>
      </c>
      <c r="E166" s="514">
        <f t="shared" ref="E166:E172" si="16">E63</f>
        <v>0</v>
      </c>
      <c r="F166" s="514">
        <f t="shared" ref="F166:F172" si="17">F63</f>
        <v>0</v>
      </c>
      <c r="G166" s="1330">
        <f t="shared" ref="G166:G172" si="18">F166-E166</f>
        <v>0</v>
      </c>
      <c r="H166" s="538">
        <v>0</v>
      </c>
    </row>
    <row r="167" spans="1:8" ht="27.75">
      <c r="A167" s="1546" t="s">
        <v>98</v>
      </c>
      <c r="B167" s="1546"/>
      <c r="C167" s="1546"/>
      <c r="D167" s="523" t="s">
        <v>186</v>
      </c>
      <c r="E167" s="514">
        <f t="shared" si="16"/>
        <v>166627.75</v>
      </c>
      <c r="F167" s="514">
        <f t="shared" si="17"/>
        <v>167012.26</v>
      </c>
      <c r="G167" s="1330">
        <f t="shared" si="18"/>
        <v>384.51000000000931</v>
      </c>
      <c r="H167" s="538">
        <v>178.5199999999968</v>
      </c>
    </row>
    <row r="168" spans="1:8" ht="27.75">
      <c r="A168" s="1546" t="s">
        <v>99</v>
      </c>
      <c r="B168" s="1546"/>
      <c r="C168" s="1546"/>
      <c r="D168" s="523" t="s">
        <v>186</v>
      </c>
      <c r="E168" s="514">
        <f t="shared" si="16"/>
        <v>166980.74</v>
      </c>
      <c r="F168" s="514">
        <f t="shared" si="17"/>
        <v>167241.76999999999</v>
      </c>
      <c r="G168" s="1330">
        <f t="shared" si="18"/>
        <v>261.02999999999884</v>
      </c>
      <c r="H168" s="538">
        <v>198.38999999999942</v>
      </c>
    </row>
    <row r="169" spans="1:8" ht="27.75">
      <c r="A169" s="1546" t="s">
        <v>100</v>
      </c>
      <c r="B169" s="1546"/>
      <c r="C169" s="1546"/>
      <c r="D169" s="523" t="s">
        <v>186</v>
      </c>
      <c r="E169" s="514">
        <f t="shared" si="16"/>
        <v>64226.15</v>
      </c>
      <c r="F169" s="514">
        <f t="shared" si="17"/>
        <v>64618.53</v>
      </c>
      <c r="G169" s="1330">
        <f t="shared" si="18"/>
        <v>392.37999999999738</v>
      </c>
      <c r="H169" s="538">
        <v>226.35000000000582</v>
      </c>
    </row>
    <row r="170" spans="1:8" ht="27.75">
      <c r="A170" s="1546" t="s">
        <v>101</v>
      </c>
      <c r="B170" s="1546"/>
      <c r="C170" s="1546"/>
      <c r="D170" s="523" t="s">
        <v>186</v>
      </c>
      <c r="E170" s="514">
        <f t="shared" si="16"/>
        <v>260958</v>
      </c>
      <c r="F170" s="514">
        <f t="shared" si="17"/>
        <v>261392</v>
      </c>
      <c r="G170" s="1330">
        <f t="shared" si="18"/>
        <v>434</v>
      </c>
      <c r="H170" s="538">
        <v>312.47000000000116</v>
      </c>
    </row>
    <row r="171" spans="1:8" ht="27.75">
      <c r="A171" s="1546" t="s">
        <v>102</v>
      </c>
      <c r="B171" s="1546"/>
      <c r="C171" s="1546"/>
      <c r="D171" s="523" t="s">
        <v>186</v>
      </c>
      <c r="E171" s="514">
        <f t="shared" si="16"/>
        <v>85321</v>
      </c>
      <c r="F171" s="514">
        <f t="shared" si="17"/>
        <v>85321</v>
      </c>
      <c r="G171" s="1330">
        <f t="shared" si="18"/>
        <v>0</v>
      </c>
      <c r="H171" s="538">
        <v>142.1200000000008</v>
      </c>
    </row>
    <row r="172" spans="1:8" ht="27.75">
      <c r="A172" s="1546" t="s">
        <v>103</v>
      </c>
      <c r="B172" s="1546"/>
      <c r="C172" s="1546"/>
      <c r="D172" s="523" t="s">
        <v>186</v>
      </c>
      <c r="E172" s="514">
        <f t="shared" si="16"/>
        <v>85351.83</v>
      </c>
      <c r="F172" s="514">
        <f t="shared" si="17"/>
        <v>85602.95</v>
      </c>
      <c r="G172" s="1330">
        <f t="shared" si="18"/>
        <v>251.11999999999534</v>
      </c>
      <c r="H172" s="538">
        <v>12.869999999998981</v>
      </c>
    </row>
    <row r="173" spans="1:8" ht="27.75" customHeight="1">
      <c r="G173" s="1355">
        <f>SUM(G161:G172)</f>
        <v>2478.3900000000058</v>
      </c>
    </row>
    <row r="174" spans="1:8" ht="27.75">
      <c r="A174" s="1546" t="s">
        <v>345</v>
      </c>
      <c r="B174" s="1546"/>
      <c r="C174" s="1546"/>
      <c r="D174" s="523" t="s">
        <v>186</v>
      </c>
      <c r="E174" s="658">
        <f>'21'!F174</f>
        <v>28171.439999999999</v>
      </c>
      <c r="F174" s="514">
        <v>28182.46</v>
      </c>
      <c r="G174" s="1330">
        <f t="shared" ref="G174:G177" si="19">F174-E174</f>
        <v>11.020000000000437</v>
      </c>
    </row>
    <row r="175" spans="1:8">
      <c r="A175" s="1587" t="s">
        <v>352</v>
      </c>
      <c r="B175" s="1550"/>
      <c r="C175" s="785"/>
      <c r="D175" s="523" t="s">
        <v>186</v>
      </c>
      <c r="E175" s="658">
        <f>'21'!F175</f>
        <v>18960.7</v>
      </c>
      <c r="F175" s="514">
        <v>18965.8</v>
      </c>
      <c r="G175" s="1330">
        <f t="shared" si="19"/>
        <v>5.0999999999985448</v>
      </c>
    </row>
    <row r="176" spans="1:8">
      <c r="A176" s="1587" t="s">
        <v>353</v>
      </c>
      <c r="B176" s="1550"/>
      <c r="C176" s="785"/>
      <c r="D176" s="523" t="s">
        <v>186</v>
      </c>
      <c r="E176" s="658">
        <f>'21'!F176</f>
        <v>27591.3</v>
      </c>
      <c r="F176" s="514">
        <v>27595.4</v>
      </c>
      <c r="G176" s="1330">
        <f t="shared" si="19"/>
        <v>4.1000000000021828</v>
      </c>
    </row>
    <row r="177" spans="1:7">
      <c r="A177" s="1587" t="s">
        <v>352</v>
      </c>
      <c r="B177" s="1550"/>
      <c r="D177" s="523" t="s">
        <v>186</v>
      </c>
      <c r="E177" s="658">
        <v>70163.8</v>
      </c>
      <c r="F177" s="1494">
        <v>70187.7</v>
      </c>
      <c r="G177" s="1330">
        <f t="shared" si="19"/>
        <v>23.899999999994179</v>
      </c>
    </row>
  </sheetData>
  <mergeCells count="78">
    <mergeCell ref="A177:B177"/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38" zoomScale="70" zoomScaleNormal="80" zoomScaleSheetLayoutView="70" workbookViewId="0">
      <selection activeCell="F15" sqref="F1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5.88671875" style="1003" customWidth="1"/>
    <col min="4" max="4" width="13.6640625" style="1003" customWidth="1"/>
    <col min="5" max="5" width="32.109375" style="1003" customWidth="1"/>
    <col min="6" max="6" width="30" style="1003" customWidth="1"/>
    <col min="7" max="7" width="20.33203125" style="1003" customWidth="1"/>
    <col min="8" max="8" width="39.21875" style="1004" customWidth="1"/>
    <col min="9" max="9" width="11.21875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2.5">
      <c r="A1" s="1668" t="s">
        <v>116</v>
      </c>
      <c r="B1" s="1669"/>
      <c r="C1" s="1669"/>
      <c r="D1" s="1669"/>
      <c r="E1" s="1669"/>
      <c r="F1" s="1669"/>
      <c r="G1" s="1669"/>
      <c r="H1" s="1669"/>
      <c r="I1" s="1669"/>
      <c r="J1" s="1670"/>
      <c r="K1" s="805">
        <v>10002.799999999999</v>
      </c>
    </row>
    <row r="2" spans="1:15">
      <c r="A2" s="806" t="s">
        <v>368</v>
      </c>
      <c r="B2" s="1076">
        <v>44370</v>
      </c>
      <c r="C2" s="807" t="s">
        <v>68</v>
      </c>
      <c r="D2" s="808">
        <v>0.52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13">
        <v>30</v>
      </c>
      <c r="E3" s="1677" t="s">
        <v>120</v>
      </c>
      <c r="F3" s="1678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808">
        <v>0.78</v>
      </c>
      <c r="E4" s="821"/>
      <c r="F4" s="821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71" t="s">
        <v>129</v>
      </c>
      <c r="B6" s="1672"/>
      <c r="C6" s="1673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3.25" thickBot="1">
      <c r="A7" s="836" t="s">
        <v>130</v>
      </c>
      <c r="B7" s="837"/>
      <c r="C7" s="837"/>
      <c r="D7" s="838" t="s">
        <v>131</v>
      </c>
      <c r="E7" s="839">
        <f>'22'!F7</f>
        <v>394795.56</v>
      </c>
      <c r="F7" s="455">
        <f>E7+21500</f>
        <v>416295.56</v>
      </c>
      <c r="G7" s="840">
        <f>F7-E7</f>
        <v>21500</v>
      </c>
      <c r="H7" s="841">
        <f>G7+'22'!H7</f>
        <v>494342.56000000006</v>
      </c>
      <c r="I7" s="842">
        <f>'1'!I7</f>
        <v>12000</v>
      </c>
      <c r="J7" s="843">
        <f>H7/DAY(B2)</f>
        <v>21493.154782608697</v>
      </c>
      <c r="K7" s="844"/>
      <c r="L7" s="818"/>
      <c r="O7" s="845"/>
    </row>
    <row r="8" spans="1:15" ht="23.25" thickBot="1">
      <c r="A8" s="846" t="s">
        <v>132</v>
      </c>
      <c r="B8" s="847"/>
      <c r="C8" s="848"/>
      <c r="D8" s="849" t="s">
        <v>25</v>
      </c>
      <c r="E8" s="839">
        <f>'22'!F8</f>
        <v>400453.79</v>
      </c>
      <c r="F8" s="475">
        <f>E8+21500</f>
        <v>421953.79</v>
      </c>
      <c r="G8" s="850">
        <f>F8-E8</f>
        <v>21500</v>
      </c>
      <c r="H8" s="841">
        <f>G8+'22'!H8</f>
        <v>495231.79</v>
      </c>
      <c r="I8" s="851">
        <f>'1'!I8</f>
        <v>12000</v>
      </c>
      <c r="J8" s="843">
        <f>H8/DAY(B2)</f>
        <v>21531.816956521739</v>
      </c>
      <c r="K8" s="844"/>
      <c r="L8" s="852"/>
      <c r="M8" s="853"/>
      <c r="O8" s="845"/>
    </row>
    <row r="9" spans="1:15">
      <c r="A9" s="854" t="s">
        <v>133</v>
      </c>
      <c r="B9" s="855"/>
      <c r="C9" s="855"/>
      <c r="D9" s="838" t="s">
        <v>131</v>
      </c>
      <c r="E9" s="839">
        <f>'22'!F9</f>
        <v>1873128.53</v>
      </c>
      <c r="F9" s="856">
        <v>1892007.7</v>
      </c>
      <c r="G9" s="840">
        <f t="shared" ref="G9:G12" si="0">F9-E9</f>
        <v>18879.169999999925</v>
      </c>
      <c r="H9" s="841">
        <f>G9+'22'!H9</f>
        <v>-138994.30000000005</v>
      </c>
      <c r="I9" s="857">
        <f>I8-J8</f>
        <v>-9531.8169565217395</v>
      </c>
      <c r="J9" s="843">
        <f>H9/DAY(B2)</f>
        <v>-6043.2304347826112</v>
      </c>
      <c r="K9" s="858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'22'!F10</f>
        <v>0</v>
      </c>
      <c r="F10" s="856">
        <v>0</v>
      </c>
      <c r="G10" s="840">
        <f t="shared" si="0"/>
        <v>0</v>
      </c>
      <c r="H10" s="841">
        <f>G10+'22'!H10</f>
        <v>0.29999999999972715</v>
      </c>
      <c r="I10" s="859"/>
      <c r="J10" s="843">
        <f>H10/DAY(B2)</f>
        <v>1.3043478260857702E-2</v>
      </c>
      <c r="K10" s="858"/>
      <c r="L10" s="818"/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'22'!F11</f>
        <v>37000</v>
      </c>
      <c r="F11" s="839">
        <v>37000</v>
      </c>
      <c r="G11" s="840">
        <f t="shared" si="0"/>
        <v>0</v>
      </c>
      <c r="H11" s="841">
        <f>G11+'22'!H11</f>
        <v>0</v>
      </c>
      <c r="I11" s="859"/>
      <c r="J11" s="843">
        <f>H11/DAY(B2)</f>
        <v>0</v>
      </c>
      <c r="K11" s="858"/>
      <c r="L11" s="818"/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'22'!F12</f>
        <v>40010</v>
      </c>
      <c r="F12" s="856">
        <v>40010</v>
      </c>
      <c r="G12" s="840">
        <f t="shared" si="0"/>
        <v>0</v>
      </c>
      <c r="H12" s="841">
        <f>G12+'22'!H12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137</v>
      </c>
      <c r="B13" s="861"/>
      <c r="C13" s="861"/>
      <c r="D13" s="838"/>
      <c r="E13" s="839"/>
      <c r="F13" s="839"/>
      <c r="G13" s="862">
        <f>G9+G10+G11+G12</f>
        <v>18879.169999999925</v>
      </c>
      <c r="H13" s="841">
        <f>G13+'22'!H13</f>
        <v>-155519.00000000006</v>
      </c>
      <c r="I13" s="863">
        <f>G7-G13</f>
        <v>2620.8300000000745</v>
      </c>
      <c r="J13" s="843">
        <f>H13/DAY(B2)</f>
        <v>-6761.6956521739157</v>
      </c>
      <c r="K13" s="858"/>
      <c r="L13" s="818"/>
      <c r="O13" s="845"/>
    </row>
    <row r="14" spans="1:15">
      <c r="A14" s="1674" t="s">
        <v>138</v>
      </c>
      <c r="B14" s="1675"/>
      <c r="C14" s="1676"/>
      <c r="D14" s="833"/>
      <c r="E14" s="833"/>
      <c r="F14" s="833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'22'!F15</f>
        <v>1719667.16</v>
      </c>
      <c r="F15" s="700">
        <f>E15+700</f>
        <v>1720367.16</v>
      </c>
      <c r="G15" s="1015">
        <f>(F15-E15)</f>
        <v>700</v>
      </c>
      <c r="H15" s="841">
        <f>G15+'22'!H15</f>
        <v>16684.159999999916</v>
      </c>
      <c r="I15" s="842">
        <f>'1'!I15</f>
        <v>800</v>
      </c>
      <c r="J15" s="843">
        <f>H15/DAY(B2)</f>
        <v>725.39826086956157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872"/>
      <c r="G16" s="840"/>
      <c r="H16" s="873"/>
      <c r="I16" s="874">
        <f>I15-J15</f>
        <v>74.601739130438432</v>
      </c>
      <c r="J16" s="875"/>
      <c r="K16" s="858"/>
      <c r="L16" s="818"/>
      <c r="O16" s="845"/>
    </row>
    <row r="17" spans="1:15">
      <c r="A17" s="1674" t="s">
        <v>141</v>
      </c>
      <c r="B17" s="1675"/>
      <c r="C17" s="1676"/>
      <c r="D17" s="833"/>
      <c r="E17" s="833"/>
      <c r="F17" s="833"/>
      <c r="G17" s="876"/>
      <c r="H17" s="833"/>
      <c r="I17" s="833"/>
      <c r="J17" s="834"/>
      <c r="K17" s="858"/>
      <c r="L17" s="818"/>
      <c r="O17" s="845"/>
    </row>
    <row r="18" spans="1:15">
      <c r="A18" s="1649" t="s">
        <v>142</v>
      </c>
      <c r="B18" s="1650"/>
      <c r="C18" s="1651"/>
      <c r="D18" s="838" t="s">
        <v>143</v>
      </c>
      <c r="E18" s="839">
        <f>'22'!F18</f>
        <v>9</v>
      </c>
      <c r="F18" s="868">
        <v>4</v>
      </c>
      <c r="G18" s="862">
        <f>F18*10</f>
        <v>40</v>
      </c>
      <c r="H18" s="841">
        <f>G18+'22'!H18</f>
        <v>2250</v>
      </c>
      <c r="I18" s="842">
        <f>'1'!I18</f>
        <v>65</v>
      </c>
      <c r="J18" s="843">
        <f>H18/DAY(B2)</f>
        <v>97.826086956521735</v>
      </c>
      <c r="K18" s="858"/>
      <c r="L18" s="818"/>
      <c r="O18" s="845"/>
    </row>
    <row r="19" spans="1:15">
      <c r="A19" s="1649" t="s">
        <v>70</v>
      </c>
      <c r="B19" s="1650"/>
      <c r="C19" s="1651"/>
      <c r="D19" s="838" t="s">
        <v>143</v>
      </c>
      <c r="E19" s="839">
        <f>'22'!F19</f>
        <v>140993</v>
      </c>
      <c r="F19" s="868">
        <v>141054</v>
      </c>
      <c r="G19" s="840">
        <f t="shared" ref="G19" si="1">F19-E19</f>
        <v>61</v>
      </c>
      <c r="H19" s="841">
        <f>G19+'22'!H19</f>
        <v>-441</v>
      </c>
      <c r="I19" s="842">
        <f>'1'!I19</f>
        <v>0</v>
      </c>
      <c r="J19" s="843">
        <f>H19/DAY(B2)</f>
        <v>-19.173913043478262</v>
      </c>
      <c r="K19" s="858"/>
      <c r="L19" s="818"/>
      <c r="N19" s="1006">
        <v>126171</v>
      </c>
      <c r="O19" s="845"/>
    </row>
    <row r="20" spans="1:15">
      <c r="A20" s="860" t="s">
        <v>144</v>
      </c>
      <c r="B20" s="861"/>
      <c r="C20" s="861"/>
      <c r="D20" s="878"/>
      <c r="E20" s="878"/>
      <c r="F20" s="878"/>
      <c r="G20" s="879">
        <f>G18+G19</f>
        <v>101</v>
      </c>
      <c r="H20" s="841">
        <f>G20+'22'!H20</f>
        <v>1809</v>
      </c>
      <c r="I20" s="880">
        <f>I18-J20</f>
        <v>-13.652173913043484</v>
      </c>
      <c r="J20" s="843">
        <f>H20/DAY(B2)</f>
        <v>78.652173913043484</v>
      </c>
      <c r="K20" s="858"/>
      <c r="L20" s="818"/>
      <c r="N20" s="1006">
        <f>N19-F19</f>
        <v>-14883</v>
      </c>
      <c r="O20" s="845"/>
    </row>
    <row r="21" spans="1:15">
      <c r="A21" s="1674" t="s">
        <v>145</v>
      </c>
      <c r="B21" s="1675"/>
      <c r="C21" s="1676"/>
      <c r="D21" s="833"/>
      <c r="E21" s="833"/>
      <c r="F21" s="833"/>
      <c r="G21" s="864"/>
      <c r="H21" s="833"/>
      <c r="I21" s="833"/>
      <c r="J21" s="834"/>
      <c r="K21" s="858"/>
      <c r="L21" s="818"/>
      <c r="O21" s="845"/>
    </row>
    <row r="22" spans="1:15">
      <c r="A22" s="866" t="s">
        <v>146</v>
      </c>
      <c r="B22" s="867"/>
      <c r="C22" s="867"/>
      <c r="D22" s="838" t="s">
        <v>147</v>
      </c>
      <c r="E22" s="868">
        <v>2970</v>
      </c>
      <c r="F22" s="868">
        <v>2970</v>
      </c>
      <c r="G22" s="862">
        <f t="shared" ref="G22" si="2">(F22-E22)</f>
        <v>0</v>
      </c>
      <c r="H22" s="841">
        <f>G22+'22'!H22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148</v>
      </c>
      <c r="B23" s="867"/>
      <c r="C23" s="867"/>
      <c r="D23" s="838" t="s">
        <v>147</v>
      </c>
      <c r="E23" s="868">
        <v>2000</v>
      </c>
      <c r="F23" s="868">
        <v>2000</v>
      </c>
      <c r="G23" s="862">
        <v>0</v>
      </c>
      <c r="H23" s="841">
        <f>G23+'22'!H23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149</v>
      </c>
      <c r="B24" s="882"/>
      <c r="C24" s="882"/>
      <c r="D24" s="825" t="s">
        <v>147</v>
      </c>
      <c r="E24" s="868">
        <v>4970</v>
      </c>
      <c r="F24" s="883">
        <v>4970</v>
      </c>
      <c r="G24" s="862">
        <v>0</v>
      </c>
      <c r="H24" s="841">
        <f>G24+'22'!H24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71" t="s">
        <v>150</v>
      </c>
      <c r="B25" s="1672"/>
      <c r="C25" s="1673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151</v>
      </c>
      <c r="B26" s="891"/>
      <c r="C26" s="892"/>
      <c r="D26" s="893" t="s">
        <v>152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>
      <c r="A27" s="890" t="s">
        <v>6</v>
      </c>
      <c r="B27" s="891"/>
      <c r="C27" s="892"/>
      <c r="D27" s="897" t="s">
        <v>25</v>
      </c>
      <c r="E27" s="898">
        <f>G8</f>
        <v>21500</v>
      </c>
      <c r="F27" s="899">
        <v>9</v>
      </c>
      <c r="G27" s="900">
        <f>E27*F27</f>
        <v>193500</v>
      </c>
      <c r="H27" s="841">
        <f>G27+'22'!H27</f>
        <v>4457086.1099999994</v>
      </c>
      <c r="I27" s="901"/>
      <c r="J27" s="843">
        <f>H27/DAY(B2)</f>
        <v>193786.35260869563</v>
      </c>
      <c r="K27" s="858"/>
      <c r="L27" s="888"/>
      <c r="N27" s="1007"/>
      <c r="O27" s="845"/>
    </row>
    <row r="28" spans="1:15" s="889" customFormat="1">
      <c r="A28" s="890" t="s">
        <v>153</v>
      </c>
      <c r="B28" s="891"/>
      <c r="C28" s="892"/>
      <c r="D28" s="897" t="s">
        <v>154</v>
      </c>
      <c r="E28" s="898">
        <f>G15</f>
        <v>700</v>
      </c>
      <c r="F28" s="899">
        <v>52</v>
      </c>
      <c r="G28" s="900">
        <f>E28*F28</f>
        <v>36400</v>
      </c>
      <c r="H28" s="841">
        <f>G28+'22'!H28</f>
        <v>867576.31999999564</v>
      </c>
      <c r="I28" s="902"/>
      <c r="J28" s="843">
        <f>H28/DAY(B2)</f>
        <v>37720.709565217199</v>
      </c>
      <c r="K28" s="858"/>
      <c r="L28" s="888"/>
      <c r="N28" s="1007"/>
      <c r="O28" s="845"/>
    </row>
    <row r="29" spans="1:15" s="889" customFormat="1">
      <c r="A29" s="890" t="s">
        <v>155</v>
      </c>
      <c r="B29" s="891"/>
      <c r="C29" s="892"/>
      <c r="D29" s="897" t="s">
        <v>156</v>
      </c>
      <c r="E29" s="898">
        <f>G24</f>
        <v>0</v>
      </c>
      <c r="F29" s="899">
        <v>69</v>
      </c>
      <c r="G29" s="900">
        <f>E29*F29</f>
        <v>0</v>
      </c>
      <c r="H29" s="841">
        <f>G29+'22'!H29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157</v>
      </c>
      <c r="B30" s="891"/>
      <c r="C30" s="892"/>
      <c r="D30" s="897" t="s">
        <v>158</v>
      </c>
      <c r="E30" s="898">
        <f>G19</f>
        <v>61</v>
      </c>
      <c r="F30" s="899">
        <v>146</v>
      </c>
      <c r="G30" s="900">
        <f>E30*F30</f>
        <v>8906</v>
      </c>
      <c r="H30" s="841">
        <f>G30+'22'!H30</f>
        <v>-64970</v>
      </c>
      <c r="I30" s="902"/>
      <c r="J30" s="843">
        <f>H30/DAY(B2)</f>
        <v>-2824.782608695652</v>
      </c>
      <c r="K30" s="858"/>
      <c r="L30" s="888"/>
      <c r="N30" s="1007"/>
      <c r="O30" s="845"/>
    </row>
    <row r="31" spans="1:15" s="889" customFormat="1">
      <c r="A31" s="890" t="s">
        <v>159</v>
      </c>
      <c r="B31" s="891"/>
      <c r="C31" s="892"/>
      <c r="D31" s="897" t="s">
        <v>143</v>
      </c>
      <c r="E31" s="898">
        <f>G18</f>
        <v>40</v>
      </c>
      <c r="F31" s="899">
        <v>80</v>
      </c>
      <c r="G31" s="900">
        <f>E31*F31</f>
        <v>3200</v>
      </c>
      <c r="H31" s="841">
        <f>G31+'22'!H31</f>
        <v>174400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160</v>
      </c>
      <c r="B32" s="904"/>
      <c r="C32" s="905"/>
      <c r="D32" s="906"/>
      <c r="E32" s="906"/>
      <c r="F32" s="906"/>
      <c r="G32" s="907">
        <f>G27+G28+G29+G30+G31</f>
        <v>242006</v>
      </c>
      <c r="H32" s="841">
        <f>G32+'22'!H32</f>
        <v>5434092.429999995</v>
      </c>
      <c r="I32" s="908"/>
      <c r="J32" s="843">
        <f>H32/DAY(B2)</f>
        <v>236264.88826086934</v>
      </c>
      <c r="K32" s="858"/>
      <c r="L32" s="888"/>
      <c r="N32" s="1007"/>
      <c r="O32" s="845"/>
    </row>
    <row r="33" spans="1:15" ht="18.75">
      <c r="A33" s="1679" t="s">
        <v>161</v>
      </c>
      <c r="B33" s="1680"/>
      <c r="C33" s="1680"/>
      <c r="D33" s="1680"/>
      <c r="E33" s="1680"/>
      <c r="F33" s="1680"/>
      <c r="G33" s="1680"/>
      <c r="H33" s="1680"/>
      <c r="I33" s="1680"/>
      <c r="J33" s="1681"/>
      <c r="K33" s="858"/>
      <c r="L33" s="818"/>
      <c r="O33" s="845"/>
    </row>
    <row r="34" spans="1:15">
      <c r="A34" s="909" t="s">
        <v>162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'22'!F35</f>
        <v>1006080</v>
      </c>
      <c r="F35" s="911">
        <v>1008757.5</v>
      </c>
      <c r="G35" s="840">
        <f t="shared" ref="G35:G46" si="3">F35-E35</f>
        <v>2677.5</v>
      </c>
      <c r="H35" s="841">
        <f>G35+'22'!H35</f>
        <v>-19956.5</v>
      </c>
      <c r="I35" s="839"/>
      <c r="J35" s="843">
        <f>H35/DAY(B2)</f>
        <v>-867.67391304347825</v>
      </c>
      <c r="K35" s="858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'22'!F36</f>
        <v>14565.67</v>
      </c>
      <c r="F36" s="911">
        <v>15227.98</v>
      </c>
      <c r="G36" s="840">
        <f t="shared" si="3"/>
        <v>662.30999999999949</v>
      </c>
      <c r="H36" s="841">
        <f>G36+'22'!H36</f>
        <v>-5233.0200000000004</v>
      </c>
      <c r="I36" s="839"/>
      <c r="J36" s="843">
        <f>H36/DAY(B2)</f>
        <v>-227.5226086956522</v>
      </c>
      <c r="K36" s="858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'22'!F37</f>
        <v>164855.25</v>
      </c>
      <c r="F37" s="911">
        <v>166269.59</v>
      </c>
      <c r="G37" s="840">
        <f t="shared" si="3"/>
        <v>1414.3399999999965</v>
      </c>
      <c r="H37" s="841">
        <f>G37+'22'!H37</f>
        <v>-10300.410000000003</v>
      </c>
      <c r="I37" s="839"/>
      <c r="J37" s="843">
        <f>H37/DAY(B2)</f>
        <v>-447.84391304347844</v>
      </c>
      <c r="K37" s="858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'22'!F38</f>
        <v>185915.75</v>
      </c>
      <c r="F38" s="828">
        <v>187269.97</v>
      </c>
      <c r="G38" s="840">
        <f t="shared" si="3"/>
        <v>1354.2200000000012</v>
      </c>
      <c r="H38" s="841">
        <f>G38+'22'!H38</f>
        <v>-11189.029999999999</v>
      </c>
      <c r="I38" s="839"/>
      <c r="J38" s="843">
        <f>H38/DAY(B2)</f>
        <v>-486.47956521739127</v>
      </c>
      <c r="K38" s="858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'22'!F39</f>
        <v>375879.99</v>
      </c>
      <c r="F39" s="911">
        <v>379312.95</v>
      </c>
      <c r="G39" s="840">
        <f t="shared" si="3"/>
        <v>3432.960000000021</v>
      </c>
      <c r="H39" s="841">
        <f>G39+'22'!H39</f>
        <v>-25551.049999999988</v>
      </c>
      <c r="I39" s="839"/>
      <c r="J39" s="843">
        <f>H39/DAY(B2)</f>
        <v>-1110.9152173913039</v>
      </c>
      <c r="K39" s="858"/>
      <c r="L39" s="818"/>
      <c r="O39" s="845"/>
    </row>
    <row r="40" spans="1:15">
      <c r="A40" s="912" t="s">
        <v>168</v>
      </c>
      <c r="B40" s="913"/>
      <c r="C40" s="913"/>
      <c r="D40" s="838" t="s">
        <v>131</v>
      </c>
      <c r="E40" s="839">
        <f>'22'!F40</f>
        <v>4607.82</v>
      </c>
      <c r="F40" s="911">
        <v>4932.5</v>
      </c>
      <c r="G40" s="840">
        <f t="shared" si="3"/>
        <v>324.68000000000029</v>
      </c>
      <c r="H40" s="841">
        <f>G40+'22'!H40</f>
        <v>-2180.5</v>
      </c>
      <c r="I40" s="839"/>
      <c r="J40" s="843">
        <f>H40/DAY(B2)</f>
        <v>-94.804347826086953</v>
      </c>
      <c r="K40" s="865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'22'!F41</f>
        <v>308352.25</v>
      </c>
      <c r="F41" s="911">
        <v>309426.43</v>
      </c>
      <c r="G41" s="840">
        <f t="shared" si="3"/>
        <v>1074.179999999993</v>
      </c>
      <c r="H41" s="841">
        <f>G41+'22'!H41</f>
        <v>-20215.570000000007</v>
      </c>
      <c r="I41" s="839"/>
      <c r="J41" s="843">
        <f>H41/DAY(B2)</f>
        <v>-878.93782608695687</v>
      </c>
      <c r="K41" s="858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'22'!F42</f>
        <v>59210.080000000002</v>
      </c>
      <c r="F42" s="911">
        <v>59210.080000000002</v>
      </c>
      <c r="G42" s="840">
        <f t="shared" si="3"/>
        <v>0</v>
      </c>
      <c r="H42" s="841">
        <f>G42+'22'!H42</f>
        <v>11.190000000002328</v>
      </c>
      <c r="I42" s="839"/>
      <c r="J42" s="843">
        <f>H42/DAY(B2)</f>
        <v>0.48652173913053604</v>
      </c>
      <c r="K42" s="858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'22'!F43</f>
        <v>1098241.1000000001</v>
      </c>
      <c r="F43" s="911">
        <v>1100983.7</v>
      </c>
      <c r="G43" s="840">
        <f t="shared" si="3"/>
        <v>2742.5999999998603</v>
      </c>
      <c r="H43" s="841">
        <f>G43+'22'!H43</f>
        <v>-19468.300000000047</v>
      </c>
      <c r="I43" s="839"/>
      <c r="J43" s="843">
        <f>H43/DAY(B2)</f>
        <v>-846.44782608695857</v>
      </c>
      <c r="K43" s="858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'22'!F44</f>
        <v>0</v>
      </c>
      <c r="F44" s="911">
        <v>0</v>
      </c>
      <c r="G44" s="840">
        <f t="shared" si="3"/>
        <v>0</v>
      </c>
      <c r="H44" s="841">
        <f>G44+'22'!H44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'22'!F45</f>
        <v>0</v>
      </c>
      <c r="F45" s="911">
        <v>0</v>
      </c>
      <c r="G45" s="840">
        <f t="shared" si="3"/>
        <v>0</v>
      </c>
      <c r="H45" s="841">
        <f>G45+'22'!H45</f>
        <v>0</v>
      </c>
      <c r="I45" s="839"/>
      <c r="J45" s="843">
        <f>H45/DAY(B2)</f>
        <v>0</v>
      </c>
      <c r="K45" s="858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'22'!F46</f>
        <v>0</v>
      </c>
      <c r="F46" s="911">
        <v>0</v>
      </c>
      <c r="G46" s="840">
        <f t="shared" si="3"/>
        <v>0</v>
      </c>
      <c r="H46" s="841">
        <f>G46+'22'!H46</f>
        <v>-5.0000000000011369E-2</v>
      </c>
      <c r="I46" s="839"/>
      <c r="J46" s="843">
        <f>H46/DAY(B2)</f>
        <v>-2.1739130434787553E-3</v>
      </c>
      <c r="K46" s="858"/>
      <c r="L46" s="818"/>
      <c r="O46" s="845"/>
    </row>
    <row r="47" spans="1:15">
      <c r="A47" s="860" t="s">
        <v>175</v>
      </c>
      <c r="B47" s="861"/>
      <c r="C47" s="861"/>
      <c r="D47" s="829"/>
      <c r="E47" s="825"/>
      <c r="F47" s="825"/>
      <c r="G47" s="862">
        <f>G35+G36+G37+G38+G39+G40+G41+G42+G43+G44+G45+G46</f>
        <v>13682.789999999872</v>
      </c>
      <c r="H47" s="841">
        <f>G47+'22'!H47</f>
        <v>-113281.74999999999</v>
      </c>
      <c r="I47" s="839"/>
      <c r="J47" s="843">
        <f>H47/DAY(B2)</f>
        <v>-4925.2934782608691</v>
      </c>
      <c r="K47" s="858"/>
      <c r="L47" s="818"/>
      <c r="N47" s="1008"/>
      <c r="O47" s="845"/>
    </row>
    <row r="48" spans="1:15">
      <c r="A48" s="909" t="s">
        <v>176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>
      <c r="A49" s="836" t="s">
        <v>163</v>
      </c>
      <c r="B49" s="914"/>
      <c r="C49" s="914"/>
      <c r="D49" s="838" t="s">
        <v>131</v>
      </c>
      <c r="E49" s="839">
        <f>'22'!F49</f>
        <v>260732.13</v>
      </c>
      <c r="F49" s="911">
        <v>260732.12</v>
      </c>
      <c r="G49" s="840">
        <f t="shared" ref="G49:G58" si="4">F49-E49</f>
        <v>-1.0000000009313226E-2</v>
      </c>
      <c r="H49" s="841">
        <f>G49+'22'!H49</f>
        <v>0.11999999999534339</v>
      </c>
      <c r="I49" s="839"/>
      <c r="J49" s="843">
        <f>H49/DAY(B2)</f>
        <v>5.2173913041453643E-3</v>
      </c>
      <c r="K49" s="858"/>
      <c r="L49" s="818"/>
      <c r="O49" s="845"/>
    </row>
    <row r="50" spans="1:15">
      <c r="A50" s="836" t="s">
        <v>177</v>
      </c>
      <c r="B50" s="914"/>
      <c r="C50" s="914"/>
      <c r="D50" s="838" t="s">
        <v>131</v>
      </c>
      <c r="E50" s="839">
        <f>'22'!F50</f>
        <v>525794.99</v>
      </c>
      <c r="F50" s="1452">
        <v>526784.39</v>
      </c>
      <c r="G50" s="840">
        <f t="shared" si="4"/>
        <v>989.40000000002328</v>
      </c>
      <c r="H50" s="841">
        <f>G50+'22'!H50</f>
        <v>-8768.609999999986</v>
      </c>
      <c r="I50" s="839"/>
      <c r="J50" s="843">
        <f>H50/DAY(B2)</f>
        <v>-381.24391304347768</v>
      </c>
      <c r="K50" s="858"/>
      <c r="L50" s="818"/>
      <c r="O50" s="845"/>
    </row>
    <row r="51" spans="1:15">
      <c r="A51" s="836" t="s">
        <v>165</v>
      </c>
      <c r="B51" s="914"/>
      <c r="C51" s="914"/>
      <c r="D51" s="838" t="s">
        <v>131</v>
      </c>
      <c r="E51" s="839">
        <f>'22'!F51</f>
        <v>144639.87</v>
      </c>
      <c r="F51" s="911">
        <v>144639.87</v>
      </c>
      <c r="G51" s="840">
        <f t="shared" si="4"/>
        <v>0</v>
      </c>
      <c r="H51" s="841">
        <f>G51+'22'!H51</f>
        <v>-0.13000000000465661</v>
      </c>
      <c r="I51" s="839"/>
      <c r="J51" s="843">
        <f>H51/DAY(B2)</f>
        <v>-5.6521739132459397E-3</v>
      </c>
      <c r="K51" s="858"/>
      <c r="L51" s="818"/>
      <c r="O51" s="845"/>
    </row>
    <row r="52" spans="1:15">
      <c r="A52" s="836" t="s">
        <v>178</v>
      </c>
      <c r="B52" s="914"/>
      <c r="C52" s="914"/>
      <c r="D52" s="838" t="s">
        <v>131</v>
      </c>
      <c r="E52" s="839">
        <f>'22'!F52</f>
        <v>539606.06999999995</v>
      </c>
      <c r="F52" s="911">
        <v>539606.06999999995</v>
      </c>
      <c r="G52" s="840">
        <f t="shared" si="4"/>
        <v>0</v>
      </c>
      <c r="H52" s="841">
        <f>G52+'22'!H52</f>
        <v>0</v>
      </c>
      <c r="I52" s="839"/>
      <c r="J52" s="843">
        <f>H52/DAY(B2)</f>
        <v>0</v>
      </c>
      <c r="K52" s="858"/>
      <c r="L52" s="818"/>
      <c r="O52" s="845"/>
    </row>
    <row r="53" spans="1:15">
      <c r="A53" s="836" t="s">
        <v>167</v>
      </c>
      <c r="B53" s="914"/>
      <c r="C53" s="914"/>
      <c r="D53" s="838" t="s">
        <v>131</v>
      </c>
      <c r="E53" s="839">
        <f>'22'!F53</f>
        <v>434231.59</v>
      </c>
      <c r="F53" s="911">
        <v>434231.59</v>
      </c>
      <c r="G53" s="840">
        <f t="shared" si="4"/>
        <v>0</v>
      </c>
      <c r="H53" s="841">
        <f>G53+'22'!H53</f>
        <v>-0.73999999999068677</v>
      </c>
      <c r="I53" s="839"/>
      <c r="J53" s="843">
        <f>H53/DAY(B2)</f>
        <v>-3.2173913043073335E-2</v>
      </c>
      <c r="K53" s="858"/>
      <c r="L53" s="818"/>
      <c r="O53" s="845"/>
    </row>
    <row r="54" spans="1:15">
      <c r="A54" s="836" t="s">
        <v>179</v>
      </c>
      <c r="B54" s="914"/>
      <c r="C54" s="914"/>
      <c r="D54" s="838" t="s">
        <v>131</v>
      </c>
      <c r="E54" s="839">
        <f>'22'!F54</f>
        <v>14967.39</v>
      </c>
      <c r="F54" s="911">
        <v>14967.41</v>
      </c>
      <c r="G54" s="840">
        <f t="shared" si="4"/>
        <v>2.0000000000436557E-2</v>
      </c>
      <c r="H54" s="841">
        <f>G54+'22'!H54</f>
        <v>-78.590000000000146</v>
      </c>
      <c r="I54" s="839"/>
      <c r="J54" s="843">
        <f>H54/DAY(B2)</f>
        <v>-3.4169565217391367</v>
      </c>
      <c r="K54" s="858"/>
      <c r="L54" s="818"/>
      <c r="O54" s="845"/>
    </row>
    <row r="55" spans="1:15">
      <c r="A55" s="836" t="s">
        <v>180</v>
      </c>
      <c r="B55" s="914"/>
      <c r="C55" s="914"/>
      <c r="D55" s="838" t="s">
        <v>131</v>
      </c>
      <c r="E55" s="839">
        <f>'22'!F55</f>
        <v>90898.63</v>
      </c>
      <c r="F55" s="911">
        <v>95646.2</v>
      </c>
      <c r="G55" s="840">
        <f t="shared" si="4"/>
        <v>4747.5699999999924</v>
      </c>
      <c r="H55" s="841">
        <f>G55+'22'!H55</f>
        <v>-21989.800000000003</v>
      </c>
      <c r="I55" s="839"/>
      <c r="J55" s="843">
        <f>H55/DAY(B2)</f>
        <v>-956.07826086956538</v>
      </c>
      <c r="K55" s="858"/>
      <c r="L55" s="818"/>
      <c r="O55" s="845"/>
    </row>
    <row r="56" spans="1:15">
      <c r="A56" s="836" t="s">
        <v>181</v>
      </c>
      <c r="B56" s="914"/>
      <c r="C56" s="914"/>
      <c r="D56" s="838" t="s">
        <v>182</v>
      </c>
      <c r="E56" s="839">
        <f>'22'!F56</f>
        <v>648949.79</v>
      </c>
      <c r="F56" s="911">
        <v>648959.99</v>
      </c>
      <c r="G56" s="840">
        <f t="shared" si="4"/>
        <v>10.199999999953434</v>
      </c>
      <c r="H56" s="841">
        <f>G56+'22'!H56</f>
        <v>-72.010000000009313</v>
      </c>
      <c r="I56" s="839"/>
      <c r="J56" s="843">
        <f>H56/DAY(B2)</f>
        <v>-3.1308695652177962</v>
      </c>
      <c r="K56" s="835"/>
      <c r="L56" s="818"/>
      <c r="O56" s="845"/>
    </row>
    <row r="57" spans="1:15">
      <c r="A57" s="836" t="s">
        <v>171</v>
      </c>
      <c r="B57" s="914"/>
      <c r="C57" s="914"/>
      <c r="D57" s="838" t="s">
        <v>131</v>
      </c>
      <c r="E57" s="839">
        <f>'22'!F57</f>
        <v>7711</v>
      </c>
      <c r="F57" s="911">
        <v>7711</v>
      </c>
      <c r="G57" s="840">
        <f t="shared" si="4"/>
        <v>0</v>
      </c>
      <c r="H57" s="841">
        <f>G57+'22'!H57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183</v>
      </c>
      <c r="B58" s="914"/>
      <c r="C58" s="914"/>
      <c r="D58" s="838" t="s">
        <v>131</v>
      </c>
      <c r="E58" s="839">
        <f>'22'!F58</f>
        <v>52761.38</v>
      </c>
      <c r="F58" s="911">
        <v>52843.42</v>
      </c>
      <c r="G58" s="840">
        <f t="shared" si="4"/>
        <v>82.040000000000873</v>
      </c>
      <c r="H58" s="841">
        <f>G58+'22'!H58</f>
        <v>-1381.7900000000009</v>
      </c>
      <c r="I58" s="839"/>
      <c r="J58" s="843">
        <f>H58/DAY(B2)</f>
        <v>-60.077826086956563</v>
      </c>
      <c r="K58" s="858"/>
      <c r="L58" s="818"/>
      <c r="O58" s="845"/>
    </row>
    <row r="59" spans="1:15">
      <c r="A59" s="860" t="s">
        <v>175</v>
      </c>
      <c r="B59" s="861"/>
      <c r="C59" s="861"/>
      <c r="D59" s="825"/>
      <c r="E59" s="825"/>
      <c r="F59" s="825"/>
      <c r="G59" s="862">
        <f>G49+G50+G51+G52+G53+G54+G55+G56+G57+G58</f>
        <v>5829.2199999999611</v>
      </c>
      <c r="H59" s="841">
        <f>G59+'22'!H59</f>
        <v>-32291.48000000005</v>
      </c>
      <c r="I59" s="839">
        <f>G7-G60</f>
        <v>1987.9900000001653</v>
      </c>
      <c r="J59" s="843">
        <f>H59/DAY(B2)</f>
        <v>-1403.97739130435</v>
      </c>
      <c r="K59" s="858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825"/>
      <c r="G60" s="862">
        <f>G47+G59</f>
        <v>19512.009999999835</v>
      </c>
      <c r="H60" s="841">
        <f>G60+'22'!H60</f>
        <v>-144364.69000000021</v>
      </c>
      <c r="I60" s="839">
        <f>G13-G60</f>
        <v>-632.8399999999092</v>
      </c>
      <c r="J60" s="843">
        <f>H60/DAY(B2)</f>
        <v>-6276.7256521739218</v>
      </c>
      <c r="K60" s="858"/>
      <c r="L60" s="818"/>
      <c r="O60" s="845"/>
    </row>
    <row r="61" spans="1:15">
      <c r="A61" s="915" t="s">
        <v>185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186</v>
      </c>
      <c r="E62" s="839">
        <f>'22'!F62</f>
        <v>20419.2</v>
      </c>
      <c r="F62" s="921">
        <v>20419</v>
      </c>
      <c r="G62" s="840">
        <f t="shared" ref="G62:G69" si="5">F62-E62</f>
        <v>-0.2000000000007276</v>
      </c>
      <c r="H62" s="841">
        <f>G62+'22'!H62</f>
        <v>1.9999999967694748E-3</v>
      </c>
      <c r="I62" s="922"/>
      <c r="J62" s="843">
        <f>H62/DAY(B2)</f>
        <v>8.6956521598672822E-5</v>
      </c>
      <c r="K62" s="858"/>
      <c r="L62" s="818"/>
      <c r="O62" s="845"/>
    </row>
    <row r="63" spans="1:15">
      <c r="A63" s="919" t="s">
        <v>187</v>
      </c>
      <c r="B63" s="920"/>
      <c r="C63" s="920"/>
      <c r="D63" s="825" t="s">
        <v>186</v>
      </c>
      <c r="E63" s="839">
        <f>'22'!F63</f>
        <v>0</v>
      </c>
      <c r="F63" s="921">
        <v>0</v>
      </c>
      <c r="G63" s="840">
        <f t="shared" si="5"/>
        <v>0</v>
      </c>
      <c r="H63" s="841">
        <f>G63+'22'!H63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55" t="s">
        <v>98</v>
      </c>
      <c r="B64" s="1656"/>
      <c r="C64" s="1657"/>
      <c r="D64" s="838" t="s">
        <v>186</v>
      </c>
      <c r="E64" s="839">
        <f>'22'!F64</f>
        <v>167012.26</v>
      </c>
      <c r="F64" s="868">
        <v>167394.59</v>
      </c>
      <c r="G64" s="840">
        <f t="shared" si="5"/>
        <v>382.32999999998719</v>
      </c>
      <c r="H64" s="841">
        <f>G64+'22'!H64</f>
        <v>-2627.4100000000035</v>
      </c>
      <c r="I64" s="859"/>
      <c r="J64" s="843">
        <f>H64/DAY(B2)</f>
        <v>-114.2352173913045</v>
      </c>
      <c r="K64" s="858"/>
      <c r="L64" s="818"/>
      <c r="O64" s="845"/>
    </row>
    <row r="65" spans="1:15">
      <c r="A65" s="1655" t="s">
        <v>99</v>
      </c>
      <c r="B65" s="1656"/>
      <c r="C65" s="1657"/>
      <c r="D65" s="838" t="s">
        <v>186</v>
      </c>
      <c r="E65" s="839">
        <f>'22'!F65</f>
        <v>167241.76999999999</v>
      </c>
      <c r="F65" s="868">
        <v>167531.19</v>
      </c>
      <c r="G65" s="840">
        <f t="shared" si="5"/>
        <v>289.42000000001281</v>
      </c>
      <c r="H65" s="841">
        <f>G65+'22'!H65</f>
        <v>-2770.8099999999977</v>
      </c>
      <c r="I65" s="877"/>
      <c r="J65" s="843">
        <f>H65/DAY(B2)</f>
        <v>-120.4699999999999</v>
      </c>
      <c r="K65" s="858"/>
      <c r="L65" s="818"/>
      <c r="O65" s="845"/>
    </row>
    <row r="66" spans="1:15">
      <c r="A66" s="1655" t="s">
        <v>100</v>
      </c>
      <c r="B66" s="1656"/>
      <c r="C66" s="1657"/>
      <c r="D66" s="838" t="s">
        <v>186</v>
      </c>
      <c r="E66" s="839">
        <f>'22'!F66</f>
        <v>64618.53</v>
      </c>
      <c r="F66" s="868">
        <v>65006.65</v>
      </c>
      <c r="G66" s="840">
        <f t="shared" si="5"/>
        <v>388.12000000000262</v>
      </c>
      <c r="H66" s="841">
        <f>G66+'22'!H66</f>
        <v>-2963.3499999999985</v>
      </c>
      <c r="I66" s="859"/>
      <c r="J66" s="843">
        <f>H66/DAY(B2)</f>
        <v>-128.84130434782602</v>
      </c>
      <c r="K66" s="858"/>
      <c r="L66" s="818"/>
      <c r="O66" s="845"/>
    </row>
    <row r="67" spans="1:15">
      <c r="A67" s="1655" t="s">
        <v>101</v>
      </c>
      <c r="B67" s="1656"/>
      <c r="C67" s="1657"/>
      <c r="D67" s="838" t="s">
        <v>186</v>
      </c>
      <c r="E67" s="839">
        <f>'22'!F67</f>
        <v>261392</v>
      </c>
      <c r="F67" s="868">
        <v>261813.67</v>
      </c>
      <c r="G67" s="840">
        <f t="shared" si="5"/>
        <v>421.67000000001281</v>
      </c>
      <c r="H67" s="841">
        <f>G67+'22'!H67</f>
        <v>-3145.3299999999872</v>
      </c>
      <c r="I67" s="877"/>
      <c r="J67" s="843">
        <f>H67/DAY(B2)</f>
        <v>-136.753478260869</v>
      </c>
      <c r="K67" s="865"/>
      <c r="L67" s="818"/>
      <c r="O67" s="845"/>
    </row>
    <row r="68" spans="1:15">
      <c r="A68" s="1655" t="s">
        <v>102</v>
      </c>
      <c r="B68" s="1656"/>
      <c r="C68" s="1657"/>
      <c r="D68" s="838" t="s">
        <v>186</v>
      </c>
      <c r="E68" s="839">
        <f>'22'!F68</f>
        <v>85321</v>
      </c>
      <c r="F68" s="868">
        <v>85321</v>
      </c>
      <c r="G68" s="840">
        <f t="shared" si="5"/>
        <v>0</v>
      </c>
      <c r="H68" s="841">
        <f>G68+'22'!H68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55" t="s">
        <v>103</v>
      </c>
      <c r="B69" s="1656"/>
      <c r="C69" s="1657"/>
      <c r="D69" s="838" t="s">
        <v>186</v>
      </c>
      <c r="E69" s="839">
        <f>'22'!F69</f>
        <v>85602.95</v>
      </c>
      <c r="F69" s="868">
        <v>85863.75</v>
      </c>
      <c r="G69" s="840">
        <f t="shared" si="5"/>
        <v>260.80000000000291</v>
      </c>
      <c r="H69" s="841">
        <f>G69+'22'!H69</f>
        <v>-1651.25</v>
      </c>
      <c r="I69" s="923"/>
      <c r="J69" s="843">
        <f>H69/DAY(B2)</f>
        <v>-71.793478260869563</v>
      </c>
      <c r="K69" s="925"/>
      <c r="L69" s="818"/>
      <c r="O69" s="845"/>
    </row>
    <row r="70" spans="1:15">
      <c r="A70" s="1664" t="s">
        <v>188</v>
      </c>
      <c r="B70" s="1665"/>
      <c r="C70" s="1666"/>
      <c r="D70" s="838" t="s">
        <v>186</v>
      </c>
      <c r="E70" s="926"/>
      <c r="F70" s="927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2.5">
      <c r="A71" s="1661" t="s">
        <v>189</v>
      </c>
      <c r="B71" s="1662"/>
      <c r="C71" s="1662"/>
      <c r="D71" s="1662"/>
      <c r="E71" s="1662"/>
      <c r="F71" s="1662"/>
      <c r="G71" s="1662"/>
      <c r="H71" s="1662"/>
      <c r="I71" s="1662"/>
      <c r="J71" s="1663"/>
      <c r="K71" s="924"/>
      <c r="L71" s="818"/>
      <c r="O71" s="845"/>
    </row>
    <row r="72" spans="1:15">
      <c r="A72" s="1655" t="s">
        <v>190</v>
      </c>
      <c r="B72" s="1656"/>
      <c r="C72" s="1657"/>
      <c r="D72" s="838" t="s">
        <v>186</v>
      </c>
      <c r="E72" s="839">
        <f>'22'!F72</f>
        <v>856130</v>
      </c>
      <c r="F72" s="929">
        <v>856143</v>
      </c>
      <c r="G72" s="840">
        <f t="shared" ref="G72:G84" si="6">F72-E72</f>
        <v>13</v>
      </c>
      <c r="H72" s="841">
        <f>G72+'22'!H72</f>
        <v>-92</v>
      </c>
      <c r="I72" s="859"/>
      <c r="J72" s="843">
        <f>H72/DAY(B2)</f>
        <v>-4</v>
      </c>
      <c r="K72" s="925"/>
      <c r="L72" s="818"/>
      <c r="O72" s="845"/>
    </row>
    <row r="73" spans="1:15">
      <c r="A73" s="1655" t="s">
        <v>191</v>
      </c>
      <c r="B73" s="1656"/>
      <c r="C73" s="1657"/>
      <c r="D73" s="838" t="s">
        <v>186</v>
      </c>
      <c r="E73" s="839">
        <f>'22'!F73</f>
        <v>885962</v>
      </c>
      <c r="F73" s="930">
        <v>885964</v>
      </c>
      <c r="G73" s="840">
        <f t="shared" si="6"/>
        <v>2</v>
      </c>
      <c r="H73" s="841">
        <f>G73+'22'!H73</f>
        <v>-196</v>
      </c>
      <c r="I73" s="859"/>
      <c r="J73" s="843">
        <f>H73/DAY(B2)</f>
        <v>-8.5217391304347831</v>
      </c>
      <c r="K73" s="924"/>
      <c r="L73" s="818"/>
      <c r="O73" s="845"/>
    </row>
    <row r="74" spans="1:15">
      <c r="A74" s="1655" t="s">
        <v>192</v>
      </c>
      <c r="B74" s="1656"/>
      <c r="C74" s="1657"/>
      <c r="D74" s="838" t="s">
        <v>186</v>
      </c>
      <c r="E74" s="839">
        <f>'22'!F74</f>
        <v>88688</v>
      </c>
      <c r="F74" s="931">
        <v>88689</v>
      </c>
      <c r="G74" s="840">
        <f t="shared" si="6"/>
        <v>1</v>
      </c>
      <c r="H74" s="841">
        <f>G74+'22'!H74</f>
        <v>-86086.04</v>
      </c>
      <c r="I74" s="859"/>
      <c r="J74" s="843">
        <f>H74/DAY(B2)</f>
        <v>-3742.871304347826</v>
      </c>
      <c r="K74" s="925"/>
      <c r="L74" s="818"/>
      <c r="O74" s="845"/>
    </row>
    <row r="75" spans="1:15">
      <c r="A75" s="1658" t="s">
        <v>193</v>
      </c>
      <c r="B75" s="1659"/>
      <c r="C75" s="1660"/>
      <c r="D75" s="838" t="s">
        <v>186</v>
      </c>
      <c r="E75" s="839">
        <f>'22'!F75</f>
        <v>14890.3</v>
      </c>
      <c r="F75" s="931">
        <v>15045.3</v>
      </c>
      <c r="G75" s="840">
        <f t="shared" si="6"/>
        <v>155</v>
      </c>
      <c r="H75" s="841">
        <f>G75+'22'!H75</f>
        <v>-1025.7000000000007</v>
      </c>
      <c r="I75" s="859"/>
      <c r="J75" s="843">
        <f>H75/DAY(B2)</f>
        <v>-44.595652173913074</v>
      </c>
      <c r="K75" s="924"/>
      <c r="L75" s="818"/>
      <c r="O75" s="845"/>
    </row>
    <row r="76" spans="1:15">
      <c r="A76" s="1658" t="s">
        <v>194</v>
      </c>
      <c r="B76" s="1659"/>
      <c r="C76" s="1660"/>
      <c r="D76" s="838" t="s">
        <v>186</v>
      </c>
      <c r="E76" s="839">
        <f>'22'!F76</f>
        <v>8735.59</v>
      </c>
      <c r="F76" s="930">
        <v>8803.7900000000009</v>
      </c>
      <c r="G76" s="840">
        <f t="shared" si="6"/>
        <v>68.200000000000728</v>
      </c>
      <c r="H76" s="841">
        <f>G76+'22'!H76</f>
        <v>-1804.2099999999991</v>
      </c>
      <c r="I76" s="902"/>
      <c r="J76" s="843">
        <f>H76/DAY(B2)</f>
        <v>-78.443913043478219</v>
      </c>
      <c r="K76" s="924"/>
      <c r="L76" s="818"/>
      <c r="O76" s="845"/>
    </row>
    <row r="77" spans="1:15">
      <c r="A77" s="1655" t="s">
        <v>195</v>
      </c>
      <c r="B77" s="1656"/>
      <c r="C77" s="1657"/>
      <c r="D77" s="838" t="s">
        <v>186</v>
      </c>
      <c r="E77" s="839">
        <f>'22'!F77</f>
        <v>703938</v>
      </c>
      <c r="F77" s="930">
        <v>703989</v>
      </c>
      <c r="G77" s="840">
        <f t="shared" si="6"/>
        <v>51</v>
      </c>
      <c r="H77" s="841">
        <f>G77+'22'!H77</f>
        <v>-385</v>
      </c>
      <c r="I77" s="902"/>
      <c r="J77" s="843">
        <f>H77/DAY(B2)</f>
        <v>-16.739130434782609</v>
      </c>
      <c r="K77" s="924"/>
      <c r="L77" s="818"/>
      <c r="O77" s="845"/>
    </row>
    <row r="78" spans="1:15">
      <c r="A78" s="932" t="s">
        <v>196</v>
      </c>
      <c r="B78" s="1135"/>
      <c r="C78" s="1135"/>
      <c r="D78" s="838" t="s">
        <v>186</v>
      </c>
      <c r="E78" s="839">
        <f>'22'!F78</f>
        <v>674672</v>
      </c>
      <c r="F78" s="931">
        <v>674738</v>
      </c>
      <c r="G78" s="840">
        <f t="shared" si="6"/>
        <v>66</v>
      </c>
      <c r="H78" s="841">
        <f>G78+'22'!H78</f>
        <v>-676</v>
      </c>
      <c r="I78" s="902"/>
      <c r="J78" s="843">
        <f>H78/DAY(B2)</f>
        <v>-29.391304347826086</v>
      </c>
      <c r="K78" s="924"/>
      <c r="L78" s="818"/>
      <c r="O78" s="845"/>
    </row>
    <row r="79" spans="1:15">
      <c r="A79" s="1658" t="s">
        <v>91</v>
      </c>
      <c r="B79" s="1659"/>
      <c r="C79" s="1660"/>
      <c r="D79" s="871" t="s">
        <v>186</v>
      </c>
      <c r="E79" s="839">
        <f>'22'!F79</f>
        <v>834225</v>
      </c>
      <c r="F79" s="1230">
        <v>834376</v>
      </c>
      <c r="G79" s="840">
        <f t="shared" si="6"/>
        <v>151</v>
      </c>
      <c r="H79" s="841">
        <f>G79+'22'!H79</f>
        <v>-28</v>
      </c>
      <c r="I79" s="902"/>
      <c r="J79" s="843">
        <f>H79/DAY(B2)</f>
        <v>-1.2173913043478262</v>
      </c>
      <c r="K79" s="924"/>
      <c r="L79" s="818"/>
      <c r="O79" s="845"/>
    </row>
    <row r="80" spans="1:15">
      <c r="A80" s="1658" t="s">
        <v>197</v>
      </c>
      <c r="B80" s="1659"/>
      <c r="C80" s="1660"/>
      <c r="D80" s="871" t="s">
        <v>186</v>
      </c>
      <c r="E80" s="839">
        <f>'22'!F80</f>
        <v>535818</v>
      </c>
      <c r="F80" s="930">
        <v>536209.31999999995</v>
      </c>
      <c r="G80" s="840">
        <f t="shared" si="6"/>
        <v>391.31999999994878</v>
      </c>
      <c r="H80" s="841">
        <f>G80+'22'!H80</f>
        <v>1257.7999999999302</v>
      </c>
      <c r="I80" s="902"/>
      <c r="J80" s="843">
        <f>H80/DAY(B2)</f>
        <v>54.686956521736093</v>
      </c>
      <c r="K80" s="924"/>
      <c r="L80" s="818"/>
      <c r="O80" s="845"/>
    </row>
    <row r="81" spans="1:15">
      <c r="A81" s="1658" t="s">
        <v>198</v>
      </c>
      <c r="B81" s="1659"/>
      <c r="C81" s="1660"/>
      <c r="D81" s="871" t="s">
        <v>186</v>
      </c>
      <c r="E81" s="839">
        <f>'22'!F81</f>
        <v>641810</v>
      </c>
      <c r="F81" s="930">
        <v>641985.64</v>
      </c>
      <c r="G81" s="840">
        <f t="shared" si="6"/>
        <v>175.64000000001397</v>
      </c>
      <c r="H81" s="841">
        <f>G81+'22'!H81</f>
        <v>-999.35999999998603</v>
      </c>
      <c r="I81" s="902"/>
      <c r="J81" s="843">
        <f>H81/DAY(B2)</f>
        <v>-43.450434782608092</v>
      </c>
      <c r="K81" s="924"/>
      <c r="L81" s="818"/>
      <c r="O81" s="845"/>
    </row>
    <row r="82" spans="1:15">
      <c r="A82" s="1658" t="s">
        <v>92</v>
      </c>
      <c r="B82" s="1659"/>
      <c r="C82" s="1660"/>
      <c r="D82" s="872" t="s">
        <v>131</v>
      </c>
      <c r="E82" s="839">
        <f>'22'!F82</f>
        <v>108541</v>
      </c>
      <c r="F82" s="933">
        <v>108553.72</v>
      </c>
      <c r="G82" s="840">
        <f t="shared" si="6"/>
        <v>12.720000000001164</v>
      </c>
      <c r="H82" s="841">
        <f>G82+'22'!H82</f>
        <v>-127.27999999999884</v>
      </c>
      <c r="I82" s="873"/>
      <c r="J82" s="843">
        <f>H82/DAY(B2)</f>
        <v>-5.5339130434782104</v>
      </c>
      <c r="K82" s="924"/>
      <c r="L82" s="818"/>
      <c r="O82" s="845"/>
    </row>
    <row r="83" spans="1:15">
      <c r="A83" s="1658" t="s">
        <v>199</v>
      </c>
      <c r="B83" s="1659"/>
      <c r="C83" s="1660"/>
      <c r="D83" s="934" t="s">
        <v>131</v>
      </c>
      <c r="E83" s="839">
        <f>'22'!F83</f>
        <v>25375</v>
      </c>
      <c r="F83" s="1271">
        <v>25513</v>
      </c>
      <c r="G83" s="840">
        <f t="shared" si="6"/>
        <v>138</v>
      </c>
      <c r="H83" s="841">
        <f>G83+'22'!H83</f>
        <v>-2038</v>
      </c>
      <c r="I83" s="862"/>
      <c r="J83" s="843">
        <f>H83/DAY(B2)</f>
        <v>-88.608695652173907</v>
      </c>
      <c r="K83" s="865"/>
      <c r="L83" s="818"/>
      <c r="O83" s="845"/>
    </row>
    <row r="84" spans="1:15">
      <c r="A84" s="935" t="s">
        <v>200</v>
      </c>
      <c r="B84" s="936"/>
      <c r="C84" s="936"/>
      <c r="D84" s="856" t="s">
        <v>131</v>
      </c>
      <c r="E84" s="839">
        <f>'22'!F84</f>
        <v>516617</v>
      </c>
      <c r="F84" s="937">
        <v>517399</v>
      </c>
      <c r="G84" s="840">
        <f t="shared" si="6"/>
        <v>782</v>
      </c>
      <c r="H84" s="841">
        <f>G84+'22'!H84</f>
        <v>-5681</v>
      </c>
      <c r="I84" s="862"/>
      <c r="J84" s="843">
        <f>H84/DAY(B2)</f>
        <v>-247</v>
      </c>
      <c r="K84" s="938"/>
      <c r="L84" s="818"/>
      <c r="O84" s="845"/>
    </row>
    <row r="85" spans="1:15" s="942" customFormat="1">
      <c r="A85" s="939" t="s">
        <v>201</v>
      </c>
      <c r="B85" s="940"/>
      <c r="C85" s="940"/>
      <c r="D85" s="877"/>
      <c r="E85" s="839"/>
      <c r="F85" s="838"/>
      <c r="G85" s="841">
        <f xml:space="preserve"> SUM(G72:G84)</f>
        <v>2006.8799999999646</v>
      </c>
      <c r="H85" s="841">
        <f>G85+'22'!H85</f>
        <v>-101481.27000000005</v>
      </c>
      <c r="I85" s="862"/>
      <c r="J85" s="843">
        <f>H85/DAY(B2)</f>
        <v>-4412.2291304347846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'22'!F86</f>
        <v>461545.16</v>
      </c>
      <c r="F86" s="946">
        <v>461570.64</v>
      </c>
      <c r="G86" s="947">
        <f t="shared" ref="G86:G88" si="7">F86-E86</f>
        <v>25.480000000039581</v>
      </c>
      <c r="H86" s="841">
        <f>G86+'22'!H86</f>
        <v>112.35999999998603</v>
      </c>
      <c r="I86" s="948"/>
      <c r="J86" s="949">
        <f>H86/DAY(B2)</f>
        <v>4.8852173913037404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'22'!F87</f>
        <v>81850.100000000006</v>
      </c>
      <c r="F87" s="946">
        <v>81883</v>
      </c>
      <c r="G87" s="947">
        <f t="shared" si="7"/>
        <v>32.899999999994179</v>
      </c>
      <c r="H87" s="841">
        <f>G87+'22'!H87</f>
        <v>154.19999999999709</v>
      </c>
      <c r="I87" s="948"/>
      <c r="J87" s="949">
        <f>H87/DAY(B2)</f>
        <v>6.7043478260868303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'22'!F88</f>
        <v>154464</v>
      </c>
      <c r="F88" s="946">
        <v>154545</v>
      </c>
      <c r="G88" s="947">
        <f t="shared" si="7"/>
        <v>81</v>
      </c>
      <c r="H88" s="841">
        <f>G88+'22'!H88</f>
        <v>467.33999999999651</v>
      </c>
      <c r="I88" s="948"/>
      <c r="J88" s="949">
        <f>H88/DAY(B2)</f>
        <v>20.319130434782458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'22'!F89</f>
        <v>65625</v>
      </c>
      <c r="F89" s="946">
        <v>65647.399999999994</v>
      </c>
      <c r="G89" s="947">
        <f t="shared" ref="G89:G91" si="8">F89-E89</f>
        <v>22.399999999994179</v>
      </c>
      <c r="H89" s="841">
        <f>G89+'22'!H89</f>
        <v>135.29999999999563</v>
      </c>
      <c r="I89" s="948"/>
      <c r="J89" s="949">
        <f>H89/DAY(B2)</f>
        <v>5.8826086956519843</v>
      </c>
      <c r="K89" s="950"/>
      <c r="L89" s="951"/>
      <c r="N89" s="1011"/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'22'!F90</f>
        <v>3319.7</v>
      </c>
      <c r="F90" s="946">
        <v>3323.7</v>
      </c>
      <c r="G90" s="947">
        <f t="shared" si="8"/>
        <v>4</v>
      </c>
      <c r="H90" s="841">
        <f>G90+'22'!H90</f>
        <v>16.299999999999727</v>
      </c>
      <c r="I90" s="948"/>
      <c r="J90" s="949">
        <f>H90/DAY(B2)</f>
        <v>0.70869565217390118</v>
      </c>
      <c r="K90" s="950"/>
      <c r="L90" s="951"/>
      <c r="N90" s="1011"/>
      <c r="O90" s="845"/>
    </row>
    <row r="91" spans="1:15" s="735" customFormat="1" ht="24.75" customHeight="1">
      <c r="A91" s="943" t="s">
        <v>348</v>
      </c>
      <c r="B91" s="731"/>
      <c r="C91" s="731"/>
      <c r="D91" s="945" t="s">
        <v>182</v>
      </c>
      <c r="E91" s="839">
        <f>'22'!F91</f>
        <v>28182.46</v>
      </c>
      <c r="F91" s="946">
        <v>28192.77</v>
      </c>
      <c r="G91" s="947">
        <f t="shared" si="8"/>
        <v>10.31000000000131</v>
      </c>
      <c r="H91" s="841">
        <f>G91+'22'!H91</f>
        <v>33.090000000000146</v>
      </c>
      <c r="I91" s="652"/>
      <c r="J91" s="949">
        <f>H91/DAY(B2)</f>
        <v>1.4386956521739194</v>
      </c>
      <c r="K91" s="733"/>
      <c r="L91" s="734"/>
      <c r="N91" s="777"/>
      <c r="O91" s="382"/>
    </row>
    <row r="92" spans="1:15" s="942" customFormat="1">
      <c r="A92" s="953" t="s">
        <v>204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49" t="s">
        <v>205</v>
      </c>
      <c r="B93" s="1650"/>
      <c r="C93" s="1651"/>
      <c r="D93" s="838" t="s">
        <v>143</v>
      </c>
      <c r="E93" s="839">
        <f>'22'!F93</f>
        <v>246753</v>
      </c>
      <c r="F93" s="868">
        <v>246785</v>
      </c>
      <c r="G93" s="840">
        <f t="shared" ref="G93:G94" si="9">F93-E93</f>
        <v>32</v>
      </c>
      <c r="H93" s="841">
        <f>G93+'22'!H93</f>
        <v>-567</v>
      </c>
      <c r="I93" s="859"/>
      <c r="J93" s="843">
        <f>H93/DAY(B2)</f>
        <v>-24.652173913043477</v>
      </c>
      <c r="K93" s="865"/>
      <c r="L93" s="818"/>
      <c r="O93" s="845"/>
    </row>
    <row r="94" spans="1:15">
      <c r="A94" s="1649" t="s">
        <v>206</v>
      </c>
      <c r="B94" s="1650"/>
      <c r="C94" s="1651"/>
      <c r="D94" s="838" t="s">
        <v>143</v>
      </c>
      <c r="E94" s="839">
        <f>'22'!F94</f>
        <v>188599</v>
      </c>
      <c r="F94" s="1270">
        <v>188705</v>
      </c>
      <c r="G94" s="840">
        <f t="shared" si="9"/>
        <v>106</v>
      </c>
      <c r="H94" s="841">
        <f>G94+'22'!H94</f>
        <v>-749</v>
      </c>
      <c r="I94" s="859"/>
      <c r="J94" s="843">
        <f>H94/DAY(B2)</f>
        <v>-32.565217391304351</v>
      </c>
      <c r="K94" s="938"/>
      <c r="L94" s="818"/>
      <c r="O94" s="845"/>
    </row>
    <row r="95" spans="1:15">
      <c r="A95" s="1641" t="s">
        <v>207</v>
      </c>
      <c r="B95" s="1642"/>
      <c r="C95" s="1643"/>
      <c r="D95" s="838"/>
      <c r="E95" s="839">
        <f>'22'!F95</f>
        <v>0</v>
      </c>
      <c r="F95" s="868"/>
      <c r="G95" s="840">
        <f>G93+G94</f>
        <v>138</v>
      </c>
      <c r="H95" s="841">
        <f>G95+'22'!H95</f>
        <v>-1502</v>
      </c>
      <c r="I95" s="859"/>
      <c r="J95" s="843">
        <f>H95/DAY(B2)</f>
        <v>-65.304347826086953</v>
      </c>
      <c r="K95" s="938"/>
      <c r="L95" s="818"/>
      <c r="O95" s="845"/>
    </row>
    <row r="96" spans="1:15">
      <c r="A96" s="1649" t="s">
        <v>208</v>
      </c>
      <c r="B96" s="1650"/>
      <c r="C96" s="1651"/>
      <c r="D96" s="838" t="s">
        <v>143</v>
      </c>
      <c r="E96" s="839">
        <f>'22'!F96</f>
        <v>415490</v>
      </c>
      <c r="F96" s="868">
        <v>415533</v>
      </c>
      <c r="G96" s="840">
        <f t="shared" ref="G96:G101" si="10">F96-E96</f>
        <v>43</v>
      </c>
      <c r="H96" s="841">
        <f>G96+'22'!H96</f>
        <v>-466</v>
      </c>
      <c r="I96" s="859"/>
      <c r="J96" s="843">
        <f>H96/DAY(B2)</f>
        <v>-20.260869565217391</v>
      </c>
      <c r="K96" s="938"/>
      <c r="L96" s="818"/>
      <c r="O96" s="845"/>
    </row>
    <row r="97" spans="1:15">
      <c r="A97" s="866" t="s">
        <v>209</v>
      </c>
      <c r="B97" s="867"/>
      <c r="C97" s="867"/>
      <c r="D97" s="838" t="s">
        <v>143</v>
      </c>
      <c r="E97" s="839">
        <f>'22'!F97</f>
        <v>102993</v>
      </c>
      <c r="F97" s="868">
        <v>103010</v>
      </c>
      <c r="G97" s="840">
        <f t="shared" si="10"/>
        <v>17</v>
      </c>
      <c r="H97" s="841">
        <f>G97+'22'!H97</f>
        <v>-153</v>
      </c>
      <c r="I97" s="859"/>
      <c r="J97" s="843">
        <f>H97/DAY(B2)</f>
        <v>-6.6521739130434785</v>
      </c>
      <c r="K97" s="835"/>
      <c r="L97" s="818"/>
      <c r="O97" s="845"/>
    </row>
    <row r="98" spans="1:15">
      <c r="A98" s="866" t="s">
        <v>210</v>
      </c>
      <c r="B98" s="867"/>
      <c r="C98" s="867"/>
      <c r="D98" s="838" t="s">
        <v>143</v>
      </c>
      <c r="E98" s="839">
        <f>'22'!F98</f>
        <v>98470</v>
      </c>
      <c r="F98" s="868">
        <v>98492</v>
      </c>
      <c r="G98" s="840">
        <f t="shared" si="10"/>
        <v>22</v>
      </c>
      <c r="H98" s="841">
        <f>G98+'22'!H98</f>
        <v>-165</v>
      </c>
      <c r="I98" s="859"/>
      <c r="J98" s="843">
        <f>H98/DAY(B2)</f>
        <v>-7.1739130434782608</v>
      </c>
      <c r="K98" s="954"/>
      <c r="L98" s="818"/>
      <c r="O98" s="845"/>
    </row>
    <row r="99" spans="1:15">
      <c r="A99" s="866" t="s">
        <v>211</v>
      </c>
      <c r="B99" s="867"/>
      <c r="C99" s="867"/>
      <c r="D99" s="838" t="s">
        <v>143</v>
      </c>
      <c r="E99" s="839">
        <f>'22'!F99</f>
        <v>150108</v>
      </c>
      <c r="F99" s="868">
        <v>150163</v>
      </c>
      <c r="G99" s="840">
        <f t="shared" si="10"/>
        <v>55</v>
      </c>
      <c r="H99" s="841">
        <f>G99+'22'!H99</f>
        <v>-242</v>
      </c>
      <c r="I99" s="859"/>
      <c r="J99" s="843">
        <f>H99/DAY(B2)</f>
        <v>-10.521739130434783</v>
      </c>
      <c r="K99" s="938"/>
      <c r="L99" s="818"/>
      <c r="O99" s="845"/>
    </row>
    <row r="100" spans="1:15">
      <c r="A100" s="866" t="s">
        <v>212</v>
      </c>
      <c r="B100" s="867"/>
      <c r="C100" s="867"/>
      <c r="D100" s="838" t="s">
        <v>143</v>
      </c>
      <c r="E100" s="839">
        <f>'22'!F100</f>
        <v>7645</v>
      </c>
      <c r="F100" s="868">
        <v>7654</v>
      </c>
      <c r="G100" s="840">
        <f t="shared" si="10"/>
        <v>9</v>
      </c>
      <c r="H100" s="841">
        <f>G100+'22'!H100</f>
        <v>-143</v>
      </c>
      <c r="I100" s="859"/>
      <c r="J100" s="843">
        <f>H100/DAY(B2)</f>
        <v>-6.2173913043478262</v>
      </c>
      <c r="K100" s="938"/>
      <c r="L100" s="818"/>
      <c r="O100" s="845"/>
    </row>
    <row r="101" spans="1:15">
      <c r="A101" s="866" t="s">
        <v>213</v>
      </c>
      <c r="B101" s="867"/>
      <c r="C101" s="867"/>
      <c r="D101" s="838" t="s">
        <v>143</v>
      </c>
      <c r="E101" s="839">
        <f>'22'!F101</f>
        <v>5587</v>
      </c>
      <c r="F101" s="868">
        <v>5592</v>
      </c>
      <c r="G101" s="840">
        <f t="shared" si="10"/>
        <v>5</v>
      </c>
      <c r="H101" s="841">
        <f>G101+'22'!H101</f>
        <v>-82</v>
      </c>
      <c r="I101" s="859"/>
      <c r="J101" s="843">
        <f>H101/DAY(B2)</f>
        <v>-3.5652173913043477</v>
      </c>
      <c r="K101" s="938"/>
      <c r="L101" s="818"/>
      <c r="O101" s="845"/>
    </row>
    <row r="102" spans="1:15">
      <c r="A102" s="1641" t="s">
        <v>215</v>
      </c>
      <c r="B102" s="1642"/>
      <c r="C102" s="1643"/>
      <c r="D102" s="871"/>
      <c r="E102" s="871"/>
      <c r="F102" s="871"/>
      <c r="G102" s="955">
        <f>SUM(G96:G101)</f>
        <v>151</v>
      </c>
      <c r="H102" s="841">
        <f>G102+'22'!H102</f>
        <v>-1251</v>
      </c>
      <c r="I102" s="956"/>
      <c r="J102" s="843">
        <f>H102/DAY(B2)</f>
        <v>-54.391304347826086</v>
      </c>
      <c r="K102" s="938"/>
      <c r="L102" s="818"/>
      <c r="O102" s="845"/>
    </row>
    <row r="103" spans="1:15" s="889" customFormat="1">
      <c r="A103" s="957" t="s">
        <v>216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>
      <c r="A104" s="1638" t="s">
        <v>217</v>
      </c>
      <c r="B104" s="1639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>
      <c r="A105" s="1632" t="s">
        <v>218</v>
      </c>
      <c r="B105" s="1633"/>
      <c r="C105" s="971"/>
      <c r="D105" s="967" t="s">
        <v>143</v>
      </c>
      <c r="E105" s="968">
        <f>'22'!F105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3.0165217391304</v>
      </c>
      <c r="N105" s="1007"/>
      <c r="O105" s="845"/>
    </row>
    <row r="106" spans="1:15" s="889" customFormat="1">
      <c r="A106" s="1632" t="s">
        <v>76</v>
      </c>
      <c r="B106" s="1633"/>
      <c r="C106" s="971"/>
      <c r="D106" s="967" t="s">
        <v>143</v>
      </c>
      <c r="E106" s="968">
        <f>'22'!F106</f>
        <v>36089</v>
      </c>
      <c r="F106" s="1272">
        <v>36091</v>
      </c>
      <c r="G106" s="968">
        <f t="shared" ref="G106:G107" si="11">F106-E106</f>
        <v>2</v>
      </c>
      <c r="H106" s="969">
        <f>SUM(G106+'1'!G77)</f>
        <v>55</v>
      </c>
      <c r="I106" s="968"/>
      <c r="J106" s="970">
        <f>H106/DAY(B2)</f>
        <v>2.3913043478260869</v>
      </c>
      <c r="N106" s="1007"/>
      <c r="O106" s="845"/>
    </row>
    <row r="107" spans="1:15" s="889" customFormat="1">
      <c r="A107" s="1632" t="s">
        <v>77</v>
      </c>
      <c r="B107" s="1640"/>
      <c r="C107" s="1633"/>
      <c r="D107" s="967" t="s">
        <v>143</v>
      </c>
      <c r="E107" s="968">
        <f>'22'!F107</f>
        <v>19789</v>
      </c>
      <c r="F107" s="968">
        <v>19792</v>
      </c>
      <c r="G107" s="968">
        <f t="shared" si="11"/>
        <v>3</v>
      </c>
      <c r="H107" s="969">
        <f>SUM(G107+'1'!G78)</f>
        <v>117</v>
      </c>
      <c r="I107" s="968"/>
      <c r="J107" s="970">
        <f>H107/DAY(B2)</f>
        <v>5.0869565217391308</v>
      </c>
      <c r="N107" s="1007"/>
      <c r="O107" s="845"/>
    </row>
    <row r="108" spans="1:15" s="889" customFormat="1">
      <c r="A108" s="1634" t="s">
        <v>201</v>
      </c>
      <c r="B108" s="1635"/>
      <c r="C108" s="971"/>
      <c r="D108" s="967"/>
      <c r="E108" s="968">
        <f>'22'!F108</f>
        <v>0</v>
      </c>
      <c r="F108" s="968"/>
      <c r="G108" s="968">
        <f>SUM(G105:G107)</f>
        <v>5</v>
      </c>
      <c r="H108" s="969">
        <f>SUM(G108+'1'!G79)</f>
        <v>158</v>
      </c>
      <c r="I108" s="968"/>
      <c r="J108" s="970">
        <f>H108/DAY(B2)</f>
        <v>6.8695652173913047</v>
      </c>
      <c r="N108" s="1007"/>
      <c r="O108" s="845"/>
    </row>
    <row r="109" spans="1:15" s="889" customFormat="1">
      <c r="A109" s="1630" t="s">
        <v>78</v>
      </c>
      <c r="B109" s="1631"/>
      <c r="C109" s="971"/>
      <c r="D109" s="967" t="s">
        <v>143</v>
      </c>
      <c r="E109" s="968">
        <f>'22'!F109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>
      <c r="A110" s="1632" t="s">
        <v>219</v>
      </c>
      <c r="B110" s="1633"/>
      <c r="C110" s="971"/>
      <c r="D110" s="967" t="s">
        <v>143</v>
      </c>
      <c r="E110" s="968">
        <f>'22'!F110</f>
        <v>64330</v>
      </c>
      <c r="F110" s="968">
        <v>64386</v>
      </c>
      <c r="G110" s="968">
        <f>F110-E110</f>
        <v>56</v>
      </c>
      <c r="H110" s="969">
        <f>SUM(G110+'1'!G81)</f>
        <v>187.64000000001397</v>
      </c>
      <c r="I110" s="968"/>
      <c r="J110" s="970">
        <f>H110/DAY(B2)</f>
        <v>8.1582608695658241</v>
      </c>
      <c r="N110" s="1007"/>
      <c r="O110" s="845"/>
    </row>
    <row r="111" spans="1:15" s="889" customFormat="1">
      <c r="A111" s="1632" t="s">
        <v>220</v>
      </c>
      <c r="B111" s="1633"/>
      <c r="C111" s="971"/>
      <c r="D111" s="967" t="s">
        <v>143</v>
      </c>
      <c r="E111" s="968">
        <f>'22'!F111</f>
        <v>32833</v>
      </c>
      <c r="F111" s="1272">
        <v>32852</v>
      </c>
      <c r="G111" s="968">
        <f t="shared" ref="G111:G112" si="12">F111-E111</f>
        <v>19</v>
      </c>
      <c r="H111" s="969">
        <f>SUM(G111+'1'!G82)</f>
        <v>43.899999999994179</v>
      </c>
      <c r="I111" s="968"/>
      <c r="J111" s="970">
        <f>H111/DAY(B2)</f>
        <v>1.90869565217366</v>
      </c>
      <c r="N111" s="1007"/>
      <c r="O111" s="845"/>
    </row>
    <row r="112" spans="1:15" s="889" customFormat="1">
      <c r="A112" s="1632" t="s">
        <v>221</v>
      </c>
      <c r="B112" s="1633"/>
      <c r="C112" s="971"/>
      <c r="D112" s="967" t="s">
        <v>143</v>
      </c>
      <c r="E112" s="968">
        <f>'22'!F112</f>
        <v>4621</v>
      </c>
      <c r="F112" s="1272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15.260869565217391</v>
      </c>
      <c r="N112" s="1007"/>
      <c r="O112" s="845"/>
    </row>
    <row r="113" spans="1:15" s="889" customFormat="1">
      <c r="A113" s="1636" t="s">
        <v>109</v>
      </c>
      <c r="B113" s="1637"/>
      <c r="C113" s="971"/>
      <c r="D113" s="967"/>
      <c r="E113" s="968">
        <f>'22'!F113</f>
        <v>0</v>
      </c>
      <c r="F113" s="968"/>
      <c r="G113" s="968">
        <f>SUM(G110:G112)</f>
        <v>75</v>
      </c>
      <c r="H113" s="969">
        <f>SUM(G113+'1'!G84)</f>
        <v>891</v>
      </c>
      <c r="I113" s="968"/>
      <c r="J113" s="970">
        <f>H113/DAY(B2)</f>
        <v>38.739130434782609</v>
      </c>
      <c r="N113" s="1007"/>
      <c r="O113" s="845"/>
    </row>
    <row r="114" spans="1:15" s="889" customFormat="1">
      <c r="A114" s="1630" t="s">
        <v>222</v>
      </c>
      <c r="B114" s="1631"/>
      <c r="C114" s="971"/>
      <c r="D114" s="967"/>
      <c r="E114" s="968">
        <f>'22'!F114</f>
        <v>0</v>
      </c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32" t="s">
        <v>223</v>
      </c>
      <c r="B115" s="1633"/>
      <c r="C115" s="973"/>
      <c r="D115" s="967" t="s">
        <v>143</v>
      </c>
      <c r="E115" s="968">
        <f>'22'!F115</f>
        <v>11834</v>
      </c>
      <c r="F115" s="972">
        <v>11847</v>
      </c>
      <c r="G115" s="972">
        <f>F115-E115</f>
        <v>13</v>
      </c>
      <c r="H115" s="969">
        <f>SUM(G115+'1'!G92)</f>
        <v>13</v>
      </c>
      <c r="I115" s="968"/>
      <c r="J115" s="970">
        <f>H115/DAY(B2)</f>
        <v>0.56521739130434778</v>
      </c>
      <c r="N115" s="1007"/>
      <c r="O115" s="845"/>
    </row>
    <row r="116" spans="1:15" s="889" customFormat="1">
      <c r="A116" s="1632" t="s">
        <v>224</v>
      </c>
      <c r="B116" s="1633"/>
      <c r="C116" s="973"/>
      <c r="D116" s="967" t="s">
        <v>143</v>
      </c>
      <c r="E116" s="968">
        <f>'22'!F116</f>
        <v>8483</v>
      </c>
      <c r="F116" s="972">
        <v>8488</v>
      </c>
      <c r="G116" s="972">
        <f t="shared" ref="G116:G117" si="13">F116-E116</f>
        <v>5</v>
      </c>
      <c r="H116" s="969">
        <f>SUM(G116+'1'!G93)</f>
        <v>94</v>
      </c>
      <c r="I116" s="968"/>
      <c r="J116" s="970">
        <f>H116/DAY(B2)</f>
        <v>4.0869565217391308</v>
      </c>
      <c r="N116" s="1007"/>
      <c r="O116" s="845"/>
    </row>
    <row r="117" spans="1:15" s="889" customFormat="1">
      <c r="A117" s="1632" t="s">
        <v>225</v>
      </c>
      <c r="B117" s="1633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4.2173913043478262</v>
      </c>
      <c r="N117" s="1007"/>
      <c r="O117" s="845"/>
    </row>
    <row r="118" spans="1:15" s="975" customFormat="1">
      <c r="A118" s="1634" t="s">
        <v>201</v>
      </c>
      <c r="B118" s="1635"/>
      <c r="C118" s="973"/>
      <c r="D118" s="974"/>
      <c r="E118" s="972"/>
      <c r="F118" s="972"/>
      <c r="G118" s="972">
        <f>SUM(G115:G117)</f>
        <v>18</v>
      </c>
      <c r="H118" s="969">
        <f>SUM(G118+'1'!G96)</f>
        <v>104</v>
      </c>
      <c r="I118" s="972"/>
      <c r="J118" s="970">
        <f>H118/DAY(B2)</f>
        <v>4.5217391304347823</v>
      </c>
      <c r="N118" s="1012"/>
      <c r="O118" s="845"/>
    </row>
    <row r="119" spans="1:15" s="768" customFormat="1">
      <c r="A119" s="1626" t="s">
        <v>226</v>
      </c>
      <c r="B119" s="1627"/>
      <c r="C119" s="976"/>
      <c r="D119" s="977" t="s">
        <v>143</v>
      </c>
      <c r="E119" s="978"/>
      <c r="F119" s="979"/>
      <c r="G119" s="979">
        <f>SUM(G19+G93)</f>
        <v>93</v>
      </c>
      <c r="H119" s="969">
        <f>SUM(G119+'1'!G97)</f>
        <v>110</v>
      </c>
      <c r="I119" s="978"/>
      <c r="J119" s="980">
        <f>H119/DAY(B2)</f>
        <v>4.7826086956521738</v>
      </c>
      <c r="N119" s="1013" t="s">
        <v>214</v>
      </c>
      <c r="O119" s="845"/>
    </row>
    <row r="120" spans="1:15" s="768" customFormat="1">
      <c r="A120" s="1626" t="s">
        <v>227</v>
      </c>
      <c r="B120" s="1627"/>
      <c r="C120" s="976"/>
      <c r="D120" s="977" t="s">
        <v>143</v>
      </c>
      <c r="E120" s="978"/>
      <c r="F120" s="979"/>
      <c r="G120" s="979">
        <f>SUM(G96,G97,G98,G100,G101)</f>
        <v>96</v>
      </c>
      <c r="H120" s="969">
        <f>SUM(G120+'1'!G99)</f>
        <v>146</v>
      </c>
      <c r="I120" s="978"/>
      <c r="J120" s="980">
        <f>H120/DAY(B2)</f>
        <v>6.3478260869565215</v>
      </c>
      <c r="N120" s="1013"/>
      <c r="O120" s="845"/>
    </row>
    <row r="121" spans="1:15" s="768" customFormat="1">
      <c r="A121" s="1626" t="s">
        <v>228</v>
      </c>
      <c r="B121" s="1627"/>
      <c r="C121" s="976"/>
      <c r="D121" s="977" t="s">
        <v>143</v>
      </c>
      <c r="E121" s="978"/>
      <c r="F121" s="972"/>
      <c r="G121" s="972">
        <f>SUM(G113)</f>
        <v>75</v>
      </c>
      <c r="H121" s="969">
        <f>SUM(G121+'1'!G101)</f>
        <v>80</v>
      </c>
      <c r="I121" s="978"/>
      <c r="J121" s="980">
        <f>H121/DAY(B2)</f>
        <v>3.4782608695652173</v>
      </c>
      <c r="N121" s="1013"/>
      <c r="O121" s="845"/>
    </row>
    <row r="122" spans="1:15" s="889" customFormat="1">
      <c r="A122" s="1628"/>
      <c r="B122" s="1629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>
      <c r="A123" s="1644" t="s">
        <v>229</v>
      </c>
      <c r="B123" s="1645"/>
      <c r="C123" s="1646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230</v>
      </c>
      <c r="B124" s="867"/>
      <c r="C124" s="867"/>
      <c r="D124" s="838" t="s">
        <v>140</v>
      </c>
      <c r="E124" s="839">
        <f>'22'!F124</f>
        <v>837424.77</v>
      </c>
      <c r="F124" s="872">
        <v>837708.15</v>
      </c>
      <c r="G124" s="840">
        <f>F124-E124</f>
        <v>283.38000000000466</v>
      </c>
      <c r="H124" s="841">
        <f>G124+'22'!H124</f>
        <v>-1961.8499999999767</v>
      </c>
      <c r="I124" s="956"/>
      <c r="J124" s="843">
        <f>H124/DAY(B2)</f>
        <v>-85.29782608695551</v>
      </c>
      <c r="K124" s="938"/>
      <c r="L124" s="818"/>
      <c r="O124" s="845"/>
    </row>
    <row r="125" spans="1:15">
      <c r="A125" s="866" t="s">
        <v>231</v>
      </c>
      <c r="B125" s="867"/>
      <c r="C125" s="867"/>
      <c r="D125" s="838" t="s">
        <v>140</v>
      </c>
      <c r="E125" s="839">
        <f>'22'!F125</f>
        <v>73583.399999999994</v>
      </c>
      <c r="F125" s="872">
        <v>73583.399999999994</v>
      </c>
      <c r="G125" s="840">
        <f t="shared" ref="G125:G128" si="14">F125-E125</f>
        <v>0</v>
      </c>
      <c r="H125" s="841">
        <f>G125+'22'!H125</f>
        <v>0</v>
      </c>
      <c r="I125" s="956"/>
      <c r="J125" s="843">
        <f>H125/DAY(B2)</f>
        <v>0</v>
      </c>
      <c r="K125" s="938"/>
      <c r="L125" s="818"/>
      <c r="O125" s="845"/>
    </row>
    <row r="126" spans="1:15">
      <c r="A126" s="1655" t="s">
        <v>232</v>
      </c>
      <c r="B126" s="1656"/>
      <c r="C126" s="1657"/>
      <c r="D126" s="838" t="s">
        <v>140</v>
      </c>
      <c r="E126" s="839">
        <f>'22'!F126</f>
        <v>147963.81</v>
      </c>
      <c r="F126" s="872">
        <v>148052.42000000001</v>
      </c>
      <c r="G126" s="840">
        <f t="shared" si="14"/>
        <v>88.610000000015134</v>
      </c>
      <c r="H126" s="841">
        <f>G126+'22'!H126</f>
        <v>-544.57999999998719</v>
      </c>
      <c r="I126" s="956"/>
      <c r="J126" s="843">
        <f>H126/DAY(B2)</f>
        <v>-23.677391304347271</v>
      </c>
      <c r="K126" s="938"/>
      <c r="L126" s="818"/>
      <c r="O126" s="845"/>
    </row>
    <row r="127" spans="1:15">
      <c r="A127" s="985" t="s">
        <v>233</v>
      </c>
      <c r="B127" s="867"/>
      <c r="C127" s="867"/>
      <c r="D127" s="838" t="s">
        <v>140</v>
      </c>
      <c r="E127" s="839">
        <f>'22'!F127</f>
        <v>31791.7</v>
      </c>
      <c r="F127" s="872">
        <v>31828.2</v>
      </c>
      <c r="G127" s="840">
        <f t="shared" si="14"/>
        <v>36.5</v>
      </c>
      <c r="H127" s="841">
        <f>G127+'22'!H127</f>
        <v>-242.79999999999927</v>
      </c>
      <c r="I127" s="956"/>
      <c r="J127" s="843">
        <f>H127/DAY(B2)</f>
        <v>-10.556521739130403</v>
      </c>
      <c r="K127" s="938"/>
      <c r="L127" s="818"/>
      <c r="O127" s="845"/>
    </row>
    <row r="128" spans="1:15">
      <c r="A128" s="985" t="s">
        <v>234</v>
      </c>
      <c r="B128" s="867"/>
      <c r="C128" s="867"/>
      <c r="D128" s="838" t="s">
        <v>140</v>
      </c>
      <c r="E128" s="839">
        <f>'22'!F128</f>
        <v>8984.6</v>
      </c>
      <c r="F128" s="872">
        <v>8987.1</v>
      </c>
      <c r="G128" s="840">
        <f t="shared" si="14"/>
        <v>2.5</v>
      </c>
      <c r="H128" s="841">
        <f>G128+'22'!H128</f>
        <v>-24.899999999999636</v>
      </c>
      <c r="I128" s="859"/>
      <c r="J128" s="843">
        <f>H128/DAY(B2)</f>
        <v>-1.0826086956521581</v>
      </c>
      <c r="K128" s="938"/>
      <c r="L128" s="818"/>
      <c r="O128" s="845"/>
    </row>
    <row r="129" spans="1:15">
      <c r="A129" s="985" t="s">
        <v>235</v>
      </c>
      <c r="B129" s="867"/>
      <c r="C129" s="867"/>
      <c r="D129" s="838"/>
      <c r="E129" s="839"/>
      <c r="F129" s="856"/>
      <c r="G129" s="840">
        <f>G15-SUM(G124:G128)</f>
        <v>289.00999999998021</v>
      </c>
      <c r="H129" s="841">
        <f>G129+'22'!H129</f>
        <v>2419.1299999999628</v>
      </c>
      <c r="I129" s="859"/>
      <c r="J129" s="843">
        <f>H129/DAY(B2)</f>
        <v>105.17956521738969</v>
      </c>
      <c r="K129" s="938"/>
      <c r="L129" s="818"/>
      <c r="O129" s="845"/>
    </row>
    <row r="130" spans="1:15">
      <c r="A130" s="986" t="s">
        <v>236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237</v>
      </c>
      <c r="B131" s="867"/>
      <c r="C131" s="867"/>
      <c r="D131" s="838" t="s">
        <v>238</v>
      </c>
      <c r="E131" s="839">
        <f>'22'!F131</f>
        <v>0</v>
      </c>
      <c r="F131" s="868">
        <v>0</v>
      </c>
      <c r="G131" s="840">
        <f t="shared" ref="G131:G141" si="15">F131-E131</f>
        <v>0</v>
      </c>
      <c r="H131" s="841">
        <f>G131+'22'!H131</f>
        <v>0</v>
      </c>
      <c r="I131" s="859"/>
      <c r="J131" s="843">
        <f>H131/DAY(B2)</f>
        <v>0</v>
      </c>
      <c r="O131" s="845"/>
    </row>
    <row r="132" spans="1:15">
      <c r="A132" s="866" t="s">
        <v>239</v>
      </c>
      <c r="B132" s="867"/>
      <c r="C132" s="867"/>
      <c r="D132" s="838" t="s">
        <v>238</v>
      </c>
      <c r="E132" s="839">
        <f>'22'!F132</f>
        <v>0</v>
      </c>
      <c r="F132" s="868">
        <v>0</v>
      </c>
      <c r="G132" s="840">
        <f t="shared" si="15"/>
        <v>0</v>
      </c>
      <c r="H132" s="841">
        <f>G132+'22'!H132</f>
        <v>0</v>
      </c>
      <c r="I132" s="859"/>
      <c r="J132" s="843">
        <f>H132/DAY(B2)</f>
        <v>0</v>
      </c>
      <c r="O132" s="845"/>
    </row>
    <row r="133" spans="1:15">
      <c r="A133" s="866" t="s">
        <v>240</v>
      </c>
      <c r="B133" s="867"/>
      <c r="C133" s="867"/>
      <c r="D133" s="838" t="s">
        <v>238</v>
      </c>
      <c r="E133" s="839">
        <f>'22'!F133</f>
        <v>40352.080000000002</v>
      </c>
      <c r="F133" s="989">
        <v>40357.51</v>
      </c>
      <c r="G133" s="840">
        <f t="shared" si="15"/>
        <v>5.430000000000291</v>
      </c>
      <c r="H133" s="841">
        <f>G133+'22'!H133</f>
        <v>-95.489999999997963</v>
      </c>
      <c r="I133" s="859"/>
      <c r="J133" s="843">
        <f>H133/DAY(B2)</f>
        <v>-4.1517391304346942</v>
      </c>
      <c r="O133" s="845"/>
    </row>
    <row r="134" spans="1:15">
      <c r="A134" s="866" t="s">
        <v>241</v>
      </c>
      <c r="B134" s="867"/>
      <c r="C134" s="867"/>
      <c r="D134" s="838" t="s">
        <v>238</v>
      </c>
      <c r="E134" s="839">
        <f>'22'!F134</f>
        <v>300</v>
      </c>
      <c r="F134" s="989">
        <v>300</v>
      </c>
      <c r="G134" s="840">
        <f t="shared" si="15"/>
        <v>0</v>
      </c>
      <c r="H134" s="841">
        <f>G134+'22'!H134</f>
        <v>0</v>
      </c>
      <c r="I134" s="859">
        <f>G131+G132+G133+G134</f>
        <v>5.430000000000291</v>
      </c>
      <c r="J134" s="843">
        <f>H134/DAY(B2)</f>
        <v>0</v>
      </c>
      <c r="O134" s="845"/>
    </row>
    <row r="135" spans="1:15">
      <c r="A135" s="866" t="s">
        <v>242</v>
      </c>
      <c r="B135" s="867"/>
      <c r="C135" s="867"/>
      <c r="D135" s="838" t="s">
        <v>238</v>
      </c>
      <c r="E135" s="839">
        <f>'22'!F135</f>
        <v>41839.360000000001</v>
      </c>
      <c r="F135" s="989">
        <v>41863.440000000002</v>
      </c>
      <c r="G135" s="840">
        <f t="shared" si="15"/>
        <v>24.080000000001746</v>
      </c>
      <c r="H135" s="841">
        <v>24</v>
      </c>
      <c r="I135" s="859"/>
      <c r="J135" s="843">
        <f>H135/DAY(B2)</f>
        <v>1.0434782608695652</v>
      </c>
      <c r="O135" s="845"/>
    </row>
    <row r="136" spans="1:15">
      <c r="A136" s="866" t="s">
        <v>243</v>
      </c>
      <c r="B136" s="867"/>
      <c r="C136" s="867"/>
      <c r="D136" s="838" t="s">
        <v>238</v>
      </c>
      <c r="E136" s="839">
        <f>'22'!F136</f>
        <v>32874.050000000003</v>
      </c>
      <c r="F136" s="989">
        <v>32874.050000000003</v>
      </c>
      <c r="G136" s="840">
        <f t="shared" si="15"/>
        <v>0</v>
      </c>
      <c r="H136" s="841">
        <v>13</v>
      </c>
      <c r="I136" s="859"/>
      <c r="J136" s="843">
        <f>H136/DAY(B2)</f>
        <v>0.56521739130434778</v>
      </c>
      <c r="O136" s="845"/>
    </row>
    <row r="137" spans="1:15">
      <c r="A137" s="866" t="s">
        <v>244</v>
      </c>
      <c r="B137" s="867"/>
      <c r="C137" s="867"/>
      <c r="D137" s="838" t="s">
        <v>238</v>
      </c>
      <c r="E137" s="839">
        <f>'22'!F137</f>
        <v>22859.1</v>
      </c>
      <c r="F137" s="989">
        <v>22861.040000000001</v>
      </c>
      <c r="G137" s="840">
        <f t="shared" si="15"/>
        <v>1.9400000000023283</v>
      </c>
      <c r="H137" s="841">
        <f>G137+'22'!H137</f>
        <v>-30.450000000000728</v>
      </c>
      <c r="I137" s="859">
        <f>G135+G136+G137</f>
        <v>26.020000000004075</v>
      </c>
      <c r="J137" s="843">
        <f>H137/DAY(B2)</f>
        <v>-1.3239130434782924</v>
      </c>
      <c r="O137" s="845"/>
    </row>
    <row r="138" spans="1:15">
      <c r="A138" s="866" t="s">
        <v>245</v>
      </c>
      <c r="B138" s="867"/>
      <c r="C138" s="867"/>
      <c r="D138" s="838" t="s">
        <v>238</v>
      </c>
      <c r="E138" s="839">
        <f>'22'!F138</f>
        <v>25081.89</v>
      </c>
      <c r="F138" s="989">
        <v>25081.89</v>
      </c>
      <c r="G138" s="840">
        <f t="shared" si="15"/>
        <v>0</v>
      </c>
      <c r="H138" s="841">
        <v>8</v>
      </c>
      <c r="I138" s="859"/>
      <c r="J138" s="843">
        <f>H138/DAY(B2)</f>
        <v>0.34782608695652173</v>
      </c>
      <c r="O138" s="845"/>
    </row>
    <row r="139" spans="1:15">
      <c r="A139" s="866" t="s">
        <v>246</v>
      </c>
      <c r="B139" s="867"/>
      <c r="C139" s="867"/>
      <c r="D139" s="838" t="s">
        <v>238</v>
      </c>
      <c r="E139" s="839">
        <f>'22'!F139</f>
        <v>70496.73</v>
      </c>
      <c r="F139" s="989">
        <v>70496.73</v>
      </c>
      <c r="G139" s="840">
        <f t="shared" si="15"/>
        <v>0</v>
      </c>
      <c r="H139" s="841">
        <v>15</v>
      </c>
      <c r="I139" s="859">
        <f>G138+G139</f>
        <v>0</v>
      </c>
      <c r="J139" s="843">
        <f>H139/DAY(B2)</f>
        <v>0.65217391304347827</v>
      </c>
      <c r="O139" s="845"/>
    </row>
    <row r="140" spans="1:15">
      <c r="A140" s="866" t="s">
        <v>247</v>
      </c>
      <c r="B140" s="867"/>
      <c r="C140" s="867"/>
      <c r="D140" s="838" t="s">
        <v>238</v>
      </c>
      <c r="E140" s="839">
        <f>'22'!F140</f>
        <v>2046.1</v>
      </c>
      <c r="F140" s="868">
        <v>2056.92</v>
      </c>
      <c r="G140" s="840">
        <f t="shared" si="15"/>
        <v>10.820000000000164</v>
      </c>
      <c r="H140" s="841">
        <f>G140+'22'!H140</f>
        <v>-72.259999999999764</v>
      </c>
      <c r="I140" s="990"/>
      <c r="J140" s="843">
        <f>H140/DAY(B2)</f>
        <v>-3.1417391304347722</v>
      </c>
      <c r="O140" s="845"/>
    </row>
    <row r="141" spans="1:15">
      <c r="A141" s="866" t="s">
        <v>248</v>
      </c>
      <c r="B141" s="867"/>
      <c r="C141" s="867"/>
      <c r="D141" s="838" t="s">
        <v>238</v>
      </c>
      <c r="E141" s="839">
        <f>'22'!F141</f>
        <v>4636.88</v>
      </c>
      <c r="F141" s="868">
        <v>4636.88</v>
      </c>
      <c r="G141" s="840">
        <f t="shared" si="15"/>
        <v>0</v>
      </c>
      <c r="H141" s="841">
        <f>G141+'22'!H141</f>
        <v>-0.11999999999989086</v>
      </c>
      <c r="I141" s="990"/>
      <c r="J141" s="843">
        <f>H141/DAY(B2)</f>
        <v>-5.2173913043430812E-3</v>
      </c>
      <c r="O141" s="845"/>
    </row>
    <row r="142" spans="1:15">
      <c r="A142" s="1647" t="s">
        <v>249</v>
      </c>
      <c r="B142" s="1648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49" t="s">
        <v>250</v>
      </c>
      <c r="B143" s="1650"/>
      <c r="C143" s="1651"/>
      <c r="D143" s="838" t="s">
        <v>131</v>
      </c>
      <c r="E143" s="838"/>
      <c r="F143" s="838"/>
      <c r="G143" s="841">
        <f>G35+G43+G49+G57</f>
        <v>5420.089999999851</v>
      </c>
      <c r="H143" s="841">
        <f>G143+'22'!H143</f>
        <v>-41067.739999999991</v>
      </c>
      <c r="I143" s="859"/>
      <c r="J143" s="843">
        <f>H143/DAY(B2)</f>
        <v>-1785.5539130434779</v>
      </c>
      <c r="K143" s="938"/>
      <c r="L143" s="818"/>
      <c r="O143" s="845"/>
    </row>
    <row r="144" spans="1:15">
      <c r="A144" s="1649" t="s">
        <v>251</v>
      </c>
      <c r="B144" s="1650"/>
      <c r="C144" s="1651"/>
      <c r="D144" s="838" t="s">
        <v>24</v>
      </c>
      <c r="E144" s="825"/>
      <c r="F144" s="825"/>
      <c r="G144" s="991">
        <f>G143/G7</f>
        <v>0.25209720930231866</v>
      </c>
      <c r="H144" s="841">
        <f>G144+'22'!H144</f>
        <v>-1.9058119237317284</v>
      </c>
      <c r="I144" s="992"/>
      <c r="J144" s="843">
        <f>H144/DAY(B2)</f>
        <v>-8.2861387988336019E-2</v>
      </c>
      <c r="K144" s="938"/>
      <c r="L144" s="818"/>
      <c r="O144" s="845"/>
    </row>
    <row r="145" spans="1:15">
      <c r="A145" s="1649" t="s">
        <v>252</v>
      </c>
      <c r="B145" s="1650"/>
      <c r="C145" s="1651"/>
      <c r="D145" s="838" t="s">
        <v>131</v>
      </c>
      <c r="E145" s="839"/>
      <c r="F145" s="839"/>
      <c r="G145" s="841">
        <f>G41+G42+G55+G56</f>
        <v>5831.9499999999389</v>
      </c>
      <c r="H145" s="841">
        <f>G145+'22'!H145</f>
        <v>-42266.19</v>
      </c>
      <c r="I145" s="859"/>
      <c r="J145" s="843">
        <f>H145/DAY(B2)</f>
        <v>-1837.6604347826087</v>
      </c>
      <c r="K145" s="938"/>
      <c r="L145" s="818"/>
      <c r="O145" s="845"/>
    </row>
    <row r="146" spans="1:15">
      <c r="A146" s="1649" t="s">
        <v>253</v>
      </c>
      <c r="B146" s="1650"/>
      <c r="C146" s="1651"/>
      <c r="D146" s="838" t="s">
        <v>24</v>
      </c>
      <c r="E146" s="839"/>
      <c r="F146" s="839"/>
      <c r="G146" s="991">
        <f>G145/G7</f>
        <v>0.27125348837209018</v>
      </c>
      <c r="H146" s="841">
        <f>G146+'22'!H146</f>
        <v>-1.9665769235389834</v>
      </c>
      <c r="I146" s="992"/>
      <c r="J146" s="843">
        <f>H146/DAY(B2)</f>
        <v>-8.5503344501694931E-2</v>
      </c>
      <c r="K146" s="938"/>
      <c r="L146" s="818"/>
      <c r="O146" s="845"/>
    </row>
    <row r="147" spans="1:15">
      <c r="A147" s="1649" t="s">
        <v>254</v>
      </c>
      <c r="B147" s="1650"/>
      <c r="C147" s="1651"/>
      <c r="D147" s="838" t="s">
        <v>131</v>
      </c>
      <c r="E147" s="839"/>
      <c r="F147" s="839"/>
      <c r="G147" s="841">
        <f>G39+G53</f>
        <v>3432.960000000021</v>
      </c>
      <c r="H147" s="841">
        <f>G147+'22'!H147</f>
        <v>-25551.459999999963</v>
      </c>
      <c r="I147" s="993"/>
      <c r="J147" s="843">
        <f>H147/DAY(B2)</f>
        <v>-1110.9330434782592</v>
      </c>
      <c r="K147" s="938"/>
      <c r="L147" s="818"/>
      <c r="O147" s="845"/>
    </row>
    <row r="148" spans="1:15">
      <c r="A148" s="1649" t="s">
        <v>255</v>
      </c>
      <c r="B148" s="1650"/>
      <c r="C148" s="1651"/>
      <c r="D148" s="838" t="s">
        <v>24</v>
      </c>
      <c r="E148" s="839"/>
      <c r="F148" s="839"/>
      <c r="G148" s="991">
        <f>G147/G7</f>
        <v>0.15967255813953585</v>
      </c>
      <c r="H148" s="841">
        <f>G148+'22'!H148</f>
        <v>-1.185255015065259</v>
      </c>
      <c r="I148" s="993"/>
      <c r="J148" s="843">
        <f>H148/DAY(B2)</f>
        <v>-5.1532826741967783E-2</v>
      </c>
      <c r="O148" s="845"/>
    </row>
    <row r="149" spans="1:15">
      <c r="A149" s="1649" t="s">
        <v>256</v>
      </c>
      <c r="B149" s="1650"/>
      <c r="C149" s="1651"/>
      <c r="D149" s="838" t="s">
        <v>182</v>
      </c>
      <c r="E149" s="839"/>
      <c r="F149" s="839"/>
      <c r="G149" s="841">
        <f>G38+G52</f>
        <v>1354.2200000000012</v>
      </c>
      <c r="H149" s="841">
        <f>G149+'22'!H149</f>
        <v>-11188.96000000005</v>
      </c>
      <c r="I149" s="859"/>
      <c r="J149" s="843">
        <f>H149/DAY(B2)</f>
        <v>-486.47652173913264</v>
      </c>
      <c r="K149" s="994"/>
      <c r="O149" s="845"/>
    </row>
    <row r="150" spans="1:15">
      <c r="A150" s="1649" t="s">
        <v>257</v>
      </c>
      <c r="B150" s="1650"/>
      <c r="C150" s="1651"/>
      <c r="D150" s="838" t="s">
        <v>24</v>
      </c>
      <c r="E150" s="839"/>
      <c r="F150" s="839"/>
      <c r="G150" s="991">
        <f>G149/G7</f>
        <v>6.2986976744186102E-2</v>
      </c>
      <c r="H150" s="841">
        <f>G150+'22'!H150</f>
        <v>-0.52020646037038099</v>
      </c>
      <c r="I150" s="993"/>
      <c r="J150" s="843">
        <f>H150/DAY(B2)</f>
        <v>-2.2617672190016563E-2</v>
      </c>
      <c r="O150" s="845"/>
    </row>
    <row r="151" spans="1:15">
      <c r="A151" s="1649" t="s">
        <v>258</v>
      </c>
      <c r="B151" s="1650"/>
      <c r="C151" s="1651"/>
      <c r="D151" s="838" t="s">
        <v>182</v>
      </c>
      <c r="E151" s="839"/>
      <c r="F151" s="839"/>
      <c r="G151" s="841">
        <f>G36+G50</f>
        <v>1651.7100000000228</v>
      </c>
      <c r="H151" s="841">
        <f>G151+'22'!H151</f>
        <v>-13111.629999999985</v>
      </c>
      <c r="I151" s="993"/>
      <c r="J151" s="843">
        <f>H151/DAY(B2)</f>
        <v>-570.07086956521675</v>
      </c>
      <c r="O151" s="845"/>
    </row>
    <row r="152" spans="1:15">
      <c r="A152" s="1649" t="s">
        <v>259</v>
      </c>
      <c r="B152" s="1650"/>
      <c r="C152" s="1651"/>
      <c r="D152" s="838" t="s">
        <v>24</v>
      </c>
      <c r="E152" s="839"/>
      <c r="F152" s="839"/>
      <c r="G152" s="991">
        <f>G151/G7</f>
        <v>7.682372093023361E-2</v>
      </c>
      <c r="H152" s="841">
        <f>G152+'22'!H152</f>
        <v>-0.61038184083017</v>
      </c>
      <c r="I152" s="859"/>
      <c r="J152" s="843">
        <f>H152/DAY(B2)</f>
        <v>-2.6538340905659565E-2</v>
      </c>
      <c r="O152" s="845"/>
    </row>
    <row r="153" spans="1:15">
      <c r="A153" s="1649" t="s">
        <v>260</v>
      </c>
      <c r="B153" s="1650"/>
      <c r="C153" s="1651"/>
      <c r="D153" s="838" t="s">
        <v>182</v>
      </c>
      <c r="E153" s="839"/>
      <c r="F153" s="839"/>
      <c r="G153" s="841">
        <f>G37+G51</f>
        <v>1414.3399999999965</v>
      </c>
      <c r="H153" s="841">
        <f>G153+'22'!H153</f>
        <v>-10300.540000000008</v>
      </c>
      <c r="I153" s="859"/>
      <c r="J153" s="843">
        <f>H153/DAY(B2)</f>
        <v>-447.84956521739167</v>
      </c>
      <c r="O153" s="845"/>
    </row>
    <row r="154" spans="1:15" ht="21" thickBot="1">
      <c r="A154" s="1652" t="s">
        <v>261</v>
      </c>
      <c r="B154" s="1653"/>
      <c r="C154" s="1654"/>
      <c r="D154" s="995" t="s">
        <v>24</v>
      </c>
      <c r="E154" s="996"/>
      <c r="F154" s="996"/>
      <c r="G154" s="997">
        <f>G153/G7</f>
        <v>6.578325581395332E-2</v>
      </c>
      <c r="H154" s="841">
        <f>G154+'22'!H154</f>
        <v>-0.47769565402467701</v>
      </c>
      <c r="I154" s="998"/>
      <c r="J154" s="999">
        <f>H154/DAY(B2)</f>
        <v>-2.0769376261942477E-2</v>
      </c>
      <c r="O154" s="845"/>
    </row>
    <row r="155" spans="1:15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61" spans="1:10">
      <c r="A161" s="990" t="s">
        <v>262</v>
      </c>
      <c r="B161" s="990"/>
      <c r="C161" s="990"/>
      <c r="D161" s="825" t="s">
        <v>186</v>
      </c>
      <c r="E161" s="839">
        <f>'22'!F161</f>
        <v>40200.47</v>
      </c>
      <c r="F161" s="1014">
        <v>40281.089999999997</v>
      </c>
      <c r="G161" s="840">
        <f t="shared" ref="G161:G164" si="16">F161-E161</f>
        <v>80.619999999995343</v>
      </c>
    </row>
    <row r="162" spans="1:10" ht="21.75" customHeight="1">
      <c r="A162" s="990" t="s">
        <v>263</v>
      </c>
      <c r="B162" s="990"/>
      <c r="C162" s="990"/>
      <c r="D162" s="825" t="s">
        <v>186</v>
      </c>
      <c r="E162" s="839">
        <f>'22'!F162</f>
        <v>104144.94</v>
      </c>
      <c r="F162" s="1014">
        <v>104593.05</v>
      </c>
      <c r="G162" s="840">
        <f t="shared" si="16"/>
        <v>448.11000000000058</v>
      </c>
    </row>
    <row r="163" spans="1:10" ht="21.75" customHeight="1">
      <c r="A163" s="990" t="s">
        <v>264</v>
      </c>
      <c r="B163" s="990"/>
      <c r="C163" s="990"/>
      <c r="D163" s="825" t="s">
        <v>186</v>
      </c>
      <c r="E163" s="839">
        <f>'22'!F163</f>
        <v>49602.1</v>
      </c>
      <c r="F163" s="1014">
        <v>49805.67</v>
      </c>
      <c r="G163" s="840">
        <f t="shared" si="16"/>
        <v>203.56999999999971</v>
      </c>
    </row>
    <row r="164" spans="1:10" ht="21.75" customHeight="1">
      <c r="A164" s="990" t="s">
        <v>265</v>
      </c>
      <c r="B164" s="990"/>
      <c r="C164" s="990"/>
      <c r="D164" s="825" t="s">
        <v>186</v>
      </c>
      <c r="E164" s="839">
        <f>'22'!F164</f>
        <v>6769.2</v>
      </c>
      <c r="F164" s="1014">
        <v>6780.12</v>
      </c>
      <c r="G164" s="840">
        <f t="shared" si="16"/>
        <v>10.920000000000073</v>
      </c>
    </row>
    <row r="165" spans="1:10" ht="21.75" customHeight="1">
      <c r="A165" s="920" t="s">
        <v>97</v>
      </c>
      <c r="B165" s="920"/>
      <c r="C165" s="920"/>
      <c r="D165" s="825" t="s">
        <v>186</v>
      </c>
      <c r="E165" s="921">
        <f>E62</f>
        <v>20419.2</v>
      </c>
      <c r="F165" s="921">
        <f>F62</f>
        <v>20419</v>
      </c>
      <c r="G165" s="840">
        <f t="shared" ref="G165:G172" si="17">F165-E165</f>
        <v>-0.2000000000007276</v>
      </c>
      <c r="J165" s="1072"/>
    </row>
    <row r="166" spans="1:10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10" ht="21.75" customHeight="1">
      <c r="A167" s="1625" t="s">
        <v>98</v>
      </c>
      <c r="B167" s="1625"/>
      <c r="C167" s="1625"/>
      <c r="D167" s="838" t="s">
        <v>186</v>
      </c>
      <c r="E167" s="921">
        <f t="shared" si="18"/>
        <v>167012.26</v>
      </c>
      <c r="F167" s="921">
        <f t="shared" si="19"/>
        <v>167394.59</v>
      </c>
      <c r="G167" s="840">
        <f t="shared" si="17"/>
        <v>382.32999999998719</v>
      </c>
    </row>
    <row r="168" spans="1:10" ht="21.75" customHeight="1">
      <c r="A168" s="1625" t="s">
        <v>99</v>
      </c>
      <c r="B168" s="1625"/>
      <c r="C168" s="1625"/>
      <c r="D168" s="838" t="s">
        <v>186</v>
      </c>
      <c r="E168" s="921">
        <f t="shared" si="18"/>
        <v>167241.76999999999</v>
      </c>
      <c r="F168" s="921">
        <f t="shared" si="19"/>
        <v>167531.19</v>
      </c>
      <c r="G168" s="840">
        <f t="shared" si="17"/>
        <v>289.42000000001281</v>
      </c>
    </row>
    <row r="169" spans="1:10" ht="21.75" customHeight="1">
      <c r="A169" s="1625" t="s">
        <v>100</v>
      </c>
      <c r="B169" s="1625"/>
      <c r="C169" s="1625"/>
      <c r="D169" s="838" t="s">
        <v>186</v>
      </c>
      <c r="E169" s="921">
        <f t="shared" si="18"/>
        <v>64618.53</v>
      </c>
      <c r="F169" s="921">
        <f t="shared" si="19"/>
        <v>65006.65</v>
      </c>
      <c r="G169" s="840">
        <f t="shared" si="17"/>
        <v>388.12000000000262</v>
      </c>
    </row>
    <row r="170" spans="1:10">
      <c r="A170" s="1625" t="s">
        <v>101</v>
      </c>
      <c r="B170" s="1625"/>
      <c r="C170" s="1625"/>
      <c r="D170" s="838" t="s">
        <v>186</v>
      </c>
      <c r="E170" s="921">
        <f t="shared" si="18"/>
        <v>261392</v>
      </c>
      <c r="F170" s="921">
        <f t="shared" si="19"/>
        <v>261813.67</v>
      </c>
      <c r="G170" s="840">
        <f t="shared" si="17"/>
        <v>421.67000000001281</v>
      </c>
    </row>
    <row r="171" spans="1:10" ht="24" customHeight="1">
      <c r="A171" s="1625" t="s">
        <v>102</v>
      </c>
      <c r="B171" s="1625"/>
      <c r="C171" s="1625"/>
      <c r="D171" s="838" t="s">
        <v>186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  <c r="J171" s="1073"/>
    </row>
    <row r="172" spans="1:10">
      <c r="A172" s="1625" t="s">
        <v>103</v>
      </c>
      <c r="B172" s="1625"/>
      <c r="C172" s="1625"/>
      <c r="D172" s="838" t="s">
        <v>186</v>
      </c>
      <c r="E172" s="921">
        <f t="shared" si="18"/>
        <v>85602.95</v>
      </c>
      <c r="F172" s="921">
        <f t="shared" si="19"/>
        <v>85863.75</v>
      </c>
      <c r="G172" s="840">
        <f t="shared" si="17"/>
        <v>260.80000000000291</v>
      </c>
    </row>
    <row r="173" spans="1:10">
      <c r="G173" s="1005">
        <f>SUM(G161:G172)</f>
        <v>2485.3600000000133</v>
      </c>
    </row>
    <row r="174" spans="1:10">
      <c r="A174" s="1625" t="s">
        <v>345</v>
      </c>
      <c r="B174" s="1625"/>
      <c r="C174" s="1625"/>
      <c r="D174" s="838" t="s">
        <v>186</v>
      </c>
      <c r="E174" s="839">
        <f>'22'!F174</f>
        <v>28182.46</v>
      </c>
      <c r="F174" s="968">
        <v>28192.77</v>
      </c>
      <c r="G174" s="840">
        <f t="shared" ref="G174:G177" si="20">F174-E174</f>
        <v>10.31000000000131</v>
      </c>
      <c r="J174" s="1074"/>
    </row>
    <row r="175" spans="1:10">
      <c r="A175" s="1667" t="s">
        <v>352</v>
      </c>
      <c r="B175" s="1629"/>
      <c r="C175" s="990"/>
      <c r="D175" s="838" t="s">
        <v>186</v>
      </c>
      <c r="E175" s="839">
        <f>'22'!F175</f>
        <v>18965.8</v>
      </c>
      <c r="F175" s="968">
        <v>18970.8</v>
      </c>
      <c r="G175" s="840">
        <f t="shared" si="20"/>
        <v>5</v>
      </c>
    </row>
    <row r="176" spans="1:10">
      <c r="A176" s="1667" t="s">
        <v>353</v>
      </c>
      <c r="B176" s="1629"/>
      <c r="D176" s="838" t="s">
        <v>186</v>
      </c>
      <c r="E176" s="839">
        <f>'22'!F176</f>
        <v>27595.4</v>
      </c>
      <c r="F176" s="968">
        <v>27599.7</v>
      </c>
      <c r="G176" s="840">
        <f t="shared" si="20"/>
        <v>4.2999999999992724</v>
      </c>
    </row>
    <row r="177" spans="1:7" ht="18.75" customHeight="1">
      <c r="A177" s="1667" t="s">
        <v>352</v>
      </c>
      <c r="B177" s="1629"/>
      <c r="D177" s="838" t="s">
        <v>186</v>
      </c>
      <c r="E177" s="839">
        <f>'22'!F177</f>
        <v>70187.7</v>
      </c>
      <c r="F177" s="968">
        <v>70210</v>
      </c>
      <c r="G177" s="840">
        <f t="shared" si="20"/>
        <v>22.30000000000291</v>
      </c>
    </row>
  </sheetData>
  <mergeCells count="78">
    <mergeCell ref="A174:C174"/>
    <mergeCell ref="A176:B176"/>
    <mergeCell ref="A177:B177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60" zoomScale="68" zoomScaleNormal="44" zoomScaleSheetLayoutView="68" workbookViewId="0">
      <selection activeCell="F15" sqref="F1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003" customWidth="1"/>
    <col min="7" max="7" width="17.88671875" style="1003" customWidth="1"/>
    <col min="8" max="8" width="39.21875" style="1004" customWidth="1"/>
    <col min="9" max="9" width="15.77734375" style="1003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2.5">
      <c r="A1" s="1668" t="s">
        <v>116</v>
      </c>
      <c r="B1" s="1669"/>
      <c r="C1" s="1669"/>
      <c r="D1" s="1669"/>
      <c r="E1" s="1669"/>
      <c r="F1" s="1669"/>
      <c r="G1" s="1669"/>
      <c r="H1" s="1669"/>
      <c r="I1" s="1669"/>
      <c r="J1" s="1670"/>
    </row>
    <row r="2" spans="1:15">
      <c r="A2" s="806" t="s">
        <v>369</v>
      </c>
      <c r="B2" s="1076">
        <v>44006</v>
      </c>
      <c r="C2" s="807" t="s">
        <v>68</v>
      </c>
      <c r="D2" s="808">
        <v>0.57999999999999996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13">
        <v>28</v>
      </c>
      <c r="E3" s="1677" t="s">
        <v>120</v>
      </c>
      <c r="F3" s="1678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808">
        <v>0.8</v>
      </c>
      <c r="E4" s="821"/>
      <c r="F4" s="821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71" t="s">
        <v>129</v>
      </c>
      <c r="B6" s="1672"/>
      <c r="C6" s="1673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3.25" thickBot="1">
      <c r="A7" s="836" t="s">
        <v>130</v>
      </c>
      <c r="B7" s="837"/>
      <c r="C7" s="837"/>
      <c r="D7" s="838" t="s">
        <v>131</v>
      </c>
      <c r="E7" s="839">
        <f>'23'!F7</f>
        <v>416295.56</v>
      </c>
      <c r="F7" s="455">
        <f>E7+21500</f>
        <v>437795.56</v>
      </c>
      <c r="G7" s="840">
        <f>F7-E7</f>
        <v>21500</v>
      </c>
      <c r="H7" s="841">
        <f>G7+'23'!H7</f>
        <v>515842.56000000006</v>
      </c>
      <c r="I7" s="842">
        <f>'1'!I7</f>
        <v>12000</v>
      </c>
      <c r="J7" s="843">
        <f>H7/DAY(B2)</f>
        <v>21493.440000000002</v>
      </c>
      <c r="K7" s="844"/>
      <c r="L7" s="818"/>
      <c r="O7" s="845"/>
    </row>
    <row r="8" spans="1:15" ht="23.25" thickBot="1">
      <c r="A8" s="846" t="s">
        <v>132</v>
      </c>
      <c r="B8" s="847"/>
      <c r="C8" s="848"/>
      <c r="D8" s="849" t="s">
        <v>25</v>
      </c>
      <c r="E8" s="839">
        <f>'23'!F8</f>
        <v>421953.79</v>
      </c>
      <c r="F8" s="475">
        <f>E8+21500</f>
        <v>443453.79</v>
      </c>
      <c r="G8" s="850">
        <f>F8-E8</f>
        <v>21500</v>
      </c>
      <c r="H8" s="841">
        <f>G8+'23'!H8</f>
        <v>516731.79</v>
      </c>
      <c r="I8" s="851">
        <f>'1'!I8</f>
        <v>12000</v>
      </c>
      <c r="J8" s="843">
        <f>H8/DAY(B2)</f>
        <v>21530.491249999999</v>
      </c>
      <c r="K8" s="844"/>
      <c r="L8" s="852"/>
      <c r="M8" s="853"/>
      <c r="O8" s="845"/>
    </row>
    <row r="9" spans="1:15">
      <c r="A9" s="854" t="s">
        <v>133</v>
      </c>
      <c r="B9" s="855"/>
      <c r="C9" s="855"/>
      <c r="D9" s="838" t="s">
        <v>131</v>
      </c>
      <c r="E9" s="839">
        <f>'23'!F9</f>
        <v>1892007.7</v>
      </c>
      <c r="F9" s="856">
        <v>1913408</v>
      </c>
      <c r="G9" s="840">
        <f t="shared" ref="G9:G12" si="0">F9-E9</f>
        <v>21400.300000000047</v>
      </c>
      <c r="H9" s="841">
        <f>G9+'23'!H9</f>
        <v>-117594</v>
      </c>
      <c r="I9" s="857">
        <f>I8-J8</f>
        <v>-9530.4912499999991</v>
      </c>
      <c r="J9" s="843">
        <f>H9/DAY(B2)</f>
        <v>-4899.75</v>
      </c>
      <c r="K9" s="858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'23'!F10</f>
        <v>0</v>
      </c>
      <c r="F10" s="856">
        <v>0</v>
      </c>
      <c r="G10" s="840">
        <f t="shared" si="0"/>
        <v>0</v>
      </c>
      <c r="H10" s="841">
        <f>G10+'23'!H10</f>
        <v>0.29999999999972715</v>
      </c>
      <c r="I10" s="859"/>
      <c r="J10" s="843">
        <f>H10/DAY(B2)</f>
        <v>1.2499999999988631E-2</v>
      </c>
      <c r="K10" s="858"/>
      <c r="L10" s="818"/>
      <c r="M10" s="805" t="s">
        <v>276</v>
      </c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839">
        <v>37000</v>
      </c>
      <c r="G11" s="840">
        <f t="shared" si="0"/>
        <v>0</v>
      </c>
      <c r="H11" s="841">
        <f>G11+'23'!H11</f>
        <v>0</v>
      </c>
      <c r="I11" s="859"/>
      <c r="J11" s="843">
        <f>H11/DAY(B2)</f>
        <v>0</v>
      </c>
      <c r="K11" s="858"/>
      <c r="L11" s="818"/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856">
        <v>40010</v>
      </c>
      <c r="G12" s="840">
        <f t="shared" si="0"/>
        <v>0</v>
      </c>
      <c r="H12" s="841">
        <f>G12+'23'!H12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137</v>
      </c>
      <c r="B13" s="861"/>
      <c r="C13" s="861"/>
      <c r="D13" s="838"/>
      <c r="E13" s="839"/>
      <c r="F13" s="839"/>
      <c r="G13" s="862">
        <f>G9+G10+G11+G12</f>
        <v>21400.300000000047</v>
      </c>
      <c r="H13" s="841">
        <f>G13+'23'!H13</f>
        <v>-134118.70000000001</v>
      </c>
      <c r="I13" s="863">
        <f>G7-G13</f>
        <v>99.699999999953434</v>
      </c>
      <c r="J13" s="843">
        <f>H13/DAY(B2)</f>
        <v>-5588.2791666666672</v>
      </c>
      <c r="K13" s="858"/>
      <c r="L13" s="818"/>
      <c r="O13" s="845"/>
    </row>
    <row r="14" spans="1:15">
      <c r="A14" s="1674" t="s">
        <v>138</v>
      </c>
      <c r="B14" s="1675"/>
      <c r="C14" s="1676"/>
      <c r="D14" s="833"/>
      <c r="E14" s="833"/>
      <c r="F14" s="833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'23'!F15</f>
        <v>1720367.16</v>
      </c>
      <c r="F15" s="700">
        <f>E15+700</f>
        <v>1721067.16</v>
      </c>
      <c r="G15" s="1015">
        <f>(F15-E15)</f>
        <v>700</v>
      </c>
      <c r="H15" s="841">
        <f>G15+'23'!H15</f>
        <v>17384.159999999916</v>
      </c>
      <c r="I15" s="842">
        <f>'1'!I15</f>
        <v>800</v>
      </c>
      <c r="J15" s="843">
        <f>H15/DAY(B2)</f>
        <v>724.33999999999651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872"/>
      <c r="G16" s="840"/>
      <c r="H16" s="873"/>
      <c r="I16" s="874">
        <f>I15-J15</f>
        <v>75.660000000003492</v>
      </c>
      <c r="J16" s="875"/>
      <c r="K16" s="858"/>
      <c r="L16" s="818"/>
      <c r="N16" s="1008"/>
      <c r="O16" s="845"/>
    </row>
    <row r="17" spans="1:15">
      <c r="A17" s="1674" t="s">
        <v>141</v>
      </c>
      <c r="B17" s="1675"/>
      <c r="C17" s="1676"/>
      <c r="D17" s="833"/>
      <c r="E17" s="833"/>
      <c r="F17" s="833"/>
      <c r="G17" s="876"/>
      <c r="H17" s="833">
        <f>G17+'22'!H17</f>
        <v>0</v>
      </c>
      <c r="I17" s="833"/>
      <c r="J17" s="834"/>
      <c r="K17" s="858"/>
      <c r="L17" s="818"/>
      <c r="O17" s="845"/>
    </row>
    <row r="18" spans="1:15">
      <c r="A18" s="1649" t="s">
        <v>142</v>
      </c>
      <c r="B18" s="1650"/>
      <c r="C18" s="1651"/>
      <c r="D18" s="838" t="s">
        <v>143</v>
      </c>
      <c r="E18" s="839">
        <f>'23'!F18</f>
        <v>4</v>
      </c>
      <c r="F18" s="868">
        <v>10</v>
      </c>
      <c r="G18" s="862">
        <f>F18*10</f>
        <v>100</v>
      </c>
      <c r="H18" s="841">
        <f>G18+'23'!H18</f>
        <v>2350</v>
      </c>
      <c r="I18" s="842">
        <f>'1'!I18</f>
        <v>65</v>
      </c>
      <c r="J18" s="843">
        <f>H18/DAY(B2)</f>
        <v>97.916666666666671</v>
      </c>
      <c r="K18" s="858"/>
      <c r="L18" s="818"/>
      <c r="O18" s="845"/>
    </row>
    <row r="19" spans="1:15">
      <c r="A19" s="1649" t="s">
        <v>70</v>
      </c>
      <c r="B19" s="1650"/>
      <c r="C19" s="1651"/>
      <c r="D19" s="838" t="s">
        <v>143</v>
      </c>
      <c r="E19" s="839">
        <f>'23'!F19</f>
        <v>141054</v>
      </c>
      <c r="F19" s="868">
        <v>141118</v>
      </c>
      <c r="G19" s="840">
        <f t="shared" ref="G19" si="1">F19-E19</f>
        <v>64</v>
      </c>
      <c r="H19" s="841">
        <f>G19+'23'!H19</f>
        <v>-377</v>
      </c>
      <c r="I19" s="877"/>
      <c r="J19" s="843">
        <f>H19/DAY(B2)</f>
        <v>-15.708333333333334</v>
      </c>
      <c r="K19" s="858"/>
      <c r="L19" s="818"/>
      <c r="O19" s="845"/>
    </row>
    <row r="20" spans="1:15">
      <c r="A20" s="860" t="s">
        <v>144</v>
      </c>
      <c r="B20" s="861"/>
      <c r="C20" s="861"/>
      <c r="D20" s="878"/>
      <c r="E20" s="878"/>
      <c r="F20" s="878"/>
      <c r="G20" s="840">
        <f>SUM(G18:G19)</f>
        <v>164</v>
      </c>
      <c r="H20" s="841">
        <f>G20+'23'!H20</f>
        <v>1973</v>
      </c>
      <c r="I20" s="880">
        <f>I18-J20</f>
        <v>-17.208333333333329</v>
      </c>
      <c r="J20" s="843">
        <f>H20/DAY(B2)</f>
        <v>82.208333333333329</v>
      </c>
      <c r="K20" s="858"/>
      <c r="L20" s="818"/>
      <c r="O20" s="845"/>
    </row>
    <row r="21" spans="1:15">
      <c r="A21" s="1674" t="s">
        <v>145</v>
      </c>
      <c r="B21" s="1675"/>
      <c r="C21" s="1676"/>
      <c r="D21" s="833"/>
      <c r="E21" s="833"/>
      <c r="F21" s="833"/>
      <c r="G21" s="864"/>
      <c r="H21" s="833"/>
      <c r="I21" s="833"/>
      <c r="J21" s="834"/>
      <c r="K21" s="858"/>
      <c r="L21" s="818"/>
      <c r="O21" s="845"/>
    </row>
    <row r="22" spans="1:15">
      <c r="A22" s="866" t="s">
        <v>146</v>
      </c>
      <c r="B22" s="867"/>
      <c r="C22" s="867"/>
      <c r="D22" s="838" t="s">
        <v>147</v>
      </c>
      <c r="E22" s="868">
        <f>'23'!F22</f>
        <v>2970</v>
      </c>
      <c r="F22" s="868">
        <v>2970</v>
      </c>
      <c r="G22" s="862">
        <f t="shared" ref="G22:G23" si="2">(F22-E22)</f>
        <v>0</v>
      </c>
      <c r="H22" s="841">
        <f>G22+'23'!H22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148</v>
      </c>
      <c r="B23" s="867"/>
      <c r="C23" s="867"/>
      <c r="D23" s="838" t="s">
        <v>147</v>
      </c>
      <c r="E23" s="868">
        <f>'23'!F23</f>
        <v>2000</v>
      </c>
      <c r="F23" s="868">
        <v>2000</v>
      </c>
      <c r="G23" s="862">
        <f t="shared" si="2"/>
        <v>0</v>
      </c>
      <c r="H23" s="841">
        <f>G23+'23'!H23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149</v>
      </c>
      <c r="B24" s="882"/>
      <c r="C24" s="882"/>
      <c r="D24" s="825" t="s">
        <v>147</v>
      </c>
      <c r="E24" s="868">
        <f>'23'!F24</f>
        <v>4970</v>
      </c>
      <c r="F24" s="883">
        <v>4970</v>
      </c>
      <c r="G24" s="862">
        <f>SUM(G22:G23)</f>
        <v>0</v>
      </c>
      <c r="H24" s="841">
        <f>G24+'23'!H24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71" t="s">
        <v>150</v>
      </c>
      <c r="B25" s="1672"/>
      <c r="C25" s="1673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151</v>
      </c>
      <c r="B26" s="891"/>
      <c r="C26" s="892"/>
      <c r="D26" s="893" t="s">
        <v>152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22.5">
      <c r="A27" s="890" t="s">
        <v>6</v>
      </c>
      <c r="B27" s="891"/>
      <c r="C27" s="892"/>
      <c r="D27" s="897" t="s">
        <v>25</v>
      </c>
      <c r="E27" s="898">
        <f>G8</f>
        <v>21500</v>
      </c>
      <c r="F27" s="501">
        <v>9</v>
      </c>
      <c r="G27" s="900">
        <f>E27*F27</f>
        <v>193500</v>
      </c>
      <c r="H27" s="841">
        <f>G27+'23'!H27</f>
        <v>4650586.1099999994</v>
      </c>
      <c r="I27" s="901"/>
      <c r="J27" s="843">
        <f>H27/DAY(B2)</f>
        <v>193774.42124999998</v>
      </c>
      <c r="K27" s="858"/>
      <c r="L27" s="888"/>
      <c r="N27" s="1007"/>
      <c r="O27" s="845"/>
    </row>
    <row r="28" spans="1:15" s="889" customFormat="1" ht="22.5">
      <c r="A28" s="890" t="s">
        <v>153</v>
      </c>
      <c r="B28" s="891"/>
      <c r="C28" s="892"/>
      <c r="D28" s="897" t="s">
        <v>154</v>
      </c>
      <c r="E28" s="898">
        <f>G15</f>
        <v>700</v>
      </c>
      <c r="F28" s="501">
        <v>52</v>
      </c>
      <c r="G28" s="900">
        <f t="shared" ref="G28:G31" si="3">E28*F28</f>
        <v>36400</v>
      </c>
      <c r="H28" s="841">
        <f>G28+'23'!H28</f>
        <v>903976.31999999564</v>
      </c>
      <c r="I28" s="902"/>
      <c r="J28" s="843">
        <f>H28/DAY(B2)</f>
        <v>37665.679999999818</v>
      </c>
      <c r="K28" s="858"/>
      <c r="L28" s="888"/>
      <c r="N28" s="1007"/>
      <c r="O28" s="845"/>
    </row>
    <row r="29" spans="1:15" s="889" customFormat="1">
      <c r="A29" s="890" t="s">
        <v>155</v>
      </c>
      <c r="B29" s="891"/>
      <c r="C29" s="892"/>
      <c r="D29" s="897" t="s">
        <v>156</v>
      </c>
      <c r="E29" s="898">
        <f>G24</f>
        <v>0</v>
      </c>
      <c r="F29" s="899">
        <v>69</v>
      </c>
      <c r="G29" s="900">
        <f t="shared" si="3"/>
        <v>0</v>
      </c>
      <c r="H29" s="841">
        <f>G29+'23'!H29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157</v>
      </c>
      <c r="B30" s="891"/>
      <c r="C30" s="892"/>
      <c r="D30" s="897" t="s">
        <v>158</v>
      </c>
      <c r="E30" s="898">
        <f>G19</f>
        <v>64</v>
      </c>
      <c r="F30" s="899">
        <v>146</v>
      </c>
      <c r="G30" s="900">
        <f t="shared" si="3"/>
        <v>9344</v>
      </c>
      <c r="H30" s="841">
        <f>G30+'23'!H30</f>
        <v>-55626</v>
      </c>
      <c r="I30" s="902"/>
      <c r="J30" s="843">
        <f>H30/DAY(B2)</f>
        <v>-2317.75</v>
      </c>
      <c r="K30" s="858"/>
      <c r="L30" s="888"/>
      <c r="N30" s="1007"/>
      <c r="O30" s="845"/>
    </row>
    <row r="31" spans="1:15" s="889" customFormat="1">
      <c r="A31" s="890" t="s">
        <v>159</v>
      </c>
      <c r="B31" s="891"/>
      <c r="C31" s="892"/>
      <c r="D31" s="897" t="s">
        <v>143</v>
      </c>
      <c r="E31" s="898">
        <f>G18</f>
        <v>100</v>
      </c>
      <c r="F31" s="899">
        <v>80</v>
      </c>
      <c r="G31" s="900">
        <f t="shared" si="3"/>
        <v>8000</v>
      </c>
      <c r="H31" s="841">
        <f>G31+'23'!H31</f>
        <v>182400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160</v>
      </c>
      <c r="B32" s="904"/>
      <c r="C32" s="905"/>
      <c r="D32" s="906"/>
      <c r="E32" s="906"/>
      <c r="F32" s="906"/>
      <c r="G32" s="907">
        <f>G27+G28+G29+G30+G31</f>
        <v>247244</v>
      </c>
      <c r="H32" s="841">
        <f>G32+'23'!H32</f>
        <v>5681336.429999995</v>
      </c>
      <c r="I32" s="908"/>
      <c r="J32" s="843">
        <f>H32/DAY(B2)</f>
        <v>236722.3512499998</v>
      </c>
      <c r="K32" s="858"/>
      <c r="L32" s="888"/>
      <c r="N32" s="1007"/>
      <c r="O32" s="845"/>
    </row>
    <row r="33" spans="1:15" ht="18.75">
      <c r="A33" s="1679" t="s">
        <v>161</v>
      </c>
      <c r="B33" s="1680"/>
      <c r="C33" s="1680"/>
      <c r="D33" s="1680"/>
      <c r="E33" s="1680"/>
      <c r="F33" s="1680"/>
      <c r="G33" s="1680"/>
      <c r="H33" s="1680"/>
      <c r="I33" s="1680"/>
      <c r="J33" s="1681"/>
      <c r="K33" s="858"/>
      <c r="L33" s="818"/>
      <c r="O33" s="845"/>
    </row>
    <row r="34" spans="1:15">
      <c r="A34" s="909" t="s">
        <v>162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'23'!F35</f>
        <v>1008757.5</v>
      </c>
      <c r="F35" s="911">
        <v>1011558</v>
      </c>
      <c r="G35" s="840">
        <f t="shared" ref="G35:G46" si="4">F35-E35</f>
        <v>2800.5</v>
      </c>
      <c r="H35" s="841">
        <f>G35+'23'!H35</f>
        <v>-17156</v>
      </c>
      <c r="I35" s="839"/>
      <c r="J35" s="843">
        <f>H35/DAY(B2)</f>
        <v>-714.83333333333337</v>
      </c>
      <c r="K35" s="858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'23'!F36</f>
        <v>15227.98</v>
      </c>
      <c r="F36" s="911">
        <v>16401</v>
      </c>
      <c r="G36" s="840">
        <f t="shared" si="4"/>
        <v>1173.0200000000004</v>
      </c>
      <c r="H36" s="841">
        <f>G36+'23'!H36</f>
        <v>-4060</v>
      </c>
      <c r="I36" s="839"/>
      <c r="J36" s="843">
        <f>H36/DAY(B2)</f>
        <v>-169.16666666666666</v>
      </c>
      <c r="K36" s="858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'23'!F37</f>
        <v>166269.59</v>
      </c>
      <c r="F37" s="911">
        <v>167756</v>
      </c>
      <c r="G37" s="840">
        <f t="shared" si="4"/>
        <v>1486.4100000000035</v>
      </c>
      <c r="H37" s="841">
        <f>G37+'23'!H37</f>
        <v>-8814</v>
      </c>
      <c r="I37" s="839"/>
      <c r="J37" s="843">
        <f>H37/DAY(B2)</f>
        <v>-367.25</v>
      </c>
      <c r="K37" s="858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'23'!F38</f>
        <v>187269.97</v>
      </c>
      <c r="F38" s="828">
        <v>188798</v>
      </c>
      <c r="G38" s="840">
        <f t="shared" si="4"/>
        <v>1528.0299999999988</v>
      </c>
      <c r="H38" s="841">
        <f>G38+'23'!H38</f>
        <v>-9661</v>
      </c>
      <c r="I38" s="839"/>
      <c r="J38" s="843">
        <f>H38/DAY(B2)</f>
        <v>-402.54166666666669</v>
      </c>
      <c r="K38" s="858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'23'!F39</f>
        <v>379312.95</v>
      </c>
      <c r="F39" s="911">
        <v>382827</v>
      </c>
      <c r="G39" s="840">
        <f t="shared" si="4"/>
        <v>3514.0499999999884</v>
      </c>
      <c r="H39" s="841">
        <f>G39+'23'!H39</f>
        <v>-22037</v>
      </c>
      <c r="I39" s="839"/>
      <c r="J39" s="843">
        <f>H39/DAY(B2)</f>
        <v>-918.20833333333337</v>
      </c>
      <c r="K39" s="858"/>
      <c r="L39" s="818"/>
      <c r="N39" s="1006">
        <f>20*38.64</f>
        <v>772.8</v>
      </c>
      <c r="O39" s="845"/>
    </row>
    <row r="40" spans="1:15">
      <c r="A40" s="912" t="s">
        <v>168</v>
      </c>
      <c r="B40" s="913"/>
      <c r="C40" s="913"/>
      <c r="D40" s="838" t="s">
        <v>131</v>
      </c>
      <c r="E40" s="839">
        <f>'23'!F40</f>
        <v>4932.5</v>
      </c>
      <c r="F40" s="911">
        <v>5453</v>
      </c>
      <c r="G40" s="840">
        <f t="shared" si="4"/>
        <v>520.5</v>
      </c>
      <c r="H40" s="841">
        <f>G40+'23'!H40</f>
        <v>-1660</v>
      </c>
      <c r="I40" s="839"/>
      <c r="J40" s="843">
        <f>H40/DAY(B2)</f>
        <v>-69.166666666666671</v>
      </c>
      <c r="K40" s="865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'23'!F41</f>
        <v>309426.43</v>
      </c>
      <c r="F41" s="911">
        <v>310992</v>
      </c>
      <c r="G41" s="840">
        <f t="shared" si="4"/>
        <v>1565.570000000007</v>
      </c>
      <c r="H41" s="841">
        <f>G41+'23'!H41</f>
        <v>-18650</v>
      </c>
      <c r="I41" s="839"/>
      <c r="J41" s="843">
        <f>H41/DAY(B2)</f>
        <v>-777.08333333333337</v>
      </c>
      <c r="K41" s="858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'23'!F42</f>
        <v>59210.080000000002</v>
      </c>
      <c r="F42" s="911">
        <v>59210</v>
      </c>
      <c r="G42" s="840">
        <f t="shared" si="4"/>
        <v>-8.000000000174623E-2</v>
      </c>
      <c r="H42" s="841">
        <f>G42+'23'!H42</f>
        <v>11.110000000000582</v>
      </c>
      <c r="I42" s="839"/>
      <c r="J42" s="843">
        <f>H42/DAY(B2)</f>
        <v>0.4629166666666909</v>
      </c>
      <c r="K42" s="858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'23'!F43</f>
        <v>1100983.7</v>
      </c>
      <c r="F43" s="911">
        <v>1103903</v>
      </c>
      <c r="G43" s="840">
        <f t="shared" si="4"/>
        <v>2919.3000000000466</v>
      </c>
      <c r="H43" s="841">
        <f>G43+'23'!H43</f>
        <v>-16549</v>
      </c>
      <c r="I43" s="839"/>
      <c r="J43" s="843">
        <f>H43/DAY(B2)</f>
        <v>-689.54166666666663</v>
      </c>
      <c r="K43" s="858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'23'!F44</f>
        <v>0</v>
      </c>
      <c r="F44" s="911">
        <v>0</v>
      </c>
      <c r="G44" s="840">
        <f t="shared" si="4"/>
        <v>0</v>
      </c>
      <c r="H44" s="841">
        <f>G44+'23'!H44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'23'!F45</f>
        <v>0</v>
      </c>
      <c r="F45" s="911">
        <v>0</v>
      </c>
      <c r="G45" s="840">
        <f t="shared" si="4"/>
        <v>0</v>
      </c>
      <c r="H45" s="841">
        <f>G45+'23'!H45</f>
        <v>0</v>
      </c>
      <c r="I45" s="839"/>
      <c r="J45" s="843">
        <f>H45/DAY(B2)</f>
        <v>0</v>
      </c>
      <c r="K45" s="858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'23'!F46</f>
        <v>0</v>
      </c>
      <c r="F46" s="911">
        <v>0</v>
      </c>
      <c r="G46" s="840">
        <f t="shared" si="4"/>
        <v>0</v>
      </c>
      <c r="H46" s="841">
        <f>G46+'23'!H46</f>
        <v>-5.0000000000011369E-2</v>
      </c>
      <c r="I46" s="839"/>
      <c r="J46" s="843">
        <f>H46/DAY(B2)</f>
        <v>-2.0833333333338069E-3</v>
      </c>
      <c r="K46" s="858"/>
      <c r="L46" s="818"/>
      <c r="O46" s="845"/>
    </row>
    <row r="47" spans="1:15">
      <c r="A47" s="860" t="s">
        <v>175</v>
      </c>
      <c r="B47" s="861"/>
      <c r="C47" s="861"/>
      <c r="D47" s="829"/>
      <c r="E47" s="825"/>
      <c r="F47" s="825"/>
      <c r="G47" s="862">
        <f>G35+G36+G37+G38+G39+G40+G41+G42+G43+G44+G45+G46</f>
        <v>15507.300000000043</v>
      </c>
      <c r="H47" s="841">
        <f>G47+'23'!H47</f>
        <v>-97774.449999999939</v>
      </c>
      <c r="I47" s="839"/>
      <c r="J47" s="843">
        <f>H47/DAY(B2)</f>
        <v>-4073.935416666664</v>
      </c>
      <c r="K47" s="858"/>
      <c r="L47" s="818"/>
      <c r="N47" s="1008"/>
      <c r="O47" s="845"/>
    </row>
    <row r="48" spans="1:15">
      <c r="A48" s="909" t="s">
        <v>176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>
      <c r="A49" s="836" t="s">
        <v>163</v>
      </c>
      <c r="B49" s="914"/>
      <c r="C49" s="914"/>
      <c r="D49" s="838" t="s">
        <v>131</v>
      </c>
      <c r="E49" s="839">
        <f>'23'!F49</f>
        <v>260732.12</v>
      </c>
      <c r="F49" s="911">
        <v>260732.12</v>
      </c>
      <c r="G49" s="840">
        <f t="shared" ref="G49:G58" si="5">F49-E49</f>
        <v>0</v>
      </c>
      <c r="H49" s="841">
        <f>G49+'23'!H49</f>
        <v>0.11999999999534339</v>
      </c>
      <c r="I49" s="839"/>
      <c r="J49" s="843">
        <f>H49/DAY(B2)</f>
        <v>4.9999999998059748E-3</v>
      </c>
      <c r="K49" s="858"/>
      <c r="L49" s="818"/>
      <c r="O49" s="845"/>
    </row>
    <row r="50" spans="1:15">
      <c r="A50" s="836" t="s">
        <v>177</v>
      </c>
      <c r="B50" s="914"/>
      <c r="C50" s="914"/>
      <c r="D50" s="838" t="s">
        <v>131</v>
      </c>
      <c r="E50" s="839">
        <f>'23'!F50</f>
        <v>526784.39</v>
      </c>
      <c r="F50" s="911">
        <v>528305</v>
      </c>
      <c r="G50" s="840">
        <f t="shared" si="5"/>
        <v>1520.609999999986</v>
      </c>
      <c r="H50" s="841">
        <f>G50+'23'!H50</f>
        <v>-7248</v>
      </c>
      <c r="I50" s="839"/>
      <c r="J50" s="843">
        <f>H50/DAY(B2)</f>
        <v>-302</v>
      </c>
      <c r="K50" s="858"/>
      <c r="L50" s="818"/>
      <c r="O50" s="845"/>
    </row>
    <row r="51" spans="1:15">
      <c r="A51" s="836" t="s">
        <v>165</v>
      </c>
      <c r="B51" s="914"/>
      <c r="C51" s="914"/>
      <c r="D51" s="838" t="s">
        <v>131</v>
      </c>
      <c r="E51" s="839">
        <f>'23'!F51</f>
        <v>144639.87</v>
      </c>
      <c r="F51" s="911">
        <v>144640</v>
      </c>
      <c r="G51" s="840">
        <f t="shared" si="5"/>
        <v>0.13000000000465661</v>
      </c>
      <c r="H51" s="841">
        <f>G51+'23'!H51</f>
        <v>0</v>
      </c>
      <c r="I51" s="839"/>
      <c r="J51" s="843">
        <f>H51/DAY(B2)</f>
        <v>0</v>
      </c>
      <c r="K51" s="858"/>
      <c r="L51" s="818"/>
      <c r="O51" s="845"/>
    </row>
    <row r="52" spans="1:15">
      <c r="A52" s="836" t="s">
        <v>178</v>
      </c>
      <c r="B52" s="914"/>
      <c r="C52" s="914"/>
      <c r="D52" s="838" t="s">
        <v>131</v>
      </c>
      <c r="E52" s="839">
        <f>'23'!F52</f>
        <v>539606.06999999995</v>
      </c>
      <c r="F52" s="911">
        <v>539606</v>
      </c>
      <c r="G52" s="840">
        <f t="shared" si="5"/>
        <v>-6.9999999948777258E-2</v>
      </c>
      <c r="H52" s="841">
        <f>G52+'23'!H52</f>
        <v>-6.9999999948777258E-2</v>
      </c>
      <c r="I52" s="839"/>
      <c r="J52" s="843">
        <f>H52/DAY(B2)</f>
        <v>-2.9166666645323858E-3</v>
      </c>
      <c r="K52" s="858"/>
      <c r="L52" s="818"/>
      <c r="O52" s="845"/>
    </row>
    <row r="53" spans="1:15">
      <c r="A53" s="836" t="s">
        <v>167</v>
      </c>
      <c r="B53" s="914"/>
      <c r="C53" s="914"/>
      <c r="D53" s="838" t="s">
        <v>131</v>
      </c>
      <c r="E53" s="839">
        <f>'23'!F53</f>
        <v>434231.59</v>
      </c>
      <c r="F53" s="911">
        <v>434232</v>
      </c>
      <c r="G53" s="840">
        <f t="shared" si="5"/>
        <v>0.40999999997438863</v>
      </c>
      <c r="H53" s="841">
        <f>G53+'23'!H53</f>
        <v>-0.33000000001629815</v>
      </c>
      <c r="I53" s="839"/>
      <c r="J53" s="843">
        <f>H53/DAY(B2)</f>
        <v>-1.3750000000679089E-2</v>
      </c>
      <c r="K53" s="858"/>
      <c r="L53" s="818"/>
      <c r="O53" s="845"/>
    </row>
    <row r="54" spans="1:15">
      <c r="A54" s="836" t="s">
        <v>179</v>
      </c>
      <c r="B54" s="914"/>
      <c r="C54" s="914"/>
      <c r="D54" s="838" t="s">
        <v>131</v>
      </c>
      <c r="E54" s="839">
        <f>'23'!F54</f>
        <v>14967.41</v>
      </c>
      <c r="F54" s="911">
        <v>14967</v>
      </c>
      <c r="G54" s="840">
        <f t="shared" si="5"/>
        <v>-0.40999999999985448</v>
      </c>
      <c r="H54" s="841">
        <f>G54+'23'!H54</f>
        <v>-79</v>
      </c>
      <c r="I54" s="839"/>
      <c r="J54" s="843">
        <f>H54/DAY(B2)</f>
        <v>-3.2916666666666665</v>
      </c>
      <c r="K54" s="858"/>
      <c r="L54" s="818"/>
      <c r="O54" s="845"/>
    </row>
    <row r="55" spans="1:15">
      <c r="A55" s="836" t="s">
        <v>180</v>
      </c>
      <c r="B55" s="914"/>
      <c r="C55" s="914"/>
      <c r="D55" s="838" t="s">
        <v>131</v>
      </c>
      <c r="E55" s="839">
        <f>'23'!F55</f>
        <v>95646.2</v>
      </c>
      <c r="F55" s="911">
        <v>100640</v>
      </c>
      <c r="G55" s="840">
        <f t="shared" si="5"/>
        <v>4993.8000000000029</v>
      </c>
      <c r="H55" s="841">
        <f>G55+'23'!H55</f>
        <v>-16996</v>
      </c>
      <c r="I55" s="839"/>
      <c r="J55" s="843">
        <f>H55/DAY(B2)</f>
        <v>-708.16666666666663</v>
      </c>
      <c r="K55" s="858"/>
      <c r="L55" s="818"/>
      <c r="O55" s="845"/>
    </row>
    <row r="56" spans="1:15">
      <c r="A56" s="836" t="s">
        <v>181</v>
      </c>
      <c r="B56" s="914"/>
      <c r="C56" s="914"/>
      <c r="D56" s="838" t="s">
        <v>182</v>
      </c>
      <c r="E56" s="839">
        <f>'23'!F56</f>
        <v>648959.99</v>
      </c>
      <c r="F56" s="911">
        <v>648960</v>
      </c>
      <c r="G56" s="840">
        <f t="shared" si="5"/>
        <v>1.0000000009313226E-2</v>
      </c>
      <c r="H56" s="841">
        <f>G56+'23'!H56</f>
        <v>-72</v>
      </c>
      <c r="I56" s="839"/>
      <c r="J56" s="843">
        <f>H56/DAY(B2)</f>
        <v>-3</v>
      </c>
      <c r="K56" s="835"/>
      <c r="L56" s="818"/>
      <c r="O56" s="845"/>
    </row>
    <row r="57" spans="1:15">
      <c r="A57" s="836" t="s">
        <v>171</v>
      </c>
      <c r="B57" s="914"/>
      <c r="C57" s="914"/>
      <c r="D57" s="838" t="s">
        <v>131</v>
      </c>
      <c r="E57" s="839">
        <f>'23'!F57</f>
        <v>7711</v>
      </c>
      <c r="F57" s="911">
        <v>7711</v>
      </c>
      <c r="G57" s="840">
        <f t="shared" si="5"/>
        <v>0</v>
      </c>
      <c r="H57" s="841">
        <f>G57+'23'!H57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183</v>
      </c>
      <c r="B58" s="914"/>
      <c r="C58" s="914"/>
      <c r="D58" s="838" t="s">
        <v>131</v>
      </c>
      <c r="E58" s="839">
        <f>'23'!F58</f>
        <v>52843.42</v>
      </c>
      <c r="F58" s="911">
        <v>53064</v>
      </c>
      <c r="G58" s="840">
        <f t="shared" si="5"/>
        <v>220.58000000000175</v>
      </c>
      <c r="H58" s="841">
        <f>G58+'23'!H58</f>
        <v>-1161.2099999999991</v>
      </c>
      <c r="I58" s="839"/>
      <c r="J58" s="843">
        <f>H58/DAY(B2)</f>
        <v>-48.383749999999964</v>
      </c>
      <c r="K58" s="858"/>
      <c r="L58" s="818"/>
      <c r="O58" s="845"/>
    </row>
    <row r="59" spans="1:15">
      <c r="A59" s="860" t="s">
        <v>175</v>
      </c>
      <c r="B59" s="861"/>
      <c r="C59" s="861"/>
      <c r="D59" s="825"/>
      <c r="E59" s="825"/>
      <c r="F59" s="825"/>
      <c r="G59" s="862">
        <f>G49+G50+G51+G52+G53+G54+G55+G56+G57+G58</f>
        <v>6735.0600000000304</v>
      </c>
      <c r="H59" s="841">
        <f>G59+'23'!H59</f>
        <v>-25556.42000000002</v>
      </c>
      <c r="I59" s="839">
        <f>G7-G60</f>
        <v>-742.36000000007334</v>
      </c>
      <c r="J59" s="843">
        <f>H59/DAY(B2)</f>
        <v>-1064.8508333333341</v>
      </c>
      <c r="K59" s="858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825"/>
      <c r="G60" s="862">
        <f>G47+G59</f>
        <v>22242.360000000073</v>
      </c>
      <c r="H60" s="841">
        <f>G60+'23'!H60</f>
        <v>-122122.33000000013</v>
      </c>
      <c r="I60" s="839">
        <f>G13-G60</f>
        <v>-842.06000000002678</v>
      </c>
      <c r="J60" s="843">
        <f>H60/DAY(B2)</f>
        <v>-5088.4304166666725</v>
      </c>
      <c r="K60" s="858"/>
      <c r="L60" s="818"/>
      <c r="O60" s="845"/>
    </row>
    <row r="61" spans="1:15">
      <c r="A61" s="915" t="s">
        <v>185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186</v>
      </c>
      <c r="E62" s="839">
        <f>'23'!F62</f>
        <v>20419</v>
      </c>
      <c r="F62" s="921">
        <v>20419</v>
      </c>
      <c r="G62" s="840">
        <f t="shared" ref="G62:G69" si="6">F62-E62</f>
        <v>0</v>
      </c>
      <c r="H62" s="841">
        <f>G62+'23'!H62</f>
        <v>1.9999999967694748E-3</v>
      </c>
      <c r="I62" s="922"/>
      <c r="J62" s="843">
        <f>H62/DAY(B2)</f>
        <v>8.3333333198728113E-5</v>
      </c>
      <c r="K62" s="858"/>
      <c r="L62" s="818"/>
      <c r="O62" s="845"/>
    </row>
    <row r="63" spans="1:15">
      <c r="A63" s="919" t="s">
        <v>187</v>
      </c>
      <c r="B63" s="920"/>
      <c r="C63" s="920"/>
      <c r="D63" s="825" t="s">
        <v>186</v>
      </c>
      <c r="E63" s="839">
        <f>'23'!F63</f>
        <v>0</v>
      </c>
      <c r="F63" s="921">
        <v>0</v>
      </c>
      <c r="G63" s="840">
        <f t="shared" si="6"/>
        <v>0</v>
      </c>
      <c r="H63" s="841">
        <f>G63+'23'!H63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55" t="s">
        <v>98</v>
      </c>
      <c r="B64" s="1656"/>
      <c r="C64" s="1657"/>
      <c r="D64" s="838" t="s">
        <v>186</v>
      </c>
      <c r="E64" s="839">
        <f>'23'!F64</f>
        <v>167394.59</v>
      </c>
      <c r="F64" s="868">
        <v>167799</v>
      </c>
      <c r="G64" s="840">
        <f t="shared" si="6"/>
        <v>404.41000000000349</v>
      </c>
      <c r="H64" s="841">
        <f>G64+'23'!H64</f>
        <v>-2223</v>
      </c>
      <c r="I64" s="859"/>
      <c r="J64" s="843">
        <f>H64/DAY(B2)</f>
        <v>-92.625</v>
      </c>
      <c r="K64" s="858"/>
      <c r="L64" s="818"/>
      <c r="O64" s="845"/>
    </row>
    <row r="65" spans="1:15">
      <c r="A65" s="1655" t="s">
        <v>99</v>
      </c>
      <c r="B65" s="1656"/>
      <c r="C65" s="1657"/>
      <c r="D65" s="838" t="s">
        <v>186</v>
      </c>
      <c r="E65" s="839">
        <f>'23'!F65</f>
        <v>167531.19</v>
      </c>
      <c r="F65" s="868">
        <v>167848</v>
      </c>
      <c r="G65" s="840">
        <f t="shared" si="6"/>
        <v>316.80999999999767</v>
      </c>
      <c r="H65" s="841">
        <f>G65+'23'!H65</f>
        <v>-2454</v>
      </c>
      <c r="I65" s="877"/>
      <c r="J65" s="843">
        <f>H65/DAY(B2)</f>
        <v>-102.25</v>
      </c>
      <c r="K65" s="858"/>
      <c r="L65" s="818"/>
      <c r="O65" s="845"/>
    </row>
    <row r="66" spans="1:15">
      <c r="A66" s="1655" t="s">
        <v>100</v>
      </c>
      <c r="B66" s="1656"/>
      <c r="C66" s="1657"/>
      <c r="D66" s="838" t="s">
        <v>186</v>
      </c>
      <c r="E66" s="839">
        <f>'23'!F66</f>
        <v>65006.65</v>
      </c>
      <c r="F66" s="868">
        <v>65414</v>
      </c>
      <c r="G66" s="840">
        <f t="shared" si="6"/>
        <v>407.34999999999854</v>
      </c>
      <c r="H66" s="841">
        <f>G66+'23'!H66</f>
        <v>-2556</v>
      </c>
      <c r="I66" s="859"/>
      <c r="J66" s="843">
        <f>H66/DAY(B2)</f>
        <v>-106.5</v>
      </c>
      <c r="K66" s="858"/>
      <c r="L66" s="818"/>
      <c r="O66" s="845"/>
    </row>
    <row r="67" spans="1:15">
      <c r="A67" s="1655" t="s">
        <v>101</v>
      </c>
      <c r="B67" s="1656"/>
      <c r="C67" s="1657"/>
      <c r="D67" s="838" t="s">
        <v>186</v>
      </c>
      <c r="E67" s="839">
        <f>'23'!F67</f>
        <v>261813.67</v>
      </c>
      <c r="F67" s="868">
        <v>262246</v>
      </c>
      <c r="G67" s="840">
        <f t="shared" si="6"/>
        <v>432.32999999998719</v>
      </c>
      <c r="H67" s="841">
        <f>G67+'23'!H67</f>
        <v>-2713</v>
      </c>
      <c r="I67" s="877"/>
      <c r="J67" s="843">
        <f>H67/DAY(B2)</f>
        <v>-113.04166666666667</v>
      </c>
      <c r="K67" s="865"/>
      <c r="L67" s="818"/>
      <c r="O67" s="845"/>
    </row>
    <row r="68" spans="1:15">
      <c r="A68" s="1655" t="s">
        <v>102</v>
      </c>
      <c r="B68" s="1656"/>
      <c r="C68" s="1657"/>
      <c r="D68" s="838" t="s">
        <v>186</v>
      </c>
      <c r="E68" s="839">
        <f>'23'!F68</f>
        <v>85321</v>
      </c>
      <c r="F68" s="868">
        <v>85321</v>
      </c>
      <c r="G68" s="840">
        <f t="shared" si="6"/>
        <v>0</v>
      </c>
      <c r="H68" s="841">
        <f>G68+'23'!H68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55" t="s">
        <v>103</v>
      </c>
      <c r="B69" s="1656"/>
      <c r="C69" s="1657"/>
      <c r="D69" s="838" t="s">
        <v>186</v>
      </c>
      <c r="E69" s="839">
        <f>'23'!F69</f>
        <v>85863.75</v>
      </c>
      <c r="F69" s="868">
        <v>86101</v>
      </c>
      <c r="G69" s="840">
        <f t="shared" si="6"/>
        <v>237.25</v>
      </c>
      <c r="H69" s="841">
        <f>G69+'23'!H69</f>
        <v>-1414</v>
      </c>
      <c r="I69" s="923"/>
      <c r="J69" s="843">
        <f>H69/DAY(B2)</f>
        <v>-58.916666666666664</v>
      </c>
      <c r="K69" s="925"/>
      <c r="L69" s="818"/>
      <c r="O69" s="845"/>
    </row>
    <row r="70" spans="1:15">
      <c r="A70" s="1664" t="s">
        <v>188</v>
      </c>
      <c r="B70" s="1665"/>
      <c r="C70" s="1666"/>
      <c r="D70" s="838" t="s">
        <v>186</v>
      </c>
      <c r="E70" s="926"/>
      <c r="F70" s="927"/>
      <c r="G70" s="927"/>
      <c r="H70" s="841">
        <f>G70+'23'!H70</f>
        <v>0</v>
      </c>
      <c r="I70" s="927"/>
      <c r="J70" s="928"/>
      <c r="K70" s="925"/>
      <c r="L70" s="818"/>
      <c r="O70" s="845"/>
    </row>
    <row r="71" spans="1:15" ht="22.5">
      <c r="A71" s="1661" t="s">
        <v>189</v>
      </c>
      <c r="B71" s="1662"/>
      <c r="C71" s="1662"/>
      <c r="D71" s="1662"/>
      <c r="E71" s="1662"/>
      <c r="F71" s="1662"/>
      <c r="G71" s="1662"/>
      <c r="H71" s="1662"/>
      <c r="I71" s="1662"/>
      <c r="J71" s="1663"/>
      <c r="K71" s="924"/>
      <c r="L71" s="818"/>
      <c r="O71" s="845"/>
    </row>
    <row r="72" spans="1:15">
      <c r="A72" s="1655" t="s">
        <v>190</v>
      </c>
      <c r="B72" s="1656"/>
      <c r="C72" s="1657"/>
      <c r="D72" s="838" t="s">
        <v>186</v>
      </c>
      <c r="E72" s="839">
        <f>'23'!F72</f>
        <v>856143</v>
      </c>
      <c r="F72" s="929">
        <v>856157</v>
      </c>
      <c r="G72" s="840">
        <f t="shared" ref="G72:G91" si="7">F72-E72</f>
        <v>14</v>
      </c>
      <c r="H72" s="841">
        <f>G72+'23'!H72</f>
        <v>-78</v>
      </c>
      <c r="I72" s="859"/>
      <c r="J72" s="843">
        <f>H72/DAY(B2)</f>
        <v>-3.25</v>
      </c>
      <c r="K72" s="925"/>
      <c r="L72" s="818"/>
      <c r="O72" s="845"/>
    </row>
    <row r="73" spans="1:15">
      <c r="A73" s="1655" t="s">
        <v>191</v>
      </c>
      <c r="B73" s="1656"/>
      <c r="C73" s="1657"/>
      <c r="D73" s="838" t="s">
        <v>186</v>
      </c>
      <c r="E73" s="839">
        <f>'23'!F73</f>
        <v>885964</v>
      </c>
      <c r="F73" s="930">
        <v>885965</v>
      </c>
      <c r="G73" s="840">
        <f t="shared" si="7"/>
        <v>1</v>
      </c>
      <c r="H73" s="841">
        <f>G73+'23'!H73</f>
        <v>-195</v>
      </c>
      <c r="I73" s="859"/>
      <c r="J73" s="843">
        <f>H73/DAY(B2)</f>
        <v>-8.125</v>
      </c>
      <c r="K73" s="924"/>
      <c r="L73" s="818"/>
      <c r="O73" s="845"/>
    </row>
    <row r="74" spans="1:15">
      <c r="A74" s="1655" t="s">
        <v>192</v>
      </c>
      <c r="B74" s="1656"/>
      <c r="C74" s="1657"/>
      <c r="D74" s="838" t="s">
        <v>186</v>
      </c>
      <c r="E74" s="839">
        <f>'23'!F74</f>
        <v>88689</v>
      </c>
      <c r="F74" s="931">
        <v>88689</v>
      </c>
      <c r="G74" s="840">
        <f t="shared" si="7"/>
        <v>0</v>
      </c>
      <c r="H74" s="841">
        <f>G74+'23'!H74</f>
        <v>-86086.04</v>
      </c>
      <c r="I74" s="859"/>
      <c r="J74" s="843">
        <f>H74/DAY(B2)</f>
        <v>-3586.9183333333331</v>
      </c>
      <c r="K74" s="925"/>
      <c r="L74" s="818"/>
      <c r="O74" s="845"/>
    </row>
    <row r="75" spans="1:15">
      <c r="A75" s="1658" t="s">
        <v>193</v>
      </c>
      <c r="B75" s="1659"/>
      <c r="C75" s="1660"/>
      <c r="D75" s="838" t="s">
        <v>186</v>
      </c>
      <c r="E75" s="839">
        <f>'23'!F75</f>
        <v>15045.3</v>
      </c>
      <c r="F75" s="931">
        <v>15203</v>
      </c>
      <c r="G75" s="840">
        <f t="shared" si="7"/>
        <v>157.70000000000073</v>
      </c>
      <c r="H75" s="841">
        <f>G75+'23'!H75</f>
        <v>-868</v>
      </c>
      <c r="I75" s="859"/>
      <c r="J75" s="843">
        <f>H75/DAY(B2)</f>
        <v>-36.166666666666664</v>
      </c>
      <c r="K75" s="924"/>
      <c r="L75" s="818"/>
      <c r="O75" s="845"/>
    </row>
    <row r="76" spans="1:15">
      <c r="A76" s="1658" t="s">
        <v>194</v>
      </c>
      <c r="B76" s="1659"/>
      <c r="C76" s="1660"/>
      <c r="D76" s="838" t="s">
        <v>186</v>
      </c>
      <c r="E76" s="839">
        <f>'23'!F76</f>
        <v>8803.7900000000009</v>
      </c>
      <c r="F76" s="930">
        <v>8873</v>
      </c>
      <c r="G76" s="840">
        <f t="shared" si="7"/>
        <v>69.209999999999127</v>
      </c>
      <c r="H76" s="841">
        <f>G76+'23'!H76</f>
        <v>-1735</v>
      </c>
      <c r="I76" s="902"/>
      <c r="J76" s="843">
        <f>H76/DAY(B2)</f>
        <v>-72.291666666666671</v>
      </c>
      <c r="K76" s="924"/>
      <c r="L76" s="818"/>
      <c r="O76" s="845"/>
    </row>
    <row r="77" spans="1:15">
      <c r="A77" s="1655" t="s">
        <v>195</v>
      </c>
      <c r="B77" s="1656"/>
      <c r="C77" s="1657"/>
      <c r="D77" s="838" t="s">
        <v>186</v>
      </c>
      <c r="E77" s="839">
        <f>'23'!F77</f>
        <v>703989</v>
      </c>
      <c r="F77" s="930">
        <v>704034</v>
      </c>
      <c r="G77" s="840">
        <f t="shared" si="7"/>
        <v>45</v>
      </c>
      <c r="H77" s="841">
        <f>G77+'23'!H77</f>
        <v>-340</v>
      </c>
      <c r="I77" s="902"/>
      <c r="J77" s="843">
        <f>H77/DAY(B2)</f>
        <v>-14.166666666666666</v>
      </c>
      <c r="K77" s="924"/>
      <c r="L77" s="818"/>
      <c r="O77" s="845"/>
    </row>
    <row r="78" spans="1:15">
      <c r="A78" s="932" t="s">
        <v>196</v>
      </c>
      <c r="B78" s="1135"/>
      <c r="C78" s="1135"/>
      <c r="D78" s="838" t="s">
        <v>186</v>
      </c>
      <c r="E78" s="839">
        <f>'23'!F78</f>
        <v>674738</v>
      </c>
      <c r="F78" s="931">
        <v>674814</v>
      </c>
      <c r="G78" s="840">
        <f t="shared" si="7"/>
        <v>76</v>
      </c>
      <c r="H78" s="841">
        <f>G78+'23'!H78</f>
        <v>-600</v>
      </c>
      <c r="I78" s="902"/>
      <c r="J78" s="843">
        <f>H78/DAY(B2)</f>
        <v>-25</v>
      </c>
      <c r="K78" s="924"/>
      <c r="L78" s="818"/>
      <c r="O78" s="845"/>
    </row>
    <row r="79" spans="1:15">
      <c r="A79" s="1658" t="s">
        <v>91</v>
      </c>
      <c r="B79" s="1659"/>
      <c r="C79" s="1660"/>
      <c r="D79" s="871" t="s">
        <v>186</v>
      </c>
      <c r="E79" s="839">
        <f>'23'!F79</f>
        <v>834376</v>
      </c>
      <c r="F79" s="931">
        <v>834544</v>
      </c>
      <c r="G79" s="840">
        <f t="shared" si="7"/>
        <v>168</v>
      </c>
      <c r="H79" s="841">
        <f>G79+'23'!H79</f>
        <v>140</v>
      </c>
      <c r="I79" s="902"/>
      <c r="J79" s="843">
        <f>H79/DAY(B2)</f>
        <v>5.833333333333333</v>
      </c>
      <c r="K79" s="924"/>
      <c r="L79" s="818"/>
      <c r="O79" s="845"/>
    </row>
    <row r="80" spans="1:15">
      <c r="A80" s="1658" t="s">
        <v>197</v>
      </c>
      <c r="B80" s="1659"/>
      <c r="C80" s="1660"/>
      <c r="D80" s="871" t="s">
        <v>186</v>
      </c>
      <c r="E80" s="839">
        <f>'23'!F80</f>
        <v>536209.31999999995</v>
      </c>
      <c r="F80" s="1230">
        <v>536609</v>
      </c>
      <c r="G80" s="840">
        <f t="shared" si="7"/>
        <v>399.68000000005122</v>
      </c>
      <c r="H80" s="841">
        <f>G80+'23'!H80</f>
        <v>1657.4799999999814</v>
      </c>
      <c r="I80" s="902"/>
      <c r="J80" s="843">
        <f>H80/DAY(B2)</f>
        <v>69.061666666665886</v>
      </c>
      <c r="K80" s="924"/>
      <c r="L80" s="818"/>
      <c r="O80" s="845"/>
    </row>
    <row r="81" spans="1:15">
      <c r="A81" s="1658" t="s">
        <v>198</v>
      </c>
      <c r="B81" s="1659"/>
      <c r="C81" s="1660"/>
      <c r="D81" s="871" t="s">
        <v>186</v>
      </c>
      <c r="E81" s="839">
        <f>'23'!F81</f>
        <v>641985.64</v>
      </c>
      <c r="F81" s="930">
        <v>642171</v>
      </c>
      <c r="G81" s="840">
        <f t="shared" si="7"/>
        <v>185.35999999998603</v>
      </c>
      <c r="H81" s="841">
        <f>G81+'23'!H81</f>
        <v>-814</v>
      </c>
      <c r="I81" s="902"/>
      <c r="J81" s="843">
        <f>H81/DAY(B2)</f>
        <v>-33.916666666666664</v>
      </c>
      <c r="K81" s="924"/>
      <c r="L81" s="818"/>
      <c r="O81" s="845"/>
    </row>
    <row r="82" spans="1:15">
      <c r="A82" s="1658" t="s">
        <v>92</v>
      </c>
      <c r="B82" s="1659"/>
      <c r="C82" s="1660"/>
      <c r="D82" s="872" t="s">
        <v>131</v>
      </c>
      <c r="E82" s="839">
        <f>'23'!F82</f>
        <v>108553.72</v>
      </c>
      <c r="F82" s="933">
        <v>108568</v>
      </c>
      <c r="G82" s="840">
        <f t="shared" si="7"/>
        <v>14.279999999998836</v>
      </c>
      <c r="H82" s="841">
        <f>G82+'23'!H82</f>
        <v>-113</v>
      </c>
      <c r="I82" s="873"/>
      <c r="J82" s="843">
        <f>H82/DAY(B2)</f>
        <v>-4.708333333333333</v>
      </c>
      <c r="K82" s="924"/>
      <c r="L82" s="818"/>
      <c r="O82" s="845"/>
    </row>
    <row r="83" spans="1:15">
      <c r="A83" s="1658" t="s">
        <v>199</v>
      </c>
      <c r="B83" s="1659"/>
      <c r="C83" s="1660"/>
      <c r="D83" s="934" t="s">
        <v>131</v>
      </c>
      <c r="E83" s="839">
        <f>'23'!F83</f>
        <v>25513</v>
      </c>
      <c r="F83" s="825">
        <v>25772</v>
      </c>
      <c r="G83" s="840">
        <f>F83-E83</f>
        <v>259</v>
      </c>
      <c r="H83" s="841">
        <f>G83+'23'!H83</f>
        <v>-1779</v>
      </c>
      <c r="I83" s="862"/>
      <c r="J83" s="843">
        <f>H83/DAY(B2)</f>
        <v>-74.125</v>
      </c>
      <c r="K83" s="865"/>
      <c r="L83" s="818"/>
      <c r="O83" s="845"/>
    </row>
    <row r="84" spans="1:15">
      <c r="A84" s="935" t="s">
        <v>200</v>
      </c>
      <c r="B84" s="936"/>
      <c r="C84" s="936"/>
      <c r="D84" s="856" t="s">
        <v>131</v>
      </c>
      <c r="E84" s="839">
        <f>'23'!F84</f>
        <v>517399</v>
      </c>
      <c r="F84" s="937">
        <v>518149</v>
      </c>
      <c r="G84" s="840">
        <f t="shared" si="7"/>
        <v>750</v>
      </c>
      <c r="H84" s="841">
        <f>G84+'23'!H84</f>
        <v>-4931</v>
      </c>
      <c r="I84" s="862"/>
      <c r="J84" s="843">
        <f>H84/DAY(B2)</f>
        <v>-205.45833333333334</v>
      </c>
      <c r="K84" s="938"/>
      <c r="L84" s="818"/>
      <c r="O84" s="845"/>
    </row>
    <row r="85" spans="1:15" s="942" customFormat="1">
      <c r="A85" s="939" t="s">
        <v>201</v>
      </c>
      <c r="B85" s="940"/>
      <c r="C85" s="940"/>
      <c r="D85" s="877"/>
      <c r="E85" s="839">
        <f>'23'!F85</f>
        <v>0</v>
      </c>
      <c r="F85" s="838"/>
      <c r="G85" s="841">
        <f xml:space="preserve"> SUM(G72:G84)</f>
        <v>2139.2300000000359</v>
      </c>
      <c r="H85" s="841">
        <f>G85+'23'!H85</f>
        <v>-99342.040000000008</v>
      </c>
      <c r="I85" s="862"/>
      <c r="J85" s="843">
        <f>H85/DAY(B2)</f>
        <v>-4139.251666666667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'23'!F86</f>
        <v>461570.64</v>
      </c>
      <c r="F86" s="946">
        <v>461610</v>
      </c>
      <c r="G86" s="947">
        <f t="shared" si="7"/>
        <v>39.35999999998603</v>
      </c>
      <c r="H86" s="947">
        <f t="shared" ref="H86:H88" si="8">G86</f>
        <v>39.35999999998603</v>
      </c>
      <c r="I86" s="948"/>
      <c r="J86" s="949">
        <f>H86/DAY(B2)</f>
        <v>1.6399999999994179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'23'!F87</f>
        <v>81883</v>
      </c>
      <c r="F87" s="946">
        <v>81914</v>
      </c>
      <c r="G87" s="947">
        <f t="shared" si="7"/>
        <v>31</v>
      </c>
      <c r="H87" s="947">
        <f t="shared" si="8"/>
        <v>31</v>
      </c>
      <c r="I87" s="948"/>
      <c r="J87" s="949">
        <f>H87/DAY(B2)</f>
        <v>1.2916666666666667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'23'!F88</f>
        <v>154545</v>
      </c>
      <c r="F88" s="946">
        <v>154692</v>
      </c>
      <c r="G88" s="947">
        <f t="shared" si="7"/>
        <v>147</v>
      </c>
      <c r="H88" s="947">
        <f t="shared" si="8"/>
        <v>147</v>
      </c>
      <c r="I88" s="948"/>
      <c r="J88" s="949">
        <f>H88/DAY(B2)</f>
        <v>6.125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'23'!F89</f>
        <v>65647.399999999994</v>
      </c>
      <c r="F89" s="946">
        <v>65676</v>
      </c>
      <c r="G89" s="947">
        <f t="shared" si="7"/>
        <v>28.600000000005821</v>
      </c>
      <c r="H89" s="947">
        <f>G89</f>
        <v>28.600000000005821</v>
      </c>
      <c r="I89" s="948"/>
      <c r="J89" s="949">
        <f>H89/DAY(B2)</f>
        <v>1.1916666666669091</v>
      </c>
      <c r="K89" s="950"/>
      <c r="L89" s="951"/>
      <c r="N89" s="1011"/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'23'!F90</f>
        <v>3323.7</v>
      </c>
      <c r="F90" s="946">
        <v>3328</v>
      </c>
      <c r="G90" s="947">
        <f t="shared" si="7"/>
        <v>4.3000000000001819</v>
      </c>
      <c r="H90" s="947">
        <f>G90</f>
        <v>4.3000000000001819</v>
      </c>
      <c r="I90" s="948"/>
      <c r="J90" s="949">
        <f>H90/DAY(B2)</f>
        <v>0.17916666666667425</v>
      </c>
      <c r="K90" s="950"/>
      <c r="L90" s="951"/>
      <c r="N90" s="1011"/>
      <c r="O90" s="845"/>
    </row>
    <row r="91" spans="1:15" s="735" customFormat="1" ht="29.25">
      <c r="A91" s="730" t="s">
        <v>348</v>
      </c>
      <c r="B91" s="731"/>
      <c r="C91" s="731"/>
      <c r="D91" s="732" t="s">
        <v>131</v>
      </c>
      <c r="E91" s="839">
        <f>'23'!F91</f>
        <v>28192.77</v>
      </c>
      <c r="F91" s="946">
        <v>28203</v>
      </c>
      <c r="G91" s="705">
        <f t="shared" si="7"/>
        <v>10.229999999999563</v>
      </c>
      <c r="H91" s="705">
        <f>G91</f>
        <v>10.229999999999563</v>
      </c>
      <c r="I91" s="652"/>
      <c r="J91" s="707"/>
      <c r="K91" s="733"/>
      <c r="L91" s="734"/>
      <c r="N91" s="777"/>
      <c r="O91" s="382"/>
    </row>
    <row r="92" spans="1:15" s="942" customFormat="1">
      <c r="A92" s="953" t="s">
        <v>204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49" t="s">
        <v>205</v>
      </c>
      <c r="B93" s="1650"/>
      <c r="C93" s="1651"/>
      <c r="D93" s="838" t="s">
        <v>143</v>
      </c>
      <c r="E93" s="839">
        <f>'23'!F93</f>
        <v>246785</v>
      </c>
      <c r="F93" s="868">
        <v>246860</v>
      </c>
      <c r="G93" s="840">
        <f t="shared" ref="G93:G94" si="9">F93-E93</f>
        <v>75</v>
      </c>
      <c r="H93" s="841">
        <f>G93+'23'!H93</f>
        <v>-492</v>
      </c>
      <c r="I93" s="859"/>
      <c r="J93" s="843">
        <f>H93/DAY(B2)</f>
        <v>-20.5</v>
      </c>
      <c r="K93" s="865"/>
      <c r="L93" s="818"/>
      <c r="O93" s="845"/>
    </row>
    <row r="94" spans="1:15">
      <c r="A94" s="1649" t="s">
        <v>206</v>
      </c>
      <c r="B94" s="1650"/>
      <c r="C94" s="1651"/>
      <c r="D94" s="838" t="s">
        <v>143</v>
      </c>
      <c r="E94" s="839">
        <f>'23'!F94</f>
        <v>188705</v>
      </c>
      <c r="F94" s="868">
        <v>188804</v>
      </c>
      <c r="G94" s="840">
        <f t="shared" si="9"/>
        <v>99</v>
      </c>
      <c r="H94" s="841">
        <f>G94+'23'!H94</f>
        <v>-650</v>
      </c>
      <c r="I94" s="859"/>
      <c r="J94" s="843">
        <f>H94/DAY(B2)</f>
        <v>-27.083333333333332</v>
      </c>
      <c r="K94" s="938"/>
      <c r="L94" s="818"/>
      <c r="O94" s="845"/>
    </row>
    <row r="95" spans="1:15">
      <c r="A95" s="1641" t="s">
        <v>207</v>
      </c>
      <c r="B95" s="1642"/>
      <c r="C95" s="1643"/>
      <c r="D95" s="838"/>
      <c r="E95" s="839">
        <f>'23'!F95</f>
        <v>0</v>
      </c>
      <c r="F95" s="868"/>
      <c r="G95" s="840">
        <f>G93+G94</f>
        <v>174</v>
      </c>
      <c r="H95" s="841">
        <f>G95+'23'!H95</f>
        <v>-1328</v>
      </c>
      <c r="I95" s="859"/>
      <c r="J95" s="843">
        <f>H95/DAY(B2)</f>
        <v>-55.333333333333336</v>
      </c>
      <c r="K95" s="938"/>
      <c r="L95" s="818"/>
      <c r="O95" s="845"/>
    </row>
    <row r="96" spans="1:15">
      <c r="A96" s="1649" t="s">
        <v>208</v>
      </c>
      <c r="B96" s="1650"/>
      <c r="C96" s="1651"/>
      <c r="D96" s="838" t="s">
        <v>143</v>
      </c>
      <c r="E96" s="839">
        <f>'23'!F96</f>
        <v>415533</v>
      </c>
      <c r="F96" s="868">
        <v>415606</v>
      </c>
      <c r="G96" s="840">
        <f t="shared" ref="G96:G101" si="10">F96-E96</f>
        <v>73</v>
      </c>
      <c r="H96" s="841">
        <f>G96+'23'!H96</f>
        <v>-393</v>
      </c>
      <c r="I96" s="859"/>
      <c r="J96" s="843">
        <f>H96/DAY(B2)</f>
        <v>-16.375</v>
      </c>
      <c r="K96" s="938"/>
      <c r="L96" s="818"/>
      <c r="O96" s="845"/>
    </row>
    <row r="97" spans="1:15">
      <c r="A97" s="866" t="s">
        <v>209</v>
      </c>
      <c r="B97" s="867"/>
      <c r="C97" s="867"/>
      <c r="D97" s="838" t="s">
        <v>143</v>
      </c>
      <c r="E97" s="839">
        <f>'23'!F97</f>
        <v>103010</v>
      </c>
      <c r="F97" s="868">
        <v>103029</v>
      </c>
      <c r="G97" s="840">
        <f t="shared" si="10"/>
        <v>19</v>
      </c>
      <c r="H97" s="841">
        <f>G97+'23'!H97</f>
        <v>-134</v>
      </c>
      <c r="I97" s="859"/>
      <c r="J97" s="843">
        <f>H97/DAY(B2)</f>
        <v>-5.583333333333333</v>
      </c>
      <c r="K97" s="835"/>
      <c r="L97" s="818"/>
      <c r="O97" s="845"/>
    </row>
    <row r="98" spans="1:15">
      <c r="A98" s="866" t="s">
        <v>210</v>
      </c>
      <c r="B98" s="867"/>
      <c r="C98" s="867"/>
      <c r="D98" s="838" t="s">
        <v>143</v>
      </c>
      <c r="E98" s="839">
        <f>'23'!F98</f>
        <v>98492</v>
      </c>
      <c r="F98" s="868">
        <v>98512</v>
      </c>
      <c r="G98" s="840">
        <f t="shared" si="10"/>
        <v>20</v>
      </c>
      <c r="H98" s="841">
        <f>G98+'23'!H98</f>
        <v>-145</v>
      </c>
      <c r="I98" s="859"/>
      <c r="J98" s="843">
        <f>H98/DAY(B2)</f>
        <v>-6.041666666666667</v>
      </c>
      <c r="K98" s="954"/>
      <c r="L98" s="818"/>
      <c r="O98" s="845"/>
    </row>
    <row r="99" spans="1:15">
      <c r="A99" s="866" t="s">
        <v>211</v>
      </c>
      <c r="B99" s="867"/>
      <c r="C99" s="867"/>
      <c r="D99" s="838" t="s">
        <v>143</v>
      </c>
      <c r="E99" s="839">
        <f>'23'!F99</f>
        <v>150163</v>
      </c>
      <c r="F99" s="868">
        <v>150186</v>
      </c>
      <c r="G99" s="840">
        <f t="shared" si="10"/>
        <v>23</v>
      </c>
      <c r="H99" s="841">
        <f>G99+'23'!H99</f>
        <v>-219</v>
      </c>
      <c r="I99" s="859"/>
      <c r="J99" s="843">
        <f>H99/DAY(B2)</f>
        <v>-9.125</v>
      </c>
      <c r="K99" s="938"/>
      <c r="L99" s="818"/>
      <c r="O99" s="845"/>
    </row>
    <row r="100" spans="1:15">
      <c r="A100" s="866" t="s">
        <v>212</v>
      </c>
      <c r="B100" s="867"/>
      <c r="C100" s="867"/>
      <c r="D100" s="838" t="s">
        <v>143</v>
      </c>
      <c r="E100" s="839">
        <f>'23'!F100</f>
        <v>7654</v>
      </c>
      <c r="F100" s="868">
        <v>7662</v>
      </c>
      <c r="G100" s="840">
        <f t="shared" si="10"/>
        <v>8</v>
      </c>
      <c r="H100" s="841">
        <f>G100+'23'!H100</f>
        <v>-135</v>
      </c>
      <c r="I100" s="859"/>
      <c r="J100" s="843">
        <f>H100/DAY(B2)</f>
        <v>-5.625</v>
      </c>
      <c r="K100" s="938"/>
      <c r="L100" s="818"/>
      <c r="O100" s="845"/>
    </row>
    <row r="101" spans="1:15">
      <c r="A101" s="866" t="s">
        <v>213</v>
      </c>
      <c r="B101" s="867"/>
      <c r="C101" s="867"/>
      <c r="D101" s="838" t="s">
        <v>143</v>
      </c>
      <c r="E101" s="839">
        <f>'23'!F101</f>
        <v>5592</v>
      </c>
      <c r="F101" s="868">
        <v>5598</v>
      </c>
      <c r="G101" s="840">
        <f t="shared" si="10"/>
        <v>6</v>
      </c>
      <c r="H101" s="841">
        <f>G101+'23'!H101</f>
        <v>-76</v>
      </c>
      <c r="I101" s="859"/>
      <c r="J101" s="843">
        <f>H101/DAY(B2)</f>
        <v>-3.1666666666666665</v>
      </c>
      <c r="K101" s="938"/>
      <c r="L101" s="818"/>
      <c r="O101" s="845"/>
    </row>
    <row r="102" spans="1:15">
      <c r="A102" s="1641" t="s">
        <v>215</v>
      </c>
      <c r="B102" s="1642"/>
      <c r="C102" s="1643"/>
      <c r="D102" s="871"/>
      <c r="E102" s="871"/>
      <c r="F102" s="871"/>
      <c r="G102" s="955">
        <f>SUM(G96:G101)</f>
        <v>149</v>
      </c>
      <c r="H102" s="841">
        <f>G102+'23'!H102</f>
        <v>-1102</v>
      </c>
      <c r="I102" s="956"/>
      <c r="J102" s="843">
        <f>H102/DAY(B2)</f>
        <v>-45.916666666666664</v>
      </c>
      <c r="K102" s="938"/>
      <c r="L102" s="818"/>
      <c r="O102" s="845"/>
    </row>
    <row r="103" spans="1:15" s="889" customFormat="1">
      <c r="A103" s="957" t="s">
        <v>216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>
      <c r="A104" s="1638" t="s">
        <v>217</v>
      </c>
      <c r="B104" s="1639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>
      <c r="A105" s="1632" t="s">
        <v>218</v>
      </c>
      <c r="B105" s="1633"/>
      <c r="C105" s="971"/>
      <c r="D105" s="967" t="s">
        <v>143</v>
      </c>
      <c r="E105" s="968">
        <f>'23'!F105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2.8908333333332998</v>
      </c>
      <c r="N105" s="1007"/>
      <c r="O105" s="845"/>
    </row>
    <row r="106" spans="1:15" s="889" customFormat="1">
      <c r="A106" s="1632" t="s">
        <v>76</v>
      </c>
      <c r="B106" s="1633"/>
      <c r="C106" s="971"/>
      <c r="D106" s="967" t="s">
        <v>143</v>
      </c>
      <c r="E106" s="968">
        <f>'23'!F106</f>
        <v>36091</v>
      </c>
      <c r="F106" s="972">
        <v>36116</v>
      </c>
      <c r="G106" s="968">
        <f t="shared" ref="G106:G107" si="11">F106-E106</f>
        <v>25</v>
      </c>
      <c r="H106" s="969">
        <f>SUM(G106+'1'!G77)</f>
        <v>78</v>
      </c>
      <c r="I106" s="968"/>
      <c r="J106" s="970">
        <f>H106/DAY(B2)</f>
        <v>3.25</v>
      </c>
      <c r="N106" s="1007"/>
      <c r="O106" s="845"/>
    </row>
    <row r="107" spans="1:15" s="889" customFormat="1">
      <c r="A107" s="1632" t="s">
        <v>77</v>
      </c>
      <c r="B107" s="1640"/>
      <c r="C107" s="1633"/>
      <c r="D107" s="967" t="s">
        <v>143</v>
      </c>
      <c r="E107" s="968">
        <f>'23'!F107</f>
        <v>19792</v>
      </c>
      <c r="F107" s="968">
        <v>19795</v>
      </c>
      <c r="G107" s="968">
        <f t="shared" si="11"/>
        <v>3</v>
      </c>
      <c r="H107" s="969">
        <f>SUM(G107+'1'!G78)</f>
        <v>117</v>
      </c>
      <c r="I107" s="968"/>
      <c r="J107" s="970">
        <f>H107/DAY(B2)</f>
        <v>4.875</v>
      </c>
      <c r="N107" s="1007"/>
      <c r="O107" s="845"/>
    </row>
    <row r="108" spans="1:15" s="889" customFormat="1">
      <c r="A108" s="1634" t="s">
        <v>201</v>
      </c>
      <c r="B108" s="1635"/>
      <c r="C108" s="971"/>
      <c r="D108" s="967"/>
      <c r="E108" s="968"/>
      <c r="F108" s="968"/>
      <c r="G108" s="968">
        <f>SUM(G105:G107)</f>
        <v>28</v>
      </c>
      <c r="H108" s="969">
        <f>SUM(G108+'1'!G79)</f>
        <v>181</v>
      </c>
      <c r="I108" s="968"/>
      <c r="J108" s="970">
        <f>H108/DAY(B2)</f>
        <v>7.541666666666667</v>
      </c>
      <c r="N108" s="1007"/>
      <c r="O108" s="845"/>
    </row>
    <row r="109" spans="1:15" s="889" customFormat="1">
      <c r="A109" s="1630" t="s">
        <v>78</v>
      </c>
      <c r="B109" s="1631"/>
      <c r="C109" s="971"/>
      <c r="D109" s="967" t="s">
        <v>143</v>
      </c>
      <c r="E109" s="968">
        <f>'23'!F109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>
      <c r="A110" s="1632" t="s">
        <v>219</v>
      </c>
      <c r="B110" s="1633"/>
      <c r="C110" s="971"/>
      <c r="D110" s="967" t="s">
        <v>143</v>
      </c>
      <c r="E110" s="968">
        <f>'23'!F110</f>
        <v>64386</v>
      </c>
      <c r="F110" s="968">
        <v>64441</v>
      </c>
      <c r="G110" s="968">
        <f>F110-E110</f>
        <v>55</v>
      </c>
      <c r="H110" s="969">
        <f>SUM(G110+'1'!G81)</f>
        <v>186.64000000001397</v>
      </c>
      <c r="I110" s="968"/>
      <c r="J110" s="970">
        <f>H110/DAY(B2)</f>
        <v>7.776666666667249</v>
      </c>
      <c r="N110" s="1007"/>
      <c r="O110" s="845"/>
    </row>
    <row r="111" spans="1:15" s="889" customFormat="1">
      <c r="A111" s="1632" t="s">
        <v>220</v>
      </c>
      <c r="B111" s="1633"/>
      <c r="C111" s="971"/>
      <c r="D111" s="967" t="s">
        <v>143</v>
      </c>
      <c r="E111" s="968">
        <f>'23'!F111</f>
        <v>32852</v>
      </c>
      <c r="F111" s="968">
        <v>32909</v>
      </c>
      <c r="G111" s="968">
        <f t="shared" ref="G111:G112" si="12">F111-E111</f>
        <v>57</v>
      </c>
      <c r="H111" s="969">
        <f>SUM(G111+'1'!G82)</f>
        <v>81.899999999994179</v>
      </c>
      <c r="I111" s="968"/>
      <c r="J111" s="970">
        <f>H111/DAY(B2)</f>
        <v>3.4124999999997576</v>
      </c>
      <c r="N111" s="1007"/>
      <c r="O111" s="845"/>
    </row>
    <row r="112" spans="1:15" s="889" customFormat="1">
      <c r="A112" s="1632" t="s">
        <v>221</v>
      </c>
      <c r="B112" s="1633"/>
      <c r="C112" s="971"/>
      <c r="D112" s="967" t="s">
        <v>143</v>
      </c>
      <c r="E112" s="968">
        <f>'23'!F112</f>
        <v>4621</v>
      </c>
      <c r="F112" s="968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14.625</v>
      </c>
      <c r="N112" s="1007"/>
      <c r="O112" s="845"/>
    </row>
    <row r="113" spans="1:15" s="889" customFormat="1">
      <c r="A113" s="1636" t="s">
        <v>109</v>
      </c>
      <c r="B113" s="1637"/>
      <c r="C113" s="971"/>
      <c r="D113" s="967"/>
      <c r="E113" s="968">
        <f>'23'!F113</f>
        <v>0</v>
      </c>
      <c r="F113" s="968"/>
      <c r="G113" s="968">
        <f>SUM(G110:G112)</f>
        <v>112</v>
      </c>
      <c r="H113" s="969">
        <f>SUM(G113+'1'!G84)</f>
        <v>928</v>
      </c>
      <c r="I113" s="968"/>
      <c r="J113" s="970">
        <f>H113/DAY(B2)</f>
        <v>38.666666666666664</v>
      </c>
      <c r="N113" s="1007"/>
      <c r="O113" s="845"/>
    </row>
    <row r="114" spans="1:15" s="889" customFormat="1">
      <c r="A114" s="1630" t="s">
        <v>222</v>
      </c>
      <c r="B114" s="1631"/>
      <c r="C114" s="971"/>
      <c r="D114" s="967"/>
      <c r="E114" s="968"/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32" t="s">
        <v>223</v>
      </c>
      <c r="B115" s="1633"/>
      <c r="C115" s="973"/>
      <c r="D115" s="967" t="s">
        <v>143</v>
      </c>
      <c r="E115" s="968">
        <f>'23'!F115</f>
        <v>11847</v>
      </c>
      <c r="F115" s="972">
        <v>11857</v>
      </c>
      <c r="G115" s="972">
        <f>F115-E115</f>
        <v>10</v>
      </c>
      <c r="H115" s="969">
        <f>SUM(G115+'1'!G92)</f>
        <v>10</v>
      </c>
      <c r="I115" s="968"/>
      <c r="J115" s="970">
        <f>H115/DAY(B2)</f>
        <v>0.41666666666666669</v>
      </c>
      <c r="N115" s="1007"/>
      <c r="O115" s="845"/>
    </row>
    <row r="116" spans="1:15" s="889" customFormat="1">
      <c r="A116" s="1632" t="s">
        <v>224</v>
      </c>
      <c r="B116" s="1633"/>
      <c r="C116" s="973"/>
      <c r="D116" s="967" t="s">
        <v>143</v>
      </c>
      <c r="E116" s="968">
        <f>'23'!F116</f>
        <v>8488</v>
      </c>
      <c r="F116" s="972">
        <v>8494</v>
      </c>
      <c r="G116" s="972">
        <f t="shared" ref="G116:G117" si="13">F116-E116</f>
        <v>6</v>
      </c>
      <c r="H116" s="969">
        <f>SUM(G116+'1'!G93)</f>
        <v>95</v>
      </c>
      <c r="I116" s="968"/>
      <c r="J116" s="970">
        <f>H116/DAY(B2)</f>
        <v>3.9583333333333335</v>
      </c>
      <c r="N116" s="1007"/>
      <c r="O116" s="845"/>
    </row>
    <row r="117" spans="1:15" s="889" customFormat="1">
      <c r="A117" s="1632" t="s">
        <v>225</v>
      </c>
      <c r="B117" s="1633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4.041666666666667</v>
      </c>
      <c r="N117" s="1007"/>
      <c r="O117" s="845"/>
    </row>
    <row r="118" spans="1:15" s="975" customFormat="1">
      <c r="A118" s="1634" t="s">
        <v>201</v>
      </c>
      <c r="B118" s="1635"/>
      <c r="C118" s="973"/>
      <c r="D118" s="974"/>
      <c r="E118" s="972"/>
      <c r="F118" s="972"/>
      <c r="G118" s="972">
        <f>SUM(G115:G117)</f>
        <v>16</v>
      </c>
      <c r="H118" s="969">
        <f>SUM(G118+'1'!G96)</f>
        <v>102</v>
      </c>
      <c r="I118" s="972"/>
      <c r="J118" s="970">
        <f>H118/DAY(B2)</f>
        <v>4.25</v>
      </c>
      <c r="N118" s="1012"/>
      <c r="O118" s="845"/>
    </row>
    <row r="119" spans="1:15" s="768" customFormat="1">
      <c r="A119" s="1626" t="s">
        <v>226</v>
      </c>
      <c r="B119" s="1627"/>
      <c r="C119" s="976"/>
      <c r="D119" s="977" t="s">
        <v>143</v>
      </c>
      <c r="E119" s="978"/>
      <c r="F119" s="979"/>
      <c r="G119" s="979">
        <f>SUM(G19+G93)</f>
        <v>139</v>
      </c>
      <c r="H119" s="969">
        <f>SUM(G119+'1'!G97)</f>
        <v>156</v>
      </c>
      <c r="I119" s="978"/>
      <c r="J119" s="980">
        <f>H119/DAY(B2)</f>
        <v>6.5</v>
      </c>
      <c r="N119" s="1013"/>
      <c r="O119" s="845"/>
    </row>
    <row r="120" spans="1:15" s="768" customFormat="1">
      <c r="A120" s="1626" t="s">
        <v>227</v>
      </c>
      <c r="B120" s="1627"/>
      <c r="C120" s="976"/>
      <c r="D120" s="977" t="s">
        <v>143</v>
      </c>
      <c r="E120" s="978"/>
      <c r="F120" s="979"/>
      <c r="G120" s="979">
        <f>SUM(G96,G97,G98,G100,G101)</f>
        <v>126</v>
      </c>
      <c r="H120" s="969">
        <f>SUM(G120+'1'!G99)</f>
        <v>176</v>
      </c>
      <c r="I120" s="978"/>
      <c r="J120" s="980">
        <f>H120/DAY(B2)</f>
        <v>7.333333333333333</v>
      </c>
      <c r="N120" s="1013"/>
      <c r="O120" s="845"/>
    </row>
    <row r="121" spans="1:15" s="768" customFormat="1">
      <c r="A121" s="1626" t="s">
        <v>228</v>
      </c>
      <c r="B121" s="1627"/>
      <c r="C121" s="976"/>
      <c r="D121" s="977" t="s">
        <v>143</v>
      </c>
      <c r="E121" s="978"/>
      <c r="F121" s="972"/>
      <c r="G121" s="972">
        <f>SUM(G113)</f>
        <v>112</v>
      </c>
      <c r="H121" s="969">
        <f>SUM(G121+'1'!G101)</f>
        <v>117</v>
      </c>
      <c r="I121" s="978"/>
      <c r="J121" s="980">
        <f>H121/DAY(B2)</f>
        <v>4.875</v>
      </c>
      <c r="N121" s="1013"/>
      <c r="O121" s="845"/>
    </row>
    <row r="122" spans="1:15" s="889" customFormat="1">
      <c r="A122" s="1628"/>
      <c r="B122" s="1629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>
      <c r="A123" s="1644" t="s">
        <v>229</v>
      </c>
      <c r="B123" s="1645"/>
      <c r="C123" s="1646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230</v>
      </c>
      <c r="B124" s="867"/>
      <c r="C124" s="867"/>
      <c r="D124" s="838" t="s">
        <v>140</v>
      </c>
      <c r="E124" s="839">
        <f>'23'!F124</f>
        <v>837708.15</v>
      </c>
      <c r="F124" s="856">
        <v>837997</v>
      </c>
      <c r="G124" s="840">
        <f t="shared" ref="G124:G128" si="14">F124-E124</f>
        <v>288.84999999997672</v>
      </c>
      <c r="H124" s="841">
        <f>G124+'23'!H124</f>
        <v>-1673</v>
      </c>
      <c r="I124" s="956"/>
      <c r="J124" s="843">
        <f>H124/DAY(B2)</f>
        <v>-69.708333333333329</v>
      </c>
      <c r="K124" s="938"/>
      <c r="L124" s="818"/>
      <c r="O124" s="845"/>
    </row>
    <row r="125" spans="1:15">
      <c r="A125" s="866" t="s">
        <v>231</v>
      </c>
      <c r="B125" s="867"/>
      <c r="C125" s="867"/>
      <c r="D125" s="838" t="s">
        <v>140</v>
      </c>
      <c r="E125" s="839">
        <f>'23'!F125</f>
        <v>73583.399999999994</v>
      </c>
      <c r="F125" s="984">
        <v>73583</v>
      </c>
      <c r="G125" s="840">
        <f t="shared" si="14"/>
        <v>-0.39999999999417923</v>
      </c>
      <c r="H125" s="841">
        <f>G125+'23'!H125</f>
        <v>-0.39999999999417923</v>
      </c>
      <c r="I125" s="956"/>
      <c r="J125" s="843">
        <f>H125/DAY(B2)</f>
        <v>-1.6666666666424135E-2</v>
      </c>
      <c r="K125" s="938"/>
      <c r="L125" s="818"/>
      <c r="O125" s="845"/>
    </row>
    <row r="126" spans="1:15">
      <c r="A126" s="1655" t="s">
        <v>232</v>
      </c>
      <c r="B126" s="1656"/>
      <c r="C126" s="1657"/>
      <c r="D126" s="838" t="s">
        <v>140</v>
      </c>
      <c r="E126" s="839">
        <f>'23'!F126</f>
        <v>148052.42000000001</v>
      </c>
      <c r="F126" s="856">
        <v>148126</v>
      </c>
      <c r="G126" s="840">
        <f t="shared" si="14"/>
        <v>73.579999999987194</v>
      </c>
      <c r="H126" s="841">
        <f>G126+'23'!H126</f>
        <v>-471</v>
      </c>
      <c r="I126" s="956"/>
      <c r="J126" s="843">
        <f>H126/DAY(B2)</f>
        <v>-19.625</v>
      </c>
      <c r="K126" s="938"/>
      <c r="L126" s="818"/>
      <c r="O126" s="845"/>
    </row>
    <row r="127" spans="1:15">
      <c r="A127" s="985" t="s">
        <v>233</v>
      </c>
      <c r="B127" s="867"/>
      <c r="C127" s="867"/>
      <c r="D127" s="838" t="s">
        <v>140</v>
      </c>
      <c r="E127" s="839">
        <f>'23'!F127</f>
        <v>31828.2</v>
      </c>
      <c r="F127" s="984">
        <v>31863</v>
      </c>
      <c r="G127" s="840">
        <f t="shared" si="14"/>
        <v>34.799999999999272</v>
      </c>
      <c r="H127" s="841">
        <f>G127+'23'!H127</f>
        <v>-208</v>
      </c>
      <c r="I127" s="956"/>
      <c r="J127" s="843">
        <f>H127/DAY(B2)</f>
        <v>-8.6666666666666661</v>
      </c>
      <c r="K127" s="938"/>
      <c r="L127" s="818"/>
      <c r="O127" s="845"/>
    </row>
    <row r="128" spans="1:15">
      <c r="A128" s="985" t="s">
        <v>234</v>
      </c>
      <c r="B128" s="867"/>
      <c r="C128" s="867"/>
      <c r="D128" s="838" t="s">
        <v>140</v>
      </c>
      <c r="E128" s="839">
        <f>'23'!F128</f>
        <v>8987.1</v>
      </c>
      <c r="F128" s="984">
        <v>8990</v>
      </c>
      <c r="G128" s="840">
        <f t="shared" si="14"/>
        <v>2.8999999999996362</v>
      </c>
      <c r="H128" s="841">
        <f>G128+'23'!H128</f>
        <v>-22</v>
      </c>
      <c r="I128" s="859"/>
      <c r="J128" s="843">
        <f>H128/DAY(B2)</f>
        <v>-0.91666666666666663</v>
      </c>
      <c r="K128" s="938"/>
      <c r="L128" s="818"/>
      <c r="O128" s="845"/>
    </row>
    <row r="129" spans="1:15">
      <c r="A129" s="985" t="s">
        <v>235</v>
      </c>
      <c r="B129" s="867"/>
      <c r="C129" s="867"/>
      <c r="D129" s="838"/>
      <c r="E129" s="839"/>
      <c r="F129" s="856"/>
      <c r="G129" s="840">
        <f>G15-SUM(G124:G128)</f>
        <v>300.27000000003136</v>
      </c>
      <c r="H129" s="841">
        <f>G129+'23'!H129</f>
        <v>2719.3999999999942</v>
      </c>
      <c r="I129" s="859"/>
      <c r="J129" s="843">
        <f>H129/DAY(B2)</f>
        <v>113.3083333333331</v>
      </c>
      <c r="K129" s="938"/>
      <c r="L129" s="818"/>
      <c r="O129" s="845"/>
    </row>
    <row r="130" spans="1:15">
      <c r="A130" s="986" t="s">
        <v>236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237</v>
      </c>
      <c r="B131" s="867"/>
      <c r="C131" s="867"/>
      <c r="D131" s="838" t="s">
        <v>238</v>
      </c>
      <c r="E131" s="839">
        <f>'23'!F131</f>
        <v>0</v>
      </c>
      <c r="F131" s="868">
        <v>0</v>
      </c>
      <c r="G131" s="840">
        <f t="shared" ref="G131:G141" si="15">F131-E131</f>
        <v>0</v>
      </c>
      <c r="H131" s="841">
        <f>G131+'23'!H131</f>
        <v>0</v>
      </c>
      <c r="I131" s="859"/>
      <c r="J131" s="843">
        <f>H131/DAY(B2)</f>
        <v>0</v>
      </c>
      <c r="O131" s="845"/>
    </row>
    <row r="132" spans="1:15">
      <c r="A132" s="866" t="s">
        <v>239</v>
      </c>
      <c r="B132" s="867"/>
      <c r="C132" s="867"/>
      <c r="D132" s="838" t="s">
        <v>238</v>
      </c>
      <c r="E132" s="839">
        <f>'23'!F132</f>
        <v>0</v>
      </c>
      <c r="F132" s="868">
        <v>0</v>
      </c>
      <c r="G132" s="840">
        <f t="shared" si="15"/>
        <v>0</v>
      </c>
      <c r="H132" s="841">
        <f>G132+'23'!H132</f>
        <v>0</v>
      </c>
      <c r="I132" s="859"/>
      <c r="J132" s="843">
        <f>H132/DAY(B2)</f>
        <v>0</v>
      </c>
      <c r="O132" s="845"/>
    </row>
    <row r="133" spans="1:15">
      <c r="A133" s="866" t="s">
        <v>240</v>
      </c>
      <c r="B133" s="867"/>
      <c r="C133" s="867"/>
      <c r="D133" s="838" t="s">
        <v>238</v>
      </c>
      <c r="E133" s="1453">
        <f>'23'!F133</f>
        <v>40357.51</v>
      </c>
      <c r="F133" s="989">
        <v>40365</v>
      </c>
      <c r="G133" s="948">
        <f t="shared" si="15"/>
        <v>7.4899999999979627</v>
      </c>
      <c r="H133" s="841">
        <f>G133+'23'!H133</f>
        <v>-88</v>
      </c>
      <c r="I133" s="859"/>
      <c r="J133" s="843">
        <f>H133/DAY(B2)</f>
        <v>-3.6666666666666665</v>
      </c>
      <c r="O133" s="845"/>
    </row>
    <row r="134" spans="1:15">
      <c r="A134" s="866" t="s">
        <v>241</v>
      </c>
      <c r="B134" s="867"/>
      <c r="C134" s="867"/>
      <c r="D134" s="838" t="s">
        <v>238</v>
      </c>
      <c r="E134" s="1453">
        <f>'23'!F134</f>
        <v>300</v>
      </c>
      <c r="F134" s="989">
        <v>300</v>
      </c>
      <c r="G134" s="948">
        <f t="shared" si="15"/>
        <v>0</v>
      </c>
      <c r="H134" s="841">
        <f>G134+'23'!H134</f>
        <v>0</v>
      </c>
      <c r="I134" s="859">
        <f>G131+G132+G133+G134</f>
        <v>7.4899999999979627</v>
      </c>
      <c r="J134" s="843">
        <f>H134/DAY(B2)</f>
        <v>0</v>
      </c>
      <c r="O134" s="845"/>
    </row>
    <row r="135" spans="1:15">
      <c r="A135" s="866" t="s">
        <v>242</v>
      </c>
      <c r="B135" s="867"/>
      <c r="C135" s="867"/>
      <c r="D135" s="838" t="s">
        <v>238</v>
      </c>
      <c r="E135" s="1453">
        <f>'23'!F135</f>
        <v>41863.440000000002</v>
      </c>
      <c r="F135" s="989">
        <v>41887</v>
      </c>
      <c r="G135" s="948">
        <f t="shared" si="15"/>
        <v>23.559999999997672</v>
      </c>
      <c r="H135" s="841">
        <f>G135+'23'!H135</f>
        <v>47.559999999997672</v>
      </c>
      <c r="I135" s="859"/>
      <c r="J135" s="843">
        <f>H135/DAY(B2)</f>
        <v>1.9816666666665697</v>
      </c>
      <c r="O135" s="845"/>
    </row>
    <row r="136" spans="1:15">
      <c r="A136" s="866" t="s">
        <v>243</v>
      </c>
      <c r="B136" s="867"/>
      <c r="C136" s="867"/>
      <c r="D136" s="838" t="s">
        <v>238</v>
      </c>
      <c r="E136" s="1453">
        <f>'23'!F136</f>
        <v>32874.050000000003</v>
      </c>
      <c r="F136" s="989">
        <v>32874</v>
      </c>
      <c r="G136" s="948">
        <f t="shared" si="15"/>
        <v>-5.0000000002910383E-2</v>
      </c>
      <c r="H136" s="841">
        <f>G136+'23'!H136</f>
        <v>12.94999999999709</v>
      </c>
      <c r="I136" s="859"/>
      <c r="J136" s="843">
        <f>H136/DAY(B2)</f>
        <v>0.53958333333321207</v>
      </c>
      <c r="O136" s="845"/>
    </row>
    <row r="137" spans="1:15">
      <c r="A137" s="866" t="s">
        <v>244</v>
      </c>
      <c r="B137" s="867"/>
      <c r="C137" s="867"/>
      <c r="D137" s="838" t="s">
        <v>238</v>
      </c>
      <c r="E137" s="1453">
        <f>'23'!F137</f>
        <v>22861.040000000001</v>
      </c>
      <c r="F137" s="989">
        <v>22861</v>
      </c>
      <c r="G137" s="948">
        <f t="shared" si="15"/>
        <v>-4.0000000000873115E-2</v>
      </c>
      <c r="H137" s="841">
        <f>G137+'23'!H137</f>
        <v>-30.490000000001601</v>
      </c>
      <c r="I137" s="859">
        <f>G135+G136+G137</f>
        <v>23.469999999993888</v>
      </c>
      <c r="J137" s="843">
        <f>H137/DAY(B2)</f>
        <v>-1.2704166666667334</v>
      </c>
      <c r="O137" s="845"/>
    </row>
    <row r="138" spans="1:15">
      <c r="A138" s="866" t="s">
        <v>245</v>
      </c>
      <c r="B138" s="867"/>
      <c r="C138" s="867"/>
      <c r="D138" s="838" t="s">
        <v>238</v>
      </c>
      <c r="E138" s="839">
        <f>'23'!F138</f>
        <v>25081.89</v>
      </c>
      <c r="F138" s="989">
        <v>25091.39</v>
      </c>
      <c r="G138" s="840">
        <f t="shared" si="15"/>
        <v>9.5</v>
      </c>
      <c r="H138" s="841">
        <f>G138+'23'!H138</f>
        <v>17.5</v>
      </c>
      <c r="I138" s="859"/>
      <c r="J138" s="843">
        <f>H138/DAY(B2)</f>
        <v>0.72916666666666663</v>
      </c>
      <c r="O138" s="845"/>
    </row>
    <row r="139" spans="1:15">
      <c r="A139" s="866" t="s">
        <v>246</v>
      </c>
      <c r="B139" s="867"/>
      <c r="C139" s="867"/>
      <c r="D139" s="838" t="s">
        <v>238</v>
      </c>
      <c r="E139" s="839">
        <f>'23'!F139</f>
        <v>70496.73</v>
      </c>
      <c r="F139" s="989">
        <v>70497.78</v>
      </c>
      <c r="G139" s="840">
        <f t="shared" si="15"/>
        <v>1.0500000000029104</v>
      </c>
      <c r="H139" s="841">
        <f>G139+'23'!H139</f>
        <v>16.05000000000291</v>
      </c>
      <c r="I139" s="859">
        <f>G138+G139</f>
        <v>10.55000000000291</v>
      </c>
      <c r="J139" s="843">
        <f>H139/DAY(B2)</f>
        <v>0.6687500000001213</v>
      </c>
      <c r="O139" s="845"/>
    </row>
    <row r="140" spans="1:15">
      <c r="A140" s="866" t="s">
        <v>247</v>
      </c>
      <c r="B140" s="867"/>
      <c r="C140" s="867"/>
      <c r="D140" s="838" t="s">
        <v>238</v>
      </c>
      <c r="E140" s="839">
        <f>'23'!F140</f>
        <v>2056.92</v>
      </c>
      <c r="F140" s="868">
        <v>2067.64</v>
      </c>
      <c r="G140" s="840">
        <f t="shared" si="15"/>
        <v>10.7199999999998</v>
      </c>
      <c r="H140" s="841">
        <f>G140+'23'!H140</f>
        <v>-61.539999999999964</v>
      </c>
      <c r="I140" s="990"/>
      <c r="J140" s="843">
        <f>H140/DAY(B2)</f>
        <v>-2.5641666666666652</v>
      </c>
      <c r="O140" s="845"/>
    </row>
    <row r="141" spans="1:15">
      <c r="A141" s="866" t="s">
        <v>248</v>
      </c>
      <c r="B141" s="867"/>
      <c r="C141" s="867"/>
      <c r="D141" s="838" t="s">
        <v>238</v>
      </c>
      <c r="E141" s="839">
        <f>'23'!F141</f>
        <v>4636.88</v>
      </c>
      <c r="F141" s="868">
        <v>4636.88</v>
      </c>
      <c r="G141" s="840">
        <f t="shared" si="15"/>
        <v>0</v>
      </c>
      <c r="H141" s="841">
        <f>G141+'23'!H141</f>
        <v>-0.11999999999989086</v>
      </c>
      <c r="I141" s="990"/>
      <c r="J141" s="843">
        <f>H141/DAY(B2)</f>
        <v>-4.9999999999954525E-3</v>
      </c>
      <c r="O141" s="845"/>
    </row>
    <row r="142" spans="1:15">
      <c r="A142" s="1647" t="s">
        <v>249</v>
      </c>
      <c r="B142" s="1648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49" t="s">
        <v>250</v>
      </c>
      <c r="B143" s="1650"/>
      <c r="C143" s="1651"/>
      <c r="D143" s="838" t="s">
        <v>131</v>
      </c>
      <c r="E143" s="838"/>
      <c r="F143" s="838"/>
      <c r="G143" s="841">
        <f>G35+G43+G49+G57</f>
        <v>5719.8000000000466</v>
      </c>
      <c r="H143" s="841">
        <f>G143+'23'!H143</f>
        <v>-35347.939999999944</v>
      </c>
      <c r="I143" s="859"/>
      <c r="J143" s="843">
        <f>H143/DAY(B2)</f>
        <v>-1472.8308333333309</v>
      </c>
      <c r="K143" s="938"/>
      <c r="L143" s="818"/>
      <c r="O143" s="845"/>
    </row>
    <row r="144" spans="1:15">
      <c r="A144" s="1649" t="s">
        <v>251</v>
      </c>
      <c r="B144" s="1650"/>
      <c r="C144" s="1651"/>
      <c r="D144" s="838" t="s">
        <v>24</v>
      </c>
      <c r="E144" s="825"/>
      <c r="F144" s="825"/>
      <c r="G144" s="991">
        <f>G143/G7</f>
        <v>0.26603720930232777</v>
      </c>
      <c r="H144" s="841">
        <f>G144+'23'!H144</f>
        <v>-1.6397747144294006</v>
      </c>
      <c r="I144" s="992"/>
      <c r="J144" s="843">
        <f>H144/DAY(B2)</f>
        <v>-6.8323946434558358E-2</v>
      </c>
      <c r="K144" s="938"/>
      <c r="L144" s="818"/>
      <c r="O144" s="845"/>
    </row>
    <row r="145" spans="1:15">
      <c r="A145" s="1649" t="s">
        <v>252</v>
      </c>
      <c r="B145" s="1650"/>
      <c r="C145" s="1651"/>
      <c r="D145" s="838" t="s">
        <v>131</v>
      </c>
      <c r="E145" s="839"/>
      <c r="F145" s="839"/>
      <c r="G145" s="841">
        <f>G41+G42+G55+G56</f>
        <v>6559.3000000000175</v>
      </c>
      <c r="H145" s="841">
        <f>G145+'23'!H145</f>
        <v>-35706.889999999985</v>
      </c>
      <c r="I145" s="859"/>
      <c r="J145" s="843">
        <f>H145/DAY(B2)</f>
        <v>-1487.7870833333327</v>
      </c>
      <c r="K145" s="938"/>
      <c r="L145" s="818"/>
      <c r="O145" s="845"/>
    </row>
    <row r="146" spans="1:15">
      <c r="A146" s="1649" t="s">
        <v>253</v>
      </c>
      <c r="B146" s="1650"/>
      <c r="C146" s="1651"/>
      <c r="D146" s="838" t="s">
        <v>24</v>
      </c>
      <c r="E146" s="839"/>
      <c r="F146" s="839"/>
      <c r="G146" s="991">
        <f>G145/G7</f>
        <v>0.30508372093023339</v>
      </c>
      <c r="H146" s="841">
        <f>G146+'23'!H146</f>
        <v>-1.6614932026087499</v>
      </c>
      <c r="I146" s="992"/>
      <c r="J146" s="843">
        <f>H146/DAY(B2)</f>
        <v>-6.922888344203125E-2</v>
      </c>
      <c r="K146" s="938"/>
      <c r="L146" s="818"/>
      <c r="O146" s="845"/>
    </row>
    <row r="147" spans="1:15">
      <c r="A147" s="1649" t="s">
        <v>254</v>
      </c>
      <c r="B147" s="1650"/>
      <c r="C147" s="1651"/>
      <c r="D147" s="838" t="s">
        <v>131</v>
      </c>
      <c r="E147" s="839"/>
      <c r="F147" s="839"/>
      <c r="G147" s="841">
        <f>G39+G53</f>
        <v>3514.4599999999627</v>
      </c>
      <c r="H147" s="841">
        <f>G147+'23'!H147</f>
        <v>-22037</v>
      </c>
      <c r="I147" s="993"/>
      <c r="J147" s="843">
        <f>H147/DAY(B2)</f>
        <v>-918.20833333333337</v>
      </c>
      <c r="K147" s="938"/>
      <c r="L147" s="818"/>
      <c r="O147" s="845"/>
    </row>
    <row r="148" spans="1:15">
      <c r="A148" s="1649" t="s">
        <v>255</v>
      </c>
      <c r="B148" s="1650"/>
      <c r="C148" s="1651"/>
      <c r="D148" s="838" t="s">
        <v>24</v>
      </c>
      <c r="E148" s="839"/>
      <c r="F148" s="839"/>
      <c r="G148" s="991">
        <f>G147/G7</f>
        <v>0.16346325581395177</v>
      </c>
      <c r="H148" s="841">
        <f>G148+'23'!H148</f>
        <v>-1.0217917592513073</v>
      </c>
      <c r="I148" s="993"/>
      <c r="J148" s="843">
        <f>H148/DAY(B2)</f>
        <v>-4.2574656635471136E-2</v>
      </c>
      <c r="O148" s="845"/>
    </row>
    <row r="149" spans="1:15">
      <c r="A149" s="1649" t="s">
        <v>256</v>
      </c>
      <c r="B149" s="1650"/>
      <c r="C149" s="1651"/>
      <c r="D149" s="838" t="s">
        <v>182</v>
      </c>
      <c r="E149" s="839"/>
      <c r="F149" s="839"/>
      <c r="G149" s="841">
        <f>G38+G52</f>
        <v>1527.9600000000501</v>
      </c>
      <c r="H149" s="841">
        <f>G149+'23'!H149</f>
        <v>-9661</v>
      </c>
      <c r="I149" s="859"/>
      <c r="J149" s="843">
        <f>H149/DAY(B2)</f>
        <v>-402.54166666666669</v>
      </c>
      <c r="K149" s="994"/>
      <c r="O149" s="845"/>
    </row>
    <row r="150" spans="1:15">
      <c r="A150" s="1649" t="s">
        <v>257</v>
      </c>
      <c r="B150" s="1650"/>
      <c r="C150" s="1651"/>
      <c r="D150" s="838" t="s">
        <v>24</v>
      </c>
      <c r="E150" s="839"/>
      <c r="F150" s="839"/>
      <c r="G150" s="991">
        <f>G149/G7</f>
        <v>7.1067906976746517E-2</v>
      </c>
      <c r="H150" s="841">
        <f>G150+'23'!H150</f>
        <v>-0.44913855339363445</v>
      </c>
      <c r="I150" s="993"/>
      <c r="J150" s="843">
        <f>H150/DAY(B2)</f>
        <v>-1.8714106391401437E-2</v>
      </c>
      <c r="O150" s="845"/>
    </row>
    <row r="151" spans="1:15">
      <c r="A151" s="1649" t="s">
        <v>258</v>
      </c>
      <c r="B151" s="1650"/>
      <c r="C151" s="1651"/>
      <c r="D151" s="838" t="s">
        <v>182</v>
      </c>
      <c r="E151" s="839"/>
      <c r="F151" s="839"/>
      <c r="G151" s="841">
        <f>G36+G50</f>
        <v>2693.6299999999865</v>
      </c>
      <c r="H151" s="841">
        <f>G151+'23'!H151</f>
        <v>-10417.999999999998</v>
      </c>
      <c r="I151" s="993"/>
      <c r="J151" s="843">
        <f>H151/DAY(B2)</f>
        <v>-434.08333333333326</v>
      </c>
      <c r="O151" s="845"/>
    </row>
    <row r="152" spans="1:15">
      <c r="A152" s="1649" t="s">
        <v>259</v>
      </c>
      <c r="B152" s="1650"/>
      <c r="C152" s="1651"/>
      <c r="D152" s="838" t="s">
        <v>24</v>
      </c>
      <c r="E152" s="839"/>
      <c r="F152" s="839"/>
      <c r="G152" s="991">
        <f>G151/G7</f>
        <v>0.12528511627906913</v>
      </c>
      <c r="H152" s="841">
        <f>G152+'23'!H152</f>
        <v>-0.48509672455110087</v>
      </c>
      <c r="I152" s="859"/>
      <c r="J152" s="843">
        <f>H152/DAY(B2)</f>
        <v>-2.0212363522962535E-2</v>
      </c>
      <c r="O152" s="845"/>
    </row>
    <row r="153" spans="1:15">
      <c r="A153" s="1649" t="s">
        <v>260</v>
      </c>
      <c r="B153" s="1650"/>
      <c r="C153" s="1651"/>
      <c r="D153" s="838" t="s">
        <v>182</v>
      </c>
      <c r="E153" s="839"/>
      <c r="F153" s="839"/>
      <c r="G153" s="841">
        <f>G37+G51</f>
        <v>1486.5400000000081</v>
      </c>
      <c r="H153" s="841">
        <f>G153+'23'!H153</f>
        <v>-8814</v>
      </c>
      <c r="I153" s="859"/>
      <c r="J153" s="843">
        <f>H153/DAY(B2)</f>
        <v>-367.25</v>
      </c>
      <c r="O153" s="845"/>
    </row>
    <row r="154" spans="1:15" ht="21" thickBot="1">
      <c r="A154" s="1652" t="s">
        <v>261</v>
      </c>
      <c r="B154" s="1653"/>
      <c r="C154" s="1654"/>
      <c r="D154" s="995" t="s">
        <v>24</v>
      </c>
      <c r="E154" s="996"/>
      <c r="F154" s="996"/>
      <c r="G154" s="997">
        <f>G153/G7</f>
        <v>6.9141395348837592E-2</v>
      </c>
      <c r="H154" s="841">
        <f>G154+'23'!H154</f>
        <v>-0.40855425867583939</v>
      </c>
      <c r="I154" s="998"/>
      <c r="J154" s="999">
        <f>H154/DAY(B2)</f>
        <v>-1.7023094111493307E-2</v>
      </c>
      <c r="O154" s="845"/>
    </row>
    <row r="155" spans="1:15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61" spans="1:7">
      <c r="A161" s="990" t="s">
        <v>262</v>
      </c>
      <c r="B161" s="990"/>
      <c r="C161" s="990"/>
      <c r="D161" s="825" t="s">
        <v>186</v>
      </c>
      <c r="E161" s="839">
        <f>'23'!F161</f>
        <v>40281.089999999997</v>
      </c>
      <c r="F161" s="1014">
        <v>40362</v>
      </c>
      <c r="G161" s="840">
        <f t="shared" ref="G161:G164" si="16">F161-E161</f>
        <v>80.910000000003492</v>
      </c>
    </row>
    <row r="162" spans="1:7" ht="21.75" customHeight="1">
      <c r="A162" s="990" t="s">
        <v>263</v>
      </c>
      <c r="B162" s="990"/>
      <c r="C162" s="990"/>
      <c r="D162" s="825" t="s">
        <v>186</v>
      </c>
      <c r="E162" s="839">
        <f>'23'!F162</f>
        <v>104593.05</v>
      </c>
      <c r="F162" s="1014">
        <v>105052</v>
      </c>
      <c r="G162" s="840">
        <f t="shared" si="16"/>
        <v>458.94999999999709</v>
      </c>
    </row>
    <row r="163" spans="1:7" ht="21.75" customHeight="1">
      <c r="A163" s="990" t="s">
        <v>264</v>
      </c>
      <c r="B163" s="990"/>
      <c r="C163" s="990"/>
      <c r="D163" s="825" t="s">
        <v>186</v>
      </c>
      <c r="E163" s="839">
        <f>'23'!F163</f>
        <v>49805.67</v>
      </c>
      <c r="F163" s="1014">
        <v>49999</v>
      </c>
      <c r="G163" s="840">
        <f t="shared" si="16"/>
        <v>193.33000000000175</v>
      </c>
    </row>
    <row r="164" spans="1:7" ht="21.75" customHeight="1">
      <c r="A164" s="990" t="s">
        <v>265</v>
      </c>
      <c r="B164" s="990"/>
      <c r="C164" s="990"/>
      <c r="D164" s="825" t="s">
        <v>186</v>
      </c>
      <c r="E164" s="839">
        <f>'23'!F164</f>
        <v>6780.12</v>
      </c>
      <c r="F164" s="1014">
        <v>6792</v>
      </c>
      <c r="G164" s="840">
        <f t="shared" si="16"/>
        <v>11.880000000000109</v>
      </c>
    </row>
    <row r="165" spans="1:7" ht="21.75" customHeight="1">
      <c r="A165" s="920" t="s">
        <v>97</v>
      </c>
      <c r="B165" s="920"/>
      <c r="C165" s="920"/>
      <c r="D165" s="825" t="s">
        <v>186</v>
      </c>
      <c r="E165" s="921">
        <f>E62</f>
        <v>20419</v>
      </c>
      <c r="F165" s="921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7" ht="21.75" customHeight="1">
      <c r="A167" s="1625" t="s">
        <v>98</v>
      </c>
      <c r="B167" s="1625"/>
      <c r="C167" s="1625"/>
      <c r="D167" s="838" t="s">
        <v>186</v>
      </c>
      <c r="E167" s="921">
        <f t="shared" si="18"/>
        <v>167394.59</v>
      </c>
      <c r="F167" s="921">
        <f t="shared" si="19"/>
        <v>167799</v>
      </c>
      <c r="G167" s="840">
        <f t="shared" si="17"/>
        <v>404.41000000000349</v>
      </c>
    </row>
    <row r="168" spans="1:7" ht="21.75" customHeight="1">
      <c r="A168" s="1625" t="s">
        <v>99</v>
      </c>
      <c r="B168" s="1625"/>
      <c r="C168" s="1625"/>
      <c r="D168" s="838" t="s">
        <v>186</v>
      </c>
      <c r="E168" s="921">
        <f t="shared" si="18"/>
        <v>167531.19</v>
      </c>
      <c r="F168" s="921">
        <f t="shared" si="19"/>
        <v>167848</v>
      </c>
      <c r="G168" s="840">
        <f t="shared" si="17"/>
        <v>316.80999999999767</v>
      </c>
    </row>
    <row r="169" spans="1:7" ht="21.75" customHeight="1">
      <c r="A169" s="1625" t="s">
        <v>100</v>
      </c>
      <c r="B169" s="1625"/>
      <c r="C169" s="1625"/>
      <c r="D169" s="838" t="s">
        <v>186</v>
      </c>
      <c r="E169" s="921">
        <f t="shared" si="18"/>
        <v>65006.65</v>
      </c>
      <c r="F169" s="921">
        <f t="shared" si="19"/>
        <v>65414</v>
      </c>
      <c r="G169" s="840">
        <f t="shared" si="17"/>
        <v>407.34999999999854</v>
      </c>
    </row>
    <row r="170" spans="1:7">
      <c r="A170" s="1625" t="s">
        <v>101</v>
      </c>
      <c r="B170" s="1625"/>
      <c r="C170" s="1625"/>
      <c r="D170" s="838" t="s">
        <v>186</v>
      </c>
      <c r="E170" s="921">
        <f t="shared" si="18"/>
        <v>261813.67</v>
      </c>
      <c r="F170" s="921">
        <f t="shared" si="19"/>
        <v>262246</v>
      </c>
      <c r="G170" s="840">
        <f t="shared" si="17"/>
        <v>432.32999999998719</v>
      </c>
    </row>
    <row r="171" spans="1:7" ht="24" customHeight="1">
      <c r="A171" s="1625" t="s">
        <v>102</v>
      </c>
      <c r="B171" s="1625"/>
      <c r="C171" s="1625"/>
      <c r="D171" s="838" t="s">
        <v>186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</row>
    <row r="172" spans="1:7">
      <c r="A172" s="1625" t="s">
        <v>103</v>
      </c>
      <c r="B172" s="1625"/>
      <c r="C172" s="1625"/>
      <c r="D172" s="838" t="s">
        <v>186</v>
      </c>
      <c r="E172" s="921">
        <f t="shared" si="18"/>
        <v>85863.75</v>
      </c>
      <c r="F172" s="921">
        <f t="shared" si="19"/>
        <v>86101</v>
      </c>
      <c r="G172" s="840">
        <f t="shared" si="17"/>
        <v>237.25</v>
      </c>
    </row>
    <row r="173" spans="1:7" ht="29.25">
      <c r="A173" s="1587"/>
      <c r="B173" s="1550"/>
      <c r="C173" s="785"/>
      <c r="D173" s="523"/>
      <c r="G173" s="1005">
        <f>SUM(G161:G172)</f>
        <v>2543.2199999999893</v>
      </c>
    </row>
    <row r="174" spans="1:7">
      <c r="A174" s="1625" t="s">
        <v>345</v>
      </c>
      <c r="B174" s="1625"/>
      <c r="C174" s="1625"/>
      <c r="D174" s="838" t="s">
        <v>186</v>
      </c>
      <c r="E174" s="968">
        <v>28192.77</v>
      </c>
      <c r="F174" s="968">
        <v>28203</v>
      </c>
      <c r="G174" s="840">
        <f t="shared" ref="G174:G177" si="20">F174-E174</f>
        <v>10.229999999999563</v>
      </c>
    </row>
    <row r="175" spans="1:7">
      <c r="A175" s="1667" t="s">
        <v>352</v>
      </c>
      <c r="B175" s="1629"/>
      <c r="C175" s="990"/>
      <c r="D175" s="838" t="s">
        <v>186</v>
      </c>
      <c r="E175" s="968">
        <v>18970.8</v>
      </c>
      <c r="F175" s="968">
        <v>18975</v>
      </c>
      <c r="G175" s="840">
        <f t="shared" si="20"/>
        <v>4.2000000000007276</v>
      </c>
    </row>
    <row r="176" spans="1:7">
      <c r="A176" s="1667" t="s">
        <v>353</v>
      </c>
      <c r="B176" s="1629"/>
      <c r="D176" s="838" t="s">
        <v>186</v>
      </c>
      <c r="E176" s="968">
        <v>27599.7</v>
      </c>
      <c r="F176" s="968">
        <v>27605</v>
      </c>
      <c r="G176" s="840">
        <f t="shared" si="20"/>
        <v>5.2999999999992724</v>
      </c>
    </row>
    <row r="177" spans="1:7" ht="18.75" customHeight="1">
      <c r="A177" s="1667" t="s">
        <v>352</v>
      </c>
      <c r="B177" s="1629"/>
      <c r="D177" s="838" t="s">
        <v>186</v>
      </c>
      <c r="E177" s="968">
        <v>70210</v>
      </c>
      <c r="F177" s="968">
        <v>70231</v>
      </c>
      <c r="G177" s="840">
        <f t="shared" si="20"/>
        <v>21</v>
      </c>
    </row>
  </sheetData>
  <mergeCells count="79">
    <mergeCell ref="A174:C174"/>
    <mergeCell ref="A175:B175"/>
    <mergeCell ref="A176:B176"/>
    <mergeCell ref="A177:B177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7"/>
  <sheetViews>
    <sheetView view="pageBreakPreview" topLeftCell="A166" zoomScale="70" zoomScaleNormal="49" zoomScaleSheetLayoutView="70" workbookViewId="0">
      <selection activeCell="F15" sqref="F1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490" customWidth="1"/>
    <col min="7" max="7" width="18.44140625" style="1003" customWidth="1"/>
    <col min="8" max="8" width="39.21875" style="1004" customWidth="1"/>
    <col min="9" max="9" width="12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8" style="805" bestFit="1" customWidth="1"/>
    <col min="16" max="16384" width="22.33203125" style="805"/>
  </cols>
  <sheetData>
    <row r="1" spans="1:15" ht="22.5">
      <c r="A1" s="1668" t="s">
        <v>214</v>
      </c>
      <c r="B1" s="1669"/>
      <c r="C1" s="1669"/>
      <c r="D1" s="1669"/>
      <c r="E1" s="1669"/>
      <c r="F1" s="1669"/>
      <c r="G1" s="1669"/>
      <c r="H1" s="1669"/>
      <c r="I1" s="1669"/>
      <c r="J1" s="1670"/>
    </row>
    <row r="2" spans="1:15">
      <c r="A2" s="806" t="s">
        <v>344</v>
      </c>
      <c r="B2" s="1076">
        <v>44007</v>
      </c>
      <c r="C2" s="807" t="s">
        <v>68</v>
      </c>
      <c r="D2" s="1019">
        <v>0.88</v>
      </c>
      <c r="E2" s="809"/>
      <c r="F2" s="1475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07">
        <v>28</v>
      </c>
      <c r="E3" s="1677" t="s">
        <v>120</v>
      </c>
      <c r="F3" s="1678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1019">
        <v>0.8</v>
      </c>
      <c r="E4" s="821"/>
      <c r="F4" s="1453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147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71" t="s">
        <v>129</v>
      </c>
      <c r="B6" s="1672"/>
      <c r="C6" s="1673"/>
      <c r="D6" s="832"/>
      <c r="E6" s="832"/>
      <c r="F6" s="1475"/>
      <c r="G6" s="832"/>
      <c r="H6" s="833"/>
      <c r="I6" s="833"/>
      <c r="J6" s="834"/>
      <c r="K6" s="835"/>
      <c r="L6" s="818"/>
    </row>
    <row r="7" spans="1:15" ht="23.25" thickBot="1">
      <c r="A7" s="836" t="s">
        <v>130</v>
      </c>
      <c r="B7" s="837"/>
      <c r="C7" s="837"/>
      <c r="D7" s="838" t="s">
        <v>131</v>
      </c>
      <c r="E7" s="839">
        <f>'24'!F7</f>
        <v>437795.56</v>
      </c>
      <c r="F7" s="455">
        <f>E7+21500</f>
        <v>459295.56</v>
      </c>
      <c r="G7" s="840">
        <f>F7-E7</f>
        <v>21500</v>
      </c>
      <c r="H7" s="841">
        <f>G7+'24'!H7</f>
        <v>537342.56000000006</v>
      </c>
      <c r="I7" s="842">
        <f>'1'!I7</f>
        <v>12000</v>
      </c>
      <c r="J7" s="843">
        <f>H7/DAY(B2)</f>
        <v>21493.702400000002</v>
      </c>
      <c r="K7" s="844"/>
      <c r="L7" s="818"/>
      <c r="N7" s="1017">
        <f>G7/G8</f>
        <v>1</v>
      </c>
      <c r="O7" s="845"/>
    </row>
    <row r="8" spans="1:15" ht="23.25" thickBot="1">
      <c r="A8" s="846" t="s">
        <v>132</v>
      </c>
      <c r="B8" s="847"/>
      <c r="C8" s="848"/>
      <c r="D8" s="849" t="s">
        <v>25</v>
      </c>
      <c r="E8" s="839">
        <f>'24'!F8</f>
        <v>443453.79</v>
      </c>
      <c r="F8" s="475">
        <f>E8+21500</f>
        <v>464953.79</v>
      </c>
      <c r="G8" s="850">
        <f>F8-E8</f>
        <v>21500</v>
      </c>
      <c r="H8" s="841">
        <f>G8+'24'!H8</f>
        <v>538231.79</v>
      </c>
      <c r="I8" s="851">
        <f>'1'!I8</f>
        <v>12000</v>
      </c>
      <c r="J8" s="843">
        <f>H8/DAY(B2)</f>
        <v>21529.2716</v>
      </c>
      <c r="K8" s="844">
        <v>1375467</v>
      </c>
      <c r="L8" s="852">
        <v>1667461</v>
      </c>
      <c r="M8" s="853"/>
      <c r="O8" s="845"/>
    </row>
    <row r="9" spans="1:15">
      <c r="A9" s="854" t="s">
        <v>133</v>
      </c>
      <c r="B9" s="855"/>
      <c r="C9" s="855"/>
      <c r="D9" s="838" t="s">
        <v>131</v>
      </c>
      <c r="E9" s="839">
        <f>'24'!F9</f>
        <v>1913408</v>
      </c>
      <c r="F9" s="1477">
        <v>1932109</v>
      </c>
      <c r="G9" s="840">
        <f t="shared" ref="G9:G12" si="0">F9-E9</f>
        <v>18701</v>
      </c>
      <c r="H9" s="841">
        <f>G9+'24'!H9</f>
        <v>-98893</v>
      </c>
      <c r="I9" s="857">
        <f>I8-J8</f>
        <v>-9529.2716</v>
      </c>
      <c r="J9" s="843">
        <f>H9/DAY(B2)</f>
        <v>-3955.72</v>
      </c>
      <c r="K9" s="858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'24'!F10</f>
        <v>0</v>
      </c>
      <c r="F10" s="1477">
        <v>0</v>
      </c>
      <c r="G10" s="840">
        <f t="shared" si="0"/>
        <v>0</v>
      </c>
      <c r="H10" s="841">
        <f>G10+'24'!H10</f>
        <v>0.29999999999972715</v>
      </c>
      <c r="I10" s="859"/>
      <c r="J10" s="843">
        <f>H10/DAY(B2)</f>
        <v>1.1999999999989085E-2</v>
      </c>
      <c r="K10" s="858"/>
      <c r="L10" s="818">
        <f>L8-K8</f>
        <v>291994</v>
      </c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1453">
        <v>37000</v>
      </c>
      <c r="G11" s="840">
        <f t="shared" si="0"/>
        <v>0</v>
      </c>
      <c r="H11" s="841">
        <f>G11+'24'!H11</f>
        <v>0</v>
      </c>
      <c r="I11" s="859"/>
      <c r="J11" s="843">
        <f>H11/DAY(B2)</f>
        <v>0</v>
      </c>
      <c r="K11" s="858"/>
      <c r="L11" s="818"/>
      <c r="N11" s="1018">
        <f>G7*N7</f>
        <v>21500</v>
      </c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1477">
        <v>40010</v>
      </c>
      <c r="G12" s="840">
        <f t="shared" si="0"/>
        <v>0</v>
      </c>
      <c r="H12" s="841">
        <f>G12+'24'!H12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137</v>
      </c>
      <c r="B13" s="861"/>
      <c r="C13" s="861"/>
      <c r="D13" s="838"/>
      <c r="E13" s="839"/>
      <c r="F13" s="1453"/>
      <c r="G13" s="862">
        <f>G9+G10+G11+G12</f>
        <v>18701</v>
      </c>
      <c r="H13" s="841">
        <f>G13+'24'!H13</f>
        <v>-115417.70000000001</v>
      </c>
      <c r="I13" s="863">
        <f>G7-G13</f>
        <v>2799</v>
      </c>
      <c r="J13" s="843">
        <f>H13/DAY(B2)</f>
        <v>-4616.7080000000005</v>
      </c>
      <c r="K13" s="858"/>
      <c r="L13" s="818">
        <f>L10-H7</f>
        <v>-245348.56000000006</v>
      </c>
      <c r="O13" s="845"/>
    </row>
    <row r="14" spans="1:15">
      <c r="A14" s="1674" t="s">
        <v>138</v>
      </c>
      <c r="B14" s="1675"/>
      <c r="C14" s="1676"/>
      <c r="D14" s="833"/>
      <c r="E14" s="833"/>
      <c r="F14" s="937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'24'!F15</f>
        <v>1721067.16</v>
      </c>
      <c r="F15" s="700">
        <f>E15+700</f>
        <v>1721767.16</v>
      </c>
      <c r="G15" s="1015">
        <f>(F15-E15)</f>
        <v>700</v>
      </c>
      <c r="H15" s="841">
        <f>G15+'24'!H15</f>
        <v>18084.159999999916</v>
      </c>
      <c r="I15" s="842">
        <f>'1'!I15</f>
        <v>800</v>
      </c>
      <c r="J15" s="843">
        <f>H15/DAY(B2)</f>
        <v>723.3663999999967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1477"/>
      <c r="G16" s="840"/>
      <c r="H16" s="873"/>
      <c r="I16" s="874">
        <f>I15-J15</f>
        <v>76.633600000003298</v>
      </c>
      <c r="J16" s="875"/>
      <c r="K16" s="858"/>
      <c r="L16" s="818"/>
      <c r="O16" s="845">
        <f>580-990</f>
        <v>-410</v>
      </c>
    </row>
    <row r="17" spans="1:15">
      <c r="A17" s="1674" t="s">
        <v>141</v>
      </c>
      <c r="B17" s="1675"/>
      <c r="C17" s="1676"/>
      <c r="D17" s="833"/>
      <c r="E17" s="833"/>
      <c r="F17" s="937"/>
      <c r="G17" s="876"/>
      <c r="H17" s="833"/>
      <c r="I17" s="833"/>
      <c r="J17" s="834"/>
      <c r="K17" s="858"/>
      <c r="L17" s="818"/>
      <c r="O17" s="1372">
        <f>O16*3</f>
        <v>-1230</v>
      </c>
    </row>
    <row r="18" spans="1:15">
      <c r="A18" s="1649" t="s">
        <v>142</v>
      </c>
      <c r="B18" s="1650"/>
      <c r="C18" s="1651"/>
      <c r="D18" s="838" t="s">
        <v>143</v>
      </c>
      <c r="E18" s="839">
        <f>'24'!F18</f>
        <v>10</v>
      </c>
      <c r="F18" s="989">
        <v>11</v>
      </c>
      <c r="G18" s="862">
        <f>F18*10</f>
        <v>110</v>
      </c>
      <c r="H18" s="841">
        <f>G18+'24'!H18</f>
        <v>2460</v>
      </c>
      <c r="I18" s="842">
        <f>'1'!I18</f>
        <v>65</v>
      </c>
      <c r="J18" s="843">
        <f>H18/DAY(B2)</f>
        <v>98.4</v>
      </c>
      <c r="K18" s="858"/>
      <c r="L18" s="818"/>
      <c r="O18" s="845"/>
    </row>
    <row r="19" spans="1:15">
      <c r="A19" s="1649" t="s">
        <v>70</v>
      </c>
      <c r="B19" s="1650"/>
      <c r="C19" s="1651"/>
      <c r="D19" s="838" t="s">
        <v>143</v>
      </c>
      <c r="E19" s="839">
        <f>'24'!F19</f>
        <v>141118</v>
      </c>
      <c r="F19" s="989">
        <v>141178</v>
      </c>
      <c r="G19" s="840">
        <f t="shared" ref="G19" si="1">F19-E19</f>
        <v>60</v>
      </c>
      <c r="H19" s="841">
        <f>G19+'24'!H19</f>
        <v>-317</v>
      </c>
      <c r="I19" s="877"/>
      <c r="J19" s="843">
        <f>H19/DAY(B2)</f>
        <v>-12.68</v>
      </c>
      <c r="K19" s="858"/>
      <c r="L19" s="818"/>
      <c r="O19" s="845"/>
    </row>
    <row r="20" spans="1:15">
      <c r="A20" s="860" t="s">
        <v>144</v>
      </c>
      <c r="B20" s="861"/>
      <c r="C20" s="861"/>
      <c r="D20" s="878"/>
      <c r="E20" s="878"/>
      <c r="F20" s="1478"/>
      <c r="G20" s="879">
        <f>G18+G19</f>
        <v>170</v>
      </c>
      <c r="H20" s="841">
        <f>G20+'24'!H20</f>
        <v>2143</v>
      </c>
      <c r="I20" s="880">
        <f>I18-J20</f>
        <v>-20.72</v>
      </c>
      <c r="J20" s="843">
        <f>H20/DAY(B2)</f>
        <v>85.72</v>
      </c>
      <c r="K20" s="858"/>
      <c r="L20" s="818"/>
      <c r="O20" s="845"/>
    </row>
    <row r="21" spans="1:15">
      <c r="A21" s="1674" t="s">
        <v>145</v>
      </c>
      <c r="B21" s="1675"/>
      <c r="C21" s="1676"/>
      <c r="D21" s="833"/>
      <c r="E21" s="833"/>
      <c r="F21" s="937"/>
      <c r="G21" s="864"/>
      <c r="H21" s="833"/>
      <c r="I21" s="833"/>
      <c r="J21" s="834"/>
      <c r="K21" s="858"/>
      <c r="L21" s="818"/>
      <c r="O21" s="845"/>
    </row>
    <row r="22" spans="1:15">
      <c r="A22" s="866" t="s">
        <v>146</v>
      </c>
      <c r="B22" s="867"/>
      <c r="C22" s="867"/>
      <c r="D22" s="838" t="s">
        <v>147</v>
      </c>
      <c r="E22" s="1370">
        <v>2970</v>
      </c>
      <c r="F22" s="989">
        <v>2970</v>
      </c>
      <c r="G22" s="1371">
        <f t="shared" ref="G22" si="2">(F22-E22)</f>
        <v>0</v>
      </c>
      <c r="H22" s="841">
        <f>G22+'24'!H22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148</v>
      </c>
      <c r="B23" s="867"/>
      <c r="C23" s="867"/>
      <c r="D23" s="838" t="s">
        <v>147</v>
      </c>
      <c r="E23" s="868">
        <f>'24'!F23</f>
        <v>2000</v>
      </c>
      <c r="F23" s="989">
        <v>2000</v>
      </c>
      <c r="G23" s="862">
        <v>0</v>
      </c>
      <c r="H23" s="841">
        <f>G23+'24'!H23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149</v>
      </c>
      <c r="B24" s="882"/>
      <c r="C24" s="882"/>
      <c r="D24" s="825" t="s">
        <v>147</v>
      </c>
      <c r="E24" s="868">
        <f>'24'!F24</f>
        <v>4970</v>
      </c>
      <c r="F24" s="1479">
        <v>4970</v>
      </c>
      <c r="G24" s="862">
        <v>0</v>
      </c>
      <c r="H24" s="841">
        <f>G24+'24'!H24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71" t="s">
        <v>150</v>
      </c>
      <c r="B25" s="1672"/>
      <c r="C25" s="1673"/>
      <c r="D25" s="832"/>
      <c r="E25" s="832"/>
      <c r="F25" s="1475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151</v>
      </c>
      <c r="B26" s="891"/>
      <c r="C26" s="892"/>
      <c r="D26" s="893" t="s">
        <v>152</v>
      </c>
      <c r="E26" s="894"/>
      <c r="F26" s="1480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22.5">
      <c r="A27" s="890" t="s">
        <v>6</v>
      </c>
      <c r="B27" s="891"/>
      <c r="C27" s="892"/>
      <c r="D27" s="897" t="s">
        <v>25</v>
      </c>
      <c r="E27" s="898">
        <f>G8</f>
        <v>21500</v>
      </c>
      <c r="F27" s="1409">
        <v>9</v>
      </c>
      <c r="G27" s="900">
        <f>E27*F27</f>
        <v>193500</v>
      </c>
      <c r="H27" s="841">
        <f>G27+'24'!H27</f>
        <v>4844086.1099999994</v>
      </c>
      <c r="I27" s="901"/>
      <c r="J27" s="843">
        <f>H27/DAY(B2)</f>
        <v>193763.44439999998</v>
      </c>
      <c r="K27" s="858"/>
      <c r="L27" s="888"/>
      <c r="N27" s="1007"/>
      <c r="O27" s="845"/>
    </row>
    <row r="28" spans="1:15" s="889" customFormat="1" ht="22.5">
      <c r="A28" s="890" t="s">
        <v>153</v>
      </c>
      <c r="B28" s="891"/>
      <c r="C28" s="892"/>
      <c r="D28" s="897" t="s">
        <v>154</v>
      </c>
      <c r="E28" s="898">
        <f>G15</f>
        <v>700</v>
      </c>
      <c r="F28" s="501">
        <v>52</v>
      </c>
      <c r="G28" s="900">
        <f>E28*F28</f>
        <v>36400</v>
      </c>
      <c r="H28" s="841">
        <f>G28+'24'!H28</f>
        <v>940376.31999999564</v>
      </c>
      <c r="I28" s="902"/>
      <c r="J28" s="843">
        <f>H28/DAY(B2)</f>
        <v>37615.052799999823</v>
      </c>
      <c r="K28" s="858"/>
      <c r="L28" s="888"/>
      <c r="N28" s="1007"/>
      <c r="O28" s="845"/>
    </row>
    <row r="29" spans="1:15" s="889" customFormat="1">
      <c r="A29" s="890" t="s">
        <v>155</v>
      </c>
      <c r="B29" s="891"/>
      <c r="C29" s="892"/>
      <c r="D29" s="897" t="s">
        <v>156</v>
      </c>
      <c r="E29" s="898">
        <f>G24</f>
        <v>0</v>
      </c>
      <c r="F29" s="1481">
        <v>69</v>
      </c>
      <c r="G29" s="900">
        <f>E29*F29</f>
        <v>0</v>
      </c>
      <c r="H29" s="841">
        <f>G29+'24'!H29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157</v>
      </c>
      <c r="B30" s="891"/>
      <c r="C30" s="892"/>
      <c r="D30" s="897" t="s">
        <v>158</v>
      </c>
      <c r="E30" s="898">
        <f>G19</f>
        <v>60</v>
      </c>
      <c r="F30" s="1481">
        <v>146</v>
      </c>
      <c r="G30" s="900">
        <f>E30*F30</f>
        <v>8760</v>
      </c>
      <c r="H30" s="841">
        <f>G30+'24'!H30</f>
        <v>-46866</v>
      </c>
      <c r="I30" s="902"/>
      <c r="J30" s="843">
        <f>H30/DAY(B2)</f>
        <v>-1874.64</v>
      </c>
      <c r="K30" s="858"/>
      <c r="L30" s="888"/>
      <c r="N30" s="1007"/>
      <c r="O30" s="845"/>
    </row>
    <row r="31" spans="1:15" s="889" customFormat="1">
      <c r="A31" s="890" t="s">
        <v>159</v>
      </c>
      <c r="B31" s="891"/>
      <c r="C31" s="892"/>
      <c r="D31" s="897" t="s">
        <v>143</v>
      </c>
      <c r="E31" s="898">
        <f>G18</f>
        <v>110</v>
      </c>
      <c r="F31" s="1481">
        <v>80</v>
      </c>
      <c r="G31" s="900">
        <f>E31*F31</f>
        <v>8800</v>
      </c>
      <c r="H31" s="841">
        <f>G31+'24'!H31</f>
        <v>191200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160</v>
      </c>
      <c r="B32" s="904"/>
      <c r="C32" s="905"/>
      <c r="D32" s="906"/>
      <c r="E32" s="906"/>
      <c r="F32" s="1478"/>
      <c r="G32" s="907">
        <f>G27+G28+G29+G30+G31</f>
        <v>247460</v>
      </c>
      <c r="H32" s="841">
        <f>G32+'24'!H32</f>
        <v>5928796.429999995</v>
      </c>
      <c r="I32" s="908"/>
      <c r="J32" s="843">
        <f>H32/DAY(B2)</f>
        <v>237151.85719999979</v>
      </c>
      <c r="K32" s="858"/>
      <c r="L32" s="888"/>
      <c r="N32" s="1007"/>
      <c r="O32" s="845">
        <f>340*3</f>
        <v>1020</v>
      </c>
    </row>
    <row r="33" spans="1:15" ht="18.75">
      <c r="A33" s="1679" t="s">
        <v>161</v>
      </c>
      <c r="B33" s="1680"/>
      <c r="C33" s="1680"/>
      <c r="D33" s="1680"/>
      <c r="E33" s="1680"/>
      <c r="F33" s="1680"/>
      <c r="G33" s="1680"/>
      <c r="H33" s="1680"/>
      <c r="I33" s="1680"/>
      <c r="J33" s="1681"/>
      <c r="K33" s="858"/>
      <c r="L33" s="818"/>
      <c r="O33" s="845">
        <f>O32/3</f>
        <v>340</v>
      </c>
    </row>
    <row r="34" spans="1:15">
      <c r="A34" s="909" t="s">
        <v>162</v>
      </c>
      <c r="B34" s="910"/>
      <c r="C34" s="910"/>
      <c r="D34" s="833"/>
      <c r="E34" s="832"/>
      <c r="F34" s="1475"/>
      <c r="G34" s="833"/>
      <c r="H34" s="833"/>
      <c r="I34" s="833"/>
      <c r="J34" s="834"/>
      <c r="K34" s="858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'24'!F35</f>
        <v>1011558</v>
      </c>
      <c r="F35" s="1454">
        <v>1014277</v>
      </c>
      <c r="G35" s="840">
        <f t="shared" ref="G35:G46" si="3">F35-E35</f>
        <v>2719</v>
      </c>
      <c r="H35" s="841">
        <f>G35+'24'!H35</f>
        <v>-14437</v>
      </c>
      <c r="I35" s="839"/>
      <c r="J35" s="843">
        <f>H35/DAY(B2)</f>
        <v>-577.48</v>
      </c>
      <c r="K35" s="858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'24'!F36</f>
        <v>16401</v>
      </c>
      <c r="F36" s="1454">
        <v>17043</v>
      </c>
      <c r="G36" s="840">
        <f t="shared" si="3"/>
        <v>642</v>
      </c>
      <c r="H36" s="841">
        <f>G36+'24'!H36</f>
        <v>-3418</v>
      </c>
      <c r="I36" s="839"/>
      <c r="J36" s="843">
        <f>H36/DAY(B2)</f>
        <v>-136.72</v>
      </c>
      <c r="K36" s="858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'24'!F37</f>
        <v>167756</v>
      </c>
      <c r="F37" s="1454">
        <v>169274</v>
      </c>
      <c r="G37" s="840">
        <f t="shared" si="3"/>
        <v>1518</v>
      </c>
      <c r="H37" s="841">
        <f>G37+'24'!H37</f>
        <v>-7296</v>
      </c>
      <c r="I37" s="839"/>
      <c r="J37" s="843">
        <f>H37/DAY(B2)</f>
        <v>-291.83999999999997</v>
      </c>
      <c r="K37" s="858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'24'!F38</f>
        <v>188798</v>
      </c>
      <c r="F38" s="1476">
        <v>190335</v>
      </c>
      <c r="G38" s="840">
        <f t="shared" si="3"/>
        <v>1537</v>
      </c>
      <c r="H38" s="841">
        <f>G38+'24'!H38</f>
        <v>-8124</v>
      </c>
      <c r="I38" s="839"/>
      <c r="J38" s="843">
        <f>H38/DAY(B2)</f>
        <v>-324.95999999999998</v>
      </c>
      <c r="K38" s="858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'24'!F39</f>
        <v>382827</v>
      </c>
      <c r="F39" s="1454">
        <v>386482</v>
      </c>
      <c r="G39" s="840">
        <f t="shared" si="3"/>
        <v>3655</v>
      </c>
      <c r="H39" s="841">
        <f>G39+'24'!H39</f>
        <v>-18382</v>
      </c>
      <c r="I39" s="839"/>
      <c r="J39" s="843">
        <f>H39/DAY(B2)</f>
        <v>-735.28</v>
      </c>
      <c r="K39" s="858"/>
      <c r="L39" s="818"/>
      <c r="O39" s="845"/>
    </row>
    <row r="40" spans="1:15">
      <c r="A40" s="912" t="s">
        <v>168</v>
      </c>
      <c r="B40" s="913"/>
      <c r="C40" s="913"/>
      <c r="D40" s="838" t="s">
        <v>131</v>
      </c>
      <c r="E40" s="839">
        <f>'24'!F40</f>
        <v>5453</v>
      </c>
      <c r="F40" s="1454">
        <v>5453</v>
      </c>
      <c r="G40" s="840">
        <f t="shared" si="3"/>
        <v>0</v>
      </c>
      <c r="H40" s="841">
        <f>G40+'24'!H40</f>
        <v>-1660</v>
      </c>
      <c r="I40" s="839"/>
      <c r="J40" s="843">
        <f>H40/DAY(B2)</f>
        <v>-66.400000000000006</v>
      </c>
      <c r="K40" s="865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'24'!F41</f>
        <v>310992</v>
      </c>
      <c r="F41" s="1454">
        <v>310992</v>
      </c>
      <c r="G41" s="840">
        <f t="shared" si="3"/>
        <v>0</v>
      </c>
      <c r="H41" s="841">
        <f>G41+'24'!H41</f>
        <v>-18650</v>
      </c>
      <c r="I41" s="839"/>
      <c r="J41" s="843">
        <f>H41/DAY(B2)</f>
        <v>-746</v>
      </c>
      <c r="K41" s="858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'24'!F42</f>
        <v>59210</v>
      </c>
      <c r="F42" s="1454">
        <v>59210</v>
      </c>
      <c r="G42" s="840">
        <f t="shared" si="3"/>
        <v>0</v>
      </c>
      <c r="H42" s="841">
        <f>G42+'24'!H42</f>
        <v>11.110000000000582</v>
      </c>
      <c r="I42" s="839"/>
      <c r="J42" s="843">
        <f>H42/DAY(B2)</f>
        <v>0.44440000000002328</v>
      </c>
      <c r="K42" s="858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'24'!F43</f>
        <v>1103903</v>
      </c>
      <c r="F43" s="1454">
        <v>1106552</v>
      </c>
      <c r="G43" s="840">
        <f t="shared" si="3"/>
        <v>2649</v>
      </c>
      <c r="H43" s="841">
        <f>G43+'24'!H43</f>
        <v>-13900</v>
      </c>
      <c r="I43" s="839"/>
      <c r="J43" s="843">
        <f>H43/DAY(B2)</f>
        <v>-556</v>
      </c>
      <c r="K43" s="858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'24'!F44</f>
        <v>0</v>
      </c>
      <c r="F44" s="1454">
        <v>0</v>
      </c>
      <c r="G44" s="840">
        <f t="shared" si="3"/>
        <v>0</v>
      </c>
      <c r="H44" s="841">
        <f>G44+'24'!H44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'24'!F45</f>
        <v>0</v>
      </c>
      <c r="F45" s="1454">
        <v>0</v>
      </c>
      <c r="G45" s="840">
        <f t="shared" si="3"/>
        <v>0</v>
      </c>
      <c r="H45" s="841">
        <f>G45+'24'!H45</f>
        <v>0</v>
      </c>
      <c r="I45" s="839"/>
      <c r="J45" s="843">
        <f>H45/DAY(B2)</f>
        <v>0</v>
      </c>
      <c r="K45" s="858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'24'!F46</f>
        <v>0</v>
      </c>
      <c r="F46" s="1454">
        <v>0</v>
      </c>
      <c r="G46" s="840">
        <f t="shared" si="3"/>
        <v>0</v>
      </c>
      <c r="H46" s="841">
        <f>G46+'24'!H46</f>
        <v>-5.0000000000011369E-2</v>
      </c>
      <c r="I46" s="839"/>
      <c r="J46" s="843">
        <f>H46/DAY(B2)</f>
        <v>-2.0000000000004545E-3</v>
      </c>
      <c r="K46" s="858"/>
      <c r="L46" s="818"/>
      <c r="O46" s="845"/>
    </row>
    <row r="47" spans="1:15">
      <c r="A47" s="860" t="s">
        <v>175</v>
      </c>
      <c r="B47" s="861"/>
      <c r="C47" s="861"/>
      <c r="D47" s="829"/>
      <c r="E47" s="825"/>
      <c r="F47" s="1475"/>
      <c r="G47" s="862">
        <f>G35+G36+G37+G38+G39+G40+G41+G42+G43+G44+G45+G46</f>
        <v>12720</v>
      </c>
      <c r="H47" s="841">
        <f>G47+'24'!H47</f>
        <v>-85054.449999999939</v>
      </c>
      <c r="I47" s="839"/>
      <c r="J47" s="843">
        <f>H47/DAY(B2)</f>
        <v>-3402.1779999999976</v>
      </c>
      <c r="K47" s="858"/>
      <c r="L47" s="818"/>
      <c r="N47" s="1008"/>
      <c r="O47" s="845"/>
    </row>
    <row r="48" spans="1:15">
      <c r="A48" s="909" t="s">
        <v>176</v>
      </c>
      <c r="B48" s="910"/>
      <c r="C48" s="910"/>
      <c r="D48" s="833"/>
      <c r="E48" s="832"/>
      <c r="F48" s="1475"/>
      <c r="G48" s="833"/>
      <c r="H48" s="833"/>
      <c r="I48" s="833"/>
      <c r="J48" s="834"/>
      <c r="K48" s="858"/>
      <c r="L48" s="818"/>
      <c r="O48" s="845"/>
    </row>
    <row r="49" spans="1:15">
      <c r="A49" s="836" t="s">
        <v>163</v>
      </c>
      <c r="B49" s="914"/>
      <c r="C49" s="914"/>
      <c r="D49" s="838" t="s">
        <v>131</v>
      </c>
      <c r="E49" s="1453">
        <f>'24'!F49</f>
        <v>260732.12</v>
      </c>
      <c r="F49" s="1454">
        <v>260732.13</v>
      </c>
      <c r="G49" s="1015">
        <f t="shared" ref="G49:G58" si="4">F49-E49</f>
        <v>1.0000000009313226E-2</v>
      </c>
      <c r="H49" s="841">
        <f>G49+'24'!H49</f>
        <v>0.13000000000465661</v>
      </c>
      <c r="I49" s="839"/>
      <c r="J49" s="843">
        <f>H49/DAY(B2)</f>
        <v>5.2000000001862648E-3</v>
      </c>
      <c r="K49" s="858"/>
      <c r="L49" s="818"/>
      <c r="O49" s="845"/>
    </row>
    <row r="50" spans="1:15">
      <c r="A50" s="836" t="s">
        <v>177</v>
      </c>
      <c r="B50" s="914"/>
      <c r="C50" s="914"/>
      <c r="D50" s="838" t="s">
        <v>131</v>
      </c>
      <c r="E50" s="839">
        <f>'24'!F50</f>
        <v>528305</v>
      </c>
      <c r="F50" s="1454">
        <v>529337</v>
      </c>
      <c r="G50" s="840">
        <f t="shared" si="4"/>
        <v>1032</v>
      </c>
      <c r="H50" s="841">
        <f>G50+'24'!H50</f>
        <v>-6216</v>
      </c>
      <c r="I50" s="839"/>
      <c r="J50" s="843">
        <f>H50/DAY(B2)</f>
        <v>-248.64</v>
      </c>
      <c r="K50" s="858"/>
      <c r="L50" s="818"/>
      <c r="O50" s="845"/>
    </row>
    <row r="51" spans="1:15">
      <c r="A51" s="836" t="s">
        <v>165</v>
      </c>
      <c r="B51" s="914"/>
      <c r="C51" s="914"/>
      <c r="D51" s="838" t="s">
        <v>131</v>
      </c>
      <c r="E51" s="839">
        <f>'24'!F51</f>
        <v>144640</v>
      </c>
      <c r="F51" s="1454">
        <v>144639.87</v>
      </c>
      <c r="G51" s="840">
        <f t="shared" si="4"/>
        <v>-0.13000000000465661</v>
      </c>
      <c r="H51" s="841">
        <f>G51+'24'!H51</f>
        <v>-0.13000000000465661</v>
      </c>
      <c r="I51" s="839"/>
      <c r="J51" s="843">
        <f>H51/DAY(B2)</f>
        <v>-5.2000000001862648E-3</v>
      </c>
      <c r="K51" s="858"/>
      <c r="L51" s="818"/>
      <c r="O51" s="845"/>
    </row>
    <row r="52" spans="1:15">
      <c r="A52" s="836" t="s">
        <v>178</v>
      </c>
      <c r="B52" s="914"/>
      <c r="C52" s="914"/>
      <c r="D52" s="838" t="s">
        <v>131</v>
      </c>
      <c r="E52" s="839">
        <f>'24'!F52</f>
        <v>539606</v>
      </c>
      <c r="F52" s="1454">
        <v>539606.06999999995</v>
      </c>
      <c r="G52" s="840">
        <f t="shared" si="4"/>
        <v>6.9999999948777258E-2</v>
      </c>
      <c r="H52" s="841">
        <f>G52+'24'!H52</f>
        <v>0</v>
      </c>
      <c r="I52" s="839"/>
      <c r="J52" s="843">
        <f>H52/DAY(B2)</f>
        <v>0</v>
      </c>
      <c r="K52" s="858"/>
      <c r="L52" s="818"/>
      <c r="O52" s="845"/>
    </row>
    <row r="53" spans="1:15">
      <c r="A53" s="836" t="s">
        <v>167</v>
      </c>
      <c r="B53" s="914"/>
      <c r="C53" s="914"/>
      <c r="D53" s="838" t="s">
        <v>131</v>
      </c>
      <c r="E53" s="839">
        <f>'24'!F53</f>
        <v>434232</v>
      </c>
      <c r="F53" s="1454">
        <v>434232</v>
      </c>
      <c r="G53" s="840">
        <f t="shared" si="4"/>
        <v>0</v>
      </c>
      <c r="H53" s="841">
        <f>G53+'24'!H53</f>
        <v>-0.33000000001629815</v>
      </c>
      <c r="I53" s="839"/>
      <c r="J53" s="843">
        <f>H53/DAY(B2)</f>
        <v>-1.3200000000651926E-2</v>
      </c>
      <c r="K53" s="858"/>
      <c r="L53" s="818"/>
      <c r="O53" s="845"/>
    </row>
    <row r="54" spans="1:15">
      <c r="A54" s="836" t="s">
        <v>179</v>
      </c>
      <c r="B54" s="914"/>
      <c r="C54" s="914"/>
      <c r="D54" s="838" t="s">
        <v>131</v>
      </c>
      <c r="E54" s="839">
        <f>'24'!F54</f>
        <v>14967</v>
      </c>
      <c r="F54" s="1454">
        <v>14967</v>
      </c>
      <c r="G54" s="840">
        <f t="shared" si="4"/>
        <v>0</v>
      </c>
      <c r="H54" s="841">
        <f>G54+'24'!H54</f>
        <v>-79</v>
      </c>
      <c r="I54" s="839"/>
      <c r="J54" s="843">
        <f>H54/DAY(B2)</f>
        <v>-3.16</v>
      </c>
      <c r="K54" s="858"/>
      <c r="L54" s="818"/>
      <c r="O54" s="845"/>
    </row>
    <row r="55" spans="1:15">
      <c r="A55" s="836" t="s">
        <v>180</v>
      </c>
      <c r="B55" s="914"/>
      <c r="C55" s="914"/>
      <c r="D55" s="838" t="s">
        <v>131</v>
      </c>
      <c r="E55" s="839">
        <f>'24'!F55</f>
        <v>100640</v>
      </c>
      <c r="F55" s="1454">
        <v>105727</v>
      </c>
      <c r="G55" s="840">
        <f t="shared" si="4"/>
        <v>5087</v>
      </c>
      <c r="H55" s="841">
        <f>G55+'24'!H55</f>
        <v>-11909</v>
      </c>
      <c r="I55" s="839"/>
      <c r="J55" s="843">
        <f>H55/DAY(B2)</f>
        <v>-476.36</v>
      </c>
      <c r="K55" s="858"/>
      <c r="L55" s="818"/>
      <c r="O55" s="845"/>
    </row>
    <row r="56" spans="1:15">
      <c r="A56" s="836" t="s">
        <v>181</v>
      </c>
      <c r="B56" s="914"/>
      <c r="C56" s="914"/>
      <c r="D56" s="838" t="s">
        <v>182</v>
      </c>
      <c r="E56" s="839">
        <f>'24'!F56</f>
        <v>648960</v>
      </c>
      <c r="F56" s="1454">
        <v>648960</v>
      </c>
      <c r="G56" s="840">
        <f t="shared" si="4"/>
        <v>0</v>
      </c>
      <c r="H56" s="841">
        <f>G56+'24'!H56</f>
        <v>-72</v>
      </c>
      <c r="I56" s="839"/>
      <c r="J56" s="843">
        <f>H56/DAY(B2)</f>
        <v>-2.88</v>
      </c>
      <c r="K56" s="835"/>
      <c r="L56" s="818"/>
      <c r="O56" s="845"/>
    </row>
    <row r="57" spans="1:15">
      <c r="A57" s="836" t="s">
        <v>171</v>
      </c>
      <c r="B57" s="914"/>
      <c r="C57" s="914"/>
      <c r="D57" s="838" t="s">
        <v>131</v>
      </c>
      <c r="E57" s="839">
        <f>'24'!F57</f>
        <v>7711</v>
      </c>
      <c r="F57" s="1454">
        <v>7711</v>
      </c>
      <c r="G57" s="840">
        <f t="shared" si="4"/>
        <v>0</v>
      </c>
      <c r="H57" s="841">
        <f>G57+'24'!H57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183</v>
      </c>
      <c r="B58" s="914"/>
      <c r="C58" s="914"/>
      <c r="D58" s="838" t="s">
        <v>131</v>
      </c>
      <c r="E58" s="839">
        <f>'24'!F58</f>
        <v>53064</v>
      </c>
      <c r="F58" s="1454">
        <v>53197</v>
      </c>
      <c r="G58" s="840">
        <f t="shared" si="4"/>
        <v>133</v>
      </c>
      <c r="H58" s="841">
        <f>G58+'24'!H58</f>
        <v>-1028.2099999999991</v>
      </c>
      <c r="I58" s="839"/>
      <c r="J58" s="843">
        <f>H58/DAY(B2)</f>
        <v>-41.128399999999964</v>
      </c>
      <c r="K58" s="858"/>
      <c r="L58" s="818"/>
      <c r="O58" s="845"/>
    </row>
    <row r="59" spans="1:15">
      <c r="A59" s="860" t="s">
        <v>175</v>
      </c>
      <c r="B59" s="861"/>
      <c r="C59" s="861"/>
      <c r="D59" s="825"/>
      <c r="E59" s="825"/>
      <c r="F59" s="1475"/>
      <c r="G59" s="862">
        <f>G49+G50+G51+G52+G53+G54+G55+G56+G57+G58</f>
        <v>6251.9499999999534</v>
      </c>
      <c r="H59" s="841">
        <f>G59+'24'!H59</f>
        <v>-19304.470000000067</v>
      </c>
      <c r="I59" s="839">
        <f>G7-G60</f>
        <v>2528.0500000000466</v>
      </c>
      <c r="J59" s="843">
        <f>H59/DAY(B2)</f>
        <v>-772.17880000000264</v>
      </c>
      <c r="K59" s="858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1475"/>
      <c r="G60" s="862">
        <f>G47+G59</f>
        <v>18971.949999999953</v>
      </c>
      <c r="H60" s="841">
        <f>G60+'24'!H60</f>
        <v>-103150.38000000018</v>
      </c>
      <c r="I60" s="839">
        <f>G13-G60</f>
        <v>-270.94999999995343</v>
      </c>
      <c r="J60" s="843">
        <f>H60/DAY(B2)</f>
        <v>-4126.0152000000071</v>
      </c>
      <c r="K60" s="858"/>
      <c r="L60" s="818"/>
      <c r="O60" s="845"/>
    </row>
    <row r="61" spans="1:15">
      <c r="A61" s="915" t="s">
        <v>185</v>
      </c>
      <c r="B61" s="916"/>
      <c r="C61" s="916"/>
      <c r="D61" s="916"/>
      <c r="E61" s="917"/>
      <c r="F61" s="1482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186</v>
      </c>
      <c r="E62" s="839">
        <f>'24'!F62</f>
        <v>20419</v>
      </c>
      <c r="F62" s="1483">
        <v>20419</v>
      </c>
      <c r="G62" s="840">
        <f t="shared" ref="G62:G69" si="5">F62-E62</f>
        <v>0</v>
      </c>
      <c r="H62" s="841">
        <f>G62+'24'!H62</f>
        <v>1.9999999967694748E-3</v>
      </c>
      <c r="I62" s="922"/>
      <c r="J62" s="843">
        <f>H62/DAY(B2)</f>
        <v>7.9999999870778991E-5</v>
      </c>
      <c r="K62" s="858"/>
      <c r="L62" s="818"/>
      <c r="O62" s="845"/>
    </row>
    <row r="63" spans="1:15">
      <c r="A63" s="919" t="s">
        <v>187</v>
      </c>
      <c r="B63" s="920"/>
      <c r="C63" s="920"/>
      <c r="D63" s="825" t="s">
        <v>186</v>
      </c>
      <c r="E63" s="839">
        <f>'24'!F63</f>
        <v>0</v>
      </c>
      <c r="F63" s="1483">
        <v>0</v>
      </c>
      <c r="G63" s="840">
        <f t="shared" si="5"/>
        <v>0</v>
      </c>
      <c r="H63" s="841">
        <f>G63+'24'!H63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55" t="s">
        <v>98</v>
      </c>
      <c r="B64" s="1656"/>
      <c r="C64" s="1657"/>
      <c r="D64" s="838" t="s">
        <v>186</v>
      </c>
      <c r="E64" s="839">
        <f>'24'!F64</f>
        <v>167799</v>
      </c>
      <c r="F64" s="989">
        <v>168211</v>
      </c>
      <c r="G64" s="840">
        <f t="shared" si="5"/>
        <v>412</v>
      </c>
      <c r="H64" s="841">
        <f>G64+'24'!H64</f>
        <v>-1811</v>
      </c>
      <c r="I64" s="859"/>
      <c r="J64" s="843">
        <f>H64/DAY(B2)</f>
        <v>-72.44</v>
      </c>
      <c r="K64" s="858"/>
      <c r="L64" s="818"/>
      <c r="O64" s="845"/>
    </row>
    <row r="65" spans="1:15">
      <c r="A65" s="1655" t="s">
        <v>99</v>
      </c>
      <c r="B65" s="1656"/>
      <c r="C65" s="1657"/>
      <c r="D65" s="838" t="s">
        <v>186</v>
      </c>
      <c r="E65" s="839">
        <f>'24'!F65</f>
        <v>167848</v>
      </c>
      <c r="F65" s="989">
        <v>168247</v>
      </c>
      <c r="G65" s="840">
        <f t="shared" si="5"/>
        <v>399</v>
      </c>
      <c r="H65" s="841">
        <f>G65+'24'!H65</f>
        <v>-2055</v>
      </c>
      <c r="I65" s="877"/>
      <c r="J65" s="843">
        <f>H65/DAY(B2)</f>
        <v>-82.2</v>
      </c>
      <c r="K65" s="858"/>
      <c r="L65" s="818"/>
      <c r="O65" s="845"/>
    </row>
    <row r="66" spans="1:15">
      <c r="A66" s="1655" t="s">
        <v>100</v>
      </c>
      <c r="B66" s="1656"/>
      <c r="C66" s="1657"/>
      <c r="D66" s="838" t="s">
        <v>186</v>
      </c>
      <c r="E66" s="839">
        <f>'24'!F66</f>
        <v>65414</v>
      </c>
      <c r="F66" s="989">
        <v>65832</v>
      </c>
      <c r="G66" s="840">
        <f t="shared" si="5"/>
        <v>418</v>
      </c>
      <c r="H66" s="841">
        <f>G66+'24'!H66</f>
        <v>-2138</v>
      </c>
      <c r="I66" s="859"/>
      <c r="J66" s="843">
        <f>H66/DAY(B2)</f>
        <v>-85.52</v>
      </c>
      <c r="K66" s="858"/>
      <c r="L66" s="818"/>
      <c r="O66" s="845"/>
    </row>
    <row r="67" spans="1:15">
      <c r="A67" s="1655" t="s">
        <v>101</v>
      </c>
      <c r="B67" s="1656"/>
      <c r="C67" s="1657"/>
      <c r="D67" s="838" t="s">
        <v>186</v>
      </c>
      <c r="E67" s="839">
        <f>'24'!F67</f>
        <v>262246</v>
      </c>
      <c r="F67" s="989">
        <v>262704</v>
      </c>
      <c r="G67" s="840">
        <f t="shared" si="5"/>
        <v>458</v>
      </c>
      <c r="H67" s="841">
        <f>G67+'24'!H67</f>
        <v>-2255</v>
      </c>
      <c r="I67" s="877"/>
      <c r="J67" s="843">
        <f>H67/DAY(B2)</f>
        <v>-90.2</v>
      </c>
      <c r="K67" s="865"/>
      <c r="L67" s="818"/>
      <c r="O67" s="845"/>
    </row>
    <row r="68" spans="1:15">
      <c r="A68" s="1655" t="s">
        <v>102</v>
      </c>
      <c r="B68" s="1656"/>
      <c r="C68" s="1657"/>
      <c r="D68" s="838" t="s">
        <v>186</v>
      </c>
      <c r="E68" s="839">
        <f>'24'!F68</f>
        <v>85321</v>
      </c>
      <c r="F68" s="989">
        <v>85321</v>
      </c>
      <c r="G68" s="840">
        <f t="shared" si="5"/>
        <v>0</v>
      </c>
      <c r="H68" s="841">
        <f>G68+'24'!H68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55" t="s">
        <v>103</v>
      </c>
      <c r="B69" s="1656"/>
      <c r="C69" s="1657"/>
      <c r="D69" s="838" t="s">
        <v>186</v>
      </c>
      <c r="E69" s="839">
        <f>'24'!F69</f>
        <v>86101</v>
      </c>
      <c r="F69" s="989">
        <v>86292</v>
      </c>
      <c r="G69" s="840">
        <f t="shared" si="5"/>
        <v>191</v>
      </c>
      <c r="H69" s="841">
        <f>G69+'24'!H69</f>
        <v>-1223</v>
      </c>
      <c r="I69" s="923"/>
      <c r="J69" s="843">
        <f>H69/DAY(B2)</f>
        <v>-48.92</v>
      </c>
      <c r="K69" s="925"/>
      <c r="L69" s="818"/>
      <c r="O69" s="845"/>
    </row>
    <row r="70" spans="1:15">
      <c r="A70" s="1664" t="s">
        <v>188</v>
      </c>
      <c r="B70" s="1665"/>
      <c r="C70" s="1666"/>
      <c r="D70" s="838" t="s">
        <v>186</v>
      </c>
      <c r="E70" s="926"/>
      <c r="F70" s="1484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2.5">
      <c r="A71" s="1661" t="s">
        <v>189</v>
      </c>
      <c r="B71" s="1662"/>
      <c r="C71" s="1662"/>
      <c r="D71" s="1662"/>
      <c r="E71" s="1662"/>
      <c r="F71" s="1662"/>
      <c r="G71" s="1662"/>
      <c r="H71" s="1662"/>
      <c r="I71" s="1662"/>
      <c r="J71" s="1663"/>
      <c r="K71" s="924"/>
      <c r="L71" s="818"/>
      <c r="O71" s="845"/>
    </row>
    <row r="72" spans="1:15">
      <c r="A72" s="1655" t="s">
        <v>190</v>
      </c>
      <c r="B72" s="1656"/>
      <c r="C72" s="1657"/>
      <c r="D72" s="838" t="s">
        <v>186</v>
      </c>
      <c r="E72" s="839">
        <f>'24'!F72</f>
        <v>856157</v>
      </c>
      <c r="F72" s="930">
        <v>856169</v>
      </c>
      <c r="G72" s="840">
        <f t="shared" ref="G72:G84" si="6">F72-E72</f>
        <v>12</v>
      </c>
      <c r="H72" s="841">
        <f>G72+'24'!H72</f>
        <v>-66</v>
      </c>
      <c r="I72" s="859"/>
      <c r="J72" s="843">
        <f>H72/DAY(B2)</f>
        <v>-2.64</v>
      </c>
      <c r="K72" s="925"/>
      <c r="L72" s="818"/>
      <c r="O72" s="845"/>
    </row>
    <row r="73" spans="1:15">
      <c r="A73" s="1655" t="s">
        <v>191</v>
      </c>
      <c r="B73" s="1656"/>
      <c r="C73" s="1657"/>
      <c r="D73" s="838" t="s">
        <v>186</v>
      </c>
      <c r="E73" s="839">
        <f>'24'!F73</f>
        <v>885965</v>
      </c>
      <c r="F73" s="930">
        <v>885966</v>
      </c>
      <c r="G73" s="840">
        <f t="shared" si="6"/>
        <v>1</v>
      </c>
      <c r="H73" s="841">
        <f>G73+'24'!H73</f>
        <v>-194</v>
      </c>
      <c r="I73" s="859"/>
      <c r="J73" s="843">
        <f>H73/DAY(B2)</f>
        <v>-7.76</v>
      </c>
      <c r="K73" s="924"/>
      <c r="L73" s="818"/>
      <c r="O73" s="845"/>
    </row>
    <row r="74" spans="1:15">
      <c r="A74" s="1655" t="s">
        <v>192</v>
      </c>
      <c r="B74" s="1656"/>
      <c r="C74" s="1657"/>
      <c r="D74" s="838" t="s">
        <v>186</v>
      </c>
      <c r="E74" s="839">
        <f>'24'!F74</f>
        <v>88689</v>
      </c>
      <c r="F74" s="930">
        <v>88689</v>
      </c>
      <c r="G74" s="840">
        <f t="shared" si="6"/>
        <v>0</v>
      </c>
      <c r="H74" s="841">
        <f>G74+'24'!H74</f>
        <v>-86086.04</v>
      </c>
      <c r="I74" s="859"/>
      <c r="J74" s="843">
        <f>H74/DAY(B2)</f>
        <v>-3443.4415999999997</v>
      </c>
      <c r="K74" s="925"/>
      <c r="L74" s="818"/>
      <c r="O74" s="845"/>
    </row>
    <row r="75" spans="1:15">
      <c r="A75" s="1658" t="s">
        <v>193</v>
      </c>
      <c r="B75" s="1659"/>
      <c r="C75" s="1660"/>
      <c r="D75" s="838" t="s">
        <v>186</v>
      </c>
      <c r="E75" s="839">
        <f>'24'!F75</f>
        <v>15203</v>
      </c>
      <c r="F75" s="930">
        <v>15352</v>
      </c>
      <c r="G75" s="840">
        <f t="shared" si="6"/>
        <v>149</v>
      </c>
      <c r="H75" s="841">
        <f>G75+'24'!H75</f>
        <v>-719</v>
      </c>
      <c r="I75" s="859"/>
      <c r="J75" s="843">
        <f>H75/DAY(B2)</f>
        <v>-28.76</v>
      </c>
      <c r="K75" s="924"/>
      <c r="L75" s="818"/>
      <c r="O75" s="845"/>
    </row>
    <row r="76" spans="1:15">
      <c r="A76" s="1658" t="s">
        <v>194</v>
      </c>
      <c r="B76" s="1659"/>
      <c r="C76" s="1660"/>
      <c r="D76" s="838" t="s">
        <v>186</v>
      </c>
      <c r="E76" s="839">
        <f>'24'!F76</f>
        <v>8873</v>
      </c>
      <c r="F76" s="930">
        <v>8947</v>
      </c>
      <c r="G76" s="840">
        <f t="shared" si="6"/>
        <v>74</v>
      </c>
      <c r="H76" s="841">
        <f>G76+'24'!H76</f>
        <v>-1661</v>
      </c>
      <c r="I76" s="902"/>
      <c r="J76" s="843">
        <f>H76/DAY(B2)</f>
        <v>-66.44</v>
      </c>
      <c r="K76" s="924"/>
      <c r="L76" s="818"/>
      <c r="O76" s="845"/>
    </row>
    <row r="77" spans="1:15">
      <c r="A77" s="1655" t="s">
        <v>195</v>
      </c>
      <c r="B77" s="1656"/>
      <c r="C77" s="1657"/>
      <c r="D77" s="838" t="s">
        <v>186</v>
      </c>
      <c r="E77" s="839">
        <f>'24'!F77</f>
        <v>704034</v>
      </c>
      <c r="F77" s="930">
        <v>704088</v>
      </c>
      <c r="G77" s="840">
        <f t="shared" si="6"/>
        <v>54</v>
      </c>
      <c r="H77" s="841">
        <f>G77+'24'!H77</f>
        <v>-286</v>
      </c>
      <c r="I77" s="902"/>
      <c r="J77" s="843">
        <f>H77/DAY(B2)</f>
        <v>-11.44</v>
      </c>
      <c r="K77" s="924"/>
      <c r="L77" s="818"/>
      <c r="O77" s="845"/>
    </row>
    <row r="78" spans="1:15">
      <c r="A78" s="932" t="s">
        <v>196</v>
      </c>
      <c r="B78" s="1135"/>
      <c r="C78" s="1135"/>
      <c r="D78" s="838" t="s">
        <v>186</v>
      </c>
      <c r="E78" s="839">
        <f>'24'!F78</f>
        <v>674814</v>
      </c>
      <c r="F78" s="930">
        <v>674898</v>
      </c>
      <c r="G78" s="840">
        <f t="shared" si="6"/>
        <v>84</v>
      </c>
      <c r="H78" s="841">
        <f>G78+'24'!H78</f>
        <v>-516</v>
      </c>
      <c r="I78" s="902"/>
      <c r="J78" s="843">
        <f>H78/DAY(B2)</f>
        <v>-20.64</v>
      </c>
      <c r="K78" s="924"/>
      <c r="L78" s="818"/>
      <c r="O78" s="845"/>
    </row>
    <row r="79" spans="1:15">
      <c r="A79" s="1658" t="s">
        <v>91</v>
      </c>
      <c r="B79" s="1659"/>
      <c r="C79" s="1660"/>
      <c r="D79" s="871" t="s">
        <v>186</v>
      </c>
      <c r="E79" s="839">
        <f>'24'!F79</f>
        <v>834544</v>
      </c>
      <c r="F79" s="930">
        <v>834684</v>
      </c>
      <c r="G79" s="840">
        <f t="shared" si="6"/>
        <v>140</v>
      </c>
      <c r="H79" s="841">
        <f>G79+'24'!H79</f>
        <v>280</v>
      </c>
      <c r="I79" s="902"/>
      <c r="J79" s="843">
        <f>H79/DAY(B2)</f>
        <v>11.2</v>
      </c>
      <c r="K79" s="924"/>
      <c r="L79" s="818"/>
      <c r="O79" s="845"/>
    </row>
    <row r="80" spans="1:15">
      <c r="A80" s="1658" t="s">
        <v>197</v>
      </c>
      <c r="B80" s="1659"/>
      <c r="C80" s="1660"/>
      <c r="D80" s="871" t="s">
        <v>186</v>
      </c>
      <c r="E80" s="839">
        <f>'24'!F80</f>
        <v>536609</v>
      </c>
      <c r="F80" s="930">
        <v>537015</v>
      </c>
      <c r="G80" s="840">
        <f t="shared" si="6"/>
        <v>406</v>
      </c>
      <c r="H80" s="841">
        <f>G80+'24'!H80</f>
        <v>2063.4799999999814</v>
      </c>
      <c r="I80" s="902"/>
      <c r="J80" s="843">
        <f>H80/DAY(B2)</f>
        <v>82.539199999999255</v>
      </c>
      <c r="K80" s="924"/>
      <c r="L80" s="818"/>
      <c r="O80" s="845"/>
    </row>
    <row r="81" spans="1:15">
      <c r="A81" s="1658" t="s">
        <v>198</v>
      </c>
      <c r="B81" s="1659"/>
      <c r="C81" s="1660"/>
      <c r="D81" s="871" t="s">
        <v>186</v>
      </c>
      <c r="E81" s="839">
        <f>'24'!F81</f>
        <v>642171</v>
      </c>
      <c r="F81" s="930">
        <v>642289</v>
      </c>
      <c r="G81" s="840">
        <f t="shared" si="6"/>
        <v>118</v>
      </c>
      <c r="H81" s="841">
        <f>G81+'24'!H81</f>
        <v>-696</v>
      </c>
      <c r="I81" s="902"/>
      <c r="J81" s="843">
        <f>H81/DAY(B2)</f>
        <v>-27.84</v>
      </c>
      <c r="K81" s="924"/>
      <c r="L81" s="818"/>
      <c r="O81" s="845"/>
    </row>
    <row r="82" spans="1:15">
      <c r="A82" s="1658" t="s">
        <v>92</v>
      </c>
      <c r="B82" s="1659"/>
      <c r="C82" s="1660"/>
      <c r="D82" s="872" t="s">
        <v>131</v>
      </c>
      <c r="E82" s="839">
        <f>'24'!F82</f>
        <v>108568</v>
      </c>
      <c r="F82" s="989">
        <v>108594</v>
      </c>
      <c r="G82" s="840">
        <f t="shared" si="6"/>
        <v>26</v>
      </c>
      <c r="H82" s="841">
        <f>G82+'24'!H82</f>
        <v>-87</v>
      </c>
      <c r="I82" s="873"/>
      <c r="J82" s="843">
        <f>H82/DAY(B2)</f>
        <v>-3.48</v>
      </c>
      <c r="K82" s="924"/>
      <c r="L82" s="818"/>
      <c r="N82" s="1006">
        <f>371*0.99</f>
        <v>367.29</v>
      </c>
      <c r="O82" s="845"/>
    </row>
    <row r="83" spans="1:15">
      <c r="A83" s="1658" t="s">
        <v>199</v>
      </c>
      <c r="B83" s="1659"/>
      <c r="C83" s="1660"/>
      <c r="D83" s="934" t="s">
        <v>131</v>
      </c>
      <c r="E83" s="839">
        <f>'24'!F83</f>
        <v>25772</v>
      </c>
      <c r="F83" s="1475">
        <v>25943</v>
      </c>
      <c r="G83" s="840">
        <f t="shared" si="6"/>
        <v>171</v>
      </c>
      <c r="H83" s="841">
        <f>G83+'24'!H83</f>
        <v>-1608</v>
      </c>
      <c r="I83" s="862"/>
      <c r="J83" s="843">
        <f>H83/DAY(B2)</f>
        <v>-64.319999999999993</v>
      </c>
      <c r="K83" s="865"/>
      <c r="L83" s="818"/>
      <c r="O83" s="845"/>
    </row>
    <row r="84" spans="1:15">
      <c r="A84" s="935" t="s">
        <v>200</v>
      </c>
      <c r="B84" s="936"/>
      <c r="C84" s="936"/>
      <c r="D84" s="856" t="s">
        <v>131</v>
      </c>
      <c r="E84" s="839">
        <f>'24'!F84</f>
        <v>518149</v>
      </c>
      <c r="F84" s="937">
        <v>518881</v>
      </c>
      <c r="G84" s="840">
        <f t="shared" si="6"/>
        <v>732</v>
      </c>
      <c r="H84" s="841">
        <f>G84+'24'!H84</f>
        <v>-4199</v>
      </c>
      <c r="I84" s="862"/>
      <c r="J84" s="843">
        <f>H84/DAY(B2)</f>
        <v>-167.96</v>
      </c>
      <c r="K84" s="938"/>
      <c r="L84" s="818"/>
      <c r="O84" s="845"/>
    </row>
    <row r="85" spans="1:15" s="942" customFormat="1">
      <c r="A85" s="939" t="s">
        <v>201</v>
      </c>
      <c r="B85" s="940"/>
      <c r="C85" s="940"/>
      <c r="D85" s="877"/>
      <c r="E85" s="839"/>
      <c r="F85" s="937"/>
      <c r="G85" s="841">
        <f xml:space="preserve"> SUM(G72:G84)</f>
        <v>1967</v>
      </c>
      <c r="H85" s="841">
        <f>G85+'24'!H85</f>
        <v>-97375.040000000008</v>
      </c>
      <c r="I85" s="862"/>
      <c r="J85" s="843">
        <f>H85/DAY(B2)</f>
        <v>-3895.0016000000005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'24'!F86</f>
        <v>461610</v>
      </c>
      <c r="F86" s="946">
        <v>461639</v>
      </c>
      <c r="G86" s="947">
        <f t="shared" ref="G86:G91" si="7">F86-E86</f>
        <v>29</v>
      </c>
      <c r="H86" s="947">
        <f t="shared" ref="H86:H88" si="8">G86</f>
        <v>29</v>
      </c>
      <c r="I86" s="948"/>
      <c r="J86" s="949">
        <f>H86/DAY(B2)</f>
        <v>1.1599999999999999</v>
      </c>
      <c r="K86" s="950"/>
      <c r="L86" s="951"/>
      <c r="N86" s="1010">
        <f>G86/0.995</f>
        <v>29.145728643216081</v>
      </c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'24'!F87</f>
        <v>81914</v>
      </c>
      <c r="F87" s="946">
        <v>81950</v>
      </c>
      <c r="G87" s="947">
        <f t="shared" si="7"/>
        <v>36</v>
      </c>
      <c r="H87" s="947">
        <f t="shared" si="8"/>
        <v>36</v>
      </c>
      <c r="I87" s="948"/>
      <c r="J87" s="949">
        <f>H87/DAY(B2)</f>
        <v>1.44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'24'!F88</f>
        <v>154692</v>
      </c>
      <c r="F88" s="946">
        <v>154823</v>
      </c>
      <c r="G88" s="947">
        <f t="shared" si="7"/>
        <v>131</v>
      </c>
      <c r="H88" s="947">
        <f t="shared" si="8"/>
        <v>131</v>
      </c>
      <c r="I88" s="948"/>
      <c r="J88" s="949">
        <f>H88/DAY(B2)</f>
        <v>5.24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'24'!F89</f>
        <v>65676</v>
      </c>
      <c r="F89" s="946">
        <v>65732</v>
      </c>
      <c r="G89" s="947">
        <f t="shared" si="7"/>
        <v>56</v>
      </c>
      <c r="H89" s="947">
        <f>G89</f>
        <v>56</v>
      </c>
      <c r="I89" s="948"/>
      <c r="J89" s="949">
        <f>H89/DAY(B2)</f>
        <v>2.2400000000000002</v>
      </c>
      <c r="K89" s="950"/>
      <c r="L89" s="951"/>
      <c r="N89" s="1016">
        <f>204/205</f>
        <v>0.99512195121951219</v>
      </c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'24'!F90</f>
        <v>3328</v>
      </c>
      <c r="F90" s="946">
        <v>3332</v>
      </c>
      <c r="G90" s="947">
        <f t="shared" si="7"/>
        <v>4</v>
      </c>
      <c r="H90" s="947">
        <f>G90</f>
        <v>4</v>
      </c>
      <c r="I90" s="948"/>
      <c r="J90" s="949">
        <f>H90/DAY(B2)</f>
        <v>0.16</v>
      </c>
      <c r="K90" s="950"/>
      <c r="L90" s="951"/>
      <c r="N90" s="1011"/>
      <c r="O90" s="845"/>
    </row>
    <row r="91" spans="1:15" s="1472" customFormat="1">
      <c r="A91" s="1466" t="s">
        <v>348</v>
      </c>
      <c r="B91" s="1467"/>
      <c r="C91" s="1467"/>
      <c r="D91" s="1468"/>
      <c r="E91" s="874">
        <f>'24'!F91</f>
        <v>28203</v>
      </c>
      <c r="F91" s="946">
        <v>28212</v>
      </c>
      <c r="G91" s="857">
        <f t="shared" si="7"/>
        <v>9</v>
      </c>
      <c r="H91" s="857">
        <f>G91</f>
        <v>9</v>
      </c>
      <c r="I91" s="1015"/>
      <c r="J91" s="1469"/>
      <c r="K91" s="1470"/>
      <c r="L91" s="1471"/>
      <c r="N91" s="1473"/>
      <c r="O91" s="1474"/>
    </row>
    <row r="92" spans="1:15" s="942" customFormat="1">
      <c r="A92" s="953" t="s">
        <v>204</v>
      </c>
      <c r="B92" s="833"/>
      <c r="C92" s="833"/>
      <c r="D92" s="833"/>
      <c r="E92" s="833"/>
      <c r="F92" s="937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49" t="s">
        <v>205</v>
      </c>
      <c r="B93" s="1650"/>
      <c r="C93" s="1651"/>
      <c r="D93" s="838" t="s">
        <v>143</v>
      </c>
      <c r="E93" s="839">
        <f>'24'!F93</f>
        <v>246860</v>
      </c>
      <c r="F93" s="989">
        <v>246939</v>
      </c>
      <c r="G93" s="840">
        <f t="shared" ref="G93:G94" si="9">F93-E93</f>
        <v>79</v>
      </c>
      <c r="H93" s="841">
        <f>G93+'24'!H93</f>
        <v>-413</v>
      </c>
      <c r="I93" s="859"/>
      <c r="J93" s="843">
        <f>H93/DAY(B2)</f>
        <v>-16.52</v>
      </c>
      <c r="K93" s="865"/>
      <c r="L93" s="818"/>
      <c r="O93" s="845"/>
    </row>
    <row r="94" spans="1:15">
      <c r="A94" s="1649" t="s">
        <v>206</v>
      </c>
      <c r="B94" s="1650"/>
      <c r="C94" s="1651"/>
      <c r="D94" s="838" t="s">
        <v>143</v>
      </c>
      <c r="E94" s="839">
        <f>'24'!F94</f>
        <v>188804</v>
      </c>
      <c r="F94" s="989">
        <v>188895</v>
      </c>
      <c r="G94" s="840">
        <f t="shared" si="9"/>
        <v>91</v>
      </c>
      <c r="H94" s="841">
        <f>G94+'24'!H94</f>
        <v>-559</v>
      </c>
      <c r="I94" s="859"/>
      <c r="J94" s="843">
        <f>H94/DAY(B2)</f>
        <v>-22.36</v>
      </c>
      <c r="K94" s="938"/>
      <c r="L94" s="818"/>
      <c r="O94" s="845"/>
    </row>
    <row r="95" spans="1:15">
      <c r="A95" s="1641" t="s">
        <v>207</v>
      </c>
      <c r="B95" s="1642"/>
      <c r="C95" s="1643"/>
      <c r="D95" s="838"/>
      <c r="E95" s="839">
        <f>'24'!F95</f>
        <v>0</v>
      </c>
      <c r="F95" s="989"/>
      <c r="G95" s="840">
        <f>G93+G94</f>
        <v>170</v>
      </c>
      <c r="H95" s="841">
        <f>G95+'24'!H95</f>
        <v>-1158</v>
      </c>
      <c r="I95" s="859"/>
      <c r="J95" s="843">
        <f>H95/DAY(B2)</f>
        <v>-46.32</v>
      </c>
      <c r="K95" s="938"/>
      <c r="L95" s="818"/>
      <c r="O95" s="845"/>
    </row>
    <row r="96" spans="1:15">
      <c r="A96" s="1649" t="s">
        <v>208</v>
      </c>
      <c r="B96" s="1650"/>
      <c r="C96" s="1651"/>
      <c r="D96" s="838" t="s">
        <v>143</v>
      </c>
      <c r="E96" s="839">
        <f>'24'!F96</f>
        <v>415606</v>
      </c>
      <c r="F96" s="989">
        <v>415676</v>
      </c>
      <c r="G96" s="840">
        <f t="shared" ref="G96:G101" si="10">F96-E96</f>
        <v>70</v>
      </c>
      <c r="H96" s="841">
        <f>G96+'24'!H96</f>
        <v>-323</v>
      </c>
      <c r="I96" s="859"/>
      <c r="J96" s="843">
        <f>H96/DAY(B2)</f>
        <v>-12.92</v>
      </c>
      <c r="K96" s="938"/>
      <c r="L96" s="818"/>
      <c r="O96" s="845"/>
    </row>
    <row r="97" spans="1:15">
      <c r="A97" s="866" t="s">
        <v>209</v>
      </c>
      <c r="B97" s="867"/>
      <c r="C97" s="867"/>
      <c r="D97" s="838" t="s">
        <v>143</v>
      </c>
      <c r="E97" s="839">
        <f>'24'!F97</f>
        <v>103029</v>
      </c>
      <c r="F97" s="989">
        <v>103050</v>
      </c>
      <c r="G97" s="840">
        <f t="shared" si="10"/>
        <v>21</v>
      </c>
      <c r="H97" s="841">
        <f>G97+'24'!H97</f>
        <v>-113</v>
      </c>
      <c r="I97" s="859"/>
      <c r="J97" s="843">
        <f>H97/DAY(B2)</f>
        <v>-4.5199999999999996</v>
      </c>
      <c r="K97" s="835"/>
      <c r="L97" s="818"/>
      <c r="O97" s="845"/>
    </row>
    <row r="98" spans="1:15">
      <c r="A98" s="866" t="s">
        <v>210</v>
      </c>
      <c r="B98" s="867"/>
      <c r="C98" s="867"/>
      <c r="D98" s="838" t="s">
        <v>143</v>
      </c>
      <c r="E98" s="839">
        <f>'24'!F98</f>
        <v>98512</v>
      </c>
      <c r="F98" s="989">
        <v>98531</v>
      </c>
      <c r="G98" s="840">
        <f t="shared" si="10"/>
        <v>19</v>
      </c>
      <c r="H98" s="841">
        <f>G98+'24'!H98</f>
        <v>-126</v>
      </c>
      <c r="I98" s="859"/>
      <c r="J98" s="843">
        <f>H98/DAY(B2)</f>
        <v>-5.04</v>
      </c>
      <c r="K98" s="954"/>
      <c r="L98" s="818"/>
      <c r="O98" s="845"/>
    </row>
    <row r="99" spans="1:15">
      <c r="A99" s="866" t="s">
        <v>211</v>
      </c>
      <c r="B99" s="867"/>
      <c r="C99" s="867"/>
      <c r="D99" s="838" t="s">
        <v>143</v>
      </c>
      <c r="E99" s="839">
        <f>'24'!F99</f>
        <v>150186</v>
      </c>
      <c r="F99" s="989">
        <v>150214</v>
      </c>
      <c r="G99" s="840">
        <f t="shared" si="10"/>
        <v>28</v>
      </c>
      <c r="H99" s="841">
        <f>G99+'24'!H99</f>
        <v>-191</v>
      </c>
      <c r="I99" s="859"/>
      <c r="J99" s="843">
        <f>H99/DAY(B2)</f>
        <v>-7.64</v>
      </c>
      <c r="K99" s="938"/>
      <c r="L99" s="818"/>
      <c r="O99" s="845"/>
    </row>
    <row r="100" spans="1:15">
      <c r="A100" s="866" t="s">
        <v>212</v>
      </c>
      <c r="B100" s="867"/>
      <c r="C100" s="867"/>
      <c r="D100" s="838" t="s">
        <v>143</v>
      </c>
      <c r="E100" s="839">
        <f>'24'!F100</f>
        <v>7662</v>
      </c>
      <c r="F100" s="989">
        <v>7687</v>
      </c>
      <c r="G100" s="840">
        <f t="shared" si="10"/>
        <v>25</v>
      </c>
      <c r="H100" s="841">
        <f>G100+'24'!H100</f>
        <v>-110</v>
      </c>
      <c r="I100" s="859"/>
      <c r="J100" s="843">
        <f>H100/DAY(B2)</f>
        <v>-4.4000000000000004</v>
      </c>
      <c r="K100" s="938"/>
      <c r="L100" s="818"/>
      <c r="O100" s="845"/>
    </row>
    <row r="101" spans="1:15">
      <c r="A101" s="866" t="s">
        <v>213</v>
      </c>
      <c r="B101" s="867"/>
      <c r="C101" s="867"/>
      <c r="D101" s="838" t="s">
        <v>143</v>
      </c>
      <c r="E101" s="839">
        <f>'24'!F101</f>
        <v>5598</v>
      </c>
      <c r="F101" s="989">
        <v>5604</v>
      </c>
      <c r="G101" s="840">
        <f t="shared" si="10"/>
        <v>6</v>
      </c>
      <c r="H101" s="841">
        <f>G101+'24'!H101</f>
        <v>-70</v>
      </c>
      <c r="I101" s="859"/>
      <c r="J101" s="843">
        <f>H101/DAY(B2)</f>
        <v>-2.8</v>
      </c>
      <c r="K101" s="938"/>
      <c r="L101" s="818"/>
      <c r="O101" s="845"/>
    </row>
    <row r="102" spans="1:15">
      <c r="A102" s="1641" t="s">
        <v>215</v>
      </c>
      <c r="B102" s="1642"/>
      <c r="C102" s="1643"/>
      <c r="D102" s="871"/>
      <c r="E102" s="871"/>
      <c r="F102" s="937"/>
      <c r="G102" s="955">
        <f>SUM(G96:G101)</f>
        <v>169</v>
      </c>
      <c r="H102" s="841">
        <f>G102+'24'!H102</f>
        <v>-933</v>
      </c>
      <c r="I102" s="956"/>
      <c r="J102" s="843">
        <f>H102/DAY(B2)</f>
        <v>-37.32</v>
      </c>
      <c r="K102" s="938"/>
      <c r="L102" s="818"/>
      <c r="O102" s="845"/>
    </row>
    <row r="103" spans="1:15" s="889" customFormat="1">
      <c r="A103" s="957" t="s">
        <v>216</v>
      </c>
      <c r="B103" s="958"/>
      <c r="C103" s="958"/>
      <c r="D103" s="959"/>
      <c r="E103" s="960"/>
      <c r="F103" s="1485"/>
      <c r="G103" s="962"/>
      <c r="H103" s="963"/>
      <c r="I103" s="964"/>
      <c r="J103" s="965"/>
      <c r="N103" s="1007"/>
      <c r="O103" s="845"/>
    </row>
    <row r="104" spans="1:15" s="889" customFormat="1">
      <c r="A104" s="1638" t="s">
        <v>217</v>
      </c>
      <c r="B104" s="1639"/>
      <c r="C104" s="966"/>
      <c r="D104" s="967"/>
      <c r="E104" s="968"/>
      <c r="F104" s="972"/>
      <c r="G104" s="968"/>
      <c r="H104" s="969"/>
      <c r="I104" s="968"/>
      <c r="J104" s="970"/>
      <c r="N104" s="1007"/>
      <c r="O104" s="845"/>
    </row>
    <row r="105" spans="1:15" s="889" customFormat="1">
      <c r="A105" s="1632" t="s">
        <v>218</v>
      </c>
      <c r="B105" s="1633"/>
      <c r="C105" s="971"/>
      <c r="D105" s="967" t="s">
        <v>143</v>
      </c>
      <c r="E105" s="968">
        <f>'24'!F105</f>
        <v>7637</v>
      </c>
      <c r="F105" s="972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2.7751999999999679</v>
      </c>
      <c r="N105" s="1007"/>
      <c r="O105" s="845"/>
    </row>
    <row r="106" spans="1:15" s="889" customFormat="1">
      <c r="A106" s="1632" t="s">
        <v>76</v>
      </c>
      <c r="B106" s="1633"/>
      <c r="C106" s="971"/>
      <c r="D106" s="967" t="s">
        <v>143</v>
      </c>
      <c r="E106" s="968">
        <f>'24'!F106</f>
        <v>36116</v>
      </c>
      <c r="F106" s="972">
        <v>36121</v>
      </c>
      <c r="G106" s="968">
        <f t="shared" ref="G106:G107" si="11">F106-E106</f>
        <v>5</v>
      </c>
      <c r="H106" s="969">
        <f>SUM(G106+'1'!G77)</f>
        <v>58</v>
      </c>
      <c r="I106" s="968"/>
      <c r="J106" s="970">
        <f>H106/DAY(B2)</f>
        <v>2.3199999999999998</v>
      </c>
      <c r="N106" s="1007"/>
      <c r="O106" s="845"/>
    </row>
    <row r="107" spans="1:15" s="889" customFormat="1">
      <c r="A107" s="1632" t="s">
        <v>77</v>
      </c>
      <c r="B107" s="1640"/>
      <c r="C107" s="1633"/>
      <c r="D107" s="967" t="s">
        <v>143</v>
      </c>
      <c r="E107" s="968">
        <f>'24'!F107</f>
        <v>19795</v>
      </c>
      <c r="F107" s="972">
        <v>19800</v>
      </c>
      <c r="G107" s="968">
        <f t="shared" si="11"/>
        <v>5</v>
      </c>
      <c r="H107" s="969">
        <f>SUM(G107+'1'!G78)</f>
        <v>119</v>
      </c>
      <c r="I107" s="968"/>
      <c r="J107" s="970">
        <f>H107/DAY(B2)</f>
        <v>4.76</v>
      </c>
      <c r="N107" s="1007"/>
      <c r="O107" s="845"/>
    </row>
    <row r="108" spans="1:15" s="889" customFormat="1">
      <c r="A108" s="1634" t="s">
        <v>201</v>
      </c>
      <c r="B108" s="1635"/>
      <c r="C108" s="971"/>
      <c r="D108" s="967"/>
      <c r="E108" s="968">
        <f>'24'!F108</f>
        <v>0</v>
      </c>
      <c r="F108" s="972"/>
      <c r="G108" s="968">
        <f>SUM(G105:G107)</f>
        <v>10</v>
      </c>
      <c r="H108" s="969">
        <f>SUM(G108+'1'!G79)</f>
        <v>163</v>
      </c>
      <c r="I108" s="968"/>
      <c r="J108" s="970">
        <f>H108/DAY(B2)</f>
        <v>6.52</v>
      </c>
      <c r="N108" s="1007"/>
      <c r="O108" s="845"/>
    </row>
    <row r="109" spans="1:15" s="889" customFormat="1">
      <c r="A109" s="1630" t="s">
        <v>78</v>
      </c>
      <c r="B109" s="1631"/>
      <c r="C109" s="971"/>
      <c r="D109" s="967" t="s">
        <v>143</v>
      </c>
      <c r="E109" s="968">
        <f>'24'!F109</f>
        <v>0</v>
      </c>
      <c r="F109" s="972"/>
      <c r="G109" s="968"/>
      <c r="H109" s="969"/>
      <c r="I109" s="968"/>
      <c r="J109" s="970"/>
      <c r="N109" s="1007"/>
      <c r="O109" s="845"/>
    </row>
    <row r="110" spans="1:15" s="889" customFormat="1">
      <c r="A110" s="1632" t="s">
        <v>219</v>
      </c>
      <c r="B110" s="1633"/>
      <c r="C110" s="971"/>
      <c r="D110" s="967" t="s">
        <v>143</v>
      </c>
      <c r="E110" s="968">
        <f>'24'!F110</f>
        <v>64441</v>
      </c>
      <c r="F110" s="972">
        <v>64486</v>
      </c>
      <c r="G110" s="968">
        <f>F110-E110</f>
        <v>45</v>
      </c>
      <c r="H110" s="969">
        <f>SUM(G110+'1'!G81)</f>
        <v>176.64000000001397</v>
      </c>
      <c r="I110" s="968"/>
      <c r="J110" s="970">
        <f>H110/DAY(B2)</f>
        <v>7.0656000000005585</v>
      </c>
      <c r="N110" s="1007"/>
      <c r="O110" s="845"/>
    </row>
    <row r="111" spans="1:15" s="889" customFormat="1">
      <c r="A111" s="1632" t="s">
        <v>220</v>
      </c>
      <c r="B111" s="1633"/>
      <c r="C111" s="971"/>
      <c r="D111" s="967" t="s">
        <v>143</v>
      </c>
      <c r="E111" s="968">
        <f>'24'!F111</f>
        <v>32909</v>
      </c>
      <c r="F111" s="972">
        <v>32925</v>
      </c>
      <c r="G111" s="968">
        <f t="shared" ref="G111:G112" si="12">F111-E111</f>
        <v>16</v>
      </c>
      <c r="H111" s="969">
        <f>SUM(G111+'1'!G82)</f>
        <v>40.899999999994179</v>
      </c>
      <c r="I111" s="968"/>
      <c r="J111" s="970">
        <f>H111/DAY(B2)</f>
        <v>1.6359999999997672</v>
      </c>
      <c r="N111" s="1007"/>
      <c r="O111" s="845"/>
    </row>
    <row r="112" spans="1:15" s="889" customFormat="1">
      <c r="A112" s="1632" t="s">
        <v>221</v>
      </c>
      <c r="B112" s="1633"/>
      <c r="C112" s="971"/>
      <c r="D112" s="967" t="s">
        <v>143</v>
      </c>
      <c r="E112" s="968">
        <f>'24'!F112</f>
        <v>4621</v>
      </c>
      <c r="F112" s="972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14.04</v>
      </c>
      <c r="N112" s="1007"/>
      <c r="O112" s="845"/>
    </row>
    <row r="113" spans="1:15" s="889" customFormat="1">
      <c r="A113" s="1636" t="s">
        <v>109</v>
      </c>
      <c r="B113" s="1637"/>
      <c r="C113" s="971"/>
      <c r="D113" s="967"/>
      <c r="E113" s="968">
        <f>'24'!F113</f>
        <v>0</v>
      </c>
      <c r="F113" s="972"/>
      <c r="G113" s="968">
        <f>SUM(G110:G112)</f>
        <v>61</v>
      </c>
      <c r="H113" s="969">
        <f>SUM(G113+'1'!G84)</f>
        <v>877</v>
      </c>
      <c r="I113" s="968"/>
      <c r="J113" s="970">
        <f>H113/DAY(B2)</f>
        <v>35.08</v>
      </c>
      <c r="N113" s="1007"/>
      <c r="O113" s="845"/>
    </row>
    <row r="114" spans="1:15" s="889" customFormat="1">
      <c r="A114" s="1630" t="s">
        <v>222</v>
      </c>
      <c r="B114" s="1631"/>
      <c r="C114" s="971"/>
      <c r="D114" s="967"/>
      <c r="E114" s="968">
        <f>'24'!F114</f>
        <v>0</v>
      </c>
      <c r="F114" s="972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32" t="s">
        <v>223</v>
      </c>
      <c r="B115" s="1633"/>
      <c r="C115" s="973"/>
      <c r="D115" s="967" t="s">
        <v>143</v>
      </c>
      <c r="E115" s="968">
        <f>'24'!F115</f>
        <v>11857</v>
      </c>
      <c r="F115" s="972">
        <v>11886</v>
      </c>
      <c r="G115" s="972">
        <f>F115-E115</f>
        <v>29</v>
      </c>
      <c r="H115" s="969">
        <f>SUM(G115+'1'!G92)</f>
        <v>29</v>
      </c>
      <c r="I115" s="968"/>
      <c r="J115" s="970">
        <f>H115/DAY(B2)</f>
        <v>1.1599999999999999</v>
      </c>
      <c r="N115" s="1007"/>
      <c r="O115" s="845"/>
    </row>
    <row r="116" spans="1:15" s="889" customFormat="1">
      <c r="A116" s="1632" t="s">
        <v>224</v>
      </c>
      <c r="B116" s="1633"/>
      <c r="C116" s="973"/>
      <c r="D116" s="967" t="s">
        <v>143</v>
      </c>
      <c r="E116" s="968">
        <f>'24'!F116</f>
        <v>8494</v>
      </c>
      <c r="F116" s="972">
        <v>8498</v>
      </c>
      <c r="G116" s="972">
        <f t="shared" ref="G116:G117" si="13">F116-E116</f>
        <v>4</v>
      </c>
      <c r="H116" s="969">
        <f>SUM(G116+'1'!G93)</f>
        <v>93</v>
      </c>
      <c r="I116" s="968"/>
      <c r="J116" s="970">
        <f>H116/DAY(B2)</f>
        <v>3.72</v>
      </c>
      <c r="N116" s="1007"/>
      <c r="O116" s="845"/>
    </row>
    <row r="117" spans="1:15" s="889" customFormat="1">
      <c r="A117" s="1632" t="s">
        <v>225</v>
      </c>
      <c r="B117" s="1633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3.88</v>
      </c>
      <c r="N117" s="1007"/>
      <c r="O117" s="845"/>
    </row>
    <row r="118" spans="1:15" s="975" customFormat="1">
      <c r="A118" s="1634" t="s">
        <v>201</v>
      </c>
      <c r="B118" s="1635"/>
      <c r="C118" s="973"/>
      <c r="D118" s="974"/>
      <c r="E118" s="972"/>
      <c r="F118" s="972"/>
      <c r="G118" s="972">
        <f>SUM(G115:G117)</f>
        <v>33</v>
      </c>
      <c r="H118" s="969">
        <f>SUM(G118+'1'!G96)</f>
        <v>119</v>
      </c>
      <c r="I118" s="972"/>
      <c r="J118" s="970">
        <f>H118/DAY(B2)</f>
        <v>4.76</v>
      </c>
      <c r="N118" s="1012"/>
      <c r="O118" s="845"/>
    </row>
    <row r="119" spans="1:15" s="768" customFormat="1">
      <c r="A119" s="1626" t="s">
        <v>226</v>
      </c>
      <c r="B119" s="1627"/>
      <c r="C119" s="976"/>
      <c r="D119" s="977" t="s">
        <v>143</v>
      </c>
      <c r="E119" s="978"/>
      <c r="F119" s="979"/>
      <c r="G119" s="979">
        <f>SUM(G19+G93)</f>
        <v>139</v>
      </c>
      <c r="H119" s="969">
        <f>SUM(G119+'1'!G97)</f>
        <v>156</v>
      </c>
      <c r="I119" s="978"/>
      <c r="J119" s="980">
        <f>H119/DAY(B2)</f>
        <v>6.24</v>
      </c>
      <c r="N119" s="1013"/>
      <c r="O119" s="845"/>
    </row>
    <row r="120" spans="1:15" s="768" customFormat="1">
      <c r="A120" s="1626" t="s">
        <v>227</v>
      </c>
      <c r="B120" s="1627"/>
      <c r="C120" s="976"/>
      <c r="D120" s="977" t="s">
        <v>143</v>
      </c>
      <c r="E120" s="978"/>
      <c r="F120" s="979"/>
      <c r="G120" s="979">
        <f>SUM(G96,G97,G98,G100,G101)</f>
        <v>141</v>
      </c>
      <c r="H120" s="969">
        <f>SUM(G120+'1'!G99)</f>
        <v>191</v>
      </c>
      <c r="I120" s="978"/>
      <c r="J120" s="980">
        <f>H120/DAY(B2)</f>
        <v>7.64</v>
      </c>
      <c r="N120" s="1013"/>
      <c r="O120" s="845"/>
    </row>
    <row r="121" spans="1:15" s="768" customFormat="1">
      <c r="A121" s="1626" t="s">
        <v>228</v>
      </c>
      <c r="B121" s="1627"/>
      <c r="C121" s="976"/>
      <c r="D121" s="977" t="s">
        <v>143</v>
      </c>
      <c r="E121" s="978"/>
      <c r="F121" s="972"/>
      <c r="G121" s="972">
        <f>SUM(G113)</f>
        <v>61</v>
      </c>
      <c r="H121" s="969">
        <f>SUM(G121+'1'!G101)</f>
        <v>66</v>
      </c>
      <c r="I121" s="978"/>
      <c r="J121" s="980">
        <f>H121/DAY(B2)</f>
        <v>2.64</v>
      </c>
      <c r="N121" s="1013"/>
      <c r="O121" s="845"/>
    </row>
    <row r="122" spans="1:15" s="889" customFormat="1">
      <c r="A122" s="1628"/>
      <c r="B122" s="1629"/>
      <c r="C122" s="971"/>
      <c r="D122" s="966"/>
      <c r="E122" s="966"/>
      <c r="F122" s="1486"/>
      <c r="G122" s="966"/>
      <c r="H122" s="981"/>
      <c r="I122" s="966"/>
      <c r="J122" s="982"/>
      <c r="N122" s="1007"/>
      <c r="O122" s="845"/>
    </row>
    <row r="123" spans="1:15">
      <c r="A123" s="1644" t="s">
        <v>229</v>
      </c>
      <c r="B123" s="1645"/>
      <c r="C123" s="1646"/>
      <c r="D123" s="833"/>
      <c r="E123" s="833"/>
      <c r="F123" s="937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230</v>
      </c>
      <c r="B124" s="867"/>
      <c r="C124" s="867"/>
      <c r="D124" s="838" t="s">
        <v>140</v>
      </c>
      <c r="E124" s="839">
        <f>'24'!F124</f>
        <v>837997</v>
      </c>
      <c r="F124" s="1477">
        <v>838262</v>
      </c>
      <c r="G124" s="840">
        <f t="shared" ref="G124:G128" si="14">F124-E124</f>
        <v>265</v>
      </c>
      <c r="H124" s="841">
        <f>G124+'24'!H124</f>
        <v>-1408</v>
      </c>
      <c r="I124" s="956"/>
      <c r="J124" s="843">
        <f>H124/DAY(B2)</f>
        <v>-56.32</v>
      </c>
      <c r="K124" s="938"/>
      <c r="L124" s="818"/>
      <c r="O124" s="845"/>
    </row>
    <row r="125" spans="1:15">
      <c r="A125" s="866" t="s">
        <v>231</v>
      </c>
      <c r="B125" s="867"/>
      <c r="C125" s="867"/>
      <c r="D125" s="838" t="s">
        <v>140</v>
      </c>
      <c r="E125" s="839">
        <f>'24'!F125</f>
        <v>73583</v>
      </c>
      <c r="F125" s="1477">
        <v>73583</v>
      </c>
      <c r="G125" s="840">
        <f t="shared" si="14"/>
        <v>0</v>
      </c>
      <c r="H125" s="841">
        <f>G125+'24'!H125</f>
        <v>-0.39999999999417923</v>
      </c>
      <c r="I125" s="956"/>
      <c r="J125" s="843">
        <f>H125/DAY(B2)</f>
        <v>-1.5999999999767169E-2</v>
      </c>
      <c r="K125" s="938"/>
      <c r="L125" s="818"/>
      <c r="O125" s="845"/>
    </row>
    <row r="126" spans="1:15">
      <c r="A126" s="1655" t="s">
        <v>232</v>
      </c>
      <c r="B126" s="1656"/>
      <c r="C126" s="1657"/>
      <c r="D126" s="838" t="s">
        <v>140</v>
      </c>
      <c r="E126" s="839">
        <f>'24'!F126</f>
        <v>148126</v>
      </c>
      <c r="F126" s="1477">
        <v>148196</v>
      </c>
      <c r="G126" s="840">
        <f t="shared" si="14"/>
        <v>70</v>
      </c>
      <c r="H126" s="841">
        <f>G126+'24'!H126</f>
        <v>-401</v>
      </c>
      <c r="I126" s="956"/>
      <c r="J126" s="843">
        <f>H126/DAY(B2)</f>
        <v>-16.04</v>
      </c>
      <c r="K126" s="938"/>
      <c r="L126" s="818"/>
      <c r="O126" s="845"/>
    </row>
    <row r="127" spans="1:15">
      <c r="A127" s="985" t="s">
        <v>233</v>
      </c>
      <c r="B127" s="867"/>
      <c r="C127" s="867"/>
      <c r="D127" s="838" t="s">
        <v>140</v>
      </c>
      <c r="E127" s="839">
        <f>'24'!F127</f>
        <v>31863</v>
      </c>
      <c r="F127" s="1477">
        <v>31902</v>
      </c>
      <c r="G127" s="840">
        <f t="shared" si="14"/>
        <v>39</v>
      </c>
      <c r="H127" s="841">
        <f>G127+'24'!H127</f>
        <v>-169</v>
      </c>
      <c r="I127" s="956"/>
      <c r="J127" s="843">
        <f>H127/DAY(B2)</f>
        <v>-6.76</v>
      </c>
      <c r="K127" s="938"/>
      <c r="L127" s="818"/>
      <c r="O127" s="845"/>
    </row>
    <row r="128" spans="1:15">
      <c r="A128" s="985" t="s">
        <v>234</v>
      </c>
      <c r="B128" s="867"/>
      <c r="C128" s="867"/>
      <c r="D128" s="838" t="s">
        <v>140</v>
      </c>
      <c r="E128" s="839">
        <f>'24'!F128</f>
        <v>8990</v>
      </c>
      <c r="F128" s="1477">
        <v>8990</v>
      </c>
      <c r="G128" s="840">
        <f t="shared" si="14"/>
        <v>0</v>
      </c>
      <c r="H128" s="841">
        <f>G128+'24'!H128</f>
        <v>-22</v>
      </c>
      <c r="I128" s="859"/>
      <c r="J128" s="843">
        <f>H128/DAY(B2)</f>
        <v>-0.88</v>
      </c>
      <c r="K128" s="938"/>
      <c r="L128" s="818"/>
      <c r="O128" s="845"/>
    </row>
    <row r="129" spans="1:16">
      <c r="A129" s="985" t="s">
        <v>235</v>
      </c>
      <c r="B129" s="867"/>
      <c r="C129" s="867"/>
      <c r="D129" s="838"/>
      <c r="E129" s="839"/>
      <c r="F129" s="1477"/>
      <c r="G129" s="840">
        <f>G15-SUM(G124:G128)</f>
        <v>326</v>
      </c>
      <c r="H129" s="841">
        <f>G129+'24'!H129</f>
        <v>3045.3999999999942</v>
      </c>
      <c r="I129" s="859"/>
      <c r="J129" s="843">
        <f>H129/DAY(B2)</f>
        <v>121.81599999999976</v>
      </c>
      <c r="K129" s="938"/>
      <c r="L129" s="818"/>
      <c r="O129" s="845"/>
    </row>
    <row r="130" spans="1:16">
      <c r="A130" s="986" t="s">
        <v>236</v>
      </c>
      <c r="B130" s="832"/>
      <c r="C130" s="832"/>
      <c r="D130" s="832"/>
      <c r="E130" s="832"/>
      <c r="F130" s="1475"/>
      <c r="G130" s="987"/>
      <c r="H130" s="987"/>
      <c r="I130" s="987"/>
      <c r="J130" s="988"/>
      <c r="O130" s="845"/>
    </row>
    <row r="131" spans="1:16">
      <c r="A131" s="866" t="s">
        <v>237</v>
      </c>
      <c r="B131" s="867"/>
      <c r="C131" s="867"/>
      <c r="D131" s="838" t="s">
        <v>238</v>
      </c>
      <c r="E131" s="839">
        <f>'24'!F131</f>
        <v>0</v>
      </c>
      <c r="F131" s="989">
        <v>0</v>
      </c>
      <c r="G131" s="840">
        <f t="shared" ref="G131:G141" si="15">F131-E131</f>
        <v>0</v>
      </c>
      <c r="H131" s="841">
        <f>G131+'24'!H131</f>
        <v>0</v>
      </c>
      <c r="I131" s="859"/>
      <c r="J131" s="843">
        <f>H131/DAY(B2)</f>
        <v>0</v>
      </c>
      <c r="O131" s="845"/>
    </row>
    <row r="132" spans="1:16">
      <c r="A132" s="866" t="s">
        <v>239</v>
      </c>
      <c r="B132" s="867"/>
      <c r="C132" s="867"/>
      <c r="D132" s="838" t="s">
        <v>238</v>
      </c>
      <c r="E132" s="839">
        <f>'24'!F132</f>
        <v>0</v>
      </c>
      <c r="F132" s="989">
        <v>0</v>
      </c>
      <c r="G132" s="840">
        <f t="shared" si="15"/>
        <v>0</v>
      </c>
      <c r="H132" s="841">
        <f>G132+'24'!H132</f>
        <v>0</v>
      </c>
      <c r="I132" s="859"/>
      <c r="J132" s="843">
        <f>H132/DAY(B2)</f>
        <v>0</v>
      </c>
      <c r="O132" s="845"/>
    </row>
    <row r="133" spans="1:16">
      <c r="A133" s="866" t="s">
        <v>240</v>
      </c>
      <c r="B133" s="867"/>
      <c r="C133" s="867"/>
      <c r="D133" s="838" t="s">
        <v>238</v>
      </c>
      <c r="E133" s="839">
        <f>'24'!F133</f>
        <v>40365</v>
      </c>
      <c r="F133" s="989">
        <v>40365</v>
      </c>
      <c r="G133" s="840">
        <f t="shared" si="15"/>
        <v>0</v>
      </c>
      <c r="H133" s="841">
        <f>G133+'24'!H133</f>
        <v>-88</v>
      </c>
      <c r="I133" s="859"/>
      <c r="J133" s="843">
        <f>H133/DAY(B2)</f>
        <v>-3.52</v>
      </c>
      <c r="O133" s="845"/>
      <c r="P133" s="805">
        <f>49-24</f>
        <v>25</v>
      </c>
    </row>
    <row r="134" spans="1:16">
      <c r="A134" s="866" t="s">
        <v>241</v>
      </c>
      <c r="B134" s="867"/>
      <c r="C134" s="867"/>
      <c r="D134" s="838" t="s">
        <v>238</v>
      </c>
      <c r="E134" s="839">
        <f>'24'!F134</f>
        <v>300</v>
      </c>
      <c r="F134" s="989">
        <v>300</v>
      </c>
      <c r="G134" s="840">
        <f t="shared" si="15"/>
        <v>0</v>
      </c>
      <c r="H134" s="841">
        <f>G134+'24'!H134</f>
        <v>0</v>
      </c>
      <c r="I134" s="859">
        <f>G131+G132+G133+G134</f>
        <v>0</v>
      </c>
      <c r="J134" s="843">
        <f>H134/DAY(B2)</f>
        <v>0</v>
      </c>
      <c r="O134" s="845"/>
    </row>
    <row r="135" spans="1:16">
      <c r="A135" s="866" t="s">
        <v>242</v>
      </c>
      <c r="B135" s="867"/>
      <c r="C135" s="867"/>
      <c r="D135" s="838" t="s">
        <v>238</v>
      </c>
      <c r="E135" s="839">
        <f>'24'!F135</f>
        <v>41887</v>
      </c>
      <c r="F135" s="989">
        <v>41911.449999999997</v>
      </c>
      <c r="G135" s="840">
        <f t="shared" si="15"/>
        <v>24.44999999999709</v>
      </c>
      <c r="H135" s="841">
        <f>G135+'24'!H135</f>
        <v>72.009999999994761</v>
      </c>
      <c r="I135" s="859"/>
      <c r="J135" s="843">
        <f>H135/DAY(B2)</f>
        <v>2.8803999999997902</v>
      </c>
      <c r="O135" s="845"/>
    </row>
    <row r="136" spans="1:16">
      <c r="A136" s="866" t="s">
        <v>243</v>
      </c>
      <c r="B136" s="867"/>
      <c r="C136" s="867"/>
      <c r="D136" s="838" t="s">
        <v>238</v>
      </c>
      <c r="E136" s="839">
        <f>'24'!F136</f>
        <v>32874</v>
      </c>
      <c r="F136" s="989">
        <v>32874</v>
      </c>
      <c r="G136" s="840">
        <f t="shared" si="15"/>
        <v>0</v>
      </c>
      <c r="H136" s="841">
        <f>G136+'24'!H136</f>
        <v>12.94999999999709</v>
      </c>
      <c r="I136" s="859"/>
      <c r="J136" s="843">
        <f>H136/DAY(B2)</f>
        <v>0.51799999999988355</v>
      </c>
      <c r="O136" s="845"/>
    </row>
    <row r="137" spans="1:16">
      <c r="A137" s="866" t="s">
        <v>244</v>
      </c>
      <c r="B137" s="867"/>
      <c r="C137" s="867"/>
      <c r="D137" s="838" t="s">
        <v>238</v>
      </c>
      <c r="E137" s="839">
        <f>'24'!F137</f>
        <v>22861</v>
      </c>
      <c r="F137" s="989">
        <v>22865.54</v>
      </c>
      <c r="G137" s="840">
        <f t="shared" si="15"/>
        <v>4.5400000000008731</v>
      </c>
      <c r="H137" s="841">
        <f>G137+'24'!H137</f>
        <v>-25.950000000000728</v>
      </c>
      <c r="I137" s="859">
        <f>G135+G136+G137</f>
        <v>28.989999999997963</v>
      </c>
      <c r="J137" s="843">
        <f>H137/DAY(B2)</f>
        <v>-1.0380000000000291</v>
      </c>
      <c r="O137" s="845"/>
    </row>
    <row r="138" spans="1:16">
      <c r="A138" s="866" t="s">
        <v>245</v>
      </c>
      <c r="B138" s="867"/>
      <c r="C138" s="867"/>
      <c r="D138" s="838" t="s">
        <v>238</v>
      </c>
      <c r="E138" s="839">
        <f>'24'!F138</f>
        <v>25091.39</v>
      </c>
      <c r="F138" s="989">
        <v>25091</v>
      </c>
      <c r="G138" s="840">
        <f t="shared" si="15"/>
        <v>-0.38999999999941792</v>
      </c>
      <c r="H138" s="841">
        <f>G138+'24'!H138</f>
        <v>17.110000000000582</v>
      </c>
      <c r="I138" s="859"/>
      <c r="J138" s="843">
        <f>H138/DAY(B2)</f>
        <v>0.68440000000002332</v>
      </c>
      <c r="O138" s="845"/>
    </row>
    <row r="139" spans="1:16">
      <c r="A139" s="866" t="s">
        <v>246</v>
      </c>
      <c r="B139" s="867"/>
      <c r="C139" s="867"/>
      <c r="D139" s="838" t="s">
        <v>238</v>
      </c>
      <c r="E139" s="839">
        <f>'24'!F139</f>
        <v>70497.78</v>
      </c>
      <c r="F139" s="989">
        <v>70503.92</v>
      </c>
      <c r="G139" s="840">
        <f t="shared" si="15"/>
        <v>6.1399999999994179</v>
      </c>
      <c r="H139" s="841">
        <f>G139+'24'!H139</f>
        <v>22.190000000002328</v>
      </c>
      <c r="I139" s="859">
        <f>G138+G139</f>
        <v>5.75</v>
      </c>
      <c r="J139" s="843">
        <f>H139/DAY(B2)</f>
        <v>0.88760000000009309</v>
      </c>
      <c r="O139" s="845"/>
    </row>
    <row r="140" spans="1:16">
      <c r="A140" s="866" t="s">
        <v>247</v>
      </c>
      <c r="B140" s="867"/>
      <c r="C140" s="867"/>
      <c r="D140" s="838" t="s">
        <v>238</v>
      </c>
      <c r="E140" s="839">
        <f>'24'!F140</f>
        <v>2067.64</v>
      </c>
      <c r="F140" s="989">
        <v>2077</v>
      </c>
      <c r="G140" s="840">
        <f t="shared" si="15"/>
        <v>9.3600000000001273</v>
      </c>
      <c r="H140" s="841">
        <f>G140+'24'!H140</f>
        <v>-52.179999999999836</v>
      </c>
      <c r="I140" s="990"/>
      <c r="J140" s="843">
        <f>H140/DAY(B2)</f>
        <v>-2.0871999999999935</v>
      </c>
      <c r="O140" s="845"/>
    </row>
    <row r="141" spans="1:16">
      <c r="A141" s="866" t="s">
        <v>248</v>
      </c>
      <c r="B141" s="867"/>
      <c r="C141" s="867"/>
      <c r="D141" s="838" t="s">
        <v>238</v>
      </c>
      <c r="E141" s="839">
        <f>'24'!F141</f>
        <v>4636.88</v>
      </c>
      <c r="F141" s="989">
        <v>4636.88</v>
      </c>
      <c r="G141" s="840">
        <f t="shared" si="15"/>
        <v>0</v>
      </c>
      <c r="H141" s="841">
        <f>G141+'24'!H141</f>
        <v>-0.11999999999989086</v>
      </c>
      <c r="I141" s="990"/>
      <c r="J141" s="843">
        <f>H141/DAY(B2)</f>
        <v>-4.7999999999956341E-3</v>
      </c>
      <c r="O141" s="845"/>
    </row>
    <row r="142" spans="1:16">
      <c r="A142" s="1647" t="s">
        <v>249</v>
      </c>
      <c r="B142" s="1648"/>
      <c r="C142" s="833"/>
      <c r="D142" s="833"/>
      <c r="E142" s="833"/>
      <c r="F142" s="937"/>
      <c r="G142" s="864"/>
      <c r="H142" s="864"/>
      <c r="I142" s="864"/>
      <c r="J142" s="983"/>
      <c r="K142" s="938"/>
      <c r="L142" s="818"/>
      <c r="O142" s="845"/>
    </row>
    <row r="143" spans="1:16">
      <c r="A143" s="1649" t="s">
        <v>250</v>
      </c>
      <c r="B143" s="1650"/>
      <c r="C143" s="1651"/>
      <c r="D143" s="838" t="s">
        <v>131</v>
      </c>
      <c r="E143" s="838"/>
      <c r="F143" s="937"/>
      <c r="G143" s="841">
        <f>G35+G43+G49+G57</f>
        <v>5368.0100000000093</v>
      </c>
      <c r="H143" s="841">
        <f>G143+'24'!H143</f>
        <v>-29979.929999999935</v>
      </c>
      <c r="I143" s="859"/>
      <c r="J143" s="843">
        <f>H143/DAY(B2)</f>
        <v>-1199.1971999999973</v>
      </c>
      <c r="K143" s="938"/>
      <c r="L143" s="818"/>
      <c r="O143" s="845"/>
    </row>
    <row r="144" spans="1:16">
      <c r="A144" s="1649" t="s">
        <v>251</v>
      </c>
      <c r="B144" s="1650"/>
      <c r="C144" s="1651"/>
      <c r="D144" s="838" t="s">
        <v>24</v>
      </c>
      <c r="E144" s="825"/>
      <c r="F144" s="1475"/>
      <c r="G144" s="991">
        <f>G143/G7</f>
        <v>0.24967488372093066</v>
      </c>
      <c r="H144" s="841">
        <f>G144+'24'!H144</f>
        <v>-1.39009983070847</v>
      </c>
      <c r="I144" s="992"/>
      <c r="J144" s="843">
        <f>H144/DAY(B2)</f>
        <v>-5.5603993228338797E-2</v>
      </c>
      <c r="K144" s="938"/>
      <c r="L144" s="818"/>
      <c r="O144" s="845"/>
    </row>
    <row r="145" spans="1:15">
      <c r="A145" s="1649" t="s">
        <v>252</v>
      </c>
      <c r="B145" s="1650"/>
      <c r="C145" s="1651"/>
      <c r="D145" s="838" t="s">
        <v>131</v>
      </c>
      <c r="E145" s="839"/>
      <c r="F145" s="1453"/>
      <c r="G145" s="841">
        <f>G41+G42+G55+G56</f>
        <v>5087</v>
      </c>
      <c r="H145" s="841">
        <f>G145+'24'!H145</f>
        <v>-30619.889999999985</v>
      </c>
      <c r="I145" s="859"/>
      <c r="J145" s="843">
        <f>H145/DAY(B2)</f>
        <v>-1224.7955999999995</v>
      </c>
      <c r="K145" s="938"/>
      <c r="L145" s="818"/>
      <c r="O145" s="845"/>
    </row>
    <row r="146" spans="1:15">
      <c r="A146" s="1649" t="s">
        <v>253</v>
      </c>
      <c r="B146" s="1650"/>
      <c r="C146" s="1651"/>
      <c r="D146" s="838" t="s">
        <v>24</v>
      </c>
      <c r="E146" s="839"/>
      <c r="F146" s="1453"/>
      <c r="G146" s="991">
        <f>G145/G7</f>
        <v>0.2366046511627907</v>
      </c>
      <c r="H146" s="841">
        <f>G146+'24'!H146</f>
        <v>-1.4248885514459593</v>
      </c>
      <c r="I146" s="992"/>
      <c r="J146" s="843">
        <f>H146/DAY(B2)</f>
        <v>-5.6995542057838369E-2</v>
      </c>
      <c r="K146" s="938"/>
      <c r="L146" s="818"/>
      <c r="O146" s="845"/>
    </row>
    <row r="147" spans="1:15">
      <c r="A147" s="1649" t="s">
        <v>254</v>
      </c>
      <c r="B147" s="1650"/>
      <c r="C147" s="1651"/>
      <c r="D147" s="838" t="s">
        <v>131</v>
      </c>
      <c r="E147" s="839"/>
      <c r="F147" s="1453"/>
      <c r="G147" s="841">
        <f>G39+G53</f>
        <v>3655</v>
      </c>
      <c r="H147" s="841">
        <f>G147+'24'!H147</f>
        <v>-18382</v>
      </c>
      <c r="I147" s="993"/>
      <c r="J147" s="843">
        <f>H147/DAY(B2)</f>
        <v>-735.28</v>
      </c>
      <c r="K147" s="938"/>
      <c r="L147" s="818"/>
      <c r="O147" s="845"/>
    </row>
    <row r="148" spans="1:15">
      <c r="A148" s="1649" t="s">
        <v>255</v>
      </c>
      <c r="B148" s="1650"/>
      <c r="C148" s="1651"/>
      <c r="D148" s="838" t="s">
        <v>24</v>
      </c>
      <c r="E148" s="839"/>
      <c r="F148" s="1453"/>
      <c r="G148" s="991">
        <f>G147/G7</f>
        <v>0.17</v>
      </c>
      <c r="H148" s="841">
        <f>G148+'24'!H148</f>
        <v>-0.85179175925130723</v>
      </c>
      <c r="I148" s="993"/>
      <c r="J148" s="843">
        <f>H148/DAY(B2)</f>
        <v>-3.4071670370052293E-2</v>
      </c>
      <c r="O148" s="845"/>
    </row>
    <row r="149" spans="1:15">
      <c r="A149" s="1649" t="s">
        <v>256</v>
      </c>
      <c r="B149" s="1650"/>
      <c r="C149" s="1651"/>
      <c r="D149" s="838" t="s">
        <v>182</v>
      </c>
      <c r="E149" s="839"/>
      <c r="F149" s="1453"/>
      <c r="G149" s="841">
        <f>G38+G52</f>
        <v>1537.0699999999488</v>
      </c>
      <c r="H149" s="841">
        <f>G149+'24'!H149</f>
        <v>-8123.9300000000512</v>
      </c>
      <c r="I149" s="859"/>
      <c r="J149" s="843">
        <f>H149/DAY(B2)</f>
        <v>-324.95720000000205</v>
      </c>
      <c r="K149" s="994"/>
      <c r="O149" s="845"/>
    </row>
    <row r="150" spans="1:15">
      <c r="A150" s="1649" t="s">
        <v>257</v>
      </c>
      <c r="B150" s="1650"/>
      <c r="C150" s="1651"/>
      <c r="D150" s="838" t="s">
        <v>24</v>
      </c>
      <c r="E150" s="839"/>
      <c r="F150" s="1453"/>
      <c r="G150" s="991">
        <f>G149/G7</f>
        <v>7.1491627906974359E-2</v>
      </c>
      <c r="H150" s="841">
        <f>G150+'24'!H150</f>
        <v>-0.37764692548666012</v>
      </c>
      <c r="I150" s="993"/>
      <c r="J150" s="843">
        <f>H150/DAY(B2)</f>
        <v>-1.5105877019466404E-2</v>
      </c>
      <c r="O150" s="845"/>
    </row>
    <row r="151" spans="1:15">
      <c r="A151" s="1649" t="s">
        <v>258</v>
      </c>
      <c r="B151" s="1650"/>
      <c r="C151" s="1651"/>
      <c r="D151" s="838" t="s">
        <v>182</v>
      </c>
      <c r="E151" s="839"/>
      <c r="F151" s="1453"/>
      <c r="G151" s="841">
        <f>G36+G50</f>
        <v>1674</v>
      </c>
      <c r="H151" s="841">
        <f>G151+'24'!H151</f>
        <v>-8743.9999999999982</v>
      </c>
      <c r="I151" s="993"/>
      <c r="J151" s="843">
        <f>H151/DAY(B2)</f>
        <v>-349.75999999999993</v>
      </c>
      <c r="O151" s="845"/>
    </row>
    <row r="152" spans="1:15">
      <c r="A152" s="1649" t="s">
        <v>259</v>
      </c>
      <c r="B152" s="1650"/>
      <c r="C152" s="1651"/>
      <c r="D152" s="838" t="s">
        <v>24</v>
      </c>
      <c r="E152" s="839"/>
      <c r="F152" s="1453"/>
      <c r="G152" s="991">
        <f>G151/G7</f>
        <v>7.7860465116279073E-2</v>
      </c>
      <c r="H152" s="841">
        <f>G152+'24'!H152</f>
        <v>-0.40723625943482178</v>
      </c>
      <c r="I152" s="859"/>
      <c r="J152" s="843">
        <f>H152/DAY(B2)</f>
        <v>-1.6289450377392871E-2</v>
      </c>
      <c r="O152" s="845"/>
    </row>
    <row r="153" spans="1:15">
      <c r="A153" s="1649" t="s">
        <v>260</v>
      </c>
      <c r="B153" s="1650"/>
      <c r="C153" s="1651"/>
      <c r="D153" s="838" t="s">
        <v>182</v>
      </c>
      <c r="E153" s="839"/>
      <c r="F153" s="1453"/>
      <c r="G153" s="841">
        <f>G37+G51</f>
        <v>1517.8699999999953</v>
      </c>
      <c r="H153" s="841">
        <f>G153+'24'!H153</f>
        <v>-7296.1300000000047</v>
      </c>
      <c r="I153" s="859"/>
      <c r="J153" s="843">
        <f>H153/DAY(B2)</f>
        <v>-291.8452000000002</v>
      </c>
      <c r="O153" s="845"/>
    </row>
    <row r="154" spans="1:15" ht="21" thickBot="1">
      <c r="A154" s="1652" t="s">
        <v>261</v>
      </c>
      <c r="B154" s="1653"/>
      <c r="C154" s="1654"/>
      <c r="D154" s="995" t="s">
        <v>24</v>
      </c>
      <c r="E154" s="996"/>
      <c r="F154" s="1487"/>
      <c r="G154" s="997">
        <f>G153/G7</f>
        <v>7.0598604651162578E-2</v>
      </c>
      <c r="H154" s="841">
        <f>G154+'24'!H154</f>
        <v>-0.33795565402467681</v>
      </c>
      <c r="I154" s="998"/>
      <c r="J154" s="999">
        <f>H154/DAY(B2)</f>
        <v>-1.3518226160987072E-2</v>
      </c>
      <c r="O154" s="845"/>
    </row>
    <row r="155" spans="1:15">
      <c r="A155" s="1000"/>
      <c r="B155" s="1000"/>
      <c r="C155" s="1000"/>
      <c r="D155" s="1000"/>
      <c r="E155" s="1000"/>
      <c r="F155" s="1488"/>
      <c r="G155" s="1000"/>
      <c r="H155" s="1001"/>
      <c r="I155" s="1000"/>
      <c r="J155" s="1002"/>
      <c r="O155" s="845"/>
    </row>
    <row r="161" spans="1:7">
      <c r="A161" s="990" t="s">
        <v>262</v>
      </c>
      <c r="B161" s="990"/>
      <c r="C161" s="990"/>
      <c r="D161" s="825" t="s">
        <v>186</v>
      </c>
      <c r="E161" s="839">
        <f>'24'!F161</f>
        <v>40362</v>
      </c>
      <c r="F161" s="1489">
        <v>40442</v>
      </c>
      <c r="G161" s="840">
        <f t="shared" ref="G161:G164" si="16">F161-E161</f>
        <v>80</v>
      </c>
    </row>
    <row r="162" spans="1:7" ht="21.75" customHeight="1">
      <c r="A162" s="990" t="s">
        <v>263</v>
      </c>
      <c r="B162" s="990"/>
      <c r="C162" s="990"/>
      <c r="D162" s="825" t="s">
        <v>186</v>
      </c>
      <c r="E162" s="839">
        <f>'24'!F162</f>
        <v>105052</v>
      </c>
      <c r="F162" s="1489">
        <v>105500</v>
      </c>
      <c r="G162" s="840">
        <f t="shared" si="16"/>
        <v>448</v>
      </c>
    </row>
    <row r="163" spans="1:7" ht="21.75" customHeight="1">
      <c r="A163" s="990" t="s">
        <v>264</v>
      </c>
      <c r="B163" s="990"/>
      <c r="C163" s="990"/>
      <c r="D163" s="825" t="s">
        <v>186</v>
      </c>
      <c r="E163" s="839">
        <f>'24'!F163</f>
        <v>49999</v>
      </c>
      <c r="F163" s="1489">
        <v>60193</v>
      </c>
      <c r="G163" s="840">
        <f t="shared" si="16"/>
        <v>10194</v>
      </c>
    </row>
    <row r="164" spans="1:7" ht="21.75" customHeight="1">
      <c r="A164" s="990" t="s">
        <v>265</v>
      </c>
      <c r="B164" s="990"/>
      <c r="C164" s="990"/>
      <c r="D164" s="825" t="s">
        <v>186</v>
      </c>
      <c r="E164" s="839">
        <f>'24'!F164</f>
        <v>6792</v>
      </c>
      <c r="F164" s="1489">
        <v>6803</v>
      </c>
      <c r="G164" s="840">
        <f t="shared" si="16"/>
        <v>11</v>
      </c>
    </row>
    <row r="165" spans="1:7" ht="21.75" customHeight="1">
      <c r="A165" s="920" t="s">
        <v>97</v>
      </c>
      <c r="B165" s="920"/>
      <c r="C165" s="920"/>
      <c r="D165" s="825" t="s">
        <v>186</v>
      </c>
      <c r="E165" s="921">
        <f>E62</f>
        <v>20419</v>
      </c>
      <c r="F165" s="1483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1483">
        <f t="shared" ref="F166:F172" si="19">F63</f>
        <v>0</v>
      </c>
      <c r="G166" s="840">
        <f t="shared" si="17"/>
        <v>0</v>
      </c>
    </row>
    <row r="167" spans="1:7" ht="21.75" customHeight="1">
      <c r="A167" s="1625" t="s">
        <v>98</v>
      </c>
      <c r="B167" s="1625"/>
      <c r="C167" s="1625"/>
      <c r="D167" s="838" t="s">
        <v>186</v>
      </c>
      <c r="E167" s="921">
        <f t="shared" si="18"/>
        <v>167799</v>
      </c>
      <c r="F167" s="1483">
        <f t="shared" si="19"/>
        <v>168211</v>
      </c>
      <c r="G167" s="840">
        <f t="shared" si="17"/>
        <v>412</v>
      </c>
    </row>
    <row r="168" spans="1:7" ht="21.75" customHeight="1">
      <c r="A168" s="1625" t="s">
        <v>99</v>
      </c>
      <c r="B168" s="1625"/>
      <c r="C168" s="1625"/>
      <c r="D168" s="838" t="s">
        <v>186</v>
      </c>
      <c r="E168" s="921">
        <f t="shared" si="18"/>
        <v>167848</v>
      </c>
      <c r="F168" s="1483">
        <f t="shared" si="19"/>
        <v>168247</v>
      </c>
      <c r="G168" s="840">
        <f t="shared" si="17"/>
        <v>399</v>
      </c>
    </row>
    <row r="169" spans="1:7" ht="21.75" customHeight="1">
      <c r="A169" s="1625" t="s">
        <v>100</v>
      </c>
      <c r="B169" s="1625"/>
      <c r="C169" s="1625"/>
      <c r="D169" s="838" t="s">
        <v>186</v>
      </c>
      <c r="E169" s="921">
        <f t="shared" si="18"/>
        <v>65414</v>
      </c>
      <c r="F169" s="1483">
        <f t="shared" si="19"/>
        <v>65832</v>
      </c>
      <c r="G169" s="840">
        <f t="shared" si="17"/>
        <v>418</v>
      </c>
    </row>
    <row r="170" spans="1:7">
      <c r="A170" s="1625" t="s">
        <v>101</v>
      </c>
      <c r="B170" s="1625"/>
      <c r="C170" s="1625"/>
      <c r="D170" s="838" t="s">
        <v>186</v>
      </c>
      <c r="E170" s="921">
        <f t="shared" si="18"/>
        <v>262246</v>
      </c>
      <c r="F170" s="1483">
        <f t="shared" si="19"/>
        <v>262704</v>
      </c>
      <c r="G170" s="840">
        <f t="shared" si="17"/>
        <v>458</v>
      </c>
    </row>
    <row r="171" spans="1:7" ht="24" customHeight="1">
      <c r="A171" s="1625" t="s">
        <v>102</v>
      </c>
      <c r="B171" s="1625"/>
      <c r="C171" s="1625"/>
      <c r="D171" s="838" t="s">
        <v>186</v>
      </c>
      <c r="E171" s="921">
        <f t="shared" si="18"/>
        <v>85321</v>
      </c>
      <c r="F171" s="1483">
        <f t="shared" si="19"/>
        <v>85321</v>
      </c>
      <c r="G171" s="840">
        <f t="shared" si="17"/>
        <v>0</v>
      </c>
    </row>
    <row r="172" spans="1:7">
      <c r="A172" s="1625" t="s">
        <v>103</v>
      </c>
      <c r="B172" s="1625"/>
      <c r="C172" s="1625"/>
      <c r="D172" s="838" t="s">
        <v>186</v>
      </c>
      <c r="E172" s="921">
        <f t="shared" si="18"/>
        <v>86101</v>
      </c>
      <c r="F172" s="1483">
        <f t="shared" si="19"/>
        <v>86292</v>
      </c>
      <c r="G172" s="840">
        <f t="shared" si="17"/>
        <v>191</v>
      </c>
    </row>
    <row r="173" spans="1:7" ht="29.25">
      <c r="A173" s="1587"/>
      <c r="B173" s="1550"/>
      <c r="C173" s="785"/>
      <c r="D173" s="523"/>
      <c r="G173" s="1005">
        <f>SUM(G161:G172)</f>
        <v>12611</v>
      </c>
    </row>
    <row r="174" spans="1:7">
      <c r="A174" s="1625" t="s">
        <v>345</v>
      </c>
      <c r="B174" s="1625"/>
      <c r="C174" s="1625"/>
      <c r="D174" s="838" t="s">
        <v>186</v>
      </c>
      <c r="E174" s="968">
        <v>28203</v>
      </c>
      <c r="F174" s="968">
        <v>28212</v>
      </c>
      <c r="G174" s="840">
        <f t="shared" ref="G174:G177" si="20">F174-E174</f>
        <v>9</v>
      </c>
    </row>
    <row r="175" spans="1:7">
      <c r="A175" s="1667" t="s">
        <v>352</v>
      </c>
      <c r="B175" s="1629"/>
      <c r="C175" s="990"/>
      <c r="D175" s="838" t="s">
        <v>186</v>
      </c>
      <c r="E175" s="968">
        <v>18975</v>
      </c>
      <c r="F175" s="968">
        <v>18979</v>
      </c>
      <c r="G175" s="840">
        <f t="shared" si="20"/>
        <v>4</v>
      </c>
    </row>
    <row r="176" spans="1:7">
      <c r="A176" s="1667" t="s">
        <v>353</v>
      </c>
      <c r="B176" s="1629"/>
      <c r="D176" s="838" t="s">
        <v>186</v>
      </c>
      <c r="E176" s="968">
        <v>27605</v>
      </c>
      <c r="F176" s="1272">
        <v>27608</v>
      </c>
      <c r="G176" s="840">
        <f t="shared" si="20"/>
        <v>3</v>
      </c>
    </row>
    <row r="177" spans="1:10" ht="18.75" customHeight="1">
      <c r="A177" s="1667" t="s">
        <v>352</v>
      </c>
      <c r="B177" s="1629"/>
      <c r="D177" s="838" t="s">
        <v>186</v>
      </c>
      <c r="E177" s="968">
        <v>70231</v>
      </c>
      <c r="F177" s="968">
        <v>70253</v>
      </c>
      <c r="G177" s="840">
        <f t="shared" si="20"/>
        <v>22</v>
      </c>
      <c r="J177" s="1006"/>
    </row>
  </sheetData>
  <mergeCells count="79">
    <mergeCell ref="A176:B176"/>
    <mergeCell ref="A177:B177"/>
    <mergeCell ref="A173:B173"/>
    <mergeCell ref="A66:C66"/>
    <mergeCell ref="A67:C67"/>
    <mergeCell ref="A68:C68"/>
    <mergeCell ref="A174:C174"/>
    <mergeCell ref="A175:B175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9"/>
  <sheetViews>
    <sheetView view="pageBreakPreview" topLeftCell="A166" zoomScale="70" zoomScaleSheetLayoutView="70" workbookViewId="0">
      <selection activeCell="F15" sqref="F1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003" customWidth="1"/>
    <col min="7" max="7" width="19.88671875" style="1003" customWidth="1"/>
    <col min="8" max="8" width="39.21875" style="1004" customWidth="1"/>
    <col min="9" max="9" width="12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0.100000000000001" customHeight="1">
      <c r="A1" s="1668" t="s">
        <v>116</v>
      </c>
      <c r="B1" s="1669"/>
      <c r="C1" s="1669"/>
      <c r="D1" s="1669"/>
      <c r="E1" s="1669"/>
      <c r="F1" s="1669"/>
      <c r="G1" s="1669"/>
      <c r="H1" s="1669"/>
      <c r="I1" s="1669"/>
      <c r="J1" s="1670"/>
    </row>
    <row r="2" spans="1:15" ht="30.75" customHeight="1">
      <c r="A2" s="806" t="s">
        <v>370</v>
      </c>
      <c r="B2" s="1076">
        <v>44008</v>
      </c>
      <c r="C2" s="807" t="s">
        <v>68</v>
      </c>
      <c r="D2" s="1019">
        <v>1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 ht="20.100000000000001" customHeight="1">
      <c r="A3" s="811"/>
      <c r="B3" s="812"/>
      <c r="C3" s="807" t="s">
        <v>119</v>
      </c>
      <c r="D3" s="807">
        <v>28</v>
      </c>
      <c r="E3" s="1677" t="s">
        <v>120</v>
      </c>
      <c r="F3" s="1678"/>
      <c r="G3" s="814"/>
      <c r="H3" s="815"/>
      <c r="I3" s="815"/>
      <c r="J3" s="816"/>
      <c r="K3" s="817"/>
      <c r="L3" s="818"/>
    </row>
    <row r="4" spans="1:15" ht="20.100000000000001" customHeight="1">
      <c r="A4" s="819"/>
      <c r="B4" s="820"/>
      <c r="C4" s="807" t="s">
        <v>121</v>
      </c>
      <c r="D4" s="1019">
        <v>0.78</v>
      </c>
      <c r="E4" s="821"/>
      <c r="F4" s="821"/>
      <c r="G4" s="821"/>
      <c r="H4" s="821"/>
      <c r="I4" s="822"/>
      <c r="J4" s="816"/>
      <c r="K4" s="823"/>
      <c r="L4" s="818"/>
    </row>
    <row r="5" spans="1:15" ht="22.5" customHeight="1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 ht="20.100000000000001" customHeight="1">
      <c r="A6" s="1671" t="s">
        <v>129</v>
      </c>
      <c r="B6" s="1672"/>
      <c r="C6" s="1673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5.5" customHeight="1" thickBot="1">
      <c r="A7" s="836" t="s">
        <v>130</v>
      </c>
      <c r="B7" s="837"/>
      <c r="C7" s="837"/>
      <c r="D7" s="838" t="s">
        <v>131</v>
      </c>
      <c r="E7" s="839">
        <f>'25'!F7</f>
        <v>459295.56</v>
      </c>
      <c r="F7" s="455">
        <f>E7+21500</f>
        <v>480795.56</v>
      </c>
      <c r="G7" s="840">
        <f>F7-E7</f>
        <v>21500</v>
      </c>
      <c r="H7" s="841">
        <f>G7+'25'!H7</f>
        <v>558842.56000000006</v>
      </c>
      <c r="I7" s="842">
        <f>'1'!I7</f>
        <v>12000</v>
      </c>
      <c r="J7" s="843">
        <f>H7/DAY(B2)</f>
        <v>21493.944615384618</v>
      </c>
      <c r="K7" s="844"/>
      <c r="L7" s="818"/>
      <c r="N7" s="1017"/>
      <c r="O7" s="845"/>
    </row>
    <row r="8" spans="1:15" ht="20.100000000000001" customHeight="1" thickBot="1">
      <c r="A8" s="846" t="s">
        <v>132</v>
      </c>
      <c r="B8" s="847"/>
      <c r="C8" s="848"/>
      <c r="D8" s="849" t="s">
        <v>25</v>
      </c>
      <c r="E8" s="839">
        <f>'25'!F8</f>
        <v>464953.79</v>
      </c>
      <c r="F8" s="475">
        <f>E8+21500</f>
        <v>486453.79</v>
      </c>
      <c r="G8" s="850">
        <f>F8-E8</f>
        <v>21500</v>
      </c>
      <c r="H8" s="841">
        <f>G8+'25'!H8</f>
        <v>559731.79</v>
      </c>
      <c r="I8" s="851">
        <f>'1'!I8</f>
        <v>12000</v>
      </c>
      <c r="J8" s="843">
        <f>H8/DAY(B2)</f>
        <v>21528.14576923077</v>
      </c>
      <c r="K8" s="844"/>
      <c r="L8" s="852"/>
      <c r="M8" s="853"/>
      <c r="O8" s="845"/>
    </row>
    <row r="9" spans="1:15" ht="20.100000000000001" customHeight="1">
      <c r="A9" s="854" t="s">
        <v>133</v>
      </c>
      <c r="B9" s="855"/>
      <c r="C9" s="855"/>
      <c r="D9" s="838" t="s">
        <v>131</v>
      </c>
      <c r="E9" s="839">
        <f>'25'!F9</f>
        <v>1932109</v>
      </c>
      <c r="F9" s="856">
        <v>1954030</v>
      </c>
      <c r="G9" s="840">
        <f>F9-E9</f>
        <v>21921</v>
      </c>
      <c r="H9" s="841">
        <f>G9+'25'!H9</f>
        <v>-76972</v>
      </c>
      <c r="I9" s="857">
        <f>I8-J8</f>
        <v>-9528.1457692307704</v>
      </c>
      <c r="J9" s="843">
        <f>H9/DAY(B2)</f>
        <v>-2960.4615384615386</v>
      </c>
      <c r="K9" s="858"/>
      <c r="L9" s="818"/>
      <c r="O9" s="845"/>
    </row>
    <row r="10" spans="1:15" ht="20.100000000000001" customHeight="1">
      <c r="A10" s="836" t="s">
        <v>134</v>
      </c>
      <c r="B10" s="837"/>
      <c r="C10" s="837"/>
      <c r="D10" s="838" t="s">
        <v>131</v>
      </c>
      <c r="E10" s="839">
        <f>'25'!F10</f>
        <v>0</v>
      </c>
      <c r="F10" s="856"/>
      <c r="G10" s="840">
        <f t="shared" ref="G10:G12" si="0">F10-E10</f>
        <v>0</v>
      </c>
      <c r="H10" s="841">
        <f>G10+'25'!H10</f>
        <v>0.29999999999972715</v>
      </c>
      <c r="I10" s="859"/>
      <c r="J10" s="843">
        <f>H10/DAY(B2)</f>
        <v>1.1538461538451044E-2</v>
      </c>
      <c r="K10" s="858"/>
      <c r="L10" s="818"/>
      <c r="O10" s="845"/>
    </row>
    <row r="11" spans="1:15" ht="20.100000000000001" customHeight="1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839">
        <v>37000</v>
      </c>
      <c r="G11" s="840">
        <f t="shared" si="0"/>
        <v>0</v>
      </c>
      <c r="H11" s="841">
        <f>G11+'25'!H11</f>
        <v>0</v>
      </c>
      <c r="I11" s="859"/>
      <c r="J11" s="843">
        <f>H11/DAY(B2)</f>
        <v>0</v>
      </c>
      <c r="K11" s="858"/>
      <c r="L11" s="818">
        <v>1375467</v>
      </c>
      <c r="N11" s="1018"/>
      <c r="O11" s="845"/>
    </row>
    <row r="12" spans="1:15" ht="20.100000000000001" customHeight="1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856">
        <v>40010</v>
      </c>
      <c r="G12" s="840">
        <f t="shared" si="0"/>
        <v>0</v>
      </c>
      <c r="H12" s="841">
        <f>G12+'25'!H12</f>
        <v>0</v>
      </c>
      <c r="I12" s="859"/>
      <c r="J12" s="843">
        <f>H12/DAY(B2)</f>
        <v>0</v>
      </c>
      <c r="K12" s="858"/>
      <c r="L12" s="818"/>
      <c r="O12" s="845"/>
    </row>
    <row r="13" spans="1:15" ht="20.100000000000001" customHeight="1">
      <c r="A13" s="860" t="s">
        <v>137</v>
      </c>
      <c r="B13" s="861"/>
      <c r="C13" s="861"/>
      <c r="D13" s="838"/>
      <c r="E13" s="839"/>
      <c r="F13" s="839"/>
      <c r="G13" s="862">
        <f>G9+G10+G11+G12</f>
        <v>21921</v>
      </c>
      <c r="H13" s="841">
        <f>G13+'25'!H13</f>
        <v>-93496.700000000012</v>
      </c>
      <c r="I13" s="863">
        <f>G7-G13</f>
        <v>-421</v>
      </c>
      <c r="J13" s="843">
        <f>H13/DAY(B2)</f>
        <v>-3596.0269230769236</v>
      </c>
      <c r="K13" s="858"/>
      <c r="L13" s="818"/>
      <c r="O13" s="845"/>
    </row>
    <row r="14" spans="1:15" ht="28.5" customHeight="1">
      <c r="A14" s="1674" t="s">
        <v>138</v>
      </c>
      <c r="B14" s="1675"/>
      <c r="C14" s="1676"/>
      <c r="D14" s="833"/>
      <c r="E14" s="833"/>
      <c r="F14" s="833"/>
      <c r="G14" s="864"/>
      <c r="H14" s="833"/>
      <c r="I14" s="833"/>
      <c r="J14" s="834"/>
      <c r="K14" s="865"/>
      <c r="L14" s="818">
        <v>1679344</v>
      </c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'25'!F15</f>
        <v>1721767.16</v>
      </c>
      <c r="F15" s="700">
        <f>E15+700</f>
        <v>1722467.16</v>
      </c>
      <c r="G15" s="1015">
        <f>(F15-E15)</f>
        <v>700</v>
      </c>
      <c r="H15" s="841">
        <f>G15+'25'!H15</f>
        <v>18784.159999999916</v>
      </c>
      <c r="I15" s="842">
        <f>'1'!I15</f>
        <v>800</v>
      </c>
      <c r="J15" s="843">
        <f>H15/DAY(B2)</f>
        <v>722.46769230768905</v>
      </c>
      <c r="K15" s="858"/>
      <c r="L15" s="818"/>
      <c r="O15" s="845"/>
    </row>
    <row r="16" spans="1:15" ht="20.100000000000001" customHeight="1">
      <c r="A16" s="869"/>
      <c r="B16" s="870"/>
      <c r="C16" s="870"/>
      <c r="D16" s="871"/>
      <c r="E16" s="872"/>
      <c r="F16" s="872"/>
      <c r="G16" s="840"/>
      <c r="H16" s="873"/>
      <c r="I16" s="874">
        <f>I15-J15</f>
        <v>77.532307692310951</v>
      </c>
      <c r="J16" s="875"/>
      <c r="K16" s="858"/>
      <c r="L16" s="818">
        <f>L14-L11</f>
        <v>303877</v>
      </c>
      <c r="O16" s="845"/>
    </row>
    <row r="17" spans="1:15" ht="20.100000000000001" customHeight="1">
      <c r="A17" s="1674" t="s">
        <v>141</v>
      </c>
      <c r="B17" s="1675"/>
      <c r="C17" s="1676"/>
      <c r="D17" s="833"/>
      <c r="E17" s="833"/>
      <c r="F17" s="833"/>
      <c r="G17" s="876"/>
      <c r="H17" s="833"/>
      <c r="I17" s="833"/>
      <c r="J17" s="834"/>
      <c r="K17" s="858"/>
      <c r="L17" s="818"/>
      <c r="O17" s="845"/>
    </row>
    <row r="18" spans="1:15" ht="20.100000000000001" customHeight="1">
      <c r="A18" s="1649" t="s">
        <v>142</v>
      </c>
      <c r="B18" s="1650"/>
      <c r="C18" s="1651"/>
      <c r="D18" s="838" t="s">
        <v>143</v>
      </c>
      <c r="E18" s="839">
        <f>'25'!F18</f>
        <v>11</v>
      </c>
      <c r="F18" s="868">
        <v>15</v>
      </c>
      <c r="G18" s="862">
        <f>F18*10</f>
        <v>150</v>
      </c>
      <c r="H18" s="841">
        <f>G18+'25'!H18</f>
        <v>2610</v>
      </c>
      <c r="I18" s="842">
        <f>'1'!I18</f>
        <v>65</v>
      </c>
      <c r="J18" s="843">
        <f>H18/DAY(B2)</f>
        <v>100.38461538461539</v>
      </c>
      <c r="K18" s="858"/>
      <c r="L18" s="818"/>
      <c r="O18" s="845"/>
    </row>
    <row r="19" spans="1:15" ht="20.100000000000001" customHeight="1">
      <c r="A19" s="1649" t="s">
        <v>70</v>
      </c>
      <c r="B19" s="1650"/>
      <c r="C19" s="1651"/>
      <c r="D19" s="838" t="s">
        <v>143</v>
      </c>
      <c r="E19" s="839">
        <f>'25'!F19</f>
        <v>141178</v>
      </c>
      <c r="F19" s="868">
        <v>141243</v>
      </c>
      <c r="G19" s="840">
        <f t="shared" ref="G19" si="1">F19-E19</f>
        <v>65</v>
      </c>
      <c r="H19" s="841">
        <f>G19+'25'!H19</f>
        <v>-252</v>
      </c>
      <c r="I19" s="877"/>
      <c r="J19" s="843">
        <f>H19/DAY(B2)</f>
        <v>-9.6923076923076916</v>
      </c>
      <c r="K19" s="858"/>
      <c r="L19" s="818">
        <f>L16/26</f>
        <v>11687.576923076924</v>
      </c>
      <c r="O19" s="845"/>
    </row>
    <row r="20" spans="1:15" ht="20.100000000000001" customHeight="1">
      <c r="A20" s="860" t="s">
        <v>144</v>
      </c>
      <c r="B20" s="861"/>
      <c r="C20" s="861"/>
      <c r="D20" s="878"/>
      <c r="E20" s="878"/>
      <c r="F20" s="878"/>
      <c r="G20" s="879">
        <f>G18+G19</f>
        <v>215</v>
      </c>
      <c r="H20" s="841">
        <f>G20+'25'!H20</f>
        <v>2358</v>
      </c>
      <c r="I20" s="880">
        <f>I18-J20</f>
        <v>-25.692307692307693</v>
      </c>
      <c r="J20" s="843">
        <f>H20/DAY(B2)</f>
        <v>90.692307692307693</v>
      </c>
      <c r="K20" s="858"/>
      <c r="L20" s="818"/>
      <c r="O20" s="845"/>
    </row>
    <row r="21" spans="1:15" ht="20.100000000000001" customHeight="1">
      <c r="A21" s="1674" t="s">
        <v>145</v>
      </c>
      <c r="B21" s="1675"/>
      <c r="C21" s="1676"/>
      <c r="D21" s="833"/>
      <c r="E21" s="833"/>
      <c r="F21" s="833"/>
      <c r="G21" s="864"/>
      <c r="H21" s="833"/>
      <c r="I21" s="833"/>
      <c r="J21" s="834"/>
      <c r="K21" s="858"/>
      <c r="L21" s="818" t="e">
        <f>#REF!/G11</f>
        <v>#REF!</v>
      </c>
      <c r="O21" s="845"/>
    </row>
    <row r="22" spans="1:15" ht="20.100000000000001" customHeight="1">
      <c r="A22" s="866" t="s">
        <v>146</v>
      </c>
      <c r="B22" s="867"/>
      <c r="C22" s="867"/>
      <c r="D22" s="838" t="s">
        <v>147</v>
      </c>
      <c r="E22" s="868">
        <f>'25'!F22</f>
        <v>2970</v>
      </c>
      <c r="F22" s="868">
        <v>2970</v>
      </c>
      <c r="G22" s="862">
        <f t="shared" ref="G22:G23" si="2">E22-F22</f>
        <v>0</v>
      </c>
      <c r="H22" s="841">
        <f>G22+'25'!H22</f>
        <v>0</v>
      </c>
      <c r="I22" s="859"/>
      <c r="J22" s="843">
        <f>H22/DAY(B2)</f>
        <v>0</v>
      </c>
      <c r="K22" s="858"/>
      <c r="L22" s="818"/>
      <c r="O22" s="845"/>
    </row>
    <row r="23" spans="1:15" ht="20.100000000000001" customHeight="1">
      <c r="A23" s="866" t="s">
        <v>148</v>
      </c>
      <c r="B23" s="867"/>
      <c r="C23" s="867"/>
      <c r="D23" s="838" t="s">
        <v>147</v>
      </c>
      <c r="E23" s="868">
        <f>'25'!F23</f>
        <v>2000</v>
      </c>
      <c r="F23" s="868">
        <v>2000</v>
      </c>
      <c r="G23" s="862">
        <f t="shared" si="2"/>
        <v>0</v>
      </c>
      <c r="H23" s="841">
        <f>G23+'25'!H23</f>
        <v>0</v>
      </c>
      <c r="I23" s="859"/>
      <c r="J23" s="843">
        <f>H23/DAY(B2)</f>
        <v>0</v>
      </c>
      <c r="K23" s="858"/>
      <c r="L23" s="818"/>
      <c r="O23" s="845"/>
    </row>
    <row r="24" spans="1:15" ht="20.100000000000001" customHeight="1">
      <c r="A24" s="881" t="s">
        <v>149</v>
      </c>
      <c r="B24" s="882"/>
      <c r="C24" s="882"/>
      <c r="D24" s="825" t="s">
        <v>147</v>
      </c>
      <c r="E24" s="868">
        <f>'25'!F24</f>
        <v>4970</v>
      </c>
      <c r="F24" s="883">
        <v>4970</v>
      </c>
      <c r="G24" s="862">
        <f>E24-F24</f>
        <v>0</v>
      </c>
      <c r="H24" s="841">
        <f>G24+'25'!H24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 ht="18.75" customHeight="1">
      <c r="A25" s="1671" t="s">
        <v>150</v>
      </c>
      <c r="B25" s="1672"/>
      <c r="C25" s="1673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 ht="18.75" customHeight="1">
      <c r="A26" s="890" t="s">
        <v>151</v>
      </c>
      <c r="B26" s="891"/>
      <c r="C26" s="892"/>
      <c r="D26" s="893" t="s">
        <v>152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18.75" customHeight="1">
      <c r="A27" s="890" t="s">
        <v>6</v>
      </c>
      <c r="B27" s="891"/>
      <c r="C27" s="892"/>
      <c r="D27" s="897" t="s">
        <v>25</v>
      </c>
      <c r="E27" s="898">
        <f>G8</f>
        <v>21500</v>
      </c>
      <c r="F27" s="501">
        <v>9</v>
      </c>
      <c r="G27" s="900">
        <f>E27*F27</f>
        <v>193500</v>
      </c>
      <c r="H27" s="841">
        <f>G27+'25'!H27</f>
        <v>5037586.1099999994</v>
      </c>
      <c r="I27" s="901"/>
      <c r="J27" s="843">
        <f>H27/DAY(B2)</f>
        <v>193753.31192307689</v>
      </c>
      <c r="K27" s="858"/>
      <c r="L27" s="888"/>
      <c r="N27" s="1007"/>
      <c r="O27" s="845"/>
    </row>
    <row r="28" spans="1:15" s="889" customFormat="1" ht="18.75" customHeight="1">
      <c r="A28" s="890" t="s">
        <v>153</v>
      </c>
      <c r="B28" s="891"/>
      <c r="C28" s="892"/>
      <c r="D28" s="897" t="s">
        <v>154</v>
      </c>
      <c r="E28" s="898">
        <f>G15</f>
        <v>700</v>
      </c>
      <c r="F28" s="501">
        <v>52</v>
      </c>
      <c r="G28" s="900">
        <f>E28*F28</f>
        <v>36400</v>
      </c>
      <c r="H28" s="841">
        <f>G28+'25'!H28</f>
        <v>976776.31999999564</v>
      </c>
      <c r="I28" s="902"/>
      <c r="J28" s="843">
        <f>H28/DAY(B2)</f>
        <v>37568.319999999832</v>
      </c>
      <c r="K28" s="858"/>
      <c r="L28" s="888"/>
      <c r="N28" s="1007"/>
      <c r="O28" s="845"/>
    </row>
    <row r="29" spans="1:15" s="889" customFormat="1" ht="18.75" customHeight="1">
      <c r="A29" s="890" t="s">
        <v>155</v>
      </c>
      <c r="B29" s="891"/>
      <c r="C29" s="892"/>
      <c r="D29" s="897" t="s">
        <v>156</v>
      </c>
      <c r="E29" s="898">
        <f>G16</f>
        <v>0</v>
      </c>
      <c r="F29" s="899">
        <v>69</v>
      </c>
      <c r="G29" s="900">
        <f>E29*F29</f>
        <v>0</v>
      </c>
      <c r="H29" s="841">
        <f>G29+'25'!H29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 ht="18.75" customHeight="1">
      <c r="A30" s="890" t="s">
        <v>157</v>
      </c>
      <c r="B30" s="891"/>
      <c r="C30" s="892"/>
      <c r="D30" s="897" t="s">
        <v>158</v>
      </c>
      <c r="E30" s="898">
        <f>G19</f>
        <v>65</v>
      </c>
      <c r="F30" s="899">
        <v>146</v>
      </c>
      <c r="G30" s="900">
        <f>E30*F30</f>
        <v>9490</v>
      </c>
      <c r="H30" s="841">
        <f>G30+'25'!H30</f>
        <v>-37376</v>
      </c>
      <c r="I30" s="902"/>
      <c r="J30" s="843">
        <f>H30/DAY(B2)</f>
        <v>-1437.5384615384614</v>
      </c>
      <c r="K30" s="858"/>
      <c r="L30" s="888"/>
      <c r="N30" s="1007"/>
      <c r="O30" s="845"/>
    </row>
    <row r="31" spans="1:15" s="889" customFormat="1" ht="18.75" customHeight="1">
      <c r="A31" s="890" t="s">
        <v>159</v>
      </c>
      <c r="B31" s="891"/>
      <c r="C31" s="892"/>
      <c r="D31" s="897" t="s">
        <v>143</v>
      </c>
      <c r="E31" s="898">
        <f>G18</f>
        <v>150</v>
      </c>
      <c r="F31" s="899">
        <v>80</v>
      </c>
      <c r="G31" s="900">
        <f>E31*F31</f>
        <v>12000</v>
      </c>
      <c r="H31" s="841">
        <f>G31+'25'!H31</f>
        <v>203200</v>
      </c>
      <c r="I31" s="902"/>
      <c r="J31" s="843"/>
      <c r="K31" s="858"/>
      <c r="L31" s="888"/>
      <c r="N31" s="1007"/>
      <c r="O31" s="845"/>
    </row>
    <row r="32" spans="1:15" s="889" customFormat="1" ht="18.75" customHeight="1">
      <c r="A32" s="903" t="s">
        <v>160</v>
      </c>
      <c r="B32" s="904"/>
      <c r="C32" s="905"/>
      <c r="D32" s="906"/>
      <c r="E32" s="906"/>
      <c r="F32" s="906"/>
      <c r="G32" s="907">
        <f>G27+G28+G29+G30+G31</f>
        <v>251390</v>
      </c>
      <c r="H32" s="841">
        <f>G32+'25'!H32</f>
        <v>6180186.429999995</v>
      </c>
      <c r="I32" s="908"/>
      <c r="J32" s="843">
        <f>H32/DAY(B2)</f>
        <v>237699.47807692288</v>
      </c>
      <c r="K32" s="858"/>
      <c r="L32" s="888"/>
      <c r="N32" s="1007"/>
      <c r="O32" s="845"/>
    </row>
    <row r="33" spans="1:15" ht="20.100000000000001" customHeight="1">
      <c r="A33" s="1679" t="s">
        <v>161</v>
      </c>
      <c r="B33" s="1680"/>
      <c r="C33" s="1680"/>
      <c r="D33" s="1680"/>
      <c r="E33" s="1680"/>
      <c r="F33" s="1680"/>
      <c r="G33" s="1680"/>
      <c r="H33" s="1680"/>
      <c r="I33" s="1680"/>
      <c r="J33" s="1681"/>
      <c r="K33" s="858"/>
      <c r="L33" s="818"/>
      <c r="O33" s="845"/>
    </row>
    <row r="34" spans="1:15" ht="20.100000000000001" customHeight="1">
      <c r="A34" s="909" t="s">
        <v>162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 ht="20.100000000000001" customHeight="1">
      <c r="A35" s="836" t="s">
        <v>163</v>
      </c>
      <c r="B35" s="837"/>
      <c r="C35" s="837"/>
      <c r="D35" s="838" t="s">
        <v>131</v>
      </c>
      <c r="E35" s="839">
        <f>'25'!F35</f>
        <v>1014277</v>
      </c>
      <c r="F35" s="911">
        <v>1017307</v>
      </c>
      <c r="G35" s="840">
        <f t="shared" ref="G35:G46" si="3">F35-E35</f>
        <v>3030</v>
      </c>
      <c r="H35" s="841">
        <f>G35+'25'!H35</f>
        <v>-11407</v>
      </c>
      <c r="I35" s="839"/>
      <c r="J35" s="843">
        <f>H35/DAY(B2)</f>
        <v>-438.73076923076923</v>
      </c>
      <c r="K35" s="858"/>
      <c r="L35" s="818"/>
      <c r="O35" s="845"/>
    </row>
    <row r="36" spans="1:15" ht="20.100000000000001" customHeight="1">
      <c r="A36" s="836" t="s">
        <v>164</v>
      </c>
      <c r="B36" s="837"/>
      <c r="C36" s="837"/>
      <c r="D36" s="838" t="s">
        <v>131</v>
      </c>
      <c r="E36" s="839">
        <f>'25'!F36</f>
        <v>17043</v>
      </c>
      <c r="F36" s="911">
        <v>18002</v>
      </c>
      <c r="G36" s="840">
        <f t="shared" si="3"/>
        <v>959</v>
      </c>
      <c r="H36" s="841">
        <f>G36+'25'!H36</f>
        <v>-2459</v>
      </c>
      <c r="I36" s="839"/>
      <c r="J36" s="843">
        <f>H36/DAY(B2)</f>
        <v>-94.57692307692308</v>
      </c>
      <c r="K36" s="858"/>
      <c r="L36" s="818"/>
      <c r="O36" s="845"/>
    </row>
    <row r="37" spans="1:15" ht="20.100000000000001" customHeight="1">
      <c r="A37" s="836" t="s">
        <v>165</v>
      </c>
      <c r="B37" s="837"/>
      <c r="C37" s="837"/>
      <c r="D37" s="838" t="s">
        <v>131</v>
      </c>
      <c r="E37" s="839">
        <f>'25'!F37</f>
        <v>169274</v>
      </c>
      <c r="F37" s="911">
        <v>170795</v>
      </c>
      <c r="G37" s="840">
        <f t="shared" si="3"/>
        <v>1521</v>
      </c>
      <c r="H37" s="841">
        <f>G37+'25'!H37</f>
        <v>-5775</v>
      </c>
      <c r="I37" s="839"/>
      <c r="J37" s="843">
        <f>H37/DAY(B2)</f>
        <v>-222.11538461538461</v>
      </c>
      <c r="K37" s="858"/>
      <c r="L37" s="818"/>
      <c r="O37" s="845"/>
    </row>
    <row r="38" spans="1:15" ht="20.100000000000001" customHeight="1">
      <c r="A38" s="836" t="s">
        <v>166</v>
      </c>
      <c r="B38" s="837"/>
      <c r="C38" s="837"/>
      <c r="D38" s="838" t="s">
        <v>131</v>
      </c>
      <c r="E38" s="839">
        <f>'25'!F38</f>
        <v>190335</v>
      </c>
      <c r="F38" s="828">
        <v>192122</v>
      </c>
      <c r="G38" s="840">
        <f t="shared" si="3"/>
        <v>1787</v>
      </c>
      <c r="H38" s="841">
        <f>G38+'25'!H38</f>
        <v>-6337</v>
      </c>
      <c r="I38" s="839"/>
      <c r="J38" s="843">
        <f>H38/DAY(B2)</f>
        <v>-243.73076923076923</v>
      </c>
      <c r="K38" s="858"/>
      <c r="L38" s="818"/>
      <c r="O38" s="845"/>
    </row>
    <row r="39" spans="1:15" ht="20.100000000000001" customHeight="1">
      <c r="A39" s="836" t="s">
        <v>167</v>
      </c>
      <c r="B39" s="837"/>
      <c r="C39" s="837"/>
      <c r="D39" s="838" t="s">
        <v>131</v>
      </c>
      <c r="E39" s="839">
        <f>'25'!F39</f>
        <v>386482</v>
      </c>
      <c r="F39" s="911">
        <v>390160</v>
      </c>
      <c r="G39" s="840">
        <f t="shared" si="3"/>
        <v>3678</v>
      </c>
      <c r="H39" s="841">
        <f>G39+'25'!H39</f>
        <v>-14704</v>
      </c>
      <c r="I39" s="839"/>
      <c r="J39" s="843">
        <f>H39/DAY(B2)</f>
        <v>-565.53846153846155</v>
      </c>
      <c r="K39" s="858"/>
      <c r="L39" s="818"/>
      <c r="O39" s="845"/>
    </row>
    <row r="40" spans="1:15" ht="20.100000000000001" customHeight="1">
      <c r="A40" s="912" t="s">
        <v>168</v>
      </c>
      <c r="B40" s="913"/>
      <c r="C40" s="913"/>
      <c r="D40" s="838" t="s">
        <v>131</v>
      </c>
      <c r="E40" s="839">
        <f>'25'!F40</f>
        <v>5453</v>
      </c>
      <c r="F40" s="911">
        <v>5734</v>
      </c>
      <c r="G40" s="840">
        <f t="shared" si="3"/>
        <v>281</v>
      </c>
      <c r="H40" s="841">
        <f>G40+'25'!H40</f>
        <v>-1379</v>
      </c>
      <c r="I40" s="839"/>
      <c r="J40" s="843">
        <f>H40/DAY(B2)</f>
        <v>-53.03846153846154</v>
      </c>
      <c r="K40" s="865"/>
      <c r="L40" s="818"/>
      <c r="O40" s="845"/>
    </row>
    <row r="41" spans="1:15" ht="20.100000000000001" customHeight="1">
      <c r="A41" s="836" t="s">
        <v>169</v>
      </c>
      <c r="B41" s="837"/>
      <c r="C41" s="837"/>
      <c r="D41" s="838" t="s">
        <v>131</v>
      </c>
      <c r="E41" s="839">
        <f>'25'!F41</f>
        <v>310992</v>
      </c>
      <c r="F41" s="911">
        <v>313882</v>
      </c>
      <c r="G41" s="840">
        <f t="shared" si="3"/>
        <v>2890</v>
      </c>
      <c r="H41" s="841">
        <f>G41+'25'!H41</f>
        <v>-15760</v>
      </c>
      <c r="I41" s="839"/>
      <c r="J41" s="843">
        <f>H41/DAY(B2)</f>
        <v>-606.15384615384619</v>
      </c>
      <c r="K41" s="858"/>
      <c r="L41" s="818"/>
      <c r="O41" s="845"/>
    </row>
    <row r="42" spans="1:15" ht="20.100000000000001" customHeight="1">
      <c r="A42" s="836" t="s">
        <v>170</v>
      </c>
      <c r="B42" s="837"/>
      <c r="C42" s="837"/>
      <c r="D42" s="838" t="s">
        <v>131</v>
      </c>
      <c r="E42" s="839">
        <f>'25'!F42</f>
        <v>59210</v>
      </c>
      <c r="F42" s="911">
        <v>59210</v>
      </c>
      <c r="G42" s="840">
        <f t="shared" si="3"/>
        <v>0</v>
      </c>
      <c r="H42" s="841">
        <f>G42+'25'!H42</f>
        <v>11.110000000000582</v>
      </c>
      <c r="I42" s="839"/>
      <c r="J42" s="843">
        <f>H42/DAY(B2)</f>
        <v>0.4273076923077147</v>
      </c>
      <c r="K42" s="858"/>
      <c r="L42" s="818"/>
      <c r="N42" s="1008">
        <f>3450-G42</f>
        <v>3450</v>
      </c>
      <c r="O42" s="845"/>
    </row>
    <row r="43" spans="1:15" ht="20.100000000000001" customHeight="1">
      <c r="A43" s="836" t="s">
        <v>171</v>
      </c>
      <c r="B43" s="837"/>
      <c r="C43" s="837"/>
      <c r="D43" s="838" t="s">
        <v>131</v>
      </c>
      <c r="E43" s="839">
        <f>'25'!F43</f>
        <v>1106552</v>
      </c>
      <c r="F43" s="911">
        <v>1109510</v>
      </c>
      <c r="G43" s="840">
        <f t="shared" si="3"/>
        <v>2958</v>
      </c>
      <c r="H43" s="841">
        <f>G43+'25'!H43</f>
        <v>-10942</v>
      </c>
      <c r="I43" s="839"/>
      <c r="J43" s="843">
        <f>H43/DAY(B2)</f>
        <v>-420.84615384615387</v>
      </c>
      <c r="K43" s="858"/>
      <c r="L43" s="818"/>
      <c r="O43" s="845"/>
    </row>
    <row r="44" spans="1:15" ht="20.100000000000001" customHeight="1">
      <c r="A44" s="836" t="s">
        <v>172</v>
      </c>
      <c r="B44" s="837"/>
      <c r="C44" s="837"/>
      <c r="D44" s="838" t="s">
        <v>131</v>
      </c>
      <c r="E44" s="839">
        <f>'25'!F44</f>
        <v>0</v>
      </c>
      <c r="F44" s="911">
        <v>0</v>
      </c>
      <c r="G44" s="840">
        <f t="shared" si="3"/>
        <v>0</v>
      </c>
      <c r="H44" s="841">
        <f>G44+'25'!H44</f>
        <v>0</v>
      </c>
      <c r="I44" s="839"/>
      <c r="J44" s="843">
        <f>H44/DAY(B2)</f>
        <v>0</v>
      </c>
      <c r="K44" s="858"/>
      <c r="L44" s="818"/>
      <c r="O44" s="845"/>
    </row>
    <row r="45" spans="1:15" ht="20.100000000000001" customHeight="1">
      <c r="A45" s="836" t="s">
        <v>173</v>
      </c>
      <c r="B45" s="837"/>
      <c r="C45" s="837"/>
      <c r="D45" s="838" t="s">
        <v>131</v>
      </c>
      <c r="E45" s="839">
        <f>'25'!F45</f>
        <v>0</v>
      </c>
      <c r="F45" s="911">
        <v>0</v>
      </c>
      <c r="G45" s="840">
        <f t="shared" si="3"/>
        <v>0</v>
      </c>
      <c r="H45" s="841">
        <f>G45+'25'!H45</f>
        <v>0</v>
      </c>
      <c r="I45" s="839"/>
      <c r="J45" s="843">
        <f>H45/DAY(B2)</f>
        <v>0</v>
      </c>
      <c r="K45" s="858"/>
      <c r="L45" s="818"/>
      <c r="O45" s="845"/>
    </row>
    <row r="46" spans="1:15" ht="20.100000000000001" customHeight="1">
      <c r="A46" s="836" t="s">
        <v>174</v>
      </c>
      <c r="B46" s="837"/>
      <c r="C46" s="837"/>
      <c r="D46" s="838" t="s">
        <v>131</v>
      </c>
      <c r="E46" s="839">
        <f>'25'!F46</f>
        <v>0</v>
      </c>
      <c r="F46" s="911">
        <v>0</v>
      </c>
      <c r="G46" s="840">
        <f t="shared" si="3"/>
        <v>0</v>
      </c>
      <c r="H46" s="841">
        <f>G46+'25'!H46</f>
        <v>-5.0000000000011369E-2</v>
      </c>
      <c r="I46" s="839"/>
      <c r="J46" s="843">
        <f>H46/DAY(B2)</f>
        <v>-1.9230769230773603E-3</v>
      </c>
      <c r="K46" s="858"/>
      <c r="L46" s="818"/>
      <c r="O46" s="845"/>
    </row>
    <row r="47" spans="1:15" ht="20.100000000000001" customHeight="1">
      <c r="A47" s="860" t="s">
        <v>175</v>
      </c>
      <c r="B47" s="861"/>
      <c r="C47" s="861"/>
      <c r="D47" s="829"/>
      <c r="E47" s="825"/>
      <c r="F47" s="825"/>
      <c r="G47" s="862">
        <f>G35+G36+G37+G38+G39+G40+G41+G42+G43+G44+G45+G46</f>
        <v>17104</v>
      </c>
      <c r="H47" s="841">
        <f>G47+'25'!H47</f>
        <v>-67950.449999999939</v>
      </c>
      <c r="I47" s="839"/>
      <c r="J47" s="843">
        <f>H47/DAY(B2)</f>
        <v>-2613.4788461538437</v>
      </c>
      <c r="K47" s="858"/>
      <c r="L47" s="818"/>
      <c r="N47" s="1008"/>
      <c r="O47" s="845"/>
    </row>
    <row r="48" spans="1:15" ht="20.100000000000001" customHeight="1">
      <c r="A48" s="909" t="s">
        <v>176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 ht="20.100000000000001" customHeight="1">
      <c r="A49" s="836" t="s">
        <v>163</v>
      </c>
      <c r="B49" s="914"/>
      <c r="C49" s="914"/>
      <c r="D49" s="838" t="s">
        <v>131</v>
      </c>
      <c r="E49" s="839">
        <f>'25'!F49</f>
        <v>260732.13</v>
      </c>
      <c r="F49" s="911">
        <v>260732</v>
      </c>
      <c r="G49" s="840">
        <f t="shared" ref="G49:G58" si="4">F49-E49</f>
        <v>-0.13000000000465661</v>
      </c>
      <c r="H49" s="841">
        <f>G49+'25'!H49</f>
        <v>0</v>
      </c>
      <c r="I49" s="839"/>
      <c r="J49" s="843">
        <f>H49/DAY(B2)</f>
        <v>0</v>
      </c>
      <c r="K49" s="858"/>
      <c r="L49" s="818"/>
      <c r="O49" s="845"/>
    </row>
    <row r="50" spans="1:15" ht="20.100000000000001" customHeight="1">
      <c r="A50" s="836" t="s">
        <v>177</v>
      </c>
      <c r="B50" s="914"/>
      <c r="C50" s="914"/>
      <c r="D50" s="838" t="s">
        <v>131</v>
      </c>
      <c r="E50" s="839">
        <f>'25'!F50</f>
        <v>529337</v>
      </c>
      <c r="F50" s="911">
        <v>530470</v>
      </c>
      <c r="G50" s="840">
        <f t="shared" si="4"/>
        <v>1133</v>
      </c>
      <c r="H50" s="841">
        <f>G50+'25'!H50</f>
        <v>-5083</v>
      </c>
      <c r="I50" s="839"/>
      <c r="J50" s="843">
        <f>H50/DAY(B2)</f>
        <v>-195.5</v>
      </c>
      <c r="K50" s="858"/>
      <c r="L50" s="818"/>
      <c r="O50" s="845"/>
    </row>
    <row r="51" spans="1:15" ht="20.100000000000001" customHeight="1">
      <c r="A51" s="836" t="s">
        <v>165</v>
      </c>
      <c r="B51" s="914"/>
      <c r="C51" s="914"/>
      <c r="D51" s="838" t="s">
        <v>131</v>
      </c>
      <c r="E51" s="839">
        <f>'25'!F51</f>
        <v>144639.87</v>
      </c>
      <c r="F51" s="911">
        <v>144639.87</v>
      </c>
      <c r="G51" s="840">
        <f t="shared" si="4"/>
        <v>0</v>
      </c>
      <c r="H51" s="841">
        <f>G51+'25'!H51</f>
        <v>-0.13000000000465661</v>
      </c>
      <c r="I51" s="839"/>
      <c r="J51" s="843">
        <f>H51/DAY(B2)</f>
        <v>-5.0000000001791008E-3</v>
      </c>
      <c r="K51" s="858"/>
      <c r="L51" s="818"/>
      <c r="O51" s="845"/>
    </row>
    <row r="52" spans="1:15" ht="20.100000000000001" customHeight="1">
      <c r="A52" s="836" t="s">
        <v>178</v>
      </c>
      <c r="B52" s="914"/>
      <c r="C52" s="914"/>
      <c r="D52" s="838" t="s">
        <v>131</v>
      </c>
      <c r="E52" s="839">
        <f>'25'!F52</f>
        <v>539606.06999999995</v>
      </c>
      <c r="F52" s="911">
        <v>539606.06999999995</v>
      </c>
      <c r="G52" s="840">
        <f t="shared" si="4"/>
        <v>0</v>
      </c>
      <c r="H52" s="841">
        <f>G52+'25'!H52</f>
        <v>0</v>
      </c>
      <c r="I52" s="839"/>
      <c r="J52" s="843">
        <f>H52/DAY(B2)</f>
        <v>0</v>
      </c>
      <c r="K52" s="858"/>
      <c r="L52" s="818"/>
      <c r="O52" s="845"/>
    </row>
    <row r="53" spans="1:15" ht="20.100000000000001" customHeight="1">
      <c r="A53" s="836" t="s">
        <v>167</v>
      </c>
      <c r="B53" s="914"/>
      <c r="C53" s="914"/>
      <c r="D53" s="838" t="s">
        <v>131</v>
      </c>
      <c r="E53" s="839">
        <f>'25'!F53</f>
        <v>434232</v>
      </c>
      <c r="F53" s="911">
        <v>434232</v>
      </c>
      <c r="G53" s="840">
        <f t="shared" si="4"/>
        <v>0</v>
      </c>
      <c r="H53" s="841">
        <f>G53+'25'!H53</f>
        <v>-0.33000000001629815</v>
      </c>
      <c r="I53" s="839"/>
      <c r="J53" s="843">
        <f>H53/DAY(B2)</f>
        <v>-1.2692307692934545E-2</v>
      </c>
      <c r="K53" s="858"/>
      <c r="L53" s="818"/>
      <c r="O53" s="845"/>
    </row>
    <row r="54" spans="1:15" ht="20.100000000000001" customHeight="1">
      <c r="A54" s="836" t="s">
        <v>179</v>
      </c>
      <c r="B54" s="914"/>
      <c r="C54" s="914"/>
      <c r="D54" s="838" t="s">
        <v>131</v>
      </c>
      <c r="E54" s="839">
        <f>'25'!F54</f>
        <v>14967</v>
      </c>
      <c r="F54" s="911">
        <v>14967</v>
      </c>
      <c r="G54" s="840">
        <f t="shared" si="4"/>
        <v>0</v>
      </c>
      <c r="H54" s="841">
        <f>G54+'25'!H54</f>
        <v>-79</v>
      </c>
      <c r="I54" s="839"/>
      <c r="J54" s="843">
        <f>H54/DAY(B2)</f>
        <v>-3.0384615384615383</v>
      </c>
      <c r="K54" s="858"/>
      <c r="L54" s="818"/>
      <c r="O54" s="845"/>
    </row>
    <row r="55" spans="1:15" ht="20.100000000000001" customHeight="1">
      <c r="A55" s="836" t="s">
        <v>180</v>
      </c>
      <c r="B55" s="914"/>
      <c r="C55" s="914"/>
      <c r="D55" s="838" t="s">
        <v>131</v>
      </c>
      <c r="E55" s="839">
        <f>'25'!F55</f>
        <v>105727</v>
      </c>
      <c r="F55" s="911">
        <v>109786</v>
      </c>
      <c r="G55" s="840">
        <f t="shared" si="4"/>
        <v>4059</v>
      </c>
      <c r="H55" s="841">
        <f>G55+'25'!H55</f>
        <v>-7850</v>
      </c>
      <c r="I55" s="839"/>
      <c r="J55" s="843">
        <f>H55/DAY(B2)</f>
        <v>-301.92307692307691</v>
      </c>
      <c r="K55" s="858"/>
      <c r="L55" s="818"/>
      <c r="O55" s="845"/>
    </row>
    <row r="56" spans="1:15" ht="20.100000000000001" customHeight="1">
      <c r="A56" s="836" t="s">
        <v>181</v>
      </c>
      <c r="B56" s="914"/>
      <c r="C56" s="914"/>
      <c r="D56" s="838" t="s">
        <v>182</v>
      </c>
      <c r="E56" s="839">
        <f>'25'!F56</f>
        <v>648960</v>
      </c>
      <c r="F56" s="911">
        <v>648960</v>
      </c>
      <c r="G56" s="840">
        <f t="shared" si="4"/>
        <v>0</v>
      </c>
      <c r="H56" s="841">
        <f>G56+'25'!H56</f>
        <v>-72</v>
      </c>
      <c r="I56" s="839"/>
      <c r="J56" s="843">
        <f>H56/DAY(B2)</f>
        <v>-2.7692307692307692</v>
      </c>
      <c r="K56" s="835"/>
      <c r="L56" s="818"/>
      <c r="O56" s="845"/>
    </row>
    <row r="57" spans="1:15" ht="20.100000000000001" customHeight="1">
      <c r="A57" s="836" t="s">
        <v>171</v>
      </c>
      <c r="B57" s="914"/>
      <c r="C57" s="914"/>
      <c r="D57" s="838" t="s">
        <v>131</v>
      </c>
      <c r="E57" s="839">
        <f>'25'!F57</f>
        <v>7711</v>
      </c>
      <c r="F57" s="911">
        <v>7711</v>
      </c>
      <c r="G57" s="840">
        <f t="shared" si="4"/>
        <v>0</v>
      </c>
      <c r="H57" s="841">
        <f>G57+'25'!H57</f>
        <v>0</v>
      </c>
      <c r="I57" s="839"/>
      <c r="J57" s="843">
        <f>H57/DAY(B2)</f>
        <v>0</v>
      </c>
      <c r="K57" s="858"/>
      <c r="L57" s="818"/>
      <c r="O57" s="845"/>
    </row>
    <row r="58" spans="1:15" ht="20.100000000000001" customHeight="1">
      <c r="A58" s="836" t="s">
        <v>183</v>
      </c>
      <c r="B58" s="914"/>
      <c r="C58" s="914"/>
      <c r="D58" s="838" t="s">
        <v>131</v>
      </c>
      <c r="E58" s="839">
        <f>'25'!F58</f>
        <v>53197</v>
      </c>
      <c r="F58" s="911">
        <v>53449</v>
      </c>
      <c r="G58" s="840">
        <f t="shared" si="4"/>
        <v>252</v>
      </c>
      <c r="H58" s="841">
        <f>G58+'25'!H58</f>
        <v>-776.20999999999913</v>
      </c>
      <c r="I58" s="839"/>
      <c r="J58" s="843">
        <f>H58/DAY(B2)</f>
        <v>-29.854230769230735</v>
      </c>
      <c r="K58" s="858"/>
      <c r="L58" s="818"/>
      <c r="O58" s="845"/>
    </row>
    <row r="59" spans="1:15" ht="20.100000000000001" customHeight="1">
      <c r="A59" s="860" t="s">
        <v>175</v>
      </c>
      <c r="B59" s="861"/>
      <c r="C59" s="861"/>
      <c r="D59" s="825"/>
      <c r="E59" s="825"/>
      <c r="F59" s="825"/>
      <c r="G59" s="862">
        <f>G49+G50+G51+G52+G53+G54+G55+G56+G57+G58</f>
        <v>5443.8699999999953</v>
      </c>
      <c r="H59" s="841">
        <f>G59+'25'!H59</f>
        <v>-13860.600000000071</v>
      </c>
      <c r="I59" s="839">
        <f>G7-G60</f>
        <v>-1047.8699999999953</v>
      </c>
      <c r="J59" s="843">
        <f>H59/DAY(B2)</f>
        <v>-533.10000000000275</v>
      </c>
      <c r="K59" s="858"/>
      <c r="L59" s="818"/>
      <c r="O59" s="845"/>
    </row>
    <row r="60" spans="1:15" ht="20.100000000000001" customHeight="1">
      <c r="A60" s="836"/>
      <c r="B60" s="837"/>
      <c r="C60" s="837"/>
      <c r="D60" s="825" t="s">
        <v>184</v>
      </c>
      <c r="E60" s="825"/>
      <c r="F60" s="825"/>
      <c r="G60" s="862">
        <f>G47+G59</f>
        <v>22547.869999999995</v>
      </c>
      <c r="H60" s="841">
        <f>G60+'25'!H60</f>
        <v>-80602.510000000184</v>
      </c>
      <c r="I60" s="839">
        <f>G13-G60</f>
        <v>-626.86999999999534</v>
      </c>
      <c r="J60" s="843">
        <f>H60/DAY(B2)</f>
        <v>-3100.0965384615456</v>
      </c>
      <c r="K60" s="858"/>
      <c r="L60" s="818"/>
      <c r="O60" s="845"/>
    </row>
    <row r="61" spans="1:15" ht="20.100000000000001" customHeight="1">
      <c r="A61" s="915" t="s">
        <v>185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 ht="20.100000000000001" customHeight="1">
      <c r="A62" s="919" t="s">
        <v>97</v>
      </c>
      <c r="B62" s="920"/>
      <c r="C62" s="920"/>
      <c r="D62" s="825" t="s">
        <v>186</v>
      </c>
      <c r="E62" s="839">
        <f>'25'!F62</f>
        <v>20419</v>
      </c>
      <c r="F62" s="921">
        <v>20419</v>
      </c>
      <c r="G62" s="840">
        <f t="shared" ref="G62:G69" si="5">F62-E62</f>
        <v>0</v>
      </c>
      <c r="H62" s="841">
        <f>G62+'25'!H62</f>
        <v>1.9999999967694748E-3</v>
      </c>
      <c r="I62" s="922"/>
      <c r="J62" s="843">
        <f>H62/DAY(B2)</f>
        <v>7.6923076798825961E-5</v>
      </c>
      <c r="K62" s="858"/>
      <c r="L62" s="818"/>
      <c r="O62" s="845"/>
    </row>
    <row r="63" spans="1:15" ht="20.100000000000001" customHeight="1">
      <c r="A63" s="919" t="s">
        <v>187</v>
      </c>
      <c r="B63" s="920"/>
      <c r="C63" s="920"/>
      <c r="D63" s="825" t="s">
        <v>186</v>
      </c>
      <c r="E63" s="839">
        <f>'25'!F63</f>
        <v>0</v>
      </c>
      <c r="F63" s="921">
        <v>0</v>
      </c>
      <c r="G63" s="840">
        <f t="shared" si="5"/>
        <v>0</v>
      </c>
      <c r="H63" s="841">
        <f>G63+'25'!H63</f>
        <v>0</v>
      </c>
      <c r="I63" s="922"/>
      <c r="J63" s="843">
        <f>H63/DAY(B2)</f>
        <v>0</v>
      </c>
      <c r="K63" s="858"/>
      <c r="L63" s="818"/>
      <c r="O63" s="845"/>
    </row>
    <row r="64" spans="1:15" ht="20.100000000000001" customHeight="1">
      <c r="A64" s="1655" t="s">
        <v>98</v>
      </c>
      <c r="B64" s="1656"/>
      <c r="C64" s="1657"/>
      <c r="D64" s="838" t="s">
        <v>186</v>
      </c>
      <c r="E64" s="839">
        <f>'25'!F64</f>
        <v>168211</v>
      </c>
      <c r="F64" s="868">
        <v>168532</v>
      </c>
      <c r="G64" s="840">
        <f t="shared" si="5"/>
        <v>321</v>
      </c>
      <c r="H64" s="841">
        <f>G64+'25'!H64</f>
        <v>-1490</v>
      </c>
      <c r="I64" s="859"/>
      <c r="J64" s="843">
        <f>H64/DAY(B2)</f>
        <v>-57.307692307692307</v>
      </c>
      <c r="K64" s="858"/>
      <c r="L64" s="818"/>
      <c r="O64" s="845"/>
    </row>
    <row r="65" spans="1:15" ht="20.100000000000001" customHeight="1">
      <c r="A65" s="1655" t="s">
        <v>99</v>
      </c>
      <c r="B65" s="1656"/>
      <c r="C65" s="1657"/>
      <c r="D65" s="838" t="s">
        <v>186</v>
      </c>
      <c r="E65" s="839">
        <f>'25'!F65</f>
        <v>168247</v>
      </c>
      <c r="F65" s="868">
        <v>168685</v>
      </c>
      <c r="G65" s="840">
        <f t="shared" si="5"/>
        <v>438</v>
      </c>
      <c r="H65" s="841">
        <f>G65+'25'!H65</f>
        <v>-1617</v>
      </c>
      <c r="I65" s="877"/>
      <c r="J65" s="843">
        <f>H65/DAY(B2)</f>
        <v>-62.192307692307693</v>
      </c>
      <c r="K65" s="858"/>
      <c r="L65" s="818"/>
      <c r="O65" s="845"/>
    </row>
    <row r="66" spans="1:15" ht="20.100000000000001" customHeight="1">
      <c r="A66" s="1655" t="s">
        <v>100</v>
      </c>
      <c r="B66" s="1656"/>
      <c r="C66" s="1657"/>
      <c r="D66" s="838" t="s">
        <v>186</v>
      </c>
      <c r="E66" s="839">
        <f>'25'!F66</f>
        <v>65832</v>
      </c>
      <c r="F66" s="868">
        <v>66280</v>
      </c>
      <c r="G66" s="840">
        <f t="shared" si="5"/>
        <v>448</v>
      </c>
      <c r="H66" s="841">
        <f>G66+'25'!H66</f>
        <v>-1690</v>
      </c>
      <c r="I66" s="859"/>
      <c r="J66" s="843">
        <f>H66/DAY(B2)</f>
        <v>-65</v>
      </c>
      <c r="K66" s="858"/>
      <c r="L66" s="818"/>
      <c r="O66" s="845"/>
    </row>
    <row r="67" spans="1:15" ht="20.100000000000001" customHeight="1">
      <c r="A67" s="1655" t="s">
        <v>101</v>
      </c>
      <c r="B67" s="1656"/>
      <c r="C67" s="1657"/>
      <c r="D67" s="838" t="s">
        <v>186</v>
      </c>
      <c r="E67" s="839">
        <f>'25'!F67</f>
        <v>262704</v>
      </c>
      <c r="F67" s="868">
        <v>263178</v>
      </c>
      <c r="G67" s="840">
        <f t="shared" si="5"/>
        <v>474</v>
      </c>
      <c r="H67" s="841">
        <f>G67+'25'!H67</f>
        <v>-1781</v>
      </c>
      <c r="I67" s="877"/>
      <c r="J67" s="843">
        <f>H67/DAY(B2)</f>
        <v>-68.5</v>
      </c>
      <c r="K67" s="865"/>
      <c r="L67" s="818"/>
      <c r="O67" s="845"/>
    </row>
    <row r="68" spans="1:15" ht="20.100000000000001" customHeight="1">
      <c r="A68" s="1655" t="s">
        <v>102</v>
      </c>
      <c r="B68" s="1656"/>
      <c r="C68" s="1657"/>
      <c r="D68" s="838" t="s">
        <v>186</v>
      </c>
      <c r="E68" s="839">
        <f>'25'!F68</f>
        <v>85321</v>
      </c>
      <c r="F68" s="868">
        <v>85321</v>
      </c>
      <c r="G68" s="840">
        <f t="shared" si="5"/>
        <v>0</v>
      </c>
      <c r="H68" s="841">
        <f>G68+'25'!H68</f>
        <v>0</v>
      </c>
      <c r="I68" s="923"/>
      <c r="J68" s="843">
        <f>H68/DAY(B2)</f>
        <v>0</v>
      </c>
      <c r="K68" s="924"/>
      <c r="L68" s="818"/>
      <c r="O68" s="845"/>
    </row>
    <row r="69" spans="1:15" ht="20.100000000000001" customHeight="1">
      <c r="A69" s="1655" t="s">
        <v>103</v>
      </c>
      <c r="B69" s="1656"/>
      <c r="C69" s="1657"/>
      <c r="D69" s="838" t="s">
        <v>186</v>
      </c>
      <c r="E69" s="839">
        <f>'25'!F69</f>
        <v>86292</v>
      </c>
      <c r="F69" s="868">
        <v>86501</v>
      </c>
      <c r="G69" s="840">
        <f t="shared" si="5"/>
        <v>209</v>
      </c>
      <c r="H69" s="841">
        <f>G69+'25'!H69</f>
        <v>-1014</v>
      </c>
      <c r="I69" s="923"/>
      <c r="J69" s="843">
        <f>H69/DAY(B2)</f>
        <v>-39</v>
      </c>
      <c r="K69" s="925"/>
      <c r="L69" s="818"/>
      <c r="O69" s="845"/>
    </row>
    <row r="70" spans="1:15" ht="20.100000000000001" customHeight="1">
      <c r="A70" s="1664" t="s">
        <v>188</v>
      </c>
      <c r="B70" s="1665"/>
      <c r="C70" s="1666"/>
      <c r="D70" s="838" t="s">
        <v>186</v>
      </c>
      <c r="E70" s="926"/>
      <c r="F70" s="927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0.100000000000001" customHeight="1">
      <c r="A71" s="1661" t="s">
        <v>189</v>
      </c>
      <c r="B71" s="1662"/>
      <c r="C71" s="1662"/>
      <c r="D71" s="1662"/>
      <c r="E71" s="1662"/>
      <c r="F71" s="1662"/>
      <c r="G71" s="1662"/>
      <c r="H71" s="1662"/>
      <c r="I71" s="1662"/>
      <c r="J71" s="1663"/>
      <c r="K71" s="924"/>
      <c r="L71" s="818"/>
      <c r="O71" s="845"/>
    </row>
    <row r="72" spans="1:15" ht="20.100000000000001" customHeight="1">
      <c r="A72" s="1655" t="s">
        <v>190</v>
      </c>
      <c r="B72" s="1656"/>
      <c r="C72" s="1657"/>
      <c r="D72" s="838" t="s">
        <v>186</v>
      </c>
      <c r="E72" s="839">
        <f>'25'!F72</f>
        <v>856169</v>
      </c>
      <c r="F72" s="929">
        <v>856180</v>
      </c>
      <c r="G72" s="840">
        <f t="shared" ref="G72:G84" si="6">F72-E72</f>
        <v>11</v>
      </c>
      <c r="H72" s="841">
        <f>G72+'25'!H72</f>
        <v>-55</v>
      </c>
      <c r="I72" s="859"/>
      <c r="J72" s="843">
        <f>H72/DAY(B2)</f>
        <v>-2.1153846153846154</v>
      </c>
      <c r="K72" s="925"/>
      <c r="L72" s="818"/>
      <c r="O72" s="845"/>
    </row>
    <row r="73" spans="1:15" ht="20.100000000000001" customHeight="1">
      <c r="A73" s="1655" t="s">
        <v>191</v>
      </c>
      <c r="B73" s="1656"/>
      <c r="C73" s="1657"/>
      <c r="D73" s="838" t="s">
        <v>186</v>
      </c>
      <c r="E73" s="839">
        <f>'25'!F73</f>
        <v>885966</v>
      </c>
      <c r="F73" s="929">
        <v>885967</v>
      </c>
      <c r="G73" s="840">
        <f t="shared" si="6"/>
        <v>1</v>
      </c>
      <c r="H73" s="841">
        <f>G73+'25'!H73</f>
        <v>-193</v>
      </c>
      <c r="I73" s="859"/>
      <c r="J73" s="843">
        <f>H73/DAY(B2)</f>
        <v>-7.4230769230769234</v>
      </c>
      <c r="K73" s="924"/>
      <c r="L73" s="818"/>
      <c r="O73" s="845"/>
    </row>
    <row r="74" spans="1:15" ht="20.100000000000001" customHeight="1">
      <c r="A74" s="1655" t="s">
        <v>192</v>
      </c>
      <c r="B74" s="1656"/>
      <c r="C74" s="1657"/>
      <c r="D74" s="838" t="s">
        <v>186</v>
      </c>
      <c r="E74" s="839">
        <f>'25'!F74</f>
        <v>88689</v>
      </c>
      <c r="F74" s="931">
        <v>88689</v>
      </c>
      <c r="G74" s="840">
        <f t="shared" si="6"/>
        <v>0</v>
      </c>
      <c r="H74" s="841">
        <f>G74+'25'!H74</f>
        <v>-86086.04</v>
      </c>
      <c r="I74" s="859"/>
      <c r="J74" s="843">
        <f>H74/DAY(B2)</f>
        <v>-3311.0015384615381</v>
      </c>
      <c r="K74" s="925"/>
      <c r="L74" s="818"/>
      <c r="O74" s="845"/>
    </row>
    <row r="75" spans="1:15" ht="20.100000000000001" customHeight="1">
      <c r="A75" s="1658" t="s">
        <v>193</v>
      </c>
      <c r="B75" s="1659"/>
      <c r="C75" s="1660"/>
      <c r="D75" s="838" t="s">
        <v>186</v>
      </c>
      <c r="E75" s="839">
        <f>'25'!F75</f>
        <v>15352</v>
      </c>
      <c r="F75" s="931">
        <v>15537</v>
      </c>
      <c r="G75" s="840">
        <f t="shared" si="6"/>
        <v>185</v>
      </c>
      <c r="H75" s="841">
        <f>G75+'25'!H75</f>
        <v>-534</v>
      </c>
      <c r="I75" s="859"/>
      <c r="J75" s="843">
        <f>H75/DAY(B2)</f>
        <v>-20.53846153846154</v>
      </c>
      <c r="K75" s="924"/>
      <c r="L75" s="818"/>
      <c r="O75" s="845"/>
    </row>
    <row r="76" spans="1:15" ht="20.100000000000001" customHeight="1">
      <c r="A76" s="1658" t="s">
        <v>194</v>
      </c>
      <c r="B76" s="1659"/>
      <c r="C76" s="1660"/>
      <c r="D76" s="838" t="s">
        <v>186</v>
      </c>
      <c r="E76" s="839">
        <f>'25'!F76</f>
        <v>8947</v>
      </c>
      <c r="F76" s="930">
        <v>9028</v>
      </c>
      <c r="G76" s="840">
        <f t="shared" si="6"/>
        <v>81</v>
      </c>
      <c r="H76" s="841">
        <f>G76+'25'!H76</f>
        <v>-1580</v>
      </c>
      <c r="I76" s="902"/>
      <c r="J76" s="843">
        <f>H76/DAY(B2)</f>
        <v>-60.769230769230766</v>
      </c>
      <c r="K76" s="924"/>
      <c r="L76" s="818"/>
      <c r="O76" s="845"/>
    </row>
    <row r="77" spans="1:15" ht="20.100000000000001" customHeight="1">
      <c r="A77" s="1655" t="s">
        <v>195</v>
      </c>
      <c r="B77" s="1656"/>
      <c r="C77" s="1657"/>
      <c r="D77" s="838" t="s">
        <v>186</v>
      </c>
      <c r="E77" s="839">
        <f>'25'!F77</f>
        <v>704088</v>
      </c>
      <c r="F77" s="929">
        <v>704148</v>
      </c>
      <c r="G77" s="840">
        <f t="shared" si="6"/>
        <v>60</v>
      </c>
      <c r="H77" s="841">
        <f>G77+'25'!H77</f>
        <v>-226</v>
      </c>
      <c r="I77" s="902"/>
      <c r="J77" s="843">
        <f>H77/DAY(B2)</f>
        <v>-8.6923076923076916</v>
      </c>
      <c r="K77" s="924"/>
      <c r="L77" s="818"/>
      <c r="O77" s="845"/>
    </row>
    <row r="78" spans="1:15" ht="18.75" customHeight="1">
      <c r="A78" s="932" t="s">
        <v>196</v>
      </c>
      <c r="B78" s="1135"/>
      <c r="C78" s="1135"/>
      <c r="D78" s="838" t="s">
        <v>186</v>
      </c>
      <c r="E78" s="839">
        <f>'25'!F78</f>
        <v>674898</v>
      </c>
      <c r="F78" s="929">
        <v>675015</v>
      </c>
      <c r="G78" s="840">
        <f t="shared" si="6"/>
        <v>117</v>
      </c>
      <c r="H78" s="841">
        <f>G78+'25'!H78</f>
        <v>-399</v>
      </c>
      <c r="I78" s="902"/>
      <c r="J78" s="843">
        <f>H78/DAY(B2)</f>
        <v>-15.346153846153847</v>
      </c>
      <c r="K78" s="924"/>
      <c r="L78" s="818"/>
      <c r="O78" s="845"/>
    </row>
    <row r="79" spans="1:15" ht="20.100000000000001" customHeight="1">
      <c r="A79" s="1658" t="s">
        <v>91</v>
      </c>
      <c r="B79" s="1659"/>
      <c r="C79" s="1660"/>
      <c r="D79" s="871" t="s">
        <v>186</v>
      </c>
      <c r="E79" s="839">
        <f>'25'!F79</f>
        <v>834684</v>
      </c>
      <c r="F79" s="931">
        <v>834834</v>
      </c>
      <c r="G79" s="840">
        <f t="shared" si="6"/>
        <v>150</v>
      </c>
      <c r="H79" s="841">
        <f>G79+'25'!H79</f>
        <v>430</v>
      </c>
      <c r="I79" s="902"/>
      <c r="J79" s="843">
        <f>H79/DAY(B2)</f>
        <v>16.53846153846154</v>
      </c>
      <c r="K79" s="924"/>
      <c r="L79" s="818"/>
      <c r="O79" s="845"/>
    </row>
    <row r="80" spans="1:15" ht="20.100000000000001" customHeight="1">
      <c r="A80" s="1658" t="s">
        <v>197</v>
      </c>
      <c r="B80" s="1659"/>
      <c r="C80" s="1660"/>
      <c r="D80" s="871" t="s">
        <v>186</v>
      </c>
      <c r="E80" s="839">
        <f>'25'!F80</f>
        <v>537015</v>
      </c>
      <c r="F80" s="929">
        <v>537443</v>
      </c>
      <c r="G80" s="840">
        <f t="shared" si="6"/>
        <v>428</v>
      </c>
      <c r="H80" s="841">
        <f>G80+'25'!H80</f>
        <v>2491.4799999999814</v>
      </c>
      <c r="I80" s="902"/>
      <c r="J80" s="843">
        <f>H80/DAY(B2)</f>
        <v>95.826153846153133</v>
      </c>
      <c r="K80" s="924"/>
      <c r="L80" s="818"/>
      <c r="O80" s="845"/>
    </row>
    <row r="81" spans="1:15" ht="20.100000000000001" customHeight="1">
      <c r="A81" s="1658" t="s">
        <v>198</v>
      </c>
      <c r="B81" s="1659"/>
      <c r="C81" s="1660"/>
      <c r="D81" s="871" t="s">
        <v>186</v>
      </c>
      <c r="E81" s="839">
        <f>'25'!F81</f>
        <v>642289</v>
      </c>
      <c r="F81" s="930">
        <v>642446</v>
      </c>
      <c r="G81" s="840">
        <f t="shared" si="6"/>
        <v>157</v>
      </c>
      <c r="H81" s="841">
        <f>G81+'25'!H81</f>
        <v>-539</v>
      </c>
      <c r="I81" s="902"/>
      <c r="J81" s="843">
        <f>H81/DAY(B2)</f>
        <v>-20.73076923076923</v>
      </c>
      <c r="K81" s="924"/>
      <c r="L81" s="818"/>
      <c r="O81" s="845"/>
    </row>
    <row r="82" spans="1:15" ht="20.100000000000001" customHeight="1">
      <c r="A82" s="1658" t="s">
        <v>92</v>
      </c>
      <c r="B82" s="1659"/>
      <c r="C82" s="1660"/>
      <c r="D82" s="872" t="s">
        <v>131</v>
      </c>
      <c r="E82" s="839">
        <f>'25'!F82</f>
        <v>108594</v>
      </c>
      <c r="F82" s="933">
        <v>108608</v>
      </c>
      <c r="G82" s="840">
        <f t="shared" si="6"/>
        <v>14</v>
      </c>
      <c r="H82" s="841">
        <f>G82+'25'!H82</f>
        <v>-73</v>
      </c>
      <c r="I82" s="873"/>
      <c r="J82" s="843">
        <f>H82/DAY(B2)</f>
        <v>-2.8076923076923075</v>
      </c>
      <c r="K82" s="924"/>
      <c r="L82" s="818"/>
      <c r="O82" s="845"/>
    </row>
    <row r="83" spans="1:15" ht="20.100000000000001" customHeight="1">
      <c r="A83" s="1658" t="s">
        <v>199</v>
      </c>
      <c r="B83" s="1659"/>
      <c r="C83" s="1660"/>
      <c r="D83" s="934" t="s">
        <v>131</v>
      </c>
      <c r="E83" s="839">
        <f>'25'!F83</f>
        <v>25943</v>
      </c>
      <c r="F83" s="825">
        <v>26315</v>
      </c>
      <c r="G83" s="840">
        <f t="shared" si="6"/>
        <v>372</v>
      </c>
      <c r="H83" s="841">
        <f>G83+'25'!H83</f>
        <v>-1236</v>
      </c>
      <c r="I83" s="862"/>
      <c r="J83" s="843">
        <f>H83/DAY(B2)</f>
        <v>-47.53846153846154</v>
      </c>
      <c r="K83" s="865"/>
      <c r="L83" s="818"/>
      <c r="O83" s="845"/>
    </row>
    <row r="84" spans="1:15" ht="20.100000000000001" customHeight="1">
      <c r="A84" s="935" t="s">
        <v>200</v>
      </c>
      <c r="B84" s="936"/>
      <c r="C84" s="936"/>
      <c r="D84" s="856" t="s">
        <v>131</v>
      </c>
      <c r="E84" s="839">
        <f>'25'!F84</f>
        <v>518881</v>
      </c>
      <c r="F84" s="937">
        <v>519753</v>
      </c>
      <c r="G84" s="840">
        <f t="shared" si="6"/>
        <v>872</v>
      </c>
      <c r="H84" s="841">
        <f>G84+'25'!H84</f>
        <v>-3327</v>
      </c>
      <c r="I84" s="862"/>
      <c r="J84" s="843">
        <f>H84/DAY(B2)</f>
        <v>-127.96153846153847</v>
      </c>
      <c r="K84" s="938"/>
      <c r="L84" s="818"/>
      <c r="O84" s="845"/>
    </row>
    <row r="85" spans="1:15" s="942" customFormat="1" ht="20.100000000000001" customHeight="1">
      <c r="A85" s="939" t="s">
        <v>201</v>
      </c>
      <c r="B85" s="940"/>
      <c r="C85" s="940"/>
      <c r="D85" s="877"/>
      <c r="E85" s="839">
        <f>'25'!F85</f>
        <v>0</v>
      </c>
      <c r="F85" s="838"/>
      <c r="G85" s="841">
        <f xml:space="preserve"> SUM(G72:G84)</f>
        <v>2448</v>
      </c>
      <c r="H85" s="841">
        <f>G85+'25'!H85</f>
        <v>-94927.040000000008</v>
      </c>
      <c r="I85" s="862"/>
      <c r="J85" s="843">
        <f>H85/DAY(B2)</f>
        <v>-3651.0400000000004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'25'!F86</f>
        <v>461639</v>
      </c>
      <c r="F86" s="946">
        <v>461666</v>
      </c>
      <c r="G86" s="947">
        <f t="shared" ref="G86:G91" si="7">F86-E86</f>
        <v>27</v>
      </c>
      <c r="H86" s="947">
        <f t="shared" ref="H86:H88" si="8">G86</f>
        <v>27</v>
      </c>
      <c r="I86" s="948"/>
      <c r="J86" s="949">
        <f>H86/DAY(B2)</f>
        <v>1.0384615384615385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'25'!F87</f>
        <v>81950</v>
      </c>
      <c r="F87" s="1280">
        <v>81967</v>
      </c>
      <c r="G87" s="947">
        <f t="shared" si="7"/>
        <v>17</v>
      </c>
      <c r="H87" s="947">
        <f t="shared" si="8"/>
        <v>17</v>
      </c>
      <c r="I87" s="948"/>
      <c r="J87" s="949">
        <f>H87/DAY(B2)</f>
        <v>0.65384615384615385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'25'!F88</f>
        <v>154823</v>
      </c>
      <c r="F88" s="946">
        <v>154949</v>
      </c>
      <c r="G88" s="947">
        <f t="shared" si="7"/>
        <v>126</v>
      </c>
      <c r="H88" s="947">
        <f t="shared" si="8"/>
        <v>126</v>
      </c>
      <c r="I88" s="948"/>
      <c r="J88" s="949">
        <f>H88/DAY(B2)</f>
        <v>4.8461538461538458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'25'!F89</f>
        <v>65732</v>
      </c>
      <c r="F89" s="946">
        <v>65748</v>
      </c>
      <c r="G89" s="947">
        <f t="shared" si="7"/>
        <v>16</v>
      </c>
      <c r="H89" s="947">
        <f>G89</f>
        <v>16</v>
      </c>
      <c r="I89" s="948"/>
      <c r="J89" s="949">
        <f>H89/DAY(B2)</f>
        <v>0.61538461538461542</v>
      </c>
      <c r="K89" s="950"/>
      <c r="L89" s="951"/>
      <c r="N89" s="1016"/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'25'!F90</f>
        <v>3332</v>
      </c>
      <c r="F90" s="946">
        <v>3333</v>
      </c>
      <c r="G90" s="947">
        <f t="shared" si="7"/>
        <v>1</v>
      </c>
      <c r="H90" s="947">
        <f>G90</f>
        <v>1</v>
      </c>
      <c r="I90" s="948"/>
      <c r="J90" s="949">
        <f>H90/DAY(B2)</f>
        <v>3.8461538461538464E-2</v>
      </c>
      <c r="K90" s="950"/>
      <c r="L90" s="951"/>
      <c r="N90" s="1011"/>
      <c r="O90" s="845"/>
    </row>
    <row r="91" spans="1:15" s="735" customFormat="1" ht="29.25">
      <c r="A91" s="730" t="s">
        <v>348</v>
      </c>
      <c r="B91" s="731"/>
      <c r="C91" s="731"/>
      <c r="D91" s="732"/>
      <c r="E91" s="839">
        <f>'25'!F91</f>
        <v>28212</v>
      </c>
      <c r="F91" s="946">
        <v>28215</v>
      </c>
      <c r="G91" s="705">
        <f t="shared" si="7"/>
        <v>3</v>
      </c>
      <c r="H91" s="705">
        <f>G91</f>
        <v>3</v>
      </c>
      <c r="I91" s="652"/>
      <c r="J91" s="707"/>
      <c r="K91" s="733"/>
      <c r="L91" s="734"/>
      <c r="N91" s="777"/>
      <c r="O91" s="382"/>
    </row>
    <row r="92" spans="1:15" s="942" customFormat="1" ht="20.100000000000001" customHeight="1">
      <c r="A92" s="953" t="s">
        <v>204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 ht="20.100000000000001" customHeight="1">
      <c r="A93" s="1649" t="s">
        <v>205</v>
      </c>
      <c r="B93" s="1650"/>
      <c r="C93" s="1651"/>
      <c r="D93" s="838" t="s">
        <v>143</v>
      </c>
      <c r="E93" s="839">
        <f>'25'!F93</f>
        <v>246939</v>
      </c>
      <c r="F93" s="868">
        <v>247056</v>
      </c>
      <c r="G93" s="840">
        <f t="shared" ref="G93:G94" si="9">F93-E93</f>
        <v>117</v>
      </c>
      <c r="H93" s="841">
        <f>G93+'25'!H93</f>
        <v>-296</v>
      </c>
      <c r="I93" s="859"/>
      <c r="J93" s="843">
        <f>H93/DAY(B2)</f>
        <v>-11.384615384615385</v>
      </c>
      <c r="K93" s="865"/>
      <c r="L93" s="818"/>
      <c r="O93" s="845"/>
    </row>
    <row r="94" spans="1:15" ht="20.100000000000001" customHeight="1">
      <c r="A94" s="1649" t="s">
        <v>206</v>
      </c>
      <c r="B94" s="1650"/>
      <c r="C94" s="1651"/>
      <c r="D94" s="838" t="s">
        <v>143</v>
      </c>
      <c r="E94" s="839">
        <f>'25'!F94</f>
        <v>188895</v>
      </c>
      <c r="F94" s="868">
        <v>189022</v>
      </c>
      <c r="G94" s="840">
        <f t="shared" si="9"/>
        <v>127</v>
      </c>
      <c r="H94" s="841">
        <f>G94+'25'!H94</f>
        <v>-432</v>
      </c>
      <c r="I94" s="859"/>
      <c r="J94" s="843">
        <f>H94/DAY(B2)</f>
        <v>-16.615384615384617</v>
      </c>
      <c r="K94" s="938"/>
      <c r="L94" s="818"/>
      <c r="O94" s="845"/>
    </row>
    <row r="95" spans="1:15" ht="20.100000000000001" customHeight="1">
      <c r="A95" s="1641" t="s">
        <v>207</v>
      </c>
      <c r="B95" s="1642"/>
      <c r="C95" s="1643"/>
      <c r="D95" s="838"/>
      <c r="E95" s="839">
        <f>'25'!F95</f>
        <v>0</v>
      </c>
      <c r="F95" s="868"/>
      <c r="G95" s="840">
        <f>G93+G94</f>
        <v>244</v>
      </c>
      <c r="H95" s="841">
        <f>G95+'25'!H95</f>
        <v>-914</v>
      </c>
      <c r="I95" s="859"/>
      <c r="J95" s="843">
        <f>H95/DAY(B2)</f>
        <v>-35.153846153846153</v>
      </c>
      <c r="K95" s="938"/>
      <c r="L95" s="818"/>
      <c r="O95" s="845"/>
    </row>
    <row r="96" spans="1:15" ht="20.100000000000001" customHeight="1">
      <c r="A96" s="1649" t="s">
        <v>208</v>
      </c>
      <c r="B96" s="1650"/>
      <c r="C96" s="1651"/>
      <c r="D96" s="838" t="s">
        <v>143</v>
      </c>
      <c r="E96" s="839">
        <f>'25'!F96</f>
        <v>415676</v>
      </c>
      <c r="F96" s="868">
        <v>415755</v>
      </c>
      <c r="G96" s="840">
        <f t="shared" ref="G96:G101" si="10">F96-E96</f>
        <v>79</v>
      </c>
      <c r="H96" s="841">
        <f>G96+'25'!H96</f>
        <v>-244</v>
      </c>
      <c r="I96" s="859"/>
      <c r="J96" s="843">
        <f>H96/DAY(B2)</f>
        <v>-9.384615384615385</v>
      </c>
      <c r="K96" s="938"/>
      <c r="L96" s="818"/>
      <c r="O96" s="845"/>
    </row>
    <row r="97" spans="1:15" ht="20.100000000000001" customHeight="1">
      <c r="A97" s="866" t="s">
        <v>209</v>
      </c>
      <c r="B97" s="867"/>
      <c r="C97" s="867"/>
      <c r="D97" s="838" t="s">
        <v>143</v>
      </c>
      <c r="E97" s="839">
        <f>'25'!F97</f>
        <v>103050</v>
      </c>
      <c r="F97" s="868">
        <v>103079</v>
      </c>
      <c r="G97" s="840">
        <f t="shared" si="10"/>
        <v>29</v>
      </c>
      <c r="H97" s="841">
        <f>G97+'25'!H97</f>
        <v>-84</v>
      </c>
      <c r="I97" s="859"/>
      <c r="J97" s="843">
        <f>H97/DAY(B2)</f>
        <v>-3.2307692307692308</v>
      </c>
      <c r="K97" s="835"/>
      <c r="L97" s="818"/>
      <c r="O97" s="845"/>
    </row>
    <row r="98" spans="1:15" ht="20.100000000000001" customHeight="1">
      <c r="A98" s="866" t="s">
        <v>210</v>
      </c>
      <c r="B98" s="867"/>
      <c r="C98" s="867"/>
      <c r="D98" s="838" t="s">
        <v>143</v>
      </c>
      <c r="E98" s="839">
        <f>'25'!F98</f>
        <v>98531</v>
      </c>
      <c r="F98" s="868">
        <v>98565</v>
      </c>
      <c r="G98" s="840">
        <f t="shared" si="10"/>
        <v>34</v>
      </c>
      <c r="H98" s="841">
        <f>G98+'25'!H98</f>
        <v>-92</v>
      </c>
      <c r="I98" s="859"/>
      <c r="J98" s="843">
        <f>H98/DAY(B2)</f>
        <v>-3.5384615384615383</v>
      </c>
      <c r="K98" s="954"/>
      <c r="L98" s="818"/>
      <c r="O98" s="845"/>
    </row>
    <row r="99" spans="1:15" ht="20.100000000000001" customHeight="1">
      <c r="A99" s="866" t="s">
        <v>211</v>
      </c>
      <c r="B99" s="867"/>
      <c r="C99" s="867"/>
      <c r="D99" s="838" t="s">
        <v>143</v>
      </c>
      <c r="E99" s="839">
        <f>'25'!F99</f>
        <v>150214</v>
      </c>
      <c r="F99" s="868">
        <v>150277</v>
      </c>
      <c r="G99" s="840">
        <f t="shared" si="10"/>
        <v>63</v>
      </c>
      <c r="H99" s="841">
        <f>G99+'25'!H99</f>
        <v>-128</v>
      </c>
      <c r="I99" s="859"/>
      <c r="J99" s="843">
        <f>H99/DAY(B2)</f>
        <v>-4.9230769230769234</v>
      </c>
      <c r="K99" s="938"/>
      <c r="L99" s="818"/>
      <c r="O99" s="845"/>
    </row>
    <row r="100" spans="1:15" ht="20.100000000000001" customHeight="1">
      <c r="A100" s="866" t="s">
        <v>212</v>
      </c>
      <c r="B100" s="867"/>
      <c r="C100" s="867"/>
      <c r="D100" s="838" t="s">
        <v>143</v>
      </c>
      <c r="E100" s="839">
        <f>'25'!F100</f>
        <v>7687</v>
      </c>
      <c r="F100" s="868">
        <v>7714</v>
      </c>
      <c r="G100" s="840">
        <f t="shared" si="10"/>
        <v>27</v>
      </c>
      <c r="H100" s="841">
        <f>G100+'25'!H100</f>
        <v>-83</v>
      </c>
      <c r="I100" s="859"/>
      <c r="J100" s="843">
        <f>H100/DAY(B2)</f>
        <v>-3.1923076923076925</v>
      </c>
      <c r="K100" s="938"/>
      <c r="L100" s="818"/>
      <c r="O100" s="845"/>
    </row>
    <row r="101" spans="1:15" ht="20.100000000000001" customHeight="1">
      <c r="A101" s="866" t="s">
        <v>213</v>
      </c>
      <c r="B101" s="867"/>
      <c r="C101" s="867"/>
      <c r="D101" s="838" t="s">
        <v>143</v>
      </c>
      <c r="E101" s="839">
        <f>'25'!F101</f>
        <v>5604</v>
      </c>
      <c r="F101" s="868">
        <v>5616</v>
      </c>
      <c r="G101" s="840">
        <f t="shared" si="10"/>
        <v>12</v>
      </c>
      <c r="H101" s="841">
        <f>G101+'25'!H101</f>
        <v>-58</v>
      </c>
      <c r="I101" s="859"/>
      <c r="J101" s="843">
        <f>H101/DAY(B2)</f>
        <v>-2.2307692307692308</v>
      </c>
      <c r="K101" s="938"/>
      <c r="L101" s="818"/>
      <c r="O101" s="845"/>
    </row>
    <row r="102" spans="1:15" ht="20.100000000000001" customHeight="1">
      <c r="A102" s="1641" t="s">
        <v>215</v>
      </c>
      <c r="B102" s="1642"/>
      <c r="C102" s="1643"/>
      <c r="D102" s="871"/>
      <c r="E102" s="871"/>
      <c r="F102" s="871"/>
      <c r="G102" s="955">
        <f>SUM(G96:G101)</f>
        <v>244</v>
      </c>
      <c r="H102" s="841">
        <f>G102+'25'!H102</f>
        <v>-689</v>
      </c>
      <c r="I102" s="956"/>
      <c r="J102" s="843">
        <f>H102/DAY(B2)</f>
        <v>-26.5</v>
      </c>
      <c r="K102" s="938"/>
      <c r="L102" s="818"/>
      <c r="O102" s="845"/>
    </row>
    <row r="103" spans="1:15" s="889" customFormat="1" ht="25.5" customHeight="1">
      <c r="A103" s="957" t="s">
        <v>216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 ht="21.75" customHeight="1">
      <c r="A104" s="1638" t="s">
        <v>217</v>
      </c>
      <c r="B104" s="1639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 ht="21.75" customHeight="1">
      <c r="A105" s="1632" t="s">
        <v>218</v>
      </c>
      <c r="B105" s="1633"/>
      <c r="C105" s="971"/>
      <c r="D105" s="967" t="s">
        <v>143</v>
      </c>
      <c r="E105" s="968">
        <f>'25'!F105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2.6684615384615076</v>
      </c>
      <c r="N105" s="1007"/>
      <c r="O105" s="845"/>
    </row>
    <row r="106" spans="1:15" s="889" customFormat="1" ht="21.75" customHeight="1">
      <c r="A106" s="1632" t="s">
        <v>76</v>
      </c>
      <c r="B106" s="1633"/>
      <c r="C106" s="971"/>
      <c r="D106" s="967" t="s">
        <v>143</v>
      </c>
      <c r="E106" s="968">
        <f>'25'!F106</f>
        <v>36121</v>
      </c>
      <c r="F106" s="972">
        <v>36137</v>
      </c>
      <c r="G106" s="968">
        <f t="shared" ref="G106:G107" si="11">F106-E106</f>
        <v>16</v>
      </c>
      <c r="H106" s="969">
        <f>SUM(G106+'1'!G77)</f>
        <v>69</v>
      </c>
      <c r="I106" s="968"/>
      <c r="J106" s="970">
        <f>H106/DAY(B2)</f>
        <v>2.6538461538461537</v>
      </c>
      <c r="N106" s="1007"/>
      <c r="O106" s="845"/>
    </row>
    <row r="107" spans="1:15" s="889" customFormat="1" ht="21.75" customHeight="1">
      <c r="A107" s="1632" t="s">
        <v>77</v>
      </c>
      <c r="B107" s="1640"/>
      <c r="C107" s="1633"/>
      <c r="D107" s="967" t="s">
        <v>143</v>
      </c>
      <c r="E107" s="968">
        <f>'25'!F107</f>
        <v>19800</v>
      </c>
      <c r="F107" s="968">
        <v>19805</v>
      </c>
      <c r="G107" s="968">
        <f t="shared" si="11"/>
        <v>5</v>
      </c>
      <c r="H107" s="969">
        <f>SUM(G107+'1'!G78)</f>
        <v>119</v>
      </c>
      <c r="I107" s="968"/>
      <c r="J107" s="970">
        <f>H107/DAY(B2)</f>
        <v>4.5769230769230766</v>
      </c>
      <c r="N107" s="1007"/>
      <c r="O107" s="845"/>
    </row>
    <row r="108" spans="1:15" s="889" customFormat="1" ht="21.75" customHeight="1">
      <c r="A108" s="1634" t="s">
        <v>201</v>
      </c>
      <c r="B108" s="1635"/>
      <c r="C108" s="971"/>
      <c r="D108" s="967"/>
      <c r="E108" s="968">
        <f>'25'!F108</f>
        <v>0</v>
      </c>
      <c r="F108" s="968"/>
      <c r="G108" s="968">
        <f>SUM(G105:G107)</f>
        <v>21</v>
      </c>
      <c r="H108" s="969">
        <f>SUM(G108+'1'!G79)</f>
        <v>174</v>
      </c>
      <c r="I108" s="968"/>
      <c r="J108" s="970">
        <f>H108/DAY(B2)</f>
        <v>6.6923076923076925</v>
      </c>
      <c r="N108" s="1007"/>
      <c r="O108" s="845"/>
    </row>
    <row r="109" spans="1:15" s="889" customFormat="1" ht="21.75" customHeight="1">
      <c r="A109" s="1630" t="s">
        <v>78</v>
      </c>
      <c r="B109" s="1631"/>
      <c r="C109" s="971"/>
      <c r="D109" s="967" t="s">
        <v>143</v>
      </c>
      <c r="E109" s="968">
        <f>'25'!F109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 ht="21.75" customHeight="1">
      <c r="A110" s="1632" t="s">
        <v>219</v>
      </c>
      <c r="B110" s="1633"/>
      <c r="C110" s="971"/>
      <c r="D110" s="967" t="s">
        <v>143</v>
      </c>
      <c r="E110" s="968">
        <f>'25'!F110</f>
        <v>64486</v>
      </c>
      <c r="F110" s="968">
        <v>64540</v>
      </c>
      <c r="G110" s="968">
        <f>F110-E110</f>
        <v>54</v>
      </c>
      <c r="H110" s="969">
        <f>SUM(G110+'1'!G81)</f>
        <v>185.64000000001397</v>
      </c>
      <c r="I110" s="968"/>
      <c r="J110" s="970">
        <f>H110/DAY(B2)</f>
        <v>7.140000000000537</v>
      </c>
      <c r="N110" s="1007"/>
      <c r="O110" s="845"/>
    </row>
    <row r="111" spans="1:15" s="889" customFormat="1" ht="21.75" customHeight="1">
      <c r="A111" s="1632" t="s">
        <v>220</v>
      </c>
      <c r="B111" s="1633"/>
      <c r="C111" s="971"/>
      <c r="D111" s="967" t="s">
        <v>143</v>
      </c>
      <c r="E111" s="968">
        <f>'25'!F111</f>
        <v>32925</v>
      </c>
      <c r="F111" s="968">
        <v>32996</v>
      </c>
      <c r="G111" s="968">
        <f t="shared" ref="G111:G112" si="12">F111-E111</f>
        <v>71</v>
      </c>
      <c r="H111" s="969">
        <f>SUM(G111+'1'!G82)</f>
        <v>95.899999999994179</v>
      </c>
      <c r="I111" s="968"/>
      <c r="J111" s="970">
        <f>H111/DAY(B2)</f>
        <v>3.6884615384613144</v>
      </c>
      <c r="N111" s="1007"/>
      <c r="O111" s="845"/>
    </row>
    <row r="112" spans="1:15" s="889" customFormat="1" ht="21.75" customHeight="1">
      <c r="A112" s="1632" t="s">
        <v>221</v>
      </c>
      <c r="B112" s="1633"/>
      <c r="C112" s="971"/>
      <c r="D112" s="967" t="s">
        <v>143</v>
      </c>
      <c r="E112" s="968">
        <f>'25'!F112</f>
        <v>4621</v>
      </c>
      <c r="F112" s="968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13.5</v>
      </c>
      <c r="N112" s="1007"/>
      <c r="O112" s="845"/>
    </row>
    <row r="113" spans="1:15" s="889" customFormat="1" ht="21.75" customHeight="1">
      <c r="A113" s="1636" t="s">
        <v>109</v>
      </c>
      <c r="B113" s="1637"/>
      <c r="C113" s="971"/>
      <c r="D113" s="967"/>
      <c r="E113" s="968">
        <f>'25'!F113</f>
        <v>0</v>
      </c>
      <c r="F113" s="968"/>
      <c r="G113" s="968">
        <f>SUM(G110:G112)</f>
        <v>125</v>
      </c>
      <c r="H113" s="969">
        <f>SUM(G113+'1'!G84)</f>
        <v>941</v>
      </c>
      <c r="I113" s="968"/>
      <c r="J113" s="970">
        <f>H113/DAY(B2)</f>
        <v>36.192307692307693</v>
      </c>
      <c r="N113" s="1007"/>
      <c r="O113" s="845"/>
    </row>
    <row r="114" spans="1:15" s="889" customFormat="1" ht="21.75" customHeight="1">
      <c r="A114" s="1630" t="s">
        <v>222</v>
      </c>
      <c r="B114" s="1631"/>
      <c r="C114" s="971"/>
      <c r="D114" s="967"/>
      <c r="E114" s="968">
        <f>'25'!F114</f>
        <v>0</v>
      </c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 ht="21.75" customHeight="1">
      <c r="A115" s="1632" t="s">
        <v>223</v>
      </c>
      <c r="B115" s="1633"/>
      <c r="C115" s="973"/>
      <c r="D115" s="967" t="s">
        <v>143</v>
      </c>
      <c r="E115" s="968">
        <f>'25'!F115</f>
        <v>11886</v>
      </c>
      <c r="F115" s="972">
        <v>11916</v>
      </c>
      <c r="G115" s="972">
        <f>F115-E115</f>
        <v>30</v>
      </c>
      <c r="H115" s="969">
        <f>SUM(G115+'1'!G92)</f>
        <v>30</v>
      </c>
      <c r="I115" s="968"/>
      <c r="J115" s="970">
        <f>H115/DAY(B2)</f>
        <v>1.1538461538461537</v>
      </c>
      <c r="N115" s="1007"/>
      <c r="O115" s="845"/>
    </row>
    <row r="116" spans="1:15" s="889" customFormat="1" ht="21.75" customHeight="1">
      <c r="A116" s="1632" t="s">
        <v>224</v>
      </c>
      <c r="B116" s="1633"/>
      <c r="C116" s="973"/>
      <c r="D116" s="967" t="s">
        <v>143</v>
      </c>
      <c r="E116" s="968">
        <f>'25'!F116</f>
        <v>8498</v>
      </c>
      <c r="F116" s="972">
        <v>8507</v>
      </c>
      <c r="G116" s="972">
        <f t="shared" ref="G116:G117" si="13">F116-E116</f>
        <v>9</v>
      </c>
      <c r="H116" s="969">
        <f>SUM(G116+'1'!G93)</f>
        <v>98</v>
      </c>
      <c r="I116" s="968"/>
      <c r="J116" s="970">
        <f>H116/DAY(B2)</f>
        <v>3.7692307692307692</v>
      </c>
      <c r="N116" s="1007"/>
      <c r="O116" s="845"/>
    </row>
    <row r="117" spans="1:15" s="889" customFormat="1" ht="21.75" customHeight="1">
      <c r="A117" s="1632" t="s">
        <v>225</v>
      </c>
      <c r="B117" s="1633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3.7307692307692308</v>
      </c>
      <c r="N117" s="1007"/>
      <c r="O117" s="845"/>
    </row>
    <row r="118" spans="1:15" s="975" customFormat="1">
      <c r="A118" s="1634" t="s">
        <v>201</v>
      </c>
      <c r="B118" s="1635"/>
      <c r="C118" s="973"/>
      <c r="D118" s="974"/>
      <c r="E118" s="972"/>
      <c r="F118" s="972"/>
      <c r="G118" s="972">
        <f>SUM(G115:G117)</f>
        <v>39</v>
      </c>
      <c r="H118" s="969">
        <f>SUM(G118+'1'!G96)</f>
        <v>125</v>
      </c>
      <c r="I118" s="972"/>
      <c r="J118" s="970">
        <f>H118/DAY(B2)</f>
        <v>4.8076923076923075</v>
      </c>
      <c r="N118" s="1012"/>
      <c r="O118" s="845"/>
    </row>
    <row r="119" spans="1:15" s="768" customFormat="1">
      <c r="A119" s="1626" t="s">
        <v>226</v>
      </c>
      <c r="B119" s="1627"/>
      <c r="C119" s="976"/>
      <c r="D119" s="977" t="s">
        <v>143</v>
      </c>
      <c r="E119" s="978"/>
      <c r="F119" s="979"/>
      <c r="G119" s="979">
        <f>SUM(G19+G93)</f>
        <v>182</v>
      </c>
      <c r="H119" s="969">
        <f>SUM(G119+'1'!G97)</f>
        <v>199</v>
      </c>
      <c r="I119" s="978"/>
      <c r="J119" s="980">
        <f>H119/DAY(B2)</f>
        <v>7.6538461538461542</v>
      </c>
      <c r="N119" s="1013"/>
      <c r="O119" s="845"/>
    </row>
    <row r="120" spans="1:15" s="768" customFormat="1">
      <c r="A120" s="1626" t="s">
        <v>227</v>
      </c>
      <c r="B120" s="1627"/>
      <c r="C120" s="976"/>
      <c r="D120" s="977" t="s">
        <v>143</v>
      </c>
      <c r="E120" s="978"/>
      <c r="F120" s="979"/>
      <c r="G120" s="979">
        <f>SUM(G96,G97,G98,G100,G101)</f>
        <v>181</v>
      </c>
      <c r="H120" s="969">
        <f>SUM(G120+'1'!G99)</f>
        <v>231</v>
      </c>
      <c r="I120" s="978"/>
      <c r="J120" s="980">
        <f>H120/DAY(B2)</f>
        <v>8.884615384615385</v>
      </c>
      <c r="N120" s="1013"/>
      <c r="O120" s="845"/>
    </row>
    <row r="121" spans="1:15" s="768" customFormat="1">
      <c r="A121" s="1626" t="s">
        <v>228</v>
      </c>
      <c r="B121" s="1627"/>
      <c r="C121" s="976"/>
      <c r="D121" s="977" t="s">
        <v>143</v>
      </c>
      <c r="E121" s="978"/>
      <c r="F121" s="972"/>
      <c r="G121" s="972">
        <f>SUM(G113)</f>
        <v>125</v>
      </c>
      <c r="H121" s="969">
        <f>SUM(G121+'1'!G101)</f>
        <v>130</v>
      </c>
      <c r="I121" s="978"/>
      <c r="J121" s="980">
        <f>H121/DAY(B2)</f>
        <v>5</v>
      </c>
      <c r="N121" s="1013"/>
      <c r="O121" s="845"/>
    </row>
    <row r="122" spans="1:15" s="889" customFormat="1" ht="18.75" customHeight="1">
      <c r="A122" s="1628"/>
      <c r="B122" s="1629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 ht="20.100000000000001" customHeight="1">
      <c r="A123" s="1644" t="s">
        <v>229</v>
      </c>
      <c r="B123" s="1645"/>
      <c r="C123" s="1646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 ht="22.5" customHeight="1">
      <c r="A124" s="866" t="s">
        <v>230</v>
      </c>
      <c r="B124" s="867"/>
      <c r="C124" s="867"/>
      <c r="D124" s="838" t="s">
        <v>140</v>
      </c>
      <c r="E124" s="839">
        <f>'25'!F124</f>
        <v>838262</v>
      </c>
      <c r="F124" s="856">
        <v>838568</v>
      </c>
      <c r="G124" s="840">
        <f t="shared" ref="G124:G128" si="14">F124-E124</f>
        <v>306</v>
      </c>
      <c r="H124" s="841">
        <f>G124+'25'!H124</f>
        <v>-1102</v>
      </c>
      <c r="I124" s="956"/>
      <c r="J124" s="843">
        <f>H124/DAY(B2)</f>
        <v>-42.384615384615387</v>
      </c>
      <c r="K124" s="938"/>
      <c r="L124" s="818"/>
      <c r="O124" s="845"/>
    </row>
    <row r="125" spans="1:15" ht="22.5" customHeight="1">
      <c r="A125" s="866" t="s">
        <v>231</v>
      </c>
      <c r="B125" s="867"/>
      <c r="C125" s="867"/>
      <c r="D125" s="838" t="s">
        <v>140</v>
      </c>
      <c r="E125" s="839">
        <f>'25'!F125</f>
        <v>73583</v>
      </c>
      <c r="F125" s="984">
        <v>73583.399999999994</v>
      </c>
      <c r="G125" s="840">
        <f t="shared" si="14"/>
        <v>0.39999999999417923</v>
      </c>
      <c r="H125" s="841">
        <f>G125+'25'!H125</f>
        <v>0</v>
      </c>
      <c r="I125" s="956"/>
      <c r="J125" s="843">
        <f>H125/DAY(B2)</f>
        <v>0</v>
      </c>
      <c r="K125" s="938"/>
      <c r="L125" s="818"/>
      <c r="O125" s="845"/>
    </row>
    <row r="126" spans="1:15" ht="22.5" customHeight="1">
      <c r="A126" s="1655" t="s">
        <v>232</v>
      </c>
      <c r="B126" s="1656"/>
      <c r="C126" s="1657"/>
      <c r="D126" s="838" t="s">
        <v>140</v>
      </c>
      <c r="E126" s="839">
        <f>'25'!F126</f>
        <v>148196</v>
      </c>
      <c r="F126" s="856">
        <v>148299</v>
      </c>
      <c r="G126" s="840">
        <f t="shared" si="14"/>
        <v>103</v>
      </c>
      <c r="H126" s="841">
        <f>G126+'25'!H126</f>
        <v>-298</v>
      </c>
      <c r="I126" s="956"/>
      <c r="J126" s="843">
        <f>H126/DAY(B2)</f>
        <v>-11.461538461538462</v>
      </c>
      <c r="K126" s="938"/>
      <c r="L126" s="818"/>
      <c r="O126" s="845"/>
    </row>
    <row r="127" spans="1:15" ht="20.100000000000001" customHeight="1">
      <c r="A127" s="985" t="s">
        <v>233</v>
      </c>
      <c r="B127" s="867"/>
      <c r="C127" s="867"/>
      <c r="D127" s="838" t="s">
        <v>140</v>
      </c>
      <c r="E127" s="839">
        <f>'25'!F127</f>
        <v>31902</v>
      </c>
      <c r="F127" s="984">
        <v>31939</v>
      </c>
      <c r="G127" s="840">
        <f t="shared" si="14"/>
        <v>37</v>
      </c>
      <c r="H127" s="841">
        <f>G127+'25'!H127</f>
        <v>-132</v>
      </c>
      <c r="I127" s="956"/>
      <c r="J127" s="843">
        <f>H127/DAY(B2)</f>
        <v>-5.0769230769230766</v>
      </c>
      <c r="K127" s="938"/>
      <c r="L127" s="818"/>
      <c r="O127" s="845"/>
    </row>
    <row r="128" spans="1:15" ht="20.100000000000001" customHeight="1">
      <c r="A128" s="985" t="s">
        <v>234</v>
      </c>
      <c r="B128" s="867"/>
      <c r="C128" s="867"/>
      <c r="D128" s="838" t="s">
        <v>140</v>
      </c>
      <c r="E128" s="839">
        <f>'25'!F128</f>
        <v>8990</v>
      </c>
      <c r="F128" s="984">
        <v>8999</v>
      </c>
      <c r="G128" s="840">
        <f t="shared" si="14"/>
        <v>9</v>
      </c>
      <c r="H128" s="841">
        <f>G128+'25'!H128</f>
        <v>-13</v>
      </c>
      <c r="I128" s="859"/>
      <c r="J128" s="843">
        <f>H128/DAY(B2)</f>
        <v>-0.5</v>
      </c>
      <c r="K128" s="938"/>
      <c r="L128" s="818"/>
      <c r="O128" s="845"/>
    </row>
    <row r="129" spans="1:15" ht="21.75" customHeight="1">
      <c r="A129" s="985" t="s">
        <v>235</v>
      </c>
      <c r="B129" s="867"/>
      <c r="C129" s="867"/>
      <c r="D129" s="838"/>
      <c r="E129" s="839"/>
      <c r="F129" s="856"/>
      <c r="G129" s="840">
        <f>G15-SUM(G124:G128)</f>
        <v>244.60000000000582</v>
      </c>
      <c r="H129" s="841">
        <f>G129+'25'!H129</f>
        <v>3290</v>
      </c>
      <c r="I129" s="859"/>
      <c r="J129" s="843">
        <f>H129/DAY(B2)</f>
        <v>126.53846153846153</v>
      </c>
      <c r="K129" s="938"/>
      <c r="L129" s="818"/>
      <c r="O129" s="845"/>
    </row>
    <row r="130" spans="1:15">
      <c r="A130" s="986" t="s">
        <v>236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237</v>
      </c>
      <c r="B131" s="867"/>
      <c r="C131" s="867"/>
      <c r="D131" s="838" t="s">
        <v>238</v>
      </c>
      <c r="E131" s="839">
        <f>'25'!F131</f>
        <v>0</v>
      </c>
      <c r="F131" s="868">
        <v>0</v>
      </c>
      <c r="G131" s="840">
        <f t="shared" ref="G131:G141" si="15">F131-E131</f>
        <v>0</v>
      </c>
      <c r="H131" s="841">
        <f>G131+'25'!H131</f>
        <v>0</v>
      </c>
      <c r="I131" s="859"/>
      <c r="J131" s="843">
        <f>H131/DAY(B2)</f>
        <v>0</v>
      </c>
      <c r="O131" s="845"/>
    </row>
    <row r="132" spans="1:15">
      <c r="A132" s="866" t="s">
        <v>239</v>
      </c>
      <c r="B132" s="867"/>
      <c r="C132" s="867"/>
      <c r="D132" s="838" t="s">
        <v>238</v>
      </c>
      <c r="E132" s="839">
        <f>'25'!F132</f>
        <v>0</v>
      </c>
      <c r="F132" s="868">
        <v>0</v>
      </c>
      <c r="G132" s="840">
        <f t="shared" si="15"/>
        <v>0</v>
      </c>
      <c r="H132" s="841">
        <f>G132+'25'!H132</f>
        <v>0</v>
      </c>
      <c r="I132" s="859"/>
      <c r="J132" s="843">
        <f>H132/DAY(B2)</f>
        <v>0</v>
      </c>
      <c r="O132" s="845"/>
    </row>
    <row r="133" spans="1:15">
      <c r="A133" s="866" t="s">
        <v>240</v>
      </c>
      <c r="B133" s="867"/>
      <c r="C133" s="867"/>
      <c r="D133" s="838" t="s">
        <v>238</v>
      </c>
      <c r="E133" s="839">
        <f>'25'!F133</f>
        <v>40365</v>
      </c>
      <c r="F133" s="989">
        <v>40379</v>
      </c>
      <c r="G133" s="840">
        <f t="shared" si="15"/>
        <v>14</v>
      </c>
      <c r="H133" s="841">
        <f>G133+'25'!H133</f>
        <v>-74</v>
      </c>
      <c r="I133" s="859"/>
      <c r="J133" s="843">
        <f>H133/DAY(B2)</f>
        <v>-2.8461538461538463</v>
      </c>
      <c r="O133" s="845"/>
    </row>
    <row r="134" spans="1:15">
      <c r="A134" s="866" t="s">
        <v>241</v>
      </c>
      <c r="B134" s="867"/>
      <c r="C134" s="867"/>
      <c r="D134" s="838" t="s">
        <v>238</v>
      </c>
      <c r="E134" s="839">
        <f>'25'!F134</f>
        <v>300</v>
      </c>
      <c r="F134" s="989">
        <v>300</v>
      </c>
      <c r="G134" s="840">
        <f t="shared" si="15"/>
        <v>0</v>
      </c>
      <c r="H134" s="841">
        <f>G134+'25'!H134</f>
        <v>0</v>
      </c>
      <c r="I134" s="859">
        <f>G131+G132+G133+G134</f>
        <v>14</v>
      </c>
      <c r="J134" s="843">
        <f>H134/DAY(B2)</f>
        <v>0</v>
      </c>
      <c r="O134" s="845"/>
    </row>
    <row r="135" spans="1:15">
      <c r="A135" s="866" t="s">
        <v>242</v>
      </c>
      <c r="B135" s="867"/>
      <c r="C135" s="867"/>
      <c r="D135" s="838" t="s">
        <v>238</v>
      </c>
      <c r="E135" s="839">
        <f>'25'!F135</f>
        <v>41911.449999999997</v>
      </c>
      <c r="F135" s="989">
        <v>41932.410000000003</v>
      </c>
      <c r="G135" s="840">
        <f t="shared" si="15"/>
        <v>20.960000000006403</v>
      </c>
      <c r="H135" s="841">
        <f>G135+'25'!H135</f>
        <v>92.970000000001164</v>
      </c>
      <c r="I135" s="859"/>
      <c r="J135" s="843">
        <f>H135/DAY(B2)</f>
        <v>3.5757692307692754</v>
      </c>
      <c r="O135" s="845"/>
    </row>
    <row r="136" spans="1:15">
      <c r="A136" s="866" t="s">
        <v>243</v>
      </c>
      <c r="B136" s="867"/>
      <c r="C136" s="867"/>
      <c r="D136" s="838" t="s">
        <v>238</v>
      </c>
      <c r="E136" s="839">
        <f>'25'!F136</f>
        <v>32874</v>
      </c>
      <c r="F136" s="989">
        <v>32874</v>
      </c>
      <c r="G136" s="840">
        <f t="shared" si="15"/>
        <v>0</v>
      </c>
      <c r="H136" s="841">
        <f>G136+'25'!H136</f>
        <v>12.94999999999709</v>
      </c>
      <c r="I136" s="859"/>
      <c r="J136" s="843">
        <f>H136/DAY(B2)</f>
        <v>0.49807692307681112</v>
      </c>
      <c r="O136" s="845"/>
    </row>
    <row r="137" spans="1:15">
      <c r="A137" s="866" t="s">
        <v>244</v>
      </c>
      <c r="B137" s="867"/>
      <c r="C137" s="867"/>
      <c r="D137" s="838" t="s">
        <v>238</v>
      </c>
      <c r="E137" s="839">
        <f>'25'!F137</f>
        <v>22865.54</v>
      </c>
      <c r="F137" s="989">
        <v>22873.99</v>
      </c>
      <c r="G137" s="840">
        <f t="shared" si="15"/>
        <v>8.4500000000007276</v>
      </c>
      <c r="H137" s="841">
        <f>G137+'25'!H137</f>
        <v>-17.5</v>
      </c>
      <c r="I137" s="859">
        <f>G135+G136+G137</f>
        <v>29.41000000000713</v>
      </c>
      <c r="J137" s="843">
        <f>H137/DAY(B2)</f>
        <v>-0.67307692307692313</v>
      </c>
      <c r="O137" s="845"/>
    </row>
    <row r="138" spans="1:15">
      <c r="A138" s="866" t="s">
        <v>245</v>
      </c>
      <c r="B138" s="867"/>
      <c r="C138" s="867"/>
      <c r="D138" s="838" t="s">
        <v>238</v>
      </c>
      <c r="E138" s="839">
        <f>'25'!F138</f>
        <v>25091</v>
      </c>
      <c r="F138" s="989">
        <v>25091</v>
      </c>
      <c r="G138" s="840">
        <f t="shared" si="15"/>
        <v>0</v>
      </c>
      <c r="H138" s="841">
        <f>G138+'25'!H138</f>
        <v>17.110000000000582</v>
      </c>
      <c r="I138" s="859"/>
      <c r="J138" s="843">
        <f>H138/DAY(B2)</f>
        <v>0.65807692307694543</v>
      </c>
      <c r="O138" s="845"/>
    </row>
    <row r="139" spans="1:15">
      <c r="A139" s="866" t="s">
        <v>246</v>
      </c>
      <c r="B139" s="867"/>
      <c r="C139" s="867"/>
      <c r="D139" s="838" t="s">
        <v>238</v>
      </c>
      <c r="E139" s="839">
        <f>'25'!F139</f>
        <v>70503.92</v>
      </c>
      <c r="F139" s="989">
        <v>70503.92</v>
      </c>
      <c r="G139" s="840">
        <f t="shared" si="15"/>
        <v>0</v>
      </c>
      <c r="H139" s="841">
        <f>G139+'25'!H139</f>
        <v>22.190000000002328</v>
      </c>
      <c r="I139" s="859">
        <f>G138+G139</f>
        <v>0</v>
      </c>
      <c r="J139" s="843">
        <f>H139/DAY(B2)</f>
        <v>0.85346153846162798</v>
      </c>
      <c r="O139" s="845"/>
    </row>
    <row r="140" spans="1:15">
      <c r="A140" s="866" t="s">
        <v>247</v>
      </c>
      <c r="B140" s="867"/>
      <c r="C140" s="867"/>
      <c r="D140" s="838" t="s">
        <v>238</v>
      </c>
      <c r="E140" s="839">
        <f>'25'!F140</f>
        <v>2077</v>
      </c>
      <c r="F140" s="868">
        <v>2088.5</v>
      </c>
      <c r="G140" s="840">
        <f t="shared" si="15"/>
        <v>11.5</v>
      </c>
      <c r="H140" s="841">
        <f>G140+'25'!H140</f>
        <v>-40.679999999999836</v>
      </c>
      <c r="I140" s="990"/>
      <c r="J140" s="843">
        <f>H140/DAY(B2)</f>
        <v>-1.5646153846153783</v>
      </c>
      <c r="O140" s="845"/>
    </row>
    <row r="141" spans="1:15">
      <c r="A141" s="866" t="s">
        <v>248</v>
      </c>
      <c r="B141" s="867"/>
      <c r="C141" s="867"/>
      <c r="D141" s="838" t="s">
        <v>238</v>
      </c>
      <c r="E141" s="839">
        <f>'25'!F141</f>
        <v>4636.88</v>
      </c>
      <c r="F141" s="868">
        <v>4636.88</v>
      </c>
      <c r="G141" s="840">
        <f t="shared" si="15"/>
        <v>0</v>
      </c>
      <c r="H141" s="841">
        <f>G141+'25'!H141</f>
        <v>-0.11999999999989086</v>
      </c>
      <c r="I141" s="990"/>
      <c r="J141" s="843">
        <f>H141/DAY(B2)</f>
        <v>-4.6153846153804178E-3</v>
      </c>
      <c r="O141" s="845"/>
    </row>
    <row r="142" spans="1:15">
      <c r="A142" s="1647" t="s">
        <v>249</v>
      </c>
      <c r="B142" s="1648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49" t="s">
        <v>250</v>
      </c>
      <c r="B143" s="1650"/>
      <c r="C143" s="1651"/>
      <c r="D143" s="838" t="s">
        <v>131</v>
      </c>
      <c r="E143" s="838"/>
      <c r="F143" s="838"/>
      <c r="G143" s="841">
        <f>G35+G43+G49+G57</f>
        <v>5987.8699999999953</v>
      </c>
      <c r="H143" s="841">
        <f>G143+'25'!H143</f>
        <v>-23992.059999999939</v>
      </c>
      <c r="I143" s="859"/>
      <c r="J143" s="843">
        <f>H143/DAY(B2)</f>
        <v>-922.77153846153612</v>
      </c>
      <c r="K143" s="938"/>
      <c r="L143" s="818"/>
      <c r="O143" s="845"/>
    </row>
    <row r="144" spans="1:15">
      <c r="A144" s="1649" t="s">
        <v>251</v>
      </c>
      <c r="B144" s="1650"/>
      <c r="C144" s="1651"/>
      <c r="D144" s="838" t="s">
        <v>24</v>
      </c>
      <c r="E144" s="825"/>
      <c r="F144" s="829"/>
      <c r="G144" s="991">
        <f>G143/G7</f>
        <v>0.27850558139534864</v>
      </c>
      <c r="H144" s="841">
        <f>G144+'25'!H144</f>
        <v>-1.1115942493131215</v>
      </c>
      <c r="I144" s="992"/>
      <c r="J144" s="843">
        <f>H144/DAY(B2)</f>
        <v>-4.2753624973581594E-2</v>
      </c>
      <c r="K144" s="938"/>
      <c r="L144" s="818"/>
      <c r="O144" s="845"/>
    </row>
    <row r="145" spans="1:15">
      <c r="A145" s="1649" t="s">
        <v>252</v>
      </c>
      <c r="B145" s="1650"/>
      <c r="C145" s="1651"/>
      <c r="D145" s="838" t="s">
        <v>131</v>
      </c>
      <c r="E145" s="839"/>
      <c r="F145" s="839"/>
      <c r="G145" s="841">
        <f>G41+G42+G55+G56</f>
        <v>6949</v>
      </c>
      <c r="H145" s="841">
        <f>G145+'25'!H145</f>
        <v>-23670.889999999985</v>
      </c>
      <c r="I145" s="859"/>
      <c r="J145" s="843">
        <f>H145/DAY(B2)</f>
        <v>-910.41884615384561</v>
      </c>
      <c r="K145" s="938"/>
      <c r="L145" s="818"/>
      <c r="O145" s="845"/>
    </row>
    <row r="146" spans="1:15" ht="20.100000000000001" customHeight="1">
      <c r="A146" s="1649" t="s">
        <v>253</v>
      </c>
      <c r="B146" s="1650"/>
      <c r="C146" s="1651"/>
      <c r="D146" s="838" t="s">
        <v>24</v>
      </c>
      <c r="E146" s="839"/>
      <c r="F146" s="839"/>
      <c r="G146" s="991">
        <f>G145/G7</f>
        <v>0.32320930232558137</v>
      </c>
      <c r="H146" s="841">
        <f>G146+'25'!H146</f>
        <v>-1.101679249120378</v>
      </c>
      <c r="I146" s="992"/>
      <c r="J146" s="843">
        <f>H146/DAY(B2)</f>
        <v>-4.237227881232223E-2</v>
      </c>
      <c r="K146" s="938"/>
      <c r="L146" s="818"/>
      <c r="O146" s="845"/>
    </row>
    <row r="147" spans="1:15" ht="20.100000000000001" customHeight="1">
      <c r="A147" s="1649" t="s">
        <v>254</v>
      </c>
      <c r="B147" s="1650"/>
      <c r="C147" s="1651"/>
      <c r="D147" s="838" t="s">
        <v>131</v>
      </c>
      <c r="E147" s="839"/>
      <c r="F147" s="839"/>
      <c r="G147" s="841">
        <f>G39+G53</f>
        <v>3678</v>
      </c>
      <c r="H147" s="841">
        <f>G147+'25'!H147</f>
        <v>-14704</v>
      </c>
      <c r="I147" s="993"/>
      <c r="J147" s="843">
        <f>H147/DAY(B2)</f>
        <v>-565.53846153846155</v>
      </c>
      <c r="K147" s="938"/>
      <c r="L147" s="818"/>
      <c r="O147" s="845"/>
    </row>
    <row r="148" spans="1:15" ht="20.100000000000001" customHeight="1">
      <c r="A148" s="1649" t="s">
        <v>255</v>
      </c>
      <c r="B148" s="1650"/>
      <c r="C148" s="1651"/>
      <c r="D148" s="838" t="s">
        <v>24</v>
      </c>
      <c r="E148" s="839"/>
      <c r="F148" s="839"/>
      <c r="G148" s="991">
        <f>G147/G7</f>
        <v>0.17106976744186048</v>
      </c>
      <c r="H148" s="841">
        <f>G148+'25'!H148</f>
        <v>-0.6807219918094467</v>
      </c>
      <c r="I148" s="993"/>
      <c r="J148" s="843">
        <f>H148/DAY(B2)</f>
        <v>-2.6181615069594103E-2</v>
      </c>
      <c r="O148" s="845"/>
    </row>
    <row r="149" spans="1:15" ht="20.100000000000001" customHeight="1">
      <c r="A149" s="1649" t="s">
        <v>256</v>
      </c>
      <c r="B149" s="1650"/>
      <c r="C149" s="1651"/>
      <c r="D149" s="838" t="s">
        <v>182</v>
      </c>
      <c r="E149" s="839"/>
      <c r="F149" s="839"/>
      <c r="G149" s="841">
        <f>G38+G52</f>
        <v>1787</v>
      </c>
      <c r="H149" s="841">
        <f>G149+'25'!H149</f>
        <v>-6336.9300000000512</v>
      </c>
      <c r="I149" s="859"/>
      <c r="J149" s="843">
        <f>H149/DAY(B2)</f>
        <v>-243.7280769230789</v>
      </c>
      <c r="K149" s="994"/>
      <c r="O149" s="845"/>
    </row>
    <row r="150" spans="1:15" ht="20.100000000000001" customHeight="1">
      <c r="A150" s="1649" t="s">
        <v>257</v>
      </c>
      <c r="B150" s="1650"/>
      <c r="C150" s="1651"/>
      <c r="D150" s="838" t="s">
        <v>24</v>
      </c>
      <c r="E150" s="839"/>
      <c r="F150" s="839"/>
      <c r="G150" s="991">
        <f>G149/G7</f>
        <v>8.3116279069767443E-2</v>
      </c>
      <c r="H150" s="841">
        <f>G150+'25'!H150</f>
        <v>-0.29453064641689269</v>
      </c>
      <c r="I150" s="993"/>
      <c r="J150" s="843">
        <f>H150/DAY(B2)</f>
        <v>-1.1328101785265103E-2</v>
      </c>
      <c r="O150" s="845"/>
    </row>
    <row r="151" spans="1:15" ht="20.100000000000001" customHeight="1">
      <c r="A151" s="1649" t="s">
        <v>258</v>
      </c>
      <c r="B151" s="1650"/>
      <c r="C151" s="1651"/>
      <c r="D151" s="838" t="s">
        <v>182</v>
      </c>
      <c r="E151" s="839"/>
      <c r="F151" s="839"/>
      <c r="G151" s="841">
        <f>G36+G50</f>
        <v>2092</v>
      </c>
      <c r="H151" s="841">
        <f>G151+'25'!H151</f>
        <v>-6651.9999999999982</v>
      </c>
      <c r="I151" s="993"/>
      <c r="J151" s="843">
        <f>H151/DAY(B2)</f>
        <v>-255.84615384615378</v>
      </c>
      <c r="O151" s="845"/>
    </row>
    <row r="152" spans="1:15" ht="20.100000000000001" customHeight="1">
      <c r="A152" s="1649" t="s">
        <v>259</v>
      </c>
      <c r="B152" s="1650"/>
      <c r="C152" s="1651"/>
      <c r="D152" s="838" t="s">
        <v>24</v>
      </c>
      <c r="E152" s="839"/>
      <c r="F152" s="839"/>
      <c r="G152" s="991">
        <f>G151/G7</f>
        <v>9.7302325581395344E-2</v>
      </c>
      <c r="H152" s="841">
        <f>G152+'25'!H152</f>
        <v>-0.30993393385342644</v>
      </c>
      <c r="I152" s="859"/>
      <c r="J152" s="843">
        <f>H152/DAY(B2)</f>
        <v>-1.1920535917439478E-2</v>
      </c>
      <c r="O152" s="845"/>
    </row>
    <row r="153" spans="1:15" ht="20.100000000000001" customHeight="1">
      <c r="A153" s="1649" t="s">
        <v>260</v>
      </c>
      <c r="B153" s="1650"/>
      <c r="C153" s="1651"/>
      <c r="D153" s="838" t="s">
        <v>182</v>
      </c>
      <c r="E153" s="839"/>
      <c r="F153" s="839"/>
      <c r="G153" s="841">
        <f>G37+G51</f>
        <v>1521</v>
      </c>
      <c r="H153" s="841">
        <f>G153+'25'!H153</f>
        <v>-5775.1300000000047</v>
      </c>
      <c r="I153" s="859"/>
      <c r="J153" s="843">
        <f>H153/DAY(B2)</f>
        <v>-222.12038461538481</v>
      </c>
      <c r="O153" s="845"/>
    </row>
    <row r="154" spans="1:15" ht="20.100000000000001" customHeight="1" thickBot="1">
      <c r="A154" s="1652" t="s">
        <v>261</v>
      </c>
      <c r="B154" s="1653"/>
      <c r="C154" s="1654"/>
      <c r="D154" s="995" t="s">
        <v>24</v>
      </c>
      <c r="E154" s="996"/>
      <c r="F154" s="996"/>
      <c r="G154" s="997">
        <f>G153/G7</f>
        <v>7.0744186046511628E-2</v>
      </c>
      <c r="H154" s="841">
        <f>G154+'25'!H154</f>
        <v>-0.2672114679781652</v>
      </c>
      <c r="I154" s="998"/>
      <c r="J154" s="999">
        <f>H154/DAY(B2)</f>
        <v>-1.0277364153006353E-2</v>
      </c>
      <c r="O154" s="845"/>
    </row>
    <row r="155" spans="1:15" ht="44.25" customHeight="1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0" t="s">
        <v>262</v>
      </c>
      <c r="B161" s="990"/>
      <c r="C161" s="990"/>
      <c r="D161" s="825" t="s">
        <v>186</v>
      </c>
      <c r="E161" s="839">
        <f>'25'!F161</f>
        <v>40442</v>
      </c>
      <c r="F161" s="1014">
        <v>40522</v>
      </c>
      <c r="G161" s="840">
        <f t="shared" ref="G161:G164" si="16">F161-E161</f>
        <v>80</v>
      </c>
    </row>
    <row r="162" spans="1:7" ht="21.75" customHeight="1">
      <c r="A162" s="990" t="s">
        <v>263</v>
      </c>
      <c r="B162" s="990"/>
      <c r="C162" s="990"/>
      <c r="D162" s="825" t="s">
        <v>186</v>
      </c>
      <c r="E162" s="839">
        <f>'25'!F162</f>
        <v>105500</v>
      </c>
      <c r="F162" s="1014">
        <v>105953</v>
      </c>
      <c r="G162" s="840">
        <f t="shared" si="16"/>
        <v>453</v>
      </c>
    </row>
    <row r="163" spans="1:7" ht="21.75" customHeight="1">
      <c r="A163" s="990" t="s">
        <v>264</v>
      </c>
      <c r="B163" s="990"/>
      <c r="C163" s="990"/>
      <c r="D163" s="825" t="s">
        <v>186</v>
      </c>
      <c r="E163" s="839">
        <f>'25'!F163</f>
        <v>60193</v>
      </c>
      <c r="F163" s="1014">
        <v>60403</v>
      </c>
      <c r="G163" s="840">
        <f t="shared" si="16"/>
        <v>210</v>
      </c>
    </row>
    <row r="164" spans="1:7" ht="21.75" customHeight="1">
      <c r="A164" s="990" t="s">
        <v>265</v>
      </c>
      <c r="B164" s="990"/>
      <c r="C164" s="990"/>
      <c r="D164" s="825" t="s">
        <v>186</v>
      </c>
      <c r="E164" s="839">
        <f>'25'!F164</f>
        <v>6803</v>
      </c>
      <c r="F164" s="1014">
        <v>6810</v>
      </c>
      <c r="G164" s="840">
        <f t="shared" si="16"/>
        <v>7</v>
      </c>
    </row>
    <row r="165" spans="1:7" ht="21.75" customHeight="1">
      <c r="A165" s="920" t="s">
        <v>97</v>
      </c>
      <c r="B165" s="920"/>
      <c r="C165" s="920"/>
      <c r="D165" s="825" t="s">
        <v>186</v>
      </c>
      <c r="E165" s="921">
        <f>E62</f>
        <v>20419</v>
      </c>
      <c r="F165" s="921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7" ht="21.75" customHeight="1">
      <c r="A167" s="1625" t="s">
        <v>98</v>
      </c>
      <c r="B167" s="1625"/>
      <c r="C167" s="1625"/>
      <c r="D167" s="838" t="s">
        <v>186</v>
      </c>
      <c r="E167" s="921">
        <f t="shared" si="18"/>
        <v>168211</v>
      </c>
      <c r="F167" s="921">
        <f t="shared" si="19"/>
        <v>168532</v>
      </c>
      <c r="G167" s="840">
        <f t="shared" si="17"/>
        <v>321</v>
      </c>
    </row>
    <row r="168" spans="1:7" ht="21.75" customHeight="1">
      <c r="A168" s="1625" t="s">
        <v>99</v>
      </c>
      <c r="B168" s="1625"/>
      <c r="C168" s="1625"/>
      <c r="D168" s="838" t="s">
        <v>186</v>
      </c>
      <c r="E168" s="921">
        <f t="shared" si="18"/>
        <v>168247</v>
      </c>
      <c r="F168" s="921">
        <f t="shared" si="19"/>
        <v>168685</v>
      </c>
      <c r="G168" s="840">
        <f t="shared" si="17"/>
        <v>438</v>
      </c>
    </row>
    <row r="169" spans="1:7" ht="21.75" customHeight="1">
      <c r="A169" s="1625" t="s">
        <v>100</v>
      </c>
      <c r="B169" s="1625"/>
      <c r="C169" s="1625"/>
      <c r="D169" s="838" t="s">
        <v>186</v>
      </c>
      <c r="E169" s="921">
        <f t="shared" si="18"/>
        <v>65832</v>
      </c>
      <c r="F169" s="921">
        <f t="shared" si="19"/>
        <v>66280</v>
      </c>
      <c r="G169" s="840">
        <f t="shared" si="17"/>
        <v>448</v>
      </c>
    </row>
    <row r="170" spans="1:7" ht="21.75" customHeight="1">
      <c r="A170" s="1625" t="s">
        <v>101</v>
      </c>
      <c r="B170" s="1625"/>
      <c r="C170" s="1625"/>
      <c r="D170" s="838" t="s">
        <v>186</v>
      </c>
      <c r="E170" s="921">
        <f t="shared" si="18"/>
        <v>262704</v>
      </c>
      <c r="F170" s="921">
        <f t="shared" si="19"/>
        <v>263178</v>
      </c>
      <c r="G170" s="840">
        <f t="shared" si="17"/>
        <v>474</v>
      </c>
    </row>
    <row r="171" spans="1:7" ht="24" customHeight="1">
      <c r="A171" s="1625" t="s">
        <v>102</v>
      </c>
      <c r="B171" s="1625"/>
      <c r="C171" s="1625"/>
      <c r="D171" s="838" t="s">
        <v>186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</row>
    <row r="172" spans="1:7">
      <c r="A172" s="1625" t="s">
        <v>103</v>
      </c>
      <c r="B172" s="1625"/>
      <c r="C172" s="1625"/>
      <c r="D172" s="838" t="s">
        <v>186</v>
      </c>
      <c r="E172" s="921">
        <f t="shared" si="18"/>
        <v>86292</v>
      </c>
      <c r="F172" s="921">
        <f t="shared" si="19"/>
        <v>86501</v>
      </c>
      <c r="G172" s="840">
        <f t="shared" si="17"/>
        <v>209</v>
      </c>
    </row>
    <row r="173" spans="1:7">
      <c r="G173" s="1005">
        <f>SUM(G161:G172)</f>
        <v>2640</v>
      </c>
    </row>
    <row r="174" spans="1:7">
      <c r="A174" s="1625" t="s">
        <v>345</v>
      </c>
      <c r="B174" s="1625"/>
      <c r="C174" s="1625"/>
      <c r="D174" s="838" t="s">
        <v>186</v>
      </c>
      <c r="E174" s="968">
        <v>28212</v>
      </c>
      <c r="F174" s="968">
        <v>28215</v>
      </c>
      <c r="G174" s="840">
        <f t="shared" ref="G174:G177" si="20">F174-E174</f>
        <v>3</v>
      </c>
    </row>
    <row r="175" spans="1:7">
      <c r="A175" s="1667" t="s">
        <v>352</v>
      </c>
      <c r="B175" s="1629"/>
      <c r="C175" s="990"/>
      <c r="D175" s="838" t="s">
        <v>186</v>
      </c>
      <c r="E175" s="968">
        <v>18979</v>
      </c>
      <c r="F175" s="968">
        <v>18984</v>
      </c>
      <c r="G175" s="840">
        <f t="shared" si="20"/>
        <v>5</v>
      </c>
    </row>
    <row r="176" spans="1:7">
      <c r="A176" s="1667" t="s">
        <v>353</v>
      </c>
      <c r="B176" s="1629"/>
      <c r="D176" s="838" t="s">
        <v>186</v>
      </c>
      <c r="E176" s="1272">
        <v>27608</v>
      </c>
      <c r="F176" s="1272">
        <v>27612</v>
      </c>
      <c r="G176" s="840">
        <f t="shared" si="20"/>
        <v>4</v>
      </c>
    </row>
    <row r="177" spans="1:10" ht="18.75" customHeight="1">
      <c r="A177" s="1667" t="s">
        <v>352</v>
      </c>
      <c r="B177" s="1629"/>
      <c r="D177" s="838" t="s">
        <v>186</v>
      </c>
      <c r="E177" s="968">
        <v>70253</v>
      </c>
      <c r="F177" s="968">
        <v>70278</v>
      </c>
      <c r="G177" s="840">
        <f t="shared" si="20"/>
        <v>25</v>
      </c>
      <c r="J177" s="1006"/>
    </row>
    <row r="178" spans="1:10">
      <c r="F178" s="1490"/>
    </row>
    <row r="179" spans="1:10">
      <c r="F179" s="1490"/>
    </row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6:B176"/>
    <mergeCell ref="A177:B177"/>
    <mergeCell ref="A172:C172"/>
    <mergeCell ref="A167:C167"/>
    <mergeCell ref="A168:C168"/>
    <mergeCell ref="A169:C169"/>
    <mergeCell ref="A170:C170"/>
    <mergeCell ref="A171:C171"/>
    <mergeCell ref="A175:B17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7"/>
  <sheetViews>
    <sheetView view="pageBreakPreview" topLeftCell="A149" zoomScale="55" zoomScaleSheetLayoutView="55" workbookViewId="0">
      <selection activeCell="F15" sqref="F15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4" s="281" customFormat="1" ht="27">
      <c r="A2" s="575" t="s">
        <v>350</v>
      </c>
      <c r="B2" s="1111">
        <v>44009</v>
      </c>
      <c r="C2" s="1141" t="s">
        <v>68</v>
      </c>
      <c r="D2" s="611">
        <v>0.67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141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1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'26'!F7</f>
        <v>480795.56</v>
      </c>
      <c r="F7" s="455">
        <f>E7+21500</f>
        <v>502295.56</v>
      </c>
      <c r="G7" s="678">
        <f>F7-E7</f>
        <v>21500</v>
      </c>
      <c r="H7" s="679">
        <f>G7+'26'!H7</f>
        <v>580342.56000000006</v>
      </c>
      <c r="I7" s="680">
        <f>'1'!I7</f>
        <v>12000</v>
      </c>
      <c r="J7" s="681">
        <f>H7/DAY(B2)</f>
        <v>21494.168888888889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2" t="s">
        <v>132</v>
      </c>
      <c r="B8" s="683"/>
      <c r="C8" s="684"/>
      <c r="D8" s="685" t="s">
        <v>25</v>
      </c>
      <c r="E8" s="633">
        <f>'26'!F8</f>
        <v>486453.79</v>
      </c>
      <c r="F8" s="475">
        <f>E8+21500</f>
        <v>507953.79</v>
      </c>
      <c r="G8" s="689">
        <f>F8-E8</f>
        <v>21500</v>
      </c>
      <c r="H8" s="679">
        <f>G8+'26'!H8</f>
        <v>581231.79</v>
      </c>
      <c r="I8" s="686">
        <f>'1'!I8</f>
        <v>12000</v>
      </c>
      <c r="J8" s="681">
        <f>H8/DAY(B2)</f>
        <v>21527.103333333336</v>
      </c>
      <c r="K8" s="549"/>
      <c r="L8" s="425"/>
      <c r="M8" s="440"/>
      <c r="N8" s="703"/>
    </row>
    <row r="9" spans="1:14">
      <c r="A9" s="687" t="s">
        <v>133</v>
      </c>
      <c r="B9" s="688"/>
      <c r="C9" s="688"/>
      <c r="D9" s="637" t="s">
        <v>131</v>
      </c>
      <c r="E9" s="634">
        <f>'26'!F9</f>
        <v>1954030</v>
      </c>
      <c r="F9" s="478">
        <v>1975218</v>
      </c>
      <c r="G9" s="702">
        <f t="shared" ref="G9:G12" si="0">F9-E9</f>
        <v>21188</v>
      </c>
      <c r="H9" s="679">
        <f>G9+'26'!H9</f>
        <v>-55784</v>
      </c>
      <c r="I9" s="690">
        <f>I8-J8</f>
        <v>-9527.1033333333362</v>
      </c>
      <c r="J9" s="681">
        <f>H9/DAY(B2)</f>
        <v>-2066.0740740740739</v>
      </c>
      <c r="K9" s="428"/>
      <c r="L9" s="377"/>
      <c r="N9" s="382"/>
    </row>
    <row r="10" spans="1:14">
      <c r="A10" s="676" t="s">
        <v>134</v>
      </c>
      <c r="B10" s="677"/>
      <c r="C10" s="677"/>
      <c r="D10" s="637" t="s">
        <v>131</v>
      </c>
      <c r="E10" s="634">
        <f>'26'!F10</f>
        <v>0</v>
      </c>
      <c r="F10" s="478">
        <v>0</v>
      </c>
      <c r="G10" s="689">
        <f t="shared" si="0"/>
        <v>0</v>
      </c>
      <c r="H10" s="679">
        <f>G10+'26'!H10</f>
        <v>0.29999999999972715</v>
      </c>
      <c r="I10" s="691"/>
      <c r="J10" s="681">
        <f>H10/DAY(B2)</f>
        <v>1.1111111111101005E-2</v>
      </c>
      <c r="K10" s="428"/>
      <c r="L10" s="377"/>
      <c r="N10" s="382"/>
    </row>
    <row r="11" spans="1:14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G11+'26'!H11</f>
        <v>0</v>
      </c>
      <c r="I11" s="691"/>
      <c r="J11" s="681">
        <f>H11/DAY(B2)</f>
        <v>0</v>
      </c>
      <c r="K11" s="428"/>
      <c r="L11" s="377"/>
      <c r="N11" s="382"/>
    </row>
    <row r="12" spans="1:14">
      <c r="A12" s="676" t="s">
        <v>136</v>
      </c>
      <c r="B12" s="677"/>
      <c r="C12" s="677"/>
      <c r="D12" s="637" t="s">
        <v>131</v>
      </c>
      <c r="E12" s="634">
        <f>'5'!E12</f>
        <v>40010</v>
      </c>
      <c r="F12" s="478">
        <v>40010</v>
      </c>
      <c r="G12" s="689">
        <f t="shared" si="0"/>
        <v>0</v>
      </c>
      <c r="H12" s="679">
        <f>G12+'26'!H12</f>
        <v>0</v>
      </c>
      <c r="I12" s="691"/>
      <c r="J12" s="681">
        <f>H12/DAY(B2)</f>
        <v>0</v>
      </c>
      <c r="K12" s="428"/>
      <c r="L12" s="377"/>
      <c r="N12" s="382"/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21188</v>
      </c>
      <c r="H13" s="679">
        <f>G13+'26'!H13</f>
        <v>-72308.700000000012</v>
      </c>
      <c r="I13" s="695">
        <f>G7-G13</f>
        <v>312</v>
      </c>
      <c r="J13" s="681">
        <f>H13/DAY(B2)</f>
        <v>-2678.1000000000004</v>
      </c>
      <c r="K13" s="428"/>
      <c r="L13" s="377"/>
      <c r="N13" s="382"/>
    </row>
    <row r="14" spans="1:14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5" t="s">
        <v>139</v>
      </c>
      <c r="B15" s="666"/>
      <c r="C15" s="666"/>
      <c r="D15" s="667" t="s">
        <v>140</v>
      </c>
      <c r="E15" s="668">
        <f>'26'!F15</f>
        <v>1722467.16</v>
      </c>
      <c r="F15" s="700">
        <f>E15+700</f>
        <v>1723167.16</v>
      </c>
      <c r="G15" s="664">
        <f>(F15-E15)</f>
        <v>700</v>
      </c>
      <c r="H15" s="670">
        <f>G15+'26'!H15</f>
        <v>19484.159999999916</v>
      </c>
      <c r="I15" s="671">
        <v>800</v>
      </c>
      <c r="J15" s="1281">
        <f>H15/DAY(B2)</f>
        <v>721.6355555555524</v>
      </c>
      <c r="K15" s="428"/>
      <c r="L15" s="377"/>
      <c r="N15" s="382"/>
    </row>
    <row r="16" spans="1:14">
      <c r="A16" s="673"/>
      <c r="B16" s="674"/>
      <c r="C16" s="674"/>
      <c r="D16" s="667"/>
      <c r="E16" s="668"/>
      <c r="F16" s="700"/>
      <c r="G16" s="669"/>
      <c r="H16" s="670"/>
      <c r="I16" s="675">
        <f>I15-J15</f>
        <v>78.364444444447599</v>
      </c>
      <c r="J16" s="672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'26'!F18</f>
        <v>15</v>
      </c>
      <c r="F18" s="478">
        <v>18</v>
      </c>
      <c r="G18" s="694">
        <f>F18*10</f>
        <v>180</v>
      </c>
      <c r="H18" s="679">
        <f>G18+'26'!H18</f>
        <v>2790</v>
      </c>
      <c r="I18" s="680">
        <f>'1'!I18</f>
        <v>65</v>
      </c>
      <c r="J18" s="681">
        <f>H18/DAY(B2)</f>
        <v>103.33333333333333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'26'!F19</f>
        <v>141243</v>
      </c>
      <c r="F19" s="478">
        <v>141304</v>
      </c>
      <c r="G19" s="689">
        <f t="shared" ref="G19" si="1">F19-E19</f>
        <v>61</v>
      </c>
      <c r="H19" s="679">
        <f>G19+'26'!H19</f>
        <v>-191</v>
      </c>
      <c r="I19" s="696"/>
      <c r="J19" s="681">
        <f>H19/DAY(B2)</f>
        <v>-7.0740740740740744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241</v>
      </c>
      <c r="H20" s="679">
        <f>G20+'26'!H20</f>
        <v>2599</v>
      </c>
      <c r="I20" s="698">
        <f>I18-J20</f>
        <v>-31.259259259259252</v>
      </c>
      <c r="J20" s="681">
        <f>H20/DAY(B2)</f>
        <v>96.259259259259252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G27+'26'!H27</f>
        <v>5231086.1099999994</v>
      </c>
      <c r="I27" s="503"/>
      <c r="J27" s="552">
        <f>H27/DAY(B2)</f>
        <v>193743.92999999996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G28+'26'!H28</f>
        <v>1013176.3199999956</v>
      </c>
      <c r="I28" s="505"/>
      <c r="J28" s="552">
        <f>H28/DAY(B2)</f>
        <v>37525.048888888727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G29+'26'!H29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G30+'26'!H30</f>
        <v>-28470</v>
      </c>
      <c r="I30" s="505"/>
      <c r="J30" s="552">
        <f>H30/DAY(B2)</f>
        <v>-1054.4444444444443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180</v>
      </c>
      <c r="F31" s="501">
        <v>80</v>
      </c>
      <c r="G31" s="502">
        <f>E31*F31</f>
        <v>14400</v>
      </c>
      <c r="H31" s="460">
        <f>G31+'26'!H31</f>
        <v>217600</v>
      </c>
      <c r="I31" s="505"/>
      <c r="J31" s="552"/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253206</v>
      </c>
      <c r="H32" s="460">
        <f>G32+'26'!H32</f>
        <v>6433392.429999995</v>
      </c>
      <c r="I32" s="509"/>
      <c r="J32" s="552">
        <f>H32/DAY(B2)</f>
        <v>238273.79370370353</v>
      </c>
      <c r="K32" s="373"/>
      <c r="L32" s="443"/>
      <c r="N32" s="382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'26'!F35</f>
        <v>1017307</v>
      </c>
      <c r="F35" s="510">
        <v>1020369</v>
      </c>
      <c r="G35" s="473">
        <f t="shared" ref="G35:G46" si="3">F35-E35</f>
        <v>3062</v>
      </c>
      <c r="H35" s="460">
        <f>G35+'26'!H35</f>
        <v>-8345</v>
      </c>
      <c r="I35" s="455"/>
      <c r="J35" s="552">
        <f>H35/DAY(B2)</f>
        <v>-309.07407407407408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'26'!F36</f>
        <v>18002</v>
      </c>
      <c r="F36" s="510">
        <v>18589</v>
      </c>
      <c r="G36" s="473">
        <f t="shared" si="3"/>
        <v>587</v>
      </c>
      <c r="H36" s="460">
        <f>G36+'26'!H36</f>
        <v>-1872</v>
      </c>
      <c r="I36" s="455"/>
      <c r="J36" s="552">
        <f>H36/DAY(B2)</f>
        <v>-69.333333333333329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'26'!F37</f>
        <v>170795</v>
      </c>
      <c r="F37" s="510">
        <v>172287</v>
      </c>
      <c r="G37" s="473">
        <f t="shared" si="3"/>
        <v>1492</v>
      </c>
      <c r="H37" s="460">
        <f>G37+'26'!H37</f>
        <v>-4283</v>
      </c>
      <c r="I37" s="455"/>
      <c r="J37" s="552">
        <f>H37/DAY(B2)</f>
        <v>-158.62962962962962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'26'!F38</f>
        <v>192122</v>
      </c>
      <c r="F38" s="469">
        <v>193835</v>
      </c>
      <c r="G38" s="473">
        <f t="shared" si="3"/>
        <v>1713</v>
      </c>
      <c r="H38" s="460">
        <f>G38+'26'!H38</f>
        <v>-4624</v>
      </c>
      <c r="I38" s="455"/>
      <c r="J38" s="552">
        <f>H38/DAY(B2)</f>
        <v>-171.25925925925927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'26'!F39</f>
        <v>390160</v>
      </c>
      <c r="F39" s="510">
        <v>393875</v>
      </c>
      <c r="G39" s="473">
        <f t="shared" si="3"/>
        <v>3715</v>
      </c>
      <c r="H39" s="460">
        <f>G39+'26'!H39</f>
        <v>-10989</v>
      </c>
      <c r="I39" s="455"/>
      <c r="J39" s="552">
        <f>H39/DAY(B2)</f>
        <v>-407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'26'!F40</f>
        <v>5734</v>
      </c>
      <c r="F40" s="510">
        <v>6114</v>
      </c>
      <c r="G40" s="473">
        <f t="shared" si="3"/>
        <v>380</v>
      </c>
      <c r="H40" s="460">
        <f>G40+'26'!H40</f>
        <v>-999</v>
      </c>
      <c r="I40" s="455"/>
      <c r="J40" s="552">
        <f>H40/DAY(B2)</f>
        <v>-37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'26'!F41</f>
        <v>313882</v>
      </c>
      <c r="F41" s="510">
        <v>318653</v>
      </c>
      <c r="G41" s="473">
        <f t="shared" si="3"/>
        <v>4771</v>
      </c>
      <c r="H41" s="460">
        <f>G41+'26'!H41</f>
        <v>-10989</v>
      </c>
      <c r="I41" s="455"/>
      <c r="J41" s="552">
        <f>H41/DAY(B2)</f>
        <v>-407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'26'!F42</f>
        <v>59210</v>
      </c>
      <c r="F42" s="510">
        <v>59210</v>
      </c>
      <c r="G42" s="473">
        <f t="shared" si="3"/>
        <v>0</v>
      </c>
      <c r="H42" s="460">
        <f>G42+'26'!H42</f>
        <v>11.110000000000582</v>
      </c>
      <c r="I42" s="455"/>
      <c r="J42" s="552">
        <f>H42/DAY(B2)</f>
        <v>0.41148148148150304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'26'!F43</f>
        <v>1109510</v>
      </c>
      <c r="F43" s="510">
        <v>1112567</v>
      </c>
      <c r="G43" s="473">
        <f t="shared" si="3"/>
        <v>3057</v>
      </c>
      <c r="H43" s="460">
        <f>G43+'26'!H43</f>
        <v>-7885</v>
      </c>
      <c r="I43" s="455"/>
      <c r="J43" s="552">
        <f>H43/DAY(B2)</f>
        <v>-292.03703703703701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'26'!F45</f>
        <v>0</v>
      </c>
      <c r="F45" s="510">
        <v>0</v>
      </c>
      <c r="G45" s="473">
        <f t="shared" si="3"/>
        <v>0</v>
      </c>
      <c r="H45" s="460">
        <f>G45+'26'!H45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'26'!F46</f>
        <v>0</v>
      </c>
      <c r="F46" s="510">
        <v>0</v>
      </c>
      <c r="G46" s="473">
        <f t="shared" si="3"/>
        <v>0</v>
      </c>
      <c r="H46" s="460">
        <f>G46+'26'!H46</f>
        <v>-5.0000000000011369E-2</v>
      </c>
      <c r="I46" s="455"/>
      <c r="J46" s="552">
        <f>H46/DAY(B2)</f>
        <v>-1.8518518518522728E-3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18777</v>
      </c>
      <c r="H47" s="460">
        <f>G47+'26'!H47</f>
        <v>-49173.449999999939</v>
      </c>
      <c r="I47" s="455"/>
      <c r="J47" s="552">
        <f>H47/DAY(B2)</f>
        <v>-1821.2388888888865</v>
      </c>
      <c r="K47" s="428"/>
      <c r="L47" s="377"/>
      <c r="N47" s="382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'26'!F49</f>
        <v>260732</v>
      </c>
      <c r="F49" s="510">
        <v>260732.13</v>
      </c>
      <c r="G49" s="473">
        <f t="shared" ref="G49:G58" si="4">F49-E49</f>
        <v>0.13000000000465661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'26'!F50</f>
        <v>530470</v>
      </c>
      <c r="F50" s="510">
        <v>531769</v>
      </c>
      <c r="G50" s="473">
        <f t="shared" si="4"/>
        <v>1299</v>
      </c>
      <c r="H50" s="460">
        <f>G50+'26'!H50</f>
        <v>-3784</v>
      </c>
      <c r="I50" s="455"/>
      <c r="J50" s="552">
        <f>H50/DAY(B2)</f>
        <v>-140.14814814814815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'26'!F53</f>
        <v>434232</v>
      </c>
      <c r="F53" s="510">
        <v>434232</v>
      </c>
      <c r="G53" s="473">
        <f t="shared" si="4"/>
        <v>0</v>
      </c>
      <c r="H53" s="460">
        <f>G53+'26'!H53</f>
        <v>-0.33000000001629815</v>
      </c>
      <c r="I53" s="455"/>
      <c r="J53" s="552">
        <f>H53/DAY(B2)</f>
        <v>-1.2222222222825858E-2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'26'!F54</f>
        <v>14967</v>
      </c>
      <c r="F54" s="510">
        <v>14967</v>
      </c>
      <c r="G54" s="473">
        <f t="shared" si="4"/>
        <v>0</v>
      </c>
      <c r="H54" s="460">
        <f>G54+'26'!H54</f>
        <v>-79</v>
      </c>
      <c r="I54" s="455"/>
      <c r="J54" s="552">
        <f>H54/DAY(B2)</f>
        <v>-2.925925925925926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'26'!F55</f>
        <v>109786</v>
      </c>
      <c r="F55" s="653">
        <v>111460</v>
      </c>
      <c r="G55" s="473">
        <f t="shared" si="4"/>
        <v>1674</v>
      </c>
      <c r="H55" s="705">
        <f>G55+'26'!H55</f>
        <v>-6176</v>
      </c>
      <c r="I55" s="706"/>
      <c r="J55" s="707">
        <f>H55/DAY(B2)</f>
        <v>-228.74074074074073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'26'!F56</f>
        <v>648960</v>
      </c>
      <c r="F56" s="653">
        <v>648960</v>
      </c>
      <c r="G56" s="473">
        <f t="shared" si="4"/>
        <v>0</v>
      </c>
      <c r="H56" s="460">
        <f>G56+'26'!H56</f>
        <v>-72</v>
      </c>
      <c r="I56" s="455"/>
      <c r="J56" s="552">
        <f>H56/DAY(B2)</f>
        <v>-2.6666666666666665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'26'!F58</f>
        <v>53449</v>
      </c>
      <c r="F58" s="653">
        <v>53590</v>
      </c>
      <c r="G58" s="473">
        <f t="shared" si="4"/>
        <v>141</v>
      </c>
      <c r="H58" s="460">
        <f>G58+'26'!H58</f>
        <v>-635.20999999999913</v>
      </c>
      <c r="I58" s="455"/>
      <c r="J58" s="552">
        <f>H58/DAY(B2)</f>
        <v>-23.526296296296263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3114.1900000000605</v>
      </c>
      <c r="H59" s="460">
        <f>G59+'26'!H59</f>
        <v>-10746.410000000011</v>
      </c>
      <c r="I59" s="455">
        <f>G7-G60</f>
        <v>-391.19000000006054</v>
      </c>
      <c r="J59" s="552">
        <f>H59/DAY(B2)</f>
        <v>-398.0151851851856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21891.190000000061</v>
      </c>
      <c r="H60" s="460">
        <f>G60+'26'!H60</f>
        <v>-58711.320000000123</v>
      </c>
      <c r="I60" s="455">
        <f>G13-G60</f>
        <v>-703.19000000006054</v>
      </c>
      <c r="J60" s="552">
        <f>H60/DAY(B2)</f>
        <v>-2174.4933333333379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1.9999999967694748E-3</v>
      </c>
      <c r="I62" s="515"/>
      <c r="J62" s="552">
        <f>H62/DAY(B2)</f>
        <v>7.4074073954424991E-5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'26'!F63</f>
        <v>0</v>
      </c>
      <c r="F63" s="514">
        <v>0</v>
      </c>
      <c r="G63" s="473">
        <f t="shared" si="5"/>
        <v>0</v>
      </c>
      <c r="H63" s="460">
        <f>G63+'26'!H63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514">
        <f>'26'!F64</f>
        <v>168532</v>
      </c>
      <c r="F64" s="478">
        <v>168917</v>
      </c>
      <c r="G64" s="473">
        <f t="shared" si="5"/>
        <v>385</v>
      </c>
      <c r="H64" s="460">
        <f>G64+'26'!H64</f>
        <v>-1105</v>
      </c>
      <c r="I64" s="480"/>
      <c r="J64" s="552">
        <f>H64/DAY(B2)</f>
        <v>-40.925925925925924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514">
        <f>'26'!F65</f>
        <v>168685</v>
      </c>
      <c r="F65" s="485">
        <v>169043</v>
      </c>
      <c r="G65" s="473">
        <f t="shared" si="5"/>
        <v>358</v>
      </c>
      <c r="H65" s="460">
        <f>G65+'26'!H65</f>
        <v>-1259</v>
      </c>
      <c r="I65" s="489"/>
      <c r="J65" s="552">
        <f>H65/DAY(B2)</f>
        <v>-46.629629629629626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514">
        <f>'26'!F66</f>
        <v>66280</v>
      </c>
      <c r="F66" s="485">
        <v>66654</v>
      </c>
      <c r="G66" s="473">
        <f t="shared" si="5"/>
        <v>374</v>
      </c>
      <c r="H66" s="460">
        <f>G66+'26'!H66</f>
        <v>-1316</v>
      </c>
      <c r="I66" s="480"/>
      <c r="J66" s="552">
        <f>H66/DAY(B2)</f>
        <v>-48.74074074074074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514">
        <f>'26'!F67</f>
        <v>263178</v>
      </c>
      <c r="F67" s="478">
        <v>263648</v>
      </c>
      <c r="G67" s="473">
        <f t="shared" si="5"/>
        <v>470</v>
      </c>
      <c r="H67" s="460">
        <f>G67+'26'!H67</f>
        <v>-1311</v>
      </c>
      <c r="I67" s="489"/>
      <c r="J67" s="552">
        <f>H67/DAY(B2)</f>
        <v>-48.555555555555557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514">
        <f>'26'!F69</f>
        <v>86501</v>
      </c>
      <c r="F69" s="478">
        <v>86824</v>
      </c>
      <c r="G69" s="473">
        <f t="shared" si="5"/>
        <v>323</v>
      </c>
      <c r="H69" s="460">
        <f>G69+'26'!H69</f>
        <v>-691</v>
      </c>
      <c r="I69" s="516"/>
      <c r="J69" s="552">
        <f>H69/DAY(B2)</f>
        <v>-25.592592592592592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'26'!F72</f>
        <v>856180</v>
      </c>
      <c r="F72" s="654">
        <v>856191</v>
      </c>
      <c r="G72" s="473">
        <f t="shared" ref="G72:G84" si="6">F72-E72</f>
        <v>11</v>
      </c>
      <c r="H72" s="460">
        <f>G72+'26'!H72</f>
        <v>-44</v>
      </c>
      <c r="I72" s="480"/>
      <c r="J72" s="552">
        <f>H72/DAY(B2)</f>
        <v>-1.6296296296296295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519">
        <f>'26'!F73</f>
        <v>885967</v>
      </c>
      <c r="F73" s="655">
        <v>885968</v>
      </c>
      <c r="G73" s="652">
        <f t="shared" si="6"/>
        <v>1</v>
      </c>
      <c r="H73" s="460">
        <f>G73+'26'!H73</f>
        <v>-192</v>
      </c>
      <c r="I73" s="480"/>
      <c r="J73" s="552">
        <f>H73/DAY(B2)</f>
        <v>-7.1111111111111107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519">
        <f>'26'!F74</f>
        <v>88689</v>
      </c>
      <c r="F74" s="655">
        <v>88689</v>
      </c>
      <c r="G74" s="473">
        <f t="shared" si="6"/>
        <v>0</v>
      </c>
      <c r="H74" s="460">
        <f>G74+'26'!H74</f>
        <v>-86086.04</v>
      </c>
      <c r="I74" s="480"/>
      <c r="J74" s="552">
        <f>H74/DAY(B2)</f>
        <v>-3188.3718518518517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519">
        <f>'26'!F75</f>
        <v>15537</v>
      </c>
      <c r="F75" s="654">
        <v>15677</v>
      </c>
      <c r="G75" s="473">
        <f t="shared" si="6"/>
        <v>140</v>
      </c>
      <c r="H75" s="460">
        <f>G75+'26'!H75</f>
        <v>-394</v>
      </c>
      <c r="I75" s="480"/>
      <c r="J75" s="552">
        <f>H75/DAY(B2)</f>
        <v>-14.592592592592593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519">
        <f>'26'!F76</f>
        <v>9028</v>
      </c>
      <c r="F76" s="655">
        <v>9105</v>
      </c>
      <c r="G76" s="473">
        <f t="shared" si="6"/>
        <v>77</v>
      </c>
      <c r="H76" s="460">
        <f>G76+'26'!H76</f>
        <v>-1503</v>
      </c>
      <c r="I76" s="505"/>
      <c r="J76" s="552">
        <f>H76/DAY(B2)</f>
        <v>-55.666666666666664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519">
        <f>'26'!F77</f>
        <v>704148</v>
      </c>
      <c r="F77" s="655">
        <v>704205</v>
      </c>
      <c r="G77" s="652">
        <f t="shared" si="6"/>
        <v>57</v>
      </c>
      <c r="H77" s="460">
        <f>G77+'26'!H77</f>
        <v>-169</v>
      </c>
      <c r="I77" s="505"/>
      <c r="J77" s="552">
        <f>H77/DAY(B2)</f>
        <v>-6.2592592592592595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19">
        <f>'26'!F78</f>
        <v>675015</v>
      </c>
      <c r="F78" s="654">
        <v>675167</v>
      </c>
      <c r="G78" s="473">
        <f t="shared" si="6"/>
        <v>152</v>
      </c>
      <c r="H78" s="460">
        <f>G78+'26'!H78</f>
        <v>-247</v>
      </c>
      <c r="I78" s="505"/>
      <c r="J78" s="552">
        <f>H78/DAY(B2)</f>
        <v>-9.1481481481481488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519">
        <f>'26'!F79</f>
        <v>834834</v>
      </c>
      <c r="F79" s="1309">
        <v>834973</v>
      </c>
      <c r="G79" s="473">
        <f t="shared" si="6"/>
        <v>139</v>
      </c>
      <c r="H79" s="460">
        <f>G79+'26'!H79</f>
        <v>569</v>
      </c>
      <c r="I79" s="505"/>
      <c r="J79" s="552">
        <f>H79/DAY(B2)</f>
        <v>21.074074074074073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519">
        <f>'26'!F80</f>
        <v>537443</v>
      </c>
      <c r="F80" s="655">
        <v>537903</v>
      </c>
      <c r="G80" s="473">
        <f t="shared" si="6"/>
        <v>460</v>
      </c>
      <c r="H80" s="460">
        <f>G80+'26'!H80</f>
        <v>2951.4799999999814</v>
      </c>
      <c r="I80" s="505"/>
      <c r="J80" s="552">
        <f>H80/DAY(B2)</f>
        <v>109.31407407407339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519">
        <f>'26'!F81</f>
        <v>642446</v>
      </c>
      <c r="F81" s="655">
        <v>642577</v>
      </c>
      <c r="G81" s="473">
        <f t="shared" si="6"/>
        <v>131</v>
      </c>
      <c r="H81" s="460">
        <f>G81+'26'!H81</f>
        <v>-408</v>
      </c>
      <c r="I81" s="505"/>
      <c r="J81" s="552">
        <f>H81/DAY(B2)</f>
        <v>-15.111111111111111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519">
        <f>'26'!F82</f>
        <v>108608</v>
      </c>
      <c r="F82" s="651">
        <v>108633</v>
      </c>
      <c r="G82" s="473">
        <f t="shared" si="6"/>
        <v>25</v>
      </c>
      <c r="H82" s="460">
        <f>G82+'26'!H82</f>
        <v>-48</v>
      </c>
      <c r="I82" s="486"/>
      <c r="J82" s="552">
        <f>H82/DAY(B2)</f>
        <v>-1.7777777777777777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519">
        <f>'26'!F83</f>
        <v>26315</v>
      </c>
      <c r="F83" s="1310">
        <v>26634</v>
      </c>
      <c r="G83" s="473">
        <f t="shared" si="6"/>
        <v>319</v>
      </c>
      <c r="H83" s="460">
        <f>G83+'26'!H83</f>
        <v>-917</v>
      </c>
      <c r="I83" s="481"/>
      <c r="J83" s="552">
        <f>H83/DAY(B2)</f>
        <v>-33.962962962962962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519">
        <f>'26'!F84</f>
        <v>519753</v>
      </c>
      <c r="F84" s="524">
        <v>520637</v>
      </c>
      <c r="G84" s="473">
        <f t="shared" si="6"/>
        <v>884</v>
      </c>
      <c r="H84" s="460">
        <f>G84+'26'!H84</f>
        <v>-2443</v>
      </c>
      <c r="I84" s="481"/>
      <c r="J84" s="552">
        <f>H84/DAY(B2)</f>
        <v>-90.481481481481481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2396</v>
      </c>
      <c r="H85" s="460">
        <f>G85+'26'!H85</f>
        <v>-92531.040000000008</v>
      </c>
      <c r="I85" s="481"/>
      <c r="J85" s="552">
        <f>H85/DAY(B2)</f>
        <v>-3427.0755555555556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'26'!F86</f>
        <v>461666</v>
      </c>
      <c r="F86" s="647">
        <v>461705</v>
      </c>
      <c r="G86" s="705">
        <f>F86-E86</f>
        <v>39</v>
      </c>
      <c r="H86" s="705">
        <f t="shared" ref="H86:H88" si="7">G86</f>
        <v>39</v>
      </c>
      <c r="I86" s="652"/>
      <c r="J86" s="707">
        <f>H86/DAY(B2)</f>
        <v>1.4444444444444444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'26'!F87</f>
        <v>81967</v>
      </c>
      <c r="F87" s="647">
        <v>81978</v>
      </c>
      <c r="G87" s="705">
        <f t="shared" ref="G87:G91" si="8">F87-E87</f>
        <v>11</v>
      </c>
      <c r="H87" s="705">
        <f t="shared" si="7"/>
        <v>11</v>
      </c>
      <c r="I87" s="652"/>
      <c r="J87" s="707">
        <f>H87/DAY(B2)</f>
        <v>0.40740740740740738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'26'!F88</f>
        <v>154949</v>
      </c>
      <c r="F88" s="647">
        <v>154983</v>
      </c>
      <c r="G88" s="705">
        <f t="shared" si="8"/>
        <v>34</v>
      </c>
      <c r="H88" s="705">
        <f t="shared" si="7"/>
        <v>34</v>
      </c>
      <c r="I88" s="652"/>
      <c r="J88" s="707">
        <f>H88/DAY(B2)</f>
        <v>1.2592592592592593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'26'!F89</f>
        <v>65748</v>
      </c>
      <c r="F89" s="647">
        <v>65763</v>
      </c>
      <c r="G89" s="705">
        <f t="shared" si="8"/>
        <v>15</v>
      </c>
      <c r="H89" s="705">
        <f>G89</f>
        <v>15</v>
      </c>
      <c r="I89" s="652"/>
      <c r="J89" s="707">
        <f>H89/DAY(B2)</f>
        <v>0.55555555555555558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'26'!F90</f>
        <v>3333</v>
      </c>
      <c r="F90" s="647">
        <v>3334</v>
      </c>
      <c r="G90" s="705">
        <f t="shared" si="8"/>
        <v>1</v>
      </c>
      <c r="H90" s="705">
        <f>G90</f>
        <v>1</v>
      </c>
      <c r="I90" s="652"/>
      <c r="J90" s="707">
        <f>H90/DAY(B2)</f>
        <v>3.7037037037037035E-2</v>
      </c>
      <c r="K90" s="733"/>
      <c r="L90" s="734"/>
      <c r="N90" s="777"/>
      <c r="O90" s="382"/>
    </row>
    <row r="91" spans="1:15" s="735" customFormat="1">
      <c r="A91" s="730" t="s">
        <v>348</v>
      </c>
      <c r="B91" s="731"/>
      <c r="C91" s="731"/>
      <c r="D91" s="732" t="s">
        <v>131</v>
      </c>
      <c r="E91" s="627">
        <f>'26'!F91</f>
        <v>28215</v>
      </c>
      <c r="F91" s="647">
        <v>28218</v>
      </c>
      <c r="G91" s="705">
        <f t="shared" si="8"/>
        <v>3</v>
      </c>
      <c r="H91" s="705">
        <f>G91</f>
        <v>3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'26'!F93</f>
        <v>247056</v>
      </c>
      <c r="F93" s="478">
        <v>247186</v>
      </c>
      <c r="G93" s="473">
        <f t="shared" ref="G93:G94" si="9">F93-E93</f>
        <v>130</v>
      </c>
      <c r="H93" s="460">
        <f>G93+'26'!H93</f>
        <v>-166</v>
      </c>
      <c r="I93" s="480"/>
      <c r="J93" s="552">
        <f>H93/DAY(B2)</f>
        <v>-6.1481481481481479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'26'!F94</f>
        <v>189022</v>
      </c>
      <c r="F94" s="626">
        <v>189136</v>
      </c>
      <c r="G94" s="473">
        <f t="shared" si="9"/>
        <v>114</v>
      </c>
      <c r="H94" s="460">
        <f>G94+'26'!H94</f>
        <v>-318</v>
      </c>
      <c r="I94" s="480"/>
      <c r="J94" s="552">
        <f>H94/DAY(B2)</f>
        <v>-11.777777777777779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>
        <f>'26'!F95</f>
        <v>0</v>
      </c>
      <c r="F95" s="478"/>
      <c r="G95" s="473">
        <f>G93+G94</f>
        <v>244</v>
      </c>
      <c r="H95" s="460">
        <f>G95+'26'!H95</f>
        <v>-670</v>
      </c>
      <c r="I95" s="480"/>
      <c r="J95" s="552">
        <f>H95/DAY(B2)</f>
        <v>-24.814814814814813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'26'!F96</f>
        <v>415755</v>
      </c>
      <c r="F96" s="478">
        <v>415828</v>
      </c>
      <c r="G96" s="473">
        <f t="shared" ref="G96:G101" si="10">F96-E96</f>
        <v>73</v>
      </c>
      <c r="H96" s="460">
        <f>G96+'26'!H96</f>
        <v>-171</v>
      </c>
      <c r="I96" s="480"/>
      <c r="J96" s="552">
        <f>H96/DAY(B2)</f>
        <v>-6.333333333333333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'26'!F97</f>
        <v>103079</v>
      </c>
      <c r="F97" s="478">
        <v>103114</v>
      </c>
      <c r="G97" s="473">
        <f t="shared" si="10"/>
        <v>35</v>
      </c>
      <c r="H97" s="460">
        <f>G97+'26'!H97</f>
        <v>-49</v>
      </c>
      <c r="I97" s="480"/>
      <c r="J97" s="552">
        <f>H97/DAY(B2)</f>
        <v>-1.8148148148148149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'26'!F98</f>
        <v>98565</v>
      </c>
      <c r="F98" s="478">
        <v>98601</v>
      </c>
      <c r="G98" s="473">
        <f t="shared" si="10"/>
        <v>36</v>
      </c>
      <c r="H98" s="460">
        <f>G98+'26'!H98</f>
        <v>-56</v>
      </c>
      <c r="I98" s="480"/>
      <c r="J98" s="552">
        <f>H98/DAY(B2)</f>
        <v>-2.074074074074074</v>
      </c>
      <c r="K98" s="432"/>
      <c r="L98" s="377"/>
      <c r="N98" s="804"/>
    </row>
    <row r="99" spans="1:14" ht="27.75">
      <c r="A99" s="1139" t="s">
        <v>211</v>
      </c>
      <c r="B99" s="1140"/>
      <c r="C99" s="1140"/>
      <c r="D99" s="523" t="s">
        <v>143</v>
      </c>
      <c r="E99" s="484">
        <f>'26'!F99</f>
        <v>150277</v>
      </c>
      <c r="F99" s="478">
        <v>150314</v>
      </c>
      <c r="G99" s="473">
        <f t="shared" si="10"/>
        <v>37</v>
      </c>
      <c r="H99" s="460">
        <f>G99+'26'!H99</f>
        <v>-91</v>
      </c>
      <c r="I99" s="480"/>
      <c r="J99" s="552">
        <f>H99/DAY(B2)</f>
        <v>-3.3703703703703702</v>
      </c>
      <c r="K99" s="380"/>
      <c r="L99" s="377"/>
      <c r="N99" s="1028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'26'!F100</f>
        <v>7714</v>
      </c>
      <c r="F100" s="478">
        <v>7740</v>
      </c>
      <c r="G100" s="473">
        <f t="shared" si="10"/>
        <v>26</v>
      </c>
      <c r="H100" s="460">
        <f>G100+'26'!H100</f>
        <v>-57</v>
      </c>
      <c r="I100" s="480"/>
      <c r="J100" s="552">
        <f>H100/DAY(B2)</f>
        <v>-2.1111111111111112</v>
      </c>
      <c r="K100" s="380"/>
      <c r="L100" s="377"/>
      <c r="N100" s="804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'26'!F101</f>
        <v>5616</v>
      </c>
      <c r="F101" s="478">
        <v>5633</v>
      </c>
      <c r="G101" s="473">
        <f t="shared" si="10"/>
        <v>17</v>
      </c>
      <c r="H101" s="460">
        <f>G101+'26'!H101</f>
        <v>-41</v>
      </c>
      <c r="I101" s="480"/>
      <c r="J101" s="552">
        <f>H101/DAY(B2)</f>
        <v>-1.5185185185185186</v>
      </c>
      <c r="K101" s="380"/>
      <c r="L101" s="377"/>
      <c r="N101" s="804"/>
    </row>
    <row r="102" spans="1:14">
      <c r="A102" s="1591" t="s">
        <v>215</v>
      </c>
      <c r="B102" s="1592"/>
      <c r="C102" s="1593"/>
      <c r="D102" s="524"/>
      <c r="E102" s="524"/>
      <c r="F102" s="524"/>
      <c r="G102" s="525">
        <f>SUM(G96:G101)</f>
        <v>224</v>
      </c>
      <c r="H102" s="460">
        <f>G102+'26'!H102</f>
        <v>-465</v>
      </c>
      <c r="I102" s="526"/>
      <c r="J102" s="552">
        <f>H102/DAY(B2)</f>
        <v>-17.222222222222221</v>
      </c>
      <c r="K102" s="380"/>
      <c r="L102" s="377"/>
      <c r="N102" s="804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532">
        <f>'26'!F105</f>
        <v>7637</v>
      </c>
      <c r="F105" s="658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2.5696296296296</v>
      </c>
      <c r="N105" s="382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532">
        <f>'26'!F106</f>
        <v>36137</v>
      </c>
      <c r="F106" s="783">
        <v>36143</v>
      </c>
      <c r="G106" s="532">
        <f t="shared" ref="G106:G107" si="11">F106-E106</f>
        <v>6</v>
      </c>
      <c r="H106" s="533">
        <f>SUM(G106+'1'!G77)</f>
        <v>59</v>
      </c>
      <c r="I106" s="532"/>
      <c r="J106" s="558">
        <f>H106/DAY(B2)</f>
        <v>2.1851851851851851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532">
        <f>'26'!F107</f>
        <v>19805</v>
      </c>
      <c r="F107" s="659">
        <v>19810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4.4074074074074074</v>
      </c>
      <c r="N107" s="382"/>
    </row>
    <row r="108" spans="1:14" s="442" customFormat="1" ht="27.75">
      <c r="A108" s="1553" t="s">
        <v>201</v>
      </c>
      <c r="B108" s="1554"/>
      <c r="C108" s="1138"/>
      <c r="D108" s="622"/>
      <c r="E108" s="532">
        <f>'26'!F108</f>
        <v>0</v>
      </c>
      <c r="F108" s="659"/>
      <c r="G108" s="532">
        <f>SUM(G105:G107)</f>
        <v>11</v>
      </c>
      <c r="H108" s="533">
        <f>SUM(G108+'1'!G79)</f>
        <v>164</v>
      </c>
      <c r="I108" s="532"/>
      <c r="J108" s="558">
        <f>H108/DAY(B2)</f>
        <v>6.0740740740740744</v>
      </c>
      <c r="N108" s="382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532">
        <f>'26'!F109</f>
        <v>0</v>
      </c>
      <c r="F109" s="659"/>
      <c r="G109" s="532"/>
      <c r="H109" s="533"/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532">
        <f>'26'!F110</f>
        <v>64540</v>
      </c>
      <c r="F110" s="803">
        <v>64608</v>
      </c>
      <c r="G110" s="532">
        <f>F110-E110</f>
        <v>68</v>
      </c>
      <c r="H110" s="533">
        <f>SUM(G110+'1'!G81)</f>
        <v>199.64000000001397</v>
      </c>
      <c r="I110" s="532"/>
      <c r="J110" s="558">
        <f>H110/DAY(B2)</f>
        <v>7.3940740740745916</v>
      </c>
      <c r="N110" s="382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532">
        <f>'26'!F111</f>
        <v>32996</v>
      </c>
      <c r="F111" s="783">
        <v>33046</v>
      </c>
      <c r="G111" s="532">
        <f t="shared" ref="G111:G112" si="12">F111-E111</f>
        <v>50</v>
      </c>
      <c r="H111" s="533">
        <f>SUM(G111+'1'!G82)</f>
        <v>74.899999999994179</v>
      </c>
      <c r="I111" s="532"/>
      <c r="J111" s="558">
        <f>H111/DAY(B2)</f>
        <v>2.7740740740738583</v>
      </c>
      <c r="N111" s="382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532">
        <f>'26'!F112</f>
        <v>4621</v>
      </c>
      <c r="F112" s="783">
        <v>4621</v>
      </c>
      <c r="G112" s="534">
        <f t="shared" si="12"/>
        <v>0</v>
      </c>
      <c r="H112" s="533">
        <f>SUM(G112+'1'!G83)</f>
        <v>351</v>
      </c>
      <c r="I112" s="532"/>
      <c r="J112" s="558">
        <f>H112/DAY(B2)</f>
        <v>13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532">
        <f>'26'!F113</f>
        <v>0</v>
      </c>
      <c r="F113" s="659"/>
      <c r="G113" s="532">
        <f>SUM(G110:G112)</f>
        <v>118</v>
      </c>
      <c r="H113" s="533">
        <f>SUM(G113+'1'!G84)</f>
        <v>934</v>
      </c>
      <c r="I113" s="532"/>
      <c r="J113" s="558">
        <f>H113/DAY(B2)</f>
        <v>34.592592592592595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532">
        <f>'26'!F114</f>
        <v>0</v>
      </c>
      <c r="F114" s="659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'26'!F115</f>
        <v>11916</v>
      </c>
      <c r="F115" s="659">
        <v>11947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1.1481481481481481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'26'!F116</f>
        <v>8507</v>
      </c>
      <c r="F116" s="659">
        <v>8520</v>
      </c>
      <c r="G116" s="534">
        <f t="shared" ref="G116:G117" si="13">F116-E116</f>
        <v>13</v>
      </c>
      <c r="H116" s="533">
        <f>SUM(G116+'1'!G93)</f>
        <v>102</v>
      </c>
      <c r="I116" s="532"/>
      <c r="J116" s="558">
        <f>H116/DAY(B2)</f>
        <v>3.7777777777777777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3.5925925925925926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44</v>
      </c>
      <c r="H118" s="533">
        <f>SUM(G118+'1'!G96)</f>
        <v>130</v>
      </c>
      <c r="I118" s="534"/>
      <c r="J118" s="558">
        <f>H118/DAY(B2)</f>
        <v>4.8148148148148149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/>
      <c r="G119" s="536">
        <f>SUM(G19+G93)</f>
        <v>191</v>
      </c>
      <c r="H119" s="533">
        <f>SUM(G119+'1'!G97)</f>
        <v>208</v>
      </c>
      <c r="I119" s="535"/>
      <c r="J119" s="559">
        <f>H119/DAY(B2)</f>
        <v>7.7037037037037033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/>
      <c r="G120" s="536">
        <f>SUM(G96,G97,G98,G100,G101)</f>
        <v>187</v>
      </c>
      <c r="H120" s="533">
        <f>SUM(G120+'1'!G99)</f>
        <v>237</v>
      </c>
      <c r="I120" s="535"/>
      <c r="J120" s="559">
        <f>H120/DAY(B2)</f>
        <v>8.7777777777777786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/>
      <c r="G121" s="534">
        <f>SUM(G113)</f>
        <v>118</v>
      </c>
      <c r="H121" s="533">
        <f>SUM(G121+'1'!G101)</f>
        <v>123</v>
      </c>
      <c r="I121" s="535"/>
      <c r="J121" s="559">
        <f>H121/DAY(B2)</f>
        <v>4.5555555555555554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661"/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'26'!F124</f>
        <v>838568</v>
      </c>
      <c r="F124" s="478">
        <v>838862</v>
      </c>
      <c r="G124" s="473">
        <f t="shared" ref="G124:G128" si="14">F124-E124</f>
        <v>294</v>
      </c>
      <c r="H124" s="460">
        <f>G124+'26'!H124</f>
        <v>-808</v>
      </c>
      <c r="I124" s="526">
        <f>G124/5</f>
        <v>58.8</v>
      </c>
      <c r="J124" s="552">
        <f>H124/DAY(B2)</f>
        <v>-29.925925925925927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'26'!F126</f>
        <v>148299</v>
      </c>
      <c r="F126" s="626">
        <v>148391</v>
      </c>
      <c r="G126" s="473">
        <f t="shared" si="14"/>
        <v>92</v>
      </c>
      <c r="H126" s="460">
        <f>G126+'26'!H126</f>
        <v>-206</v>
      </c>
      <c r="I126" s="526"/>
      <c r="J126" s="552">
        <f>H126/DAY(B2)</f>
        <v>-7.6296296296296298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478">
        <f>'26'!F127</f>
        <v>31939</v>
      </c>
      <c r="F127" s="626">
        <v>31981</v>
      </c>
      <c r="G127" s="473">
        <f t="shared" si="14"/>
        <v>42</v>
      </c>
      <c r="H127" s="460">
        <f>G127+'26'!H127</f>
        <v>-90</v>
      </c>
      <c r="I127" s="526"/>
      <c r="J127" s="552">
        <f>H127/DAY(B2)</f>
        <v>-3.3333333333333335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478">
        <f>'26'!F128</f>
        <v>8999</v>
      </c>
      <c r="F128" s="626">
        <v>9006</v>
      </c>
      <c r="G128" s="473">
        <f t="shared" si="14"/>
        <v>7</v>
      </c>
      <c r="H128" s="460">
        <f>G128+'26'!H128</f>
        <v>-6</v>
      </c>
      <c r="I128" s="480"/>
      <c r="J128" s="552">
        <f>H128/DAY(B2)</f>
        <v>-0.22222222222222221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265</v>
      </c>
      <c r="H129" s="460">
        <f>G129+'26'!H129</f>
        <v>3555</v>
      </c>
      <c r="I129" s="480"/>
      <c r="J129" s="552">
        <f>H129/DAY(B2)</f>
        <v>131.66666666666666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'26'!F131</f>
        <v>0</v>
      </c>
      <c r="F131" s="478">
        <v>0</v>
      </c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'26'!F132</f>
        <v>0</v>
      </c>
      <c r="F132" s="478">
        <v>0</v>
      </c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'26'!F133</f>
        <v>40379</v>
      </c>
      <c r="F133" s="485">
        <v>40403</v>
      </c>
      <c r="G133" s="473">
        <f t="shared" si="15"/>
        <v>24</v>
      </c>
      <c r="H133" s="460">
        <f>G133+'26'!H133</f>
        <v>-50</v>
      </c>
      <c r="I133" s="480"/>
      <c r="J133" s="552">
        <f>H133/DAY(B2)</f>
        <v>-1.8518518518518519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484">
        <f>'26'!F134</f>
        <v>300</v>
      </c>
      <c r="F134" s="651">
        <v>300</v>
      </c>
      <c r="G134" s="473">
        <f t="shared" si="15"/>
        <v>0</v>
      </c>
      <c r="H134" s="460">
        <f>G134+'26'!H134</f>
        <v>0</v>
      </c>
      <c r="I134" s="480">
        <f>G131+G132+G133+G134</f>
        <v>24</v>
      </c>
      <c r="J134" s="552">
        <f>H134/DAY(B2)</f>
        <v>0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484">
        <f>'26'!F135</f>
        <v>41932.410000000003</v>
      </c>
      <c r="F135" s="485">
        <v>41943.17</v>
      </c>
      <c r="G135" s="473">
        <f t="shared" si="15"/>
        <v>10.759999999994761</v>
      </c>
      <c r="H135" s="460">
        <f>G135+'26'!H135</f>
        <v>103.72999999999593</v>
      </c>
      <c r="I135" s="480"/>
      <c r="J135" s="552">
        <f>H135/DAY(B2)</f>
        <v>3.8418518518517009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484">
        <f>'26'!F136</f>
        <v>32874</v>
      </c>
      <c r="F136" s="485">
        <v>32874</v>
      </c>
      <c r="G136" s="473">
        <f t="shared" si="15"/>
        <v>0</v>
      </c>
      <c r="H136" s="460">
        <f>G136+'26'!H136</f>
        <v>12.94999999999709</v>
      </c>
      <c r="I136" s="480"/>
      <c r="J136" s="552">
        <f>H136/DAY(B2)</f>
        <v>0.47962962962952183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484">
        <f>'26'!F137</f>
        <v>22873.99</v>
      </c>
      <c r="F137" s="485">
        <v>22878.47</v>
      </c>
      <c r="G137" s="473">
        <f t="shared" si="15"/>
        <v>4.4799999999995634</v>
      </c>
      <c r="H137" s="460">
        <f>G137+'26'!H137</f>
        <v>-13.020000000000437</v>
      </c>
      <c r="I137" s="480">
        <f>G135+G136+G137</f>
        <v>15.239999999994325</v>
      </c>
      <c r="J137" s="552">
        <f>H137/DAY(B2)</f>
        <v>-0.48222222222223837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484">
        <f>'26'!F138</f>
        <v>25091</v>
      </c>
      <c r="F138" s="651">
        <v>25091.39</v>
      </c>
      <c r="G138" s="473">
        <f t="shared" si="15"/>
        <v>0.38999999999941792</v>
      </c>
      <c r="H138" s="460">
        <f>G138+'26'!H138</f>
        <v>17.5</v>
      </c>
      <c r="I138" s="480"/>
      <c r="J138" s="552">
        <f>H138/DAY(B2)</f>
        <v>0.64814814814814814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484">
        <f>'26'!F139</f>
        <v>70503.92</v>
      </c>
      <c r="F139" s="485">
        <v>70509</v>
      </c>
      <c r="G139" s="473">
        <f t="shared" si="15"/>
        <v>5.0800000000017462</v>
      </c>
      <c r="H139" s="460">
        <f>G139+'26'!H139</f>
        <v>27.270000000004075</v>
      </c>
      <c r="I139" s="480">
        <f>G138+G139</f>
        <v>5.4700000000011642</v>
      </c>
      <c r="J139" s="552">
        <f>H139/DAY(B2)</f>
        <v>1.010000000000151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484">
        <f>'26'!F140</f>
        <v>2088.5</v>
      </c>
      <c r="F140" s="485">
        <v>2099</v>
      </c>
      <c r="G140" s="473">
        <f t="shared" si="15"/>
        <v>10.5</v>
      </c>
      <c r="H140" s="460">
        <f>G140+'26'!H140</f>
        <v>-30.179999999999836</v>
      </c>
      <c r="I140" s="542"/>
      <c r="J140" s="552">
        <f>H140/DAY(B2)</f>
        <v>-1.1177777777777718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472" t="s">
        <v>214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6119.1300000000047</v>
      </c>
      <c r="H143" s="460">
        <f>G143+'26'!H143</f>
        <v>-17872.929999999935</v>
      </c>
      <c r="I143" s="480"/>
      <c r="J143" s="552">
        <f>H143/DAY(B2)</f>
        <v>-661.96037037036797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0.28461069767441882</v>
      </c>
      <c r="H144" s="460">
        <f>G144+'26'!H144</f>
        <v>-0.82698355163870263</v>
      </c>
      <c r="I144" s="544"/>
      <c r="J144" s="552">
        <f>H144/DAY(B2)</f>
        <v>-3.062902043106306E-2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6445</v>
      </c>
      <c r="H145" s="460">
        <f>G145+'26'!H145</f>
        <v>-17225.889999999985</v>
      </c>
      <c r="I145" s="480"/>
      <c r="J145" s="552">
        <f>H145/DAY(B2)</f>
        <v>-637.99592592592535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0.29976744186046511</v>
      </c>
      <c r="H146" s="460">
        <f>G146+'26'!H146</f>
        <v>-0.80191180725991285</v>
      </c>
      <c r="I146" s="544"/>
      <c r="J146" s="552">
        <f>H146/DAY(B2)</f>
        <v>-2.9700437305922697E-2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3715</v>
      </c>
      <c r="H147" s="460">
        <f>G147+'26'!H147</f>
        <v>-10989</v>
      </c>
      <c r="I147" s="545"/>
      <c r="J147" s="552">
        <f>H147/DAY(B2)</f>
        <v>-407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0.1727906976744186</v>
      </c>
      <c r="H148" s="460">
        <f>G148+'26'!H148</f>
        <v>-0.50793129413502813</v>
      </c>
      <c r="I148" s="545"/>
      <c r="J148" s="552">
        <f>H148/DAY(B2)</f>
        <v>-1.881227015314919E-2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1712.9300000000512</v>
      </c>
      <c r="H149" s="460">
        <f>G149+'26'!H149</f>
        <v>-4624</v>
      </c>
      <c r="I149" s="480"/>
      <c r="J149" s="552">
        <f>H149/DAY(B2)</f>
        <v>-171.25925925925927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7.9671162790700051E-2</v>
      </c>
      <c r="H150" s="460">
        <f>G150+'26'!H150</f>
        <v>-0.21485948362619264</v>
      </c>
      <c r="I150" s="545"/>
      <c r="J150" s="552">
        <f>H150/DAY(B2)</f>
        <v>-7.9577586528219498E-3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1886</v>
      </c>
      <c r="H151" s="460">
        <f>G151+'26'!H151</f>
        <v>-4765.9999999999982</v>
      </c>
      <c r="I151" s="545"/>
      <c r="J151" s="552">
        <f>H151/DAY(B2)</f>
        <v>-176.51851851851845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8.7720930232558142E-2</v>
      </c>
      <c r="H152" s="460">
        <f>G152+'26'!H152</f>
        <v>-0.22221300362086829</v>
      </c>
      <c r="I152" s="480"/>
      <c r="J152" s="552">
        <f>H152/DAY(B2)</f>
        <v>-8.2301112452173447E-3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1492.1300000000047</v>
      </c>
      <c r="H153" s="460">
        <f>G153+'26'!H153</f>
        <v>-4283</v>
      </c>
      <c r="I153" s="480"/>
      <c r="J153" s="552">
        <f>H153/DAY(B2)</f>
        <v>-158.62962962962962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6.9401395348837422E-2</v>
      </c>
      <c r="H154" s="460">
        <f>G154+'26'!H154</f>
        <v>-0.19781007262932776</v>
      </c>
      <c r="I154" s="568"/>
      <c r="J154" s="569">
        <f>H154/DAY(B2)</f>
        <v>-7.3262989862713989E-3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61" spans="1:14">
      <c r="A161" s="784" t="s">
        <v>262</v>
      </c>
      <c r="B161" s="785"/>
      <c r="C161" s="785"/>
      <c r="D161" s="511" t="s">
        <v>186</v>
      </c>
      <c r="E161" s="541">
        <f>'26'!F161</f>
        <v>40522</v>
      </c>
      <c r="F161" s="658">
        <v>40600</v>
      </c>
      <c r="G161" s="473">
        <f t="shared" ref="G161:G164" si="16">F161-E161</f>
        <v>78</v>
      </c>
    </row>
    <row r="162" spans="1:14">
      <c r="A162" s="784" t="s">
        <v>263</v>
      </c>
      <c r="B162" s="785"/>
      <c r="C162" s="785"/>
      <c r="D162" s="511" t="s">
        <v>186</v>
      </c>
      <c r="E162" s="541">
        <f>'26'!F162</f>
        <v>105953</v>
      </c>
      <c r="F162" s="658">
        <v>106382</v>
      </c>
      <c r="G162" s="473">
        <f t="shared" si="16"/>
        <v>429</v>
      </c>
    </row>
    <row r="163" spans="1:14">
      <c r="A163" s="784" t="s">
        <v>264</v>
      </c>
      <c r="B163" s="785"/>
      <c r="C163" s="785"/>
      <c r="D163" s="511" t="s">
        <v>186</v>
      </c>
      <c r="E163" s="541">
        <f>'26'!F163</f>
        <v>60403</v>
      </c>
      <c r="F163" s="658">
        <v>60608</v>
      </c>
      <c r="G163" s="473">
        <f t="shared" si="16"/>
        <v>205</v>
      </c>
    </row>
    <row r="164" spans="1:14">
      <c r="A164" s="784" t="s">
        <v>265</v>
      </c>
      <c r="B164" s="785"/>
      <c r="C164" s="785"/>
      <c r="D164" s="511" t="s">
        <v>186</v>
      </c>
      <c r="E164" s="541">
        <f>'26'!F164</f>
        <v>6810</v>
      </c>
      <c r="F164" s="658">
        <v>6820</v>
      </c>
      <c r="G164" s="473">
        <f t="shared" si="16"/>
        <v>10</v>
      </c>
    </row>
    <row r="165" spans="1:14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14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</row>
    <row r="167" spans="1:14" ht="27.75">
      <c r="A167" s="1546" t="s">
        <v>98</v>
      </c>
      <c r="B167" s="1546"/>
      <c r="C167" s="1546"/>
      <c r="D167" s="523" t="s">
        <v>186</v>
      </c>
      <c r="E167" s="514">
        <f t="shared" si="18"/>
        <v>168532</v>
      </c>
      <c r="F167" s="514">
        <f t="shared" si="19"/>
        <v>168917</v>
      </c>
      <c r="G167" s="473">
        <f t="shared" si="17"/>
        <v>385</v>
      </c>
    </row>
    <row r="168" spans="1:14" ht="27.75">
      <c r="A168" s="1546" t="s">
        <v>99</v>
      </c>
      <c r="B168" s="1546"/>
      <c r="C168" s="1546"/>
      <c r="D168" s="523" t="s">
        <v>186</v>
      </c>
      <c r="E168" s="514">
        <f t="shared" si="18"/>
        <v>168685</v>
      </c>
      <c r="F168" s="514">
        <f t="shared" si="19"/>
        <v>169043</v>
      </c>
      <c r="G168" s="473">
        <f t="shared" si="17"/>
        <v>358</v>
      </c>
    </row>
    <row r="169" spans="1:14" ht="27.75">
      <c r="A169" s="1546" t="s">
        <v>100</v>
      </c>
      <c r="B169" s="1546"/>
      <c r="C169" s="1546"/>
      <c r="D169" s="523" t="s">
        <v>186</v>
      </c>
      <c r="E169" s="514">
        <f t="shared" si="18"/>
        <v>66280</v>
      </c>
      <c r="F169" s="514">
        <f t="shared" si="19"/>
        <v>66654</v>
      </c>
      <c r="G169" s="473">
        <f t="shared" si="17"/>
        <v>374</v>
      </c>
    </row>
    <row r="170" spans="1:14" ht="27.75">
      <c r="A170" s="1546" t="s">
        <v>101</v>
      </c>
      <c r="B170" s="1546"/>
      <c r="C170" s="1546"/>
      <c r="D170" s="523" t="s">
        <v>186</v>
      </c>
      <c r="E170" s="514">
        <f t="shared" si="18"/>
        <v>263178</v>
      </c>
      <c r="F170" s="514">
        <f t="shared" si="19"/>
        <v>263648</v>
      </c>
      <c r="G170" s="473">
        <f t="shared" si="17"/>
        <v>470</v>
      </c>
    </row>
    <row r="171" spans="1:14" ht="27.75">
      <c r="A171" s="1546" t="s">
        <v>102</v>
      </c>
      <c r="B171" s="1546"/>
      <c r="C171" s="154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14" ht="27.75">
      <c r="A172" s="1546" t="s">
        <v>103</v>
      </c>
      <c r="B172" s="1546"/>
      <c r="C172" s="1546"/>
      <c r="D172" s="523" t="s">
        <v>186</v>
      </c>
      <c r="E172" s="514">
        <f t="shared" si="18"/>
        <v>86501</v>
      </c>
      <c r="F172" s="514">
        <f t="shared" si="19"/>
        <v>86824</v>
      </c>
      <c r="G172" s="473">
        <f t="shared" si="17"/>
        <v>323</v>
      </c>
    </row>
    <row r="173" spans="1:14">
      <c r="G173" s="539">
        <f>SUM(G161:G172)</f>
        <v>2632</v>
      </c>
    </row>
    <row r="174" spans="1:14" s="805" customFormat="1" ht="27">
      <c r="A174" s="1546" t="s">
        <v>345</v>
      </c>
      <c r="B174" s="1546"/>
      <c r="C174" s="1546"/>
      <c r="D174" s="1495" t="s">
        <v>186</v>
      </c>
      <c r="E174" s="1496">
        <v>28215</v>
      </c>
      <c r="F174" s="1496">
        <v>28218</v>
      </c>
      <c r="G174" s="1497">
        <f t="shared" ref="G174:G177" si="20">F174-E174</f>
        <v>3</v>
      </c>
      <c r="H174" s="1498"/>
      <c r="I174" s="454"/>
      <c r="J174" s="1499"/>
      <c r="N174" s="1006"/>
    </row>
    <row r="175" spans="1:14" s="805" customFormat="1" ht="27">
      <c r="A175" s="1587" t="s">
        <v>352</v>
      </c>
      <c r="B175" s="1550"/>
      <c r="C175" s="784"/>
      <c r="D175" s="1495" t="s">
        <v>186</v>
      </c>
      <c r="E175" s="1496">
        <v>18984</v>
      </c>
      <c r="F175" s="1496">
        <v>18988</v>
      </c>
      <c r="G175" s="1497">
        <f t="shared" si="20"/>
        <v>4</v>
      </c>
      <c r="H175" s="1498"/>
      <c r="I175" s="454"/>
      <c r="J175" s="1499"/>
      <c r="N175" s="1006"/>
    </row>
    <row r="176" spans="1:14" s="805" customFormat="1" ht="27">
      <c r="A176" s="1587" t="s">
        <v>353</v>
      </c>
      <c r="B176" s="1550"/>
      <c r="C176" s="454"/>
      <c r="D176" s="1495" t="s">
        <v>186</v>
      </c>
      <c r="E176" s="1500">
        <v>27612</v>
      </c>
      <c r="F176" s="1500">
        <v>27616</v>
      </c>
      <c r="G176" s="1497">
        <f t="shared" si="20"/>
        <v>4</v>
      </c>
      <c r="H176" s="1498"/>
      <c r="I176" s="454"/>
      <c r="J176" s="1499"/>
      <c r="N176" s="1006"/>
    </row>
    <row r="177" spans="1:14" s="281" customFormat="1" ht="22.5" customHeight="1">
      <c r="A177" s="1587" t="s">
        <v>352</v>
      </c>
      <c r="B177" s="1550"/>
      <c r="C177" s="454"/>
      <c r="D177" s="1495" t="s">
        <v>186</v>
      </c>
      <c r="E177" s="1496">
        <v>70278</v>
      </c>
      <c r="F177" s="1496">
        <v>70305</v>
      </c>
      <c r="G177" s="1497">
        <f t="shared" si="20"/>
        <v>27</v>
      </c>
      <c r="H177" s="1498"/>
      <c r="I177" s="454"/>
      <c r="J177" s="1501"/>
      <c r="N177" s="1501"/>
    </row>
  </sheetData>
  <mergeCells count="78">
    <mergeCell ref="A174:C174"/>
    <mergeCell ref="A176:B176"/>
    <mergeCell ref="A177:B177"/>
    <mergeCell ref="A175:B17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6"/>
  <sheetViews>
    <sheetView view="pageBreakPreview" topLeftCell="A142" zoomScale="55" zoomScaleNormal="80" zoomScaleSheetLayoutView="55" workbookViewId="0">
      <selection activeCell="F15" sqref="F15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5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0" customWidth="1"/>
    <col min="15" max="17" width="22.33203125" style="769"/>
    <col min="18" max="16384" width="22.33203125" style="376"/>
  </cols>
  <sheetData>
    <row r="1" spans="1:17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7" s="281" customFormat="1" ht="27">
      <c r="A2" s="575" t="s">
        <v>374</v>
      </c>
      <c r="B2" s="1373">
        <v>44375</v>
      </c>
      <c r="C2" s="1141" t="s">
        <v>68</v>
      </c>
      <c r="D2" s="611">
        <v>0.31</v>
      </c>
      <c r="E2" s="736"/>
      <c r="F2" s="736"/>
      <c r="G2" s="461" t="s">
        <v>117</v>
      </c>
      <c r="H2" s="461" t="s">
        <v>6</v>
      </c>
      <c r="I2" s="461" t="s">
        <v>8</v>
      </c>
      <c r="J2" s="613" t="s">
        <v>118</v>
      </c>
      <c r="N2" s="1100"/>
      <c r="O2" s="769"/>
      <c r="P2" s="769"/>
      <c r="Q2" s="769"/>
    </row>
    <row r="3" spans="1:17" s="281" customFormat="1" ht="27">
      <c r="A3" s="570"/>
      <c r="B3" s="614"/>
      <c r="C3" s="1141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1100"/>
      <c r="O3" s="769"/>
      <c r="P3" s="769"/>
      <c r="Q3" s="769"/>
    </row>
    <row r="4" spans="1:17" s="281" customFormat="1" ht="27">
      <c r="A4" s="576"/>
      <c r="B4" s="616"/>
      <c r="C4" s="1141" t="s">
        <v>121</v>
      </c>
      <c r="D4" s="611">
        <v>0.8</v>
      </c>
      <c r="E4" s="463"/>
      <c r="F4" s="463"/>
      <c r="G4" s="464"/>
      <c r="H4" s="464"/>
      <c r="I4" s="465"/>
      <c r="J4" s="615"/>
      <c r="K4" s="372"/>
      <c r="L4" s="292"/>
      <c r="N4" s="1100"/>
      <c r="O4" s="769"/>
      <c r="P4" s="771"/>
      <c r="Q4" s="769"/>
    </row>
    <row r="5" spans="1:17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P5" s="771"/>
    </row>
    <row r="6" spans="1:17">
      <c r="A6" s="1567" t="s">
        <v>129</v>
      </c>
      <c r="B6" s="1568"/>
      <c r="C6" s="1569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6" t="s">
        <v>130</v>
      </c>
      <c r="B7" s="677"/>
      <c r="C7" s="677"/>
      <c r="D7" s="637" t="s">
        <v>131</v>
      </c>
      <c r="E7" s="679">
        <f>'27'!F7</f>
        <v>502295.56</v>
      </c>
      <c r="F7" s="455">
        <f>E7+21500</f>
        <v>523795.56</v>
      </c>
      <c r="G7" s="678">
        <f>F7-E7</f>
        <v>21500</v>
      </c>
      <c r="H7" s="679">
        <f>G7+'27'!H7</f>
        <v>601842.56000000006</v>
      </c>
      <c r="I7" s="680">
        <f>'1'!I7</f>
        <v>12000</v>
      </c>
      <c r="J7" s="681">
        <f>H7/DAY(B2)</f>
        <v>21494.377142857145</v>
      </c>
      <c r="K7" s="549"/>
      <c r="L7" s="377"/>
      <c r="N7" s="1101"/>
    </row>
    <row r="8" spans="1:17" ht="27.75" thickBot="1">
      <c r="A8" s="682" t="s">
        <v>132</v>
      </c>
      <c r="B8" s="683"/>
      <c r="C8" s="684"/>
      <c r="D8" s="685" t="s">
        <v>25</v>
      </c>
      <c r="E8" s="679">
        <f>'27'!F8</f>
        <v>507953.79</v>
      </c>
      <c r="F8" s="475">
        <f>E8+21500</f>
        <v>529453.79</v>
      </c>
      <c r="G8" s="689">
        <f>F8-E8</f>
        <v>21500.000000000058</v>
      </c>
      <c r="H8" s="679">
        <f>G8+'27'!H8</f>
        <v>602731.79</v>
      </c>
      <c r="I8" s="686">
        <f>'1'!I8</f>
        <v>12000</v>
      </c>
      <c r="J8" s="681">
        <f>H8/DAY(B2)</f>
        <v>21526.135357142859</v>
      </c>
      <c r="K8" s="549"/>
      <c r="L8" s="425">
        <v>1375467</v>
      </c>
      <c r="M8" s="440">
        <v>1703438</v>
      </c>
      <c r="N8" s="1101"/>
    </row>
    <row r="9" spans="1:17">
      <c r="A9" s="687" t="s">
        <v>133</v>
      </c>
      <c r="B9" s="688"/>
      <c r="C9" s="688"/>
      <c r="D9" s="637" t="s">
        <v>131</v>
      </c>
      <c r="E9" s="679">
        <f>'27'!F9</f>
        <v>1975218</v>
      </c>
      <c r="F9" s="737">
        <v>1994519</v>
      </c>
      <c r="G9" s="702">
        <f t="shared" ref="G9:G12" si="0">F9-E9</f>
        <v>19301</v>
      </c>
      <c r="H9" s="679">
        <f>G9+'27'!H9</f>
        <v>-36483</v>
      </c>
      <c r="I9" s="690">
        <f>I8-J8</f>
        <v>-9526.135357142859</v>
      </c>
      <c r="J9" s="681">
        <f>H9/DAY(B2)</f>
        <v>-1302.9642857142858</v>
      </c>
      <c r="K9" s="428"/>
      <c r="L9" s="377"/>
      <c r="N9" s="1101"/>
    </row>
    <row r="10" spans="1:17">
      <c r="A10" s="676" t="s">
        <v>134</v>
      </c>
      <c r="B10" s="677"/>
      <c r="C10" s="677"/>
      <c r="D10" s="637" t="s">
        <v>131</v>
      </c>
      <c r="E10" s="679">
        <f>'27'!F10</f>
        <v>0</v>
      </c>
      <c r="F10" s="737"/>
      <c r="G10" s="689">
        <f t="shared" si="0"/>
        <v>0</v>
      </c>
      <c r="H10" s="679">
        <f>G10+'27'!H10</f>
        <v>0.29999999999972715</v>
      </c>
      <c r="I10" s="691"/>
      <c r="J10" s="681">
        <f>H10/DAY(B2)</f>
        <v>1.071428571427597E-2</v>
      </c>
      <c r="K10" s="428"/>
      <c r="L10" s="377"/>
      <c r="M10" s="376">
        <f>170</f>
        <v>170</v>
      </c>
      <c r="N10" s="1101"/>
    </row>
    <row r="11" spans="1:17">
      <c r="A11" s="676" t="s">
        <v>135</v>
      </c>
      <c r="B11" s="677"/>
      <c r="C11" s="677"/>
      <c r="D11" s="637" t="s">
        <v>131</v>
      </c>
      <c r="E11" s="679">
        <f>'5'!E11</f>
        <v>37000</v>
      </c>
      <c r="F11" s="460">
        <v>37000</v>
      </c>
      <c r="G11" s="689">
        <f t="shared" si="0"/>
        <v>0</v>
      </c>
      <c r="H11" s="679">
        <f>G11+'27'!H11</f>
        <v>0</v>
      </c>
      <c r="I11" s="691"/>
      <c r="J11" s="681">
        <f>H11/DAY(B2)</f>
        <v>0</v>
      </c>
      <c r="K11" s="428"/>
      <c r="L11" s="377"/>
      <c r="N11" s="1101"/>
    </row>
    <row r="12" spans="1:17">
      <c r="A12" s="676" t="s">
        <v>136</v>
      </c>
      <c r="B12" s="677"/>
      <c r="C12" s="677"/>
      <c r="D12" s="637" t="s">
        <v>131</v>
      </c>
      <c r="E12" s="679">
        <f>'5'!E12</f>
        <v>40010</v>
      </c>
      <c r="F12" s="737">
        <v>40010</v>
      </c>
      <c r="G12" s="689">
        <f t="shared" si="0"/>
        <v>0</v>
      </c>
      <c r="H12" s="679">
        <f>G12+'27'!H12</f>
        <v>0</v>
      </c>
      <c r="I12" s="691"/>
      <c r="J12" s="681">
        <f>H12/DAY(B2)</f>
        <v>0</v>
      </c>
      <c r="K12" s="428"/>
      <c r="L12" s="377"/>
      <c r="N12" s="1101"/>
    </row>
    <row r="13" spans="1:17">
      <c r="A13" s="692" t="s">
        <v>137</v>
      </c>
      <c r="B13" s="693"/>
      <c r="C13" s="693"/>
      <c r="D13" s="637"/>
      <c r="E13" s="679"/>
      <c r="F13" s="460"/>
      <c r="G13" s="694">
        <f>G9+G10+G11+G12</f>
        <v>19301</v>
      </c>
      <c r="H13" s="679">
        <f>G13+'27'!H13</f>
        <v>-53007.700000000012</v>
      </c>
      <c r="I13" s="695">
        <f>G7-G13</f>
        <v>2199</v>
      </c>
      <c r="J13" s="681">
        <f>H13/DAY(B2)</f>
        <v>-1893.1321428571432</v>
      </c>
      <c r="K13" s="428"/>
      <c r="L13" s="377"/>
      <c r="N13" s="1101"/>
    </row>
    <row r="14" spans="1:17">
      <c r="A14" s="1570" t="s">
        <v>138</v>
      </c>
      <c r="B14" s="1571"/>
      <c r="C14" s="1572"/>
      <c r="D14" s="472"/>
      <c r="E14" s="738"/>
      <c r="F14" s="738"/>
      <c r="G14" s="483"/>
      <c r="H14" s="472"/>
      <c r="I14" s="472"/>
      <c r="J14" s="551"/>
      <c r="K14" s="429"/>
      <c r="L14" s="377"/>
      <c r="N14" s="1101"/>
    </row>
    <row r="15" spans="1:17">
      <c r="A15" s="665" t="s">
        <v>139</v>
      </c>
      <c r="B15" s="666"/>
      <c r="C15" s="666"/>
      <c r="D15" s="667" t="s">
        <v>140</v>
      </c>
      <c r="E15" s="1502">
        <f>'27'!F15</f>
        <v>1723167.16</v>
      </c>
      <c r="F15" s="700">
        <f>E15+700</f>
        <v>1723867.16</v>
      </c>
      <c r="G15" s="664">
        <f>(F15-E15)</f>
        <v>700</v>
      </c>
      <c r="H15" s="1086">
        <f>G15+'27'!H15</f>
        <v>20184.159999999916</v>
      </c>
      <c r="I15" s="1087">
        <v>800</v>
      </c>
      <c r="J15" s="1088">
        <f>H15/DAY(B2)</f>
        <v>720.86285714285418</v>
      </c>
      <c r="K15" s="428"/>
      <c r="L15" s="377"/>
      <c r="N15" s="1101"/>
    </row>
    <row r="16" spans="1:17">
      <c r="A16" s="673"/>
      <c r="B16" s="674"/>
      <c r="C16" s="674"/>
      <c r="D16" s="667"/>
      <c r="E16" s="756"/>
      <c r="F16" s="739"/>
      <c r="G16" s="669"/>
      <c r="H16" s="1086"/>
      <c r="I16" s="1089">
        <f>I15-J15</f>
        <v>79.137142857145818</v>
      </c>
      <c r="J16" s="1088"/>
      <c r="K16" s="428"/>
      <c r="L16" s="377"/>
      <c r="N16" s="1101"/>
    </row>
    <row r="17" spans="1:17">
      <c r="A17" s="1570" t="s">
        <v>141</v>
      </c>
      <c r="B17" s="1571"/>
      <c r="C17" s="1572"/>
      <c r="D17" s="472"/>
      <c r="E17" s="738"/>
      <c r="F17" s="738"/>
      <c r="G17" s="488"/>
      <c r="H17" s="472"/>
      <c r="I17" s="472"/>
      <c r="J17" s="551"/>
      <c r="K17" s="428"/>
      <c r="L17" s="377"/>
      <c r="N17" s="1101"/>
    </row>
    <row r="18" spans="1:17" ht="27.75">
      <c r="A18" s="1607" t="s">
        <v>142</v>
      </c>
      <c r="B18" s="1608"/>
      <c r="C18" s="1609"/>
      <c r="D18" s="637" t="s">
        <v>143</v>
      </c>
      <c r="E18" s="757">
        <f>'27'!F18</f>
        <v>18</v>
      </c>
      <c r="F18" s="737">
        <v>13</v>
      </c>
      <c r="G18" s="694">
        <f>F18*10</f>
        <v>130</v>
      </c>
      <c r="H18" s="679">
        <f>G18+'27'!H18</f>
        <v>2920</v>
      </c>
      <c r="I18" s="680">
        <f>'1'!I18</f>
        <v>65</v>
      </c>
      <c r="J18" s="681">
        <f>H18/DAY(B2)</f>
        <v>104.28571428571429</v>
      </c>
      <c r="K18" s="428"/>
      <c r="L18" s="377"/>
      <c r="N18" s="1101"/>
    </row>
    <row r="19" spans="1:17" ht="27.75">
      <c r="A19" s="1607" t="s">
        <v>70</v>
      </c>
      <c r="B19" s="1608"/>
      <c r="C19" s="1609"/>
      <c r="D19" s="637" t="s">
        <v>143</v>
      </c>
      <c r="E19" s="757">
        <f>'27'!F19</f>
        <v>141304</v>
      </c>
      <c r="F19" s="737">
        <v>141368</v>
      </c>
      <c r="G19" s="689">
        <f t="shared" ref="G19" si="1">F19-E19</f>
        <v>64</v>
      </c>
      <c r="H19" s="679">
        <f>G19+'27'!H19</f>
        <v>-127</v>
      </c>
      <c r="I19" s="696"/>
      <c r="J19" s="681">
        <f>H19/DAY(B2)</f>
        <v>-4.5357142857142856</v>
      </c>
      <c r="K19" s="428"/>
      <c r="L19" s="377"/>
      <c r="N19" s="1101"/>
    </row>
    <row r="20" spans="1:17">
      <c r="A20" s="692" t="s">
        <v>144</v>
      </c>
      <c r="B20" s="693"/>
      <c r="C20" s="693"/>
      <c r="D20" s="637"/>
      <c r="E20" s="679"/>
      <c r="F20" s="460"/>
      <c r="G20" s="697">
        <f>G18+G19</f>
        <v>194</v>
      </c>
      <c r="H20" s="679">
        <f>G20+'27'!H20</f>
        <v>2793</v>
      </c>
      <c r="I20" s="698">
        <f>I18-J20</f>
        <v>-34.75</v>
      </c>
      <c r="J20" s="681">
        <f>H20/DAY(B2)</f>
        <v>99.75</v>
      </c>
      <c r="K20" s="428"/>
      <c r="L20" s="377"/>
      <c r="N20" s="1101"/>
    </row>
    <row r="21" spans="1:17">
      <c r="A21" s="1570" t="s">
        <v>145</v>
      </c>
      <c r="B21" s="1571"/>
      <c r="C21" s="1572"/>
      <c r="D21" s="472"/>
      <c r="E21" s="738"/>
      <c r="F21" s="738"/>
      <c r="G21" s="483"/>
      <c r="H21" s="472"/>
      <c r="I21" s="472"/>
      <c r="J21" s="551"/>
      <c r="K21" s="428"/>
      <c r="L21" s="377"/>
      <c r="N21" s="1101"/>
    </row>
    <row r="22" spans="1:17">
      <c r="A22" s="1139" t="s">
        <v>146</v>
      </c>
      <c r="B22" s="589"/>
      <c r="C22" s="589"/>
      <c r="D22" s="523" t="s">
        <v>147</v>
      </c>
      <c r="E22" s="758">
        <f>'27'!F22</f>
        <v>2970</v>
      </c>
      <c r="F22" s="737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1"/>
    </row>
    <row r="23" spans="1:17">
      <c r="A23" s="1139" t="s">
        <v>148</v>
      </c>
      <c r="B23" s="589"/>
      <c r="C23" s="589"/>
      <c r="D23" s="523" t="s">
        <v>147</v>
      </c>
      <c r="E23" s="758">
        <f>'27'!F23</f>
        <v>2000</v>
      </c>
      <c r="F23" s="737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1"/>
    </row>
    <row r="24" spans="1:17">
      <c r="A24" s="590" t="s">
        <v>149</v>
      </c>
      <c r="B24" s="591"/>
      <c r="C24" s="591"/>
      <c r="D24" s="511" t="s">
        <v>147</v>
      </c>
      <c r="E24" s="759">
        <f>'27'!F24</f>
        <v>4970</v>
      </c>
      <c r="F24" s="759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1"/>
    </row>
    <row r="25" spans="1:17" s="442" customFormat="1" ht="27">
      <c r="A25" s="1575" t="s">
        <v>150</v>
      </c>
      <c r="B25" s="1576"/>
      <c r="C25" s="1577"/>
      <c r="D25" s="471"/>
      <c r="E25" s="495"/>
      <c r="F25" s="495"/>
      <c r="G25" s="494"/>
      <c r="H25" s="495"/>
      <c r="I25" s="496"/>
      <c r="J25" s="554"/>
      <c r="K25" s="373"/>
      <c r="L25" s="443"/>
      <c r="N25" s="1101"/>
      <c r="O25" s="769"/>
      <c r="P25" s="769"/>
      <c r="Q25" s="769"/>
    </row>
    <row r="26" spans="1:17" s="442" customFormat="1" ht="27">
      <c r="A26" s="592" t="s">
        <v>151</v>
      </c>
      <c r="B26" s="593"/>
      <c r="C26" s="594"/>
      <c r="D26" s="618" t="s">
        <v>152</v>
      </c>
      <c r="E26" s="760"/>
      <c r="F26" s="460"/>
      <c r="G26" s="498"/>
      <c r="H26" s="460"/>
      <c r="I26" s="499"/>
      <c r="J26" s="552"/>
      <c r="K26" s="374"/>
      <c r="L26" s="443"/>
      <c r="N26" s="1101"/>
      <c r="O26" s="769"/>
      <c r="P26" s="769"/>
      <c r="Q26" s="769"/>
    </row>
    <row r="27" spans="1:17" s="442" customFormat="1" ht="27">
      <c r="A27" s="592" t="s">
        <v>6</v>
      </c>
      <c r="B27" s="593"/>
      <c r="C27" s="594"/>
      <c r="D27" s="619" t="s">
        <v>25</v>
      </c>
      <c r="E27" s="699">
        <f>G8</f>
        <v>21500.000000000058</v>
      </c>
      <c r="F27" s="501">
        <v>9</v>
      </c>
      <c r="G27" s="502">
        <f>E27*F27</f>
        <v>193500.00000000052</v>
      </c>
      <c r="H27" s="460">
        <f>G27+'27'!H27</f>
        <v>5424586.1100000003</v>
      </c>
      <c r="I27" s="503"/>
      <c r="J27" s="552">
        <f>H27/DAY(B2)</f>
        <v>193735.21821428573</v>
      </c>
      <c r="K27" s="373"/>
      <c r="L27" s="443"/>
      <c r="N27" s="1101"/>
      <c r="O27" s="769"/>
      <c r="P27" s="769"/>
      <c r="Q27" s="769"/>
    </row>
    <row r="28" spans="1:17" s="442" customFormat="1" ht="27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G28+'27'!H28</f>
        <v>1049576.3199999956</v>
      </c>
      <c r="I28" s="505"/>
      <c r="J28" s="552">
        <f>H28/DAY(B2)</f>
        <v>37484.868571428415</v>
      </c>
      <c r="K28" s="373"/>
      <c r="L28" s="443"/>
      <c r="N28" s="1101"/>
      <c r="O28" s="769"/>
      <c r="P28" s="769"/>
      <c r="Q28" s="769"/>
    </row>
    <row r="29" spans="1:17" s="442" customFormat="1" ht="27">
      <c r="A29" s="592" t="s">
        <v>155</v>
      </c>
      <c r="B29" s="593"/>
      <c r="C29" s="594"/>
      <c r="D29" s="619" t="s">
        <v>156</v>
      </c>
      <c r="E29" s="699">
        <f>G24</f>
        <v>0</v>
      </c>
      <c r="F29" s="699">
        <v>69</v>
      </c>
      <c r="G29" s="502">
        <f>E29*F29</f>
        <v>0</v>
      </c>
      <c r="H29" s="460">
        <f>G29+'27'!H29</f>
        <v>0</v>
      </c>
      <c r="I29" s="505"/>
      <c r="J29" s="552">
        <f>H29/DAY(B2)</f>
        <v>0</v>
      </c>
      <c r="K29" s="373"/>
      <c r="L29" s="443"/>
      <c r="N29" s="1101"/>
      <c r="O29" s="769"/>
      <c r="P29" s="769"/>
      <c r="Q29" s="769"/>
    </row>
    <row r="30" spans="1:17" s="442" customFormat="1" ht="27">
      <c r="A30" s="592" t="s">
        <v>157</v>
      </c>
      <c r="B30" s="593"/>
      <c r="C30" s="594"/>
      <c r="D30" s="619" t="s">
        <v>158</v>
      </c>
      <c r="E30" s="699">
        <f>G19</f>
        <v>64</v>
      </c>
      <c r="F30" s="699">
        <v>146</v>
      </c>
      <c r="G30" s="502">
        <f>E30*F30</f>
        <v>9344</v>
      </c>
      <c r="H30" s="460">
        <f>G30+'27'!H30</f>
        <v>-19126</v>
      </c>
      <c r="I30" s="505"/>
      <c r="J30" s="552">
        <f>H30/DAY(B2)</f>
        <v>-683.07142857142856</v>
      </c>
      <c r="K30" s="373"/>
      <c r="L30" s="443"/>
      <c r="N30" s="1101"/>
      <c r="O30" s="769"/>
      <c r="P30" s="769"/>
      <c r="Q30" s="769"/>
    </row>
    <row r="31" spans="1:17" s="442" customFormat="1" ht="27">
      <c r="A31" s="592" t="s">
        <v>159</v>
      </c>
      <c r="B31" s="593"/>
      <c r="C31" s="594"/>
      <c r="D31" s="619" t="s">
        <v>143</v>
      </c>
      <c r="E31" s="699">
        <f>G18</f>
        <v>130</v>
      </c>
      <c r="F31" s="699">
        <v>80</v>
      </c>
      <c r="G31" s="502">
        <f>E31*F31</f>
        <v>10400</v>
      </c>
      <c r="H31" s="460">
        <f>G31+'27'!H31</f>
        <v>228000</v>
      </c>
      <c r="I31" s="505"/>
      <c r="J31" s="552">
        <f>H31/DAY(B2)</f>
        <v>8142.8571428571431</v>
      </c>
      <c r="K31" s="373"/>
      <c r="L31" s="443"/>
      <c r="N31" s="1101"/>
      <c r="O31" s="769"/>
      <c r="P31" s="769"/>
      <c r="Q31" s="769"/>
    </row>
    <row r="32" spans="1:17" s="442" customFormat="1" ht="27">
      <c r="A32" s="595" t="s">
        <v>160</v>
      </c>
      <c r="B32" s="596"/>
      <c r="C32" s="597"/>
      <c r="D32" s="507"/>
      <c r="E32" s="761"/>
      <c r="F32" s="486"/>
      <c r="G32" s="508">
        <f>G27+G28+G29+G30+G31</f>
        <v>249644.00000000052</v>
      </c>
      <c r="H32" s="460">
        <f>G32+'27'!H32</f>
        <v>6683036.429999996</v>
      </c>
      <c r="I32" s="509"/>
      <c r="J32" s="552">
        <f>H32/DAY(B2)</f>
        <v>238679.87249999985</v>
      </c>
      <c r="K32" s="373"/>
      <c r="L32" s="443"/>
      <c r="N32" s="1101"/>
      <c r="O32" s="769"/>
      <c r="P32" s="769"/>
      <c r="Q32" s="769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1101"/>
    </row>
    <row r="34" spans="1:14">
      <c r="A34" s="598" t="s">
        <v>162</v>
      </c>
      <c r="B34" s="1144"/>
      <c r="C34" s="1144"/>
      <c r="D34" s="472"/>
      <c r="E34" s="495"/>
      <c r="F34" s="495"/>
      <c r="G34" s="472"/>
      <c r="H34" s="472"/>
      <c r="I34" s="472"/>
      <c r="J34" s="551"/>
      <c r="K34" s="428"/>
      <c r="L34" s="377"/>
      <c r="N34" s="1101"/>
    </row>
    <row r="35" spans="1:14">
      <c r="A35" s="578" t="s">
        <v>163</v>
      </c>
      <c r="B35" s="579"/>
      <c r="C35" s="579"/>
      <c r="D35" s="523" t="s">
        <v>131</v>
      </c>
      <c r="E35" s="741">
        <f>'27'!F35</f>
        <v>1020369</v>
      </c>
      <c r="F35" s="741">
        <v>1023144</v>
      </c>
      <c r="G35" s="473">
        <f t="shared" ref="G35:G46" si="3">F35-E35</f>
        <v>2775</v>
      </c>
      <c r="H35" s="460">
        <f>G35+'27'!H35</f>
        <v>-5570</v>
      </c>
      <c r="I35" s="455"/>
      <c r="J35" s="552">
        <f>H35/DAY(B2)</f>
        <v>-198.92857142857142</v>
      </c>
      <c r="K35" s="428"/>
      <c r="L35" s="377"/>
      <c r="N35" s="1101"/>
    </row>
    <row r="36" spans="1:14">
      <c r="A36" s="578" t="s">
        <v>164</v>
      </c>
      <c r="B36" s="579"/>
      <c r="C36" s="579"/>
      <c r="D36" s="523" t="s">
        <v>131</v>
      </c>
      <c r="E36" s="741">
        <f>'27'!F36</f>
        <v>18589</v>
      </c>
      <c r="F36" s="741">
        <v>19200</v>
      </c>
      <c r="G36" s="473">
        <f t="shared" si="3"/>
        <v>611</v>
      </c>
      <c r="H36" s="460">
        <f>G36+'27'!H36</f>
        <v>-1261</v>
      </c>
      <c r="I36" s="455"/>
      <c r="J36" s="552">
        <f>H36/DAY(B2)</f>
        <v>-45.035714285714285</v>
      </c>
      <c r="K36" s="428"/>
      <c r="L36" s="377"/>
      <c r="N36" s="1101"/>
    </row>
    <row r="37" spans="1:14">
      <c r="A37" s="578" t="s">
        <v>165</v>
      </c>
      <c r="B37" s="579"/>
      <c r="C37" s="579"/>
      <c r="D37" s="523" t="s">
        <v>131</v>
      </c>
      <c r="E37" s="741">
        <f>'27'!F37</f>
        <v>172287</v>
      </c>
      <c r="F37" s="741">
        <v>173741</v>
      </c>
      <c r="G37" s="473">
        <f t="shared" si="3"/>
        <v>1454</v>
      </c>
      <c r="H37" s="460">
        <f>G37+'27'!H37</f>
        <v>-2829</v>
      </c>
      <c r="I37" s="455"/>
      <c r="J37" s="552">
        <f>H37/DAY(B2)</f>
        <v>-101.03571428571429</v>
      </c>
      <c r="K37" s="428"/>
      <c r="L37" s="377"/>
      <c r="N37" s="1101"/>
    </row>
    <row r="38" spans="1:14">
      <c r="A38" s="578" t="s">
        <v>166</v>
      </c>
      <c r="B38" s="579"/>
      <c r="C38" s="579"/>
      <c r="D38" s="523" t="s">
        <v>131</v>
      </c>
      <c r="E38" s="741">
        <f>'27'!F38</f>
        <v>193835</v>
      </c>
      <c r="F38" s="470">
        <v>195523</v>
      </c>
      <c r="G38" s="473">
        <f t="shared" si="3"/>
        <v>1688</v>
      </c>
      <c r="H38" s="460">
        <f>G38+'27'!H38</f>
        <v>-2936</v>
      </c>
      <c r="I38" s="455"/>
      <c r="J38" s="552">
        <f>H38/DAY(B2)</f>
        <v>-104.85714285714286</v>
      </c>
      <c r="K38" s="428"/>
      <c r="L38" s="377"/>
      <c r="N38" s="1101"/>
    </row>
    <row r="39" spans="1:14">
      <c r="A39" s="578" t="s">
        <v>167</v>
      </c>
      <c r="B39" s="579"/>
      <c r="C39" s="579"/>
      <c r="D39" s="523" t="s">
        <v>131</v>
      </c>
      <c r="E39" s="741">
        <f>'27'!F39</f>
        <v>393875</v>
      </c>
      <c r="F39" s="741">
        <v>397563</v>
      </c>
      <c r="G39" s="473">
        <f>F39-E39</f>
        <v>3688</v>
      </c>
      <c r="H39" s="460">
        <f>G39+'27'!H39</f>
        <v>-7301</v>
      </c>
      <c r="I39" s="455"/>
      <c r="J39" s="552">
        <f>H39/DAY(B2)</f>
        <v>-260.75</v>
      </c>
      <c r="K39" s="428"/>
      <c r="L39" s="377"/>
      <c r="N39" s="1101"/>
    </row>
    <row r="40" spans="1:14">
      <c r="A40" s="599" t="s">
        <v>168</v>
      </c>
      <c r="B40" s="600"/>
      <c r="C40" s="600"/>
      <c r="D40" s="523" t="s">
        <v>131</v>
      </c>
      <c r="E40" s="741">
        <f>'27'!F40</f>
        <v>6114</v>
      </c>
      <c r="F40" s="741">
        <v>6379</v>
      </c>
      <c r="G40" s="473">
        <f t="shared" si="3"/>
        <v>265</v>
      </c>
      <c r="H40" s="460">
        <f>G40+'27'!H40</f>
        <v>-734</v>
      </c>
      <c r="I40" s="455"/>
      <c r="J40" s="552">
        <f>H40/DAY(B2)</f>
        <v>-26.214285714285715</v>
      </c>
      <c r="K40" s="429"/>
      <c r="L40" s="377"/>
      <c r="N40" s="1101"/>
    </row>
    <row r="41" spans="1:14">
      <c r="A41" s="578" t="s">
        <v>169</v>
      </c>
      <c r="B41" s="579"/>
      <c r="C41" s="579"/>
      <c r="D41" s="523" t="s">
        <v>131</v>
      </c>
      <c r="E41" s="741">
        <f>'27'!F41</f>
        <v>318653</v>
      </c>
      <c r="F41" s="741">
        <v>322024</v>
      </c>
      <c r="G41" s="473">
        <f t="shared" si="3"/>
        <v>3371</v>
      </c>
      <c r="H41" s="460">
        <f>G41+'27'!H41</f>
        <v>-7618</v>
      </c>
      <c r="I41" s="455"/>
      <c r="J41" s="552">
        <f>H41/DAY(B2)</f>
        <v>-272.07142857142856</v>
      </c>
      <c r="K41" s="428"/>
      <c r="L41" s="377"/>
      <c r="N41" s="1101"/>
    </row>
    <row r="42" spans="1:14">
      <c r="A42" s="578" t="s">
        <v>170</v>
      </c>
      <c r="B42" s="579"/>
      <c r="C42" s="579"/>
      <c r="D42" s="523" t="s">
        <v>131</v>
      </c>
      <c r="E42" s="741">
        <f>'27'!F42</f>
        <v>59210</v>
      </c>
      <c r="F42" s="741">
        <v>59210</v>
      </c>
      <c r="G42" s="473">
        <f t="shared" si="3"/>
        <v>0</v>
      </c>
      <c r="H42" s="460">
        <f>G42+'27'!H42</f>
        <v>11.110000000000582</v>
      </c>
      <c r="I42" s="455"/>
      <c r="J42" s="552">
        <f>H42/DAY(B2)</f>
        <v>0.39678571428573506</v>
      </c>
      <c r="K42" s="428"/>
      <c r="L42" s="377"/>
      <c r="N42" s="1101"/>
    </row>
    <row r="43" spans="1:14">
      <c r="A43" s="578" t="s">
        <v>171</v>
      </c>
      <c r="B43" s="579"/>
      <c r="C43" s="579"/>
      <c r="D43" s="523" t="s">
        <v>131</v>
      </c>
      <c r="E43" s="741">
        <f>'27'!F43</f>
        <v>1112567</v>
      </c>
      <c r="F43" s="741">
        <v>1115293</v>
      </c>
      <c r="G43" s="473">
        <f t="shared" si="3"/>
        <v>2726</v>
      </c>
      <c r="H43" s="460">
        <f>G43+'27'!H43</f>
        <v>-5159</v>
      </c>
      <c r="I43" s="455"/>
      <c r="J43" s="552">
        <f>H43/DAY(B2)</f>
        <v>-184.25</v>
      </c>
      <c r="K43" s="428"/>
      <c r="L43" s="377"/>
      <c r="N43" s="1101"/>
    </row>
    <row r="44" spans="1:14">
      <c r="A44" s="578" t="s">
        <v>172</v>
      </c>
      <c r="B44" s="579"/>
      <c r="C44" s="579"/>
      <c r="D44" s="523" t="s">
        <v>131</v>
      </c>
      <c r="E44" s="741">
        <f>'27'!F44</f>
        <v>0</v>
      </c>
      <c r="F44" s="741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1"/>
    </row>
    <row r="45" spans="1:14">
      <c r="A45" s="578" t="s">
        <v>173</v>
      </c>
      <c r="B45" s="579"/>
      <c r="C45" s="579"/>
      <c r="D45" s="523" t="s">
        <v>131</v>
      </c>
      <c r="E45" s="741">
        <f>'27'!F45</f>
        <v>0</v>
      </c>
      <c r="F45" s="741">
        <v>0</v>
      </c>
      <c r="G45" s="473">
        <f t="shared" si="3"/>
        <v>0</v>
      </c>
      <c r="H45" s="460">
        <f>G45+'27'!H45</f>
        <v>0</v>
      </c>
      <c r="I45" s="455"/>
      <c r="J45" s="552">
        <f>H45/DAY(B2)</f>
        <v>0</v>
      </c>
      <c r="K45" s="428"/>
      <c r="L45" s="377"/>
      <c r="N45" s="1101"/>
    </row>
    <row r="46" spans="1:14">
      <c r="A46" s="578" t="s">
        <v>174</v>
      </c>
      <c r="B46" s="579"/>
      <c r="C46" s="579"/>
      <c r="D46" s="523" t="s">
        <v>131</v>
      </c>
      <c r="E46" s="741">
        <f>'27'!F46</f>
        <v>0</v>
      </c>
      <c r="F46" s="741">
        <v>0</v>
      </c>
      <c r="G46" s="473">
        <f t="shared" si="3"/>
        <v>0</v>
      </c>
      <c r="H46" s="460">
        <f>G46+'27'!H46</f>
        <v>-5.0000000000011369E-2</v>
      </c>
      <c r="I46" s="455"/>
      <c r="J46" s="552">
        <f>H46/DAY(B2)</f>
        <v>-1.7857142857146918E-3</v>
      </c>
      <c r="K46" s="428"/>
      <c r="L46" s="377"/>
      <c r="N46" s="1101"/>
    </row>
    <row r="47" spans="1:14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16578</v>
      </c>
      <c r="H47" s="460">
        <f>G47+'27'!H47</f>
        <v>-32595.449999999939</v>
      </c>
      <c r="I47" s="455"/>
      <c r="J47" s="552">
        <f>H47/DAY(B2)</f>
        <v>-1164.123214285712</v>
      </c>
      <c r="K47" s="428"/>
      <c r="L47" s="377"/>
      <c r="N47" s="1101"/>
    </row>
    <row r="48" spans="1:14">
      <c r="A48" s="598" t="s">
        <v>176</v>
      </c>
      <c r="B48" s="1144"/>
      <c r="C48" s="1144"/>
      <c r="D48" s="472"/>
      <c r="E48" s="495"/>
      <c r="F48" s="495"/>
      <c r="G48" s="472"/>
      <c r="H48" s="472"/>
      <c r="I48" s="472"/>
      <c r="J48" s="551"/>
      <c r="K48" s="428"/>
      <c r="L48" s="377"/>
      <c r="N48" s="1101"/>
    </row>
    <row r="49" spans="1:14">
      <c r="A49" s="578" t="s">
        <v>163</v>
      </c>
      <c r="B49" s="601"/>
      <c r="C49" s="601"/>
      <c r="D49" s="523" t="s">
        <v>131</v>
      </c>
      <c r="E49" s="741">
        <f>'27'!F49</f>
        <v>260732.13</v>
      </c>
      <c r="F49" s="741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1"/>
    </row>
    <row r="50" spans="1:14">
      <c r="A50" s="578" t="s">
        <v>177</v>
      </c>
      <c r="B50" s="601"/>
      <c r="C50" s="601"/>
      <c r="D50" s="523" t="s">
        <v>131</v>
      </c>
      <c r="E50" s="741">
        <f>'27'!F50</f>
        <v>531769</v>
      </c>
      <c r="F50" s="741">
        <v>532761</v>
      </c>
      <c r="G50" s="473">
        <f t="shared" si="4"/>
        <v>992</v>
      </c>
      <c r="H50" s="460">
        <f>G50+'27'!H50</f>
        <v>-2792</v>
      </c>
      <c r="I50" s="455"/>
      <c r="J50" s="552">
        <f>H50/DAY(B2)</f>
        <v>-99.714285714285708</v>
      </c>
      <c r="K50" s="428"/>
      <c r="L50" s="377"/>
      <c r="N50" s="1101"/>
    </row>
    <row r="51" spans="1:14">
      <c r="A51" s="578" t="s">
        <v>165</v>
      </c>
      <c r="B51" s="601"/>
      <c r="C51" s="601"/>
      <c r="D51" s="523" t="s">
        <v>131</v>
      </c>
      <c r="E51" s="741">
        <f>'27'!F51</f>
        <v>144640</v>
      </c>
      <c r="F51" s="741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1"/>
    </row>
    <row r="52" spans="1:14">
      <c r="A52" s="578" t="s">
        <v>178</v>
      </c>
      <c r="B52" s="601"/>
      <c r="C52" s="601"/>
      <c r="D52" s="523" t="s">
        <v>131</v>
      </c>
      <c r="E52" s="741">
        <f>'27'!F52</f>
        <v>539606</v>
      </c>
      <c r="F52" s="741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1"/>
    </row>
    <row r="53" spans="1:14">
      <c r="A53" s="578" t="s">
        <v>167</v>
      </c>
      <c r="B53" s="601"/>
      <c r="C53" s="601"/>
      <c r="D53" s="523" t="s">
        <v>131</v>
      </c>
      <c r="E53" s="741">
        <f>'27'!F53</f>
        <v>434232</v>
      </c>
      <c r="F53" s="741">
        <v>434232</v>
      </c>
      <c r="G53" s="473">
        <f t="shared" si="4"/>
        <v>0</v>
      </c>
      <c r="H53" s="460">
        <f>G53+'27'!H53</f>
        <v>-0.33000000001629815</v>
      </c>
      <c r="I53" s="455"/>
      <c r="J53" s="552">
        <f>H53/DAY(B2)</f>
        <v>-1.1785714286296363E-2</v>
      </c>
      <c r="K53" s="428"/>
      <c r="L53" s="377"/>
      <c r="N53" s="1101"/>
    </row>
    <row r="54" spans="1:14">
      <c r="A54" s="578" t="s">
        <v>179</v>
      </c>
      <c r="B54" s="601"/>
      <c r="C54" s="601"/>
      <c r="D54" s="523" t="s">
        <v>131</v>
      </c>
      <c r="E54" s="741">
        <f>'27'!F54</f>
        <v>14967</v>
      </c>
      <c r="F54" s="741">
        <v>14967</v>
      </c>
      <c r="G54" s="473">
        <f t="shared" si="4"/>
        <v>0</v>
      </c>
      <c r="H54" s="460">
        <f>G54+'27'!H54</f>
        <v>-79</v>
      </c>
      <c r="I54" s="455"/>
      <c r="J54" s="552">
        <f>H54/DAY(B2)</f>
        <v>-2.8214285714285716</v>
      </c>
      <c r="K54" s="428"/>
      <c r="L54" s="377"/>
      <c r="N54" s="1101"/>
    </row>
    <row r="55" spans="1:14">
      <c r="A55" s="578" t="s">
        <v>180</v>
      </c>
      <c r="B55" s="601"/>
      <c r="C55" s="601"/>
      <c r="D55" s="523" t="s">
        <v>131</v>
      </c>
      <c r="E55" s="741">
        <f>'27'!F55</f>
        <v>111460</v>
      </c>
      <c r="F55" s="742">
        <v>113553</v>
      </c>
      <c r="G55" s="652">
        <f t="shared" si="4"/>
        <v>2093</v>
      </c>
      <c r="H55" s="705">
        <f>G55+'27'!H55</f>
        <v>-4083</v>
      </c>
      <c r="I55" s="706"/>
      <c r="J55" s="707">
        <f>H55/DAY(B2)</f>
        <v>-145.82142857142858</v>
      </c>
      <c r="K55" s="428"/>
      <c r="L55" s="377"/>
      <c r="N55" s="1101"/>
    </row>
    <row r="56" spans="1:14">
      <c r="A56" s="578" t="s">
        <v>181</v>
      </c>
      <c r="B56" s="601"/>
      <c r="C56" s="601"/>
      <c r="D56" s="523" t="s">
        <v>182</v>
      </c>
      <c r="E56" s="741">
        <f>'27'!F56</f>
        <v>648960</v>
      </c>
      <c r="F56" s="742">
        <v>649011</v>
      </c>
      <c r="G56" s="473">
        <f t="shared" si="4"/>
        <v>51</v>
      </c>
      <c r="H56" s="460">
        <f>G56+'27'!H56</f>
        <v>-21</v>
      </c>
      <c r="I56" s="455"/>
      <c r="J56" s="552">
        <f>H56/DAY(B2)</f>
        <v>-0.75</v>
      </c>
      <c r="K56" s="427"/>
      <c r="L56" s="377"/>
      <c r="N56" s="1101"/>
    </row>
    <row r="57" spans="1:14">
      <c r="A57" s="578" t="s">
        <v>171</v>
      </c>
      <c r="B57" s="601"/>
      <c r="C57" s="601"/>
      <c r="D57" s="523" t="s">
        <v>131</v>
      </c>
      <c r="E57" s="741">
        <f>'27'!F57</f>
        <v>7711</v>
      </c>
      <c r="F57" s="741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1"/>
    </row>
    <row r="58" spans="1:14">
      <c r="A58" s="578" t="s">
        <v>183</v>
      </c>
      <c r="B58" s="601"/>
      <c r="C58" s="601"/>
      <c r="D58" s="523" t="s">
        <v>131</v>
      </c>
      <c r="E58" s="741">
        <f>'27'!F58</f>
        <v>53590</v>
      </c>
      <c r="F58" s="1231">
        <v>53820</v>
      </c>
      <c r="G58" s="473">
        <f t="shared" si="4"/>
        <v>230</v>
      </c>
      <c r="H58" s="460">
        <f>G58+'27'!H58</f>
        <v>-405.20999999999913</v>
      </c>
      <c r="I58" s="455"/>
      <c r="J58" s="552">
        <f>H58/DAY(B2)</f>
        <v>-14.471785714285684</v>
      </c>
      <c r="K58" s="428"/>
      <c r="L58" s="377"/>
      <c r="N58" s="1101"/>
    </row>
    <row r="59" spans="1:14">
      <c r="A59" s="585" t="s">
        <v>175</v>
      </c>
      <c r="B59" s="586"/>
      <c r="C59" s="586"/>
      <c r="D59" s="511"/>
      <c r="E59" s="470"/>
      <c r="F59" s="470"/>
      <c r="G59" s="481">
        <f>G49+G50+G51+G52+G53+G54+G55+G56+G57+G58</f>
        <v>3366.3999999999487</v>
      </c>
      <c r="H59" s="460">
        <f>G59+'27'!H59</f>
        <v>-7380.0100000000621</v>
      </c>
      <c r="I59" s="455">
        <f>G7-G60</f>
        <v>1555.6000000000495</v>
      </c>
      <c r="J59" s="552">
        <f>H59/DAY(B2)</f>
        <v>-263.57178571428796</v>
      </c>
      <c r="K59" s="428"/>
      <c r="L59" s="377"/>
      <c r="N59" s="1101"/>
    </row>
    <row r="60" spans="1:14">
      <c r="A60" s="578"/>
      <c r="B60" s="579"/>
      <c r="C60" s="579"/>
      <c r="D60" s="511" t="s">
        <v>184</v>
      </c>
      <c r="E60" s="470"/>
      <c r="F60" s="470"/>
      <c r="G60" s="481">
        <f>G47+G59</f>
        <v>19944.399999999951</v>
      </c>
      <c r="H60" s="460">
        <f>G60+'27'!H60</f>
        <v>-38766.920000000173</v>
      </c>
      <c r="I60" s="455">
        <f>G13-G60</f>
        <v>-643.39999999995052</v>
      </c>
      <c r="J60" s="552">
        <f>H60/DAY(B2)</f>
        <v>-1384.5328571428633</v>
      </c>
      <c r="K60" s="428"/>
      <c r="L60" s="377"/>
      <c r="N60" s="1101"/>
    </row>
    <row r="61" spans="1:14">
      <c r="A61" s="602" t="s">
        <v>185</v>
      </c>
      <c r="B61" s="453"/>
      <c r="C61" s="453"/>
      <c r="D61" s="513"/>
      <c r="E61" s="743"/>
      <c r="F61" s="743"/>
      <c r="G61" s="513"/>
      <c r="H61" s="513"/>
      <c r="I61" s="513"/>
      <c r="J61" s="555"/>
      <c r="K61" s="428"/>
      <c r="L61" s="377"/>
      <c r="N61" s="1101"/>
    </row>
    <row r="62" spans="1:14">
      <c r="A62" s="603" t="s">
        <v>97</v>
      </c>
      <c r="B62" s="604"/>
      <c r="C62" s="604"/>
      <c r="D62" s="511" t="s">
        <v>186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1.9999999967694748E-3</v>
      </c>
      <c r="I62" s="515"/>
      <c r="J62" s="552">
        <f>H62/DAY(B2)</f>
        <v>7.1428571313195531E-5</v>
      </c>
      <c r="K62" s="428"/>
      <c r="L62" s="377"/>
      <c r="N62" s="1101"/>
    </row>
    <row r="63" spans="1:14">
      <c r="A63" s="603" t="s">
        <v>187</v>
      </c>
      <c r="B63" s="604"/>
      <c r="C63" s="604"/>
      <c r="D63" s="511" t="s">
        <v>186</v>
      </c>
      <c r="E63" s="514">
        <f>'27'!F63</f>
        <v>0</v>
      </c>
      <c r="F63" s="514">
        <v>0</v>
      </c>
      <c r="G63" s="473">
        <f t="shared" si="5"/>
        <v>0</v>
      </c>
      <c r="H63" s="460">
        <f>G63+'27'!H63</f>
        <v>0</v>
      </c>
      <c r="I63" s="515"/>
      <c r="J63" s="552">
        <f>H63/DAY(B2)</f>
        <v>0</v>
      </c>
      <c r="K63" s="428"/>
      <c r="L63" s="377"/>
      <c r="N63" s="1101"/>
    </row>
    <row r="64" spans="1:14" ht="27.75">
      <c r="A64" s="1540" t="s">
        <v>98</v>
      </c>
      <c r="B64" s="1541"/>
      <c r="C64" s="1542"/>
      <c r="D64" s="523" t="s">
        <v>186</v>
      </c>
      <c r="E64" s="514">
        <f>'27'!F64</f>
        <v>168917</v>
      </c>
      <c r="F64" s="737">
        <v>169304</v>
      </c>
      <c r="G64" s="473">
        <f t="shared" si="5"/>
        <v>387</v>
      </c>
      <c r="H64" s="460">
        <f>G64+'27'!H64</f>
        <v>-718</v>
      </c>
      <c r="I64" s="480"/>
      <c r="J64" s="552">
        <f>H64/DAY(B2)</f>
        <v>-25.642857142857142</v>
      </c>
      <c r="K64" s="428"/>
      <c r="L64" s="377"/>
      <c r="N64" s="1101"/>
    </row>
    <row r="65" spans="1:14" ht="27.75">
      <c r="A65" s="1540" t="s">
        <v>99</v>
      </c>
      <c r="B65" s="1541"/>
      <c r="C65" s="1542"/>
      <c r="D65" s="523" t="s">
        <v>186</v>
      </c>
      <c r="E65" s="514">
        <f>'27'!F65</f>
        <v>169043</v>
      </c>
      <c r="F65" s="744">
        <v>169452</v>
      </c>
      <c r="G65" s="473">
        <f t="shared" si="5"/>
        <v>409</v>
      </c>
      <c r="H65" s="460">
        <f>G65+'27'!H65</f>
        <v>-850</v>
      </c>
      <c r="I65" s="489"/>
      <c r="J65" s="552">
        <f>H65/DAY(B2)</f>
        <v>-30.357142857142858</v>
      </c>
      <c r="K65" s="428"/>
      <c r="L65" s="377"/>
      <c r="N65" s="1101"/>
    </row>
    <row r="66" spans="1:14" ht="27.75">
      <c r="A66" s="1540" t="s">
        <v>100</v>
      </c>
      <c r="B66" s="1541"/>
      <c r="C66" s="1542"/>
      <c r="D66" s="523" t="s">
        <v>186</v>
      </c>
      <c r="E66" s="514">
        <f>'27'!F66</f>
        <v>66654</v>
      </c>
      <c r="F66" s="737">
        <v>67095</v>
      </c>
      <c r="G66" s="473">
        <f t="shared" si="5"/>
        <v>441</v>
      </c>
      <c r="H66" s="460">
        <f>G66+'27'!H66</f>
        <v>-875</v>
      </c>
      <c r="I66" s="480"/>
      <c r="J66" s="552">
        <f>H66/DAY(B2)</f>
        <v>-31.25</v>
      </c>
      <c r="K66" s="428"/>
      <c r="L66" s="377"/>
      <c r="N66" s="1101"/>
    </row>
    <row r="67" spans="1:14" ht="27.75">
      <c r="A67" s="1540" t="s">
        <v>101</v>
      </c>
      <c r="B67" s="1541"/>
      <c r="C67" s="1542"/>
      <c r="D67" s="523" t="s">
        <v>186</v>
      </c>
      <c r="E67" s="514">
        <f>'27'!F67</f>
        <v>263648</v>
      </c>
      <c r="F67" s="737">
        <v>264088</v>
      </c>
      <c r="G67" s="473">
        <f t="shared" si="5"/>
        <v>440</v>
      </c>
      <c r="H67" s="460">
        <f>G67+'27'!H67</f>
        <v>-871</v>
      </c>
      <c r="I67" s="489"/>
      <c r="J67" s="552">
        <f>H67/DAY(B2)</f>
        <v>-31.107142857142858</v>
      </c>
      <c r="K67" s="429"/>
      <c r="L67" s="377"/>
      <c r="N67" s="1101"/>
    </row>
    <row r="68" spans="1:14" ht="27.75">
      <c r="A68" s="1540" t="s">
        <v>102</v>
      </c>
      <c r="B68" s="1541"/>
      <c r="C68" s="1542"/>
      <c r="D68" s="523" t="s">
        <v>186</v>
      </c>
      <c r="E68" s="514">
        <f>'27'!F68</f>
        <v>85321</v>
      </c>
      <c r="F68" s="737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1"/>
    </row>
    <row r="69" spans="1:14" ht="27.75">
      <c r="A69" s="1540" t="s">
        <v>103</v>
      </c>
      <c r="B69" s="1541"/>
      <c r="C69" s="1542"/>
      <c r="D69" s="523" t="s">
        <v>186</v>
      </c>
      <c r="E69" s="514">
        <f>'27'!F69</f>
        <v>86824</v>
      </c>
      <c r="F69" s="737">
        <v>87057</v>
      </c>
      <c r="G69" s="473">
        <f t="shared" si="5"/>
        <v>233</v>
      </c>
      <c r="H69" s="460">
        <f>G69+'27'!H69</f>
        <v>-458</v>
      </c>
      <c r="I69" s="516"/>
      <c r="J69" s="552">
        <f>H69/DAY(B2)</f>
        <v>-16.357142857142858</v>
      </c>
      <c r="K69" s="431"/>
      <c r="L69" s="377"/>
      <c r="N69" s="1101"/>
    </row>
    <row r="70" spans="1:14" ht="27.75">
      <c r="A70" s="1581" t="s">
        <v>188</v>
      </c>
      <c r="B70" s="1582"/>
      <c r="C70" s="1583"/>
      <c r="D70" s="523" t="s">
        <v>186</v>
      </c>
      <c r="E70" s="745"/>
      <c r="F70" s="745"/>
      <c r="G70" s="518"/>
      <c r="H70" s="460">
        <f>G70+'13'!H70</f>
        <v>0</v>
      </c>
      <c r="I70" s="518"/>
      <c r="J70" s="556"/>
      <c r="K70" s="431"/>
      <c r="L70" s="377"/>
      <c r="N70" s="1101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1101"/>
    </row>
    <row r="72" spans="1:14" ht="27.75">
      <c r="A72" s="1540" t="s">
        <v>190</v>
      </c>
      <c r="B72" s="1541"/>
      <c r="C72" s="1542"/>
      <c r="D72" s="523" t="s">
        <v>186</v>
      </c>
      <c r="E72" s="762">
        <f>'27'!F72</f>
        <v>856191</v>
      </c>
      <c r="F72" s="746">
        <v>856201</v>
      </c>
      <c r="G72" s="473">
        <f t="shared" ref="G72:G84" si="6">F72-E72</f>
        <v>10</v>
      </c>
      <c r="H72" s="460">
        <f>G72+'27'!H72</f>
        <v>-34</v>
      </c>
      <c r="I72" s="480"/>
      <c r="J72" s="552">
        <f>H72/DAY(B2)</f>
        <v>-1.2142857142857142</v>
      </c>
      <c r="K72" s="431"/>
      <c r="L72" s="377"/>
      <c r="N72" s="1101"/>
    </row>
    <row r="73" spans="1:14" ht="27.75">
      <c r="A73" s="1540" t="s">
        <v>191</v>
      </c>
      <c r="B73" s="1541"/>
      <c r="C73" s="1542"/>
      <c r="D73" s="523" t="s">
        <v>186</v>
      </c>
      <c r="E73" s="762">
        <f>'27'!F73</f>
        <v>885968</v>
      </c>
      <c r="F73" s="747">
        <v>885970</v>
      </c>
      <c r="G73" s="652">
        <f t="shared" si="6"/>
        <v>2</v>
      </c>
      <c r="H73" s="460">
        <f>G73+'27'!H73</f>
        <v>-190</v>
      </c>
      <c r="I73" s="480"/>
      <c r="J73" s="552">
        <f>H73/DAY(B2)</f>
        <v>-6.7857142857142856</v>
      </c>
      <c r="K73" s="430"/>
      <c r="L73" s="377"/>
      <c r="N73" s="1101"/>
    </row>
    <row r="74" spans="1:14" ht="27.75">
      <c r="A74" s="1540" t="s">
        <v>192</v>
      </c>
      <c r="B74" s="1541"/>
      <c r="C74" s="1542"/>
      <c r="D74" s="523" t="s">
        <v>186</v>
      </c>
      <c r="E74" s="762">
        <f>'27'!F74</f>
        <v>88689</v>
      </c>
      <c r="F74" s="747">
        <v>88691</v>
      </c>
      <c r="G74" s="473">
        <f t="shared" si="6"/>
        <v>2</v>
      </c>
      <c r="H74" s="460">
        <f>G74+'27'!H74</f>
        <v>-86084.04</v>
      </c>
      <c r="I74" s="480"/>
      <c r="J74" s="552">
        <f>H74/DAY(B2)</f>
        <v>-3074.43</v>
      </c>
      <c r="K74" s="431"/>
      <c r="L74" s="377"/>
      <c r="N74" s="1101"/>
    </row>
    <row r="75" spans="1:14" ht="27.75">
      <c r="A75" s="1543" t="s">
        <v>193</v>
      </c>
      <c r="B75" s="1544"/>
      <c r="C75" s="1545"/>
      <c r="D75" s="523" t="s">
        <v>186</v>
      </c>
      <c r="E75" s="762">
        <f>'27'!F75</f>
        <v>15677</v>
      </c>
      <c r="F75" s="747">
        <v>15812</v>
      </c>
      <c r="G75" s="473">
        <f t="shared" si="6"/>
        <v>135</v>
      </c>
      <c r="H75" s="460">
        <f>G75+'27'!H75</f>
        <v>-259</v>
      </c>
      <c r="I75" s="480"/>
      <c r="J75" s="552">
        <f>H75/DAY(B2)</f>
        <v>-9.25</v>
      </c>
      <c r="K75" s="430"/>
      <c r="L75" s="377"/>
      <c r="N75" s="1101"/>
    </row>
    <row r="76" spans="1:14" ht="27.75">
      <c r="A76" s="1543" t="s">
        <v>194</v>
      </c>
      <c r="B76" s="1544"/>
      <c r="C76" s="1545"/>
      <c r="D76" s="523" t="s">
        <v>186</v>
      </c>
      <c r="E76" s="762">
        <f>'27'!F76</f>
        <v>9105</v>
      </c>
      <c r="F76" s="747">
        <v>9181</v>
      </c>
      <c r="G76" s="473">
        <f t="shared" si="6"/>
        <v>76</v>
      </c>
      <c r="H76" s="460">
        <f>G76+'27'!H76</f>
        <v>-1427</v>
      </c>
      <c r="I76" s="505"/>
      <c r="J76" s="552">
        <f>H76/DAY(B2)</f>
        <v>-50.964285714285715</v>
      </c>
      <c r="K76" s="430"/>
      <c r="L76" s="377"/>
      <c r="N76" s="1101"/>
    </row>
    <row r="77" spans="1:14" ht="27.75">
      <c r="A77" s="1540" t="s">
        <v>195</v>
      </c>
      <c r="B77" s="1541"/>
      <c r="C77" s="1542"/>
      <c r="D77" s="523" t="s">
        <v>186</v>
      </c>
      <c r="E77" s="762">
        <f>'27'!F77</f>
        <v>704205</v>
      </c>
      <c r="F77" s="747">
        <v>704262</v>
      </c>
      <c r="G77" s="652">
        <f t="shared" si="6"/>
        <v>57</v>
      </c>
      <c r="H77" s="460">
        <f>G77+'27'!H77</f>
        <v>-112</v>
      </c>
      <c r="I77" s="505"/>
      <c r="J77" s="552">
        <f>H77/DAY(B2)</f>
        <v>-4</v>
      </c>
      <c r="K77" s="430"/>
      <c r="L77" s="377"/>
      <c r="N77" s="1101"/>
    </row>
    <row r="78" spans="1:14" ht="27.75">
      <c r="A78" s="1142" t="s">
        <v>196</v>
      </c>
      <c r="B78" s="1115"/>
      <c r="C78" s="1115"/>
      <c r="D78" s="523" t="s">
        <v>186</v>
      </c>
      <c r="E78" s="762">
        <f>'27'!F78</f>
        <v>675167</v>
      </c>
      <c r="F78" s="747">
        <v>675237</v>
      </c>
      <c r="G78" s="652">
        <f t="shared" si="6"/>
        <v>70</v>
      </c>
      <c r="H78" s="460">
        <f>G78+'27'!H78</f>
        <v>-177</v>
      </c>
      <c r="I78" s="505"/>
      <c r="J78" s="552">
        <f>H78/DAY(B2)</f>
        <v>-6.3214285714285712</v>
      </c>
      <c r="K78" s="430"/>
      <c r="L78" s="377"/>
      <c r="N78" s="1101"/>
    </row>
    <row r="79" spans="1:14" ht="27.75">
      <c r="A79" s="1543" t="s">
        <v>91</v>
      </c>
      <c r="B79" s="1544"/>
      <c r="C79" s="1545"/>
      <c r="D79" s="524" t="s">
        <v>186</v>
      </c>
      <c r="E79" s="762">
        <f>'27'!F79</f>
        <v>834973</v>
      </c>
      <c r="F79" s="748">
        <v>835114</v>
      </c>
      <c r="G79" s="473">
        <f t="shared" si="6"/>
        <v>141</v>
      </c>
      <c r="H79" s="460">
        <f>G79+'27'!H79</f>
        <v>710</v>
      </c>
      <c r="I79" s="505"/>
      <c r="J79" s="552">
        <f>H79/DAY(B2)</f>
        <v>25.357142857142858</v>
      </c>
      <c r="K79" s="430"/>
      <c r="L79" s="377"/>
      <c r="N79" s="1101"/>
    </row>
    <row r="80" spans="1:14" ht="27.75">
      <c r="A80" s="1543" t="s">
        <v>197</v>
      </c>
      <c r="B80" s="1544"/>
      <c r="C80" s="1545"/>
      <c r="D80" s="524" t="s">
        <v>186</v>
      </c>
      <c r="E80" s="762">
        <f>'27'!F80</f>
        <v>537903</v>
      </c>
      <c r="F80" s="747">
        <v>538277</v>
      </c>
      <c r="G80" s="473">
        <f t="shared" si="6"/>
        <v>374</v>
      </c>
      <c r="H80" s="460">
        <f>G80+'27'!H80</f>
        <v>3325.4799999999814</v>
      </c>
      <c r="I80" s="505"/>
      <c r="J80" s="552">
        <f>H80/DAY(B2)</f>
        <v>118.76714285714219</v>
      </c>
      <c r="K80" s="430"/>
      <c r="L80" s="377"/>
      <c r="N80" s="1101"/>
    </row>
    <row r="81" spans="1:17" ht="27.75">
      <c r="A81" s="1543" t="s">
        <v>198</v>
      </c>
      <c r="B81" s="1544"/>
      <c r="C81" s="1545"/>
      <c r="D81" s="524" t="s">
        <v>186</v>
      </c>
      <c r="E81" s="762">
        <f>'27'!F81</f>
        <v>642577</v>
      </c>
      <c r="F81" s="747">
        <v>642715</v>
      </c>
      <c r="G81" s="473">
        <f t="shared" si="6"/>
        <v>138</v>
      </c>
      <c r="H81" s="460">
        <f>G81+'27'!H81</f>
        <v>-270</v>
      </c>
      <c r="I81" s="505"/>
      <c r="J81" s="552">
        <f>H81/DAY(B2)</f>
        <v>-9.6428571428571423</v>
      </c>
      <c r="K81" s="430"/>
      <c r="L81" s="377"/>
      <c r="N81" s="1101"/>
    </row>
    <row r="82" spans="1:17" ht="27.75">
      <c r="A82" s="1543" t="s">
        <v>92</v>
      </c>
      <c r="B82" s="1544"/>
      <c r="C82" s="1545"/>
      <c r="D82" s="485" t="s">
        <v>131</v>
      </c>
      <c r="E82" s="762">
        <f>'27'!F82</f>
        <v>108633</v>
      </c>
      <c r="F82" s="744">
        <v>108646</v>
      </c>
      <c r="G82" s="473">
        <f t="shared" si="6"/>
        <v>13</v>
      </c>
      <c r="H82" s="460">
        <f>G82+'27'!H82</f>
        <v>-35</v>
      </c>
      <c r="I82" s="486"/>
      <c r="J82" s="552">
        <f>H82/DAY(B2)</f>
        <v>-1.25</v>
      </c>
      <c r="K82" s="430"/>
      <c r="L82" s="377"/>
      <c r="N82" s="1101"/>
    </row>
    <row r="83" spans="1:17" ht="27.75">
      <c r="A83" s="1543" t="s">
        <v>199</v>
      </c>
      <c r="B83" s="1544"/>
      <c r="C83" s="1545"/>
      <c r="D83" s="620" t="s">
        <v>131</v>
      </c>
      <c r="E83" s="762">
        <f>'27'!F83</f>
        <v>26634</v>
      </c>
      <c r="F83" s="470">
        <v>26956</v>
      </c>
      <c r="G83" s="473">
        <f t="shared" si="6"/>
        <v>322</v>
      </c>
      <c r="H83" s="460">
        <f>G83+'27'!H83</f>
        <v>-595</v>
      </c>
      <c r="I83" s="481"/>
      <c r="J83" s="552">
        <f>H83/DAY(B2)</f>
        <v>-21.25</v>
      </c>
      <c r="K83" s="429"/>
      <c r="L83" s="377"/>
      <c r="N83" s="1101"/>
    </row>
    <row r="84" spans="1:17">
      <c r="A84" s="1143" t="s">
        <v>200</v>
      </c>
      <c r="B84" s="571"/>
      <c r="C84" s="571"/>
      <c r="D84" s="478" t="s">
        <v>131</v>
      </c>
      <c r="E84" s="762">
        <f>'27'!F84</f>
        <v>520637</v>
      </c>
      <c r="F84" s="705">
        <v>521455</v>
      </c>
      <c r="G84" s="473">
        <f t="shared" si="6"/>
        <v>818</v>
      </c>
      <c r="H84" s="460">
        <f>G84+'27'!H84</f>
        <v>-1625</v>
      </c>
      <c r="I84" s="481"/>
      <c r="J84" s="552">
        <f>H84/DAY(B2)</f>
        <v>-58.035714285714285</v>
      </c>
      <c r="K84" s="380"/>
      <c r="L84" s="377"/>
      <c r="N84" s="1101"/>
    </row>
    <row r="85" spans="1:17" s="379" customFormat="1">
      <c r="A85" s="605" t="s">
        <v>201</v>
      </c>
      <c r="B85" s="572"/>
      <c r="C85" s="572"/>
      <c r="D85" s="489"/>
      <c r="E85" s="705">
        <f>'27'!F85</f>
        <v>0</v>
      </c>
      <c r="F85" s="460"/>
      <c r="G85" s="460">
        <f xml:space="preserve"> SUM(G72:G84)</f>
        <v>2158</v>
      </c>
      <c r="H85" s="460">
        <f>G85+'27'!H85</f>
        <v>-90373.040000000008</v>
      </c>
      <c r="I85" s="481"/>
      <c r="J85" s="552">
        <f>H85/DAY(B2)</f>
        <v>-3227.6085714285718</v>
      </c>
      <c r="K85" s="380"/>
      <c r="L85" s="378"/>
      <c r="N85" s="1101"/>
      <c r="O85" s="769"/>
      <c r="P85" s="769"/>
      <c r="Q85" s="769"/>
    </row>
    <row r="86" spans="1:17" s="735" customFormat="1">
      <c r="A86" s="730" t="s">
        <v>93</v>
      </c>
      <c r="B86" s="731"/>
      <c r="C86" s="731"/>
      <c r="D86" s="732" t="s">
        <v>182</v>
      </c>
      <c r="E86" s="705">
        <f>'27'!F86</f>
        <v>461705</v>
      </c>
      <c r="F86" s="749">
        <v>461744</v>
      </c>
      <c r="G86" s="705">
        <f t="shared" ref="G86:G88" si="7">F86-E86</f>
        <v>39</v>
      </c>
      <c r="H86" s="705">
        <f t="shared" ref="H86:H88" si="8">G86</f>
        <v>39</v>
      </c>
      <c r="I86" s="652"/>
      <c r="J86" s="707">
        <f>H86/DAY(B2)</f>
        <v>1.3928571428571428</v>
      </c>
      <c r="K86" s="733"/>
      <c r="L86" s="734"/>
      <c r="N86" s="1101"/>
      <c r="O86" s="769"/>
      <c r="P86" s="769"/>
      <c r="Q86" s="770"/>
    </row>
    <row r="87" spans="1:17" s="735" customFormat="1">
      <c r="A87" s="730" t="s">
        <v>94</v>
      </c>
      <c r="B87" s="731"/>
      <c r="C87" s="731"/>
      <c r="D87" s="732" t="s">
        <v>182</v>
      </c>
      <c r="E87" s="705">
        <f>'27'!F87</f>
        <v>81978</v>
      </c>
      <c r="F87" s="749">
        <v>82008</v>
      </c>
      <c r="G87" s="705">
        <f t="shared" si="7"/>
        <v>30</v>
      </c>
      <c r="H87" s="705">
        <f t="shared" si="8"/>
        <v>30</v>
      </c>
      <c r="I87" s="652"/>
      <c r="J87" s="707">
        <f>H87/DAY(B2)</f>
        <v>1.0714285714285714</v>
      </c>
      <c r="K87" s="733"/>
      <c r="L87" s="734"/>
      <c r="N87" s="1101"/>
      <c r="O87" s="769"/>
      <c r="P87" s="769"/>
      <c r="Q87" s="770"/>
    </row>
    <row r="88" spans="1:17" s="735" customFormat="1">
      <c r="A88" s="730" t="s">
        <v>95</v>
      </c>
      <c r="B88" s="731"/>
      <c r="C88" s="731"/>
      <c r="D88" s="732" t="s">
        <v>182</v>
      </c>
      <c r="E88" s="705">
        <f>'27'!F88</f>
        <v>154983</v>
      </c>
      <c r="F88" s="749">
        <v>155122</v>
      </c>
      <c r="G88" s="705">
        <f t="shared" si="7"/>
        <v>139</v>
      </c>
      <c r="H88" s="705">
        <f t="shared" si="8"/>
        <v>139</v>
      </c>
      <c r="I88" s="652"/>
      <c r="J88" s="707">
        <f>H88/DAY(B2)</f>
        <v>4.9642857142857144</v>
      </c>
      <c r="K88" s="733"/>
      <c r="L88" s="734"/>
      <c r="N88" s="1101"/>
      <c r="O88" s="769"/>
      <c r="P88" s="769"/>
      <c r="Q88" s="770"/>
    </row>
    <row r="89" spans="1:17" s="735" customFormat="1">
      <c r="A89" s="730" t="s">
        <v>203</v>
      </c>
      <c r="B89" s="731"/>
      <c r="C89" s="731"/>
      <c r="D89" s="732" t="s">
        <v>182</v>
      </c>
      <c r="E89" s="705">
        <f>'27'!F89</f>
        <v>65763</v>
      </c>
      <c r="F89" s="749">
        <v>65798</v>
      </c>
      <c r="G89" s="705">
        <f t="shared" ref="G89:G91" si="9">F89-E89</f>
        <v>35</v>
      </c>
      <c r="H89" s="705">
        <f t="shared" ref="H89:H91" si="10">G89</f>
        <v>35</v>
      </c>
      <c r="I89" s="652"/>
      <c r="J89" s="707">
        <f>H89/DAY(B2)</f>
        <v>1.25</v>
      </c>
      <c r="K89" s="733"/>
      <c r="L89" s="734"/>
      <c r="N89" s="1101"/>
      <c r="O89" s="382"/>
    </row>
    <row r="90" spans="1:17" s="735" customFormat="1">
      <c r="A90" s="730" t="s">
        <v>203</v>
      </c>
      <c r="B90" s="731"/>
      <c r="C90" s="731"/>
      <c r="D90" s="732" t="s">
        <v>182</v>
      </c>
      <c r="E90" s="705">
        <f>'27'!F90</f>
        <v>3334</v>
      </c>
      <c r="F90" s="749">
        <v>3338</v>
      </c>
      <c r="G90" s="705">
        <f t="shared" si="9"/>
        <v>4</v>
      </c>
      <c r="H90" s="705">
        <f t="shared" si="10"/>
        <v>4</v>
      </c>
      <c r="I90" s="652"/>
      <c r="J90" s="707">
        <f>H90/DAY(B2)</f>
        <v>0.14285714285714285</v>
      </c>
      <c r="K90" s="733"/>
      <c r="L90" s="734"/>
      <c r="N90" s="1101"/>
      <c r="O90" s="382"/>
    </row>
    <row r="91" spans="1:17" s="735" customFormat="1">
      <c r="A91" s="730" t="s">
        <v>348</v>
      </c>
      <c r="B91" s="731"/>
      <c r="C91" s="731"/>
      <c r="D91" s="732"/>
      <c r="E91" s="705">
        <f>'27'!F91</f>
        <v>28218</v>
      </c>
      <c r="F91" s="647">
        <v>28229</v>
      </c>
      <c r="G91" s="705">
        <f t="shared" si="9"/>
        <v>11</v>
      </c>
      <c r="H91" s="705">
        <f t="shared" si="10"/>
        <v>11</v>
      </c>
      <c r="I91" s="652"/>
      <c r="J91" s="707">
        <f>H91/DAY(B2)</f>
        <v>0.39285714285714285</v>
      </c>
      <c r="K91" s="733"/>
      <c r="L91" s="734"/>
      <c r="N91" s="777"/>
      <c r="O91" s="382"/>
    </row>
    <row r="92" spans="1:17" s="379" customFormat="1">
      <c r="A92" s="606" t="s">
        <v>204</v>
      </c>
      <c r="B92" s="1145"/>
      <c r="C92" s="1145"/>
      <c r="D92" s="472"/>
      <c r="E92" s="738"/>
      <c r="F92" s="738"/>
      <c r="G92" s="488"/>
      <c r="H92" s="472"/>
      <c r="I92" s="472"/>
      <c r="J92" s="551"/>
      <c r="K92" s="380"/>
      <c r="L92" s="378"/>
      <c r="N92" s="1101"/>
      <c r="O92" s="769"/>
      <c r="P92" s="769"/>
      <c r="Q92" s="769"/>
    </row>
    <row r="93" spans="1:17" ht="27.75">
      <c r="A93" s="1559" t="s">
        <v>205</v>
      </c>
      <c r="B93" s="1560"/>
      <c r="C93" s="1561"/>
      <c r="D93" s="523" t="s">
        <v>143</v>
      </c>
      <c r="E93" s="758">
        <f>'27'!F93</f>
        <v>247186</v>
      </c>
      <c r="F93" s="737">
        <v>247272</v>
      </c>
      <c r="G93" s="473">
        <f t="shared" ref="G93:G94" si="11">F93-E93</f>
        <v>86</v>
      </c>
      <c r="H93" s="460">
        <f>G93+'27'!H93</f>
        <v>-80</v>
      </c>
      <c r="I93" s="480"/>
      <c r="J93" s="552">
        <f>H93/DAY(B2)</f>
        <v>-2.8571428571428572</v>
      </c>
      <c r="K93" s="429"/>
      <c r="L93" s="377"/>
      <c r="N93" s="1101"/>
    </row>
    <row r="94" spans="1:17" ht="27.75">
      <c r="A94" s="1559" t="s">
        <v>206</v>
      </c>
      <c r="B94" s="1560"/>
      <c r="C94" s="1561"/>
      <c r="D94" s="523" t="s">
        <v>143</v>
      </c>
      <c r="E94" s="758">
        <f>'27'!F94</f>
        <v>189136</v>
      </c>
      <c r="F94" s="737">
        <v>189233</v>
      </c>
      <c r="G94" s="473">
        <f t="shared" si="11"/>
        <v>97</v>
      </c>
      <c r="H94" s="460">
        <f>G94+'27'!H94</f>
        <v>-221</v>
      </c>
      <c r="I94" s="480"/>
      <c r="J94" s="552">
        <f>H94/DAY(B2)</f>
        <v>-7.8928571428571432</v>
      </c>
      <c r="K94" s="380"/>
      <c r="L94" s="377"/>
      <c r="N94" s="1101"/>
    </row>
    <row r="95" spans="1:17">
      <c r="A95" s="1591" t="s">
        <v>207</v>
      </c>
      <c r="B95" s="1592"/>
      <c r="C95" s="1593"/>
      <c r="D95" s="523"/>
      <c r="E95" s="758"/>
      <c r="F95" s="737"/>
      <c r="G95" s="473">
        <f>G93+G94</f>
        <v>183</v>
      </c>
      <c r="H95" s="460">
        <f>G95+'27'!H95</f>
        <v>-487</v>
      </c>
      <c r="I95" s="480"/>
      <c r="J95" s="552">
        <f>H95/DAY(B2)</f>
        <v>-17.392857142857142</v>
      </c>
      <c r="K95" s="380"/>
      <c r="L95" s="377"/>
      <c r="N95" s="1101"/>
    </row>
    <row r="96" spans="1:17" ht="27.75">
      <c r="A96" s="1559" t="s">
        <v>208</v>
      </c>
      <c r="B96" s="1560"/>
      <c r="C96" s="1561"/>
      <c r="D96" s="523" t="s">
        <v>143</v>
      </c>
      <c r="E96" s="758">
        <f>'27'!F96</f>
        <v>415828</v>
      </c>
      <c r="F96" s="737">
        <v>415899</v>
      </c>
      <c r="G96" s="473">
        <f t="shared" ref="G96:G101" si="12">F96-E96</f>
        <v>71</v>
      </c>
      <c r="H96" s="460">
        <f>G96+'27'!H96</f>
        <v>-100</v>
      </c>
      <c r="I96" s="480"/>
      <c r="J96" s="552">
        <f>H96/DAY(B2)</f>
        <v>-3.5714285714285716</v>
      </c>
      <c r="K96" s="380"/>
      <c r="L96" s="377"/>
      <c r="N96" s="1101"/>
    </row>
    <row r="97" spans="1:17" ht="27.75">
      <c r="A97" s="1139" t="s">
        <v>209</v>
      </c>
      <c r="B97" s="1140"/>
      <c r="C97" s="1140"/>
      <c r="D97" s="523" t="s">
        <v>143</v>
      </c>
      <c r="E97" s="758">
        <f>'27'!F97</f>
        <v>103114</v>
      </c>
      <c r="F97" s="737">
        <v>103138</v>
      </c>
      <c r="G97" s="473">
        <f t="shared" si="12"/>
        <v>24</v>
      </c>
      <c r="H97" s="460">
        <f>G97+'27'!H97</f>
        <v>-25</v>
      </c>
      <c r="I97" s="480"/>
      <c r="J97" s="552">
        <f>H97/DAY(B2)</f>
        <v>-0.8928571428571429</v>
      </c>
      <c r="K97" s="427"/>
      <c r="L97" s="377"/>
      <c r="N97" s="1101"/>
    </row>
    <row r="98" spans="1:17" ht="27.75">
      <c r="A98" s="1139" t="s">
        <v>210</v>
      </c>
      <c r="B98" s="1140"/>
      <c r="C98" s="1140"/>
      <c r="D98" s="523" t="s">
        <v>143</v>
      </c>
      <c r="E98" s="758">
        <f>'27'!F98</f>
        <v>98601</v>
      </c>
      <c r="F98" s="737">
        <v>98617</v>
      </c>
      <c r="G98" s="473">
        <f t="shared" si="12"/>
        <v>16</v>
      </c>
      <c r="H98" s="460">
        <f>G98+'27'!H98</f>
        <v>-40</v>
      </c>
      <c r="I98" s="480"/>
      <c r="J98" s="552">
        <f>H98/DAY(B2)</f>
        <v>-1.4285714285714286</v>
      </c>
      <c r="K98" s="432"/>
      <c r="L98" s="377"/>
      <c r="N98" s="1101"/>
    </row>
    <row r="99" spans="1:17" ht="27.75">
      <c r="A99" s="1139" t="s">
        <v>211</v>
      </c>
      <c r="B99" s="1140"/>
      <c r="C99" s="1140"/>
      <c r="D99" s="523" t="s">
        <v>143</v>
      </c>
      <c r="E99" s="758">
        <f>'27'!F99</f>
        <v>150314</v>
      </c>
      <c r="F99" s="737">
        <v>150347</v>
      </c>
      <c r="G99" s="473">
        <f t="shared" si="12"/>
        <v>33</v>
      </c>
      <c r="H99" s="460">
        <f>G99+'27'!H99</f>
        <v>-58</v>
      </c>
      <c r="I99" s="480"/>
      <c r="J99" s="552">
        <f>H99/DAY(B2)</f>
        <v>-2.0714285714285716</v>
      </c>
      <c r="K99" s="380"/>
      <c r="L99" s="377"/>
      <c r="N99" s="1101"/>
    </row>
    <row r="100" spans="1:17" ht="27.75">
      <c r="A100" s="1139" t="s">
        <v>212</v>
      </c>
      <c r="B100" s="1140"/>
      <c r="C100" s="1140"/>
      <c r="D100" s="523" t="s">
        <v>143</v>
      </c>
      <c r="E100" s="758">
        <f>'27'!F100</f>
        <v>7740</v>
      </c>
      <c r="F100" s="737">
        <v>7763</v>
      </c>
      <c r="G100" s="473">
        <f t="shared" si="12"/>
        <v>23</v>
      </c>
      <c r="H100" s="460">
        <f>G100+'27'!H100</f>
        <v>-34</v>
      </c>
      <c r="I100" s="480"/>
      <c r="J100" s="552">
        <f>H100/DAY(B2)</f>
        <v>-1.2142857142857142</v>
      </c>
      <c r="K100" s="380"/>
      <c r="L100" s="377"/>
      <c r="N100" s="1101"/>
    </row>
    <row r="101" spans="1:17" ht="27.75">
      <c r="A101" s="1139" t="s">
        <v>213</v>
      </c>
      <c r="B101" s="1140"/>
      <c r="C101" s="1140"/>
      <c r="D101" s="523" t="s">
        <v>143</v>
      </c>
      <c r="E101" s="758">
        <f>'27'!F101</f>
        <v>5633</v>
      </c>
      <c r="F101" s="737">
        <v>5652</v>
      </c>
      <c r="G101" s="473">
        <f t="shared" si="12"/>
        <v>19</v>
      </c>
      <c r="H101" s="460">
        <f>G101+'27'!H101</f>
        <v>-22</v>
      </c>
      <c r="I101" s="480"/>
      <c r="J101" s="552">
        <f>H101/DAY(B2)</f>
        <v>-0.7857142857142857</v>
      </c>
      <c r="K101" s="380"/>
      <c r="L101" s="377"/>
      <c r="N101" s="1101"/>
    </row>
    <row r="102" spans="1:17">
      <c r="A102" s="1591" t="s">
        <v>215</v>
      </c>
      <c r="B102" s="1592"/>
      <c r="C102" s="1593"/>
      <c r="D102" s="524"/>
      <c r="E102" s="486"/>
      <c r="F102" s="486"/>
      <c r="G102" s="525">
        <f>SUM(G96:G101)</f>
        <v>186</v>
      </c>
      <c r="H102" s="460">
        <f>G102+'27'!H102</f>
        <v>-279</v>
      </c>
      <c r="I102" s="526"/>
      <c r="J102" s="552">
        <f>H102/DAY(B2)</f>
        <v>-9.9642857142857135</v>
      </c>
      <c r="K102" s="380"/>
      <c r="L102" s="377"/>
      <c r="N102" s="1101"/>
    </row>
    <row r="103" spans="1:17" s="442" customFormat="1" ht="27">
      <c r="A103" s="607" t="s">
        <v>216</v>
      </c>
      <c r="B103" s="608"/>
      <c r="C103" s="608"/>
      <c r="D103" s="621"/>
      <c r="E103" s="764"/>
      <c r="F103" s="750"/>
      <c r="G103" s="529"/>
      <c r="H103" s="530"/>
      <c r="I103" s="531"/>
      <c r="J103" s="557"/>
      <c r="N103" s="1101"/>
      <c r="O103" s="769"/>
      <c r="P103" s="769"/>
      <c r="Q103" s="769"/>
    </row>
    <row r="104" spans="1:17" s="442" customFormat="1" ht="27">
      <c r="A104" s="1594" t="s">
        <v>217</v>
      </c>
      <c r="B104" s="1595"/>
      <c r="C104" s="573"/>
      <c r="D104" s="622"/>
      <c r="E104" s="533"/>
      <c r="F104" s="751"/>
      <c r="G104" s="532"/>
      <c r="H104" s="533"/>
      <c r="I104" s="532"/>
      <c r="J104" s="558"/>
      <c r="N104" s="1101"/>
      <c r="O104" s="769"/>
      <c r="P104" s="769"/>
      <c r="Q104" s="769"/>
    </row>
    <row r="105" spans="1:17" s="442" customFormat="1" ht="27">
      <c r="A105" s="1551" t="s">
        <v>218</v>
      </c>
      <c r="B105" s="1552"/>
      <c r="C105" s="1138"/>
      <c r="D105" s="622" t="s">
        <v>143</v>
      </c>
      <c r="E105" s="533">
        <f>'27'!F105</f>
        <v>7637</v>
      </c>
      <c r="F105" s="751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2.4778571428571143</v>
      </c>
      <c r="N105" s="1101"/>
      <c r="O105" s="769"/>
      <c r="P105" s="769"/>
      <c r="Q105" s="769"/>
    </row>
    <row r="106" spans="1:17" s="442" customFormat="1" ht="27">
      <c r="A106" s="1551" t="s">
        <v>76</v>
      </c>
      <c r="B106" s="1552"/>
      <c r="C106" s="1138"/>
      <c r="D106" s="622" t="s">
        <v>143</v>
      </c>
      <c r="E106" s="533">
        <f>'27'!F106</f>
        <v>36143</v>
      </c>
      <c r="F106" s="660">
        <v>36156</v>
      </c>
      <c r="G106" s="532">
        <f t="shared" ref="G106" si="13">F106-E106</f>
        <v>13</v>
      </c>
      <c r="H106" s="533">
        <f>SUM(G106+'1'!G77)</f>
        <v>66</v>
      </c>
      <c r="I106" s="532"/>
      <c r="J106" s="558">
        <f>H106/DAY(B2)</f>
        <v>2.3571428571428572</v>
      </c>
      <c r="N106" s="1101"/>
      <c r="O106" s="769"/>
      <c r="P106" s="769"/>
      <c r="Q106" s="769"/>
    </row>
    <row r="107" spans="1:17" s="442" customFormat="1" ht="27">
      <c r="A107" s="1551" t="s">
        <v>77</v>
      </c>
      <c r="B107" s="1596"/>
      <c r="C107" s="1552"/>
      <c r="D107" s="622" t="s">
        <v>143</v>
      </c>
      <c r="E107" s="533">
        <f>'27'!F107</f>
        <v>19810</v>
      </c>
      <c r="F107" s="660">
        <v>19816</v>
      </c>
      <c r="G107" s="532">
        <f>F107-E107</f>
        <v>6</v>
      </c>
      <c r="H107" s="533">
        <f>SUM(G107+'1'!G78)</f>
        <v>120</v>
      </c>
      <c r="I107" s="532"/>
      <c r="J107" s="558">
        <f>H107/DAY(B2)</f>
        <v>4.2857142857142856</v>
      </c>
      <c r="N107" s="1101"/>
      <c r="O107" s="769"/>
      <c r="P107" s="769"/>
      <c r="Q107" s="769"/>
    </row>
    <row r="108" spans="1:17" s="442" customFormat="1" ht="27">
      <c r="A108" s="1553" t="s">
        <v>201</v>
      </c>
      <c r="B108" s="1554"/>
      <c r="C108" s="1138"/>
      <c r="D108" s="622"/>
      <c r="E108" s="533">
        <f>'27'!F108</f>
        <v>0</v>
      </c>
      <c r="F108" s="660"/>
      <c r="G108" s="532">
        <f>SUM(G105:G107)</f>
        <v>19</v>
      </c>
      <c r="H108" s="533">
        <f>SUM(G108+'1'!G79)</f>
        <v>172</v>
      </c>
      <c r="I108" s="532"/>
      <c r="J108" s="558">
        <f>H108/DAY(B2)</f>
        <v>6.1428571428571432</v>
      </c>
      <c r="N108" s="1101"/>
      <c r="O108" s="769"/>
      <c r="P108" s="769"/>
      <c r="Q108" s="769"/>
    </row>
    <row r="109" spans="1:17" s="442" customFormat="1" ht="27">
      <c r="A109" s="1557" t="s">
        <v>78</v>
      </c>
      <c r="B109" s="1558"/>
      <c r="C109" s="1138"/>
      <c r="D109" s="622" t="s">
        <v>143</v>
      </c>
      <c r="E109" s="533">
        <f>'27'!F109</f>
        <v>0</v>
      </c>
      <c r="F109" s="660"/>
      <c r="G109" s="532"/>
      <c r="H109" s="533"/>
      <c r="I109" s="532"/>
      <c r="J109" s="558"/>
      <c r="N109" s="1101"/>
      <c r="O109" s="769"/>
      <c r="P109" s="769"/>
      <c r="Q109" s="769"/>
    </row>
    <row r="110" spans="1:17" s="442" customFormat="1" ht="27">
      <c r="A110" s="1551" t="s">
        <v>219</v>
      </c>
      <c r="B110" s="1552"/>
      <c r="C110" s="1138"/>
      <c r="D110" s="622" t="s">
        <v>143</v>
      </c>
      <c r="E110" s="533">
        <f>'27'!F110</f>
        <v>64608</v>
      </c>
      <c r="F110" s="660">
        <v>64692</v>
      </c>
      <c r="G110" s="532">
        <f>F110-E110</f>
        <v>84</v>
      </c>
      <c r="H110" s="533">
        <f>SUM(G110+'1'!G81)</f>
        <v>215.64000000001397</v>
      </c>
      <c r="I110" s="532"/>
      <c r="J110" s="558">
        <f>H110/DAY(B2)</f>
        <v>7.7014285714290702</v>
      </c>
      <c r="N110" s="1101"/>
      <c r="O110" s="769"/>
      <c r="P110" s="769"/>
      <c r="Q110" s="769"/>
    </row>
    <row r="111" spans="1:17" s="442" customFormat="1" ht="27">
      <c r="A111" s="1551" t="s">
        <v>220</v>
      </c>
      <c r="B111" s="1552"/>
      <c r="C111" s="1138"/>
      <c r="D111" s="622" t="s">
        <v>143</v>
      </c>
      <c r="E111" s="533">
        <f>'27'!F111</f>
        <v>33046</v>
      </c>
      <c r="F111" s="660">
        <v>33078</v>
      </c>
      <c r="G111" s="532">
        <f t="shared" ref="G111:G112" si="14">F111-E111</f>
        <v>32</v>
      </c>
      <c r="H111" s="533">
        <f>SUM(G111+'1'!G82)</f>
        <v>56.899999999994179</v>
      </c>
      <c r="I111" s="532"/>
      <c r="J111" s="558">
        <f>H111/DAY(B2)</f>
        <v>2.0321428571426492</v>
      </c>
      <c r="N111" s="1101"/>
      <c r="O111" s="769"/>
      <c r="P111" s="769"/>
      <c r="Q111" s="769"/>
    </row>
    <row r="112" spans="1:17" s="442" customFormat="1" ht="27">
      <c r="A112" s="1551" t="s">
        <v>221</v>
      </c>
      <c r="B112" s="1552"/>
      <c r="C112" s="1138"/>
      <c r="D112" s="622" t="s">
        <v>143</v>
      </c>
      <c r="E112" s="533">
        <f>'27'!F112</f>
        <v>4621</v>
      </c>
      <c r="F112" s="660">
        <v>4621</v>
      </c>
      <c r="G112" s="534">
        <f t="shared" si="14"/>
        <v>0</v>
      </c>
      <c r="H112" s="533">
        <f>SUM(G112+'1'!G83)</f>
        <v>351</v>
      </c>
      <c r="I112" s="532"/>
      <c r="J112" s="558">
        <f>H112/DAY(B2)</f>
        <v>12.535714285714286</v>
      </c>
      <c r="N112" s="1101"/>
      <c r="O112" s="769"/>
      <c r="P112" s="769"/>
      <c r="Q112" s="769"/>
    </row>
    <row r="113" spans="1:17" s="442" customFormat="1" ht="27">
      <c r="A113" s="1553" t="s">
        <v>109</v>
      </c>
      <c r="B113" s="1554"/>
      <c r="C113" s="1138"/>
      <c r="D113" s="622"/>
      <c r="E113" s="533">
        <f>'27'!F113</f>
        <v>0</v>
      </c>
      <c r="F113" s="660"/>
      <c r="G113" s="532">
        <f>SUM(G110:G112)</f>
        <v>116</v>
      </c>
      <c r="H113" s="533">
        <f>SUM(G113+'1'!G84)</f>
        <v>932</v>
      </c>
      <c r="I113" s="532"/>
      <c r="J113" s="558">
        <f>H113/DAY(B2)</f>
        <v>33.285714285714285</v>
      </c>
      <c r="N113" s="1101"/>
      <c r="O113" s="769"/>
      <c r="P113" s="769"/>
      <c r="Q113" s="769"/>
    </row>
    <row r="114" spans="1:17" s="442" customFormat="1" ht="27">
      <c r="A114" s="1557" t="s">
        <v>222</v>
      </c>
      <c r="B114" s="1558"/>
      <c r="C114" s="1138"/>
      <c r="D114" s="622"/>
      <c r="E114" s="533">
        <f>'27'!F114</f>
        <v>0</v>
      </c>
      <c r="F114" s="660"/>
      <c r="G114" s="532"/>
      <c r="H114" s="533"/>
      <c r="I114" s="532"/>
      <c r="J114" s="558">
        <f>H114/DAY(B2)</f>
        <v>0</v>
      </c>
      <c r="N114" s="1101"/>
      <c r="O114" s="769"/>
      <c r="P114" s="769"/>
      <c r="Q114" s="769"/>
    </row>
    <row r="115" spans="1:17" s="442" customFormat="1" ht="27">
      <c r="A115" s="1551" t="s">
        <v>223</v>
      </c>
      <c r="B115" s="1552"/>
      <c r="C115" s="574"/>
      <c r="D115" s="622" t="s">
        <v>143</v>
      </c>
      <c r="E115" s="533">
        <f>'27'!F115</f>
        <v>11947</v>
      </c>
      <c r="F115" s="660">
        <v>11974</v>
      </c>
      <c r="G115" s="534">
        <f>F115-E115</f>
        <v>27</v>
      </c>
      <c r="H115" s="533">
        <f>SUM(G115+'1'!G92)</f>
        <v>27</v>
      </c>
      <c r="I115" s="532"/>
      <c r="J115" s="558">
        <f>H115/DAY(B2)</f>
        <v>0.9642857142857143</v>
      </c>
      <c r="N115" s="1101"/>
      <c r="O115" s="769"/>
      <c r="P115" s="769"/>
      <c r="Q115" s="769"/>
    </row>
    <row r="116" spans="1:17" s="442" customFormat="1" ht="27">
      <c r="A116" s="1551" t="s">
        <v>224</v>
      </c>
      <c r="B116" s="1552"/>
      <c r="C116" s="574"/>
      <c r="D116" s="622" t="s">
        <v>143</v>
      </c>
      <c r="E116" s="533">
        <f>'27'!F116</f>
        <v>8520</v>
      </c>
      <c r="F116" s="660">
        <v>8538</v>
      </c>
      <c r="G116" s="534">
        <f t="shared" ref="G116:G117" si="15">F116-E116</f>
        <v>18</v>
      </c>
      <c r="H116" s="533">
        <f>SUM(G116+'1'!G93)</f>
        <v>107</v>
      </c>
      <c r="I116" s="532"/>
      <c r="J116" s="558">
        <f>H116/DAY(B2)</f>
        <v>3.8214285714285716</v>
      </c>
      <c r="N116" s="1101"/>
      <c r="O116" s="769"/>
      <c r="P116" s="769"/>
      <c r="Q116" s="769"/>
    </row>
    <row r="117" spans="1:17" s="442" customFormat="1" ht="27">
      <c r="A117" s="1551" t="s">
        <v>225</v>
      </c>
      <c r="B117" s="1552"/>
      <c r="C117" s="574"/>
      <c r="D117" s="622" t="s">
        <v>143</v>
      </c>
      <c r="E117" s="536"/>
      <c r="F117" s="660"/>
      <c r="G117" s="534">
        <f t="shared" si="15"/>
        <v>0</v>
      </c>
      <c r="H117" s="533">
        <f>SUM(G117+'1'!G94)</f>
        <v>97</v>
      </c>
      <c r="I117" s="532"/>
      <c r="J117" s="558">
        <f>H117/DAY(B2)</f>
        <v>3.4642857142857144</v>
      </c>
      <c r="N117" s="1101"/>
      <c r="O117" s="769"/>
      <c r="P117" s="769"/>
      <c r="Q117" s="769"/>
    </row>
    <row r="118" spans="1:17" s="445" customFormat="1" ht="27">
      <c r="A118" s="1553" t="s">
        <v>201</v>
      </c>
      <c r="B118" s="1554"/>
      <c r="C118" s="574"/>
      <c r="D118" s="623"/>
      <c r="E118" s="536"/>
      <c r="F118" s="660"/>
      <c r="G118" s="534">
        <f>SUM(G115:G117)</f>
        <v>45</v>
      </c>
      <c r="H118" s="533">
        <f>SUM(G118+'1'!G96)</f>
        <v>131</v>
      </c>
      <c r="I118" s="534"/>
      <c r="J118" s="558">
        <f>H118/DAY(B2)</f>
        <v>4.6785714285714288</v>
      </c>
      <c r="N118" s="1101"/>
      <c r="O118" s="769"/>
      <c r="P118" s="769"/>
      <c r="Q118" s="770"/>
    </row>
    <row r="119" spans="1:17" s="446" customFormat="1" ht="27">
      <c r="A119" s="1547" t="s">
        <v>226</v>
      </c>
      <c r="B119" s="1548"/>
      <c r="C119" s="1136"/>
      <c r="D119" s="624" t="s">
        <v>143</v>
      </c>
      <c r="E119" s="536"/>
      <c r="F119" s="660"/>
      <c r="G119" s="536">
        <f>SUM(G19+G93)</f>
        <v>150</v>
      </c>
      <c r="H119" s="533">
        <f>SUM(G119+'1'!G97)</f>
        <v>167</v>
      </c>
      <c r="I119" s="535"/>
      <c r="J119" s="559">
        <f>H119/DAY(B2)</f>
        <v>5.9642857142857144</v>
      </c>
      <c r="N119" s="1101"/>
      <c r="O119" s="769"/>
      <c r="P119" s="769"/>
      <c r="Q119" s="770"/>
    </row>
    <row r="120" spans="1:17" s="446" customFormat="1" ht="27">
      <c r="A120" s="1547" t="s">
        <v>227</v>
      </c>
      <c r="B120" s="1548"/>
      <c r="C120" s="1136"/>
      <c r="D120" s="624" t="s">
        <v>143</v>
      </c>
      <c r="E120" s="536"/>
      <c r="F120" s="660"/>
      <c r="G120" s="536">
        <f>SUM(G96,G97,G98,G100,G101)</f>
        <v>153</v>
      </c>
      <c r="H120" s="533">
        <f>SUM(G120+'1'!G99)</f>
        <v>203</v>
      </c>
      <c r="I120" s="535"/>
      <c r="J120" s="559">
        <f>H120/DAY(B2)</f>
        <v>7.25</v>
      </c>
      <c r="N120" s="1101"/>
      <c r="O120" s="769"/>
      <c r="P120" s="769"/>
      <c r="Q120" s="770"/>
    </row>
    <row r="121" spans="1:17" s="446" customFormat="1" ht="27">
      <c r="A121" s="1547" t="s">
        <v>228</v>
      </c>
      <c r="B121" s="1548"/>
      <c r="C121" s="1136"/>
      <c r="D121" s="624" t="s">
        <v>143</v>
      </c>
      <c r="E121" s="536"/>
      <c r="F121" s="660"/>
      <c r="G121" s="534">
        <f>SUM(G113)</f>
        <v>116</v>
      </c>
      <c r="H121" s="533">
        <f>SUM(G121+'1'!G101)</f>
        <v>121</v>
      </c>
      <c r="I121" s="535"/>
      <c r="J121" s="559">
        <f>H121/DAY(B2)</f>
        <v>4.3214285714285712</v>
      </c>
      <c r="N121" s="1101"/>
      <c r="O121" s="769"/>
      <c r="P121" s="769"/>
      <c r="Q121" s="770"/>
    </row>
    <row r="122" spans="1:17" s="442" customFormat="1" ht="27">
      <c r="A122" s="1549"/>
      <c r="B122" s="1550"/>
      <c r="C122" s="1137"/>
      <c r="D122" s="560"/>
      <c r="E122" s="765"/>
      <c r="F122" s="752"/>
      <c r="G122" s="560"/>
      <c r="H122" s="561"/>
      <c r="I122" s="560"/>
      <c r="J122" s="562"/>
      <c r="N122" s="1101"/>
      <c r="O122" s="769"/>
      <c r="P122" s="769"/>
      <c r="Q122" s="769"/>
    </row>
    <row r="123" spans="1:17">
      <c r="A123" s="1588" t="s">
        <v>229</v>
      </c>
      <c r="B123" s="1589"/>
      <c r="C123" s="1590"/>
      <c r="D123" s="472"/>
      <c r="E123" s="738"/>
      <c r="F123" s="738"/>
      <c r="G123" s="483"/>
      <c r="H123" s="483"/>
      <c r="I123" s="483"/>
      <c r="J123" s="563"/>
      <c r="K123" s="380"/>
      <c r="L123" s="377"/>
      <c r="N123" s="1101"/>
    </row>
    <row r="124" spans="1:17" ht="27.75">
      <c r="A124" s="1139" t="s">
        <v>230</v>
      </c>
      <c r="B124" s="1140"/>
      <c r="C124" s="1140"/>
      <c r="D124" s="523" t="s">
        <v>140</v>
      </c>
      <c r="E124" s="737">
        <f>'27'!F124</f>
        <v>838862</v>
      </c>
      <c r="F124" s="737">
        <v>839146</v>
      </c>
      <c r="G124" s="473">
        <f t="shared" ref="G124:G128" si="16">F124-E124</f>
        <v>284</v>
      </c>
      <c r="H124" s="460">
        <f>G124+'27'!H124</f>
        <v>-524</v>
      </c>
      <c r="I124" s="526"/>
      <c r="J124" s="552">
        <f>H124/DAY(B2)</f>
        <v>-18.714285714285715</v>
      </c>
      <c r="K124" s="380"/>
      <c r="L124" s="377"/>
      <c r="N124" s="1101"/>
    </row>
    <row r="125" spans="1:17" ht="27.75">
      <c r="A125" s="1139" t="s">
        <v>231</v>
      </c>
      <c r="B125" s="1140"/>
      <c r="C125" s="1140"/>
      <c r="D125" s="523" t="s">
        <v>140</v>
      </c>
      <c r="E125" s="737">
        <f>'27'!F125</f>
        <v>73583.399999999994</v>
      </c>
      <c r="F125" s="753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1"/>
    </row>
    <row r="126" spans="1:17" ht="27.75">
      <c r="A126" s="1540" t="s">
        <v>232</v>
      </c>
      <c r="B126" s="1541"/>
      <c r="C126" s="1542"/>
      <c r="D126" s="523" t="s">
        <v>140</v>
      </c>
      <c r="E126" s="737">
        <f>'27'!F126</f>
        <v>148391</v>
      </c>
      <c r="F126" s="737">
        <v>148453</v>
      </c>
      <c r="G126" s="473">
        <f t="shared" si="16"/>
        <v>62</v>
      </c>
      <c r="H126" s="460">
        <f>G126+'27'!H126</f>
        <v>-144</v>
      </c>
      <c r="I126" s="526"/>
      <c r="J126" s="552">
        <f>H126/DAY(B2)</f>
        <v>-5.1428571428571432</v>
      </c>
      <c r="K126" s="380"/>
      <c r="L126" s="377"/>
      <c r="N126" s="1101"/>
    </row>
    <row r="127" spans="1:17" ht="27.75">
      <c r="A127" s="609" t="s">
        <v>233</v>
      </c>
      <c r="B127" s="1140"/>
      <c r="C127" s="1140"/>
      <c r="D127" s="523" t="s">
        <v>140</v>
      </c>
      <c r="E127" s="737">
        <f>'27'!F127</f>
        <v>31981</v>
      </c>
      <c r="F127" s="753">
        <v>32011</v>
      </c>
      <c r="G127" s="473">
        <f t="shared" si="16"/>
        <v>30</v>
      </c>
      <c r="H127" s="460">
        <f>G127+'27'!H127</f>
        <v>-60</v>
      </c>
      <c r="I127" s="526"/>
      <c r="J127" s="552">
        <f>H127/DAY(B2)</f>
        <v>-2.1428571428571428</v>
      </c>
      <c r="K127" s="380"/>
      <c r="L127" s="377"/>
      <c r="N127" s="1101"/>
    </row>
    <row r="128" spans="1:17" ht="27.75">
      <c r="A128" s="609" t="s">
        <v>234</v>
      </c>
      <c r="B128" s="1140"/>
      <c r="C128" s="1140"/>
      <c r="D128" s="523" t="s">
        <v>140</v>
      </c>
      <c r="E128" s="737">
        <f>'27'!F128</f>
        <v>9006</v>
      </c>
      <c r="F128" s="753">
        <v>9009</v>
      </c>
      <c r="G128" s="473">
        <f t="shared" si="16"/>
        <v>3</v>
      </c>
      <c r="H128" s="460">
        <f>G128+'27'!H128</f>
        <v>-3</v>
      </c>
      <c r="I128" s="480"/>
      <c r="J128" s="552">
        <f>H128/DAY(B2)</f>
        <v>-0.10714285714285714</v>
      </c>
      <c r="K128" s="380"/>
      <c r="L128" s="377"/>
      <c r="N128" s="1101"/>
    </row>
    <row r="129" spans="1:17" s="281" customFormat="1" ht="27">
      <c r="A129" s="609" t="s">
        <v>235</v>
      </c>
      <c r="B129" s="1140"/>
      <c r="C129" s="1140"/>
      <c r="D129" s="523"/>
      <c r="E129" s="737"/>
      <c r="F129" s="737"/>
      <c r="G129" s="473">
        <f>G15-SUM(G124:G128)</f>
        <v>321</v>
      </c>
      <c r="H129" s="460"/>
      <c r="I129" s="480"/>
      <c r="J129" s="552"/>
      <c r="K129" s="364"/>
      <c r="L129" s="292"/>
      <c r="N129" s="1101"/>
      <c r="O129" s="769"/>
      <c r="P129" s="769"/>
      <c r="Q129" s="769"/>
    </row>
    <row r="130" spans="1:17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39" t="s">
        <v>237</v>
      </c>
      <c r="B131" s="1140"/>
      <c r="C131" s="1140"/>
      <c r="D131" s="523" t="s">
        <v>238</v>
      </c>
      <c r="E131" s="758">
        <v>0</v>
      </c>
      <c r="F131" s="737">
        <v>0</v>
      </c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39" t="s">
        <v>239</v>
      </c>
      <c r="B132" s="1140"/>
      <c r="C132" s="1140"/>
      <c r="D132" s="523" t="s">
        <v>238</v>
      </c>
      <c r="E132" s="758">
        <f>'27'!F132</f>
        <v>0</v>
      </c>
      <c r="F132" s="737">
        <v>0</v>
      </c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39" t="s">
        <v>240</v>
      </c>
      <c r="B133" s="1140"/>
      <c r="C133" s="1140"/>
      <c r="D133" s="523" t="s">
        <v>238</v>
      </c>
      <c r="E133" s="767">
        <f>'27'!F133</f>
        <v>40403</v>
      </c>
      <c r="F133" s="753">
        <v>40419</v>
      </c>
      <c r="G133" s="473">
        <f t="shared" si="17"/>
        <v>16</v>
      </c>
      <c r="H133" s="460">
        <f>G133+'27'!H133</f>
        <v>-34</v>
      </c>
      <c r="I133" s="480"/>
      <c r="J133" s="552">
        <f>H133/DAY(B2)</f>
        <v>-1.2142857142857142</v>
      </c>
    </row>
    <row r="134" spans="1:17" ht="27.75">
      <c r="A134" s="1139" t="s">
        <v>241</v>
      </c>
      <c r="B134" s="1140"/>
      <c r="C134" s="1140"/>
      <c r="D134" s="523" t="s">
        <v>238</v>
      </c>
      <c r="E134" s="767">
        <f>'27'!F134</f>
        <v>300</v>
      </c>
      <c r="F134" s="753">
        <v>300</v>
      </c>
      <c r="G134" s="473">
        <f t="shared" si="17"/>
        <v>0</v>
      </c>
      <c r="H134" s="460">
        <f>G134+'27'!H134</f>
        <v>0</v>
      </c>
      <c r="I134" s="480">
        <f>G131+G132+G133+G134</f>
        <v>16</v>
      </c>
      <c r="J134" s="552">
        <f>H134/DAY(B2)</f>
        <v>0</v>
      </c>
    </row>
    <row r="135" spans="1:17" ht="27.75">
      <c r="A135" s="1139" t="s">
        <v>242</v>
      </c>
      <c r="B135" s="1140"/>
      <c r="C135" s="1140"/>
      <c r="D135" s="523" t="s">
        <v>238</v>
      </c>
      <c r="E135" s="767">
        <f>'27'!F135</f>
        <v>41943.17</v>
      </c>
      <c r="F135" s="753">
        <v>41953</v>
      </c>
      <c r="G135" s="473">
        <f t="shared" si="17"/>
        <v>9.8300000000017462</v>
      </c>
      <c r="H135" s="460">
        <f>G135+'27'!H135</f>
        <v>113.55999999999767</v>
      </c>
      <c r="I135" s="480"/>
      <c r="J135" s="552">
        <f>H135/DAY(B2)</f>
        <v>4.0557142857142026</v>
      </c>
      <c r="O135" s="769">
        <f>9-24</f>
        <v>-15</v>
      </c>
    </row>
    <row r="136" spans="1:17" ht="27.75">
      <c r="A136" s="1139" t="s">
        <v>243</v>
      </c>
      <c r="B136" s="1140"/>
      <c r="C136" s="1140"/>
      <c r="D136" s="523" t="s">
        <v>238</v>
      </c>
      <c r="E136" s="766">
        <f>'27'!F136</f>
        <v>32874</v>
      </c>
      <c r="F136" s="744">
        <v>32874</v>
      </c>
      <c r="G136" s="473">
        <f t="shared" si="17"/>
        <v>0</v>
      </c>
      <c r="H136" s="460">
        <f>G136+'27'!H136</f>
        <v>12.94999999999709</v>
      </c>
      <c r="I136" s="480"/>
      <c r="J136" s="552">
        <f>H136/DAY(B2)</f>
        <v>0.46249999999989605</v>
      </c>
    </row>
    <row r="137" spans="1:17" ht="27.75">
      <c r="A137" s="1139" t="s">
        <v>244</v>
      </c>
      <c r="B137" s="1140"/>
      <c r="C137" s="1140"/>
      <c r="D137" s="523" t="s">
        <v>238</v>
      </c>
      <c r="E137" s="766">
        <f>'27'!F137</f>
        <v>22878.47</v>
      </c>
      <c r="F137" s="744">
        <v>22886.2</v>
      </c>
      <c r="G137" s="473">
        <f t="shared" si="17"/>
        <v>7.7299999999995634</v>
      </c>
      <c r="H137" s="460">
        <f>G137+'27'!H137</f>
        <v>-5.2900000000008731</v>
      </c>
      <c r="I137" s="480">
        <f>G135+G136+G137</f>
        <v>17.56000000000131</v>
      </c>
      <c r="J137" s="552">
        <f>H137/DAY(B2)</f>
        <v>-0.18892857142860262</v>
      </c>
    </row>
    <row r="138" spans="1:17" ht="27.75">
      <c r="A138" s="1139" t="s">
        <v>245</v>
      </c>
      <c r="B138" s="1140"/>
      <c r="C138" s="1140"/>
      <c r="D138" s="523" t="s">
        <v>238</v>
      </c>
      <c r="E138" s="766">
        <f>'27'!F138</f>
        <v>25091.39</v>
      </c>
      <c r="F138" s="744">
        <v>25091.39</v>
      </c>
      <c r="G138" s="473">
        <f t="shared" si="17"/>
        <v>0</v>
      </c>
      <c r="H138" s="460">
        <f>G138+'27'!H138</f>
        <v>17.5</v>
      </c>
      <c r="I138" s="480"/>
      <c r="J138" s="552">
        <f>H138/DAY(B2)</f>
        <v>0.625</v>
      </c>
    </row>
    <row r="139" spans="1:17" ht="27.75">
      <c r="A139" s="1139" t="s">
        <v>246</v>
      </c>
      <c r="B139" s="1140"/>
      <c r="C139" s="1140"/>
      <c r="D139" s="523" t="s">
        <v>238</v>
      </c>
      <c r="E139" s="766">
        <f>'27'!F139</f>
        <v>70509</v>
      </c>
      <c r="F139" s="744">
        <v>70509.100000000006</v>
      </c>
      <c r="G139" s="473">
        <f t="shared" si="17"/>
        <v>0.10000000000582077</v>
      </c>
      <c r="H139" s="460">
        <f>G139+'27'!H139</f>
        <v>27.370000000009895</v>
      </c>
      <c r="I139" s="480">
        <f>G138+G139</f>
        <v>0.10000000000582077</v>
      </c>
      <c r="J139" s="552">
        <f>H139/DAY(B2)</f>
        <v>0.97750000000035342</v>
      </c>
    </row>
    <row r="140" spans="1:17" ht="27.75">
      <c r="A140" s="1139" t="s">
        <v>247</v>
      </c>
      <c r="B140" s="1140"/>
      <c r="C140" s="1140"/>
      <c r="D140" s="523" t="s">
        <v>238</v>
      </c>
      <c r="E140" s="767">
        <f>'27'!F140</f>
        <v>2099</v>
      </c>
      <c r="F140" s="753">
        <v>2109.6999999999998</v>
      </c>
      <c r="G140" s="473">
        <f t="shared" si="17"/>
        <v>10.699999999999818</v>
      </c>
      <c r="H140" s="460">
        <f>G140+'27'!H140</f>
        <v>-19.480000000000018</v>
      </c>
      <c r="I140" s="542"/>
      <c r="J140" s="552">
        <f>H140/DAY(B2)</f>
        <v>-0.6957142857142864</v>
      </c>
    </row>
    <row r="141" spans="1:17" ht="27.75">
      <c r="A141" s="1139" t="s">
        <v>248</v>
      </c>
      <c r="B141" s="1140"/>
      <c r="C141" s="1140"/>
      <c r="D141" s="523" t="s">
        <v>238</v>
      </c>
      <c r="E141" s="766">
        <f>'27'!F141</f>
        <v>4636.88</v>
      </c>
      <c r="F141" s="737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62" t="s">
        <v>249</v>
      </c>
      <c r="B142" s="1563"/>
      <c r="C142" s="1145"/>
      <c r="D142" s="472"/>
      <c r="E142" s="738"/>
      <c r="F142" s="738"/>
      <c r="G142" s="483"/>
      <c r="H142" s="483"/>
      <c r="I142" s="483"/>
      <c r="J142" s="563"/>
      <c r="K142" s="380"/>
      <c r="L142" s="377"/>
    </row>
    <row r="143" spans="1:17" ht="27.75">
      <c r="A143" s="1559" t="s">
        <v>250</v>
      </c>
      <c r="B143" s="1560"/>
      <c r="C143" s="1561"/>
      <c r="D143" s="523" t="s">
        <v>131</v>
      </c>
      <c r="E143" s="460"/>
      <c r="F143" s="460"/>
      <c r="G143" s="460">
        <f>G35+G43+G49+G57</f>
        <v>5501.33</v>
      </c>
      <c r="H143" s="460">
        <f>G143+'27'!H143</f>
        <v>-12371.599999999935</v>
      </c>
      <c r="I143" s="480"/>
      <c r="J143" s="552">
        <f>H143/DAY(B2)</f>
        <v>-441.84285714285483</v>
      </c>
      <c r="K143" s="380"/>
      <c r="L143" s="377"/>
    </row>
    <row r="144" spans="1:17" ht="27.75">
      <c r="A144" s="1559" t="s">
        <v>251</v>
      </c>
      <c r="B144" s="1560"/>
      <c r="C144" s="1561"/>
      <c r="D144" s="523" t="s">
        <v>24</v>
      </c>
      <c r="E144" s="470"/>
      <c r="F144" s="470"/>
      <c r="G144" s="543">
        <f>G143/G7</f>
        <v>0.25587581395348835</v>
      </c>
      <c r="H144" s="460">
        <f>G144+'27'!H144</f>
        <v>-0.57110773768521428</v>
      </c>
      <c r="I144" s="544"/>
      <c r="J144" s="552">
        <f>H144/DAY(B2)</f>
        <v>-2.0396704917329082E-2</v>
      </c>
      <c r="K144" s="380"/>
      <c r="L144" s="377"/>
    </row>
    <row r="145" spans="1:12" ht="27.75">
      <c r="A145" s="1559" t="s">
        <v>252</v>
      </c>
      <c r="B145" s="1560"/>
      <c r="C145" s="1561"/>
      <c r="D145" s="523" t="s">
        <v>131</v>
      </c>
      <c r="E145" s="460"/>
      <c r="F145" s="460"/>
      <c r="G145" s="460">
        <f>G41+G42+G55+G56</f>
        <v>5515</v>
      </c>
      <c r="H145" s="460">
        <f>G145+'27'!H145</f>
        <v>-11710.889999999985</v>
      </c>
      <c r="I145" s="480"/>
      <c r="J145" s="552">
        <f>H145/DAY(B2)</f>
        <v>-418.24607142857087</v>
      </c>
      <c r="K145" s="380"/>
      <c r="L145" s="377"/>
    </row>
    <row r="146" spans="1:12" ht="27.75">
      <c r="A146" s="1559" t="s">
        <v>253</v>
      </c>
      <c r="B146" s="1560"/>
      <c r="C146" s="1561"/>
      <c r="D146" s="523" t="s">
        <v>24</v>
      </c>
      <c r="E146" s="460"/>
      <c r="F146" s="460"/>
      <c r="G146" s="543">
        <f>G145/G7</f>
        <v>0.25651162790697674</v>
      </c>
      <c r="H146" s="460">
        <f>G146+'27'!H146</f>
        <v>-0.54540017935293617</v>
      </c>
      <c r="I146" s="544"/>
      <c r="J146" s="552">
        <f>H146/DAY(B2)</f>
        <v>-1.9478577834033433E-2</v>
      </c>
      <c r="K146" s="380"/>
      <c r="L146" s="377"/>
    </row>
    <row r="147" spans="1:12" ht="27.75">
      <c r="A147" s="1559" t="s">
        <v>254</v>
      </c>
      <c r="B147" s="1560"/>
      <c r="C147" s="1561"/>
      <c r="D147" s="523" t="s">
        <v>131</v>
      </c>
      <c r="E147" s="460"/>
      <c r="F147" s="460"/>
      <c r="G147" s="460">
        <f>G39+G53</f>
        <v>3688</v>
      </c>
      <c r="H147" s="460">
        <f>G147+'27'!H147</f>
        <v>-7301</v>
      </c>
      <c r="I147" s="545"/>
      <c r="J147" s="552">
        <f>H147/DAY(B2)</f>
        <v>-260.75</v>
      </c>
      <c r="K147" s="380"/>
      <c r="L147" s="377"/>
    </row>
    <row r="148" spans="1:12" ht="27.75">
      <c r="A148" s="1559" t="s">
        <v>255</v>
      </c>
      <c r="B148" s="1560"/>
      <c r="C148" s="1561"/>
      <c r="D148" s="523" t="s">
        <v>24</v>
      </c>
      <c r="E148" s="460"/>
      <c r="F148" s="460"/>
      <c r="G148" s="543">
        <f>G147/G7</f>
        <v>0.17153488372093023</v>
      </c>
      <c r="H148" s="460">
        <f>G148+'27'!H148</f>
        <v>-0.3363964104140979</v>
      </c>
      <c r="I148" s="545"/>
      <c r="J148" s="552">
        <f>H148/DAY(B2)</f>
        <v>-1.2014157514789211E-2</v>
      </c>
    </row>
    <row r="149" spans="1:12" ht="27.75">
      <c r="A149" s="1559" t="s">
        <v>256</v>
      </c>
      <c r="B149" s="1560"/>
      <c r="C149" s="1561"/>
      <c r="D149" s="523" t="s">
        <v>182</v>
      </c>
      <c r="E149" s="460"/>
      <c r="F149" s="460"/>
      <c r="G149" s="460">
        <f>G38+G52</f>
        <v>1688.0699999999488</v>
      </c>
      <c r="H149" s="460">
        <f>G149+'27'!H149</f>
        <v>-2935.9300000000512</v>
      </c>
      <c r="I149" s="480"/>
      <c r="J149" s="552">
        <f>H149/DAY(B2)</f>
        <v>-104.85464285714468</v>
      </c>
      <c r="K149" s="381"/>
    </row>
    <row r="150" spans="1:12" ht="27.75">
      <c r="A150" s="1559" t="s">
        <v>257</v>
      </c>
      <c r="B150" s="1560"/>
      <c r="C150" s="1561"/>
      <c r="D150" s="523" t="s">
        <v>24</v>
      </c>
      <c r="E150" s="460"/>
      <c r="F150" s="460"/>
      <c r="G150" s="543">
        <f>G149/G7</f>
        <v>7.8514883720927853E-2</v>
      </c>
      <c r="H150" s="460">
        <f>G150+'27'!H150</f>
        <v>-0.13634459990526479</v>
      </c>
      <c r="I150" s="545"/>
      <c r="J150" s="552">
        <f>H150/DAY(B2)</f>
        <v>-4.8694499966165997E-3</v>
      </c>
    </row>
    <row r="151" spans="1:12" ht="27.75">
      <c r="A151" s="1559" t="s">
        <v>258</v>
      </c>
      <c r="B151" s="1560"/>
      <c r="C151" s="1561"/>
      <c r="D151" s="523" t="s">
        <v>182</v>
      </c>
      <c r="E151" s="460"/>
      <c r="F151" s="460"/>
      <c r="G151" s="460">
        <f>G36+G50</f>
        <v>1603</v>
      </c>
      <c r="H151" s="460">
        <f>G151+'27'!H151</f>
        <v>-3162.9999999999982</v>
      </c>
      <c r="I151" s="545"/>
      <c r="J151" s="552">
        <f>H151/DAY(B2)</f>
        <v>-112.96428571428565</v>
      </c>
    </row>
    <row r="152" spans="1:12" ht="27.75">
      <c r="A152" s="1559" t="s">
        <v>259</v>
      </c>
      <c r="B152" s="1560"/>
      <c r="C152" s="1561"/>
      <c r="D152" s="523" t="s">
        <v>24</v>
      </c>
      <c r="E152" s="460"/>
      <c r="F152" s="460"/>
      <c r="G152" s="543">
        <f>G151/G7</f>
        <v>7.4558139534883716E-2</v>
      </c>
      <c r="H152" s="460">
        <f>G152+'27'!H152</f>
        <v>-0.14765486408598458</v>
      </c>
      <c r="I152" s="480"/>
      <c r="J152" s="552">
        <f>H152/DAY(B2)</f>
        <v>-5.2733880030708781E-3</v>
      </c>
    </row>
    <row r="153" spans="1:12" ht="27.75">
      <c r="A153" s="1559" t="s">
        <v>260</v>
      </c>
      <c r="B153" s="1560"/>
      <c r="C153" s="1561"/>
      <c r="D153" s="523" t="s">
        <v>182</v>
      </c>
      <c r="E153" s="460"/>
      <c r="F153" s="460"/>
      <c r="G153" s="460">
        <f>G37+G51</f>
        <v>1454</v>
      </c>
      <c r="H153" s="460">
        <f>G153+'27'!H153</f>
        <v>-2829</v>
      </c>
      <c r="I153" s="480"/>
      <c r="J153" s="552">
        <f>H153/DAY(B2)</f>
        <v>-101.03571428571429</v>
      </c>
    </row>
    <row r="154" spans="1:12" ht="28.5" thickBot="1">
      <c r="A154" s="1597" t="s">
        <v>261</v>
      </c>
      <c r="B154" s="1598"/>
      <c r="C154" s="1599"/>
      <c r="D154" s="625" t="s">
        <v>24</v>
      </c>
      <c r="E154" s="567"/>
      <c r="F154" s="567"/>
      <c r="G154" s="566">
        <f>G153/G7</f>
        <v>6.7627906976744187E-2</v>
      </c>
      <c r="H154" s="460">
        <f>G154+'27'!H154</f>
        <v>-0.13018216565258356</v>
      </c>
      <c r="I154" s="568"/>
      <c r="J154" s="569">
        <f>H154/DAY(B2)</f>
        <v>-4.6493630590208413E-3</v>
      </c>
    </row>
    <row r="155" spans="1:12">
      <c r="A155" s="466"/>
      <c r="B155" s="456"/>
      <c r="C155" s="456"/>
      <c r="D155" s="546"/>
      <c r="E155" s="548"/>
      <c r="F155" s="754"/>
      <c r="G155" s="546"/>
      <c r="H155" s="547"/>
      <c r="I155" s="546"/>
      <c r="J155" s="548"/>
    </row>
    <row r="161" spans="1:7">
      <c r="A161" s="784" t="s">
        <v>262</v>
      </c>
      <c r="B161" s="785"/>
      <c r="C161" s="785"/>
      <c r="D161" s="511" t="s">
        <v>186</v>
      </c>
      <c r="E161" s="766">
        <f>'27'!F161</f>
        <v>40600</v>
      </c>
      <c r="F161" s="658">
        <v>40682</v>
      </c>
      <c r="G161" s="473">
        <f t="shared" ref="G161:G164" si="18">F161-E161</f>
        <v>82</v>
      </c>
    </row>
    <row r="162" spans="1:7">
      <c r="A162" s="784" t="s">
        <v>263</v>
      </c>
      <c r="B162" s="785"/>
      <c r="C162" s="785"/>
      <c r="D162" s="511" t="s">
        <v>186</v>
      </c>
      <c r="E162" s="766">
        <f>'27'!F162</f>
        <v>106382</v>
      </c>
      <c r="F162" s="658">
        <v>106862</v>
      </c>
      <c r="G162" s="473">
        <f t="shared" si="18"/>
        <v>480</v>
      </c>
    </row>
    <row r="163" spans="1:7">
      <c r="A163" s="784" t="s">
        <v>264</v>
      </c>
      <c r="B163" s="785"/>
      <c r="C163" s="785"/>
      <c r="D163" s="511" t="s">
        <v>186</v>
      </c>
      <c r="E163" s="766">
        <f>'27'!F163</f>
        <v>60608</v>
      </c>
      <c r="F163" s="658">
        <v>60818</v>
      </c>
      <c r="G163" s="473">
        <f t="shared" si="18"/>
        <v>210</v>
      </c>
    </row>
    <row r="164" spans="1:7">
      <c r="A164" s="784" t="s">
        <v>265</v>
      </c>
      <c r="B164" s="785"/>
      <c r="C164" s="785"/>
      <c r="D164" s="511" t="s">
        <v>186</v>
      </c>
      <c r="E164" s="766">
        <f>'27'!F164</f>
        <v>6820</v>
      </c>
      <c r="F164" s="658">
        <v>6834</v>
      </c>
      <c r="G164" s="473">
        <f t="shared" si="18"/>
        <v>14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473">
        <f t="shared" si="19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514">
        <f t="shared" si="20"/>
        <v>168917</v>
      </c>
      <c r="F167" s="514">
        <f t="shared" si="21"/>
        <v>169304</v>
      </c>
      <c r="G167" s="473">
        <f t="shared" si="19"/>
        <v>387</v>
      </c>
    </row>
    <row r="168" spans="1:7" ht="27.75">
      <c r="A168" s="1546" t="s">
        <v>99</v>
      </c>
      <c r="B168" s="1546"/>
      <c r="C168" s="1546"/>
      <c r="D168" s="523" t="s">
        <v>186</v>
      </c>
      <c r="E168" s="514">
        <f t="shared" si="20"/>
        <v>169043</v>
      </c>
      <c r="F168" s="514">
        <f t="shared" si="21"/>
        <v>169452</v>
      </c>
      <c r="G168" s="473">
        <f t="shared" si="19"/>
        <v>409</v>
      </c>
    </row>
    <row r="169" spans="1:7" ht="27.75">
      <c r="A169" s="1546" t="s">
        <v>100</v>
      </c>
      <c r="B169" s="1546"/>
      <c r="C169" s="1546"/>
      <c r="D169" s="523" t="s">
        <v>186</v>
      </c>
      <c r="E169" s="514">
        <f t="shared" si="20"/>
        <v>66654</v>
      </c>
      <c r="F169" s="514">
        <f t="shared" si="21"/>
        <v>67095</v>
      </c>
      <c r="G169" s="473">
        <f t="shared" si="19"/>
        <v>441</v>
      </c>
    </row>
    <row r="170" spans="1:7" ht="27.75">
      <c r="A170" s="1546" t="s">
        <v>101</v>
      </c>
      <c r="B170" s="1546"/>
      <c r="C170" s="1546"/>
      <c r="D170" s="523" t="s">
        <v>186</v>
      </c>
      <c r="E170" s="514">
        <f t="shared" si="20"/>
        <v>263648</v>
      </c>
      <c r="F170" s="514">
        <f t="shared" si="21"/>
        <v>264088</v>
      </c>
      <c r="G170" s="473">
        <f t="shared" si="19"/>
        <v>440</v>
      </c>
    </row>
    <row r="171" spans="1:7" ht="27.75">
      <c r="A171" s="1546" t="s">
        <v>102</v>
      </c>
      <c r="B171" s="1546"/>
      <c r="C171" s="1546"/>
      <c r="D171" s="523" t="s">
        <v>186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514">
        <f t="shared" si="20"/>
        <v>86824</v>
      </c>
      <c r="F172" s="514">
        <f t="shared" si="21"/>
        <v>87057</v>
      </c>
      <c r="G172" s="473">
        <f t="shared" si="19"/>
        <v>233</v>
      </c>
    </row>
    <row r="173" spans="1:7">
      <c r="G173" s="539">
        <f>SUM(G161:G172)</f>
        <v>2696</v>
      </c>
    </row>
    <row r="174" spans="1:7" ht="27.75">
      <c r="A174" s="1587" t="s">
        <v>352</v>
      </c>
      <c r="B174" s="1550"/>
      <c r="C174" s="784"/>
      <c r="D174" s="1495" t="s">
        <v>186</v>
      </c>
      <c r="E174" s="1496">
        <v>18988</v>
      </c>
      <c r="F174" s="1496">
        <v>18993</v>
      </c>
      <c r="G174" s="1497">
        <f t="shared" ref="G174:G176" si="22">F174-E174</f>
        <v>5</v>
      </c>
    </row>
    <row r="175" spans="1:7" ht="27.75">
      <c r="A175" s="1587" t="s">
        <v>353</v>
      </c>
      <c r="B175" s="1550"/>
      <c r="C175" s="454"/>
      <c r="D175" s="1495" t="s">
        <v>186</v>
      </c>
      <c r="E175" s="1500">
        <v>27616</v>
      </c>
      <c r="F175" s="1500">
        <v>27621</v>
      </c>
      <c r="G175" s="1497">
        <f t="shared" si="22"/>
        <v>5</v>
      </c>
    </row>
    <row r="176" spans="1:7" ht="27.75">
      <c r="A176" s="1587" t="s">
        <v>352</v>
      </c>
      <c r="B176" s="1550"/>
      <c r="C176" s="454"/>
      <c r="D176" s="1495" t="s">
        <v>186</v>
      </c>
      <c r="E176" s="1496">
        <v>70305</v>
      </c>
      <c r="F176" s="1496">
        <v>70323</v>
      </c>
      <c r="G176" s="1497">
        <f t="shared" si="22"/>
        <v>18</v>
      </c>
    </row>
  </sheetData>
  <mergeCells count="77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6:B176"/>
    <mergeCell ref="A172:C172"/>
    <mergeCell ref="A167:C167"/>
    <mergeCell ref="A168:C168"/>
    <mergeCell ref="A169:C169"/>
    <mergeCell ref="A170:C170"/>
    <mergeCell ref="A171:C171"/>
    <mergeCell ref="A174:B174"/>
    <mergeCell ref="A175:B17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6"/>
  <sheetViews>
    <sheetView view="pageBreakPreview" topLeftCell="A145" zoomScale="55" zoomScaleNormal="78" zoomScaleSheetLayoutView="55" workbookViewId="0">
      <selection activeCell="F15" sqref="F15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5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69"/>
    <col min="16" max="16384" width="22.33203125" style="376"/>
  </cols>
  <sheetData>
    <row r="1" spans="1:5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54" s="281" customFormat="1" ht="27">
      <c r="A2" s="575" t="s">
        <v>287</v>
      </c>
      <c r="B2" s="1031">
        <v>44345</v>
      </c>
      <c r="C2" s="1141" t="s">
        <v>68</v>
      </c>
      <c r="D2" s="611">
        <v>0.31</v>
      </c>
      <c r="E2" s="736"/>
      <c r="F2" s="736"/>
      <c r="G2" s="461" t="s">
        <v>117</v>
      </c>
      <c r="H2" s="461" t="s">
        <v>6</v>
      </c>
      <c r="I2" s="461" t="s">
        <v>8</v>
      </c>
      <c r="J2" s="613" t="s">
        <v>118</v>
      </c>
      <c r="N2" s="769"/>
      <c r="O2" s="769"/>
    </row>
    <row r="3" spans="1:54" s="281" customFormat="1" ht="27">
      <c r="A3" s="570"/>
      <c r="B3" s="614"/>
      <c r="C3" s="1141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69"/>
      <c r="O3" s="769"/>
    </row>
    <row r="4" spans="1:54" s="281" customFormat="1" ht="27">
      <c r="A4" s="576"/>
      <c r="B4" s="616"/>
      <c r="C4" s="1141" t="s">
        <v>121</v>
      </c>
      <c r="D4" s="611">
        <v>0.8</v>
      </c>
      <c r="E4" s="463"/>
      <c r="F4" s="463"/>
      <c r="G4" s="464"/>
      <c r="H4" s="464"/>
      <c r="I4" s="465"/>
      <c r="J4" s="615"/>
      <c r="K4" s="372"/>
      <c r="L4" s="292"/>
      <c r="N4" s="771"/>
      <c r="O4" s="769"/>
    </row>
    <row r="5" spans="1:54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771"/>
    </row>
    <row r="6" spans="1:54">
      <c r="A6" s="1567" t="s">
        <v>129</v>
      </c>
      <c r="B6" s="1568"/>
      <c r="C6" s="1569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6" t="s">
        <v>130</v>
      </c>
      <c r="B7" s="677"/>
      <c r="C7" s="677"/>
      <c r="D7" s="637" t="s">
        <v>131</v>
      </c>
      <c r="E7" s="679">
        <f>'28'!F7</f>
        <v>523795.56</v>
      </c>
      <c r="F7" s="455">
        <f>E7+21500</f>
        <v>545295.56000000006</v>
      </c>
      <c r="G7" s="678">
        <f>F7-E7</f>
        <v>21500.000000000058</v>
      </c>
      <c r="H7" s="679">
        <f>G7+'28'!H7</f>
        <v>623342.56000000006</v>
      </c>
      <c r="I7" s="680">
        <f>'1'!I7</f>
        <v>12000</v>
      </c>
      <c r="J7" s="681">
        <f>H7/DAY(B2)</f>
        <v>21494.57103448276</v>
      </c>
      <c r="K7" s="549">
        <v>1703438</v>
      </c>
      <c r="L7" s="377">
        <v>1715917</v>
      </c>
      <c r="O7" s="772"/>
    </row>
    <row r="8" spans="1:54" ht="27.75" thickBot="1">
      <c r="A8" s="682" t="s">
        <v>132</v>
      </c>
      <c r="B8" s="683"/>
      <c r="C8" s="684"/>
      <c r="D8" s="685" t="s">
        <v>25</v>
      </c>
      <c r="E8" s="679">
        <f>'28'!F8</f>
        <v>529453.79</v>
      </c>
      <c r="F8" s="475">
        <f>E8+21500</f>
        <v>550953.79</v>
      </c>
      <c r="G8" s="689">
        <f>F8-E8</f>
        <v>21500</v>
      </c>
      <c r="H8" s="679">
        <f>G8+'28'!H8</f>
        <v>624231.79</v>
      </c>
      <c r="I8" s="686"/>
      <c r="J8" s="681">
        <f>H8/DAY(B2)</f>
        <v>21525.234137931035</v>
      </c>
      <c r="K8" s="549">
        <v>1375467</v>
      </c>
      <c r="L8" s="425"/>
      <c r="M8" s="440"/>
      <c r="O8" s="772"/>
    </row>
    <row r="9" spans="1:54">
      <c r="A9" s="687" t="s">
        <v>133</v>
      </c>
      <c r="B9" s="688"/>
      <c r="C9" s="688"/>
      <c r="D9" s="637" t="s">
        <v>131</v>
      </c>
      <c r="E9" s="679">
        <f>'28'!F9</f>
        <v>1994519</v>
      </c>
      <c r="F9" s="737">
        <v>2014052</v>
      </c>
      <c r="G9" s="702">
        <f t="shared" ref="G9:G12" si="0">F9-E9</f>
        <v>19533</v>
      </c>
      <c r="H9" s="679">
        <f>G9+'28'!H9</f>
        <v>-16950</v>
      </c>
      <c r="I9" s="690">
        <f>I7-J7</f>
        <v>-9494.5710344827603</v>
      </c>
      <c r="J9" s="681">
        <f>H9/DAY(B2)</f>
        <v>-584.48275862068965</v>
      </c>
      <c r="K9" s="428"/>
      <c r="L9" s="377"/>
      <c r="O9" s="772"/>
    </row>
    <row r="10" spans="1:54">
      <c r="A10" s="676" t="s">
        <v>134</v>
      </c>
      <c r="B10" s="677"/>
      <c r="C10" s="677"/>
      <c r="D10" s="637" t="s">
        <v>131</v>
      </c>
      <c r="E10" s="679">
        <f>'28'!F10</f>
        <v>0</v>
      </c>
      <c r="F10" s="737">
        <v>0</v>
      </c>
      <c r="G10" s="689">
        <f t="shared" si="0"/>
        <v>0</v>
      </c>
      <c r="H10" s="679">
        <f>G10+'28'!H10</f>
        <v>0.29999999999972715</v>
      </c>
      <c r="I10" s="691"/>
      <c r="J10" s="681">
        <f>H10/DAY(B2)</f>
        <v>1.0344827586197487E-2</v>
      </c>
      <c r="K10" s="428"/>
      <c r="L10" s="377"/>
      <c r="BB10" s="376">
        <v>0</v>
      </c>
    </row>
    <row r="11" spans="1:54">
      <c r="A11" s="676" t="s">
        <v>135</v>
      </c>
      <c r="B11" s="677"/>
      <c r="C11" s="677"/>
      <c r="D11" s="637" t="s">
        <v>131</v>
      </c>
      <c r="E11" s="679">
        <f>'5'!E11</f>
        <v>37000</v>
      </c>
      <c r="F11" s="460">
        <v>37000</v>
      </c>
      <c r="G11" s="689">
        <f t="shared" si="0"/>
        <v>0</v>
      </c>
      <c r="H11" s="679">
        <f>G11+'28'!H11</f>
        <v>0</v>
      </c>
      <c r="I11" s="691"/>
      <c r="J11" s="681">
        <f>H11/DAY(B2)</f>
        <v>0</v>
      </c>
      <c r="K11" s="428"/>
      <c r="L11" s="377"/>
    </row>
    <row r="12" spans="1:54">
      <c r="A12" s="676" t="s">
        <v>136</v>
      </c>
      <c r="B12" s="677"/>
      <c r="C12" s="677"/>
      <c r="D12" s="1096" t="s">
        <v>131</v>
      </c>
      <c r="E12" s="1090">
        <f>'5'!E12</f>
        <v>40010</v>
      </c>
      <c r="F12" s="737">
        <v>40010</v>
      </c>
      <c r="G12" s="689">
        <f t="shared" si="0"/>
        <v>0</v>
      </c>
      <c r="H12" s="679">
        <f>G12+'28'!H12</f>
        <v>0</v>
      </c>
      <c r="I12" s="691"/>
      <c r="J12" s="681">
        <f>H12/DAY(B2)</f>
        <v>0</v>
      </c>
      <c r="K12" s="428"/>
      <c r="L12" s="377"/>
    </row>
    <row r="13" spans="1:54">
      <c r="A13" s="692" t="s">
        <v>137</v>
      </c>
      <c r="B13" s="693"/>
      <c r="C13" s="693"/>
      <c r="D13" s="1096"/>
      <c r="E13" s="1090"/>
      <c r="F13" s="460"/>
      <c r="G13" s="694">
        <f>G9+G10+G11+G12</f>
        <v>19533</v>
      </c>
      <c r="H13" s="1090">
        <f>G13+'28'!H13</f>
        <v>-33474.700000000012</v>
      </c>
      <c r="I13" s="1091">
        <f>G7-G13</f>
        <v>1967.0000000000582</v>
      </c>
      <c r="J13" s="1092">
        <f>H13/DAY(B2)</f>
        <v>-1154.3000000000004</v>
      </c>
      <c r="K13" s="428"/>
      <c r="L13" s="377"/>
    </row>
    <row r="14" spans="1:54">
      <c r="A14" s="1570" t="s">
        <v>138</v>
      </c>
      <c r="B14" s="1571"/>
      <c r="C14" s="1572"/>
      <c r="D14" s="1093"/>
      <c r="E14" s="1097"/>
      <c r="F14" s="738"/>
      <c r="G14" s="483"/>
      <c r="H14" s="1093"/>
      <c r="I14" s="1093"/>
      <c r="J14" s="1094"/>
      <c r="K14" s="429"/>
      <c r="L14" s="377"/>
    </row>
    <row r="15" spans="1:54">
      <c r="A15" s="665" t="s">
        <v>139</v>
      </c>
      <c r="B15" s="666"/>
      <c r="C15" s="666"/>
      <c r="D15" s="1098" t="s">
        <v>140</v>
      </c>
      <c r="E15" s="1099">
        <f>'28'!F15</f>
        <v>1723867.16</v>
      </c>
      <c r="F15" s="700">
        <f>E15+700</f>
        <v>1724567.16</v>
      </c>
      <c r="G15" s="664">
        <f>(F15-E15)</f>
        <v>700</v>
      </c>
      <c r="H15" s="1086">
        <f>G15+'28'!H15</f>
        <v>20884.159999999916</v>
      </c>
      <c r="I15" s="1087">
        <f>'1'!I15</f>
        <v>800</v>
      </c>
      <c r="J15" s="1088">
        <f>H15/DAY(B2)</f>
        <v>720.14344827585921</v>
      </c>
      <c r="K15" s="428"/>
      <c r="L15" s="377"/>
    </row>
    <row r="16" spans="1:54">
      <c r="A16" s="673"/>
      <c r="B16" s="674"/>
      <c r="C16" s="674"/>
      <c r="D16" s="1098"/>
      <c r="E16" s="1099"/>
      <c r="F16" s="739"/>
      <c r="G16" s="669"/>
      <c r="H16" s="1086"/>
      <c r="I16" s="1089">
        <f>I15-J15</f>
        <v>79.856551724140786</v>
      </c>
      <c r="J16" s="1088"/>
      <c r="K16" s="428"/>
      <c r="L16" s="377"/>
    </row>
    <row r="17" spans="1:15">
      <c r="A17" s="1570" t="s">
        <v>141</v>
      </c>
      <c r="B17" s="1571"/>
      <c r="C17" s="1572"/>
      <c r="D17" s="1093"/>
      <c r="E17" s="1097"/>
      <c r="F17" s="738"/>
      <c r="G17" s="488"/>
      <c r="H17" s="1093"/>
      <c r="I17" s="1093"/>
      <c r="J17" s="1094"/>
      <c r="K17" s="428"/>
      <c r="L17" s="377"/>
    </row>
    <row r="18" spans="1:15" ht="27.75">
      <c r="A18" s="1607" t="s">
        <v>142</v>
      </c>
      <c r="B18" s="1608"/>
      <c r="C18" s="1609"/>
      <c r="D18" s="637" t="s">
        <v>143</v>
      </c>
      <c r="E18" s="757">
        <f>'28'!F18</f>
        <v>13</v>
      </c>
      <c r="F18" s="737">
        <v>10</v>
      </c>
      <c r="G18" s="694">
        <f>F18*10</f>
        <v>100</v>
      </c>
      <c r="H18" s="1090">
        <f>G18+'28'!H18</f>
        <v>3020</v>
      </c>
      <c r="I18" s="1095">
        <f>'1'!I18</f>
        <v>65</v>
      </c>
      <c r="J18" s="1092">
        <f>H18/DAY(B2)</f>
        <v>104.13793103448276</v>
      </c>
      <c r="K18" s="428"/>
      <c r="L18" s="377"/>
    </row>
    <row r="19" spans="1:15" ht="27.75">
      <c r="A19" s="1607" t="s">
        <v>70</v>
      </c>
      <c r="B19" s="1608"/>
      <c r="C19" s="1609"/>
      <c r="D19" s="637" t="s">
        <v>143</v>
      </c>
      <c r="E19" s="757">
        <f>'28'!F19</f>
        <v>141368</v>
      </c>
      <c r="F19" s="737">
        <v>141431</v>
      </c>
      <c r="G19" s="689">
        <f t="shared" ref="G19" si="1">F19-E19</f>
        <v>63</v>
      </c>
      <c r="H19" s="679">
        <f>G19+'28'!H19</f>
        <v>-64</v>
      </c>
      <c r="I19" s="696"/>
      <c r="J19" s="681">
        <f>H19/DAY(B2)</f>
        <v>-2.2068965517241379</v>
      </c>
      <c r="K19" s="428"/>
      <c r="L19" s="377"/>
    </row>
    <row r="20" spans="1:15">
      <c r="A20" s="692" t="s">
        <v>144</v>
      </c>
      <c r="B20" s="693"/>
      <c r="C20" s="693"/>
      <c r="D20" s="637"/>
      <c r="E20" s="679"/>
      <c r="F20" s="460"/>
      <c r="G20" s="697">
        <f>G18+G19</f>
        <v>163</v>
      </c>
      <c r="H20" s="679">
        <f>G20+'28'!H20</f>
        <v>2956</v>
      </c>
      <c r="I20" s="698">
        <f>I18-J20</f>
        <v>-36.931034482758619</v>
      </c>
      <c r="J20" s="681">
        <f>H20/DAY(B2)</f>
        <v>101.93103448275862</v>
      </c>
      <c r="K20" s="428"/>
      <c r="L20" s="377"/>
    </row>
    <row r="21" spans="1:15">
      <c r="A21" s="1570" t="s">
        <v>145</v>
      </c>
      <c r="B21" s="1571"/>
      <c r="C21" s="1572"/>
      <c r="D21" s="472"/>
      <c r="E21" s="738"/>
      <c r="F21" s="738"/>
      <c r="G21" s="483"/>
      <c r="H21" s="472"/>
      <c r="I21" s="472"/>
      <c r="J21" s="551"/>
      <c r="K21" s="428"/>
      <c r="L21" s="377"/>
    </row>
    <row r="22" spans="1:15">
      <c r="A22" s="1139" t="s">
        <v>146</v>
      </c>
      <c r="B22" s="589"/>
      <c r="C22" s="589"/>
      <c r="D22" s="523" t="s">
        <v>147</v>
      </c>
      <c r="E22" s="758">
        <f>'28'!F22</f>
        <v>2970</v>
      </c>
      <c r="F22" s="737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39" t="s">
        <v>148</v>
      </c>
      <c r="B23" s="589"/>
      <c r="C23" s="589"/>
      <c r="D23" s="523" t="s">
        <v>147</v>
      </c>
      <c r="E23" s="758">
        <f>'28'!F23</f>
        <v>2000</v>
      </c>
      <c r="F23" s="737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149</v>
      </c>
      <c r="B24" s="591"/>
      <c r="C24" s="591"/>
      <c r="D24" s="511" t="s">
        <v>147</v>
      </c>
      <c r="E24" s="759">
        <f>'28'!F24</f>
        <v>4970</v>
      </c>
      <c r="F24" s="740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75" t="s">
        <v>150</v>
      </c>
      <c r="B25" s="1576"/>
      <c r="C25" s="1577"/>
      <c r="D25" s="471"/>
      <c r="E25" s="495"/>
      <c r="F25" s="495"/>
      <c r="G25" s="494"/>
      <c r="H25" s="495"/>
      <c r="I25" s="496"/>
      <c r="J25" s="554"/>
      <c r="K25" s="373"/>
      <c r="L25" s="443"/>
      <c r="N25" s="769"/>
      <c r="O25" s="769"/>
    </row>
    <row r="26" spans="1:15" s="442" customFormat="1" ht="27">
      <c r="A26" s="592" t="s">
        <v>151</v>
      </c>
      <c r="B26" s="593"/>
      <c r="C26" s="594"/>
      <c r="D26" s="618" t="s">
        <v>152</v>
      </c>
      <c r="E26" s="760"/>
      <c r="F26" s="460"/>
      <c r="G26" s="498"/>
      <c r="H26" s="460"/>
      <c r="I26" s="499"/>
      <c r="J26" s="552"/>
      <c r="K26" s="374"/>
      <c r="L26" s="443"/>
      <c r="N26" s="769"/>
      <c r="O26" s="769"/>
    </row>
    <row r="27" spans="1:15" s="442" customFormat="1" ht="27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G27+'28'!H27</f>
        <v>5618086.1100000003</v>
      </c>
      <c r="I27" s="503"/>
      <c r="J27" s="552">
        <f>H27/DAY(B2)</f>
        <v>193727.10724137933</v>
      </c>
      <c r="K27" s="373"/>
      <c r="L27" s="443"/>
      <c r="N27" s="769"/>
      <c r="O27" s="769"/>
    </row>
    <row r="28" spans="1:15" s="442" customFormat="1" ht="27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G28+'28'!H28</f>
        <v>1085976.3199999956</v>
      </c>
      <c r="I28" s="505"/>
      <c r="J28" s="552">
        <f>H28/DAY(B2)</f>
        <v>37447.459310344675</v>
      </c>
      <c r="K28" s="373"/>
      <c r="L28" s="443"/>
      <c r="N28" s="769"/>
      <c r="O28" s="769"/>
    </row>
    <row r="29" spans="1:15" s="442" customFormat="1" ht="27">
      <c r="A29" s="592" t="s">
        <v>155</v>
      </c>
      <c r="B29" s="593"/>
      <c r="C29" s="594"/>
      <c r="D29" s="619" t="s">
        <v>156</v>
      </c>
      <c r="E29" s="699">
        <f>G24</f>
        <v>0</v>
      </c>
      <c r="F29" s="699">
        <v>69</v>
      </c>
      <c r="G29" s="502">
        <f>E29*F29</f>
        <v>0</v>
      </c>
      <c r="H29" s="460">
        <f>G29+'28'!H29</f>
        <v>0</v>
      </c>
      <c r="I29" s="505"/>
      <c r="J29" s="552">
        <f>H29/DAY(B2)</f>
        <v>0</v>
      </c>
      <c r="K29" s="373"/>
      <c r="L29" s="443"/>
      <c r="N29" s="769"/>
      <c r="O29" s="769"/>
    </row>
    <row r="30" spans="1:15" s="442" customFormat="1" ht="27">
      <c r="A30" s="592" t="s">
        <v>157</v>
      </c>
      <c r="B30" s="593"/>
      <c r="C30" s="594"/>
      <c r="D30" s="619" t="s">
        <v>158</v>
      </c>
      <c r="E30" s="699">
        <f>G19</f>
        <v>63</v>
      </c>
      <c r="F30" s="699">
        <v>146</v>
      </c>
      <c r="G30" s="502">
        <f>E30*F30</f>
        <v>9198</v>
      </c>
      <c r="H30" s="460">
        <f>G30+'28'!H30</f>
        <v>-9928</v>
      </c>
      <c r="I30" s="505"/>
      <c r="J30" s="552">
        <f>H30/DAY(B2)</f>
        <v>-342.34482758620692</v>
      </c>
      <c r="K30" s="373"/>
      <c r="L30" s="443"/>
      <c r="N30" s="769"/>
      <c r="O30" s="769"/>
    </row>
    <row r="31" spans="1:15" s="442" customFormat="1" ht="27">
      <c r="A31" s="592" t="s">
        <v>159</v>
      </c>
      <c r="B31" s="593"/>
      <c r="C31" s="594"/>
      <c r="D31" s="619" t="s">
        <v>143</v>
      </c>
      <c r="E31" s="699">
        <f>G18</f>
        <v>100</v>
      </c>
      <c r="F31" s="699">
        <v>80</v>
      </c>
      <c r="G31" s="502">
        <f>E31*F31</f>
        <v>8000</v>
      </c>
      <c r="H31" s="460">
        <f>G31+'28'!H31</f>
        <v>236000</v>
      </c>
      <c r="I31" s="505"/>
      <c r="J31" s="552"/>
      <c r="K31" s="373"/>
      <c r="L31" s="443"/>
      <c r="N31" s="769"/>
      <c r="O31" s="769"/>
    </row>
    <row r="32" spans="1:15" s="442" customFormat="1" ht="27">
      <c r="A32" s="595" t="s">
        <v>160</v>
      </c>
      <c r="B32" s="596"/>
      <c r="C32" s="597"/>
      <c r="D32" s="507"/>
      <c r="E32" s="761"/>
      <c r="F32" s="486"/>
      <c r="G32" s="508">
        <f>G27+G28+G29+G30+G31</f>
        <v>247098</v>
      </c>
      <c r="H32" s="460">
        <f>G32+'28'!H32</f>
        <v>6930134.429999996</v>
      </c>
      <c r="I32" s="509"/>
      <c r="J32" s="552">
        <f>H32/DAY(B2)</f>
        <v>238970.15275862056</v>
      </c>
      <c r="K32" s="373"/>
      <c r="L32" s="443"/>
      <c r="N32" s="769"/>
      <c r="O32" s="769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</row>
    <row r="34" spans="1:15">
      <c r="A34" s="598" t="s">
        <v>162</v>
      </c>
      <c r="B34" s="1144"/>
      <c r="C34" s="1144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163</v>
      </c>
      <c r="B35" s="579"/>
      <c r="C35" s="579"/>
      <c r="D35" s="523" t="s">
        <v>131</v>
      </c>
      <c r="E35" s="741">
        <f>'28'!F35</f>
        <v>1023144</v>
      </c>
      <c r="F35" s="741">
        <v>1026011</v>
      </c>
      <c r="G35" s="473">
        <f t="shared" ref="G35:G46" si="3">F35-E35</f>
        <v>2867</v>
      </c>
      <c r="H35" s="460">
        <f>G35+'28'!H35</f>
        <v>-2703</v>
      </c>
      <c r="I35" s="455"/>
      <c r="J35" s="552">
        <f>H35/DAY(B2)</f>
        <v>-93.206896551724142</v>
      </c>
      <c r="K35" s="428"/>
      <c r="L35" s="377"/>
    </row>
    <row r="36" spans="1:15">
      <c r="A36" s="578" t="s">
        <v>164</v>
      </c>
      <c r="B36" s="579"/>
      <c r="C36" s="579"/>
      <c r="D36" s="523" t="s">
        <v>131</v>
      </c>
      <c r="E36" s="741">
        <f>'28'!F36</f>
        <v>19200</v>
      </c>
      <c r="F36" s="741">
        <v>19808</v>
      </c>
      <c r="G36" s="473">
        <f t="shared" si="3"/>
        <v>608</v>
      </c>
      <c r="H36" s="460">
        <f>G36+'28'!H36</f>
        <v>-653</v>
      </c>
      <c r="I36" s="455"/>
      <c r="J36" s="552">
        <f>H36/DAY(B2)</f>
        <v>-22.517241379310345</v>
      </c>
      <c r="K36" s="428"/>
      <c r="L36" s="377"/>
    </row>
    <row r="37" spans="1:15" s="441" customFormat="1">
      <c r="A37" s="1102" t="s">
        <v>165</v>
      </c>
      <c r="B37" s="1106"/>
      <c r="C37" s="1106"/>
      <c r="D37" s="627" t="s">
        <v>131</v>
      </c>
      <c r="E37" s="742">
        <f>'28'!F37</f>
        <v>173741</v>
      </c>
      <c r="F37" s="742">
        <v>175158</v>
      </c>
      <c r="G37" s="652">
        <f t="shared" si="3"/>
        <v>1417</v>
      </c>
      <c r="H37" s="705">
        <f>G37+'28'!H37</f>
        <v>-1412</v>
      </c>
      <c r="I37" s="706"/>
      <c r="J37" s="707">
        <f>H37/DAY(B2)</f>
        <v>-48.689655172413794</v>
      </c>
      <c r="K37" s="1104"/>
      <c r="L37" s="1105"/>
      <c r="N37" s="770"/>
      <c r="O37" s="770"/>
    </row>
    <row r="38" spans="1:15" s="441" customFormat="1">
      <c r="A38" s="1102" t="s">
        <v>166</v>
      </c>
      <c r="B38" s="1106"/>
      <c r="C38" s="1106"/>
      <c r="D38" s="627" t="s">
        <v>131</v>
      </c>
      <c r="E38" s="742">
        <f>'28'!F38</f>
        <v>195523</v>
      </c>
      <c r="F38" s="1107">
        <v>197105</v>
      </c>
      <c r="G38" s="652">
        <f t="shared" si="3"/>
        <v>1582</v>
      </c>
      <c r="H38" s="705">
        <f>G38+'28'!H38</f>
        <v>-1354</v>
      </c>
      <c r="I38" s="706"/>
      <c r="J38" s="707">
        <f>H38/DAY(B2)</f>
        <v>-46.689655172413794</v>
      </c>
      <c r="K38" s="1104"/>
      <c r="L38" s="1105"/>
      <c r="N38" s="770"/>
      <c r="O38" s="770"/>
    </row>
    <row r="39" spans="1:15" s="441" customFormat="1">
      <c r="A39" s="1102" t="s">
        <v>167</v>
      </c>
      <c r="B39" s="1106"/>
      <c r="C39" s="1106"/>
      <c r="D39" s="627" t="s">
        <v>131</v>
      </c>
      <c r="E39" s="742">
        <f>'28'!F39</f>
        <v>397563</v>
      </c>
      <c r="F39" s="742">
        <v>401127</v>
      </c>
      <c r="G39" s="652">
        <f t="shared" si="3"/>
        <v>3564</v>
      </c>
      <c r="H39" s="705">
        <f>G39+'28'!H39</f>
        <v>-3737</v>
      </c>
      <c r="I39" s="706"/>
      <c r="J39" s="707">
        <f>H39/DAY(B2)</f>
        <v>-128.86206896551724</v>
      </c>
      <c r="K39" s="1104"/>
      <c r="L39" s="1105"/>
      <c r="N39" s="770"/>
      <c r="O39" s="770"/>
    </row>
    <row r="40" spans="1:15" s="441" customFormat="1">
      <c r="A40" s="1108" t="s">
        <v>168</v>
      </c>
      <c r="B40" s="1109"/>
      <c r="C40" s="1109"/>
      <c r="D40" s="627" t="s">
        <v>131</v>
      </c>
      <c r="E40" s="742">
        <f>'28'!F40</f>
        <v>6379</v>
      </c>
      <c r="F40" s="742">
        <v>6837</v>
      </c>
      <c r="G40" s="652">
        <f t="shared" si="3"/>
        <v>458</v>
      </c>
      <c r="H40" s="705">
        <f>G40+'28'!H40</f>
        <v>-276</v>
      </c>
      <c r="I40" s="706"/>
      <c r="J40" s="707">
        <f>H40/DAY(B2)</f>
        <v>-9.5172413793103452</v>
      </c>
      <c r="K40" s="1110"/>
      <c r="L40" s="1105"/>
      <c r="N40" s="770"/>
      <c r="O40" s="770"/>
    </row>
    <row r="41" spans="1:15" s="441" customFormat="1">
      <c r="A41" s="1102" t="s">
        <v>169</v>
      </c>
      <c r="B41" s="1106"/>
      <c r="C41" s="1106"/>
      <c r="D41" s="627" t="s">
        <v>131</v>
      </c>
      <c r="E41" s="742">
        <f>'28'!F41</f>
        <v>322024</v>
      </c>
      <c r="F41" s="742">
        <v>324353</v>
      </c>
      <c r="G41" s="652">
        <f>F41-E41</f>
        <v>2329</v>
      </c>
      <c r="H41" s="705">
        <f>G41+'28'!H41</f>
        <v>-5289</v>
      </c>
      <c r="I41" s="706"/>
      <c r="J41" s="707">
        <f>H41/DAY(B2)</f>
        <v>-182.37931034482759</v>
      </c>
      <c r="K41" s="1104"/>
      <c r="L41" s="1105"/>
      <c r="N41" s="770"/>
      <c r="O41" s="770"/>
    </row>
    <row r="42" spans="1:15">
      <c r="A42" s="578" t="s">
        <v>170</v>
      </c>
      <c r="B42" s="579"/>
      <c r="C42" s="579"/>
      <c r="D42" s="523" t="s">
        <v>131</v>
      </c>
      <c r="E42" s="741">
        <f>'28'!F42</f>
        <v>59210</v>
      </c>
      <c r="F42" s="741">
        <v>59210</v>
      </c>
      <c r="G42" s="473">
        <f t="shared" si="3"/>
        <v>0</v>
      </c>
      <c r="H42" s="460">
        <f>G42+'28'!H42</f>
        <v>11.110000000000582</v>
      </c>
      <c r="I42" s="455"/>
      <c r="J42" s="552">
        <f>H42/DAY(B2)</f>
        <v>0.38310344827588216</v>
      </c>
      <c r="K42" s="428"/>
      <c r="L42" s="377"/>
    </row>
    <row r="43" spans="1:15">
      <c r="A43" s="578" t="s">
        <v>171</v>
      </c>
      <c r="B43" s="579"/>
      <c r="C43" s="579"/>
      <c r="D43" s="523" t="s">
        <v>131</v>
      </c>
      <c r="E43" s="741">
        <f>'28'!F43</f>
        <v>1115293</v>
      </c>
      <c r="F43" s="741">
        <v>1117914</v>
      </c>
      <c r="G43" s="473">
        <f t="shared" si="3"/>
        <v>2621</v>
      </c>
      <c r="H43" s="460">
        <f>G43+'28'!H43</f>
        <v>-2538</v>
      </c>
      <c r="I43" s="455"/>
      <c r="J43" s="552">
        <f>H43/DAY(B2)</f>
        <v>-87.517241379310349</v>
      </c>
      <c r="K43" s="428"/>
      <c r="L43" s="377"/>
    </row>
    <row r="44" spans="1:15">
      <c r="A44" s="578" t="s">
        <v>172</v>
      </c>
      <c r="B44" s="579"/>
      <c r="C44" s="579"/>
      <c r="D44" s="523" t="s">
        <v>131</v>
      </c>
      <c r="E44" s="741">
        <f>'28'!F44</f>
        <v>0</v>
      </c>
      <c r="F44" s="741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173</v>
      </c>
      <c r="B45" s="579"/>
      <c r="C45" s="579"/>
      <c r="D45" s="523" t="s">
        <v>131</v>
      </c>
      <c r="E45" s="741">
        <f>'28'!F45</f>
        <v>0</v>
      </c>
      <c r="F45" s="741">
        <v>0</v>
      </c>
      <c r="G45" s="473">
        <f t="shared" si="3"/>
        <v>0</v>
      </c>
      <c r="H45" s="460">
        <f>G45+'28'!H45</f>
        <v>0</v>
      </c>
      <c r="I45" s="455"/>
      <c r="J45" s="552">
        <f>H45/DAY(B2)</f>
        <v>0</v>
      </c>
      <c r="K45" s="428"/>
      <c r="L45" s="377"/>
    </row>
    <row r="46" spans="1:15">
      <c r="A46" s="578" t="s">
        <v>174</v>
      </c>
      <c r="B46" s="579"/>
      <c r="C46" s="579"/>
      <c r="D46" s="523" t="s">
        <v>131</v>
      </c>
      <c r="E46" s="741">
        <f>'28'!F46</f>
        <v>0</v>
      </c>
      <c r="F46" s="741">
        <v>0</v>
      </c>
      <c r="G46" s="473">
        <f t="shared" si="3"/>
        <v>0</v>
      </c>
      <c r="H46" s="460">
        <f>G46+'28'!H46</f>
        <v>-5.0000000000011369E-2</v>
      </c>
      <c r="I46" s="455"/>
      <c r="J46" s="552">
        <f>H46/DAY(B2)</f>
        <v>-1.7241379310348748E-3</v>
      </c>
      <c r="K46" s="428"/>
      <c r="L46" s="377"/>
    </row>
    <row r="47" spans="1:15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15446</v>
      </c>
      <c r="H47" s="460">
        <f>G47+'28'!H47</f>
        <v>-17149.449999999939</v>
      </c>
      <c r="I47" s="455"/>
      <c r="J47" s="552">
        <f>H47/DAY(B2)</f>
        <v>-591.36034482758407</v>
      </c>
      <c r="K47" s="428"/>
      <c r="L47" s="377"/>
    </row>
    <row r="48" spans="1:15">
      <c r="A48" s="598" t="s">
        <v>176</v>
      </c>
      <c r="B48" s="1144"/>
      <c r="C48" s="1144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2" t="s">
        <v>163</v>
      </c>
      <c r="B49" s="1103"/>
      <c r="C49" s="1103"/>
      <c r="D49" s="627" t="s">
        <v>131</v>
      </c>
      <c r="E49" s="742">
        <f>'28'!F49</f>
        <v>260732.13</v>
      </c>
      <c r="F49" s="742">
        <v>260732.13</v>
      </c>
      <c r="G49" s="652">
        <f t="shared" ref="G49:G58" si="4">F49-E49</f>
        <v>0</v>
      </c>
      <c r="H49" s="705">
        <f>G49+'28'!H49</f>
        <v>0.13000000000465661</v>
      </c>
      <c r="I49" s="706"/>
      <c r="J49" s="707">
        <f>H49/DAY(B2)</f>
        <v>4.4827586208502279E-3</v>
      </c>
      <c r="K49" s="1104"/>
      <c r="L49" s="1105"/>
      <c r="N49" s="770"/>
      <c r="O49" s="770"/>
    </row>
    <row r="50" spans="1:15" s="441" customFormat="1">
      <c r="A50" s="1102" t="s">
        <v>177</v>
      </c>
      <c r="B50" s="1103" t="s">
        <v>277</v>
      </c>
      <c r="C50" s="1103"/>
      <c r="D50" s="627" t="s">
        <v>131</v>
      </c>
      <c r="E50" s="742">
        <f>'28'!F50</f>
        <v>532761</v>
      </c>
      <c r="F50" s="742">
        <v>533719</v>
      </c>
      <c r="G50" s="652">
        <f t="shared" si="4"/>
        <v>958</v>
      </c>
      <c r="H50" s="705">
        <f>G50+'28'!H50</f>
        <v>-1834</v>
      </c>
      <c r="I50" s="706"/>
      <c r="J50" s="707">
        <f>H50/DAY(B2)</f>
        <v>-63.241379310344826</v>
      </c>
      <c r="K50" s="1104"/>
      <c r="L50" s="1105"/>
      <c r="N50" s="770"/>
      <c r="O50" s="770"/>
    </row>
    <row r="51" spans="1:15" s="441" customFormat="1">
      <c r="A51" s="1102" t="s">
        <v>165</v>
      </c>
      <c r="B51" s="1103"/>
      <c r="C51" s="1103"/>
      <c r="D51" s="627" t="s">
        <v>131</v>
      </c>
      <c r="E51" s="742">
        <f>'28'!F51</f>
        <v>144640</v>
      </c>
      <c r="F51" s="742">
        <v>144639.87</v>
      </c>
      <c r="G51" s="652">
        <f t="shared" si="4"/>
        <v>-0.13000000000465661</v>
      </c>
      <c r="H51" s="705">
        <f>G51+'28'!H51</f>
        <v>-0.13000000000465661</v>
      </c>
      <c r="I51" s="706"/>
      <c r="J51" s="707">
        <f>H51/DAY(B2)</f>
        <v>-4.4827586208502279E-3</v>
      </c>
      <c r="K51" s="1104"/>
      <c r="L51" s="1105"/>
      <c r="N51" s="770"/>
      <c r="O51" s="770"/>
    </row>
    <row r="52" spans="1:15" s="441" customFormat="1">
      <c r="A52" s="1102" t="s">
        <v>178</v>
      </c>
      <c r="B52" s="1103"/>
      <c r="C52" s="1103"/>
      <c r="D52" s="627" t="s">
        <v>131</v>
      </c>
      <c r="E52" s="742">
        <f>'28'!F52</f>
        <v>539606.06999999995</v>
      </c>
      <c r="F52" s="742">
        <v>539606.06999999995</v>
      </c>
      <c r="G52" s="652">
        <f t="shared" si="4"/>
        <v>0</v>
      </c>
      <c r="H52" s="705">
        <f>G52+'28'!H52</f>
        <v>0</v>
      </c>
      <c r="I52" s="706"/>
      <c r="J52" s="707">
        <f>H52/DAY(B2)</f>
        <v>0</v>
      </c>
      <c r="K52" s="1104"/>
      <c r="L52" s="1105"/>
      <c r="N52" s="770"/>
      <c r="O52" s="770"/>
    </row>
    <row r="53" spans="1:15" s="441" customFormat="1">
      <c r="A53" s="1102" t="s">
        <v>167</v>
      </c>
      <c r="B53" s="1103"/>
      <c r="C53" s="1103"/>
      <c r="D53" s="627" t="s">
        <v>131</v>
      </c>
      <c r="E53" s="742">
        <f>'28'!F53</f>
        <v>434232</v>
      </c>
      <c r="F53" s="742">
        <v>434232</v>
      </c>
      <c r="G53" s="652">
        <f t="shared" si="4"/>
        <v>0</v>
      </c>
      <c r="H53" s="705">
        <f>G53+'28'!H53</f>
        <v>-0.33000000001629815</v>
      </c>
      <c r="I53" s="706"/>
      <c r="J53" s="707">
        <f>H53/DAY(B2)</f>
        <v>-1.1379310345389592E-2</v>
      </c>
      <c r="K53" s="1104"/>
      <c r="L53" s="1105"/>
      <c r="N53" s="770"/>
      <c r="O53" s="770"/>
    </row>
    <row r="54" spans="1:15">
      <c r="A54" s="578" t="s">
        <v>179</v>
      </c>
      <c r="B54" s="601"/>
      <c r="C54" s="601"/>
      <c r="D54" s="523" t="s">
        <v>131</v>
      </c>
      <c r="E54" s="742">
        <f>'28'!F54</f>
        <v>14967</v>
      </c>
      <c r="F54" s="741">
        <v>14967</v>
      </c>
      <c r="G54" s="473">
        <f t="shared" si="4"/>
        <v>0</v>
      </c>
      <c r="H54" s="460">
        <f>G54+'28'!H54</f>
        <v>-79</v>
      </c>
      <c r="I54" s="455"/>
      <c r="J54" s="552">
        <f>H54/DAY(B2)</f>
        <v>-2.7241379310344827</v>
      </c>
      <c r="K54" s="428"/>
      <c r="L54" s="377"/>
    </row>
    <row r="55" spans="1:15">
      <c r="A55" s="578" t="s">
        <v>180</v>
      </c>
      <c r="B55" s="601"/>
      <c r="C55" s="601"/>
      <c r="D55" s="523" t="s">
        <v>131</v>
      </c>
      <c r="E55" s="742">
        <f>'28'!F55</f>
        <v>113553</v>
      </c>
      <c r="F55" s="742">
        <v>117226</v>
      </c>
      <c r="G55" s="652">
        <f t="shared" si="4"/>
        <v>3673</v>
      </c>
      <c r="H55" s="705">
        <f>G55+'28'!H55</f>
        <v>-410</v>
      </c>
      <c r="I55" s="706"/>
      <c r="J55" s="707">
        <f>H55/DAY(B2)</f>
        <v>-14.137931034482758</v>
      </c>
      <c r="K55" s="428"/>
      <c r="L55" s="377"/>
    </row>
    <row r="56" spans="1:15">
      <c r="A56" s="578" t="s">
        <v>181</v>
      </c>
      <c r="B56" s="601"/>
      <c r="C56" s="601"/>
      <c r="D56" s="523" t="s">
        <v>182</v>
      </c>
      <c r="E56" s="742">
        <f>'28'!F56</f>
        <v>649011</v>
      </c>
      <c r="F56" s="742">
        <v>649022</v>
      </c>
      <c r="G56" s="473">
        <f t="shared" si="4"/>
        <v>11</v>
      </c>
      <c r="H56" s="460">
        <f>G56+'28'!H56</f>
        <v>-10</v>
      </c>
      <c r="I56" s="455"/>
      <c r="J56" s="552">
        <f>H56/DAY(B2)</f>
        <v>-0.34482758620689657</v>
      </c>
      <c r="K56" s="427"/>
      <c r="L56" s="377"/>
    </row>
    <row r="57" spans="1:15">
      <c r="A57" s="578" t="s">
        <v>171</v>
      </c>
      <c r="B57" s="601"/>
      <c r="C57" s="601"/>
      <c r="D57" s="523" t="s">
        <v>131</v>
      </c>
      <c r="E57" s="742">
        <f>'28'!F57</f>
        <v>7711.33</v>
      </c>
      <c r="F57" s="741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183</v>
      </c>
      <c r="B58" s="601"/>
      <c r="C58" s="601"/>
      <c r="D58" s="523" t="s">
        <v>131</v>
      </c>
      <c r="E58" s="742">
        <f>'28'!F58</f>
        <v>53820</v>
      </c>
      <c r="F58" s="742">
        <v>53986</v>
      </c>
      <c r="G58" s="473">
        <f t="shared" si="4"/>
        <v>166</v>
      </c>
      <c r="H58" s="460">
        <f>G58+'28'!H58</f>
        <v>-239.20999999999913</v>
      </c>
      <c r="I58" s="455"/>
      <c r="J58" s="552">
        <f>H58/DAY(B2)</f>
        <v>-8.2486206896551426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4807.5399999999954</v>
      </c>
      <c r="H59" s="460">
        <f>G59+'28'!H59</f>
        <v>-2572.4700000000666</v>
      </c>
      <c r="I59" s="455">
        <f>G7-G60</f>
        <v>1246.4600000000646</v>
      </c>
      <c r="J59" s="552">
        <f>H59/DAY(B2)</f>
        <v>-88.705862068967818</v>
      </c>
      <c r="K59" s="428"/>
      <c r="L59" s="377"/>
      <c r="O59" s="769">
        <f>159+122+341+154</f>
        <v>776</v>
      </c>
    </row>
    <row r="60" spans="1:15">
      <c r="A60" s="578"/>
      <c r="B60" s="579"/>
      <c r="C60" s="579"/>
      <c r="D60" s="511" t="s">
        <v>184</v>
      </c>
      <c r="E60" s="470"/>
      <c r="F60" s="470"/>
      <c r="G60" s="481">
        <f>G47+G59</f>
        <v>20253.539999999994</v>
      </c>
      <c r="H60" s="460">
        <f>G60+'28'!H60</f>
        <v>-18513.380000000179</v>
      </c>
      <c r="I60" s="455">
        <f>G13-G60</f>
        <v>-720.5399999999936</v>
      </c>
      <c r="J60" s="552">
        <f>H60/DAY(B2)</f>
        <v>-638.39241379310965</v>
      </c>
      <c r="K60" s="428"/>
      <c r="L60" s="377"/>
    </row>
    <row r="61" spans="1:15">
      <c r="A61" s="602" t="s">
        <v>185</v>
      </c>
      <c r="B61" s="453"/>
      <c r="C61" s="453"/>
      <c r="D61" s="513"/>
      <c r="E61" s="743"/>
      <c r="F61" s="743"/>
      <c r="G61" s="513"/>
      <c r="H61" s="513"/>
      <c r="I61" s="513"/>
      <c r="J61" s="555"/>
      <c r="K61" s="428"/>
      <c r="L61" s="377"/>
    </row>
    <row r="62" spans="1:15">
      <c r="A62" s="603" t="s">
        <v>97</v>
      </c>
      <c r="B62" s="604"/>
      <c r="C62" s="604"/>
      <c r="D62" s="511" t="s">
        <v>186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1.9999999967694748E-3</v>
      </c>
      <c r="I62" s="515"/>
      <c r="J62" s="552">
        <f>H62/DAY(B2)</f>
        <v>6.896551712998189E-5</v>
      </c>
      <c r="K62" s="428"/>
      <c r="L62" s="377"/>
    </row>
    <row r="63" spans="1:15">
      <c r="A63" s="603" t="s">
        <v>187</v>
      </c>
      <c r="B63" s="604"/>
      <c r="C63" s="604"/>
      <c r="D63" s="511" t="s">
        <v>186</v>
      </c>
      <c r="E63" s="514">
        <f>'28'!F63</f>
        <v>0</v>
      </c>
      <c r="F63" s="514">
        <v>0</v>
      </c>
      <c r="G63" s="473">
        <f t="shared" si="5"/>
        <v>0</v>
      </c>
      <c r="H63" s="460">
        <f>G63+'28'!H63</f>
        <v>0</v>
      </c>
      <c r="I63" s="515"/>
      <c r="J63" s="552">
        <f>H63/DAY(B2)</f>
        <v>0</v>
      </c>
      <c r="K63" s="428"/>
      <c r="L63" s="377"/>
    </row>
    <row r="64" spans="1:15" ht="27.75">
      <c r="A64" s="1540" t="s">
        <v>98</v>
      </c>
      <c r="B64" s="1541"/>
      <c r="C64" s="1542"/>
      <c r="D64" s="523" t="s">
        <v>186</v>
      </c>
      <c r="E64" s="514">
        <f>'28'!F64</f>
        <v>169304</v>
      </c>
      <c r="F64" s="737">
        <v>169669</v>
      </c>
      <c r="G64" s="473">
        <f t="shared" si="5"/>
        <v>365</v>
      </c>
      <c r="H64" s="460">
        <f>G64+'28'!H64</f>
        <v>-353</v>
      </c>
      <c r="I64" s="480"/>
      <c r="J64" s="552">
        <f>H64/DAY(B2)</f>
        <v>-12.172413793103448</v>
      </c>
      <c r="K64" s="428"/>
      <c r="L64" s="377"/>
    </row>
    <row r="65" spans="1:12" ht="27.75">
      <c r="A65" s="1540" t="s">
        <v>99</v>
      </c>
      <c r="B65" s="1541"/>
      <c r="C65" s="1542"/>
      <c r="D65" s="523" t="s">
        <v>186</v>
      </c>
      <c r="E65" s="514">
        <f>'28'!F65</f>
        <v>169452</v>
      </c>
      <c r="F65" s="744">
        <v>169867</v>
      </c>
      <c r="G65" s="473">
        <f t="shared" si="5"/>
        <v>415</v>
      </c>
      <c r="H65" s="460">
        <f>G65+'28'!H65</f>
        <v>-435</v>
      </c>
      <c r="I65" s="489"/>
      <c r="J65" s="552">
        <f>H65/DAY(B2)</f>
        <v>-15</v>
      </c>
      <c r="K65" s="428"/>
      <c r="L65" s="377"/>
    </row>
    <row r="66" spans="1:12" ht="27.75">
      <c r="A66" s="1540" t="s">
        <v>100</v>
      </c>
      <c r="B66" s="1541"/>
      <c r="C66" s="1542"/>
      <c r="D66" s="523" t="s">
        <v>186</v>
      </c>
      <c r="E66" s="514">
        <f>'28'!F66</f>
        <v>67095</v>
      </c>
      <c r="F66" s="737">
        <v>67531</v>
      </c>
      <c r="G66" s="473">
        <f t="shared" si="5"/>
        <v>436</v>
      </c>
      <c r="H66" s="460">
        <f>G66+'28'!H66</f>
        <v>-439</v>
      </c>
      <c r="I66" s="480"/>
      <c r="J66" s="552">
        <f>H66/DAY(B2)</f>
        <v>-15.137931034482758</v>
      </c>
      <c r="K66" s="428"/>
      <c r="L66" s="377"/>
    </row>
    <row r="67" spans="1:12" ht="27.75">
      <c r="A67" s="1540" t="s">
        <v>101</v>
      </c>
      <c r="B67" s="1541"/>
      <c r="C67" s="1542"/>
      <c r="D67" s="523" t="s">
        <v>186</v>
      </c>
      <c r="E67" s="514">
        <f>'28'!F67</f>
        <v>264088</v>
      </c>
      <c r="F67" s="737">
        <v>264497</v>
      </c>
      <c r="G67" s="473">
        <f t="shared" si="5"/>
        <v>409</v>
      </c>
      <c r="H67" s="460">
        <f>G67+'28'!H67</f>
        <v>-462</v>
      </c>
      <c r="I67" s="489"/>
      <c r="J67" s="552">
        <f>H67/DAY(B2)</f>
        <v>-15.931034482758621</v>
      </c>
      <c r="K67" s="429"/>
      <c r="L67" s="377"/>
    </row>
    <row r="68" spans="1:12" ht="27.75">
      <c r="A68" s="1540" t="s">
        <v>102</v>
      </c>
      <c r="B68" s="1541"/>
      <c r="C68" s="1542"/>
      <c r="D68" s="523" t="s">
        <v>186</v>
      </c>
      <c r="E68" s="514">
        <f>'28'!F68</f>
        <v>85321</v>
      </c>
      <c r="F68" s="737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40" t="s">
        <v>103</v>
      </c>
      <c r="B69" s="1541"/>
      <c r="C69" s="1542"/>
      <c r="D69" s="523" t="s">
        <v>186</v>
      </c>
      <c r="E69" s="514">
        <f>'28'!F69</f>
        <v>87057</v>
      </c>
      <c r="F69" s="737">
        <v>87263</v>
      </c>
      <c r="G69" s="473">
        <f t="shared" si="5"/>
        <v>206</v>
      </c>
      <c r="H69" s="460">
        <f>G69+'28'!H69</f>
        <v>-252</v>
      </c>
      <c r="I69" s="516"/>
      <c r="J69" s="552">
        <f>H69/DAY(B2)</f>
        <v>-8.6896551724137936</v>
      </c>
      <c r="K69" s="431"/>
      <c r="L69" s="377"/>
    </row>
    <row r="70" spans="1:12" ht="27.75">
      <c r="A70" s="1581" t="s">
        <v>188</v>
      </c>
      <c r="B70" s="1582"/>
      <c r="C70" s="1583"/>
      <c r="D70" s="523" t="s">
        <v>186</v>
      </c>
      <c r="E70" s="745"/>
      <c r="F70" s="745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</row>
    <row r="72" spans="1:12" ht="27.75">
      <c r="A72" s="1540" t="s">
        <v>190</v>
      </c>
      <c r="B72" s="1541"/>
      <c r="C72" s="1542"/>
      <c r="D72" s="523" t="s">
        <v>186</v>
      </c>
      <c r="E72" s="762">
        <f>'28'!F72</f>
        <v>856201</v>
      </c>
      <c r="F72" s="746">
        <v>856211</v>
      </c>
      <c r="G72" s="473">
        <f t="shared" ref="G72:G84" si="6">F72-E72</f>
        <v>10</v>
      </c>
      <c r="H72" s="460">
        <f>G72+'28'!H72</f>
        <v>-24</v>
      </c>
      <c r="I72" s="480"/>
      <c r="J72" s="552">
        <f>H72/DAY(B2)</f>
        <v>-0.82758620689655171</v>
      </c>
      <c r="K72" s="431"/>
      <c r="L72" s="377"/>
    </row>
    <row r="73" spans="1:12" ht="27.75">
      <c r="A73" s="1540" t="s">
        <v>191</v>
      </c>
      <c r="B73" s="1541"/>
      <c r="C73" s="1542"/>
      <c r="D73" s="523" t="s">
        <v>186</v>
      </c>
      <c r="E73" s="762">
        <f>'28'!F73</f>
        <v>885970</v>
      </c>
      <c r="F73" s="747">
        <v>885971</v>
      </c>
      <c r="G73" s="652">
        <f>F73-E73</f>
        <v>1</v>
      </c>
      <c r="H73" s="460">
        <f>G73+'28'!H73</f>
        <v>-189</v>
      </c>
      <c r="I73" s="480"/>
      <c r="J73" s="552">
        <f>H73/DAY(B2)</f>
        <v>-6.5172413793103452</v>
      </c>
      <c r="K73" s="430"/>
      <c r="L73" s="377"/>
    </row>
    <row r="74" spans="1:12" ht="27.75">
      <c r="A74" s="1540" t="s">
        <v>192</v>
      </c>
      <c r="B74" s="1541"/>
      <c r="C74" s="1542"/>
      <c r="D74" s="523" t="s">
        <v>186</v>
      </c>
      <c r="E74" s="762">
        <f>'28'!F74</f>
        <v>88691</v>
      </c>
      <c r="F74" s="747">
        <v>88694</v>
      </c>
      <c r="G74" s="473">
        <f t="shared" si="6"/>
        <v>3</v>
      </c>
      <c r="H74" s="460">
        <f>G74+'28'!H74</f>
        <v>-86081.04</v>
      </c>
      <c r="I74" s="480"/>
      <c r="J74" s="552">
        <f>H74/DAY(B2)</f>
        <v>-2968.3117241379309</v>
      </c>
      <c r="K74" s="431"/>
      <c r="L74" s="377"/>
    </row>
    <row r="75" spans="1:12" ht="27.75">
      <c r="A75" s="1543" t="s">
        <v>193</v>
      </c>
      <c r="B75" s="1544"/>
      <c r="C75" s="1545"/>
      <c r="D75" s="523" t="s">
        <v>186</v>
      </c>
      <c r="E75" s="762">
        <f>'28'!F75</f>
        <v>15812</v>
      </c>
      <c r="F75" s="747">
        <v>15940</v>
      </c>
      <c r="G75" s="473">
        <f t="shared" si="6"/>
        <v>128</v>
      </c>
      <c r="H75" s="460">
        <f>G75+'28'!H75</f>
        <v>-131</v>
      </c>
      <c r="I75" s="480"/>
      <c r="J75" s="552">
        <f>H75/DAY(B2)</f>
        <v>-4.5172413793103452</v>
      </c>
      <c r="K75" s="430"/>
      <c r="L75" s="377"/>
    </row>
    <row r="76" spans="1:12" ht="27.75">
      <c r="A76" s="1543" t="s">
        <v>194</v>
      </c>
      <c r="B76" s="1544"/>
      <c r="C76" s="1545"/>
      <c r="D76" s="523" t="s">
        <v>186</v>
      </c>
      <c r="E76" s="762">
        <f>'28'!F76</f>
        <v>9181</v>
      </c>
      <c r="F76" s="747">
        <v>9261</v>
      </c>
      <c r="G76" s="473">
        <f t="shared" si="6"/>
        <v>80</v>
      </c>
      <c r="H76" s="460">
        <f>G76+'28'!H76</f>
        <v>-1347</v>
      </c>
      <c r="I76" s="505"/>
      <c r="J76" s="552">
        <f>H76/DAY(B2)</f>
        <v>-46.448275862068968</v>
      </c>
      <c r="K76" s="430"/>
      <c r="L76" s="377"/>
    </row>
    <row r="77" spans="1:12" ht="27.75">
      <c r="A77" s="1540" t="s">
        <v>195</v>
      </c>
      <c r="B77" s="1541"/>
      <c r="C77" s="1542"/>
      <c r="D77" s="523" t="s">
        <v>186</v>
      </c>
      <c r="E77" s="762">
        <f>'28'!F77</f>
        <v>704262</v>
      </c>
      <c r="F77" s="747">
        <v>704314</v>
      </c>
      <c r="G77" s="652">
        <f t="shared" si="6"/>
        <v>52</v>
      </c>
      <c r="H77" s="460">
        <f>G77+'28'!H77</f>
        <v>-60</v>
      </c>
      <c r="I77" s="505"/>
      <c r="J77" s="552">
        <f>H77/DAY(B2)</f>
        <v>-2.0689655172413794</v>
      </c>
      <c r="K77" s="430"/>
      <c r="L77" s="377"/>
    </row>
    <row r="78" spans="1:12" ht="27.75">
      <c r="A78" s="1142" t="s">
        <v>196</v>
      </c>
      <c r="B78" s="1115"/>
      <c r="C78" s="1115"/>
      <c r="D78" s="523" t="s">
        <v>186</v>
      </c>
      <c r="E78" s="762">
        <f>'28'!F78</f>
        <v>675237</v>
      </c>
      <c r="F78" s="747">
        <v>675299</v>
      </c>
      <c r="G78" s="652">
        <f t="shared" si="6"/>
        <v>62</v>
      </c>
      <c r="H78" s="460">
        <f>G78+'28'!H78</f>
        <v>-115</v>
      </c>
      <c r="I78" s="505"/>
      <c r="J78" s="552">
        <f>H78/DAY(B2)</f>
        <v>-3.9655172413793105</v>
      </c>
      <c r="K78" s="430"/>
      <c r="L78" s="377"/>
    </row>
    <row r="79" spans="1:12" ht="27.75">
      <c r="A79" s="1543" t="s">
        <v>91</v>
      </c>
      <c r="B79" s="1544"/>
      <c r="C79" s="1545"/>
      <c r="D79" s="524" t="s">
        <v>186</v>
      </c>
      <c r="E79" s="762">
        <f>'28'!F79</f>
        <v>835114</v>
      </c>
      <c r="F79" s="748">
        <v>835257</v>
      </c>
      <c r="G79" s="473">
        <f t="shared" si="6"/>
        <v>143</v>
      </c>
      <c r="H79" s="460">
        <f>G79+'28'!H79</f>
        <v>853</v>
      </c>
      <c r="I79" s="505"/>
      <c r="J79" s="552">
        <f>H79/DAY(B2)</f>
        <v>29.413793103448278</v>
      </c>
      <c r="K79" s="430"/>
      <c r="L79" s="377"/>
    </row>
    <row r="80" spans="1:12" ht="27.75">
      <c r="A80" s="1543" t="s">
        <v>197</v>
      </c>
      <c r="B80" s="1544"/>
      <c r="C80" s="1545"/>
      <c r="D80" s="524" t="s">
        <v>186</v>
      </c>
      <c r="E80" s="762">
        <f>'28'!F80</f>
        <v>538277</v>
      </c>
      <c r="F80" s="747">
        <v>538632</v>
      </c>
      <c r="G80" s="473">
        <f t="shared" si="6"/>
        <v>355</v>
      </c>
      <c r="H80" s="460">
        <f>G80+'28'!H80</f>
        <v>3680.4799999999814</v>
      </c>
      <c r="I80" s="505"/>
      <c r="J80" s="552">
        <f>H80/DAY(B2)</f>
        <v>126.91310344827522</v>
      </c>
      <c r="K80" s="430"/>
      <c r="L80" s="377"/>
    </row>
    <row r="81" spans="1:15" ht="27.75">
      <c r="A81" s="1543" t="s">
        <v>198</v>
      </c>
      <c r="B81" s="1544"/>
      <c r="C81" s="1545"/>
      <c r="D81" s="524" t="s">
        <v>186</v>
      </c>
      <c r="E81" s="762">
        <f>'28'!F81</f>
        <v>642715</v>
      </c>
      <c r="F81" s="747">
        <v>642845</v>
      </c>
      <c r="G81" s="473">
        <f t="shared" si="6"/>
        <v>130</v>
      </c>
      <c r="H81" s="460">
        <f>G81+'28'!H81</f>
        <v>-140</v>
      </c>
      <c r="I81" s="505"/>
      <c r="J81" s="552">
        <f>H81/DAY(B2)</f>
        <v>-4.8275862068965516</v>
      </c>
      <c r="K81" s="430"/>
      <c r="L81" s="377"/>
    </row>
    <row r="82" spans="1:15" ht="27.75">
      <c r="A82" s="1543" t="s">
        <v>92</v>
      </c>
      <c r="B82" s="1544"/>
      <c r="C82" s="1545"/>
      <c r="D82" s="485" t="s">
        <v>131</v>
      </c>
      <c r="E82" s="762">
        <f>'28'!F82</f>
        <v>108646</v>
      </c>
      <c r="F82" s="744">
        <v>108670</v>
      </c>
      <c r="G82" s="473">
        <f t="shared" si="6"/>
        <v>24</v>
      </c>
      <c r="H82" s="460">
        <f>G82+'28'!H82</f>
        <v>-11</v>
      </c>
      <c r="I82" s="486"/>
      <c r="J82" s="552">
        <f>H82/DAY(B2)</f>
        <v>-0.37931034482758619</v>
      </c>
      <c r="K82" s="430"/>
      <c r="L82" s="377"/>
    </row>
    <row r="83" spans="1:15" ht="27.75">
      <c r="A83" s="1543" t="s">
        <v>199</v>
      </c>
      <c r="B83" s="1544"/>
      <c r="C83" s="1545"/>
      <c r="D83" s="620" t="s">
        <v>131</v>
      </c>
      <c r="E83" s="762">
        <f>'28'!F83</f>
        <v>26956</v>
      </c>
      <c r="F83" s="470">
        <v>27277</v>
      </c>
      <c r="G83" s="473">
        <f t="shared" si="6"/>
        <v>321</v>
      </c>
      <c r="H83" s="460">
        <f>G83+'28'!H83</f>
        <v>-274</v>
      </c>
      <c r="I83" s="481"/>
      <c r="J83" s="552">
        <f>H83/DAY(B2)</f>
        <v>-9.4482758620689662</v>
      </c>
      <c r="K83" s="429"/>
      <c r="L83" s="377"/>
    </row>
    <row r="84" spans="1:15">
      <c r="A84" s="1143" t="s">
        <v>200</v>
      </c>
      <c r="B84" s="571"/>
      <c r="C84" s="571"/>
      <c r="D84" s="478" t="s">
        <v>131</v>
      </c>
      <c r="E84" s="762">
        <f>'28'!F84</f>
        <v>521455</v>
      </c>
      <c r="F84" s="705">
        <v>522240</v>
      </c>
      <c r="G84" s="473">
        <f t="shared" si="6"/>
        <v>785</v>
      </c>
      <c r="H84" s="460">
        <f>G84+'28'!H84</f>
        <v>-840</v>
      </c>
      <c r="I84" s="481"/>
      <c r="J84" s="552">
        <f>H84/DAY(B2)</f>
        <v>-28.96551724137931</v>
      </c>
      <c r="K84" s="380"/>
      <c r="L84" s="377"/>
    </row>
    <row r="85" spans="1:15" s="379" customFormat="1">
      <c r="A85" s="605" t="s">
        <v>201</v>
      </c>
      <c r="B85" s="572"/>
      <c r="C85" s="572"/>
      <c r="D85" s="489"/>
      <c r="E85" s="705">
        <f>'28'!F85</f>
        <v>0</v>
      </c>
      <c r="F85" s="460"/>
      <c r="G85" s="460">
        <f xml:space="preserve"> SUM(G72:G84)</f>
        <v>2094</v>
      </c>
      <c r="H85" s="460">
        <f>G85+'28'!H85</f>
        <v>-88279.040000000008</v>
      </c>
      <c r="I85" s="481"/>
      <c r="J85" s="552">
        <f>H85/DAY(B2)</f>
        <v>-3044.1048275862072</v>
      </c>
      <c r="K85" s="380"/>
      <c r="L85" s="378"/>
      <c r="N85" s="769"/>
      <c r="O85" s="769"/>
    </row>
    <row r="86" spans="1:15" s="735" customFormat="1">
      <c r="A86" s="730" t="s">
        <v>93</v>
      </c>
      <c r="B86" s="731"/>
      <c r="C86" s="731"/>
      <c r="D86" s="732" t="s">
        <v>182</v>
      </c>
      <c r="E86" s="705">
        <f>'28'!F86</f>
        <v>461744</v>
      </c>
      <c r="F86" s="749">
        <v>461791</v>
      </c>
      <c r="G86" s="705">
        <f t="shared" ref="G86:G91" si="7">F86-E86</f>
        <v>47</v>
      </c>
      <c r="H86" s="705">
        <f t="shared" ref="H86:H88" si="8">G86</f>
        <v>47</v>
      </c>
      <c r="I86" s="652"/>
      <c r="J86" s="707">
        <f>H86/DAY(B2)</f>
        <v>1.6206896551724137</v>
      </c>
      <c r="K86" s="733"/>
      <c r="L86" s="734"/>
      <c r="N86" s="770"/>
      <c r="O86" s="770"/>
    </row>
    <row r="87" spans="1:15" s="735" customFormat="1">
      <c r="A87" s="730" t="s">
        <v>94</v>
      </c>
      <c r="B87" s="731"/>
      <c r="C87" s="731"/>
      <c r="D87" s="732" t="s">
        <v>182</v>
      </c>
      <c r="E87" s="705">
        <f>'28'!F87</f>
        <v>82008</v>
      </c>
      <c r="F87" s="749">
        <v>82038</v>
      </c>
      <c r="G87" s="705">
        <f t="shared" si="7"/>
        <v>30</v>
      </c>
      <c r="H87" s="705">
        <f t="shared" si="8"/>
        <v>30</v>
      </c>
      <c r="I87" s="652"/>
      <c r="J87" s="707">
        <f>H87/DAY(B2)</f>
        <v>1.0344827586206897</v>
      </c>
      <c r="K87" s="733"/>
      <c r="L87" s="734"/>
      <c r="N87" s="770"/>
      <c r="O87" s="770"/>
    </row>
    <row r="88" spans="1:15" s="735" customFormat="1">
      <c r="A88" s="730" t="s">
        <v>95</v>
      </c>
      <c r="B88" s="731"/>
      <c r="C88" s="731"/>
      <c r="D88" s="732" t="s">
        <v>182</v>
      </c>
      <c r="E88" s="705">
        <f>'28'!F88</f>
        <v>155122</v>
      </c>
      <c r="F88" s="749">
        <v>155234</v>
      </c>
      <c r="G88" s="705">
        <f t="shared" si="7"/>
        <v>112</v>
      </c>
      <c r="H88" s="705">
        <f t="shared" si="8"/>
        <v>112</v>
      </c>
      <c r="I88" s="652"/>
      <c r="J88" s="707">
        <f>H88/DAY(B2)</f>
        <v>3.8620689655172415</v>
      </c>
      <c r="K88" s="733"/>
      <c r="L88" s="734"/>
      <c r="N88" s="770">
        <f>122+359</f>
        <v>481</v>
      </c>
      <c r="O88" s="770"/>
    </row>
    <row r="89" spans="1:15" s="735" customFormat="1">
      <c r="A89" s="730" t="s">
        <v>203</v>
      </c>
      <c r="B89" s="731"/>
      <c r="C89" s="731"/>
      <c r="D89" s="732" t="s">
        <v>182</v>
      </c>
      <c r="E89" s="705">
        <f>'28'!F89</f>
        <v>65798</v>
      </c>
      <c r="F89" s="647">
        <v>65824</v>
      </c>
      <c r="G89" s="705">
        <f t="shared" si="7"/>
        <v>26</v>
      </c>
      <c r="H89" s="705">
        <f>G89</f>
        <v>26</v>
      </c>
      <c r="I89" s="652"/>
      <c r="J89" s="707">
        <f>H89/DAY(B2)</f>
        <v>0.89655172413793105</v>
      </c>
      <c r="K89" s="733"/>
      <c r="L89" s="734"/>
    </row>
    <row r="90" spans="1:15" s="735" customFormat="1">
      <c r="A90" s="730" t="s">
        <v>203</v>
      </c>
      <c r="B90" s="731"/>
      <c r="C90" s="731"/>
      <c r="D90" s="732" t="s">
        <v>182</v>
      </c>
      <c r="E90" s="705">
        <f>'28'!F90</f>
        <v>3338</v>
      </c>
      <c r="F90" s="647">
        <v>3341</v>
      </c>
      <c r="G90" s="705">
        <f t="shared" si="7"/>
        <v>3</v>
      </c>
      <c r="H90" s="705">
        <f>G90</f>
        <v>3</v>
      </c>
      <c r="I90" s="652"/>
      <c r="J90" s="707">
        <f>H90/DAY(B2)</f>
        <v>0.10344827586206896</v>
      </c>
      <c r="K90" s="733"/>
      <c r="L90" s="734"/>
    </row>
    <row r="91" spans="1:15" s="735" customFormat="1">
      <c r="A91" s="730" t="s">
        <v>348</v>
      </c>
      <c r="B91" s="731"/>
      <c r="C91" s="731"/>
      <c r="D91" s="732"/>
      <c r="E91" s="705">
        <f>'28'!F91</f>
        <v>28229</v>
      </c>
      <c r="F91" s="647">
        <v>28239</v>
      </c>
      <c r="G91" s="705">
        <f t="shared" si="7"/>
        <v>10</v>
      </c>
      <c r="H91" s="705">
        <f>G91</f>
        <v>10</v>
      </c>
      <c r="I91" s="652"/>
      <c r="J91" s="707">
        <f>H91/DAY(B2)</f>
        <v>0.34482758620689657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738"/>
      <c r="F92" s="738"/>
      <c r="G92" s="488"/>
      <c r="H92" s="472"/>
      <c r="I92" s="472"/>
      <c r="J92" s="551"/>
      <c r="K92" s="380"/>
      <c r="L92" s="378"/>
      <c r="N92" s="769"/>
      <c r="O92" s="769"/>
    </row>
    <row r="93" spans="1:15" ht="27.75">
      <c r="A93" s="1559" t="s">
        <v>205</v>
      </c>
      <c r="B93" s="1560"/>
      <c r="C93" s="1561"/>
      <c r="D93" s="523" t="s">
        <v>143</v>
      </c>
      <c r="E93" s="758">
        <f>'28'!F93</f>
        <v>247272</v>
      </c>
      <c r="F93" s="737">
        <v>247344</v>
      </c>
      <c r="G93" s="473">
        <f>F93-E93</f>
        <v>72</v>
      </c>
      <c r="H93" s="460">
        <f>G93+'28'!H93</f>
        <v>-8</v>
      </c>
      <c r="I93" s="480"/>
      <c r="J93" s="552">
        <f>H93/DAY(B2)</f>
        <v>-0.27586206896551724</v>
      </c>
      <c r="K93" s="429"/>
      <c r="L93" s="377"/>
    </row>
    <row r="94" spans="1:15" ht="27.75">
      <c r="A94" s="1559" t="s">
        <v>206</v>
      </c>
      <c r="B94" s="1560"/>
      <c r="C94" s="1561"/>
      <c r="D94" s="523" t="s">
        <v>143</v>
      </c>
      <c r="E94" s="758">
        <f>'28'!F94</f>
        <v>189233</v>
      </c>
      <c r="F94" s="737">
        <v>189344</v>
      </c>
      <c r="G94" s="473">
        <f>F94-E94</f>
        <v>111</v>
      </c>
      <c r="H94" s="460">
        <f>G94+'28'!H94</f>
        <v>-110</v>
      </c>
      <c r="I94" s="480"/>
      <c r="J94" s="552">
        <f>H94/DAY(B2)</f>
        <v>-3.7931034482758621</v>
      </c>
      <c r="K94" s="380"/>
      <c r="L94" s="377"/>
    </row>
    <row r="95" spans="1:15">
      <c r="A95" s="1591" t="s">
        <v>207</v>
      </c>
      <c r="B95" s="1592"/>
      <c r="C95" s="1593"/>
      <c r="D95" s="523"/>
      <c r="E95" s="758"/>
      <c r="F95" s="737">
        <v>3</v>
      </c>
      <c r="G95" s="473">
        <f>G93+G94</f>
        <v>183</v>
      </c>
      <c r="H95" s="460">
        <f>G95+'28'!H95</f>
        <v>-304</v>
      </c>
      <c r="I95" s="480"/>
      <c r="J95" s="552">
        <f>H95/DAY(B2)</f>
        <v>-10.482758620689655</v>
      </c>
      <c r="K95" s="380"/>
      <c r="L95" s="377"/>
    </row>
    <row r="96" spans="1:15" ht="27.75">
      <c r="A96" s="1559" t="s">
        <v>208</v>
      </c>
      <c r="B96" s="1560"/>
      <c r="C96" s="1561"/>
      <c r="D96" s="523" t="s">
        <v>143</v>
      </c>
      <c r="E96" s="758">
        <f>'28'!F96</f>
        <v>415899</v>
      </c>
      <c r="F96" s="737">
        <v>415960</v>
      </c>
      <c r="G96" s="473">
        <f t="shared" ref="G96:G101" si="9">F96-E96</f>
        <v>61</v>
      </c>
      <c r="H96" s="460">
        <f>G96+'28'!H96</f>
        <v>-39</v>
      </c>
      <c r="I96" s="480"/>
      <c r="J96" s="552">
        <f>H96/DAY(B2)</f>
        <v>-1.3448275862068966</v>
      </c>
      <c r="K96" s="380"/>
      <c r="L96" s="377"/>
    </row>
    <row r="97" spans="1:15" ht="27.75">
      <c r="A97" s="1139" t="s">
        <v>209</v>
      </c>
      <c r="B97" s="1140"/>
      <c r="C97" s="1140"/>
      <c r="D97" s="523" t="s">
        <v>143</v>
      </c>
      <c r="E97" s="758">
        <f>'28'!F97</f>
        <v>103138</v>
      </c>
      <c r="F97" s="737">
        <v>103151</v>
      </c>
      <c r="G97" s="473">
        <f t="shared" si="9"/>
        <v>13</v>
      </c>
      <c r="H97" s="460">
        <f>G97+'28'!H97</f>
        <v>-12</v>
      </c>
      <c r="I97" s="480"/>
      <c r="J97" s="552">
        <f>H97/DAY(B2)</f>
        <v>-0.41379310344827586</v>
      </c>
      <c r="K97" s="427"/>
      <c r="L97" s="377"/>
    </row>
    <row r="98" spans="1:15" ht="27.75">
      <c r="A98" s="1139" t="s">
        <v>210</v>
      </c>
      <c r="B98" s="1140"/>
      <c r="C98" s="1140"/>
      <c r="D98" s="523" t="s">
        <v>143</v>
      </c>
      <c r="E98" s="758">
        <f>'28'!F98</f>
        <v>98617</v>
      </c>
      <c r="F98" s="737">
        <v>98634</v>
      </c>
      <c r="G98" s="473">
        <f t="shared" si="9"/>
        <v>17</v>
      </c>
      <c r="H98" s="460">
        <f>G98+'28'!H98</f>
        <v>-23</v>
      </c>
      <c r="I98" s="480"/>
      <c r="J98" s="552">
        <f>H98/DAY(B2)</f>
        <v>-0.7931034482758621</v>
      </c>
      <c r="K98" s="432"/>
      <c r="L98" s="377"/>
    </row>
    <row r="99" spans="1:15" ht="27.75">
      <c r="A99" s="1139" t="s">
        <v>211</v>
      </c>
      <c r="B99" s="1140"/>
      <c r="C99" s="1140"/>
      <c r="D99" s="523" t="s">
        <v>143</v>
      </c>
      <c r="E99" s="758">
        <f>'28'!F99</f>
        <v>150347</v>
      </c>
      <c r="F99" s="737">
        <v>150394</v>
      </c>
      <c r="G99" s="473">
        <f t="shared" si="9"/>
        <v>47</v>
      </c>
      <c r="H99" s="460">
        <f>G99+'28'!H99</f>
        <v>-11</v>
      </c>
      <c r="I99" s="480"/>
      <c r="J99" s="552">
        <f>H99/DAY(B2)</f>
        <v>-0.37931034482758619</v>
      </c>
      <c r="K99" s="380"/>
      <c r="L99" s="377"/>
    </row>
    <row r="100" spans="1:15" ht="27.75">
      <c r="A100" s="1139" t="s">
        <v>212</v>
      </c>
      <c r="B100" s="1140"/>
      <c r="C100" s="1140"/>
      <c r="D100" s="523" t="s">
        <v>143</v>
      </c>
      <c r="E100" s="758">
        <f>'28'!F100</f>
        <v>7763</v>
      </c>
      <c r="F100" s="737">
        <v>7791</v>
      </c>
      <c r="G100" s="473">
        <f t="shared" si="9"/>
        <v>28</v>
      </c>
      <c r="H100" s="460">
        <f>G100+'28'!H100</f>
        <v>-6</v>
      </c>
      <c r="I100" s="480"/>
      <c r="J100" s="552">
        <f>H100/DAY(B2)</f>
        <v>-0.20689655172413793</v>
      </c>
      <c r="K100" s="380"/>
      <c r="L100" s="377"/>
    </row>
    <row r="101" spans="1:15" ht="27.75">
      <c r="A101" s="1139" t="s">
        <v>213</v>
      </c>
      <c r="B101" s="1140"/>
      <c r="C101" s="1140"/>
      <c r="D101" s="523" t="s">
        <v>143</v>
      </c>
      <c r="E101" s="758">
        <f>'28'!F101</f>
        <v>5652</v>
      </c>
      <c r="F101" s="737">
        <v>5664</v>
      </c>
      <c r="G101" s="473">
        <f t="shared" si="9"/>
        <v>12</v>
      </c>
      <c r="H101" s="460">
        <f>G101+'28'!H101</f>
        <v>-10</v>
      </c>
      <c r="I101" s="480"/>
      <c r="J101" s="552">
        <f>H101/DAY(B2)</f>
        <v>-0.34482758620689657</v>
      </c>
      <c r="K101" s="380"/>
      <c r="L101" s="377"/>
    </row>
    <row r="102" spans="1:15">
      <c r="A102" s="1591" t="s">
        <v>215</v>
      </c>
      <c r="B102" s="1592"/>
      <c r="C102" s="1593"/>
      <c r="D102" s="524"/>
      <c r="E102" s="486"/>
      <c r="F102" s="486"/>
      <c r="G102" s="525">
        <f>SUM(G96:G101)</f>
        <v>178</v>
      </c>
      <c r="H102" s="460">
        <f>G102+'28'!H102</f>
        <v>-101</v>
      </c>
      <c r="I102" s="526"/>
      <c r="J102" s="552">
        <f>H102/DAY(B2)</f>
        <v>-3.4827586206896552</v>
      </c>
      <c r="K102" s="380"/>
      <c r="L102" s="377"/>
    </row>
    <row r="103" spans="1:15" s="442" customFormat="1" ht="27">
      <c r="A103" s="607" t="s">
        <v>216</v>
      </c>
      <c r="B103" s="608"/>
      <c r="C103" s="608"/>
      <c r="D103" s="621"/>
      <c r="E103" s="764"/>
      <c r="F103" s="750"/>
      <c r="G103" s="529"/>
      <c r="H103" s="530"/>
      <c r="I103" s="531"/>
      <c r="J103" s="557"/>
      <c r="N103" s="769"/>
      <c r="O103" s="769"/>
    </row>
    <row r="104" spans="1:15" s="442" customFormat="1" ht="27">
      <c r="A104" s="1594" t="s">
        <v>217</v>
      </c>
      <c r="B104" s="1595"/>
      <c r="C104" s="573"/>
      <c r="D104" s="622"/>
      <c r="E104" s="533"/>
      <c r="F104" s="751"/>
      <c r="G104" s="532"/>
      <c r="H104" s="533"/>
      <c r="I104" s="532"/>
      <c r="J104" s="558"/>
      <c r="N104" s="769"/>
      <c r="O104" s="769"/>
    </row>
    <row r="105" spans="1:15" s="442" customFormat="1" ht="27">
      <c r="A105" s="1551" t="s">
        <v>218</v>
      </c>
      <c r="B105" s="1552"/>
      <c r="C105" s="1138"/>
      <c r="D105" s="622" t="s">
        <v>143</v>
      </c>
      <c r="E105" s="533">
        <f>'28'!F105</f>
        <v>7637</v>
      </c>
      <c r="F105" s="751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2.3924137931034206</v>
      </c>
      <c r="N105" s="769"/>
      <c r="O105" s="769"/>
    </row>
    <row r="106" spans="1:15" s="442" customFormat="1" ht="27">
      <c r="A106" s="1551" t="s">
        <v>76</v>
      </c>
      <c r="B106" s="1552"/>
      <c r="C106" s="1138"/>
      <c r="D106" s="622" t="s">
        <v>143</v>
      </c>
      <c r="E106" s="533">
        <f>'28'!F106</f>
        <v>36156</v>
      </c>
      <c r="F106" s="660">
        <v>36162</v>
      </c>
      <c r="G106" s="532">
        <f t="shared" ref="G106:G107" si="10">F106-E106</f>
        <v>6</v>
      </c>
      <c r="H106" s="533">
        <f>SUM(G106+'1'!G77)</f>
        <v>59</v>
      </c>
      <c r="I106" s="532"/>
      <c r="J106" s="558">
        <f>H106/DAY(B2)</f>
        <v>2.0344827586206895</v>
      </c>
      <c r="N106" s="769"/>
      <c r="O106" s="769"/>
    </row>
    <row r="107" spans="1:15" s="442" customFormat="1" ht="27">
      <c r="A107" s="1551" t="s">
        <v>77</v>
      </c>
      <c r="B107" s="1596"/>
      <c r="C107" s="1552"/>
      <c r="D107" s="622" t="s">
        <v>143</v>
      </c>
      <c r="E107" s="533">
        <f>'28'!F107</f>
        <v>19816</v>
      </c>
      <c r="F107" s="660">
        <v>19820</v>
      </c>
      <c r="G107" s="532">
        <f t="shared" si="10"/>
        <v>4</v>
      </c>
      <c r="H107" s="533">
        <f>SUM(G107+'1'!G78)</f>
        <v>118</v>
      </c>
      <c r="I107" s="532"/>
      <c r="J107" s="558">
        <f>H107/DAY(B2)</f>
        <v>4.068965517241379</v>
      </c>
      <c r="N107" s="769"/>
      <c r="O107" s="769"/>
    </row>
    <row r="108" spans="1:15" s="442" customFormat="1" ht="27">
      <c r="A108" s="1553" t="s">
        <v>201</v>
      </c>
      <c r="B108" s="1554"/>
      <c r="C108" s="1138"/>
      <c r="D108" s="622"/>
      <c r="E108" s="533">
        <f>'28'!F108</f>
        <v>0</v>
      </c>
      <c r="F108" s="660"/>
      <c r="G108" s="532">
        <f>SUM(G105:G107)</f>
        <v>10</v>
      </c>
      <c r="H108" s="533">
        <f>SUM(G108+'1'!G79)</f>
        <v>163</v>
      </c>
      <c r="I108" s="532"/>
      <c r="J108" s="558">
        <f>H108/DAY(B2)</f>
        <v>5.6206896551724137</v>
      </c>
      <c r="N108" s="769"/>
      <c r="O108" s="769"/>
    </row>
    <row r="109" spans="1:15" s="442" customFormat="1" ht="27">
      <c r="A109" s="1557" t="s">
        <v>78</v>
      </c>
      <c r="B109" s="1558"/>
      <c r="C109" s="1138"/>
      <c r="D109" s="622" t="s">
        <v>143</v>
      </c>
      <c r="E109" s="533">
        <f>'28'!F109</f>
        <v>0</v>
      </c>
      <c r="F109" s="660"/>
      <c r="G109" s="532"/>
      <c r="H109" s="533"/>
      <c r="I109" s="532"/>
      <c r="J109" s="558"/>
      <c r="N109" s="769"/>
      <c r="O109" s="769"/>
    </row>
    <row r="110" spans="1:15" s="442" customFormat="1" ht="27">
      <c r="A110" s="1551" t="s">
        <v>219</v>
      </c>
      <c r="B110" s="1552"/>
      <c r="C110" s="1138"/>
      <c r="D110" s="622" t="s">
        <v>143</v>
      </c>
      <c r="E110" s="533">
        <f>'28'!F110</f>
        <v>64692</v>
      </c>
      <c r="F110" s="660">
        <v>64779</v>
      </c>
      <c r="G110" s="532">
        <f>F110-E110</f>
        <v>87</v>
      </c>
      <c r="H110" s="533">
        <f>SUM(G110+'1'!G81)</f>
        <v>218.64000000001397</v>
      </c>
      <c r="I110" s="532"/>
      <c r="J110" s="558">
        <f>H110/DAY(B2)</f>
        <v>7.5393103448280678</v>
      </c>
      <c r="N110" s="769"/>
      <c r="O110" s="769"/>
    </row>
    <row r="111" spans="1:15" s="442" customFormat="1" ht="27">
      <c r="A111" s="1551" t="s">
        <v>220</v>
      </c>
      <c r="B111" s="1552"/>
      <c r="C111" s="1138"/>
      <c r="D111" s="622" t="s">
        <v>143</v>
      </c>
      <c r="E111" s="533">
        <f>'28'!F111</f>
        <v>33078</v>
      </c>
      <c r="F111" s="660">
        <v>33129</v>
      </c>
      <c r="G111" s="532">
        <f t="shared" ref="G111:G112" si="11">F111-E111</f>
        <v>51</v>
      </c>
      <c r="H111" s="533">
        <f>SUM(G111+'1'!G82)</f>
        <v>75.899999999994179</v>
      </c>
      <c r="I111" s="532"/>
      <c r="J111" s="558">
        <f>H111/DAY(B2)</f>
        <v>2.6172413793101441</v>
      </c>
      <c r="N111" s="769"/>
      <c r="O111" s="769"/>
    </row>
    <row r="112" spans="1:15" s="442" customFormat="1" ht="27">
      <c r="A112" s="1551" t="s">
        <v>221</v>
      </c>
      <c r="B112" s="1552"/>
      <c r="C112" s="1138"/>
      <c r="D112" s="622" t="s">
        <v>143</v>
      </c>
      <c r="E112" s="533">
        <f>'28'!F112</f>
        <v>4621</v>
      </c>
      <c r="F112" s="660">
        <v>4621</v>
      </c>
      <c r="G112" s="534">
        <f t="shared" si="11"/>
        <v>0</v>
      </c>
      <c r="H112" s="533">
        <f>SUM(G112+'1'!G83)</f>
        <v>351</v>
      </c>
      <c r="I112" s="532"/>
      <c r="J112" s="558">
        <f>H112/DAY(B2)</f>
        <v>12.103448275862069</v>
      </c>
      <c r="N112" s="769"/>
      <c r="O112" s="769"/>
    </row>
    <row r="113" spans="1:15" s="442" customFormat="1" ht="27">
      <c r="A113" s="1553" t="s">
        <v>109</v>
      </c>
      <c r="B113" s="1554"/>
      <c r="C113" s="1138"/>
      <c r="D113" s="622"/>
      <c r="E113" s="533">
        <f>'28'!F113</f>
        <v>0</v>
      </c>
      <c r="F113" s="660"/>
      <c r="G113" s="532">
        <f>SUM(G110:G112)</f>
        <v>138</v>
      </c>
      <c r="H113" s="533">
        <f>SUM(G113+'1'!G84)</f>
        <v>954</v>
      </c>
      <c r="I113" s="532"/>
      <c r="J113" s="558">
        <f>H113/DAY(B2)</f>
        <v>32.896551724137929</v>
      </c>
      <c r="N113" s="769"/>
      <c r="O113" s="769"/>
    </row>
    <row r="114" spans="1:15" s="442" customFormat="1" ht="27">
      <c r="A114" s="1557" t="s">
        <v>222</v>
      </c>
      <c r="B114" s="1558"/>
      <c r="C114" s="1138"/>
      <c r="D114" s="622"/>
      <c r="E114" s="533">
        <f>'28'!F114</f>
        <v>0</v>
      </c>
      <c r="F114" s="660"/>
      <c r="G114" s="532"/>
      <c r="H114" s="533"/>
      <c r="I114" s="532"/>
      <c r="J114" s="558">
        <f>H114/DAY(B2)</f>
        <v>0</v>
      </c>
      <c r="N114" s="769"/>
      <c r="O114" s="769"/>
    </row>
    <row r="115" spans="1:15" s="442" customFormat="1" ht="27">
      <c r="A115" s="1551" t="s">
        <v>223</v>
      </c>
      <c r="B115" s="1552"/>
      <c r="C115" s="574"/>
      <c r="D115" s="622" t="s">
        <v>143</v>
      </c>
      <c r="E115" s="533">
        <f>'28'!F115</f>
        <v>11974</v>
      </c>
      <c r="F115" s="660">
        <v>12005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1.0689655172413792</v>
      </c>
      <c r="N115" s="769"/>
      <c r="O115" s="769"/>
    </row>
    <row r="116" spans="1:15" s="442" customFormat="1" ht="27">
      <c r="A116" s="1551" t="s">
        <v>224</v>
      </c>
      <c r="B116" s="1552"/>
      <c r="C116" s="574"/>
      <c r="D116" s="622" t="s">
        <v>143</v>
      </c>
      <c r="E116" s="533">
        <f>'28'!F116</f>
        <v>8538</v>
      </c>
      <c r="F116" s="660">
        <v>8549</v>
      </c>
      <c r="G116" s="534">
        <f t="shared" ref="G116:G117" si="12">F116-E116</f>
        <v>11</v>
      </c>
      <c r="H116" s="533">
        <f>SUM(G116+'1'!G93)</f>
        <v>100</v>
      </c>
      <c r="I116" s="532"/>
      <c r="J116" s="558">
        <f>H116/DAY(B2)</f>
        <v>3.4482758620689653</v>
      </c>
      <c r="N116" s="769"/>
      <c r="O116" s="769"/>
    </row>
    <row r="117" spans="1:15" s="442" customFormat="1" ht="27">
      <c r="A117" s="1551" t="s">
        <v>225</v>
      </c>
      <c r="B117" s="1552"/>
      <c r="C117" s="574"/>
      <c r="D117" s="622" t="s">
        <v>143</v>
      </c>
      <c r="E117" s="536"/>
      <c r="F117" s="660"/>
      <c r="G117" s="534">
        <f t="shared" si="12"/>
        <v>0</v>
      </c>
      <c r="H117" s="533">
        <f>SUM(G117+'1'!G94)</f>
        <v>97</v>
      </c>
      <c r="I117" s="532"/>
      <c r="J117" s="558">
        <f>H117/DAY(B2)</f>
        <v>3.3448275862068964</v>
      </c>
      <c r="N117" s="769"/>
      <c r="O117" s="769"/>
    </row>
    <row r="118" spans="1:15" s="445" customFormat="1" ht="27">
      <c r="A118" s="1553" t="s">
        <v>201</v>
      </c>
      <c r="B118" s="1554"/>
      <c r="C118" s="574"/>
      <c r="D118" s="623"/>
      <c r="E118" s="536"/>
      <c r="F118" s="660"/>
      <c r="G118" s="534">
        <f>SUM(G115:G117)</f>
        <v>42</v>
      </c>
      <c r="H118" s="533">
        <f>SUM(G118+'1'!G96)</f>
        <v>128</v>
      </c>
      <c r="I118" s="534"/>
      <c r="J118" s="558">
        <f>H118/DAY(B2)</f>
        <v>4.4137931034482758</v>
      </c>
      <c r="N118" s="769"/>
      <c r="O118" s="770"/>
    </row>
    <row r="119" spans="1:15" s="446" customFormat="1" ht="27">
      <c r="A119" s="1547" t="s">
        <v>226</v>
      </c>
      <c r="B119" s="1548"/>
      <c r="C119" s="1136"/>
      <c r="D119" s="624" t="s">
        <v>143</v>
      </c>
      <c r="E119" s="536"/>
      <c r="F119" s="660"/>
      <c r="G119" s="536">
        <f>SUM(G19+G93)</f>
        <v>135</v>
      </c>
      <c r="H119" s="533">
        <f>SUM(G119+'1'!G97)</f>
        <v>152</v>
      </c>
      <c r="I119" s="535"/>
      <c r="J119" s="559">
        <f>H119/DAY(B2)</f>
        <v>5.2413793103448274</v>
      </c>
      <c r="N119" s="769"/>
      <c r="O119" s="770"/>
    </row>
    <row r="120" spans="1:15" s="446" customFormat="1" ht="27">
      <c r="A120" s="1547" t="s">
        <v>227</v>
      </c>
      <c r="B120" s="1548"/>
      <c r="C120" s="1136"/>
      <c r="D120" s="624" t="s">
        <v>143</v>
      </c>
      <c r="E120" s="536"/>
      <c r="F120" s="660"/>
      <c r="G120" s="536">
        <f>SUM(G96,G97,G98,G100,G101)</f>
        <v>131</v>
      </c>
      <c r="H120" s="533">
        <f>SUM(G120+'1'!G99)</f>
        <v>181</v>
      </c>
      <c r="I120" s="535"/>
      <c r="J120" s="559">
        <f>H120/DAY(B2)</f>
        <v>6.2413793103448274</v>
      </c>
      <c r="N120" s="769"/>
      <c r="O120" s="770"/>
    </row>
    <row r="121" spans="1:15" s="446" customFormat="1" ht="27">
      <c r="A121" s="1547" t="s">
        <v>228</v>
      </c>
      <c r="B121" s="1548"/>
      <c r="C121" s="1136"/>
      <c r="D121" s="624" t="s">
        <v>143</v>
      </c>
      <c r="E121" s="536"/>
      <c r="F121" s="660"/>
      <c r="G121" s="534">
        <f>SUM(G113)</f>
        <v>138</v>
      </c>
      <c r="H121" s="533">
        <f>SUM(G121+'1'!G101)</f>
        <v>143</v>
      </c>
      <c r="I121" s="535"/>
      <c r="J121" s="559">
        <f>H121/DAY(B2)</f>
        <v>4.931034482758621</v>
      </c>
      <c r="N121" s="769"/>
      <c r="O121" s="770"/>
    </row>
    <row r="122" spans="1:15" s="442" customFormat="1" ht="27">
      <c r="A122" s="1549"/>
      <c r="B122" s="1550"/>
      <c r="C122" s="1137"/>
      <c r="D122" s="560"/>
      <c r="E122" s="765"/>
      <c r="F122" s="752"/>
      <c r="G122" s="560"/>
      <c r="H122" s="561"/>
      <c r="I122" s="560"/>
      <c r="J122" s="562"/>
      <c r="N122" s="769"/>
      <c r="O122" s="769"/>
    </row>
    <row r="123" spans="1:15">
      <c r="A123" s="1588" t="s">
        <v>229</v>
      </c>
      <c r="B123" s="1589"/>
      <c r="C123" s="1590"/>
      <c r="D123" s="472"/>
      <c r="E123" s="738"/>
      <c r="F123" s="738"/>
      <c r="G123" s="483"/>
      <c r="H123" s="483"/>
      <c r="I123" s="483"/>
      <c r="J123" s="563"/>
      <c r="K123" s="380"/>
      <c r="L123" s="377"/>
    </row>
    <row r="124" spans="1:15" ht="27.75">
      <c r="A124" s="1139" t="s">
        <v>230</v>
      </c>
      <c r="B124" s="1140"/>
      <c r="C124" s="1140"/>
      <c r="D124" s="523" t="s">
        <v>140</v>
      </c>
      <c r="E124" s="737">
        <f>'28'!F124</f>
        <v>839146</v>
      </c>
      <c r="F124" s="737">
        <v>839407</v>
      </c>
      <c r="G124" s="473">
        <f t="shared" ref="G124:G128" si="13">F124-E124</f>
        <v>261</v>
      </c>
      <c r="H124" s="460">
        <f>G124+'28'!H124</f>
        <v>-263</v>
      </c>
      <c r="I124" s="526"/>
      <c r="J124" s="552">
        <f>H124/DAY(B2)</f>
        <v>-9.068965517241379</v>
      </c>
      <c r="K124" s="380"/>
      <c r="L124" s="377"/>
    </row>
    <row r="125" spans="1:15" ht="27.75">
      <c r="A125" s="1139" t="s">
        <v>231</v>
      </c>
      <c r="B125" s="1140"/>
      <c r="C125" s="1140"/>
      <c r="D125" s="523" t="s">
        <v>140</v>
      </c>
      <c r="E125" s="737">
        <f>'28'!F125</f>
        <v>73583.399999999994</v>
      </c>
      <c r="F125" s="753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40" t="s">
        <v>232</v>
      </c>
      <c r="B126" s="1541"/>
      <c r="C126" s="1542"/>
      <c r="D126" s="523" t="s">
        <v>140</v>
      </c>
      <c r="E126" s="737">
        <f>'28'!F126</f>
        <v>148453</v>
      </c>
      <c r="F126" s="737">
        <v>148513</v>
      </c>
      <c r="G126" s="473">
        <f t="shared" si="13"/>
        <v>60</v>
      </c>
      <c r="H126" s="460">
        <f>G126+'28'!H126</f>
        <v>-84</v>
      </c>
      <c r="I126" s="526"/>
      <c r="J126" s="552">
        <f>H126/DAY(B2)</f>
        <v>-2.896551724137931</v>
      </c>
      <c r="K126" s="380"/>
      <c r="L126" s="377"/>
    </row>
    <row r="127" spans="1:15" ht="27.75">
      <c r="A127" s="609" t="s">
        <v>233</v>
      </c>
      <c r="B127" s="1140"/>
      <c r="C127" s="1140"/>
      <c r="D127" s="523" t="s">
        <v>140</v>
      </c>
      <c r="E127" s="737">
        <f>'28'!F127</f>
        <v>32011</v>
      </c>
      <c r="F127" s="753">
        <v>32041</v>
      </c>
      <c r="G127" s="473">
        <f t="shared" si="13"/>
        <v>30</v>
      </c>
      <c r="H127" s="460">
        <f>G127+'28'!H127</f>
        <v>-30</v>
      </c>
      <c r="I127" s="526"/>
      <c r="J127" s="552">
        <f>H127/DAY(B2)</f>
        <v>-1.0344827586206897</v>
      </c>
      <c r="K127" s="380"/>
      <c r="L127" s="377"/>
    </row>
    <row r="128" spans="1:15" ht="27.75">
      <c r="A128" s="609" t="s">
        <v>234</v>
      </c>
      <c r="B128" s="1140"/>
      <c r="C128" s="1140"/>
      <c r="D128" s="523" t="s">
        <v>140</v>
      </c>
      <c r="E128" s="737">
        <f>'28'!F128</f>
        <v>9009</v>
      </c>
      <c r="F128" s="753">
        <v>9011</v>
      </c>
      <c r="G128" s="473">
        <f t="shared" si="13"/>
        <v>2</v>
      </c>
      <c r="H128" s="460">
        <f>G128+'28'!H128</f>
        <v>-1</v>
      </c>
      <c r="I128" s="480"/>
      <c r="J128" s="552">
        <f>H128/DAY(B2)</f>
        <v>-3.4482758620689655E-2</v>
      </c>
      <c r="K128" s="380"/>
      <c r="L128" s="377"/>
    </row>
    <row r="129" spans="1:15" s="281" customFormat="1" ht="27">
      <c r="A129" s="609" t="s">
        <v>235</v>
      </c>
      <c r="B129" s="1140"/>
      <c r="C129" s="1140"/>
      <c r="D129" s="523"/>
      <c r="E129" s="737"/>
      <c r="F129" s="737"/>
      <c r="G129" s="473">
        <f>G15-SUM(G124:G128)</f>
        <v>347.39999999999418</v>
      </c>
      <c r="H129" s="460"/>
      <c r="I129" s="480"/>
      <c r="J129" s="552"/>
      <c r="K129" s="364"/>
      <c r="L129" s="292"/>
      <c r="N129" s="769"/>
      <c r="O129" s="769"/>
    </row>
    <row r="130" spans="1:15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39" t="s">
        <v>237</v>
      </c>
      <c r="B131" s="1140"/>
      <c r="C131" s="1140"/>
      <c r="D131" s="523" t="s">
        <v>238</v>
      </c>
      <c r="E131" s="758">
        <f>'28'!F131</f>
        <v>0</v>
      </c>
      <c r="F131" s="737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39" t="s">
        <v>239</v>
      </c>
      <c r="B132" s="1140"/>
      <c r="C132" s="1140"/>
      <c r="D132" s="523" t="s">
        <v>238</v>
      </c>
      <c r="E132" s="758">
        <f>'28'!F132</f>
        <v>0</v>
      </c>
      <c r="F132" s="737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39" t="s">
        <v>240</v>
      </c>
      <c r="B133" s="1140"/>
      <c r="C133" s="1140"/>
      <c r="D133" s="523" t="s">
        <v>238</v>
      </c>
      <c r="E133" s="767">
        <f>'28'!F133</f>
        <v>40419</v>
      </c>
      <c r="F133" s="753">
        <v>40429</v>
      </c>
      <c r="G133" s="473">
        <f t="shared" si="14"/>
        <v>10</v>
      </c>
      <c r="H133" s="460">
        <f>G133+'28'!H133</f>
        <v>-24</v>
      </c>
      <c r="I133" s="480"/>
      <c r="J133" s="552">
        <f>H133/DAY(B2)</f>
        <v>-0.82758620689655171</v>
      </c>
    </row>
    <row r="134" spans="1:15" ht="27.75">
      <c r="A134" s="1139" t="s">
        <v>241</v>
      </c>
      <c r="B134" s="1140"/>
      <c r="C134" s="1140"/>
      <c r="D134" s="523" t="s">
        <v>238</v>
      </c>
      <c r="E134" s="767">
        <f>'28'!F134</f>
        <v>300</v>
      </c>
      <c r="F134" s="753">
        <v>300</v>
      </c>
      <c r="G134" s="473">
        <f t="shared" si="14"/>
        <v>0</v>
      </c>
      <c r="H134" s="460">
        <f>G134+'28'!H134</f>
        <v>0</v>
      </c>
      <c r="I134" s="480">
        <f>G131+G132+G133+G134</f>
        <v>10</v>
      </c>
      <c r="J134" s="552">
        <f>H134/DAY(B2)</f>
        <v>0</v>
      </c>
    </row>
    <row r="135" spans="1:15" ht="27.75">
      <c r="A135" s="1139" t="s">
        <v>242</v>
      </c>
      <c r="B135" s="1140"/>
      <c r="C135" s="1140"/>
      <c r="D135" s="523" t="s">
        <v>238</v>
      </c>
      <c r="E135" s="767">
        <f>'28'!F135</f>
        <v>41953</v>
      </c>
      <c r="F135" s="753">
        <v>41970</v>
      </c>
      <c r="G135" s="473">
        <f t="shared" si="14"/>
        <v>17</v>
      </c>
      <c r="H135" s="460">
        <f>G135+'28'!H135</f>
        <v>130.55999999999767</v>
      </c>
      <c r="I135" s="480"/>
      <c r="J135" s="552">
        <f>H135/DAY(B2)</f>
        <v>4.5020689655171608</v>
      </c>
    </row>
    <row r="136" spans="1:15" ht="27.75">
      <c r="A136" s="1139" t="s">
        <v>243</v>
      </c>
      <c r="B136" s="1140"/>
      <c r="C136" s="1140"/>
      <c r="D136" s="523" t="s">
        <v>238</v>
      </c>
      <c r="E136" s="763">
        <f>'28'!F136</f>
        <v>32874</v>
      </c>
      <c r="F136" s="740">
        <v>32874</v>
      </c>
      <c r="G136" s="473">
        <f t="shared" si="14"/>
        <v>0</v>
      </c>
      <c r="H136" s="460">
        <f>G136+'28'!H136</f>
        <v>12.94999999999709</v>
      </c>
      <c r="I136" s="480"/>
      <c r="J136" s="552">
        <f>H136/DAY(B2)</f>
        <v>0.44655172413783067</v>
      </c>
    </row>
    <row r="137" spans="1:15" ht="27.75">
      <c r="A137" s="1139" t="s">
        <v>244</v>
      </c>
      <c r="B137" s="1140"/>
      <c r="C137" s="1140"/>
      <c r="D137" s="523" t="s">
        <v>238</v>
      </c>
      <c r="E137" s="766">
        <f>'28'!F137</f>
        <v>22886.2</v>
      </c>
      <c r="F137" s="744">
        <v>22891.42</v>
      </c>
      <c r="G137" s="473">
        <f t="shared" si="14"/>
        <v>5.2199999999975262</v>
      </c>
      <c r="H137" s="460">
        <f>G137+'28'!H137</f>
        <v>-7.0000000003346941E-2</v>
      </c>
      <c r="I137" s="480">
        <f>G135+G136+G137</f>
        <v>22.219999999997526</v>
      </c>
      <c r="J137" s="552">
        <f>H137/DAY(B2)</f>
        <v>-2.4137931035636876E-3</v>
      </c>
    </row>
    <row r="138" spans="1:15" ht="27.75">
      <c r="A138" s="1139" t="s">
        <v>245</v>
      </c>
      <c r="B138" s="1140"/>
      <c r="C138" s="1140"/>
      <c r="D138" s="523" t="s">
        <v>238</v>
      </c>
      <c r="E138" s="766">
        <f>'28'!F138</f>
        <v>25091.39</v>
      </c>
      <c r="F138" s="744">
        <v>25091.39</v>
      </c>
      <c r="G138" s="473">
        <f t="shared" si="14"/>
        <v>0</v>
      </c>
      <c r="H138" s="460">
        <f>G138+'28'!H138</f>
        <v>17.5</v>
      </c>
      <c r="I138" s="480"/>
      <c r="J138" s="552">
        <f>H138/DAY(B2)</f>
        <v>0.60344827586206895</v>
      </c>
    </row>
    <row r="139" spans="1:15" ht="27.75">
      <c r="A139" s="1139" t="s">
        <v>246</v>
      </c>
      <c r="B139" s="1140"/>
      <c r="C139" s="1140"/>
      <c r="D139" s="523" t="s">
        <v>238</v>
      </c>
      <c r="E139" s="766">
        <f>'28'!F139</f>
        <v>70509.100000000006</v>
      </c>
      <c r="F139" s="744">
        <v>70513.62</v>
      </c>
      <c r="G139" s="473">
        <f t="shared" si="14"/>
        <v>4.5199999999895226</v>
      </c>
      <c r="H139" s="460">
        <f>G139+'28'!H139</f>
        <v>31.889999999999418</v>
      </c>
      <c r="I139" s="480">
        <f>G138+G139</f>
        <v>4.5199999999895226</v>
      </c>
      <c r="J139" s="552">
        <f>H139/DAY(B2)</f>
        <v>1.0996551724137731</v>
      </c>
    </row>
    <row r="140" spans="1:15" ht="27.75">
      <c r="A140" s="1139" t="s">
        <v>247</v>
      </c>
      <c r="B140" s="1140"/>
      <c r="C140" s="1140"/>
      <c r="D140" s="523" t="s">
        <v>238</v>
      </c>
      <c r="E140" s="767">
        <f>'28'!F140</f>
        <v>2109.6999999999998</v>
      </c>
      <c r="F140" s="753">
        <v>2119.34</v>
      </c>
      <c r="G140" s="473">
        <f t="shared" si="14"/>
        <v>9.6400000000003274</v>
      </c>
      <c r="H140" s="460">
        <f>G140+'28'!H140</f>
        <v>-9.8399999999996908</v>
      </c>
      <c r="I140" s="542"/>
      <c r="J140" s="552">
        <f>H140/DAY(B2)</f>
        <v>-0.33931034482757555</v>
      </c>
    </row>
    <row r="141" spans="1:15" ht="27.75">
      <c r="A141" s="1139" t="s">
        <v>248</v>
      </c>
      <c r="B141" s="1140"/>
      <c r="C141" s="1140"/>
      <c r="D141" s="523" t="s">
        <v>238</v>
      </c>
      <c r="E141" s="766">
        <f>'28'!F141</f>
        <v>4636.88</v>
      </c>
      <c r="F141" s="737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62" t="s">
        <v>249</v>
      </c>
      <c r="B142" s="1563"/>
      <c r="C142" s="1145"/>
      <c r="D142" s="472"/>
      <c r="E142" s="738"/>
      <c r="F142" s="738"/>
      <c r="G142" s="483"/>
      <c r="H142" s="483"/>
      <c r="I142" s="483"/>
      <c r="J142" s="563"/>
      <c r="K142" s="380"/>
      <c r="L142" s="377"/>
    </row>
    <row r="143" spans="1:15" ht="27.75">
      <c r="A143" s="1559" t="s">
        <v>250</v>
      </c>
      <c r="B143" s="1560"/>
      <c r="C143" s="1561"/>
      <c r="D143" s="523" t="s">
        <v>131</v>
      </c>
      <c r="E143" s="460"/>
      <c r="F143" s="460"/>
      <c r="G143" s="460">
        <f>G35+G43+G49+G57</f>
        <v>5487.67</v>
      </c>
      <c r="H143" s="460">
        <f>G143+'28'!H143</f>
        <v>-6883.9299999999348</v>
      </c>
      <c r="I143" s="480"/>
      <c r="J143" s="552">
        <f>H143/DAY(B2)</f>
        <v>-237.3768965517219</v>
      </c>
      <c r="K143" s="380"/>
      <c r="L143" s="377"/>
    </row>
    <row r="144" spans="1:15" ht="27.75">
      <c r="A144" s="1559" t="s">
        <v>251</v>
      </c>
      <c r="B144" s="1560"/>
      <c r="C144" s="1561"/>
      <c r="D144" s="523" t="s">
        <v>24</v>
      </c>
      <c r="E144" s="470"/>
      <c r="F144" s="470"/>
      <c r="G144" s="543">
        <f>G143/G7</f>
        <v>0.2552404651162784</v>
      </c>
      <c r="H144" s="460">
        <f>G144+'28'!H144</f>
        <v>-0.31586727256893588</v>
      </c>
      <c r="I144" s="544"/>
      <c r="J144" s="552">
        <f>H144/DAY(B2)</f>
        <v>-1.0891974916170203E-2</v>
      </c>
      <c r="K144" s="380"/>
      <c r="L144" s="377"/>
    </row>
    <row r="145" spans="1:12" ht="27.75">
      <c r="A145" s="1559" t="s">
        <v>252</v>
      </c>
      <c r="B145" s="1560"/>
      <c r="C145" s="1561"/>
      <c r="D145" s="523" t="s">
        <v>131</v>
      </c>
      <c r="E145" s="460"/>
      <c r="F145" s="460"/>
      <c r="G145" s="460">
        <f>G41+G42+G55+G56</f>
        <v>6013</v>
      </c>
      <c r="H145" s="460">
        <f>G145+'28'!H145</f>
        <v>-5697.8899999999849</v>
      </c>
      <c r="I145" s="480"/>
      <c r="J145" s="552">
        <f>H145/DAY(B2)</f>
        <v>-196.47896551724085</v>
      </c>
      <c r="K145" s="380"/>
      <c r="L145" s="377"/>
    </row>
    <row r="146" spans="1:12" ht="27.75">
      <c r="A146" s="1559" t="s">
        <v>253</v>
      </c>
      <c r="B146" s="1560"/>
      <c r="C146" s="1561"/>
      <c r="D146" s="523" t="s">
        <v>24</v>
      </c>
      <c r="E146" s="460"/>
      <c r="F146" s="460"/>
      <c r="G146" s="543">
        <f>G145/G7</f>
        <v>0.27967441860465042</v>
      </c>
      <c r="H146" s="460">
        <f>G146+'28'!H146</f>
        <v>-0.26572576074828574</v>
      </c>
      <c r="I146" s="544"/>
      <c r="J146" s="552">
        <f>H146/DAY(B2)</f>
        <v>-9.162957267182267E-3</v>
      </c>
      <c r="K146" s="380"/>
      <c r="L146" s="377"/>
    </row>
    <row r="147" spans="1:12" ht="27.75">
      <c r="A147" s="1559" t="s">
        <v>254</v>
      </c>
      <c r="B147" s="1560"/>
      <c r="C147" s="1561"/>
      <c r="D147" s="523" t="s">
        <v>131</v>
      </c>
      <c r="E147" s="460"/>
      <c r="F147" s="460"/>
      <c r="G147" s="460">
        <f>G39+G53</f>
        <v>3564</v>
      </c>
      <c r="H147" s="460">
        <f>G147+'28'!H147</f>
        <v>-3737</v>
      </c>
      <c r="I147" s="545"/>
      <c r="J147" s="552">
        <f>H147/DAY(B2)</f>
        <v>-128.86206896551724</v>
      </c>
      <c r="K147" s="380"/>
      <c r="L147" s="377"/>
    </row>
    <row r="148" spans="1:12" ht="27.75">
      <c r="A148" s="1559" t="s">
        <v>255</v>
      </c>
      <c r="B148" s="1560"/>
      <c r="C148" s="1561"/>
      <c r="D148" s="523" t="s">
        <v>24</v>
      </c>
      <c r="E148" s="460"/>
      <c r="F148" s="460"/>
      <c r="G148" s="543">
        <f>G147/G7</f>
        <v>0.16576744186046466</v>
      </c>
      <c r="H148" s="460">
        <f>G148+'28'!H148</f>
        <v>-0.17062896855363324</v>
      </c>
      <c r="I148" s="545"/>
      <c r="J148" s="552">
        <f>H148/DAY(B2)</f>
        <v>-5.8837575363321808E-3</v>
      </c>
    </row>
    <row r="149" spans="1:12" ht="27.75">
      <c r="A149" s="1559" t="s">
        <v>256</v>
      </c>
      <c r="B149" s="1560"/>
      <c r="C149" s="1561"/>
      <c r="D149" s="523" t="s">
        <v>182</v>
      </c>
      <c r="E149" s="460"/>
      <c r="F149" s="460"/>
      <c r="G149" s="460">
        <f>G38+G52</f>
        <v>1582</v>
      </c>
      <c r="H149" s="460">
        <f>G149+'28'!H149</f>
        <v>-1353.9300000000512</v>
      </c>
      <c r="I149" s="480"/>
      <c r="J149" s="552">
        <f>H149/DAY(B2)</f>
        <v>-46.687241379312113</v>
      </c>
      <c r="K149" s="381"/>
    </row>
    <row r="150" spans="1:12" ht="27.75">
      <c r="A150" s="1559" t="s">
        <v>257</v>
      </c>
      <c r="B150" s="1560"/>
      <c r="C150" s="1561"/>
      <c r="D150" s="523" t="s">
        <v>24</v>
      </c>
      <c r="E150" s="460"/>
      <c r="F150" s="460"/>
      <c r="G150" s="543">
        <f>G149/G7</f>
        <v>7.3581395348837009E-2</v>
      </c>
      <c r="H150" s="460">
        <f>G150+'28'!H150</f>
        <v>-6.2763204556427782E-2</v>
      </c>
      <c r="I150" s="545"/>
      <c r="J150" s="552">
        <f>H150/DAY(B2)</f>
        <v>-2.1642484329802685E-3</v>
      </c>
    </row>
    <row r="151" spans="1:12" ht="27.75">
      <c r="A151" s="1559" t="s">
        <v>258</v>
      </c>
      <c r="B151" s="1560"/>
      <c r="C151" s="1561"/>
      <c r="D151" s="523" t="s">
        <v>182</v>
      </c>
      <c r="E151" s="460"/>
      <c r="F151" s="460"/>
      <c r="G151" s="460">
        <f>G36+G50</f>
        <v>1566</v>
      </c>
      <c r="H151" s="460">
        <f>G151+'28'!H151</f>
        <v>-1596.9999999999982</v>
      </c>
      <c r="I151" s="545"/>
      <c r="J151" s="552">
        <f>H151/DAY(B2)</f>
        <v>-55.068965517241317</v>
      </c>
    </row>
    <row r="152" spans="1:12" ht="27.75">
      <c r="A152" s="1559" t="s">
        <v>259</v>
      </c>
      <c r="B152" s="1560"/>
      <c r="C152" s="1561"/>
      <c r="D152" s="523" t="s">
        <v>24</v>
      </c>
      <c r="E152" s="460"/>
      <c r="F152" s="460"/>
      <c r="G152" s="543">
        <f>G151/G7</f>
        <v>7.2837209302325387E-2</v>
      </c>
      <c r="H152" s="460">
        <f>G152+'28'!H152</f>
        <v>-7.481765478365919E-2</v>
      </c>
      <c r="I152" s="480"/>
      <c r="J152" s="552">
        <f>H152/DAY(B2)</f>
        <v>-2.5799191304710064E-3</v>
      </c>
    </row>
    <row r="153" spans="1:12" ht="27.75">
      <c r="A153" s="1559" t="s">
        <v>260</v>
      </c>
      <c r="B153" s="1560"/>
      <c r="C153" s="1561"/>
      <c r="D153" s="523" t="s">
        <v>182</v>
      </c>
      <c r="E153" s="460"/>
      <c r="F153" s="460"/>
      <c r="G153" s="460">
        <f>G37+G51</f>
        <v>1416.8699999999953</v>
      </c>
      <c r="H153" s="460">
        <f>G153+'28'!H153</f>
        <v>-1412.1300000000047</v>
      </c>
      <c r="I153" s="480"/>
      <c r="J153" s="552">
        <f>H153/DAY(B2)</f>
        <v>-48.694137931034646</v>
      </c>
    </row>
    <row r="154" spans="1:12" ht="28.5" thickBot="1">
      <c r="A154" s="1597" t="s">
        <v>261</v>
      </c>
      <c r="B154" s="1598"/>
      <c r="C154" s="1599"/>
      <c r="D154" s="625" t="s">
        <v>24</v>
      </c>
      <c r="E154" s="567"/>
      <c r="F154" s="567"/>
      <c r="G154" s="566">
        <f>G153/G7</f>
        <v>6.5900930232557747E-2</v>
      </c>
      <c r="H154" s="460">
        <f>G154+'28'!H154</f>
        <v>-6.4281235420025812E-2</v>
      </c>
      <c r="I154" s="568"/>
      <c r="J154" s="569">
        <f>H154/DAY(B2)</f>
        <v>-2.2165943248284763E-3</v>
      </c>
    </row>
    <row r="155" spans="1:12">
      <c r="A155" s="466"/>
      <c r="B155" s="456"/>
      <c r="C155" s="456"/>
      <c r="D155" s="546"/>
      <c r="E155" s="548"/>
      <c r="F155" s="754"/>
      <c r="G155" s="546"/>
      <c r="H155" s="547"/>
      <c r="I155" s="546"/>
      <c r="J155" s="548"/>
    </row>
    <row r="161" spans="1:7">
      <c r="A161" s="794" t="s">
        <v>262</v>
      </c>
      <c r="B161" s="795"/>
      <c r="C161" s="795"/>
      <c r="D161" s="620" t="s">
        <v>186</v>
      </c>
      <c r="E161" s="763">
        <f>'28'!F161</f>
        <v>40682</v>
      </c>
      <c r="F161" s="803">
        <v>40762</v>
      </c>
      <c r="G161" s="473">
        <f t="shared" ref="G161:G164" si="15">F161-E161</f>
        <v>80</v>
      </c>
    </row>
    <row r="162" spans="1:7">
      <c r="A162" s="794" t="s">
        <v>263</v>
      </c>
      <c r="B162" s="795"/>
      <c r="C162" s="795"/>
      <c r="D162" s="620" t="s">
        <v>186</v>
      </c>
      <c r="E162" s="763">
        <f>'28'!F162</f>
        <v>106862</v>
      </c>
      <c r="F162" s="803">
        <v>107302</v>
      </c>
      <c r="G162" s="473">
        <f t="shared" si="15"/>
        <v>440</v>
      </c>
    </row>
    <row r="163" spans="1:7">
      <c r="A163" s="794" t="s">
        <v>264</v>
      </c>
      <c r="B163" s="795"/>
      <c r="C163" s="795"/>
      <c r="D163" s="620" t="s">
        <v>186</v>
      </c>
      <c r="E163" s="763">
        <f>'28'!F163</f>
        <v>60818</v>
      </c>
      <c r="F163" s="803">
        <v>61025</v>
      </c>
      <c r="G163" s="473">
        <f t="shared" si="15"/>
        <v>207</v>
      </c>
    </row>
    <row r="164" spans="1:7">
      <c r="A164" s="794" t="s">
        <v>265</v>
      </c>
      <c r="B164" s="795"/>
      <c r="C164" s="795"/>
      <c r="D164" s="620" t="s">
        <v>186</v>
      </c>
      <c r="E164" s="763">
        <f>'28'!F164</f>
        <v>6834</v>
      </c>
      <c r="F164" s="803">
        <v>6845</v>
      </c>
      <c r="G164" s="473">
        <f t="shared" si="15"/>
        <v>11</v>
      </c>
    </row>
    <row r="165" spans="1:7">
      <c r="A165" s="796" t="s">
        <v>97</v>
      </c>
      <c r="B165" s="797"/>
      <c r="C165" s="797"/>
      <c r="D165" s="620" t="s">
        <v>186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6" t="s">
        <v>187</v>
      </c>
      <c r="B166" s="797"/>
      <c r="C166" s="797"/>
      <c r="D166" s="620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612" t="s">
        <v>98</v>
      </c>
      <c r="B167" s="1612"/>
      <c r="C167" s="1612"/>
      <c r="D167" s="524" t="s">
        <v>186</v>
      </c>
      <c r="E167" s="514">
        <f t="shared" si="17"/>
        <v>169304</v>
      </c>
      <c r="F167" s="514">
        <f t="shared" si="18"/>
        <v>169669</v>
      </c>
      <c r="G167" s="473">
        <f t="shared" si="16"/>
        <v>365</v>
      </c>
    </row>
    <row r="168" spans="1:7" ht="27.75">
      <c r="A168" s="1612" t="s">
        <v>99</v>
      </c>
      <c r="B168" s="1612"/>
      <c r="C168" s="1612"/>
      <c r="D168" s="524" t="s">
        <v>186</v>
      </c>
      <c r="E168" s="514">
        <f t="shared" si="17"/>
        <v>169452</v>
      </c>
      <c r="F168" s="514">
        <f t="shared" si="18"/>
        <v>169867</v>
      </c>
      <c r="G168" s="473">
        <f t="shared" si="16"/>
        <v>415</v>
      </c>
    </row>
    <row r="169" spans="1:7" ht="27.75">
      <c r="A169" s="1612" t="s">
        <v>100</v>
      </c>
      <c r="B169" s="1612"/>
      <c r="C169" s="1612"/>
      <c r="D169" s="524" t="s">
        <v>186</v>
      </c>
      <c r="E169" s="514">
        <f t="shared" si="17"/>
        <v>67095</v>
      </c>
      <c r="F169" s="514">
        <f t="shared" si="18"/>
        <v>67531</v>
      </c>
      <c r="G169" s="473">
        <f t="shared" si="16"/>
        <v>436</v>
      </c>
    </row>
    <row r="170" spans="1:7" ht="27.75">
      <c r="A170" s="1612" t="s">
        <v>101</v>
      </c>
      <c r="B170" s="1612"/>
      <c r="C170" s="1612"/>
      <c r="D170" s="524" t="s">
        <v>186</v>
      </c>
      <c r="E170" s="514">
        <f t="shared" si="17"/>
        <v>264088</v>
      </c>
      <c r="F170" s="514">
        <f t="shared" si="18"/>
        <v>264497</v>
      </c>
      <c r="G170" s="473">
        <f t="shared" si="16"/>
        <v>409</v>
      </c>
    </row>
    <row r="171" spans="1:7" ht="27.75">
      <c r="A171" s="1612" t="s">
        <v>102</v>
      </c>
      <c r="B171" s="1612"/>
      <c r="C171" s="1612"/>
      <c r="D171" s="524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612" t="s">
        <v>103</v>
      </c>
      <c r="B172" s="1612"/>
      <c r="C172" s="1612"/>
      <c r="D172" s="524" t="s">
        <v>186</v>
      </c>
      <c r="E172" s="514">
        <f t="shared" si="17"/>
        <v>87057</v>
      </c>
      <c r="F172" s="514">
        <f t="shared" si="18"/>
        <v>87263</v>
      </c>
      <c r="G172" s="473">
        <f t="shared" si="16"/>
        <v>206</v>
      </c>
    </row>
    <row r="173" spans="1:7">
      <c r="A173" s="798"/>
      <c r="B173" s="799"/>
      <c r="C173" s="799"/>
      <c r="D173" s="800"/>
      <c r="E173" s="802"/>
      <c r="F173" s="1029"/>
      <c r="G173" s="802">
        <f>SUM(G161:G172)</f>
        <v>2569</v>
      </c>
    </row>
    <row r="174" spans="1:7" ht="27.75">
      <c r="A174" s="1587" t="s">
        <v>352</v>
      </c>
      <c r="B174" s="1550"/>
      <c r="C174" s="784"/>
      <c r="D174" s="1495" t="s">
        <v>186</v>
      </c>
      <c r="E174" s="1496">
        <v>18993</v>
      </c>
      <c r="F174" s="1496">
        <v>18997</v>
      </c>
      <c r="G174" s="1497">
        <f t="shared" ref="G174:G176" si="19">F174-E174</f>
        <v>4</v>
      </c>
    </row>
    <row r="175" spans="1:7" ht="27.75">
      <c r="A175" s="1587" t="s">
        <v>353</v>
      </c>
      <c r="B175" s="1550"/>
      <c r="C175" s="454"/>
      <c r="D175" s="1495" t="s">
        <v>186</v>
      </c>
      <c r="E175" s="1500">
        <v>27621</v>
      </c>
      <c r="F175" s="1500">
        <v>27625</v>
      </c>
      <c r="G175" s="1497">
        <f t="shared" si="19"/>
        <v>4</v>
      </c>
    </row>
    <row r="176" spans="1:7" ht="27.75">
      <c r="A176" s="1587" t="s">
        <v>352</v>
      </c>
      <c r="B176" s="1550"/>
      <c r="C176" s="454"/>
      <c r="D176" s="1495" t="s">
        <v>186</v>
      </c>
      <c r="E176" s="1496">
        <v>70323</v>
      </c>
      <c r="F176" s="1496">
        <v>70323</v>
      </c>
      <c r="G176" s="1497">
        <f t="shared" si="19"/>
        <v>0</v>
      </c>
    </row>
  </sheetData>
  <mergeCells count="77">
    <mergeCell ref="A176:B176"/>
    <mergeCell ref="A174:B174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6"/>
  <sheetViews>
    <sheetView view="pageBreakPreview" topLeftCell="A153" zoomScale="60" zoomScaleNormal="55" workbookViewId="0">
      <selection activeCell="F15" sqref="F15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338</v>
      </c>
      <c r="B2" s="1111">
        <v>44012</v>
      </c>
      <c r="C2" s="1141" t="s">
        <v>68</v>
      </c>
      <c r="D2" s="611">
        <v>0.32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O2" s="292"/>
    </row>
    <row r="3" spans="1:15" s="281" customFormat="1" ht="27">
      <c r="A3" s="570"/>
      <c r="B3" s="614"/>
      <c r="C3" s="1141" t="s">
        <v>119</v>
      </c>
      <c r="D3" s="612">
        <v>29</v>
      </c>
      <c r="E3" s="1695" t="s">
        <v>120</v>
      </c>
      <c r="F3" s="1695"/>
      <c r="G3" s="462"/>
      <c r="H3" s="463"/>
      <c r="I3" s="463"/>
      <c r="J3" s="615"/>
      <c r="K3" s="371"/>
      <c r="L3" s="292"/>
      <c r="O3" s="1021"/>
    </row>
    <row r="4" spans="1:15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/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696" t="s">
        <v>129</v>
      </c>
      <c r="B6" s="1697"/>
      <c r="C6" s="1697"/>
      <c r="D6" s="471"/>
      <c r="E6" s="471"/>
      <c r="F6" s="471"/>
      <c r="G6" s="471"/>
      <c r="H6" s="472"/>
      <c r="I6" s="472"/>
      <c r="J6" s="551"/>
      <c r="K6" s="427"/>
      <c r="L6" s="377"/>
      <c r="O6" s="1022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'29'!F7</f>
        <v>545295.56000000006</v>
      </c>
      <c r="F7" s="455">
        <f>E7+21500</f>
        <v>566795.56000000006</v>
      </c>
      <c r="G7" s="773">
        <f>F7-E7</f>
        <v>21500</v>
      </c>
      <c r="H7" s="460">
        <f>G7+'29'!H7</f>
        <v>644842.56000000006</v>
      </c>
      <c r="I7" s="474">
        <f>'1'!I7</f>
        <v>12000</v>
      </c>
      <c r="J7" s="552">
        <f>H7/DAY(B2)</f>
        <v>21494.752</v>
      </c>
      <c r="K7" s="549">
        <v>1375467</v>
      </c>
      <c r="L7" s="377"/>
      <c r="N7" s="440">
        <f>F7-'1'!E7</f>
        <v>-355157.43999999994</v>
      </c>
      <c r="O7" s="804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'29'!F8</f>
        <v>550953.79</v>
      </c>
      <c r="F8" s="475">
        <f>E8+21500</f>
        <v>572453.79</v>
      </c>
      <c r="G8" s="476">
        <f>F8-E8</f>
        <v>21500</v>
      </c>
      <c r="H8" s="460">
        <f>G8+'29'!H8</f>
        <v>645731.79</v>
      </c>
      <c r="I8" s="477"/>
      <c r="J8" s="552">
        <f>H8/DAY(B2)</f>
        <v>21524.393</v>
      </c>
      <c r="K8" s="549">
        <v>1715917</v>
      </c>
      <c r="L8" s="425">
        <v>1728480</v>
      </c>
      <c r="M8" s="440">
        <f>L8-K8</f>
        <v>12563</v>
      </c>
      <c r="N8" s="440">
        <f>F8-'1'!E8</f>
        <v>-354268.20999999996</v>
      </c>
      <c r="O8" s="804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'29'!F9</f>
        <v>2014052</v>
      </c>
      <c r="F9" s="478">
        <f>E9+16950</f>
        <v>2031002</v>
      </c>
      <c r="G9" s="473">
        <f t="shared" ref="G9:G12" si="0">F9-E9</f>
        <v>16950</v>
      </c>
      <c r="H9" s="460">
        <f>G9+'29'!H9</f>
        <v>0</v>
      </c>
      <c r="I9" s="479">
        <f>I7-J7</f>
        <v>-9494.7520000000004</v>
      </c>
      <c r="J9" s="552">
        <f>H9/DAY(B2)</f>
        <v>0</v>
      </c>
      <c r="K9" s="428">
        <f>K8-100</f>
        <v>1715817</v>
      </c>
      <c r="L9" s="377"/>
      <c r="N9" s="440">
        <f>F9-'1'!E9</f>
        <v>0</v>
      </c>
      <c r="O9" s="804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'29'!F10</f>
        <v>0</v>
      </c>
      <c r="F10" s="478">
        <v>0</v>
      </c>
      <c r="G10" s="473">
        <f t="shared" si="0"/>
        <v>0</v>
      </c>
      <c r="H10" s="460">
        <f>G10+'29'!H10</f>
        <v>0.29999999999972715</v>
      </c>
      <c r="I10" s="480"/>
      <c r="J10" s="552">
        <f>H10/DAY(B2)</f>
        <v>9.9999999999909051E-3</v>
      </c>
      <c r="K10" s="428"/>
      <c r="L10" s="377"/>
      <c r="N10" s="440">
        <f>F10-'1'!E10</f>
        <v>-2323</v>
      </c>
      <c r="O10" s="804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4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4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G13+'29'!H13</f>
        <v>-16524.700000000012</v>
      </c>
      <c r="I13" s="482">
        <f>G7-G13</f>
        <v>4550</v>
      </c>
      <c r="J13" s="552">
        <f>H13/DAY(B2)</f>
        <v>-550.82333333333372</v>
      </c>
      <c r="K13" s="428"/>
      <c r="L13" s="377"/>
      <c r="N13" s="440">
        <f>F13-'1'!E13</f>
        <v>0</v>
      </c>
      <c r="O13" s="804"/>
    </row>
    <row r="14" spans="1:15" ht="29.25">
      <c r="A14" s="1698" t="s">
        <v>138</v>
      </c>
      <c r="B14" s="1699"/>
      <c r="C14" s="1699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4"/>
    </row>
    <row r="15" spans="1:15" ht="21.95" customHeight="1">
      <c r="A15" s="1139" t="s">
        <v>139</v>
      </c>
      <c r="B15" s="589"/>
      <c r="C15" s="589"/>
      <c r="D15" s="523" t="s">
        <v>140</v>
      </c>
      <c r="E15" s="455">
        <f>'29'!F15</f>
        <v>1724567.16</v>
      </c>
      <c r="F15" s="700">
        <f>E15+700</f>
        <v>1725267.16</v>
      </c>
      <c r="G15" s="773">
        <f>(F15-E15)</f>
        <v>700</v>
      </c>
      <c r="H15" s="460">
        <f>G15+'29'!H15</f>
        <v>21584.159999999916</v>
      </c>
      <c r="I15" s="474">
        <f>'1'!I15</f>
        <v>800</v>
      </c>
      <c r="J15" s="552">
        <f>H15/DAY(B2)</f>
        <v>719.47199999999725</v>
      </c>
      <c r="K15" s="428"/>
      <c r="L15" s="377"/>
      <c r="N15" s="440">
        <f>F15-'1'!E15</f>
        <v>21584.159999999916</v>
      </c>
      <c r="O15" s="804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80.528000000002748</v>
      </c>
      <c r="J16" s="553"/>
      <c r="K16" s="428"/>
      <c r="L16" s="377"/>
      <c r="N16" s="440">
        <f>F16-'1'!E16</f>
        <v>0</v>
      </c>
      <c r="O16" s="804"/>
    </row>
    <row r="17" spans="1:15" ht="29.25">
      <c r="A17" s="1698" t="s">
        <v>141</v>
      </c>
      <c r="B17" s="1699"/>
      <c r="C17" s="1699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4"/>
    </row>
    <row r="18" spans="1:15" ht="27.75">
      <c r="A18" s="1693" t="s">
        <v>142</v>
      </c>
      <c r="B18" s="1694"/>
      <c r="C18" s="1694"/>
      <c r="D18" s="523" t="s">
        <v>143</v>
      </c>
      <c r="E18" s="455">
        <f>'29'!F18</f>
        <v>10</v>
      </c>
      <c r="F18" s="484">
        <v>7</v>
      </c>
      <c r="G18" s="481">
        <f>F18*10</f>
        <v>70</v>
      </c>
      <c r="H18" s="460">
        <f>G18+'29'!H18</f>
        <v>3090</v>
      </c>
      <c r="I18" s="474">
        <f>'1'!I18</f>
        <v>65</v>
      </c>
      <c r="J18" s="552">
        <f>H18/DAY(B2)</f>
        <v>103</v>
      </c>
      <c r="K18" s="428"/>
      <c r="L18" s="377"/>
      <c r="N18" s="440">
        <f>F18-'1'!E18</f>
        <v>0</v>
      </c>
      <c r="O18" s="804"/>
    </row>
    <row r="19" spans="1:15" ht="27.75">
      <c r="A19" s="1693" t="s">
        <v>70</v>
      </c>
      <c r="B19" s="1694"/>
      <c r="C19" s="1694"/>
      <c r="D19" s="523" t="s">
        <v>143</v>
      </c>
      <c r="E19" s="455">
        <f>'29'!F19</f>
        <v>141431</v>
      </c>
      <c r="F19" s="484">
        <v>141495</v>
      </c>
      <c r="G19" s="473">
        <f t="shared" ref="G19" si="1">F19-E19</f>
        <v>64</v>
      </c>
      <c r="H19" s="460">
        <f>G19+'29'!H19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804"/>
    </row>
    <row r="20" spans="1:15" ht="21.95" customHeight="1">
      <c r="A20" s="585" t="s">
        <v>144</v>
      </c>
      <c r="B20" s="586"/>
      <c r="C20" s="586"/>
      <c r="D20" s="490"/>
      <c r="E20" s="490"/>
      <c r="F20" s="490"/>
      <c r="G20" s="1020">
        <f>G18+G19</f>
        <v>134</v>
      </c>
      <c r="H20" s="460">
        <f>G20+'29'!H20</f>
        <v>3090</v>
      </c>
      <c r="I20" s="492">
        <f>I18-J20</f>
        <v>-38</v>
      </c>
      <c r="J20" s="552">
        <f>H20/DAY(B2)</f>
        <v>103</v>
      </c>
      <c r="K20" s="428"/>
      <c r="L20" s="377"/>
      <c r="N20" s="440">
        <f>F20-'1'!E20</f>
        <v>0</v>
      </c>
      <c r="O20" s="804"/>
    </row>
    <row r="21" spans="1:15" ht="29.25">
      <c r="A21" s="1698" t="s">
        <v>145</v>
      </c>
      <c r="B21" s="1699"/>
      <c r="C21" s="1699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4"/>
    </row>
    <row r="22" spans="1:15" ht="21.95" customHeight="1">
      <c r="A22" s="1139" t="s">
        <v>146</v>
      </c>
      <c r="B22" s="589"/>
      <c r="C22" s="589"/>
      <c r="D22" s="523" t="s">
        <v>147</v>
      </c>
      <c r="E22" s="737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4"/>
    </row>
    <row r="23" spans="1:15" ht="21.95" customHeight="1">
      <c r="A23" s="1139" t="s">
        <v>148</v>
      </c>
      <c r="B23" s="589"/>
      <c r="C23" s="589"/>
      <c r="D23" s="523" t="s">
        <v>147</v>
      </c>
      <c r="E23" s="737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4"/>
    </row>
    <row r="24" spans="1:15" ht="21.95" customHeight="1">
      <c r="A24" s="590" t="s">
        <v>149</v>
      </c>
      <c r="B24" s="591"/>
      <c r="C24" s="591"/>
      <c r="D24" s="511" t="s">
        <v>147</v>
      </c>
      <c r="E24" s="740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4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4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4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21500</v>
      </c>
      <c r="F27" s="501">
        <v>9</v>
      </c>
      <c r="G27" s="1023">
        <f>E27*F27</f>
        <v>193500</v>
      </c>
      <c r="H27" s="460">
        <f>G27+'29'!H27</f>
        <v>5811586.1100000003</v>
      </c>
      <c r="I27" s="503"/>
      <c r="J27" s="552">
        <f>H27/DAY(B2)</f>
        <v>193719.53700000001</v>
      </c>
      <c r="K27" s="373"/>
      <c r="L27" s="443"/>
      <c r="N27" s="440"/>
      <c r="O27" s="804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700</v>
      </c>
      <c r="F28" s="501">
        <v>52</v>
      </c>
      <c r="G28" s="1023">
        <f>E28*F28</f>
        <v>36400</v>
      </c>
      <c r="H28" s="460">
        <f>G28+'29'!H28</f>
        <v>1122376.3199999956</v>
      </c>
      <c r="I28" s="505"/>
      <c r="J28" s="552">
        <f>H28/DAY(B2)</f>
        <v>37412.543999999856</v>
      </c>
      <c r="K28" s="373"/>
      <c r="L28" s="443"/>
      <c r="N28" s="440"/>
      <c r="O28" s="804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1023">
        <f>E29*F29</f>
        <v>0</v>
      </c>
      <c r="H29" s="460">
        <f>G29+'29'!H29</f>
        <v>0</v>
      </c>
      <c r="I29" s="505"/>
      <c r="J29" s="552">
        <f>H29/DAY(B2)</f>
        <v>0</v>
      </c>
      <c r="K29" s="373"/>
      <c r="L29" s="443"/>
      <c r="N29" s="440"/>
      <c r="O29" s="804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64</v>
      </c>
      <c r="F30" s="501">
        <v>146</v>
      </c>
      <c r="G30" s="1023">
        <f>E30*F30</f>
        <v>9344</v>
      </c>
      <c r="H30" s="460">
        <f>G30+'29'!H30</f>
        <v>-584</v>
      </c>
      <c r="I30" s="505"/>
      <c r="J30" s="552">
        <f>H30/DAY(B2)</f>
        <v>-19.466666666666665</v>
      </c>
      <c r="K30" s="373"/>
      <c r="L30" s="443"/>
      <c r="N30" s="440"/>
      <c r="O30" s="804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70</v>
      </c>
      <c r="F31" s="501">
        <v>80</v>
      </c>
      <c r="G31" s="1023">
        <f>E31*F31</f>
        <v>5600</v>
      </c>
      <c r="H31" s="460">
        <f>G31+'29'!H31</f>
        <v>241600</v>
      </c>
      <c r="I31" s="505"/>
      <c r="J31" s="552">
        <f>H31/DAY(B2)</f>
        <v>8053.333333333333</v>
      </c>
      <c r="K31" s="373"/>
      <c r="L31" s="443"/>
      <c r="N31" s="440"/>
      <c r="O31" s="804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244844</v>
      </c>
      <c r="H32" s="460">
        <f>G32+'29'!H32</f>
        <v>7174978.429999996</v>
      </c>
      <c r="I32" s="509"/>
      <c r="J32" s="552">
        <f>H32/DAY(B2)</f>
        <v>239165.94766666653</v>
      </c>
      <c r="K32" s="373"/>
      <c r="L32" s="443"/>
      <c r="N32" s="440"/>
      <c r="O32" s="804"/>
    </row>
    <row r="33" spans="1:15" ht="25.5">
      <c r="A33" s="1703" t="s">
        <v>161</v>
      </c>
      <c r="B33" s="1704"/>
      <c r="C33" s="1704"/>
      <c r="D33" s="1704"/>
      <c r="E33" s="1704"/>
      <c r="F33" s="1704"/>
      <c r="G33" s="1704"/>
      <c r="H33" s="1704"/>
      <c r="I33" s="1704"/>
      <c r="J33" s="1705"/>
      <c r="K33" s="428"/>
      <c r="L33" s="377"/>
      <c r="N33" s="440"/>
      <c r="O33" s="804"/>
    </row>
    <row r="34" spans="1:15" ht="21.95" customHeight="1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4"/>
    </row>
    <row r="35" spans="1:15" ht="21.95" customHeight="1">
      <c r="A35" s="578" t="s">
        <v>163</v>
      </c>
      <c r="B35" s="579"/>
      <c r="C35" s="579"/>
      <c r="D35" s="523" t="s">
        <v>131</v>
      </c>
      <c r="E35" s="455">
        <f>'29'!F35</f>
        <v>1026011</v>
      </c>
      <c r="F35" s="510">
        <v>1028714</v>
      </c>
      <c r="G35" s="473">
        <f t="shared" ref="G35:G46" si="3">F35-E35</f>
        <v>2703</v>
      </c>
      <c r="H35" s="460">
        <f>G35+'29'!H35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804"/>
    </row>
    <row r="36" spans="1:15" ht="21.95" customHeight="1">
      <c r="A36" s="578" t="s">
        <v>164</v>
      </c>
      <c r="B36" s="579"/>
      <c r="C36" s="579"/>
      <c r="D36" s="523" t="s">
        <v>131</v>
      </c>
      <c r="E36" s="455">
        <f>'29'!F36</f>
        <v>19808</v>
      </c>
      <c r="F36" s="510">
        <v>20461</v>
      </c>
      <c r="G36" s="473">
        <f t="shared" si="3"/>
        <v>653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0</v>
      </c>
      <c r="O36" s="804"/>
    </row>
    <row r="37" spans="1:15" ht="21.95" customHeight="1">
      <c r="A37" s="578" t="s">
        <v>165</v>
      </c>
      <c r="B37" s="579"/>
      <c r="C37" s="579"/>
      <c r="D37" s="523" t="s">
        <v>131</v>
      </c>
      <c r="E37" s="455">
        <f>'29'!F37</f>
        <v>175158</v>
      </c>
      <c r="F37" s="510">
        <v>176570</v>
      </c>
      <c r="G37" s="473">
        <f t="shared" si="3"/>
        <v>1412</v>
      </c>
      <c r="H37" s="460">
        <f>G37+'29'!H37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804"/>
    </row>
    <row r="38" spans="1:15" ht="21.95" customHeight="1">
      <c r="A38" s="578" t="s">
        <v>166</v>
      </c>
      <c r="B38" s="579"/>
      <c r="C38" s="579"/>
      <c r="D38" s="523" t="s">
        <v>131</v>
      </c>
      <c r="E38" s="455">
        <f>'29'!F38</f>
        <v>197105</v>
      </c>
      <c r="F38" s="469">
        <v>198459</v>
      </c>
      <c r="G38" s="473">
        <f t="shared" si="3"/>
        <v>1354</v>
      </c>
      <c r="H38" s="460">
        <f>G38+'29'!H38</f>
        <v>0</v>
      </c>
      <c r="I38" s="455"/>
      <c r="J38" s="552">
        <f>H38/DAY(B2)</f>
        <v>0</v>
      </c>
      <c r="K38" s="428"/>
      <c r="L38" s="377"/>
      <c r="N38" s="440"/>
      <c r="O38" s="804"/>
    </row>
    <row r="39" spans="1:15" ht="21.95" customHeight="1">
      <c r="A39" s="578" t="s">
        <v>167</v>
      </c>
      <c r="B39" s="579"/>
      <c r="C39" s="579"/>
      <c r="D39" s="523" t="s">
        <v>131</v>
      </c>
      <c r="E39" s="455">
        <f>'29'!F39</f>
        <v>401127</v>
      </c>
      <c r="F39" s="510">
        <v>404864</v>
      </c>
      <c r="G39" s="473">
        <f t="shared" si="3"/>
        <v>3737</v>
      </c>
      <c r="H39" s="460">
        <f>G39+'29'!H39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804"/>
    </row>
    <row r="40" spans="1:15" ht="21.95" customHeight="1">
      <c r="A40" s="599" t="s">
        <v>168</v>
      </c>
      <c r="B40" s="600"/>
      <c r="C40" s="600"/>
      <c r="D40" s="523" t="s">
        <v>131</v>
      </c>
      <c r="E40" s="455">
        <f>'29'!F40</f>
        <v>6837</v>
      </c>
      <c r="F40" s="510">
        <v>7113</v>
      </c>
      <c r="G40" s="473">
        <f t="shared" si="3"/>
        <v>276</v>
      </c>
      <c r="H40" s="460">
        <f>G40+'29'!H40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804"/>
    </row>
    <row r="41" spans="1:15" ht="21.95" customHeight="1">
      <c r="A41" s="578" t="s">
        <v>169</v>
      </c>
      <c r="B41" s="579"/>
      <c r="C41" s="579"/>
      <c r="D41" s="523" t="s">
        <v>131</v>
      </c>
      <c r="E41" s="455">
        <f>'29'!F41</f>
        <v>324353</v>
      </c>
      <c r="F41" s="510">
        <v>329642</v>
      </c>
      <c r="G41" s="473">
        <f t="shared" si="3"/>
        <v>5289</v>
      </c>
      <c r="H41" s="460">
        <f>G41+'29'!H41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804"/>
    </row>
    <row r="42" spans="1:15" ht="21.95" customHeight="1">
      <c r="A42" s="578" t="s">
        <v>170</v>
      </c>
      <c r="B42" s="579"/>
      <c r="C42" s="579"/>
      <c r="D42" s="523" t="s">
        <v>131</v>
      </c>
      <c r="E42" s="455">
        <f>'29'!F42</f>
        <v>59210</v>
      </c>
      <c r="F42" s="510">
        <v>59210</v>
      </c>
      <c r="G42" s="473">
        <f t="shared" si="3"/>
        <v>0</v>
      </c>
      <c r="H42" s="460">
        <f>G42+'29'!H42</f>
        <v>11.110000000000582</v>
      </c>
      <c r="I42" s="455"/>
      <c r="J42" s="552">
        <f>H42/DAY(B2)</f>
        <v>0.37033333333335272</v>
      </c>
      <c r="K42" s="428"/>
      <c r="L42" s="377"/>
      <c r="N42" s="440">
        <f>F42-'1'!E42</f>
        <v>0</v>
      </c>
      <c r="O42" s="804"/>
    </row>
    <row r="43" spans="1:15" ht="21.95" customHeight="1">
      <c r="A43" s="578" t="s">
        <v>171</v>
      </c>
      <c r="B43" s="579"/>
      <c r="C43" s="579"/>
      <c r="D43" s="523" t="s">
        <v>131</v>
      </c>
      <c r="E43" s="455">
        <f>'29'!F43</f>
        <v>1117914</v>
      </c>
      <c r="F43" s="510">
        <v>1120452</v>
      </c>
      <c r="G43" s="473">
        <f t="shared" si="3"/>
        <v>2538</v>
      </c>
      <c r="H43" s="460">
        <f>G43+'29'!H43</f>
        <v>0</v>
      </c>
      <c r="I43" s="455"/>
      <c r="J43" s="552">
        <f>H43/DAY(B2)</f>
        <v>0</v>
      </c>
      <c r="K43" s="428"/>
      <c r="L43" s="377"/>
      <c r="N43" s="440">
        <f>F43-'1'!E43</f>
        <v>0</v>
      </c>
      <c r="O43" s="804"/>
    </row>
    <row r="44" spans="1:15" ht="21.95" customHeight="1">
      <c r="A44" s="578" t="s">
        <v>172</v>
      </c>
      <c r="B44" s="579"/>
      <c r="C44" s="579"/>
      <c r="D44" s="523" t="s">
        <v>131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4"/>
    </row>
    <row r="45" spans="1:15" ht="21.95" customHeight="1">
      <c r="A45" s="578" t="s">
        <v>173</v>
      </c>
      <c r="B45" s="579"/>
      <c r="C45" s="579"/>
      <c r="D45" s="523" t="s">
        <v>131</v>
      </c>
      <c r="E45" s="455">
        <f>'29'!F45</f>
        <v>0</v>
      </c>
      <c r="F45" s="510">
        <v>0</v>
      </c>
      <c r="G45" s="473">
        <f t="shared" si="3"/>
        <v>0</v>
      </c>
      <c r="H45" s="460">
        <f>G45+'29'!H45</f>
        <v>0</v>
      </c>
      <c r="I45" s="455"/>
      <c r="J45" s="552">
        <f>H45/DAY(B2)</f>
        <v>0</v>
      </c>
      <c r="K45" s="428"/>
      <c r="L45" s="377"/>
      <c r="N45" s="440">
        <f>F45-'1'!E45</f>
        <v>0</v>
      </c>
      <c r="O45" s="804"/>
    </row>
    <row r="46" spans="1:15" ht="21.95" customHeight="1">
      <c r="A46" s="578" t="s">
        <v>174</v>
      </c>
      <c r="B46" s="579"/>
      <c r="C46" s="579"/>
      <c r="D46" s="523" t="s">
        <v>131</v>
      </c>
      <c r="E46" s="455">
        <f>'29'!F46</f>
        <v>0</v>
      </c>
      <c r="F46" s="510">
        <v>0</v>
      </c>
      <c r="G46" s="473">
        <f t="shared" si="3"/>
        <v>0</v>
      </c>
      <c r="H46" s="460">
        <f>G46+'29'!H46</f>
        <v>-5.0000000000011369E-2</v>
      </c>
      <c r="I46" s="455"/>
      <c r="J46" s="552">
        <f>H46/DAY(B2)</f>
        <v>-1.6666666666670456E-3</v>
      </c>
      <c r="K46" s="428"/>
      <c r="L46" s="377"/>
      <c r="N46" s="440">
        <f>F46-'1'!E46</f>
        <v>0</v>
      </c>
      <c r="O46" s="804"/>
    </row>
    <row r="47" spans="1:15" ht="21.95" customHeight="1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17962</v>
      </c>
      <c r="H47" s="460">
        <f>G47+'29'!H47</f>
        <v>812.55000000006112</v>
      </c>
      <c r="I47" s="455"/>
      <c r="J47" s="552">
        <f>H47/DAY(B2)</f>
        <v>27.085000000002037</v>
      </c>
      <c r="K47" s="428"/>
      <c r="L47" s="377"/>
      <c r="N47" s="440">
        <f>F47-'1'!E47</f>
        <v>0</v>
      </c>
      <c r="O47" s="804"/>
    </row>
    <row r="48" spans="1:15" ht="29.2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O48" s="804"/>
    </row>
    <row r="49" spans="1:15" ht="29.25">
      <c r="A49" s="578" t="s">
        <v>163</v>
      </c>
      <c r="B49" s="601"/>
      <c r="C49" s="601"/>
      <c r="D49" s="523" t="s">
        <v>131</v>
      </c>
      <c r="E49" s="455">
        <f>'29'!F49</f>
        <v>260732.13</v>
      </c>
      <c r="F49" s="510">
        <v>260732</v>
      </c>
      <c r="G49" s="473">
        <f t="shared" ref="G49:G58" si="4">F49-E49</f>
        <v>-0.13000000000465661</v>
      </c>
      <c r="H49" s="460">
        <f>G49+'29'!H49</f>
        <v>0</v>
      </c>
      <c r="I49" s="455"/>
      <c r="J49" s="552">
        <f>H49/DAY(B2)</f>
        <v>0</v>
      </c>
      <c r="K49" s="428"/>
      <c r="L49" s="377"/>
      <c r="O49" s="804"/>
    </row>
    <row r="50" spans="1:15" ht="29.25">
      <c r="A50" s="578" t="s">
        <v>177</v>
      </c>
      <c r="B50" s="601"/>
      <c r="C50" s="601"/>
      <c r="D50" s="523" t="s">
        <v>131</v>
      </c>
      <c r="E50" s="455">
        <f>'29'!F50</f>
        <v>533719</v>
      </c>
      <c r="F50" s="510">
        <v>534663</v>
      </c>
      <c r="G50" s="473">
        <f t="shared" si="4"/>
        <v>944</v>
      </c>
      <c r="H50" s="460">
        <f>G50+'29'!H50</f>
        <v>-890</v>
      </c>
      <c r="I50" s="455"/>
      <c r="J50" s="552">
        <f>H50/DAY(B2)</f>
        <v>-29.666666666666668</v>
      </c>
      <c r="K50" s="428"/>
      <c r="L50" s="377"/>
      <c r="O50" s="804"/>
    </row>
    <row r="51" spans="1:15" ht="29.25">
      <c r="A51" s="578" t="s">
        <v>165</v>
      </c>
      <c r="B51" s="601"/>
      <c r="C51" s="601"/>
      <c r="D51" s="523" t="s">
        <v>131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4"/>
    </row>
    <row r="52" spans="1:15" ht="29.25">
      <c r="A52" s="578" t="s">
        <v>178</v>
      </c>
      <c r="B52" s="601"/>
      <c r="C52" s="601"/>
      <c r="D52" s="523" t="s">
        <v>131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4"/>
    </row>
    <row r="53" spans="1:15" ht="29.25">
      <c r="A53" s="578" t="s">
        <v>167</v>
      </c>
      <c r="B53" s="601"/>
      <c r="C53" s="601"/>
      <c r="D53" s="523" t="s">
        <v>131</v>
      </c>
      <c r="E53" s="455">
        <f>'29'!F53</f>
        <v>434232</v>
      </c>
      <c r="F53" s="510">
        <v>434232</v>
      </c>
      <c r="G53" s="473">
        <f t="shared" si="4"/>
        <v>0</v>
      </c>
      <c r="H53" s="460">
        <f>G53+'29'!H53</f>
        <v>-0.33000000001629815</v>
      </c>
      <c r="I53" s="455"/>
      <c r="J53" s="552">
        <f>H53/DAY(B2)</f>
        <v>-1.1000000000543271E-2</v>
      </c>
      <c r="K53" s="428"/>
      <c r="L53" s="377"/>
      <c r="O53" s="804"/>
    </row>
    <row r="54" spans="1:15" ht="29.25">
      <c r="A54" s="578" t="s">
        <v>179</v>
      </c>
      <c r="B54" s="601"/>
      <c r="C54" s="601"/>
      <c r="D54" s="523" t="s">
        <v>131</v>
      </c>
      <c r="E54" s="455">
        <f>'29'!F54</f>
        <v>14967</v>
      </c>
      <c r="F54" s="510">
        <v>14967</v>
      </c>
      <c r="G54" s="473">
        <f t="shared" si="4"/>
        <v>0</v>
      </c>
      <c r="H54" s="460">
        <f>G54+'29'!H54</f>
        <v>-79</v>
      </c>
      <c r="I54" s="455"/>
      <c r="J54" s="552">
        <f>H54/DAY(B2)</f>
        <v>-2.6333333333333333</v>
      </c>
      <c r="K54" s="428"/>
      <c r="L54" s="377"/>
      <c r="O54" s="804"/>
    </row>
    <row r="55" spans="1:15" ht="29.25">
      <c r="A55" s="578" t="s">
        <v>180</v>
      </c>
      <c r="B55" s="601"/>
      <c r="C55" s="601"/>
      <c r="D55" s="523" t="s">
        <v>131</v>
      </c>
      <c r="E55" s="455">
        <f>'29'!F55</f>
        <v>117226</v>
      </c>
      <c r="F55" s="1055">
        <v>117636</v>
      </c>
      <c r="G55" s="473">
        <f t="shared" si="4"/>
        <v>410</v>
      </c>
      <c r="H55" s="460">
        <f>G55+'29'!H55</f>
        <v>0</v>
      </c>
      <c r="I55" s="455"/>
      <c r="J55" s="552">
        <f>H55/DAY(B2)</f>
        <v>0</v>
      </c>
      <c r="K55" s="428"/>
      <c r="L55" s="377"/>
      <c r="O55" s="804"/>
    </row>
    <row r="56" spans="1:15" ht="29.25">
      <c r="A56" s="578" t="s">
        <v>181</v>
      </c>
      <c r="B56" s="601"/>
      <c r="C56" s="601"/>
      <c r="D56" s="523" t="s">
        <v>182</v>
      </c>
      <c r="E56" s="455">
        <f>'29'!F56</f>
        <v>649022</v>
      </c>
      <c r="F56" s="510">
        <v>649032</v>
      </c>
      <c r="G56" s="473">
        <f t="shared" si="4"/>
        <v>10</v>
      </c>
      <c r="H56" s="460">
        <f>G56+'29'!H56</f>
        <v>0</v>
      </c>
      <c r="I56" s="455"/>
      <c r="J56" s="552">
        <f>H56/DAY(B2)</f>
        <v>0</v>
      </c>
      <c r="K56" s="427"/>
      <c r="L56" s="377"/>
      <c r="O56" s="804"/>
    </row>
    <row r="57" spans="1:15" ht="29.25">
      <c r="A57" s="578" t="s">
        <v>171</v>
      </c>
      <c r="B57" s="601"/>
      <c r="C57" s="601"/>
      <c r="D57" s="523" t="s">
        <v>131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4"/>
    </row>
    <row r="58" spans="1:15" ht="29.25">
      <c r="A58" s="578" t="s">
        <v>183</v>
      </c>
      <c r="B58" s="601"/>
      <c r="C58" s="601"/>
      <c r="D58" s="523" t="s">
        <v>131</v>
      </c>
      <c r="E58" s="455">
        <f>'29'!F58</f>
        <v>53986</v>
      </c>
      <c r="F58" s="510">
        <v>53986</v>
      </c>
      <c r="G58" s="473">
        <f t="shared" si="4"/>
        <v>0</v>
      </c>
      <c r="H58" s="460">
        <f>G58+'29'!H58</f>
        <v>-239.20999999999913</v>
      </c>
      <c r="I58" s="455"/>
      <c r="J58" s="552">
        <f>H58/DAY(B2)</f>
        <v>-7.9736666666666371</v>
      </c>
      <c r="K58" s="428"/>
      <c r="L58" s="377"/>
      <c r="O58" s="804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1363.9300000000512</v>
      </c>
      <c r="H59" s="460">
        <f>G59+'29'!H59</f>
        <v>-1208.5400000000154</v>
      </c>
      <c r="I59" s="455">
        <f>G7-G60</f>
        <v>2174.0699999999488</v>
      </c>
      <c r="J59" s="552">
        <f>H59/DAY(B2)</f>
        <v>-40.284666666667178</v>
      </c>
      <c r="K59" s="428"/>
      <c r="L59" s="377"/>
      <c r="O59" s="804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19325.930000000051</v>
      </c>
      <c r="H60" s="460">
        <f>G60+'29'!H60</f>
        <v>812.54999999987194</v>
      </c>
      <c r="I60" s="455">
        <f>G13-G60</f>
        <v>-2375.9300000000512</v>
      </c>
      <c r="J60" s="552">
        <f>H60/DAY(B2)</f>
        <v>27.08499999999573</v>
      </c>
      <c r="K60" s="428"/>
      <c r="L60" s="377"/>
      <c r="O60" s="804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4"/>
    </row>
    <row r="62" spans="1:15" ht="29.25">
      <c r="A62" s="603" t="s">
        <v>97</v>
      </c>
      <c r="B62" s="604"/>
      <c r="C62" s="604"/>
      <c r="D62" s="511" t="s">
        <v>186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1.9999999967694748E-3</v>
      </c>
      <c r="I62" s="515"/>
      <c r="J62" s="552">
        <f>H62/DAY(B2)</f>
        <v>6.666666655898249E-5</v>
      </c>
      <c r="K62" s="428"/>
      <c r="L62" s="377"/>
      <c r="O62" s="804"/>
    </row>
    <row r="63" spans="1:15" ht="29.25">
      <c r="A63" s="603" t="s">
        <v>187</v>
      </c>
      <c r="B63" s="604"/>
      <c r="C63" s="604"/>
      <c r="D63" s="511" t="s">
        <v>186</v>
      </c>
      <c r="E63" s="455">
        <f>'29'!F63</f>
        <v>0</v>
      </c>
      <c r="F63" s="514">
        <v>0</v>
      </c>
      <c r="G63" s="473">
        <f t="shared" si="5"/>
        <v>0</v>
      </c>
      <c r="H63" s="460">
        <f>G63+'29'!H63</f>
        <v>0</v>
      </c>
      <c r="I63" s="515"/>
      <c r="J63" s="552">
        <f>H63/DAY(B2)</f>
        <v>0</v>
      </c>
      <c r="K63" s="428"/>
      <c r="L63" s="377"/>
      <c r="O63" s="804"/>
    </row>
    <row r="64" spans="1:15" ht="27.75">
      <c r="A64" s="1706" t="s">
        <v>98</v>
      </c>
      <c r="B64" s="1546"/>
      <c r="C64" s="1546"/>
      <c r="D64" s="523" t="s">
        <v>186</v>
      </c>
      <c r="E64" s="455">
        <f>'29'!F64</f>
        <v>169669</v>
      </c>
      <c r="F64" s="484">
        <v>170022</v>
      </c>
      <c r="G64" s="473">
        <f t="shared" si="5"/>
        <v>353</v>
      </c>
      <c r="H64" s="460">
        <f>G64+'29'!H64</f>
        <v>0</v>
      </c>
      <c r="I64" s="480"/>
      <c r="J64" s="552">
        <f>H64/DAY(B2)</f>
        <v>0</v>
      </c>
      <c r="K64" s="428"/>
      <c r="L64" s="377"/>
      <c r="O64" s="804"/>
    </row>
    <row r="65" spans="1:15" ht="27.75">
      <c r="A65" s="1706" t="s">
        <v>99</v>
      </c>
      <c r="B65" s="1546"/>
      <c r="C65" s="1546"/>
      <c r="D65" s="523" t="s">
        <v>186</v>
      </c>
      <c r="E65" s="455">
        <f>'29'!F65</f>
        <v>169867</v>
      </c>
      <c r="F65" s="484">
        <v>170302</v>
      </c>
      <c r="G65" s="473">
        <f t="shared" si="5"/>
        <v>435</v>
      </c>
      <c r="H65" s="460">
        <f>G65+'29'!H65</f>
        <v>0</v>
      </c>
      <c r="I65" s="489"/>
      <c r="J65" s="552">
        <f>H65/DAY(B2)</f>
        <v>0</v>
      </c>
      <c r="K65" s="428"/>
      <c r="L65" s="377"/>
      <c r="O65" s="804"/>
    </row>
    <row r="66" spans="1:15" ht="27.75">
      <c r="A66" s="1706" t="s">
        <v>100</v>
      </c>
      <c r="B66" s="1546"/>
      <c r="C66" s="1546"/>
      <c r="D66" s="523" t="s">
        <v>186</v>
      </c>
      <c r="E66" s="455">
        <f>'29'!F66</f>
        <v>67531</v>
      </c>
      <c r="F66" s="484">
        <v>67970</v>
      </c>
      <c r="G66" s="473">
        <f t="shared" si="5"/>
        <v>439</v>
      </c>
      <c r="H66" s="460">
        <f>G66+'29'!H66</f>
        <v>0</v>
      </c>
      <c r="I66" s="480"/>
      <c r="J66" s="552">
        <f>H66/DAY(B2)</f>
        <v>0</v>
      </c>
      <c r="K66" s="428"/>
      <c r="L66" s="377"/>
      <c r="O66" s="804"/>
    </row>
    <row r="67" spans="1:15" ht="27.75">
      <c r="A67" s="1706" t="s">
        <v>101</v>
      </c>
      <c r="B67" s="1546"/>
      <c r="C67" s="1546"/>
      <c r="D67" s="523" t="s">
        <v>186</v>
      </c>
      <c r="E67" s="455">
        <f>'29'!F67</f>
        <v>264497</v>
      </c>
      <c r="F67" s="484">
        <v>264959</v>
      </c>
      <c r="G67" s="473">
        <f t="shared" si="5"/>
        <v>462</v>
      </c>
      <c r="H67" s="460">
        <f>G67+'29'!H67</f>
        <v>0</v>
      </c>
      <c r="I67" s="489"/>
      <c r="J67" s="552">
        <f>H67/DAY(B2)</f>
        <v>0</v>
      </c>
      <c r="K67" s="429"/>
      <c r="L67" s="377"/>
      <c r="O67" s="804"/>
    </row>
    <row r="68" spans="1:15" ht="27.75">
      <c r="A68" s="1706" t="s">
        <v>102</v>
      </c>
      <c r="B68" s="1546"/>
      <c r="C68" s="1546"/>
      <c r="D68" s="523" t="s">
        <v>186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4"/>
    </row>
    <row r="69" spans="1:15" ht="27.75">
      <c r="A69" s="1706" t="s">
        <v>103</v>
      </c>
      <c r="B69" s="1546"/>
      <c r="C69" s="1546"/>
      <c r="D69" s="523" t="s">
        <v>186</v>
      </c>
      <c r="E69" s="455">
        <f>'29'!F69</f>
        <v>87263</v>
      </c>
      <c r="F69" s="484">
        <v>87515</v>
      </c>
      <c r="G69" s="473">
        <f t="shared" si="5"/>
        <v>252</v>
      </c>
      <c r="H69" s="460">
        <f>G69+'29'!H69</f>
        <v>0</v>
      </c>
      <c r="I69" s="516"/>
      <c r="J69" s="552">
        <f>H69/DAY(B2)</f>
        <v>0</v>
      </c>
      <c r="K69" s="431"/>
      <c r="L69" s="377"/>
      <c r="O69" s="804"/>
    </row>
    <row r="70" spans="1:15" ht="27.75">
      <c r="A70" s="1707" t="s">
        <v>188</v>
      </c>
      <c r="B70" s="1612"/>
      <c r="C70" s="1612"/>
      <c r="D70" s="523" t="s">
        <v>186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4"/>
    </row>
    <row r="71" spans="1:15" ht="31.5">
      <c r="A71" s="1700" t="s">
        <v>189</v>
      </c>
      <c r="B71" s="1701"/>
      <c r="C71" s="1701"/>
      <c r="D71" s="1701"/>
      <c r="E71" s="1701"/>
      <c r="F71" s="1701"/>
      <c r="G71" s="1701"/>
      <c r="H71" s="1701"/>
      <c r="I71" s="1701"/>
      <c r="J71" s="1702"/>
      <c r="K71" s="430"/>
      <c r="L71" s="377"/>
      <c r="O71" s="804"/>
    </row>
    <row r="72" spans="1:15" ht="27.75">
      <c r="A72" s="1706" t="s">
        <v>190</v>
      </c>
      <c r="B72" s="1546"/>
      <c r="C72" s="1546"/>
      <c r="D72" s="523" t="s">
        <v>186</v>
      </c>
      <c r="E72" s="455">
        <f>'29'!F72</f>
        <v>856211</v>
      </c>
      <c r="F72" s="519">
        <v>856222</v>
      </c>
      <c r="G72" s="473">
        <f t="shared" ref="G72:G84" si="6">F72-E72</f>
        <v>11</v>
      </c>
      <c r="H72" s="460">
        <f>G72+'29'!H72</f>
        <v>-13</v>
      </c>
      <c r="I72" s="480"/>
      <c r="J72" s="552">
        <f>H72/DAY(B2)</f>
        <v>-0.43333333333333335</v>
      </c>
      <c r="K72" s="431"/>
      <c r="L72" s="377"/>
      <c r="O72" s="804"/>
    </row>
    <row r="73" spans="1:15" ht="27.75">
      <c r="A73" s="1706" t="s">
        <v>191</v>
      </c>
      <c r="B73" s="1546"/>
      <c r="C73" s="1546"/>
      <c r="D73" s="523" t="s">
        <v>186</v>
      </c>
      <c r="E73" s="455">
        <f>'29'!F73</f>
        <v>885971</v>
      </c>
      <c r="F73" s="520">
        <v>885972</v>
      </c>
      <c r="G73" s="473">
        <f t="shared" si="6"/>
        <v>1</v>
      </c>
      <c r="H73" s="460">
        <f>G73+'29'!H73</f>
        <v>-188</v>
      </c>
      <c r="I73" s="480"/>
      <c r="J73" s="552">
        <f>H73/DAY(B2)</f>
        <v>-6.2666666666666666</v>
      </c>
      <c r="K73" s="430"/>
      <c r="L73" s="377"/>
      <c r="O73" s="804"/>
    </row>
    <row r="74" spans="1:15" ht="27.75">
      <c r="A74" s="1706" t="s">
        <v>192</v>
      </c>
      <c r="B74" s="1546"/>
      <c r="C74" s="1546"/>
      <c r="D74" s="523" t="s">
        <v>186</v>
      </c>
      <c r="E74" s="455">
        <f>'29'!F74</f>
        <v>88694</v>
      </c>
      <c r="F74" s="521">
        <v>88696</v>
      </c>
      <c r="G74" s="473">
        <f t="shared" si="6"/>
        <v>2</v>
      </c>
      <c r="H74" s="460">
        <f>G74+'29'!H74</f>
        <v>-86079.039999999994</v>
      </c>
      <c r="I74" s="480"/>
      <c r="J74" s="552">
        <f>H74/DAY(B2)</f>
        <v>-2869.3013333333333</v>
      </c>
      <c r="K74" s="431"/>
      <c r="L74" s="377"/>
      <c r="O74" s="804"/>
    </row>
    <row r="75" spans="1:15" ht="27.75">
      <c r="A75" s="1708" t="s">
        <v>193</v>
      </c>
      <c r="B75" s="1709"/>
      <c r="C75" s="1709"/>
      <c r="D75" s="523" t="s">
        <v>186</v>
      </c>
      <c r="E75" s="455">
        <f>'29'!F75</f>
        <v>15940</v>
      </c>
      <c r="F75" s="521">
        <v>16071</v>
      </c>
      <c r="G75" s="473">
        <f t="shared" si="6"/>
        <v>131</v>
      </c>
      <c r="H75" s="460">
        <f>G75+'29'!H75</f>
        <v>0</v>
      </c>
      <c r="I75" s="480"/>
      <c r="J75" s="552">
        <f>H75/DAY(B2)</f>
        <v>0</v>
      </c>
      <c r="K75" s="430"/>
      <c r="L75" s="377"/>
      <c r="O75" s="804"/>
    </row>
    <row r="76" spans="1:15" ht="27.75">
      <c r="A76" s="1708" t="s">
        <v>194</v>
      </c>
      <c r="B76" s="1709"/>
      <c r="C76" s="1709"/>
      <c r="D76" s="523" t="s">
        <v>186</v>
      </c>
      <c r="E76" s="455">
        <f>'29'!F76</f>
        <v>9261</v>
      </c>
      <c r="F76" s="520">
        <v>9336</v>
      </c>
      <c r="G76" s="473">
        <f t="shared" si="6"/>
        <v>75</v>
      </c>
      <c r="H76" s="460">
        <f>G76+'29'!H76</f>
        <v>-1272</v>
      </c>
      <c r="I76" s="505"/>
      <c r="J76" s="552">
        <f>H76/DAY(B2)</f>
        <v>-42.4</v>
      </c>
      <c r="K76" s="430"/>
      <c r="L76" s="377"/>
      <c r="O76" s="804"/>
    </row>
    <row r="77" spans="1:15" ht="27.75">
      <c r="A77" s="1706" t="s">
        <v>195</v>
      </c>
      <c r="B77" s="1546"/>
      <c r="C77" s="1546"/>
      <c r="D77" s="523" t="s">
        <v>186</v>
      </c>
      <c r="E77" s="455">
        <f>'29'!F77</f>
        <v>704314</v>
      </c>
      <c r="F77" s="521">
        <v>704374</v>
      </c>
      <c r="G77" s="473">
        <f t="shared" si="6"/>
        <v>60</v>
      </c>
      <c r="H77" s="460">
        <f>G77+'29'!H77</f>
        <v>0</v>
      </c>
      <c r="I77" s="505"/>
      <c r="J77" s="552">
        <f>H77/DAY(B2)</f>
        <v>0</v>
      </c>
      <c r="K77" s="430"/>
      <c r="L77" s="377"/>
      <c r="O77" s="804"/>
    </row>
    <row r="78" spans="1:15" ht="27.75">
      <c r="A78" s="1142" t="s">
        <v>196</v>
      </c>
      <c r="B78" s="1115"/>
      <c r="C78" s="1115"/>
      <c r="D78" s="523" t="s">
        <v>186</v>
      </c>
      <c r="E78" s="455">
        <f>'29'!F78</f>
        <v>675299</v>
      </c>
      <c r="F78" s="521">
        <v>675414</v>
      </c>
      <c r="G78" s="473">
        <f t="shared" si="6"/>
        <v>115</v>
      </c>
      <c r="H78" s="460">
        <f>G78+'29'!H78</f>
        <v>0</v>
      </c>
      <c r="I78" s="505"/>
      <c r="J78" s="552">
        <f>H78/DAY(B2)</f>
        <v>0</v>
      </c>
      <c r="K78" s="430"/>
      <c r="L78" s="377"/>
      <c r="O78" s="804"/>
    </row>
    <row r="79" spans="1:15" ht="27.75">
      <c r="A79" s="1708" t="s">
        <v>91</v>
      </c>
      <c r="B79" s="1709"/>
      <c r="C79" s="1709"/>
      <c r="D79" s="524" t="s">
        <v>186</v>
      </c>
      <c r="E79" s="455">
        <f>'29'!F79</f>
        <v>835257</v>
      </c>
      <c r="F79" s="521">
        <v>835416</v>
      </c>
      <c r="G79" s="473">
        <f t="shared" si="6"/>
        <v>159</v>
      </c>
      <c r="H79" s="460">
        <f>G79+'29'!H79</f>
        <v>1012</v>
      </c>
      <c r="I79" s="505"/>
      <c r="J79" s="552">
        <f>H79/DAY(B2)</f>
        <v>33.733333333333334</v>
      </c>
      <c r="K79" s="430"/>
      <c r="L79" s="377"/>
      <c r="O79" s="804"/>
    </row>
    <row r="80" spans="1:15" ht="27.75">
      <c r="A80" s="1708" t="s">
        <v>197</v>
      </c>
      <c r="B80" s="1709"/>
      <c r="C80" s="1709"/>
      <c r="D80" s="524" t="s">
        <v>186</v>
      </c>
      <c r="E80" s="455">
        <f>'29'!F80</f>
        <v>538632</v>
      </c>
      <c r="F80" s="520">
        <v>539013</v>
      </c>
      <c r="G80" s="473">
        <f t="shared" si="6"/>
        <v>381</v>
      </c>
      <c r="H80" s="460">
        <f>G80+'29'!H80</f>
        <v>4061.4799999999814</v>
      </c>
      <c r="I80" s="505"/>
      <c r="J80" s="552">
        <f>H80/DAY(B2)</f>
        <v>135.38266666666604</v>
      </c>
      <c r="K80" s="430"/>
      <c r="L80" s="377"/>
      <c r="O80" s="804"/>
    </row>
    <row r="81" spans="1:15" ht="27.75">
      <c r="A81" s="1708" t="s">
        <v>198</v>
      </c>
      <c r="B81" s="1709"/>
      <c r="C81" s="1709"/>
      <c r="D81" s="524" t="s">
        <v>186</v>
      </c>
      <c r="E81" s="455">
        <f>'29'!F81</f>
        <v>642845</v>
      </c>
      <c r="F81" s="520">
        <v>642985</v>
      </c>
      <c r="G81" s="473">
        <f t="shared" si="6"/>
        <v>140</v>
      </c>
      <c r="H81" s="460">
        <f>G81+'29'!H81</f>
        <v>0</v>
      </c>
      <c r="I81" s="505"/>
      <c r="J81" s="552">
        <f>H81/DAY(B2)</f>
        <v>0</v>
      </c>
      <c r="K81" s="430"/>
      <c r="L81" s="377"/>
      <c r="O81" s="804"/>
    </row>
    <row r="82" spans="1:15" ht="27.75">
      <c r="A82" s="1708" t="s">
        <v>92</v>
      </c>
      <c r="B82" s="1709"/>
      <c r="C82" s="1709"/>
      <c r="D82" s="485" t="s">
        <v>131</v>
      </c>
      <c r="E82" s="455">
        <f>'29'!F82</f>
        <v>108670</v>
      </c>
      <c r="F82" s="522">
        <v>108681</v>
      </c>
      <c r="G82" s="473">
        <f t="shared" si="6"/>
        <v>11</v>
      </c>
      <c r="H82" s="460">
        <f>G82+'29'!H82</f>
        <v>0</v>
      </c>
      <c r="I82" s="486"/>
      <c r="J82" s="552">
        <f>H82/DAY(B2)</f>
        <v>0</v>
      </c>
      <c r="K82" s="430"/>
      <c r="L82" s="377"/>
      <c r="O82" s="804"/>
    </row>
    <row r="83" spans="1:15" ht="27.75">
      <c r="A83" s="1708" t="s">
        <v>199</v>
      </c>
      <c r="B83" s="1709"/>
      <c r="C83" s="1709"/>
      <c r="D83" s="620" t="s">
        <v>131</v>
      </c>
      <c r="E83" s="455">
        <f>'29'!F83</f>
        <v>27277</v>
      </c>
      <c r="F83" s="511">
        <v>27551</v>
      </c>
      <c r="G83" s="473">
        <f t="shared" si="6"/>
        <v>274</v>
      </c>
      <c r="H83" s="460">
        <f>G83+'29'!H83</f>
        <v>0</v>
      </c>
      <c r="I83" s="481"/>
      <c r="J83" s="552">
        <f>H83/DAY(B2)</f>
        <v>0</v>
      </c>
      <c r="K83" s="429"/>
      <c r="L83" s="377"/>
      <c r="O83" s="804"/>
    </row>
    <row r="84" spans="1:15" ht="29.25">
      <c r="A84" s="1143" t="s">
        <v>200</v>
      </c>
      <c r="B84" s="571"/>
      <c r="C84" s="571"/>
      <c r="D84" s="478" t="s">
        <v>131</v>
      </c>
      <c r="E84" s="455">
        <f>'29'!F84</f>
        <v>522240</v>
      </c>
      <c r="F84" s="523">
        <v>523080</v>
      </c>
      <c r="G84" s="473">
        <f t="shared" si="6"/>
        <v>840</v>
      </c>
      <c r="H84" s="460">
        <f>G84+'29'!H84</f>
        <v>0</v>
      </c>
      <c r="I84" s="481"/>
      <c r="J84" s="552">
        <f>H84/DAY(B2)</f>
        <v>0</v>
      </c>
      <c r="K84" s="380"/>
      <c r="L84" s="377"/>
      <c r="O84" s="804"/>
    </row>
    <row r="85" spans="1:15" s="379" customFormat="1" ht="21.95" customHeight="1">
      <c r="A85" s="605" t="s">
        <v>201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2200</v>
      </c>
      <c r="H85" s="460">
        <f>G85+'29'!H85</f>
        <v>-86079.040000000008</v>
      </c>
      <c r="I85" s="481"/>
      <c r="J85" s="552">
        <f>H85/DAY(B2)</f>
        <v>-2869.3013333333338</v>
      </c>
      <c r="K85" s="380"/>
      <c r="L85" s="378"/>
      <c r="O85" s="804"/>
    </row>
    <row r="86" spans="1:15" s="735" customFormat="1" ht="29.25">
      <c r="A86" s="730" t="s">
        <v>93</v>
      </c>
      <c r="B86" s="731"/>
      <c r="C86" s="731"/>
      <c r="D86" s="732" t="s">
        <v>182</v>
      </c>
      <c r="E86" s="455">
        <f>'29'!F86</f>
        <v>461791</v>
      </c>
      <c r="F86" s="647">
        <v>461821</v>
      </c>
      <c r="G86" s="705">
        <f t="shared" ref="G86:G91" si="7">F86-E86</f>
        <v>30</v>
      </c>
      <c r="H86" s="460">
        <f>G86+'29'!H86</f>
        <v>77</v>
      </c>
      <c r="I86" s="652"/>
      <c r="J86" s="707">
        <f>H86/DAY(B2)</f>
        <v>2.5666666666666669</v>
      </c>
      <c r="K86" s="733"/>
      <c r="L86" s="734"/>
      <c r="O86" s="804"/>
    </row>
    <row r="87" spans="1:15" s="735" customFormat="1" ht="27.75" customHeight="1">
      <c r="A87" s="730" t="s">
        <v>94</v>
      </c>
      <c r="B87" s="731"/>
      <c r="C87" s="731"/>
      <c r="D87" s="732" t="s">
        <v>182</v>
      </c>
      <c r="E87" s="455">
        <f>'29'!F87</f>
        <v>82038</v>
      </c>
      <c r="F87" s="647">
        <v>82073</v>
      </c>
      <c r="G87" s="705">
        <f t="shared" si="7"/>
        <v>35</v>
      </c>
      <c r="H87" s="460">
        <f>G87+'29'!H87</f>
        <v>65</v>
      </c>
      <c r="I87" s="652"/>
      <c r="J87" s="707">
        <f>H87/DAY(B2)</f>
        <v>2.1666666666666665</v>
      </c>
      <c r="K87" s="733"/>
      <c r="L87" s="734"/>
      <c r="O87" s="804"/>
    </row>
    <row r="88" spans="1:15" s="735" customFormat="1" ht="29.25">
      <c r="A88" s="730" t="s">
        <v>95</v>
      </c>
      <c r="B88" s="731"/>
      <c r="C88" s="731"/>
      <c r="D88" s="732" t="s">
        <v>182</v>
      </c>
      <c r="E88" s="455">
        <f>'29'!F88</f>
        <v>155234</v>
      </c>
      <c r="F88" s="647">
        <v>155323</v>
      </c>
      <c r="G88" s="705">
        <f t="shared" si="7"/>
        <v>89</v>
      </c>
      <c r="H88" s="460">
        <f>G88+'29'!H88</f>
        <v>201</v>
      </c>
      <c r="I88" s="652"/>
      <c r="J88" s="707">
        <f>H88/DAY(B2)</f>
        <v>6.7</v>
      </c>
      <c r="K88" s="733"/>
      <c r="L88" s="734"/>
      <c r="O88" s="804"/>
    </row>
    <row r="89" spans="1:15" s="735" customFormat="1" ht="29.25">
      <c r="A89" s="730" t="s">
        <v>203</v>
      </c>
      <c r="B89" s="731"/>
      <c r="C89" s="731"/>
      <c r="D89" s="732" t="s">
        <v>182</v>
      </c>
      <c r="E89" s="455">
        <f>'29'!F89</f>
        <v>65824</v>
      </c>
      <c r="F89" s="647">
        <v>65846</v>
      </c>
      <c r="G89" s="705">
        <f t="shared" si="7"/>
        <v>22</v>
      </c>
      <c r="H89" s="460">
        <f>G89+'29'!H89</f>
        <v>48</v>
      </c>
      <c r="I89" s="652"/>
      <c r="J89" s="707">
        <f>H89/DAY(B2)</f>
        <v>1.6</v>
      </c>
      <c r="K89" s="733"/>
      <c r="L89" s="734"/>
      <c r="N89" s="777"/>
      <c r="O89" s="804"/>
    </row>
    <row r="90" spans="1:15" s="735" customFormat="1" ht="29.25">
      <c r="A90" s="730" t="s">
        <v>203</v>
      </c>
      <c r="B90" s="731"/>
      <c r="C90" s="731"/>
      <c r="D90" s="732" t="s">
        <v>182</v>
      </c>
      <c r="E90" s="455">
        <f>'29'!F90</f>
        <v>3341</v>
      </c>
      <c r="F90" s="647">
        <v>3344</v>
      </c>
      <c r="G90" s="705">
        <f t="shared" si="7"/>
        <v>3</v>
      </c>
      <c r="H90" s="460">
        <f>G90+'29'!H90</f>
        <v>6</v>
      </c>
      <c r="I90" s="652"/>
      <c r="J90" s="707">
        <f>H90/DAY(B2)</f>
        <v>0.2</v>
      </c>
      <c r="K90" s="733"/>
      <c r="L90" s="734"/>
      <c r="N90" s="777"/>
      <c r="O90" s="804"/>
    </row>
    <row r="91" spans="1:15" s="735" customFormat="1" ht="29.25">
      <c r="A91" s="730" t="s">
        <v>348</v>
      </c>
      <c r="B91" s="731"/>
      <c r="C91" s="731"/>
      <c r="D91" s="732"/>
      <c r="E91" s="455">
        <f>'29'!F91</f>
        <v>28239</v>
      </c>
      <c r="F91" s="647">
        <v>28250</v>
      </c>
      <c r="G91" s="705">
        <f t="shared" si="7"/>
        <v>11</v>
      </c>
      <c r="H91" s="460">
        <f>G91+'29'!H91</f>
        <v>21</v>
      </c>
      <c r="I91" s="652"/>
      <c r="J91" s="707">
        <f>H91/DAY(B2)</f>
        <v>0.7</v>
      </c>
      <c r="K91" s="733"/>
      <c r="L91" s="734"/>
      <c r="N91" s="777"/>
      <c r="O91" s="382"/>
    </row>
    <row r="92" spans="1:15" s="379" customFormat="1" ht="29.25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O92" s="804"/>
    </row>
    <row r="93" spans="1:15" ht="27.75">
      <c r="A93" s="1693" t="s">
        <v>205</v>
      </c>
      <c r="B93" s="1694"/>
      <c r="C93" s="1694"/>
      <c r="D93" s="523" t="s">
        <v>143</v>
      </c>
      <c r="E93" s="455">
        <f>'29'!F93</f>
        <v>247344</v>
      </c>
      <c r="F93" s="484">
        <v>247352</v>
      </c>
      <c r="G93" s="473">
        <f t="shared" ref="G93:G94" si="8">F93-E93</f>
        <v>8</v>
      </c>
      <c r="H93" s="460">
        <f>G93+'29'!H93</f>
        <v>0</v>
      </c>
      <c r="I93" s="480"/>
      <c r="J93" s="552">
        <f>H93/DAY(B2)</f>
        <v>0</v>
      </c>
      <c r="K93" s="429"/>
      <c r="L93" s="377"/>
      <c r="O93" s="804"/>
    </row>
    <row r="94" spans="1:15" ht="27.75">
      <c r="A94" s="1693" t="s">
        <v>206</v>
      </c>
      <c r="B94" s="1694"/>
      <c r="C94" s="1694"/>
      <c r="D94" s="523" t="s">
        <v>143</v>
      </c>
      <c r="E94" s="455">
        <f>'29'!F94</f>
        <v>189344</v>
      </c>
      <c r="F94" s="484">
        <v>189454</v>
      </c>
      <c r="G94" s="473">
        <f t="shared" si="8"/>
        <v>110</v>
      </c>
      <c r="H94" s="460">
        <f>G94+'29'!H94</f>
        <v>0</v>
      </c>
      <c r="I94" s="480"/>
      <c r="J94" s="552">
        <f>H94/DAY(B2)</f>
        <v>0</v>
      </c>
      <c r="K94" s="380"/>
      <c r="L94" s="377"/>
      <c r="O94" s="804"/>
    </row>
    <row r="95" spans="1:15" ht="29.25">
      <c r="A95" s="1710" t="s">
        <v>207</v>
      </c>
      <c r="B95" s="1711"/>
      <c r="C95" s="1711"/>
      <c r="D95" s="523"/>
      <c r="E95" s="455"/>
      <c r="F95" s="484"/>
      <c r="G95" s="473">
        <f>G93+G94</f>
        <v>118</v>
      </c>
      <c r="H95" s="460">
        <f>G95+'29'!H95</f>
        <v>-186</v>
      </c>
      <c r="I95" s="480"/>
      <c r="J95" s="552">
        <f>H95/DAY(B2)</f>
        <v>-6.2</v>
      </c>
      <c r="K95" s="380"/>
      <c r="L95" s="377"/>
      <c r="O95" s="804"/>
    </row>
    <row r="96" spans="1:15" ht="27.75">
      <c r="A96" s="1693" t="s">
        <v>208</v>
      </c>
      <c r="B96" s="1694"/>
      <c r="C96" s="1694"/>
      <c r="D96" s="523" t="s">
        <v>143</v>
      </c>
      <c r="E96" s="455">
        <f>'29'!F96</f>
        <v>415960</v>
      </c>
      <c r="F96" s="484">
        <v>415999</v>
      </c>
      <c r="G96" s="473">
        <f t="shared" ref="G96:G100" si="9">F96-E96</f>
        <v>39</v>
      </c>
      <c r="H96" s="460">
        <f>G96+'29'!H96</f>
        <v>0</v>
      </c>
      <c r="I96" s="480"/>
      <c r="J96" s="552">
        <f>H96/DAY(B2)</f>
        <v>0</v>
      </c>
      <c r="K96" s="380"/>
      <c r="L96" s="377"/>
      <c r="O96" s="804"/>
    </row>
    <row r="97" spans="1:15" ht="27.75">
      <c r="A97" s="1139" t="s">
        <v>209</v>
      </c>
      <c r="B97" s="1140"/>
      <c r="C97" s="1140"/>
      <c r="D97" s="523" t="s">
        <v>143</v>
      </c>
      <c r="E97" s="455">
        <f>'29'!F97</f>
        <v>103151</v>
      </c>
      <c r="F97" s="484">
        <v>103163</v>
      </c>
      <c r="G97" s="473">
        <f t="shared" si="9"/>
        <v>12</v>
      </c>
      <c r="H97" s="460">
        <f>G97+'29'!H97</f>
        <v>0</v>
      </c>
      <c r="I97" s="480"/>
      <c r="J97" s="552">
        <f>H97/DAY(B2)</f>
        <v>0</v>
      </c>
      <c r="K97" s="427"/>
      <c r="L97" s="377"/>
      <c r="O97" s="804"/>
    </row>
    <row r="98" spans="1:15" ht="27.75">
      <c r="A98" s="1139" t="s">
        <v>210</v>
      </c>
      <c r="B98" s="1140"/>
      <c r="C98" s="1140"/>
      <c r="D98" s="523" t="s">
        <v>143</v>
      </c>
      <c r="E98" s="455">
        <f>'29'!F98</f>
        <v>98634</v>
      </c>
      <c r="F98" s="484">
        <v>98657</v>
      </c>
      <c r="G98" s="473">
        <f t="shared" si="9"/>
        <v>23</v>
      </c>
      <c r="H98" s="460">
        <f>G98+'29'!H98</f>
        <v>0</v>
      </c>
      <c r="I98" s="480"/>
      <c r="J98" s="552">
        <f>H98/DAY(B2)</f>
        <v>0</v>
      </c>
      <c r="K98" s="432"/>
      <c r="L98" s="377"/>
      <c r="O98" s="804"/>
    </row>
    <row r="99" spans="1:15" ht="27.75">
      <c r="A99" s="1139" t="s">
        <v>211</v>
      </c>
      <c r="B99" s="1140"/>
      <c r="C99" s="1140"/>
      <c r="D99" s="523" t="s">
        <v>143</v>
      </c>
      <c r="E99" s="455">
        <f>'29'!F99</f>
        <v>150394</v>
      </c>
      <c r="F99" s="484">
        <v>150405</v>
      </c>
      <c r="G99" s="473">
        <f t="shared" si="9"/>
        <v>11</v>
      </c>
      <c r="H99" s="460">
        <f>G99+'29'!H99</f>
        <v>0</v>
      </c>
      <c r="I99" s="480"/>
      <c r="J99" s="552">
        <f>H99/DAY(B2)</f>
        <v>0</v>
      </c>
      <c r="K99" s="380"/>
      <c r="L99" s="377"/>
      <c r="O99" s="804"/>
    </row>
    <row r="100" spans="1:15" ht="27.75">
      <c r="A100" s="1139" t="s">
        <v>212</v>
      </c>
      <c r="B100" s="1140"/>
      <c r="C100" s="1140"/>
      <c r="D100" s="523" t="s">
        <v>143</v>
      </c>
      <c r="E100" s="455">
        <f>'29'!F100</f>
        <v>7791</v>
      </c>
      <c r="F100" s="484">
        <v>7797</v>
      </c>
      <c r="G100" s="473">
        <f t="shared" si="9"/>
        <v>6</v>
      </c>
      <c r="H100" s="460">
        <f>G100+'29'!H100</f>
        <v>0</v>
      </c>
      <c r="I100" s="480"/>
      <c r="J100" s="552">
        <f>H100/DAY(B2)</f>
        <v>0</v>
      </c>
      <c r="K100" s="380"/>
      <c r="L100" s="377"/>
      <c r="O100" s="804"/>
    </row>
    <row r="101" spans="1:15" ht="27.75">
      <c r="A101" s="1139" t="s">
        <v>213</v>
      </c>
      <c r="B101" s="1140"/>
      <c r="C101" s="1140"/>
      <c r="D101" s="523" t="s">
        <v>143</v>
      </c>
      <c r="E101" s="455">
        <f>'29'!F101</f>
        <v>5664</v>
      </c>
      <c r="F101" s="484">
        <v>5674</v>
      </c>
      <c r="G101" s="473">
        <f>F101-E101</f>
        <v>10</v>
      </c>
      <c r="H101" s="460">
        <f>G101+'29'!H101</f>
        <v>0</v>
      </c>
      <c r="I101" s="480"/>
      <c r="J101" s="552">
        <f>H101/DAY(B2)</f>
        <v>0</v>
      </c>
      <c r="K101" s="380"/>
      <c r="L101" s="377"/>
      <c r="O101" s="804"/>
    </row>
    <row r="102" spans="1:15" ht="29.25">
      <c r="A102" s="1710" t="s">
        <v>215</v>
      </c>
      <c r="B102" s="1711"/>
      <c r="C102" s="1711"/>
      <c r="D102" s="524"/>
      <c r="E102" s="524"/>
      <c r="F102" s="524"/>
      <c r="G102" s="525">
        <f>SUM(G96:G101)</f>
        <v>101</v>
      </c>
      <c r="H102" s="460">
        <f>G102+'29'!H102</f>
        <v>0</v>
      </c>
      <c r="I102" s="526"/>
      <c r="J102" s="552">
        <f>H102/DAY(B2)</f>
        <v>0</v>
      </c>
      <c r="K102" s="380"/>
      <c r="L102" s="377"/>
      <c r="O102" s="804"/>
    </row>
    <row r="103" spans="1:15" s="442" customFormat="1" ht="27">
      <c r="A103" s="607" t="s">
        <v>216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4"/>
    </row>
    <row r="104" spans="1:15" s="442" customFormat="1" ht="27.75">
      <c r="A104" s="1716" t="s">
        <v>217</v>
      </c>
      <c r="B104" s="1717"/>
      <c r="C104" s="573"/>
      <c r="D104" s="622"/>
      <c r="E104" s="532"/>
      <c r="F104" s="532"/>
      <c r="G104" s="532"/>
      <c r="H104" s="533"/>
      <c r="I104" s="532"/>
      <c r="J104" s="558"/>
      <c r="O104" s="804"/>
    </row>
    <row r="105" spans="1:15" s="442" customFormat="1" ht="27.75">
      <c r="A105" s="1692" t="s">
        <v>218</v>
      </c>
      <c r="B105" s="1606"/>
      <c r="C105" s="1137"/>
      <c r="D105" s="622" t="s">
        <v>143</v>
      </c>
      <c r="E105" s="532">
        <f>'29'!F105</f>
        <v>7637</v>
      </c>
      <c r="F105" s="532">
        <v>7637</v>
      </c>
      <c r="G105" s="532">
        <f>F105-E105</f>
        <v>0</v>
      </c>
      <c r="H105" s="460">
        <f>G105+'29'!H105</f>
        <v>69.3799999999992</v>
      </c>
      <c r="I105" s="532"/>
      <c r="J105" s="558">
        <f>H105/DAY(B2)</f>
        <v>2.3126666666666398</v>
      </c>
      <c r="O105" s="804"/>
    </row>
    <row r="106" spans="1:15" s="442" customFormat="1" ht="27.75">
      <c r="A106" s="1692" t="s">
        <v>76</v>
      </c>
      <c r="B106" s="1606"/>
      <c r="C106" s="1137"/>
      <c r="D106" s="622" t="s">
        <v>143</v>
      </c>
      <c r="E106" s="532">
        <f>'29'!F106</f>
        <v>36162</v>
      </c>
      <c r="F106" s="534">
        <v>36162</v>
      </c>
      <c r="G106" s="532">
        <f t="shared" ref="G106:G107" si="10">F106-E106</f>
        <v>0</v>
      </c>
      <c r="H106" s="460">
        <f>G106+'29'!H106</f>
        <v>59</v>
      </c>
      <c r="I106" s="532"/>
      <c r="J106" s="558">
        <f>H106/DAY(B2)</f>
        <v>1.9666666666666666</v>
      </c>
      <c r="O106" s="804"/>
    </row>
    <row r="107" spans="1:15" s="442" customFormat="1" ht="27.75">
      <c r="A107" s="1692" t="s">
        <v>77</v>
      </c>
      <c r="B107" s="1606"/>
      <c r="C107" s="1606"/>
      <c r="D107" s="622" t="s">
        <v>143</v>
      </c>
      <c r="E107" s="532">
        <f>'29'!F107</f>
        <v>19820</v>
      </c>
      <c r="F107" s="532">
        <v>19822</v>
      </c>
      <c r="G107" s="532">
        <f t="shared" si="10"/>
        <v>2</v>
      </c>
      <c r="H107" s="460">
        <f>G107+'29'!H107</f>
        <v>120</v>
      </c>
      <c r="I107" s="532"/>
      <c r="J107" s="558">
        <f>H107/DAY(B2)</f>
        <v>4</v>
      </c>
      <c r="O107" s="804"/>
    </row>
    <row r="108" spans="1:15" s="442" customFormat="1" ht="27.75">
      <c r="A108" s="1682" t="s">
        <v>201</v>
      </c>
      <c r="B108" s="1683"/>
      <c r="C108" s="1137"/>
      <c r="D108" s="622"/>
      <c r="E108" s="532"/>
      <c r="F108" s="532"/>
      <c r="G108" s="532">
        <f>SUM(G105:G107)</f>
        <v>2</v>
      </c>
      <c r="H108" s="460">
        <f>G108+'29'!H108</f>
        <v>165</v>
      </c>
      <c r="I108" s="532"/>
      <c r="J108" s="558">
        <f>H108/DAY(B2)</f>
        <v>5.5</v>
      </c>
      <c r="O108" s="804"/>
    </row>
    <row r="109" spans="1:15" s="442" customFormat="1" ht="27.75">
      <c r="A109" s="1690" t="s">
        <v>78</v>
      </c>
      <c r="B109" s="1691"/>
      <c r="C109" s="1137"/>
      <c r="D109" s="622" t="s">
        <v>143</v>
      </c>
      <c r="E109" s="532"/>
      <c r="F109" s="532"/>
      <c r="G109" s="532"/>
      <c r="H109" s="533"/>
      <c r="I109" s="532"/>
      <c r="J109" s="558"/>
      <c r="O109" s="804"/>
    </row>
    <row r="110" spans="1:15" s="442" customFormat="1" ht="27.75">
      <c r="A110" s="1692" t="s">
        <v>219</v>
      </c>
      <c r="B110" s="1606"/>
      <c r="C110" s="1137"/>
      <c r="D110" s="622" t="s">
        <v>143</v>
      </c>
      <c r="E110" s="532">
        <f>'29'!F110</f>
        <v>64779</v>
      </c>
      <c r="F110" s="532">
        <v>64843</v>
      </c>
      <c r="G110" s="532">
        <f>F110-E110</f>
        <v>64</v>
      </c>
      <c r="H110" s="460">
        <f>G110+'29'!H110</f>
        <v>282.64000000001397</v>
      </c>
      <c r="I110" s="532"/>
      <c r="J110" s="558">
        <f>H110/DAY(B2)</f>
        <v>9.4213333333337985</v>
      </c>
      <c r="O110" s="804"/>
    </row>
    <row r="111" spans="1:15" s="442" customFormat="1" ht="27.75">
      <c r="A111" s="1692" t="s">
        <v>220</v>
      </c>
      <c r="B111" s="1606"/>
      <c r="C111" s="1137"/>
      <c r="D111" s="622" t="s">
        <v>143</v>
      </c>
      <c r="E111" s="532">
        <f>'29'!F111</f>
        <v>33129</v>
      </c>
      <c r="F111" s="532">
        <v>33129</v>
      </c>
      <c r="G111" s="532">
        <f t="shared" ref="G111:G112" si="11">F111-E111</f>
        <v>0</v>
      </c>
      <c r="H111" s="460">
        <f>G111+'29'!H111</f>
        <v>75.899999999994179</v>
      </c>
      <c r="I111" s="532"/>
      <c r="J111" s="558">
        <f>H111/DAY(B2)</f>
        <v>2.5299999999998062</v>
      </c>
      <c r="O111" s="804"/>
    </row>
    <row r="112" spans="1:15" s="442" customFormat="1" ht="27.75">
      <c r="A112" s="1692" t="s">
        <v>221</v>
      </c>
      <c r="B112" s="1606"/>
      <c r="C112" s="1137"/>
      <c r="D112" s="622" t="s">
        <v>143</v>
      </c>
      <c r="E112" s="532">
        <f>'29'!F112</f>
        <v>4621</v>
      </c>
      <c r="F112" s="532">
        <v>4621</v>
      </c>
      <c r="G112" s="532">
        <f t="shared" si="11"/>
        <v>0</v>
      </c>
      <c r="H112" s="460">
        <f>G112+'29'!H112</f>
        <v>351</v>
      </c>
      <c r="I112" s="532"/>
      <c r="J112" s="558">
        <f>H112/DAY(B2)</f>
        <v>11.7</v>
      </c>
      <c r="O112" s="804"/>
    </row>
    <row r="113" spans="1:15" s="442" customFormat="1" ht="27.75">
      <c r="A113" s="1688" t="s">
        <v>109</v>
      </c>
      <c r="B113" s="1689"/>
      <c r="C113" s="1137"/>
      <c r="D113" s="622"/>
      <c r="E113" s="532"/>
      <c r="F113" s="532"/>
      <c r="G113" s="532">
        <f>SUM(G110:G112)</f>
        <v>64</v>
      </c>
      <c r="H113" s="460">
        <f>G113+'29'!H113</f>
        <v>1018</v>
      </c>
      <c r="I113" s="532"/>
      <c r="J113" s="558">
        <f>H113/DAY(B2)</f>
        <v>33.93333333333333</v>
      </c>
      <c r="O113" s="804"/>
    </row>
    <row r="114" spans="1:15" s="442" customFormat="1" ht="27.75">
      <c r="A114" s="1690" t="s">
        <v>222</v>
      </c>
      <c r="B114" s="1691"/>
      <c r="C114" s="1137"/>
      <c r="D114" s="622"/>
      <c r="E114" s="532"/>
      <c r="F114" s="532"/>
      <c r="G114" s="532"/>
      <c r="H114" s="533"/>
      <c r="I114" s="532"/>
      <c r="J114" s="558">
        <f>H114/DAY(B2)</f>
        <v>0</v>
      </c>
      <c r="O114" s="804"/>
    </row>
    <row r="115" spans="1:15" s="442" customFormat="1" ht="27.75">
      <c r="A115" s="1692" t="s">
        <v>223</v>
      </c>
      <c r="B115" s="1606"/>
      <c r="C115" s="574"/>
      <c r="D115" s="622" t="s">
        <v>143</v>
      </c>
      <c r="E115" s="532">
        <f>'29'!F115</f>
        <v>12005</v>
      </c>
      <c r="F115" s="534">
        <v>12013</v>
      </c>
      <c r="G115" s="534">
        <f>F115-E115</f>
        <v>8</v>
      </c>
      <c r="H115" s="460">
        <f>G115+'29'!H115</f>
        <v>39</v>
      </c>
      <c r="I115" s="532"/>
      <c r="J115" s="558">
        <f>H115/DAY(B2)</f>
        <v>1.3</v>
      </c>
      <c r="O115" s="804"/>
    </row>
    <row r="116" spans="1:15" s="442" customFormat="1" ht="27.75">
      <c r="A116" s="1692" t="s">
        <v>224</v>
      </c>
      <c r="B116" s="1606"/>
      <c r="C116" s="574"/>
      <c r="D116" s="622" t="s">
        <v>143</v>
      </c>
      <c r="E116" s="532">
        <f>'29'!F116</f>
        <v>8549</v>
      </c>
      <c r="F116" s="534">
        <v>8555</v>
      </c>
      <c r="G116" s="534">
        <f t="shared" ref="G116:G117" si="12">F116-E116</f>
        <v>6</v>
      </c>
      <c r="H116" s="460">
        <f>G116+'29'!H116</f>
        <v>106</v>
      </c>
      <c r="I116" s="532"/>
      <c r="J116" s="558">
        <f>H116/DAY(B2)</f>
        <v>3.5333333333333332</v>
      </c>
      <c r="O116" s="804"/>
    </row>
    <row r="117" spans="1:15" s="442" customFormat="1" ht="27.75">
      <c r="A117" s="1692" t="s">
        <v>225</v>
      </c>
      <c r="B117" s="1606"/>
      <c r="C117" s="574"/>
      <c r="D117" s="622" t="s">
        <v>143</v>
      </c>
      <c r="E117" s="534"/>
      <c r="F117" s="534"/>
      <c r="G117" s="534">
        <f t="shared" si="12"/>
        <v>0</v>
      </c>
      <c r="H117" s="460">
        <f>G117+'29'!H117</f>
        <v>97</v>
      </c>
      <c r="I117" s="532"/>
      <c r="J117" s="558">
        <f>H117/DAY(B2)</f>
        <v>3.2333333333333334</v>
      </c>
      <c r="O117" s="804"/>
    </row>
    <row r="118" spans="1:15" s="445" customFormat="1" ht="27.75">
      <c r="A118" s="1682" t="s">
        <v>201</v>
      </c>
      <c r="B118" s="1683"/>
      <c r="C118" s="574"/>
      <c r="D118" s="623"/>
      <c r="E118" s="534"/>
      <c r="F118" s="534"/>
      <c r="G118" s="534">
        <f>SUM(G115:G117)</f>
        <v>14</v>
      </c>
      <c r="H118" s="460">
        <f>G118+'29'!H118</f>
        <v>142</v>
      </c>
      <c r="I118" s="534"/>
      <c r="J118" s="558">
        <f>H118/DAY(B2)</f>
        <v>4.7333333333333334</v>
      </c>
      <c r="O118" s="804"/>
    </row>
    <row r="119" spans="1:15" s="446" customFormat="1" ht="27.75">
      <c r="A119" s="1684" t="s">
        <v>226</v>
      </c>
      <c r="B119" s="1685"/>
      <c r="C119" s="1136"/>
      <c r="D119" s="624" t="s">
        <v>143</v>
      </c>
      <c r="E119" s="535"/>
      <c r="F119" s="536"/>
      <c r="G119" s="536">
        <f>SUM(G19+G93)</f>
        <v>72</v>
      </c>
      <c r="H119" s="460">
        <f>G119+'29'!H119</f>
        <v>224</v>
      </c>
      <c r="I119" s="535"/>
      <c r="J119" s="559">
        <f>H119/DAY(B2)</f>
        <v>7.4666666666666668</v>
      </c>
      <c r="O119" s="804"/>
    </row>
    <row r="120" spans="1:15" s="446" customFormat="1" ht="27.75">
      <c r="A120" s="1684" t="s">
        <v>227</v>
      </c>
      <c r="B120" s="1685"/>
      <c r="C120" s="1136"/>
      <c r="D120" s="624" t="s">
        <v>143</v>
      </c>
      <c r="E120" s="535"/>
      <c r="F120" s="536"/>
      <c r="G120" s="536">
        <f>SUM(G96,G97,G98,G100,G101)</f>
        <v>90</v>
      </c>
      <c r="H120" s="460">
        <f>G120+'29'!H120</f>
        <v>271</v>
      </c>
      <c r="I120" s="535"/>
      <c r="J120" s="559">
        <f>H120/DAY(B2)</f>
        <v>9.0333333333333332</v>
      </c>
      <c r="O120" s="804"/>
    </row>
    <row r="121" spans="1:15" s="446" customFormat="1" ht="27.75">
      <c r="A121" s="1684" t="s">
        <v>228</v>
      </c>
      <c r="B121" s="1685"/>
      <c r="C121" s="1136"/>
      <c r="D121" s="624" t="s">
        <v>143</v>
      </c>
      <c r="E121" s="535"/>
      <c r="F121" s="534"/>
      <c r="G121" s="534">
        <f>SUM(G113)</f>
        <v>64</v>
      </c>
      <c r="H121" s="460">
        <f>G121+'29'!H121</f>
        <v>207</v>
      </c>
      <c r="I121" s="535"/>
      <c r="J121" s="559">
        <f>H121/DAY(B2)</f>
        <v>6.9</v>
      </c>
      <c r="O121" s="804"/>
    </row>
    <row r="122" spans="1:15" s="442" customFormat="1" ht="27.75">
      <c r="A122" s="1686"/>
      <c r="B122" s="1687"/>
      <c r="C122" s="1137"/>
      <c r="D122" s="560"/>
      <c r="E122" s="560"/>
      <c r="F122" s="560"/>
      <c r="G122" s="560"/>
      <c r="H122" s="561"/>
      <c r="I122" s="560"/>
      <c r="J122" s="562"/>
      <c r="O122" s="804"/>
    </row>
    <row r="123" spans="1:15" ht="29.25">
      <c r="A123" s="1712" t="s">
        <v>229</v>
      </c>
      <c r="B123" s="1713"/>
      <c r="C123" s="1713"/>
      <c r="D123" s="472"/>
      <c r="E123" s="472"/>
      <c r="F123" s="472"/>
      <c r="G123" s="483"/>
      <c r="H123" s="483"/>
      <c r="I123" s="483"/>
      <c r="J123" s="563"/>
      <c r="K123" s="380"/>
      <c r="L123" s="377"/>
      <c r="O123" s="804"/>
    </row>
    <row r="124" spans="1:15" ht="21.95" customHeight="1">
      <c r="A124" s="1139" t="s">
        <v>230</v>
      </c>
      <c r="B124" s="1140"/>
      <c r="C124" s="1140"/>
      <c r="D124" s="523" t="s">
        <v>140</v>
      </c>
      <c r="E124" s="455">
        <f>'29'!F124</f>
        <v>839407</v>
      </c>
      <c r="F124" s="478">
        <v>839670</v>
      </c>
      <c r="G124" s="473">
        <f t="shared" ref="G124:G128" si="13">F124-E124</f>
        <v>263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4"/>
    </row>
    <row r="125" spans="1:15" ht="21.95" customHeight="1">
      <c r="A125" s="1139" t="s">
        <v>231</v>
      </c>
      <c r="B125" s="1140"/>
      <c r="C125" s="1140"/>
      <c r="D125" s="523" t="s">
        <v>140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4"/>
    </row>
    <row r="126" spans="1:15" ht="21.95" customHeight="1">
      <c r="A126" s="1706" t="s">
        <v>232</v>
      </c>
      <c r="B126" s="1546"/>
      <c r="C126" s="1546"/>
      <c r="D126" s="523" t="s">
        <v>140</v>
      </c>
      <c r="E126" s="455">
        <f>'29'!F126</f>
        <v>148513</v>
      </c>
      <c r="F126" s="478">
        <v>148597</v>
      </c>
      <c r="G126" s="473">
        <f t="shared" si="13"/>
        <v>84</v>
      </c>
      <c r="H126" s="460">
        <f>G126+'29'!H126</f>
        <v>0</v>
      </c>
      <c r="I126" s="526"/>
      <c r="J126" s="552">
        <f>H126/DAY(B2)</f>
        <v>0</v>
      </c>
      <c r="K126" s="380"/>
      <c r="L126" s="377"/>
      <c r="O126" s="804"/>
    </row>
    <row r="127" spans="1:15" ht="21.95" customHeight="1">
      <c r="A127" s="609" t="s">
        <v>233</v>
      </c>
      <c r="B127" s="1140"/>
      <c r="C127" s="1140"/>
      <c r="D127" s="523" t="s">
        <v>140</v>
      </c>
      <c r="E127" s="455">
        <f>'29'!F127</f>
        <v>32041</v>
      </c>
      <c r="F127" s="478">
        <v>32071</v>
      </c>
      <c r="G127" s="473">
        <f t="shared" si="13"/>
        <v>30</v>
      </c>
      <c r="H127" s="460">
        <f>G127+'29'!H127</f>
        <v>0</v>
      </c>
      <c r="I127" s="526"/>
      <c r="J127" s="552">
        <f>H127/DAY(B2)</f>
        <v>0</v>
      </c>
      <c r="K127" s="380"/>
      <c r="L127" s="377"/>
      <c r="O127" s="804"/>
    </row>
    <row r="128" spans="1:15" ht="21.95" customHeight="1">
      <c r="A128" s="609" t="s">
        <v>234</v>
      </c>
      <c r="B128" s="1140"/>
      <c r="C128" s="1140"/>
      <c r="D128" s="523" t="s">
        <v>140</v>
      </c>
      <c r="E128" s="455">
        <f>'29'!F128</f>
        <v>9011</v>
      </c>
      <c r="F128" s="478">
        <v>9012</v>
      </c>
      <c r="G128" s="473">
        <f t="shared" si="13"/>
        <v>1</v>
      </c>
      <c r="H128" s="460">
        <f>G128+'29'!H128</f>
        <v>0</v>
      </c>
      <c r="I128" s="480"/>
      <c r="J128" s="552">
        <f>H128/DAY(B2)</f>
        <v>0</v>
      </c>
      <c r="K128" s="380"/>
      <c r="L128" s="377"/>
      <c r="O128" s="804"/>
    </row>
    <row r="129" spans="1:15" s="281" customFormat="1" ht="21.75" customHeight="1">
      <c r="A129" s="609" t="s">
        <v>235</v>
      </c>
      <c r="B129" s="1140"/>
      <c r="C129" s="1140"/>
      <c r="D129" s="523"/>
      <c r="E129" s="455"/>
      <c r="F129" s="478"/>
      <c r="G129" s="473">
        <f>G15-SUM(G124:G128)</f>
        <v>321.60000000000582</v>
      </c>
      <c r="H129" s="460"/>
      <c r="I129" s="480"/>
      <c r="J129" s="552"/>
      <c r="K129" s="364"/>
      <c r="L129" s="292"/>
      <c r="O129" s="804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4"/>
    </row>
    <row r="131" spans="1:15" ht="27.75">
      <c r="A131" s="1139" t="s">
        <v>237</v>
      </c>
      <c r="B131" s="1140"/>
      <c r="C131" s="1140"/>
      <c r="D131" s="523" t="s">
        <v>238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4"/>
    </row>
    <row r="132" spans="1:15" ht="27.75">
      <c r="A132" s="1139" t="s">
        <v>239</v>
      </c>
      <c r="B132" s="1140"/>
      <c r="C132" s="1140"/>
      <c r="D132" s="523" t="s">
        <v>238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4"/>
    </row>
    <row r="133" spans="1:15" ht="27.75">
      <c r="A133" s="1139" t="s">
        <v>240</v>
      </c>
      <c r="B133" s="1140"/>
      <c r="C133" s="1140"/>
      <c r="D133" s="523" t="s">
        <v>238</v>
      </c>
      <c r="E133" s="455">
        <f>'29'!F133</f>
        <v>40429</v>
      </c>
      <c r="F133" s="541">
        <v>40453</v>
      </c>
      <c r="G133" s="473">
        <f t="shared" si="14"/>
        <v>24</v>
      </c>
      <c r="H133" s="460">
        <f>G133+'29'!H133</f>
        <v>0</v>
      </c>
      <c r="I133" s="480"/>
      <c r="J133" s="552">
        <f>H133/DAY(B2)</f>
        <v>0</v>
      </c>
      <c r="O133" s="804"/>
    </row>
    <row r="134" spans="1:15" ht="27.75">
      <c r="A134" s="1139" t="s">
        <v>241</v>
      </c>
      <c r="B134" s="1140"/>
      <c r="C134" s="1140"/>
      <c r="D134" s="523" t="s">
        <v>238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24</v>
      </c>
      <c r="J134" s="552">
        <f>H134/DAY(B2)</f>
        <v>0</v>
      </c>
      <c r="O134" s="804"/>
    </row>
    <row r="135" spans="1:15" ht="27.75">
      <c r="A135" s="1139" t="s">
        <v>242</v>
      </c>
      <c r="B135" s="1140"/>
      <c r="C135" s="1140"/>
      <c r="D135" s="523" t="s">
        <v>238</v>
      </c>
      <c r="E135" s="455">
        <f>'29'!F135</f>
        <v>41970</v>
      </c>
      <c r="F135" s="541">
        <v>41972</v>
      </c>
      <c r="G135" s="473">
        <f t="shared" si="14"/>
        <v>2</v>
      </c>
      <c r="H135" s="460">
        <f>G135+'29'!H135</f>
        <v>132.55999999999767</v>
      </c>
      <c r="I135" s="480"/>
      <c r="J135" s="552">
        <f>H135/DAY(B2)</f>
        <v>4.4186666666665895</v>
      </c>
      <c r="O135" s="804"/>
    </row>
    <row r="136" spans="1:15" ht="27.75">
      <c r="A136" s="1139" t="s">
        <v>243</v>
      </c>
      <c r="B136" s="1140"/>
      <c r="C136" s="1140"/>
      <c r="D136" s="523" t="s">
        <v>238</v>
      </c>
      <c r="E136" s="455">
        <f>'29'!F136</f>
        <v>32874</v>
      </c>
      <c r="F136" s="541">
        <v>32874</v>
      </c>
      <c r="G136" s="473">
        <f t="shared" si="14"/>
        <v>0</v>
      </c>
      <c r="H136" s="460">
        <f>G136+'29'!H136</f>
        <v>12.94999999999709</v>
      </c>
      <c r="I136" s="480"/>
      <c r="J136" s="552">
        <f>H136/DAY(B2)</f>
        <v>0.43166666666656967</v>
      </c>
      <c r="O136" s="804"/>
    </row>
    <row r="137" spans="1:15" ht="27.75">
      <c r="A137" s="1139" t="s">
        <v>244</v>
      </c>
      <c r="B137" s="1140"/>
      <c r="C137" s="1140"/>
      <c r="D137" s="523" t="s">
        <v>238</v>
      </c>
      <c r="E137" s="455">
        <f>'29'!F137</f>
        <v>22891.42</v>
      </c>
      <c r="F137" s="541">
        <v>22891.49</v>
      </c>
      <c r="G137" s="473">
        <f t="shared" si="14"/>
        <v>7.0000000003346941E-2</v>
      </c>
      <c r="H137" s="460">
        <f>G137+'29'!H137</f>
        <v>0</v>
      </c>
      <c r="I137" s="480">
        <f>G135+G136+G137</f>
        <v>2.0700000000033469</v>
      </c>
      <c r="J137" s="552">
        <f>H137/DAY(B2)</f>
        <v>0</v>
      </c>
      <c r="O137" s="804"/>
    </row>
    <row r="138" spans="1:15" ht="27.75">
      <c r="A138" s="1139" t="s">
        <v>245</v>
      </c>
      <c r="B138" s="1140"/>
      <c r="C138" s="1140"/>
      <c r="D138" s="523" t="s">
        <v>238</v>
      </c>
      <c r="E138" s="455">
        <f>'29'!F138</f>
        <v>25091.39</v>
      </c>
      <c r="F138" s="541">
        <v>25091.39</v>
      </c>
      <c r="G138" s="473">
        <f t="shared" si="14"/>
        <v>0</v>
      </c>
      <c r="H138" s="460">
        <f>G138+'29'!H138</f>
        <v>17.5</v>
      </c>
      <c r="I138" s="480"/>
      <c r="J138" s="552">
        <f>H138/DAY(B2)</f>
        <v>0.58333333333333337</v>
      </c>
      <c r="O138" s="804"/>
    </row>
    <row r="139" spans="1:15" ht="27.75">
      <c r="A139" s="1139" t="s">
        <v>246</v>
      </c>
      <c r="B139" s="1140"/>
      <c r="C139" s="1140"/>
      <c r="D139" s="523" t="s">
        <v>238</v>
      </c>
      <c r="E139" s="455">
        <f>'29'!F139</f>
        <v>70513.62</v>
      </c>
      <c r="F139" s="541">
        <v>70513.62</v>
      </c>
      <c r="G139" s="473">
        <f t="shared" si="14"/>
        <v>0</v>
      </c>
      <c r="H139" s="460">
        <f>G139+'29'!H139</f>
        <v>31.889999999999418</v>
      </c>
      <c r="I139" s="480">
        <f>G138+G139</f>
        <v>0</v>
      </c>
      <c r="J139" s="552">
        <f>H139/DAY(B2)</f>
        <v>1.0629999999999806</v>
      </c>
      <c r="O139" s="804"/>
    </row>
    <row r="140" spans="1:15" ht="27.75">
      <c r="A140" s="1139" t="s">
        <v>247</v>
      </c>
      <c r="B140" s="1140"/>
      <c r="C140" s="1140"/>
      <c r="D140" s="523" t="s">
        <v>238</v>
      </c>
      <c r="E140" s="455">
        <f>'29'!F140</f>
        <v>2119.34</v>
      </c>
      <c r="F140" s="484">
        <v>2129.1799999999998</v>
      </c>
      <c r="G140" s="473">
        <f t="shared" si="14"/>
        <v>9.8399999999996908</v>
      </c>
      <c r="H140" s="460">
        <f>G140+'29'!H140</f>
        <v>0</v>
      </c>
      <c r="I140" s="542"/>
      <c r="J140" s="552">
        <f>H140/DAY(B2)</f>
        <v>0</v>
      </c>
      <c r="O140" s="804"/>
    </row>
    <row r="141" spans="1:15" ht="27.75">
      <c r="A141" s="1139" t="s">
        <v>248</v>
      </c>
      <c r="B141" s="1140"/>
      <c r="C141" s="1140"/>
      <c r="D141" s="523" t="s">
        <v>238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4"/>
    </row>
    <row r="142" spans="1:15" ht="21.95" customHeight="1">
      <c r="A142" s="1714" t="s">
        <v>249</v>
      </c>
      <c r="B142" s="1715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O142" s="804"/>
    </row>
    <row r="143" spans="1:15" ht="21.95" customHeight="1">
      <c r="A143" s="1693" t="s">
        <v>250</v>
      </c>
      <c r="B143" s="1694"/>
      <c r="C143" s="1694"/>
      <c r="D143" s="523" t="s">
        <v>131</v>
      </c>
      <c r="E143" s="523"/>
      <c r="F143" s="523"/>
      <c r="G143" s="460">
        <f>G35+G43+G49+G57</f>
        <v>5240.8699999999953</v>
      </c>
      <c r="H143" s="460">
        <f>G143+'29'!H143</f>
        <v>-1643.0599999999395</v>
      </c>
      <c r="I143" s="480"/>
      <c r="J143" s="552">
        <f>H143/DAY(B2)</f>
        <v>-54.76866666666465</v>
      </c>
      <c r="K143" s="380"/>
      <c r="L143" s="377"/>
      <c r="O143" s="804"/>
    </row>
    <row r="144" spans="1:15" ht="21.95" customHeight="1">
      <c r="A144" s="1693" t="s">
        <v>251</v>
      </c>
      <c r="B144" s="1694"/>
      <c r="C144" s="1694"/>
      <c r="D144" s="523" t="s">
        <v>24</v>
      </c>
      <c r="E144" s="511"/>
      <c r="F144" s="511"/>
      <c r="G144" s="543">
        <f>G143/G7</f>
        <v>0.24376139534883698</v>
      </c>
      <c r="H144" s="460">
        <f>G144+'29'!H144</f>
        <v>-7.2105877220098896E-2</v>
      </c>
      <c r="I144" s="544"/>
      <c r="J144" s="552">
        <f>H144/DAY(B2)</f>
        <v>-2.4035292406699633E-3</v>
      </c>
      <c r="K144" s="380"/>
      <c r="L144" s="377"/>
      <c r="O144" s="804"/>
    </row>
    <row r="145" spans="1:15" ht="21.95" customHeight="1">
      <c r="A145" s="1693" t="s">
        <v>252</v>
      </c>
      <c r="B145" s="1694"/>
      <c r="C145" s="1694"/>
      <c r="D145" s="523" t="s">
        <v>131</v>
      </c>
      <c r="E145" s="455"/>
      <c r="F145" s="455"/>
      <c r="G145" s="460">
        <f>G41+G42+G55+G56</f>
        <v>5709</v>
      </c>
      <c r="H145" s="460">
        <f>G145+'29'!H145</f>
        <v>11.110000000015134</v>
      </c>
      <c r="I145" s="480"/>
      <c r="J145" s="552">
        <f>H145/DAY(B2)</f>
        <v>0.37033333333383778</v>
      </c>
      <c r="K145" s="380"/>
      <c r="L145" s="377"/>
      <c r="O145" s="804"/>
    </row>
    <row r="146" spans="1:15" ht="21.95" customHeight="1">
      <c r="A146" s="1693" t="s">
        <v>253</v>
      </c>
      <c r="B146" s="1694"/>
      <c r="C146" s="1694"/>
      <c r="D146" s="523" t="s">
        <v>24</v>
      </c>
      <c r="E146" s="455"/>
      <c r="F146" s="455"/>
      <c r="G146" s="543">
        <f>G145/G7</f>
        <v>0.26553488372093026</v>
      </c>
      <c r="H146" s="460">
        <f>G146+'29'!H146</f>
        <v>-1.9087702735548495E-4</v>
      </c>
      <c r="I146" s="544"/>
      <c r="J146" s="552">
        <f>H146/DAY(B2)</f>
        <v>-6.3625675785161647E-6</v>
      </c>
      <c r="K146" s="380"/>
      <c r="L146" s="377"/>
      <c r="O146" s="804"/>
    </row>
    <row r="147" spans="1:15" ht="21.95" customHeight="1">
      <c r="A147" s="1693" t="s">
        <v>254</v>
      </c>
      <c r="B147" s="1694"/>
      <c r="C147" s="1694"/>
      <c r="D147" s="523" t="s">
        <v>131</v>
      </c>
      <c r="E147" s="455"/>
      <c r="F147" s="455"/>
      <c r="G147" s="460">
        <f>G39+G53</f>
        <v>3737</v>
      </c>
      <c r="H147" s="460">
        <f>G147+'29'!H147</f>
        <v>0</v>
      </c>
      <c r="I147" s="545"/>
      <c r="J147" s="552">
        <f>H147/DAY(B2)</f>
        <v>0</v>
      </c>
      <c r="K147" s="380"/>
      <c r="L147" s="377"/>
      <c r="O147" s="804"/>
    </row>
    <row r="148" spans="1:15" ht="21.95" customHeight="1">
      <c r="A148" s="1693" t="s">
        <v>255</v>
      </c>
      <c r="B148" s="1694"/>
      <c r="C148" s="1694"/>
      <c r="D148" s="523" t="s">
        <v>24</v>
      </c>
      <c r="E148" s="455"/>
      <c r="F148" s="455"/>
      <c r="G148" s="543">
        <f>G147/G7</f>
        <v>0.17381395348837209</v>
      </c>
      <c r="H148" s="460">
        <f>G148+'29'!H148</f>
        <v>3.1849849347388437E-3</v>
      </c>
      <c r="I148" s="545"/>
      <c r="J148" s="552">
        <f>H148/DAY(B2)</f>
        <v>1.0616616449129478E-4</v>
      </c>
      <c r="O148" s="804"/>
    </row>
    <row r="149" spans="1:15" ht="21.95" customHeight="1">
      <c r="A149" s="1693" t="s">
        <v>256</v>
      </c>
      <c r="B149" s="1694"/>
      <c r="C149" s="1694"/>
      <c r="D149" s="523" t="s">
        <v>182</v>
      </c>
      <c r="E149" s="455"/>
      <c r="F149" s="455"/>
      <c r="G149" s="460">
        <f>G38+G52</f>
        <v>1353.9300000000512</v>
      </c>
      <c r="H149" s="460">
        <f>G149+'29'!H149</f>
        <v>0</v>
      </c>
      <c r="I149" s="480"/>
      <c r="J149" s="552">
        <f>H149/DAY(B2)</f>
        <v>0</v>
      </c>
      <c r="K149" s="381"/>
      <c r="O149" s="804"/>
    </row>
    <row r="150" spans="1:15" ht="21.95" customHeight="1">
      <c r="A150" s="1693" t="s">
        <v>257</v>
      </c>
      <c r="B150" s="1694"/>
      <c r="C150" s="1694"/>
      <c r="D150" s="523" t="s">
        <v>24</v>
      </c>
      <c r="E150" s="455"/>
      <c r="F150" s="455"/>
      <c r="G150" s="543">
        <f>G149/G7</f>
        <v>6.2973488372095404E-2</v>
      </c>
      <c r="H150" s="460">
        <f>G150+'29'!H150</f>
        <v>2.1028381566762233E-4</v>
      </c>
      <c r="I150" s="545"/>
      <c r="J150" s="552">
        <f>H150/DAY(B2)</f>
        <v>7.0094605222540778E-6</v>
      </c>
      <c r="O150" s="804"/>
    </row>
    <row r="151" spans="1:15" ht="21.95" customHeight="1">
      <c r="A151" s="1693" t="s">
        <v>258</v>
      </c>
      <c r="B151" s="1694"/>
      <c r="C151" s="1694"/>
      <c r="D151" s="523" t="s">
        <v>182</v>
      </c>
      <c r="E151" s="455"/>
      <c r="F151" s="455"/>
      <c r="G151" s="460">
        <f>G36+G50</f>
        <v>1597</v>
      </c>
      <c r="H151" s="460">
        <f>G151+'29'!H151</f>
        <v>1.8189894035458565E-12</v>
      </c>
      <c r="I151" s="545"/>
      <c r="J151" s="552">
        <f>H151/DAY(B2)</f>
        <v>6.0632980118195215E-14</v>
      </c>
      <c r="O151" s="804"/>
    </row>
    <row r="152" spans="1:15" ht="21.95" customHeight="1">
      <c r="A152" s="1693" t="s">
        <v>259</v>
      </c>
      <c r="B152" s="1694"/>
      <c r="C152" s="1694"/>
      <c r="D152" s="523" t="s">
        <v>24</v>
      </c>
      <c r="E152" s="455"/>
      <c r="F152" s="455"/>
      <c r="G152" s="543">
        <f>G151/G7</f>
        <v>7.4279069767441863E-2</v>
      </c>
      <c r="H152" s="460">
        <f>G152+'29'!H152</f>
        <v>-5.3858501621732724E-4</v>
      </c>
      <c r="I152" s="480"/>
      <c r="J152" s="552">
        <f>H152/DAY(B2)</f>
        <v>-1.7952833873910908E-5</v>
      </c>
      <c r="O152" s="804"/>
    </row>
    <row r="153" spans="1:15" ht="27.75">
      <c r="A153" s="1693" t="s">
        <v>260</v>
      </c>
      <c r="B153" s="1694"/>
      <c r="C153" s="1694"/>
      <c r="D153" s="523" t="s">
        <v>182</v>
      </c>
      <c r="E153" s="455"/>
      <c r="F153" s="455"/>
      <c r="G153" s="460">
        <f>G37+G51</f>
        <v>1412.1300000000047</v>
      </c>
      <c r="H153" s="460">
        <f>G153+'29'!H153</f>
        <v>0</v>
      </c>
      <c r="I153" s="480"/>
      <c r="J153" s="552">
        <f>H153/DAY(B2)</f>
        <v>0</v>
      </c>
      <c r="O153" s="804"/>
    </row>
    <row r="154" spans="1:15" ht="28.5" thickBot="1">
      <c r="A154" s="1718" t="s">
        <v>261</v>
      </c>
      <c r="B154" s="1719"/>
      <c r="C154" s="1719"/>
      <c r="D154" s="625" t="s">
        <v>24</v>
      </c>
      <c r="E154" s="565"/>
      <c r="F154" s="565"/>
      <c r="G154" s="566">
        <f>G153/G7</f>
        <v>6.5680465116279285E-2</v>
      </c>
      <c r="H154" s="567">
        <f>G154+'29'!H154</f>
        <v>1.3992296962534734E-3</v>
      </c>
      <c r="I154" s="568"/>
      <c r="J154" s="569">
        <f>H154/DAY(B2)</f>
        <v>4.6640989875115782E-5</v>
      </c>
      <c r="O154" s="804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4" t="s">
        <v>262</v>
      </c>
      <c r="B161" s="785"/>
      <c r="C161" s="785"/>
      <c r="D161" s="511" t="s">
        <v>186</v>
      </c>
      <c r="E161" s="455">
        <f>'29'!F161</f>
        <v>40762</v>
      </c>
      <c r="F161" s="658">
        <v>40843</v>
      </c>
      <c r="G161" s="473">
        <f t="shared" ref="G161:G164" si="15">F161-E161</f>
        <v>81</v>
      </c>
    </row>
    <row r="162" spans="1:7" ht="21.95" customHeight="1">
      <c r="A162" s="784" t="s">
        <v>263</v>
      </c>
      <c r="B162" s="785"/>
      <c r="C162" s="785"/>
      <c r="D162" s="511" t="s">
        <v>186</v>
      </c>
      <c r="E162" s="455">
        <f>'29'!F162</f>
        <v>107302</v>
      </c>
      <c r="F162" s="658">
        <v>107766</v>
      </c>
      <c r="G162" s="473">
        <f t="shared" si="15"/>
        <v>464</v>
      </c>
    </row>
    <row r="163" spans="1:7" ht="21.95" customHeight="1">
      <c r="A163" s="784" t="s">
        <v>264</v>
      </c>
      <c r="B163" s="785"/>
      <c r="C163" s="785"/>
      <c r="D163" s="511" t="s">
        <v>186</v>
      </c>
      <c r="E163" s="455">
        <f>'29'!F163</f>
        <v>61025</v>
      </c>
      <c r="F163" s="658">
        <v>61230</v>
      </c>
      <c r="G163" s="473">
        <f t="shared" si="15"/>
        <v>205</v>
      </c>
    </row>
    <row r="164" spans="1:7" ht="21.95" customHeight="1">
      <c r="A164" s="784" t="s">
        <v>265</v>
      </c>
      <c r="B164" s="785"/>
      <c r="C164" s="785"/>
      <c r="D164" s="511" t="s">
        <v>186</v>
      </c>
      <c r="E164" s="455">
        <f>'29'!F164</f>
        <v>6845</v>
      </c>
      <c r="F164" s="658">
        <v>6853</v>
      </c>
      <c r="G164" s="473">
        <f t="shared" si="15"/>
        <v>8</v>
      </c>
    </row>
    <row r="165" spans="1:7" ht="21.95" customHeight="1">
      <c r="A165" s="786" t="s">
        <v>97</v>
      </c>
      <c r="B165" s="604"/>
      <c r="C165" s="604"/>
      <c r="D165" s="511" t="s">
        <v>186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6" t="s">
        <v>187</v>
      </c>
      <c r="B166" s="604"/>
      <c r="C166" s="604"/>
      <c r="D166" s="511" t="s">
        <v>186</v>
      </c>
      <c r="E166" s="455">
        <f>'29'!F166</f>
        <v>0</v>
      </c>
      <c r="F166" s="514">
        <v>0</v>
      </c>
      <c r="G166" s="473">
        <f t="shared" si="16"/>
        <v>0</v>
      </c>
    </row>
    <row r="167" spans="1:7" ht="21.95" customHeight="1">
      <c r="A167" s="1546" t="s">
        <v>98</v>
      </c>
      <c r="B167" s="1546"/>
      <c r="C167" s="1546"/>
      <c r="D167" s="523" t="s">
        <v>186</v>
      </c>
      <c r="E167" s="455">
        <f>'29'!F167</f>
        <v>169669</v>
      </c>
      <c r="F167" s="484">
        <v>170022</v>
      </c>
      <c r="G167" s="473">
        <f t="shared" si="16"/>
        <v>353</v>
      </c>
    </row>
    <row r="168" spans="1:7" ht="21.95" customHeight="1">
      <c r="A168" s="1546" t="s">
        <v>99</v>
      </c>
      <c r="B168" s="1546"/>
      <c r="C168" s="1546"/>
      <c r="D168" s="523" t="s">
        <v>186</v>
      </c>
      <c r="E168" s="455">
        <f>'29'!F168</f>
        <v>169867</v>
      </c>
      <c r="F168" s="514">
        <f t="shared" ref="F168:F172" si="17">F65</f>
        <v>170302</v>
      </c>
      <c r="G168" s="473">
        <f t="shared" si="16"/>
        <v>435</v>
      </c>
    </row>
    <row r="169" spans="1:7" ht="21.95" customHeight="1">
      <c r="A169" s="1546" t="s">
        <v>100</v>
      </c>
      <c r="B169" s="1546"/>
      <c r="C169" s="1546"/>
      <c r="D169" s="523" t="s">
        <v>186</v>
      </c>
      <c r="E169" s="455">
        <f>'29'!F169</f>
        <v>67531</v>
      </c>
      <c r="F169" s="514">
        <f t="shared" si="17"/>
        <v>67970</v>
      </c>
      <c r="G169" s="473">
        <f t="shared" si="16"/>
        <v>439</v>
      </c>
    </row>
    <row r="170" spans="1:7" ht="21.95" customHeight="1">
      <c r="A170" s="1546" t="s">
        <v>101</v>
      </c>
      <c r="B170" s="1546"/>
      <c r="C170" s="1546"/>
      <c r="D170" s="523" t="s">
        <v>186</v>
      </c>
      <c r="E170" s="455">
        <f>'29'!F170</f>
        <v>264497</v>
      </c>
      <c r="F170" s="514">
        <f t="shared" si="17"/>
        <v>264959</v>
      </c>
      <c r="G170" s="473">
        <f t="shared" si="16"/>
        <v>462</v>
      </c>
    </row>
    <row r="171" spans="1:7" ht="21.95" customHeight="1">
      <c r="A171" s="1546" t="s">
        <v>102</v>
      </c>
      <c r="B171" s="1546"/>
      <c r="C171" s="1546"/>
      <c r="D171" s="523" t="s">
        <v>186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546" t="s">
        <v>103</v>
      </c>
      <c r="B172" s="1546"/>
      <c r="C172" s="1546"/>
      <c r="D172" s="523" t="s">
        <v>186</v>
      </c>
      <c r="E172" s="455">
        <f>'29'!F172</f>
        <v>87263</v>
      </c>
      <c r="F172" s="514">
        <f t="shared" si="17"/>
        <v>87515</v>
      </c>
      <c r="G172" s="473">
        <f t="shared" si="16"/>
        <v>252</v>
      </c>
    </row>
    <row r="173" spans="1:7" ht="21.95" customHeight="1">
      <c r="A173" s="1587"/>
      <c r="B173" s="1550"/>
      <c r="C173" s="785"/>
      <c r="D173" s="523"/>
      <c r="G173" s="538">
        <f>SUM(G161:G172)</f>
        <v>2699</v>
      </c>
    </row>
    <row r="174" spans="1:7" ht="21.95" customHeight="1">
      <c r="A174" s="1587" t="s">
        <v>352</v>
      </c>
      <c r="B174" s="1550"/>
      <c r="C174" s="784"/>
      <c r="D174" s="1495" t="s">
        <v>186</v>
      </c>
      <c r="E174" s="1496">
        <v>18997</v>
      </c>
      <c r="F174" s="1496">
        <v>19002</v>
      </c>
      <c r="G174" s="1497">
        <f t="shared" ref="G174:G176" si="18">F174-E174</f>
        <v>5</v>
      </c>
    </row>
    <row r="175" spans="1:7" ht="21.95" customHeight="1">
      <c r="A175" s="1587" t="s">
        <v>353</v>
      </c>
      <c r="B175" s="1550"/>
      <c r="C175" s="454"/>
      <c r="D175" s="1495" t="s">
        <v>186</v>
      </c>
      <c r="E175" s="1500">
        <v>27625</v>
      </c>
      <c r="F175" s="1500">
        <v>27630</v>
      </c>
      <c r="G175" s="1497">
        <f t="shared" si="18"/>
        <v>5</v>
      </c>
    </row>
    <row r="176" spans="1:7" ht="21.95" customHeight="1">
      <c r="A176" s="1587" t="s">
        <v>352</v>
      </c>
      <c r="B176" s="1550"/>
      <c r="C176" s="454"/>
      <c r="D176" s="1495" t="s">
        <v>186</v>
      </c>
      <c r="E176" s="1496">
        <v>70323</v>
      </c>
      <c r="F176" s="1496">
        <v>70336</v>
      </c>
      <c r="G176" s="1497">
        <f t="shared" si="18"/>
        <v>13</v>
      </c>
    </row>
  </sheetData>
  <mergeCells count="78">
    <mergeCell ref="A175:B175"/>
    <mergeCell ref="A176:B176"/>
    <mergeCell ref="A173:B173"/>
    <mergeCell ref="A174:B174"/>
    <mergeCell ref="A154:C154"/>
    <mergeCell ref="A148:C148"/>
    <mergeCell ref="A149:C149"/>
    <mergeCell ref="A150:C150"/>
    <mergeCell ref="A151:C151"/>
    <mergeCell ref="A152:C152"/>
    <mergeCell ref="A153:C153"/>
    <mergeCell ref="A172:C172"/>
    <mergeCell ref="A167:C167"/>
    <mergeCell ref="A168:C168"/>
    <mergeCell ref="A169:C169"/>
    <mergeCell ref="A170:C170"/>
    <mergeCell ref="A171:C171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9"/>
  <sheetViews>
    <sheetView view="pageBreakPreview" topLeftCell="A145" zoomScale="55" zoomScaleNormal="7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338</v>
      </c>
      <c r="B2" s="1111">
        <v>44347</v>
      </c>
      <c r="C2" s="1141" t="s">
        <v>68</v>
      </c>
      <c r="D2" s="611">
        <v>0.24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30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'30'!F7</f>
        <v>566795.56000000006</v>
      </c>
      <c r="F7" s="455">
        <f>E7+21500</f>
        <v>588295.56000000006</v>
      </c>
      <c r="G7" s="473">
        <f>F7-E7</f>
        <v>21500</v>
      </c>
      <c r="H7" s="460">
        <f>G7+'30'!H7</f>
        <v>666342.56000000006</v>
      </c>
      <c r="I7" s="474">
        <f>'1'!I7</f>
        <v>12000</v>
      </c>
      <c r="J7" s="552">
        <f>H7/DAY(B2)</f>
        <v>21494.921290322582</v>
      </c>
      <c r="K7" s="549">
        <v>1375467</v>
      </c>
      <c r="L7" s="377"/>
      <c r="N7" s="440">
        <f>F7-'1'!E7</f>
        <v>-333657.43999999994</v>
      </c>
      <c r="O7" s="382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'30'!F8</f>
        <v>572453.79</v>
      </c>
      <c r="F8" s="475">
        <f>E8+21500</f>
        <v>593953.79</v>
      </c>
      <c r="G8" s="476">
        <f>F8-E8</f>
        <v>21500</v>
      </c>
      <c r="H8" s="460">
        <f>G8+'30'!H8</f>
        <v>667231.79</v>
      </c>
      <c r="I8" s="477"/>
      <c r="J8" s="552">
        <f>H8/DAY(B2)</f>
        <v>21523.606129032258</v>
      </c>
      <c r="K8" s="549">
        <v>1715917</v>
      </c>
      <c r="L8" s="425">
        <v>1728480</v>
      </c>
      <c r="M8" s="440">
        <f>L8-K8</f>
        <v>12563</v>
      </c>
      <c r="N8" s="440">
        <f>F8-'1'!E8</f>
        <v>-332768.20999999996</v>
      </c>
      <c r="O8" s="382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'30'!F9</f>
        <v>2031002</v>
      </c>
      <c r="F9" s="478">
        <f>E9+16950</f>
        <v>2047952</v>
      </c>
      <c r="G9" s="473">
        <f>F9-E9</f>
        <v>16950</v>
      </c>
      <c r="H9" s="460">
        <f>G9+'30'!H9</f>
        <v>16950</v>
      </c>
      <c r="I9" s="479">
        <f>I7-J7</f>
        <v>-9494.9212903225816</v>
      </c>
      <c r="J9" s="552">
        <f>H9/DAY(B2)</f>
        <v>546.77419354838707</v>
      </c>
      <c r="K9" s="428">
        <f>K8-100</f>
        <v>1715817</v>
      </c>
      <c r="L9" s="377"/>
      <c r="N9" s="440">
        <f>F9-'1'!E9</f>
        <v>16950</v>
      </c>
      <c r="O9" s="382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0.29999999999972715</v>
      </c>
      <c r="I10" s="480"/>
      <c r="J10" s="552">
        <f>H10/DAY(B2)</f>
        <v>9.6774193548299081E-3</v>
      </c>
      <c r="K10" s="428"/>
      <c r="L10" s="377"/>
      <c r="N10" s="440">
        <f>F10-'1'!E10</f>
        <v>-2323</v>
      </c>
      <c r="O10" s="382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G13+'30'!H13</f>
        <v>425.29999999998836</v>
      </c>
      <c r="I13" s="482">
        <f>G7-G13</f>
        <v>4550</v>
      </c>
      <c r="J13" s="552">
        <f>H13/DAY(B2)</f>
        <v>13.719354838709302</v>
      </c>
      <c r="K13" s="428"/>
      <c r="L13" s="377"/>
      <c r="N13" s="440">
        <f>F13-'1'!E13</f>
        <v>0</v>
      </c>
      <c r="O13" s="382"/>
    </row>
    <row r="14" spans="1:15" ht="29.2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39" t="s">
        <v>139</v>
      </c>
      <c r="B15" s="589"/>
      <c r="C15" s="589"/>
      <c r="D15" s="523" t="s">
        <v>140</v>
      </c>
      <c r="E15" s="522">
        <v>1683884</v>
      </c>
      <c r="F15" s="700">
        <f>E15+700</f>
        <v>1684584</v>
      </c>
      <c r="G15" s="473">
        <f>(F15-E15)</f>
        <v>700</v>
      </c>
      <c r="H15" s="460">
        <f>G15+'30'!H15</f>
        <v>22284.159999999916</v>
      </c>
      <c r="I15" s="474">
        <f>'1'!I15</f>
        <v>800</v>
      </c>
      <c r="J15" s="552">
        <f>H15/DAY(B2)</f>
        <v>718.84387096773924</v>
      </c>
      <c r="K15" s="428"/>
      <c r="L15" s="377"/>
      <c r="N15" s="440">
        <f>F15-'1'!E15</f>
        <v>-19099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81.156129032260765</v>
      </c>
      <c r="J16" s="553"/>
      <c r="K16" s="428"/>
      <c r="L16" s="377"/>
      <c r="N16" s="440">
        <f>F16-'1'!E16</f>
        <v>0</v>
      </c>
      <c r="O16" s="382"/>
    </row>
    <row r="17" spans="1:15" ht="29.2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55">
        <f>'30'!F18</f>
        <v>7</v>
      </c>
      <c r="F18" s="484">
        <v>6</v>
      </c>
      <c r="G18" s="481">
        <f>F18*10</f>
        <v>60</v>
      </c>
      <c r="H18" s="460">
        <f>G18+'30'!H18</f>
        <v>3150</v>
      </c>
      <c r="I18" s="474">
        <f>'1'!I18</f>
        <v>65</v>
      </c>
      <c r="J18" s="552">
        <f>H18/DAY(B2)</f>
        <v>101.61290322580645</v>
      </c>
      <c r="K18" s="428"/>
      <c r="L18" s="377"/>
      <c r="N18" s="440">
        <f>F18-'1'!E18</f>
        <v>-1</v>
      </c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55">
        <f>'30'!F19</f>
        <v>141495</v>
      </c>
      <c r="F19" s="484">
        <v>139612</v>
      </c>
      <c r="G19" s="473">
        <f t="shared" ref="G19" si="1">F19-E19</f>
        <v>-1883</v>
      </c>
      <c r="H19" s="460">
        <f>G19+'30'!H19</f>
        <v>-1883</v>
      </c>
      <c r="I19" s="489"/>
      <c r="J19" s="552">
        <f>H19/DAY(B2)</f>
        <v>-60.741935483870968</v>
      </c>
      <c r="K19" s="428"/>
      <c r="L19" s="377"/>
      <c r="N19" s="440">
        <f>F19-'1'!E19</f>
        <v>-1883</v>
      </c>
      <c r="O19" s="382"/>
    </row>
    <row r="20" spans="1:15" ht="29.25">
      <c r="A20" s="585" t="s">
        <v>144</v>
      </c>
      <c r="B20" s="586"/>
      <c r="C20" s="586"/>
      <c r="D20" s="490"/>
      <c r="E20" s="490"/>
      <c r="F20" s="490"/>
      <c r="G20" s="491">
        <f>G18+G19</f>
        <v>-1823</v>
      </c>
      <c r="H20" s="460">
        <f>G20+'30'!H20</f>
        <v>1267</v>
      </c>
      <c r="I20" s="492">
        <f>I18-J20</f>
        <v>24.12903225806452</v>
      </c>
      <c r="J20" s="552">
        <f>H20/DAY(B2)</f>
        <v>40.87096774193548</v>
      </c>
      <c r="K20" s="428"/>
      <c r="L20" s="377"/>
      <c r="N20" s="440">
        <f>F20-'1'!E20</f>
        <v>0</v>
      </c>
      <c r="O20" s="382"/>
    </row>
    <row r="21" spans="1:15" ht="29.2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39" t="s">
        <v>146</v>
      </c>
      <c r="B22" s="589"/>
      <c r="C22" s="589"/>
      <c r="D22" s="523" t="s">
        <v>147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39" t="s">
        <v>148</v>
      </c>
      <c r="B23" s="589"/>
      <c r="C23" s="589"/>
      <c r="D23" s="523" t="s">
        <v>147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149</v>
      </c>
      <c r="B24" s="591"/>
      <c r="C24" s="591"/>
      <c r="D24" s="511" t="s">
        <v>147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21500</v>
      </c>
      <c r="F27" s="501">
        <v>9</v>
      </c>
      <c r="G27" s="502">
        <f>E27*F27</f>
        <v>193500</v>
      </c>
      <c r="H27" s="460">
        <f>G27+'30'!H27</f>
        <v>6005086.1100000003</v>
      </c>
      <c r="I27" s="503"/>
      <c r="J27" s="552">
        <f>H27/DAY(B2)</f>
        <v>193712.45516129033</v>
      </c>
      <c r="K27" s="373"/>
      <c r="L27" s="443"/>
      <c r="N27" s="440">
        <f>F27-'1'!E27</f>
        <v>-23251.790000000037</v>
      </c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700</v>
      </c>
      <c r="F28" s="501">
        <v>52</v>
      </c>
      <c r="G28" s="502">
        <f>E28*F28</f>
        <v>36400</v>
      </c>
      <c r="H28" s="460">
        <f>G28+'30'!H28</f>
        <v>1158776.3199999956</v>
      </c>
      <c r="I28" s="505"/>
      <c r="J28" s="552">
        <f>H28/DAY(B2)</f>
        <v>37379.881290322439</v>
      </c>
      <c r="K28" s="373"/>
      <c r="L28" s="443"/>
      <c r="N28" s="440">
        <f>F28-'1'!E28</f>
        <v>-866.37800000002608</v>
      </c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0</v>
      </c>
      <c r="I29" s="505"/>
      <c r="J29" s="552">
        <f>H29/DAY(B2)</f>
        <v>0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-1883</v>
      </c>
      <c r="F30" s="501">
        <v>146</v>
      </c>
      <c r="G30" s="502">
        <f>E30*F30</f>
        <v>-274918</v>
      </c>
      <c r="H30" s="460">
        <f>G30+'30'!H30</f>
        <v>-275502</v>
      </c>
      <c r="I30" s="505"/>
      <c r="J30" s="552">
        <f>H30/DAY(B2)</f>
        <v>-8887.1612903225814</v>
      </c>
      <c r="K30" s="373"/>
      <c r="L30" s="443"/>
      <c r="N30" s="440">
        <f>F30-'1'!E30</f>
        <v>86</v>
      </c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246400</v>
      </c>
      <c r="I31" s="505"/>
      <c r="J31" s="552">
        <f>H31/DAY(B2)</f>
        <v>7948.3870967741932</v>
      </c>
      <c r="K31" s="373"/>
      <c r="L31" s="443"/>
      <c r="N31" s="440">
        <f>F31-'1'!E31</f>
        <v>60</v>
      </c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-40218</v>
      </c>
      <c r="H32" s="460">
        <f>G32+'30'!H32</f>
        <v>7134760.429999996</v>
      </c>
      <c r="I32" s="509"/>
      <c r="J32" s="552">
        <f>H32/DAY(B2)</f>
        <v>230153.5622580644</v>
      </c>
      <c r="K32" s="373"/>
      <c r="L32" s="443"/>
      <c r="N32" s="440">
        <f>F32-'1'!E32</f>
        <v>0</v>
      </c>
      <c r="O32" s="382"/>
    </row>
    <row r="33" spans="1:15" ht="25.5" customHeight="1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440">
        <f>F33-'1'!E33</f>
        <v>0</v>
      </c>
      <c r="O33" s="382"/>
    </row>
    <row r="34" spans="1:15" ht="29.25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163</v>
      </c>
      <c r="B35" s="579"/>
      <c r="C35" s="579"/>
      <c r="D35" s="523" t="s">
        <v>131</v>
      </c>
      <c r="E35" s="455">
        <f>'30'!F35</f>
        <v>1028714</v>
      </c>
      <c r="F35" s="510">
        <v>950488</v>
      </c>
      <c r="G35" s="473">
        <f t="shared" ref="G35:G46" si="3">F35-E35</f>
        <v>-78226</v>
      </c>
      <c r="H35" s="460">
        <f>G35+'30'!H35</f>
        <v>-78226</v>
      </c>
      <c r="I35" s="455"/>
      <c r="J35" s="552">
        <f>H35/DAY(B2)</f>
        <v>-2523.4193548387098</v>
      </c>
      <c r="K35" s="428"/>
      <c r="L35" s="377"/>
      <c r="N35" s="440">
        <f>F35-'1'!E35</f>
        <v>-78226</v>
      </c>
      <c r="O35" s="382"/>
    </row>
    <row r="36" spans="1:15" ht="29.25">
      <c r="A36" s="578" t="s">
        <v>164</v>
      </c>
      <c r="B36" s="579"/>
      <c r="C36" s="579"/>
      <c r="D36" s="523" t="s">
        <v>131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-20288</v>
      </c>
      <c r="O36" s="628"/>
    </row>
    <row r="37" spans="1:15" ht="29.25">
      <c r="A37" s="578" t="s">
        <v>165</v>
      </c>
      <c r="B37" s="579"/>
      <c r="C37" s="579"/>
      <c r="D37" s="523" t="s">
        <v>131</v>
      </c>
      <c r="E37" s="455">
        <f>'30'!F37</f>
        <v>176570</v>
      </c>
      <c r="F37" s="510">
        <v>134236</v>
      </c>
      <c r="G37" s="473">
        <f t="shared" si="3"/>
        <v>-42334</v>
      </c>
      <c r="H37" s="460">
        <f>G37+'30'!H37</f>
        <v>-42334</v>
      </c>
      <c r="I37" s="455"/>
      <c r="J37" s="552">
        <f>H37/DAY(B2)</f>
        <v>-1365.6129032258063</v>
      </c>
      <c r="K37" s="428"/>
      <c r="L37" s="377"/>
      <c r="N37" s="440">
        <f>F37-'1'!E37</f>
        <v>-42334</v>
      </c>
      <c r="O37" s="629"/>
    </row>
    <row r="38" spans="1:15" ht="29.25">
      <c r="A38" s="578" t="s">
        <v>166</v>
      </c>
      <c r="B38" s="579"/>
      <c r="C38" s="579"/>
      <c r="D38" s="523" t="s">
        <v>131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1249</v>
      </c>
      <c r="I38" s="455"/>
      <c r="J38" s="552">
        <f>H38/DAY(B2)</f>
        <v>40.29032258064516</v>
      </c>
      <c r="K38" s="428"/>
      <c r="L38" s="377"/>
      <c r="N38" s="440">
        <f>F38-'1'!E38</f>
        <v>-42054</v>
      </c>
      <c r="O38" s="382"/>
    </row>
    <row r="39" spans="1:15" ht="29.25">
      <c r="A39" s="578" t="s">
        <v>167</v>
      </c>
      <c r="B39" s="579"/>
      <c r="C39" s="579"/>
      <c r="D39" s="523" t="s">
        <v>131</v>
      </c>
      <c r="E39" s="455">
        <f>'30'!F39</f>
        <v>404864</v>
      </c>
      <c r="F39" s="510">
        <v>308173</v>
      </c>
      <c r="G39" s="473">
        <f t="shared" si="3"/>
        <v>-96691</v>
      </c>
      <c r="H39" s="460">
        <f>G39+'30'!H39</f>
        <v>-96691</v>
      </c>
      <c r="I39" s="455"/>
      <c r="J39" s="552">
        <f>H39/DAY(B2)</f>
        <v>-3119.0645161290322</v>
      </c>
      <c r="K39" s="428"/>
      <c r="L39" s="377"/>
      <c r="N39" s="440">
        <f>F39-'1'!E39</f>
        <v>-96691</v>
      </c>
      <c r="O39" s="382"/>
    </row>
    <row r="40" spans="1:15" ht="29.25">
      <c r="A40" s="599" t="s">
        <v>168</v>
      </c>
      <c r="B40" s="600"/>
      <c r="C40" s="600"/>
      <c r="D40" s="523" t="s">
        <v>131</v>
      </c>
      <c r="E40" s="455">
        <f>'30'!F40</f>
        <v>7113</v>
      </c>
      <c r="F40" s="510">
        <v>889</v>
      </c>
      <c r="G40" s="473">
        <f t="shared" si="3"/>
        <v>-6224</v>
      </c>
      <c r="H40" s="460">
        <f>G40+'30'!H40</f>
        <v>-6224</v>
      </c>
      <c r="I40" s="455"/>
      <c r="J40" s="552">
        <f>H40/DAY(B2)</f>
        <v>-200.7741935483871</v>
      </c>
      <c r="K40" s="429"/>
      <c r="L40" s="377"/>
      <c r="N40" s="440">
        <f>F40-'1'!E40</f>
        <v>-6224</v>
      </c>
      <c r="O40" s="382"/>
    </row>
    <row r="41" spans="1:15" ht="29.25">
      <c r="A41" s="578" t="s">
        <v>169</v>
      </c>
      <c r="B41" s="579"/>
      <c r="C41" s="579"/>
      <c r="D41" s="523" t="s">
        <v>131</v>
      </c>
      <c r="E41" s="455">
        <f>'30'!F41</f>
        <v>329642</v>
      </c>
      <c r="F41" s="510">
        <v>240478</v>
      </c>
      <c r="G41" s="473">
        <f t="shared" si="3"/>
        <v>-89164</v>
      </c>
      <c r="H41" s="460">
        <f>G41+'30'!H41</f>
        <v>-89164</v>
      </c>
      <c r="I41" s="455"/>
      <c r="J41" s="552">
        <f>H41/DAY(B2)</f>
        <v>-2876.2580645161293</v>
      </c>
      <c r="K41" s="428"/>
      <c r="L41" s="377"/>
      <c r="N41" s="440">
        <f>F41-'1'!E41</f>
        <v>-89164</v>
      </c>
      <c r="O41" s="382"/>
    </row>
    <row r="42" spans="1:15" ht="29.25">
      <c r="A42" s="578" t="s">
        <v>170</v>
      </c>
      <c r="B42" s="579"/>
      <c r="C42" s="579"/>
      <c r="D42" s="523" t="s">
        <v>131</v>
      </c>
      <c r="E42" s="455">
        <f>'30'!F42</f>
        <v>59210</v>
      </c>
      <c r="F42" s="510">
        <v>59200</v>
      </c>
      <c r="G42" s="473">
        <f t="shared" si="3"/>
        <v>-10</v>
      </c>
      <c r="H42" s="460">
        <f>G42+'30'!H42</f>
        <v>1.1100000000005821</v>
      </c>
      <c r="I42" s="455"/>
      <c r="J42" s="552">
        <f>H42/DAY(B2)</f>
        <v>3.5806451612922001E-2</v>
      </c>
      <c r="K42" s="428"/>
      <c r="L42" s="377"/>
      <c r="N42" s="440">
        <f>H42-'1'!E42</f>
        <v>-59208.89</v>
      </c>
      <c r="O42" s="382"/>
    </row>
    <row r="43" spans="1:15" ht="29.25">
      <c r="A43" s="578" t="s">
        <v>171</v>
      </c>
      <c r="B43" s="579"/>
      <c r="C43" s="579"/>
      <c r="D43" s="523" t="s">
        <v>131</v>
      </c>
      <c r="E43" s="455">
        <f>'30'!F43</f>
        <v>1120452</v>
      </c>
      <c r="F43" s="510">
        <v>1042244</v>
      </c>
      <c r="G43" s="473">
        <f t="shared" si="3"/>
        <v>-78208</v>
      </c>
      <c r="H43" s="460">
        <f>G43+'30'!H43</f>
        <v>-78208</v>
      </c>
      <c r="I43" s="455"/>
      <c r="J43" s="552">
        <f>H43/DAY(B2)</f>
        <v>-2522.8387096774195</v>
      </c>
      <c r="K43" s="428"/>
      <c r="L43" s="377"/>
      <c r="N43" s="440">
        <f>H43-'1'!E43</f>
        <v>-1198660</v>
      </c>
      <c r="O43" s="382"/>
    </row>
    <row r="44" spans="1:15" ht="29.25">
      <c r="A44" s="578" t="s">
        <v>172</v>
      </c>
      <c r="B44" s="579"/>
      <c r="C44" s="579"/>
      <c r="D44" s="523" t="s">
        <v>131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173</v>
      </c>
      <c r="B45" s="579"/>
      <c r="C45" s="579"/>
      <c r="D45" s="523" t="s">
        <v>131</v>
      </c>
      <c r="E45" s="455">
        <f>'30'!F45</f>
        <v>0</v>
      </c>
      <c r="F45" s="510">
        <v>614</v>
      </c>
      <c r="G45" s="473">
        <f t="shared" si="3"/>
        <v>614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614</v>
      </c>
      <c r="O45" s="382"/>
    </row>
    <row r="46" spans="1:15" ht="29.25">
      <c r="A46" s="578" t="s">
        <v>174</v>
      </c>
      <c r="B46" s="579"/>
      <c r="C46" s="579"/>
      <c r="D46" s="523" t="s">
        <v>131</v>
      </c>
      <c r="E46" s="455">
        <f>'30'!F46</f>
        <v>0</v>
      </c>
      <c r="F46" s="510">
        <v>187</v>
      </c>
      <c r="G46" s="473">
        <f t="shared" si="3"/>
        <v>187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186.95</v>
      </c>
      <c r="O46" s="382"/>
    </row>
    <row r="47" spans="1:15" ht="29.2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-388634</v>
      </c>
      <c r="H47" s="460">
        <f>G47+'30'!H47</f>
        <v>-387821.44999999995</v>
      </c>
      <c r="I47" s="455"/>
      <c r="J47" s="552">
        <f>H47/DAY(B2)</f>
        <v>-12510.369354838707</v>
      </c>
      <c r="K47" s="428"/>
      <c r="L47" s="377"/>
      <c r="N47" s="440">
        <f>H47-'1'!E47</f>
        <v>-387821.44999999995</v>
      </c>
      <c r="O47" s="382"/>
    </row>
    <row r="48" spans="1:15" ht="29.2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163</v>
      </c>
      <c r="B49" s="601"/>
      <c r="C49" s="601"/>
      <c r="D49" s="523" t="s">
        <v>131</v>
      </c>
      <c r="E49" s="455">
        <f>'30'!F49</f>
        <v>260732</v>
      </c>
      <c r="F49" s="510">
        <v>260732</v>
      </c>
      <c r="G49" s="473">
        <f t="shared" ref="G49:G58" si="4">F49-E49</f>
        <v>0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>
      <c r="A50" s="578" t="s">
        <v>177</v>
      </c>
      <c r="B50" s="601"/>
      <c r="C50" s="601"/>
      <c r="D50" s="523" t="s">
        <v>131</v>
      </c>
      <c r="E50" s="455">
        <f>'30'!F50</f>
        <v>534663</v>
      </c>
      <c r="F50" s="510">
        <v>502536</v>
      </c>
      <c r="G50" s="473">
        <f t="shared" si="4"/>
        <v>-32127</v>
      </c>
      <c r="H50" s="460">
        <f>G50+'30'!H50</f>
        <v>-33017</v>
      </c>
      <c r="I50" s="455"/>
      <c r="J50" s="552">
        <f>H50/DAY(B2)</f>
        <v>-1065.0645161290322</v>
      </c>
      <c r="K50" s="428"/>
      <c r="L50" s="377"/>
      <c r="N50" s="440">
        <f>H50-'1'!E50</f>
        <v>-567680</v>
      </c>
      <c r="O50" s="382"/>
    </row>
    <row r="51" spans="1:15" ht="29.25">
      <c r="A51" s="578" t="s">
        <v>165</v>
      </c>
      <c r="B51" s="601"/>
      <c r="C51" s="601"/>
      <c r="D51" s="523" t="s">
        <v>131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178</v>
      </c>
      <c r="B52" s="601"/>
      <c r="C52" s="601"/>
      <c r="D52" s="523" t="s">
        <v>131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167</v>
      </c>
      <c r="B53" s="601"/>
      <c r="C53" s="601"/>
      <c r="D53" s="523" t="s">
        <v>131</v>
      </c>
      <c r="E53" s="455">
        <f>'30'!F53</f>
        <v>434232</v>
      </c>
      <c r="F53" s="510">
        <v>432568</v>
      </c>
      <c r="G53" s="473">
        <f t="shared" si="4"/>
        <v>-1664</v>
      </c>
      <c r="H53" s="460">
        <f>G53+'30'!H53</f>
        <v>-1664.3300000000163</v>
      </c>
      <c r="I53" s="455"/>
      <c r="J53" s="552">
        <f>H53/DAY(B2)</f>
        <v>-53.688064516129558</v>
      </c>
      <c r="K53" s="428"/>
      <c r="L53" s="377"/>
      <c r="N53" s="440">
        <f>H53-'1'!E53</f>
        <v>-435896.33</v>
      </c>
      <c r="O53" s="382"/>
    </row>
    <row r="54" spans="1:15" ht="29.25">
      <c r="A54" s="578" t="s">
        <v>179</v>
      </c>
      <c r="B54" s="601"/>
      <c r="C54" s="601"/>
      <c r="D54" s="523" t="s">
        <v>131</v>
      </c>
      <c r="E54" s="455">
        <f>'30'!F54</f>
        <v>14967</v>
      </c>
      <c r="F54" s="510">
        <v>13750</v>
      </c>
      <c r="G54" s="473">
        <f t="shared" si="4"/>
        <v>-1217</v>
      </c>
      <c r="H54" s="460">
        <f>G54+'30'!H54</f>
        <v>-1296</v>
      </c>
      <c r="I54" s="455"/>
      <c r="J54" s="552">
        <f>H54/DAY(B2)</f>
        <v>-41.806451612903224</v>
      </c>
      <c r="K54" s="428"/>
      <c r="L54" s="377"/>
      <c r="N54" s="440">
        <f>H54-'1'!E54</f>
        <v>-16263</v>
      </c>
      <c r="O54" s="382"/>
    </row>
    <row r="55" spans="1:15" ht="29.25">
      <c r="A55" s="578" t="s">
        <v>180</v>
      </c>
      <c r="B55" s="601"/>
      <c r="C55" s="601"/>
      <c r="D55" s="523" t="s">
        <v>131</v>
      </c>
      <c r="E55" s="455">
        <f>'30'!F55</f>
        <v>117636</v>
      </c>
      <c r="F55" s="510">
        <v>68111</v>
      </c>
      <c r="G55" s="473">
        <f t="shared" si="4"/>
        <v>-49525</v>
      </c>
      <c r="H55" s="460">
        <f>G55+'30'!H55</f>
        <v>-49525</v>
      </c>
      <c r="I55" s="455"/>
      <c r="J55" s="552">
        <f>H55/DAY(B2)</f>
        <v>-1597.5806451612902</v>
      </c>
      <c r="K55" s="428"/>
      <c r="L55" s="377"/>
      <c r="N55" s="440">
        <f>H55-'1'!E55</f>
        <v>-167161</v>
      </c>
      <c r="O55" s="382"/>
    </row>
    <row r="56" spans="1:15" ht="29.25">
      <c r="A56" s="578" t="s">
        <v>181</v>
      </c>
      <c r="B56" s="601"/>
      <c r="C56" s="601"/>
      <c r="D56" s="523" t="s">
        <v>182</v>
      </c>
      <c r="E56" s="455">
        <f>'30'!F56</f>
        <v>649032</v>
      </c>
      <c r="F56" s="510">
        <v>617198</v>
      </c>
      <c r="G56" s="473">
        <f t="shared" si="4"/>
        <v>-31834</v>
      </c>
      <c r="H56" s="460">
        <f>G56+'30'!H56</f>
        <v>-31834</v>
      </c>
      <c r="I56" s="455"/>
      <c r="J56" s="552">
        <f>H56/DAY(B2)</f>
        <v>-1026.9032258064517</v>
      </c>
      <c r="K56" s="427"/>
      <c r="L56" s="377"/>
      <c r="N56" s="440">
        <f>H56-'1'!E56</f>
        <v>-680866</v>
      </c>
      <c r="O56" s="382"/>
    </row>
    <row r="57" spans="1:15" ht="29.25">
      <c r="A57" s="578" t="s">
        <v>171</v>
      </c>
      <c r="B57" s="601"/>
      <c r="C57" s="601"/>
      <c r="D57" s="523" t="s">
        <v>131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183</v>
      </c>
      <c r="B58" s="601"/>
      <c r="C58" s="601"/>
      <c r="D58" s="523" t="s">
        <v>131</v>
      </c>
      <c r="E58" s="455">
        <f>'30'!F58</f>
        <v>53986</v>
      </c>
      <c r="F58" s="510">
        <v>49625</v>
      </c>
      <c r="G58" s="473">
        <f t="shared" si="4"/>
        <v>-4361</v>
      </c>
      <c r="H58" s="460">
        <f>G58+'30'!H58</f>
        <v>-4600.2099999999991</v>
      </c>
      <c r="I58" s="455"/>
      <c r="J58" s="552">
        <f>H58/DAY(B2)</f>
        <v>-148.39387096774192</v>
      </c>
      <c r="K58" s="428"/>
      <c r="L58" s="377"/>
      <c r="N58" s="440">
        <f>H58-'1'!E58</f>
        <v>-58586.21</v>
      </c>
      <c r="O58" s="382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-120728</v>
      </c>
      <c r="H59" s="460">
        <f>G59+'30'!H59</f>
        <v>-121936.54000000001</v>
      </c>
      <c r="I59" s="455">
        <f>G7-G60</f>
        <v>530862</v>
      </c>
      <c r="J59" s="552">
        <f>H59/DAY(B2)</f>
        <v>-3933.4367741935484</v>
      </c>
      <c r="K59" s="428"/>
      <c r="L59" s="377"/>
      <c r="N59" s="440">
        <f>H59-'1'!E59</f>
        <v>-121936.54000000001</v>
      </c>
      <c r="O59" s="382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-509362</v>
      </c>
      <c r="H60" s="460">
        <f>G60+'30'!H60</f>
        <v>-508549.45000000013</v>
      </c>
      <c r="I60" s="455">
        <f>G13-G60</f>
        <v>526312</v>
      </c>
      <c r="J60" s="552">
        <f>H60/DAY(B2)</f>
        <v>-16404.82096774194</v>
      </c>
      <c r="K60" s="428"/>
      <c r="L60" s="377"/>
      <c r="N60" s="440">
        <f>H60-'1'!E60</f>
        <v>-508549.45000000013</v>
      </c>
      <c r="O60" s="382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97</v>
      </c>
      <c r="B62" s="604"/>
      <c r="C62" s="604"/>
      <c r="D62" s="511" t="s">
        <v>186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1.9999999967694748E-3</v>
      </c>
      <c r="I62" s="515"/>
      <c r="J62" s="552">
        <f>H62/DAY(B2)</f>
        <v>6.4516128928047577E-5</v>
      </c>
      <c r="K62" s="428"/>
      <c r="L62" s="377"/>
      <c r="N62" s="440">
        <f>H62-'1'!E62</f>
        <v>-20418.998000000003</v>
      </c>
      <c r="O62" s="382"/>
    </row>
    <row r="63" spans="1:15" ht="29.25">
      <c r="A63" s="603" t="s">
        <v>187</v>
      </c>
      <c r="B63" s="604"/>
      <c r="C63" s="604"/>
      <c r="D63" s="511" t="s">
        <v>186</v>
      </c>
      <c r="E63" s="455">
        <v>0</v>
      </c>
      <c r="F63" s="514">
        <v>0</v>
      </c>
      <c r="G63" s="473">
        <f t="shared" si="5"/>
        <v>0</v>
      </c>
      <c r="H63" s="460">
        <f>G63+'30'!H63</f>
        <v>0</v>
      </c>
      <c r="I63" s="515"/>
      <c r="J63" s="552">
        <f>H63/DAY(B2)</f>
        <v>0</v>
      </c>
      <c r="K63" s="428"/>
      <c r="L63" s="377"/>
      <c r="N63" s="440">
        <f>H63-'1'!E63</f>
        <v>0</v>
      </c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55">
        <f>'30'!F64</f>
        <v>170022</v>
      </c>
      <c r="F64" s="484">
        <v>159932</v>
      </c>
      <c r="G64" s="473">
        <f t="shared" si="5"/>
        <v>-10090</v>
      </c>
      <c r="H64" s="460">
        <f>G64+'30'!H64</f>
        <v>-10090</v>
      </c>
      <c r="I64" s="480"/>
      <c r="J64" s="552">
        <f>H64/DAY(B2)</f>
        <v>-325.48387096774195</v>
      </c>
      <c r="K64" s="428"/>
      <c r="L64" s="377"/>
      <c r="N64" s="440">
        <f>H64-'1'!E64</f>
        <v>-180112</v>
      </c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55">
        <f>'30'!F65</f>
        <v>170302</v>
      </c>
      <c r="F65" s="484">
        <v>160998</v>
      </c>
      <c r="G65" s="473">
        <f t="shared" si="5"/>
        <v>-9304</v>
      </c>
      <c r="H65" s="460">
        <f>G65+'30'!H65</f>
        <v>-9304</v>
      </c>
      <c r="I65" s="489"/>
      <c r="J65" s="552">
        <f>H65/DAY(B2)</f>
        <v>-300.12903225806451</v>
      </c>
      <c r="K65" s="428"/>
      <c r="L65" s="377"/>
      <c r="N65" s="440">
        <f>H65-'1'!E65</f>
        <v>-179606</v>
      </c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55">
        <f>'30'!F66</f>
        <v>67970</v>
      </c>
      <c r="F66" s="484">
        <v>56805</v>
      </c>
      <c r="G66" s="473">
        <f t="shared" si="5"/>
        <v>-11165</v>
      </c>
      <c r="H66" s="460">
        <f>G66+'30'!H66</f>
        <v>-11165</v>
      </c>
      <c r="I66" s="480"/>
      <c r="J66" s="552">
        <f>H66/DAY(B2)</f>
        <v>-360.16129032258067</v>
      </c>
      <c r="K66" s="428"/>
      <c r="L66" s="377"/>
      <c r="N66" s="440">
        <f>H66-'1'!E66</f>
        <v>-79135</v>
      </c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55">
        <f>'30'!F67</f>
        <v>264959</v>
      </c>
      <c r="F67" s="484">
        <v>252192</v>
      </c>
      <c r="G67" s="473">
        <f t="shared" si="5"/>
        <v>-12767</v>
      </c>
      <c r="H67" s="460">
        <f>G67+'30'!H67</f>
        <v>-12767</v>
      </c>
      <c r="I67" s="489"/>
      <c r="J67" s="552">
        <f>H67/DAY(B2)</f>
        <v>-411.83870967741933</v>
      </c>
      <c r="K67" s="429"/>
      <c r="L67" s="377"/>
      <c r="N67" s="440">
        <f>H67-'1'!E67</f>
        <v>-277726</v>
      </c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55">
        <f>'30'!F69</f>
        <v>87515</v>
      </c>
      <c r="F69" s="484">
        <v>81749</v>
      </c>
      <c r="G69" s="473">
        <f t="shared" si="5"/>
        <v>-5766</v>
      </c>
      <c r="H69" s="460">
        <f>G69+'30'!H69</f>
        <v>-5766</v>
      </c>
      <c r="I69" s="516"/>
      <c r="J69" s="552">
        <f>H69/DAY(B2)</f>
        <v>-186</v>
      </c>
      <c r="K69" s="431"/>
      <c r="L69" s="377"/>
      <c r="N69" s="440">
        <f>H69-'1'!E69</f>
        <v>-93281</v>
      </c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440">
        <f>H71-'1'!E71</f>
        <v>0</v>
      </c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455">
        <f>'30'!F72</f>
        <v>856222</v>
      </c>
      <c r="F72" s="519">
        <v>855843</v>
      </c>
      <c r="G72" s="473">
        <f t="shared" ref="G72:G84" si="6">F72-E72</f>
        <v>-379</v>
      </c>
      <c r="H72" s="460">
        <f>G72+'30'!H72</f>
        <v>-392</v>
      </c>
      <c r="I72" s="480"/>
      <c r="J72" s="552">
        <f>H72/DAY(B2)</f>
        <v>-12.64516129032258</v>
      </c>
      <c r="K72" s="431"/>
      <c r="L72" s="377"/>
      <c r="N72" s="440">
        <f>H72-'1'!E72</f>
        <v>-856614</v>
      </c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455">
        <f>'30'!F73</f>
        <v>885972</v>
      </c>
      <c r="F73" s="520">
        <v>885937</v>
      </c>
      <c r="G73" s="473">
        <f t="shared" si="6"/>
        <v>-35</v>
      </c>
      <c r="H73" s="460">
        <f>G73+'30'!H73</f>
        <v>-223</v>
      </c>
      <c r="I73" s="480"/>
      <c r="J73" s="552">
        <f>H73/DAY(B2)</f>
        <v>-7.193548387096774</v>
      </c>
      <c r="K73" s="430"/>
      <c r="L73" s="377"/>
      <c r="N73" s="440">
        <f>H73-'1'!E73</f>
        <v>-886195</v>
      </c>
      <c r="O73" s="382"/>
    </row>
    <row r="74" spans="1:15" ht="27.75">
      <c r="A74" s="1540" t="s">
        <v>192</v>
      </c>
      <c r="B74" s="1541"/>
      <c r="C74" s="1542"/>
      <c r="D74" s="523" t="s">
        <v>186</v>
      </c>
      <c r="E74" s="455">
        <f>'30'!F74</f>
        <v>88696</v>
      </c>
      <c r="F74" s="521">
        <v>2586</v>
      </c>
      <c r="G74" s="473">
        <f t="shared" si="6"/>
        <v>-86110</v>
      </c>
      <c r="H74" s="460">
        <f>G74+'30'!H74</f>
        <v>-172189.03999999998</v>
      </c>
      <c r="I74" s="480"/>
      <c r="J74" s="552">
        <f>H74/DAY(B2)</f>
        <v>-5554.4851612903221</v>
      </c>
      <c r="K74" s="431"/>
      <c r="L74" s="377"/>
      <c r="N74" s="440">
        <f>H74-'1'!E74</f>
        <v>-260885.03999999998</v>
      </c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455">
        <f>'30'!F75</f>
        <v>16071</v>
      </c>
      <c r="F75" s="521">
        <v>12669</v>
      </c>
      <c r="G75" s="473">
        <f t="shared" si="6"/>
        <v>-3402</v>
      </c>
      <c r="H75" s="460">
        <f>G75+'30'!H75</f>
        <v>-3402</v>
      </c>
      <c r="I75" s="480"/>
      <c r="J75" s="552">
        <f>H75/DAY(B2)</f>
        <v>-109.74193548387096</v>
      </c>
      <c r="K75" s="430"/>
      <c r="L75" s="377"/>
      <c r="N75" s="440">
        <f>H75-'1'!E75</f>
        <v>-19473</v>
      </c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455">
        <f>'30'!F76</f>
        <v>9336</v>
      </c>
      <c r="F76" s="520">
        <v>7419</v>
      </c>
      <c r="G76" s="473">
        <f t="shared" si="6"/>
        <v>-1917</v>
      </c>
      <c r="H76" s="460">
        <f>G76+'30'!H76</f>
        <v>-3189</v>
      </c>
      <c r="I76" s="505"/>
      <c r="J76" s="552">
        <f>H76/DAY(B2)</f>
        <v>-102.87096774193549</v>
      </c>
      <c r="K76" s="430"/>
      <c r="L76" s="377"/>
      <c r="N76" s="440">
        <f>H76-'1'!E76</f>
        <v>-12525</v>
      </c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455">
        <f>'30'!F77</f>
        <v>704374</v>
      </c>
      <c r="F77" s="521">
        <v>702839</v>
      </c>
      <c r="G77" s="473">
        <f t="shared" si="6"/>
        <v>-1535</v>
      </c>
      <c r="H77" s="460">
        <f>G77+'30'!H77</f>
        <v>-1535</v>
      </c>
      <c r="I77" s="505"/>
      <c r="J77" s="552">
        <f>H77/DAY(B2)</f>
        <v>-49.516129032258064</v>
      </c>
      <c r="K77" s="430"/>
      <c r="L77" s="377"/>
      <c r="N77" s="440">
        <f>H77-'1'!E77</f>
        <v>-705909</v>
      </c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455">
        <f>'30'!F78</f>
        <v>675414</v>
      </c>
      <c r="F78" s="521">
        <v>673032</v>
      </c>
      <c r="G78" s="473">
        <f t="shared" si="6"/>
        <v>-2382</v>
      </c>
      <c r="H78" s="460">
        <f>G78+'30'!H78</f>
        <v>-2382</v>
      </c>
      <c r="I78" s="505"/>
      <c r="J78" s="552">
        <f>H78/DAY(B2)</f>
        <v>-76.838709677419359</v>
      </c>
      <c r="K78" s="430"/>
      <c r="L78" s="377"/>
      <c r="N78" s="440">
        <f>H78-'1'!E78</f>
        <v>-677796</v>
      </c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455">
        <f>'30'!F79</f>
        <v>835416</v>
      </c>
      <c r="F79" s="521">
        <v>831010</v>
      </c>
      <c r="G79" s="473">
        <f t="shared" si="6"/>
        <v>-4406</v>
      </c>
      <c r="H79" s="460">
        <f>G79+'30'!H79</f>
        <v>-3394</v>
      </c>
      <c r="I79" s="505"/>
      <c r="J79" s="552">
        <f>H79/DAY(B2)</f>
        <v>-109.48387096774194</v>
      </c>
      <c r="K79" s="430"/>
      <c r="L79" s="377"/>
      <c r="N79" s="440">
        <f>H79-'1'!E79</f>
        <v>-838810</v>
      </c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455">
        <f>'30'!F80</f>
        <v>539013</v>
      </c>
      <c r="F80" s="520">
        <v>527658</v>
      </c>
      <c r="G80" s="473">
        <f t="shared" si="6"/>
        <v>-11355</v>
      </c>
      <c r="H80" s="460">
        <f>G80+'30'!H80</f>
        <v>-7293.5200000000186</v>
      </c>
      <c r="I80" s="505"/>
      <c r="J80" s="552">
        <f>H80/DAY(B2)</f>
        <v>-235.27483870967802</v>
      </c>
      <c r="K80" s="430"/>
      <c r="L80" s="377"/>
      <c r="N80" s="440">
        <f>H80-'1'!E80</f>
        <v>-546306.52</v>
      </c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455">
        <f>'30'!F81</f>
        <v>642985</v>
      </c>
      <c r="F81" s="520">
        <v>638898</v>
      </c>
      <c r="G81" s="473">
        <f t="shared" si="6"/>
        <v>-4087</v>
      </c>
      <c r="H81" s="460">
        <f>G81+'30'!H81</f>
        <v>-4087</v>
      </c>
      <c r="I81" s="505"/>
      <c r="J81" s="552">
        <f>H81/DAY(B2)</f>
        <v>-131.83870967741936</v>
      </c>
      <c r="K81" s="430"/>
      <c r="L81" s="377"/>
      <c r="N81" s="440">
        <f>H81-'1'!E81</f>
        <v>-647072</v>
      </c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455">
        <f>'30'!F82</f>
        <v>108681</v>
      </c>
      <c r="F82" s="522">
        <v>108158</v>
      </c>
      <c r="G82" s="473">
        <f t="shared" si="6"/>
        <v>-523</v>
      </c>
      <c r="H82" s="460">
        <f>G82+'30'!H82</f>
        <v>-523</v>
      </c>
      <c r="I82" s="486"/>
      <c r="J82" s="552">
        <f>H82/DAY(B2)</f>
        <v>-16.870967741935484</v>
      </c>
      <c r="K82" s="430"/>
      <c r="L82" s="377"/>
      <c r="N82" s="440">
        <f>H82-'1'!E82</f>
        <v>-109204</v>
      </c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455">
        <f>'30'!F83</f>
        <v>27551</v>
      </c>
      <c r="F83" s="511">
        <v>20506</v>
      </c>
      <c r="G83" s="473">
        <f t="shared" si="6"/>
        <v>-7045</v>
      </c>
      <c r="H83" s="460">
        <f>G83+'30'!H83</f>
        <v>-7045</v>
      </c>
      <c r="I83" s="481"/>
      <c r="J83" s="552">
        <f>H83/DAY(B2)</f>
        <v>-227.25806451612902</v>
      </c>
      <c r="K83" s="429"/>
      <c r="L83" s="377"/>
      <c r="N83" s="440">
        <f>H83-'1'!E83</f>
        <v>-34596</v>
      </c>
      <c r="O83" s="382"/>
    </row>
    <row r="84" spans="1:15" ht="29.25">
      <c r="A84" s="1143" t="s">
        <v>200</v>
      </c>
      <c r="B84" s="571"/>
      <c r="C84" s="571"/>
      <c r="D84" s="478" t="s">
        <v>131</v>
      </c>
      <c r="E84" s="455">
        <f>'30'!F84</f>
        <v>523080</v>
      </c>
      <c r="F84" s="627">
        <v>500294</v>
      </c>
      <c r="G84" s="473">
        <f t="shared" si="6"/>
        <v>-22786</v>
      </c>
      <c r="H84" s="460">
        <f>G84+'30'!H84</f>
        <v>-22786</v>
      </c>
      <c r="I84" s="481"/>
      <c r="J84" s="552">
        <f>H84/DAY(B2)</f>
        <v>-735.0322580645161</v>
      </c>
      <c r="K84" s="380"/>
      <c r="L84" s="377"/>
      <c r="N84" s="440">
        <f>H84-'1'!E84</f>
        <v>-545866</v>
      </c>
      <c r="O84" s="382"/>
    </row>
    <row r="85" spans="1:15" s="379" customFormat="1" ht="29.2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-145962</v>
      </c>
      <c r="H85" s="460">
        <f>G85+'30'!H85</f>
        <v>-232041.04</v>
      </c>
      <c r="I85" s="481"/>
      <c r="J85" s="552">
        <f>H85/DAY(B2)</f>
        <v>-7485.1948387096772</v>
      </c>
      <c r="K85" s="380"/>
      <c r="L85" s="378"/>
      <c r="N85" s="440">
        <f>H85-'1'!E85</f>
        <v>-232041.04</v>
      </c>
      <c r="O85" s="382"/>
    </row>
    <row r="86" spans="1:15" s="735" customFormat="1" ht="29.25">
      <c r="A86" s="730" t="s">
        <v>93</v>
      </c>
      <c r="B86" s="731"/>
      <c r="C86" s="731"/>
      <c r="D86" s="732" t="s">
        <v>182</v>
      </c>
      <c r="E86" s="455">
        <f>'30'!F86</f>
        <v>461821</v>
      </c>
      <c r="F86" s="647">
        <v>460935</v>
      </c>
      <c r="G86" s="705">
        <f t="shared" ref="G86" si="7">F86-E86</f>
        <v>-886</v>
      </c>
      <c r="H86" s="460">
        <f>G86+'30'!H86</f>
        <v>-809</v>
      </c>
      <c r="I86" s="652"/>
      <c r="J86" s="707">
        <f>H86/DAY(B2)</f>
        <v>-26.096774193548388</v>
      </c>
      <c r="K86" s="733"/>
      <c r="L86" s="734"/>
      <c r="N86" s="440">
        <f>H86-'1'!E86</f>
        <v>-462630</v>
      </c>
      <c r="O86" s="713"/>
    </row>
    <row r="87" spans="1:15" s="735" customFormat="1" ht="29.25">
      <c r="A87" s="730" t="s">
        <v>94</v>
      </c>
      <c r="B87" s="731"/>
      <c r="C87" s="731"/>
      <c r="D87" s="732" t="s">
        <v>182</v>
      </c>
      <c r="E87" s="455">
        <f>'30'!F87</f>
        <v>82073</v>
      </c>
      <c r="F87" s="647">
        <v>81375</v>
      </c>
      <c r="G87" s="705">
        <f t="shared" ref="G87:G91" si="8">F87-E87</f>
        <v>-698</v>
      </c>
      <c r="H87" s="460">
        <f>G87+'30'!H87</f>
        <v>-633</v>
      </c>
      <c r="I87" s="652"/>
      <c r="J87" s="707">
        <f>H87/DAY(B2)</f>
        <v>-20.419354838709676</v>
      </c>
      <c r="K87" s="733"/>
      <c r="L87" s="734"/>
      <c r="N87" s="440">
        <f>H87-'1'!E87</f>
        <v>-82706</v>
      </c>
      <c r="O87" s="713"/>
    </row>
    <row r="88" spans="1:15" s="735" customFormat="1" ht="29.25">
      <c r="A88" s="730" t="s">
        <v>95</v>
      </c>
      <c r="B88" s="731"/>
      <c r="C88" s="731"/>
      <c r="D88" s="732" t="s">
        <v>182</v>
      </c>
      <c r="E88" s="455">
        <f>'30'!F88</f>
        <v>155323</v>
      </c>
      <c r="F88" s="647">
        <v>153064</v>
      </c>
      <c r="G88" s="705">
        <f t="shared" si="8"/>
        <v>-2259</v>
      </c>
      <c r="H88" s="460">
        <f>G88+'30'!H88</f>
        <v>-2058</v>
      </c>
      <c r="I88" s="652"/>
      <c r="J88" s="707">
        <f>H88/DAY(B2)</f>
        <v>-66.387096774193552</v>
      </c>
      <c r="K88" s="733"/>
      <c r="L88" s="734"/>
      <c r="N88" s="440">
        <f>H88-'1'!E88</f>
        <v>-157381</v>
      </c>
      <c r="O88" s="713"/>
    </row>
    <row r="89" spans="1:15" s="735" customFormat="1" ht="29.25">
      <c r="A89" s="730" t="s">
        <v>203</v>
      </c>
      <c r="B89" s="731"/>
      <c r="C89" s="731"/>
      <c r="D89" s="732" t="s">
        <v>182</v>
      </c>
      <c r="E89" s="455">
        <f>'30'!F89</f>
        <v>65846</v>
      </c>
      <c r="F89" s="647">
        <v>65174.6</v>
      </c>
      <c r="G89" s="705">
        <f t="shared" si="8"/>
        <v>-671.40000000000146</v>
      </c>
      <c r="H89" s="460">
        <f>G89+'30'!H89</f>
        <v>-623.40000000000146</v>
      </c>
      <c r="I89" s="652"/>
      <c r="J89" s="707">
        <f>H89/DAY(B2)</f>
        <v>-20.109677419354885</v>
      </c>
      <c r="K89" s="733"/>
      <c r="L89" s="734"/>
      <c r="N89" s="440">
        <f>H89-'1'!E89</f>
        <v>-66469.399999999994</v>
      </c>
      <c r="O89" s="382"/>
    </row>
    <row r="90" spans="1:15" s="735" customFormat="1" ht="29.25">
      <c r="A90" s="730" t="s">
        <v>203</v>
      </c>
      <c r="B90" s="731"/>
      <c r="C90" s="731"/>
      <c r="D90" s="732" t="s">
        <v>182</v>
      </c>
      <c r="E90" s="455">
        <f>'30'!F90</f>
        <v>3344</v>
      </c>
      <c r="F90" s="647">
        <v>3273.6</v>
      </c>
      <c r="G90" s="705">
        <f t="shared" si="8"/>
        <v>-70.400000000000091</v>
      </c>
      <c r="H90" s="460">
        <f>G90+'30'!H90</f>
        <v>-64.400000000000091</v>
      </c>
      <c r="I90" s="652"/>
      <c r="J90" s="707">
        <f>H90/DAY(B2)</f>
        <v>-2.0774193548387125</v>
      </c>
      <c r="K90" s="733"/>
      <c r="L90" s="734"/>
      <c r="N90" s="440">
        <f>H90-'1'!E90</f>
        <v>-3408.4</v>
      </c>
      <c r="O90" s="382"/>
    </row>
    <row r="91" spans="1:15" s="735" customFormat="1" ht="29.25">
      <c r="A91" s="730" t="s">
        <v>348</v>
      </c>
      <c r="B91" s="731"/>
      <c r="C91" s="731"/>
      <c r="D91" s="732"/>
      <c r="E91" s="455">
        <f>'30'!F91</f>
        <v>28250</v>
      </c>
      <c r="F91" s="647">
        <v>28022</v>
      </c>
      <c r="G91" s="705">
        <f t="shared" si="8"/>
        <v>-228</v>
      </c>
      <c r="H91" s="460">
        <f>G91+'30'!H91</f>
        <v>-207</v>
      </c>
      <c r="I91" s="652"/>
      <c r="J91" s="707">
        <f>H91/DAY(B2)</f>
        <v>-6.67741935483871</v>
      </c>
      <c r="K91" s="733"/>
      <c r="L91" s="734"/>
      <c r="N91" s="777"/>
      <c r="O91" s="382"/>
    </row>
    <row r="92" spans="1:15" s="379" customFormat="1" ht="29.25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55">
        <f>'30'!F93</f>
        <v>247352</v>
      </c>
      <c r="F93" s="484">
        <v>245488</v>
      </c>
      <c r="G93" s="473">
        <f t="shared" ref="G93:G94" si="9">F93-E93</f>
        <v>-1864</v>
      </c>
      <c r="H93" s="460">
        <f>G93+'30'!H93</f>
        <v>-1864</v>
      </c>
      <c r="I93" s="480"/>
      <c r="J93" s="552">
        <f>H93/DAY(B2)</f>
        <v>-60.12903225806452</v>
      </c>
      <c r="K93" s="429"/>
      <c r="L93" s="377"/>
      <c r="N93" s="440">
        <f>H93-'1'!E93</f>
        <v>-249216</v>
      </c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55">
        <f>'30'!F94</f>
        <v>189454</v>
      </c>
      <c r="F94" s="484">
        <v>186121</v>
      </c>
      <c r="G94" s="473">
        <f t="shared" si="9"/>
        <v>-3333</v>
      </c>
      <c r="H94" s="460">
        <f>G94+'30'!H94</f>
        <v>-3333</v>
      </c>
      <c r="I94" s="480"/>
      <c r="J94" s="552">
        <f>H94/DAY(B2)</f>
        <v>-107.51612903225806</v>
      </c>
      <c r="K94" s="380"/>
      <c r="L94" s="377"/>
      <c r="N94" s="440">
        <f>H94-'1'!E94</f>
        <v>-192787</v>
      </c>
      <c r="O94" s="382"/>
    </row>
    <row r="95" spans="1:15" ht="29.25">
      <c r="A95" s="1591" t="s">
        <v>207</v>
      </c>
      <c r="B95" s="1592"/>
      <c r="C95" s="1593"/>
      <c r="D95" s="523"/>
      <c r="E95" s="484"/>
      <c r="F95" s="484"/>
      <c r="G95" s="473">
        <f>G93+G94</f>
        <v>-5197</v>
      </c>
      <c r="H95" s="460">
        <f>G95+'30'!H95</f>
        <v>-5383</v>
      </c>
      <c r="I95" s="480"/>
      <c r="J95" s="552">
        <f>H95/DAY(B2)</f>
        <v>-173.64516129032259</v>
      </c>
      <c r="K95" s="380"/>
      <c r="L95" s="377"/>
      <c r="N95" s="440">
        <f>H95-'1'!E95</f>
        <v>-5383</v>
      </c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55">
        <f>'30'!F96</f>
        <v>415999</v>
      </c>
      <c r="F96" s="484">
        <v>414283</v>
      </c>
      <c r="G96" s="473">
        <f t="shared" ref="G96:G101" si="10">F96-E96</f>
        <v>-1716</v>
      </c>
      <c r="H96" s="460">
        <f>G96+'30'!H96</f>
        <v>-1716</v>
      </c>
      <c r="I96" s="480"/>
      <c r="J96" s="552">
        <f>H96/DAY(B2)</f>
        <v>-55.354838709677416</v>
      </c>
      <c r="K96" s="380"/>
      <c r="L96" s="377"/>
      <c r="N96" s="440">
        <f>H96-'1'!E96</f>
        <v>-417715</v>
      </c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55">
        <f>'30'!F97</f>
        <v>103163</v>
      </c>
      <c r="F97" s="484">
        <v>102648</v>
      </c>
      <c r="G97" s="473">
        <f t="shared" si="10"/>
        <v>-515</v>
      </c>
      <c r="H97" s="460">
        <f>G97+'30'!H97</f>
        <v>-515</v>
      </c>
      <c r="I97" s="480"/>
      <c r="J97" s="552">
        <f>H97/DAY(B2)</f>
        <v>-16.612903225806452</v>
      </c>
      <c r="K97" s="427"/>
      <c r="L97" s="377"/>
      <c r="N97" s="440">
        <f>H97-'1'!E97</f>
        <v>-103678</v>
      </c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55">
        <f>'30'!F98</f>
        <v>98657</v>
      </c>
      <c r="F98" s="484">
        <v>97950</v>
      </c>
      <c r="G98" s="473">
        <f t="shared" si="10"/>
        <v>-707</v>
      </c>
      <c r="H98" s="460">
        <f>G98+'30'!H98</f>
        <v>-707</v>
      </c>
      <c r="I98" s="480"/>
      <c r="J98" s="552">
        <f>H98/DAY(B2)</f>
        <v>-22.806451612903224</v>
      </c>
      <c r="K98" s="432"/>
      <c r="L98" s="377"/>
      <c r="N98" s="440">
        <f>H98-'1'!E98</f>
        <v>-99364</v>
      </c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55">
        <f>'30'!F99</f>
        <v>150405</v>
      </c>
      <c r="F99" s="484">
        <v>149852</v>
      </c>
      <c r="G99" s="473">
        <f t="shared" si="10"/>
        <v>-553</v>
      </c>
      <c r="H99" s="460">
        <f>G99+'30'!H99</f>
        <v>-553</v>
      </c>
      <c r="I99" s="480"/>
      <c r="J99" s="552">
        <f>H99/DAY(B2)</f>
        <v>-17.838709677419356</v>
      </c>
      <c r="K99" s="380"/>
      <c r="L99" s="377"/>
      <c r="N99" s="440">
        <f>H99-'1'!E99</f>
        <v>-150958</v>
      </c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55">
        <f>'30'!F100</f>
        <v>7797</v>
      </c>
      <c r="F100" s="484">
        <v>7369</v>
      </c>
      <c r="G100" s="473">
        <f t="shared" si="10"/>
        <v>-428</v>
      </c>
      <c r="H100" s="460">
        <f>G100+'30'!H100</f>
        <v>-428</v>
      </c>
      <c r="I100" s="480"/>
      <c r="J100" s="552">
        <f>H100/DAY(B2)</f>
        <v>-13.806451612903226</v>
      </c>
      <c r="K100" s="380"/>
      <c r="L100" s="377"/>
      <c r="N100" s="440">
        <f>H100-'1'!E100</f>
        <v>-8225</v>
      </c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55">
        <f>'30'!F101</f>
        <v>5674</v>
      </c>
      <c r="F101" s="484">
        <v>5391</v>
      </c>
      <c r="G101" s="473">
        <f t="shared" si="10"/>
        <v>-283</v>
      </c>
      <c r="H101" s="460">
        <f>G101+'30'!H101</f>
        <v>-283</v>
      </c>
      <c r="I101" s="480"/>
      <c r="J101" s="552">
        <f>H101/DAY(B2)</f>
        <v>-9.129032258064516</v>
      </c>
      <c r="K101" s="380"/>
      <c r="L101" s="377"/>
      <c r="N101" s="440">
        <f>H101-'1'!E101</f>
        <v>-5957</v>
      </c>
      <c r="O101" s="382"/>
    </row>
    <row r="102" spans="1:15" ht="29.25">
      <c r="A102" s="1591" t="s">
        <v>215</v>
      </c>
      <c r="B102" s="1592"/>
      <c r="C102" s="1593"/>
      <c r="D102" s="524"/>
      <c r="E102" s="524"/>
      <c r="F102" s="524"/>
      <c r="G102" s="525">
        <f>SUM(G96:G101)</f>
        <v>-4202</v>
      </c>
      <c r="H102" s="460">
        <f>G102+'30'!H102</f>
        <v>-4202</v>
      </c>
      <c r="I102" s="526"/>
      <c r="J102" s="552">
        <f>H102/DAY(B2)</f>
        <v>-135.54838709677421</v>
      </c>
      <c r="K102" s="380"/>
      <c r="L102" s="377"/>
      <c r="N102" s="440">
        <f>H102-'1'!E102</f>
        <v>-4202</v>
      </c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51" t="s">
        <v>218</v>
      </c>
      <c r="B105" s="1552"/>
      <c r="C105" s="1137"/>
      <c r="D105" s="622" t="s">
        <v>143</v>
      </c>
      <c r="E105" s="532">
        <f>'30'!F105</f>
        <v>7637</v>
      </c>
      <c r="F105" s="532">
        <v>7484</v>
      </c>
      <c r="G105" s="532">
        <f>F105-E105</f>
        <v>-153</v>
      </c>
      <c r="H105" s="460">
        <f>G105+'30'!H105</f>
        <v>-83.6200000000008</v>
      </c>
      <c r="I105" s="532"/>
      <c r="J105" s="558">
        <f>H105/DAY(B2)</f>
        <v>-2.6974193548387353</v>
      </c>
      <c r="N105" s="440">
        <f>H105-'1'!E105</f>
        <v>-7720.6200000000008</v>
      </c>
      <c r="O105" s="382"/>
    </row>
    <row r="106" spans="1:15" s="442" customFormat="1" ht="27.75">
      <c r="A106" s="1551" t="s">
        <v>76</v>
      </c>
      <c r="B106" s="1552"/>
      <c r="C106" s="1137"/>
      <c r="D106" s="622" t="s">
        <v>143</v>
      </c>
      <c r="E106" s="532">
        <f>'30'!F106</f>
        <v>36162</v>
      </c>
      <c r="F106" s="534">
        <v>35953</v>
      </c>
      <c r="G106" s="532">
        <f t="shared" ref="G106:G107" si="11">F106-E106</f>
        <v>-209</v>
      </c>
      <c r="H106" s="460">
        <f>G106+'30'!H106</f>
        <v>-150</v>
      </c>
      <c r="I106" s="532"/>
      <c r="J106" s="558">
        <f>H106/DAY(B2)</f>
        <v>-4.838709677419355</v>
      </c>
      <c r="N106" s="440">
        <f>H106-'1'!E106</f>
        <v>-36312</v>
      </c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'30'!F107</f>
        <v>19822</v>
      </c>
      <c r="F107" s="532">
        <v>19708</v>
      </c>
      <c r="G107" s="532">
        <f t="shared" si="11"/>
        <v>-114</v>
      </c>
      <c r="H107" s="460">
        <f>G107+'30'!H107</f>
        <v>6</v>
      </c>
      <c r="I107" s="532"/>
      <c r="J107" s="558">
        <f>H107/DAY(B2)</f>
        <v>0.19354838709677419</v>
      </c>
      <c r="N107" s="440">
        <f>H107-'1'!E107</f>
        <v>-19816</v>
      </c>
      <c r="O107" s="382"/>
    </row>
    <row r="108" spans="1:15" s="442" customFormat="1" ht="27.75">
      <c r="A108" s="1553" t="s">
        <v>201</v>
      </c>
      <c r="B108" s="1554"/>
      <c r="C108" s="1137"/>
      <c r="D108" s="622"/>
      <c r="E108" s="532"/>
      <c r="F108" s="532"/>
      <c r="G108" s="532">
        <f>SUM(G105:G107)</f>
        <v>-476</v>
      </c>
      <c r="H108" s="460">
        <f>G108+'30'!H108</f>
        <v>-311</v>
      </c>
      <c r="I108" s="532"/>
      <c r="J108" s="558">
        <f>H108/DAY(B2)</f>
        <v>-10.03225806451613</v>
      </c>
      <c r="N108" s="440">
        <f>H108-'1'!E108</f>
        <v>-311</v>
      </c>
      <c r="O108" s="382"/>
    </row>
    <row r="109" spans="1:15" s="442" customFormat="1" ht="27.75">
      <c r="A109" s="1557" t="s">
        <v>78</v>
      </c>
      <c r="B109" s="1558"/>
      <c r="C109" s="1137"/>
      <c r="D109" s="622" t="s">
        <v>143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51" t="s">
        <v>219</v>
      </c>
      <c r="B110" s="1552"/>
      <c r="C110" s="1137"/>
      <c r="D110" s="622" t="s">
        <v>143</v>
      </c>
      <c r="E110" s="532">
        <f>'30'!F110</f>
        <v>64843</v>
      </c>
      <c r="F110" s="532">
        <v>62834</v>
      </c>
      <c r="G110" s="532">
        <f>F110-E110</f>
        <v>-2009</v>
      </c>
      <c r="H110" s="460">
        <f>G110+'30'!H110</f>
        <v>-1726.359999999986</v>
      </c>
      <c r="I110" s="532"/>
      <c r="J110" s="558">
        <f>H110/DAY(B2)</f>
        <v>-55.689032258064067</v>
      </c>
      <c r="N110" s="440">
        <f>H110-'1'!E110</f>
        <v>-66569.359999999986</v>
      </c>
      <c r="O110" s="382"/>
    </row>
    <row r="111" spans="1:15" s="442" customFormat="1" ht="27.75">
      <c r="A111" s="1551" t="s">
        <v>220</v>
      </c>
      <c r="B111" s="1552"/>
      <c r="C111" s="1137"/>
      <c r="D111" s="622" t="s">
        <v>143</v>
      </c>
      <c r="E111" s="532">
        <f>'30'!F111</f>
        <v>33129</v>
      </c>
      <c r="F111" s="532">
        <v>32578</v>
      </c>
      <c r="G111" s="532">
        <f t="shared" ref="G111:G112" si="12">F111-E111</f>
        <v>-551</v>
      </c>
      <c r="H111" s="460">
        <f>G111+'30'!H111</f>
        <v>-475.10000000000582</v>
      </c>
      <c r="I111" s="532"/>
      <c r="J111" s="558">
        <f>H111/DAY(B2)</f>
        <v>-15.325806451613092</v>
      </c>
      <c r="N111" s="440">
        <f>H111-'1'!E111</f>
        <v>-33604.100000000006</v>
      </c>
      <c r="O111" s="382"/>
    </row>
    <row r="112" spans="1:15" s="442" customFormat="1" ht="27.75">
      <c r="A112" s="1551" t="s">
        <v>221</v>
      </c>
      <c r="B112" s="1552"/>
      <c r="C112" s="1137"/>
      <c r="D112" s="622" t="s">
        <v>143</v>
      </c>
      <c r="E112" s="532">
        <f>'30'!F112</f>
        <v>4621</v>
      </c>
      <c r="F112" s="532">
        <v>4576</v>
      </c>
      <c r="G112" s="532">
        <f t="shared" si="12"/>
        <v>-45</v>
      </c>
      <c r="H112" s="460">
        <f>G112+'30'!H112</f>
        <v>306</v>
      </c>
      <c r="I112" s="532"/>
      <c r="J112" s="558">
        <f>H112/DAY(B2)</f>
        <v>9.870967741935484</v>
      </c>
      <c r="N112" s="440">
        <f>H112-'1'!E112</f>
        <v>-4315</v>
      </c>
      <c r="O112" s="382"/>
    </row>
    <row r="113" spans="1:15" s="442" customFormat="1" ht="27.75">
      <c r="A113" s="1555" t="s">
        <v>109</v>
      </c>
      <c r="B113" s="1556"/>
      <c r="C113" s="1137"/>
      <c r="D113" s="622"/>
      <c r="E113" s="532"/>
      <c r="F113" s="532"/>
      <c r="G113" s="532">
        <f>SUM(G110:G112)</f>
        <v>-2605</v>
      </c>
      <c r="H113" s="460">
        <f>G113+'30'!H113</f>
        <v>-1587</v>
      </c>
      <c r="I113" s="532"/>
      <c r="J113" s="558">
        <f>H113/DAY(B2)</f>
        <v>-51.193548387096776</v>
      </c>
      <c r="N113" s="440">
        <f>H113-'1'!E113</f>
        <v>-1587</v>
      </c>
      <c r="O113" s="382"/>
    </row>
    <row r="114" spans="1:15" s="442" customFormat="1" ht="27.75">
      <c r="A114" s="1557" t="s">
        <v>222</v>
      </c>
      <c r="B114" s="1558"/>
      <c r="C114" s="1137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2">
        <f>'30'!F115</f>
        <v>12013</v>
      </c>
      <c r="F115" s="534">
        <v>11497</v>
      </c>
      <c r="G115" s="534">
        <f>F115-E115</f>
        <v>-516</v>
      </c>
      <c r="H115" s="460">
        <f>G115+'30'!H115</f>
        <v>-477</v>
      </c>
      <c r="I115" s="532"/>
      <c r="J115" s="558">
        <f>H115/DAY(B2)</f>
        <v>-15.387096774193548</v>
      </c>
      <c r="N115" s="440">
        <f>H115-'1'!E115</f>
        <v>-12490</v>
      </c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2">
        <f>'30'!F116</f>
        <v>8555</v>
      </c>
      <c r="F116" s="534">
        <v>8312</v>
      </c>
      <c r="G116" s="534">
        <f t="shared" ref="G116:G117" si="13">F116-E116</f>
        <v>-243</v>
      </c>
      <c r="H116" s="460">
        <f>G116+'30'!H116</f>
        <v>-137</v>
      </c>
      <c r="I116" s="532"/>
      <c r="J116" s="558">
        <f>H116/DAY(B2)</f>
        <v>-4.419354838709677</v>
      </c>
      <c r="N116" s="440">
        <f>H116-'1'!E116</f>
        <v>-8692</v>
      </c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G117+'30'!H117</f>
        <v>97</v>
      </c>
      <c r="I117" s="532"/>
      <c r="J117" s="558">
        <f>H117/DAY(B2)</f>
        <v>3.129032258064516</v>
      </c>
      <c r="N117" s="440">
        <f>H117-'1'!E117</f>
        <v>97</v>
      </c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534">
        <f>SUM(G115:G117)</f>
        <v>-759</v>
      </c>
      <c r="H118" s="460">
        <f>G118+'30'!H118</f>
        <v>-617</v>
      </c>
      <c r="I118" s="534"/>
      <c r="J118" s="558">
        <f>H118/DAY(B2)</f>
        <v>-19.903225806451612</v>
      </c>
      <c r="N118" s="440">
        <f>H118-'1'!E118</f>
        <v>-617</v>
      </c>
      <c r="O118" s="382"/>
    </row>
    <row r="119" spans="1:15" s="446" customFormat="1" ht="27.75">
      <c r="A119" s="1547" t="s">
        <v>226</v>
      </c>
      <c r="B119" s="1548"/>
      <c r="C119" s="1136"/>
      <c r="D119" s="624" t="s">
        <v>143</v>
      </c>
      <c r="E119" s="536"/>
      <c r="F119" s="536"/>
      <c r="G119" s="536">
        <f>SUM(G19+G93)</f>
        <v>-3747</v>
      </c>
      <c r="H119" s="460">
        <f>G119+'30'!H119</f>
        <v>-3523</v>
      </c>
      <c r="I119" s="535"/>
      <c r="J119" s="559">
        <f>H119/DAY(B2)</f>
        <v>-113.64516129032258</v>
      </c>
      <c r="N119" s="440">
        <f>H119-'1'!E119</f>
        <v>-3523</v>
      </c>
      <c r="O119" s="382"/>
    </row>
    <row r="120" spans="1:15" s="446" customFormat="1" ht="27.75">
      <c r="A120" s="1547" t="s">
        <v>227</v>
      </c>
      <c r="B120" s="1548"/>
      <c r="C120" s="1136"/>
      <c r="D120" s="624" t="s">
        <v>143</v>
      </c>
      <c r="E120" s="536"/>
      <c r="F120" s="536"/>
      <c r="G120" s="536">
        <f>SUM(G96,G97,G98,G100,G101)</f>
        <v>-3649</v>
      </c>
      <c r="H120" s="460">
        <f>G120+'30'!H120</f>
        <v>-3378</v>
      </c>
      <c r="I120" s="535"/>
      <c r="J120" s="559">
        <f>H120/DAY(B2)</f>
        <v>-108.96774193548387</v>
      </c>
      <c r="N120" s="440">
        <f>H120-'1'!E120</f>
        <v>-3378</v>
      </c>
      <c r="O120" s="382"/>
    </row>
    <row r="121" spans="1:15" s="446" customFormat="1" ht="27.75">
      <c r="A121" s="1547" t="s">
        <v>228</v>
      </c>
      <c r="B121" s="1548"/>
      <c r="C121" s="1136"/>
      <c r="D121" s="624" t="s">
        <v>143</v>
      </c>
      <c r="E121" s="534"/>
      <c r="F121" s="534"/>
      <c r="G121" s="534">
        <f>SUM(G113)</f>
        <v>-2605</v>
      </c>
      <c r="H121" s="460">
        <f>G121+'30'!H121</f>
        <v>-2398</v>
      </c>
      <c r="I121" s="535"/>
      <c r="J121" s="559">
        <f>H121/DAY(B2)</f>
        <v>-77.354838709677423</v>
      </c>
      <c r="N121" s="440">
        <f>H121-'1'!E121</f>
        <v>-2398</v>
      </c>
      <c r="O121" s="382"/>
    </row>
    <row r="122" spans="1:15" s="442" customFormat="1" ht="27.75">
      <c r="A122" s="1549"/>
      <c r="B122" s="1550"/>
      <c r="C122" s="1137"/>
      <c r="D122" s="560"/>
      <c r="E122" s="560" t="s">
        <v>214</v>
      </c>
      <c r="F122" s="560"/>
      <c r="G122" s="560"/>
      <c r="H122" s="561"/>
      <c r="I122" s="560"/>
      <c r="J122" s="562"/>
      <c r="N122" s="440">
        <f>H122-'1'!E122</f>
        <v>0</v>
      </c>
      <c r="O122" s="382"/>
    </row>
    <row r="123" spans="1:15" ht="29.2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55">
        <f>'30'!F124</f>
        <v>839670</v>
      </c>
      <c r="F124" s="478">
        <v>832366</v>
      </c>
      <c r="G124" s="473">
        <f t="shared" ref="G124:G128" si="14">F124-E124</f>
        <v>-7304</v>
      </c>
      <c r="H124" s="460">
        <f>G124+'30'!H124</f>
        <v>-7304</v>
      </c>
      <c r="I124" s="526"/>
      <c r="J124" s="552">
        <f>H124/DAY(B2)</f>
        <v>-235.61290322580646</v>
      </c>
      <c r="K124" s="380"/>
      <c r="L124" s="377"/>
      <c r="N124" s="440">
        <f>H124-'1'!E124</f>
        <v>-846974</v>
      </c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55">
        <f>'30'!F126</f>
        <v>148597</v>
      </c>
      <c r="F126" s="478">
        <v>146491</v>
      </c>
      <c r="G126" s="473">
        <f t="shared" si="14"/>
        <v>-2106</v>
      </c>
      <c r="H126" s="460">
        <f>G126+'30'!H126</f>
        <v>-2106</v>
      </c>
      <c r="I126" s="526"/>
      <c r="J126" s="552">
        <f>H126/DAY(B2)</f>
        <v>-67.935483870967744</v>
      </c>
      <c r="K126" s="380"/>
      <c r="L126" s="377"/>
      <c r="N126" s="440">
        <f>H126-'1'!E126</f>
        <v>-150703</v>
      </c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455">
        <f>'30'!F127</f>
        <v>32071</v>
      </c>
      <c r="F127" s="626">
        <v>31406</v>
      </c>
      <c r="G127" s="473">
        <f t="shared" si="14"/>
        <v>-665</v>
      </c>
      <c r="H127" s="460">
        <f>G127+'30'!H127</f>
        <v>-665</v>
      </c>
      <c r="I127" s="526"/>
      <c r="J127" s="552">
        <f>H127/DAY(B2)</f>
        <v>-21.451612903225808</v>
      </c>
      <c r="K127" s="380"/>
      <c r="L127" s="377"/>
      <c r="N127" s="440">
        <f>H127-'1'!E127</f>
        <v>-32736</v>
      </c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455">
        <f>'30'!F128</f>
        <v>9012</v>
      </c>
      <c r="F128" s="626">
        <v>8972</v>
      </c>
      <c r="G128" s="473">
        <f t="shared" si="14"/>
        <v>-40</v>
      </c>
      <c r="H128" s="460">
        <f>G128+'30'!H128</f>
        <v>-40</v>
      </c>
      <c r="I128" s="480"/>
      <c r="J128" s="552">
        <f>H128/DAY(B2)</f>
        <v>-1.2903225806451613</v>
      </c>
      <c r="K128" s="380"/>
      <c r="L128" s="377"/>
      <c r="N128" s="440">
        <f>H128-'1'!E128</f>
        <v>-9052</v>
      </c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10815</v>
      </c>
      <c r="H129" s="460">
        <f>G129+'30'!H129</f>
        <v>10815</v>
      </c>
      <c r="I129" s="480"/>
      <c r="J129" s="552"/>
      <c r="K129" s="364"/>
      <c r="L129" s="292"/>
      <c r="N129" s="440">
        <f>H129-'1'!E129</f>
        <v>10815</v>
      </c>
      <c r="O129" s="382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55">
        <f>'30'!F131</f>
        <v>0</v>
      </c>
      <c r="F131" s="484"/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455">
        <f>'30'!F133</f>
        <v>40453</v>
      </c>
      <c r="F133" s="541">
        <v>40059</v>
      </c>
      <c r="G133" s="473">
        <f t="shared" si="15"/>
        <v>-394</v>
      </c>
      <c r="H133" s="460">
        <f>G133+'30'!H133</f>
        <v>-394</v>
      </c>
      <c r="I133" s="480"/>
      <c r="J133" s="552">
        <f>H133/DAY(B2)</f>
        <v>-12.709677419354838</v>
      </c>
      <c r="O133" s="382"/>
    </row>
    <row r="134" spans="1:15" ht="27.75">
      <c r="A134" s="1139" t="s">
        <v>241</v>
      </c>
      <c r="B134" s="1140"/>
      <c r="C134" s="1140"/>
      <c r="D134" s="523" t="s">
        <v>238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-394</v>
      </c>
      <c r="J134" s="552">
        <f>H134/DAY(B2)</f>
        <v>0</v>
      </c>
      <c r="O134" s="382"/>
    </row>
    <row r="135" spans="1:15" ht="27.75">
      <c r="A135" s="1139" t="s">
        <v>242</v>
      </c>
      <c r="B135" s="1140"/>
      <c r="C135" s="1140"/>
      <c r="D135" s="523" t="s">
        <v>238</v>
      </c>
      <c r="E135" s="455">
        <f>'30'!F135</f>
        <v>41972</v>
      </c>
      <c r="F135" s="541">
        <v>41730</v>
      </c>
      <c r="G135" s="473">
        <f t="shared" si="15"/>
        <v>-242</v>
      </c>
      <c r="H135" s="460">
        <f>G135+'30'!H135</f>
        <v>-109.44000000000233</v>
      </c>
      <c r="I135" s="480"/>
      <c r="J135" s="552">
        <f>H135/DAY(B2)</f>
        <v>-3.5303225806452363</v>
      </c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455">
        <f>'30'!F136</f>
        <v>32874</v>
      </c>
      <c r="F136" s="541">
        <v>32715</v>
      </c>
      <c r="G136" s="473">
        <f t="shared" si="15"/>
        <v>-159</v>
      </c>
      <c r="H136" s="460">
        <f>G136+'30'!H136</f>
        <v>-146.05000000000291</v>
      </c>
      <c r="I136" s="480"/>
      <c r="J136" s="552">
        <f>H136/DAY(B2)</f>
        <v>-4.711290322580739</v>
      </c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455">
        <f>'30'!F137</f>
        <v>22891.49</v>
      </c>
      <c r="F137" s="541">
        <v>22807.24</v>
      </c>
      <c r="G137" s="473">
        <f t="shared" si="15"/>
        <v>-84.25</v>
      </c>
      <c r="H137" s="460">
        <f>G137+'30'!H137</f>
        <v>-84.25</v>
      </c>
      <c r="I137" s="480">
        <f>G135+G136+G137</f>
        <v>-485.25</v>
      </c>
      <c r="J137" s="552">
        <f>H137/DAY(B2)</f>
        <v>-2.717741935483871</v>
      </c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455">
        <f>'30'!F138</f>
        <v>25091.39</v>
      </c>
      <c r="F138" s="541">
        <v>25051.82</v>
      </c>
      <c r="G138" s="473">
        <f t="shared" si="15"/>
        <v>-39.569999999999709</v>
      </c>
      <c r="H138" s="460">
        <f>G138+'30'!H138</f>
        <v>-22.069999999999709</v>
      </c>
      <c r="I138" s="480"/>
      <c r="J138" s="552">
        <f>H138/DAY(B2)</f>
        <v>-0.7119354838709584</v>
      </c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455">
        <f>'30'!F139</f>
        <v>70513.62</v>
      </c>
      <c r="F139" s="541">
        <v>70411.740000000005</v>
      </c>
      <c r="G139" s="473">
        <f t="shared" si="15"/>
        <v>-101.8799999999901</v>
      </c>
      <c r="H139" s="460">
        <f>G139+'30'!H139</f>
        <v>-69.989999999990687</v>
      </c>
      <c r="I139" s="480">
        <f>G138+G139</f>
        <v>-141.44999999998981</v>
      </c>
      <c r="J139" s="552">
        <f>H139/DAY(B2)</f>
        <v>-2.2577419354835704</v>
      </c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55">
        <f>'30'!F140</f>
        <v>2129.1799999999998</v>
      </c>
      <c r="F140" s="484">
        <v>1854.3</v>
      </c>
      <c r="G140" s="473">
        <f t="shared" si="15"/>
        <v>-274.87999999999988</v>
      </c>
      <c r="H140" s="460">
        <f>G140+'30'!H140</f>
        <v>-274.87999999999988</v>
      </c>
      <c r="I140" s="542"/>
      <c r="J140" s="552">
        <f>H140/DAY(B2)</f>
        <v>-8.8670967741935449</v>
      </c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-156434</v>
      </c>
      <c r="H143" s="460">
        <f>G143+'30'!H143</f>
        <v>-158077.05999999994</v>
      </c>
      <c r="I143" s="480"/>
      <c r="J143" s="552">
        <f>H143/DAY(B2)</f>
        <v>-5099.2599999999984</v>
      </c>
      <c r="K143" s="380"/>
      <c r="L143" s="377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-7.2759999999999998</v>
      </c>
      <c r="H144" s="460">
        <f>G144+'30'!H144</f>
        <v>-7.3481058772200987</v>
      </c>
      <c r="I144" s="544"/>
      <c r="J144" s="552">
        <f>H144/DAY(B2)</f>
        <v>-0.23703567345871285</v>
      </c>
      <c r="K144" s="380"/>
      <c r="L144" s="377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-170533</v>
      </c>
      <c r="H145" s="460">
        <f>G145+'30'!H145</f>
        <v>-170521.88999999998</v>
      </c>
      <c r="I145" s="480"/>
      <c r="J145" s="552">
        <f>H145/DAY(B2)</f>
        <v>-5500.7061290322572</v>
      </c>
      <c r="K145" s="380"/>
      <c r="L145" s="377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-7.9317674418604653</v>
      </c>
      <c r="H146" s="460">
        <f>G146+'30'!H146</f>
        <v>-7.9319583188878209</v>
      </c>
      <c r="I146" s="544"/>
      <c r="J146" s="552">
        <f>H146/DAY(B2)</f>
        <v>-0.25586962318992973</v>
      </c>
      <c r="K146" s="380"/>
      <c r="L146" s="377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-98355</v>
      </c>
      <c r="H147" s="460">
        <f>G147+'30'!H147</f>
        <v>-98355</v>
      </c>
      <c r="I147" s="545"/>
      <c r="J147" s="552">
        <f>H147/DAY(B2)</f>
        <v>-3172.7419354838707</v>
      </c>
      <c r="K147" s="380"/>
      <c r="L147" s="377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-4.5746511627906976</v>
      </c>
      <c r="H148" s="460">
        <f>G148+'30'!H148</f>
        <v>-4.5714661778559584</v>
      </c>
      <c r="I148" s="545"/>
      <c r="J148" s="552">
        <f>H148/DAY(B2)</f>
        <v>-0.1474666508985793</v>
      </c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1249</v>
      </c>
      <c r="H149" s="460">
        <f>G149+'30'!H149</f>
        <v>1249</v>
      </c>
      <c r="I149" s="480"/>
      <c r="J149" s="552">
        <f>H149/DAY(B2)</f>
        <v>40.29032258064516</v>
      </c>
      <c r="K149" s="381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5.8093023255813954E-2</v>
      </c>
      <c r="H150" s="460">
        <f>G150+'30'!H150</f>
        <v>5.8303307071481576E-2</v>
      </c>
      <c r="I150" s="545"/>
      <c r="J150" s="552">
        <f>H150/DAY(B2)</f>
        <v>1.8807518410155347E-3</v>
      </c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-31954</v>
      </c>
      <c r="H151" s="460">
        <f>G151+'30'!H151</f>
        <v>-31954</v>
      </c>
      <c r="I151" s="545"/>
      <c r="J151" s="552">
        <f>H151/DAY(B2)</f>
        <v>-1030.7741935483871</v>
      </c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-1.4862325581395348</v>
      </c>
      <c r="H152" s="460">
        <f>G152+'30'!H152</f>
        <v>-1.4867711431557522</v>
      </c>
      <c r="I152" s="480"/>
      <c r="J152" s="552">
        <f>H152/DAY(B2)</f>
        <v>-4.7960359456637167E-2</v>
      </c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-42334</v>
      </c>
      <c r="H153" s="460">
        <f>G153+'30'!H153</f>
        <v>-42334</v>
      </c>
      <c r="I153" s="480"/>
      <c r="J153" s="552">
        <f>H153/DAY(B2)</f>
        <v>-1365.6129032258063</v>
      </c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-1.9690232558139535</v>
      </c>
      <c r="H154" s="460">
        <f>G154+'30'!H154</f>
        <v>-1.9676240261177</v>
      </c>
      <c r="I154" s="568"/>
      <c r="J154" s="569">
        <f>H154/DAY(B2)</f>
        <v>-6.3471742777990323E-2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4" t="s">
        <v>262</v>
      </c>
      <c r="B161" s="785"/>
      <c r="C161" s="785"/>
      <c r="D161" s="511" t="s">
        <v>186</v>
      </c>
      <c r="E161" s="658">
        <v>38350</v>
      </c>
      <c r="F161" s="658">
        <v>38434</v>
      </c>
      <c r="G161" s="473">
        <f t="shared" ref="G161:G164" si="16">F161-E161</f>
        <v>84</v>
      </c>
    </row>
    <row r="162" spans="1:7" ht="29.25">
      <c r="A162" s="784" t="s">
        <v>263</v>
      </c>
      <c r="B162" s="785"/>
      <c r="C162" s="785"/>
      <c r="D162" s="511" t="s">
        <v>186</v>
      </c>
      <c r="E162" s="658">
        <v>94392</v>
      </c>
      <c r="F162" s="658">
        <v>94790</v>
      </c>
      <c r="G162" s="473">
        <f t="shared" si="16"/>
        <v>398</v>
      </c>
    </row>
    <row r="163" spans="1:7" ht="29.25">
      <c r="A163" s="784" t="s">
        <v>264</v>
      </c>
      <c r="B163" s="785"/>
      <c r="C163" s="785"/>
      <c r="D163" s="511" t="s">
        <v>186</v>
      </c>
      <c r="E163" s="658">
        <v>44727</v>
      </c>
      <c r="F163" s="658">
        <v>44933</v>
      </c>
      <c r="G163" s="473">
        <f t="shared" si="16"/>
        <v>206</v>
      </c>
    </row>
    <row r="164" spans="1:7" ht="29.25">
      <c r="A164" s="784" t="s">
        <v>265</v>
      </c>
      <c r="B164" s="785"/>
      <c r="C164" s="785"/>
      <c r="D164" s="511" t="s">
        <v>186</v>
      </c>
      <c r="E164" s="658">
        <v>6554</v>
      </c>
      <c r="F164" s="658">
        <v>6560</v>
      </c>
      <c r="G164" s="473">
        <f t="shared" si="16"/>
        <v>6</v>
      </c>
    </row>
    <row r="165" spans="1:7" ht="29.25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6" t="s">
        <v>187</v>
      </c>
      <c r="B166" s="604"/>
      <c r="C166" s="604"/>
      <c r="D166" s="511" t="s">
        <v>186</v>
      </c>
      <c r="E166" s="514">
        <v>2472</v>
      </c>
      <c r="F166" s="514">
        <v>2472</v>
      </c>
      <c r="G166" s="473">
        <f t="shared" si="17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514">
        <f t="shared" ref="E167:E172" si="18">E64</f>
        <v>170022</v>
      </c>
      <c r="F167" s="514">
        <f t="shared" ref="F167:F172" si="19">F64</f>
        <v>159932</v>
      </c>
      <c r="G167" s="473">
        <f t="shared" si="17"/>
        <v>-10090</v>
      </c>
    </row>
    <row r="168" spans="1:7" ht="27.75">
      <c r="A168" s="1546" t="s">
        <v>99</v>
      </c>
      <c r="B168" s="1546"/>
      <c r="C168" s="1546"/>
      <c r="D168" s="523" t="s">
        <v>186</v>
      </c>
      <c r="E168" s="514">
        <f t="shared" si="18"/>
        <v>170302</v>
      </c>
      <c r="F168" s="514">
        <f t="shared" si="19"/>
        <v>160998</v>
      </c>
      <c r="G168" s="473">
        <f t="shared" si="17"/>
        <v>-9304</v>
      </c>
    </row>
    <row r="169" spans="1:7" ht="27.75">
      <c r="A169" s="1546" t="s">
        <v>100</v>
      </c>
      <c r="B169" s="1546"/>
      <c r="C169" s="1546"/>
      <c r="D169" s="523" t="s">
        <v>186</v>
      </c>
      <c r="E169" s="514">
        <f t="shared" si="18"/>
        <v>67970</v>
      </c>
      <c r="F169" s="514">
        <f t="shared" si="19"/>
        <v>56805</v>
      </c>
      <c r="G169" s="473">
        <f t="shared" si="17"/>
        <v>-11165</v>
      </c>
    </row>
    <row r="170" spans="1:7" ht="27.75">
      <c r="A170" s="1546" t="s">
        <v>101</v>
      </c>
      <c r="B170" s="1546"/>
      <c r="C170" s="1546"/>
      <c r="D170" s="523" t="s">
        <v>186</v>
      </c>
      <c r="E170" s="514">
        <f t="shared" si="18"/>
        <v>264959</v>
      </c>
      <c r="F170" s="514">
        <f t="shared" si="19"/>
        <v>252192</v>
      </c>
      <c r="G170" s="473">
        <f t="shared" si="17"/>
        <v>-12767</v>
      </c>
    </row>
    <row r="171" spans="1:7" ht="27.75">
      <c r="A171" s="1546" t="s">
        <v>102</v>
      </c>
      <c r="B171" s="1546"/>
      <c r="C171" s="154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514">
        <f t="shared" si="18"/>
        <v>87515</v>
      </c>
      <c r="F172" s="514">
        <f t="shared" si="19"/>
        <v>81749</v>
      </c>
      <c r="G172" s="473">
        <f t="shared" si="17"/>
        <v>-5766</v>
      </c>
    </row>
    <row r="173" spans="1:7" ht="29.25">
      <c r="G173" s="539">
        <f>SUM(G161:G172)</f>
        <v>-48398</v>
      </c>
    </row>
    <row r="174" spans="1:7" ht="29.25">
      <c r="A174" s="1587" t="s">
        <v>352</v>
      </c>
      <c r="B174" s="1550"/>
      <c r="C174" s="785"/>
      <c r="D174" s="523" t="s">
        <v>186</v>
      </c>
    </row>
    <row r="175" spans="1:7" ht="29.25">
      <c r="A175" s="1587" t="s">
        <v>353</v>
      </c>
      <c r="B175" s="1550"/>
      <c r="C175" s="785"/>
      <c r="D175" s="523" t="s">
        <v>186</v>
      </c>
    </row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</sheetData>
  <mergeCells count="76">
    <mergeCell ref="A174:B174"/>
    <mergeCell ref="A175:B175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21"/>
      <c r="B1" s="1521"/>
      <c r="C1" s="1521"/>
      <c r="D1" s="1521"/>
      <c r="E1" s="1521"/>
      <c r="F1" s="1521"/>
      <c r="G1" s="1521"/>
      <c r="H1" s="1521"/>
      <c r="I1" s="1521"/>
      <c r="J1" s="1521"/>
      <c r="K1" s="1521"/>
      <c r="L1" s="1521"/>
      <c r="M1" s="1521"/>
      <c r="N1" s="1521"/>
      <c r="O1" s="1521"/>
    </row>
    <row r="2" spans="1:15" ht="28.5" customHeight="1">
      <c r="A2" s="1" t="s">
        <v>0</v>
      </c>
      <c r="B2" s="1" t="s">
        <v>0</v>
      </c>
      <c r="C2" s="1113" t="s">
        <v>1</v>
      </c>
      <c r="D2" s="4" t="s">
        <v>4</v>
      </c>
      <c r="E2" s="1523" t="s">
        <v>7</v>
      </c>
      <c r="F2" s="1523"/>
      <c r="G2" s="1523"/>
      <c r="H2" s="1529" t="s">
        <v>15</v>
      </c>
      <c r="I2" s="1529"/>
      <c r="J2" s="1529"/>
      <c r="K2" s="1113" t="s">
        <v>16</v>
      </c>
      <c r="L2" s="1529" t="s">
        <v>17</v>
      </c>
      <c r="M2" s="1529"/>
      <c r="N2" s="1529"/>
      <c r="O2" s="1113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278</v>
      </c>
      <c r="O3" s="12"/>
    </row>
    <row r="4" spans="1:15">
      <c r="A4" s="16">
        <v>1</v>
      </c>
      <c r="B4" s="17">
        <v>1</v>
      </c>
      <c r="C4" s="18"/>
      <c r="D4" s="19">
        <f>'1'!F8</f>
        <v>949982.79</v>
      </c>
      <c r="E4" s="19">
        <f>'1'!G97</f>
        <v>17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236.61999999999534</v>
      </c>
      <c r="J4" s="19">
        <f>'1'!G70</f>
        <v>0</v>
      </c>
      <c r="K4" s="23">
        <f>H4+I4</f>
        <v>236.61999999999534</v>
      </c>
      <c r="L4" s="19">
        <f>'1'!G71</f>
        <v>0</v>
      </c>
      <c r="M4" s="19">
        <f>'1'!G72</f>
        <v>9</v>
      </c>
      <c r="N4" s="19">
        <v>0</v>
      </c>
      <c r="O4" s="23">
        <f>L4+M4+N4</f>
        <v>9</v>
      </c>
    </row>
    <row r="5" spans="1:15">
      <c r="A5" s="16">
        <v>2</v>
      </c>
      <c r="B5" s="26">
        <v>2</v>
      </c>
      <c r="C5" s="26"/>
      <c r="D5" s="19">
        <f>'2'!F8</f>
        <v>971017.91</v>
      </c>
      <c r="E5" s="19">
        <f>'2'!G96</f>
        <v>100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241.7100000000064</v>
      </c>
      <c r="J5" s="19">
        <f>'2'!G70</f>
        <v>0</v>
      </c>
      <c r="K5" s="23">
        <f t="shared" ref="K5:K18" si="1">H5+I5</f>
        <v>241.7100000000064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>
      <c r="A6" s="16">
        <v>3</v>
      </c>
      <c r="B6" s="26">
        <v>3</v>
      </c>
      <c r="C6" s="26"/>
      <c r="D6" s="19">
        <f>'4'!F8</f>
        <v>1014988.6</v>
      </c>
      <c r="E6" s="19">
        <f>'3'!G96</f>
        <v>102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272.54000000000815</v>
      </c>
      <c r="J6" s="19">
        <f>'4'!G70</f>
        <v>0</v>
      </c>
      <c r="K6" s="23">
        <f t="shared" si="1"/>
        <v>272.54000000000815</v>
      </c>
      <c r="L6" s="19">
        <f>'4'!G71</f>
        <v>0</v>
      </c>
      <c r="M6" s="19">
        <f>'4'!G72</f>
        <v>14</v>
      </c>
      <c r="N6" s="19">
        <v>0</v>
      </c>
      <c r="O6" s="23">
        <f t="shared" si="2"/>
        <v>14</v>
      </c>
    </row>
    <row r="7" spans="1:15">
      <c r="A7" s="16">
        <v>4</v>
      </c>
      <c r="B7" s="27">
        <v>4</v>
      </c>
      <c r="C7" s="27"/>
      <c r="D7" s="19">
        <f>'3'!F8</f>
        <v>993122</v>
      </c>
      <c r="E7" s="19">
        <f>'4'!G96</f>
        <v>147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275.31999999999243</v>
      </c>
      <c r="J7" s="19">
        <f>'3'!G70</f>
        <v>0</v>
      </c>
      <c r="K7" s="23">
        <f t="shared" si="1"/>
        <v>275.31999999999243</v>
      </c>
      <c r="L7" s="19">
        <f>'3'!G71</f>
        <v>0</v>
      </c>
      <c r="M7" s="19">
        <f>'3'!G72</f>
        <v>13</v>
      </c>
      <c r="N7" s="19">
        <v>0</v>
      </c>
      <c r="O7" s="23">
        <f t="shared" si="2"/>
        <v>13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55818.84</v>
      </c>
      <c r="E9" s="19">
        <f>'6'!G96</f>
        <v>59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210.34000000001106</v>
      </c>
      <c r="J9" s="19">
        <f>'6'!G70</f>
        <v>0</v>
      </c>
      <c r="K9" s="23">
        <f t="shared" si="1"/>
        <v>210.34000000001106</v>
      </c>
      <c r="L9" s="19">
        <f>'6'!G71</f>
        <v>0</v>
      </c>
      <c r="M9" s="19">
        <f>'6'!G72</f>
        <v>11</v>
      </c>
      <c r="N9" s="19">
        <v>0</v>
      </c>
      <c r="O9" s="23">
        <f t="shared" si="2"/>
        <v>11</v>
      </c>
    </row>
    <row r="10" spans="1:15">
      <c r="A10" s="16">
        <v>7</v>
      </c>
      <c r="B10" s="26">
        <v>7</v>
      </c>
      <c r="C10" s="27"/>
      <c r="D10" s="19">
        <f>'7'!F8</f>
        <v>77732.62</v>
      </c>
      <c r="E10" s="19">
        <f>'7'!G96</f>
        <v>76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221.58999999999651</v>
      </c>
      <c r="J10" s="19">
        <f>'7'!G70</f>
        <v>0</v>
      </c>
      <c r="K10" s="23">
        <f t="shared" si="1"/>
        <v>221.58999999999651</v>
      </c>
      <c r="L10" s="19">
        <f>'7'!G71</f>
        <v>0</v>
      </c>
      <c r="M10" s="19">
        <f>'7'!G72</f>
        <v>11</v>
      </c>
      <c r="N10" s="19">
        <v>0</v>
      </c>
      <c r="O10" s="23">
        <f t="shared" si="2"/>
        <v>11</v>
      </c>
    </row>
    <row r="11" spans="1:15">
      <c r="A11" s="16">
        <v>8</v>
      </c>
      <c r="B11" s="26">
        <v>8</v>
      </c>
      <c r="C11" s="18"/>
      <c r="D11" s="19">
        <f>'8'!F8</f>
        <v>99453.79</v>
      </c>
      <c r="E11" s="19">
        <f>'8'!G96</f>
        <v>80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261.61999999999534</v>
      </c>
      <c r="J11" s="19">
        <f>'8'!G70</f>
        <v>0</v>
      </c>
      <c r="K11" s="23">
        <f t="shared" si="1"/>
        <v>261.61999999999534</v>
      </c>
      <c r="L11" s="19">
        <f>'8'!G71</f>
        <v>0</v>
      </c>
      <c r="M11" s="19">
        <f>'8'!G72</f>
        <v>13</v>
      </c>
      <c r="N11" s="19">
        <v>0</v>
      </c>
      <c r="O11" s="23">
        <f t="shared" si="2"/>
        <v>13</v>
      </c>
    </row>
    <row r="12" spans="1:15">
      <c r="A12" s="16">
        <v>9</v>
      </c>
      <c r="B12" s="27">
        <v>9</v>
      </c>
      <c r="C12" s="26"/>
      <c r="D12" s="19">
        <f>'9'!F8</f>
        <v>120953.79</v>
      </c>
      <c r="E12" s="19">
        <f>'9'!G96</f>
        <v>-2064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-6704.0599999999977</v>
      </c>
      <c r="J12" s="19">
        <f>'9'!G70</f>
        <v>0</v>
      </c>
      <c r="K12" s="23">
        <f t="shared" si="1"/>
        <v>-6704.0599999999977</v>
      </c>
      <c r="L12" s="19">
        <f>'9'!G71</f>
        <v>0</v>
      </c>
      <c r="M12" s="19">
        <f>'9'!G72</f>
        <v>-354</v>
      </c>
      <c r="N12" s="19">
        <v>0</v>
      </c>
      <c r="O12" s="23">
        <f t="shared" si="2"/>
        <v>-354</v>
      </c>
    </row>
    <row r="13" spans="1:15">
      <c r="A13" s="16">
        <v>10</v>
      </c>
      <c r="B13" s="27">
        <v>10</v>
      </c>
      <c r="C13" s="26"/>
      <c r="D13" s="19">
        <f>'10'!F8</f>
        <v>142453.78999999998</v>
      </c>
      <c r="E13" s="19">
        <f>'10'!G96</f>
        <v>59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170</v>
      </c>
      <c r="J13" s="19">
        <f>'10'!G70</f>
        <v>0</v>
      </c>
      <c r="K13" s="23">
        <f t="shared" si="1"/>
        <v>170</v>
      </c>
      <c r="L13" s="19">
        <f>'10'!G71</f>
        <v>0</v>
      </c>
      <c r="M13" s="19">
        <f>'10'!G72</f>
        <v>13</v>
      </c>
      <c r="N13" s="19">
        <v>0</v>
      </c>
      <c r="O13" s="23">
        <f t="shared" si="2"/>
        <v>13</v>
      </c>
    </row>
    <row r="14" spans="1:15">
      <c r="A14" s="16">
        <v>11</v>
      </c>
      <c r="B14" s="17">
        <v>11</v>
      </c>
      <c r="C14" s="27"/>
      <c r="D14" s="19">
        <f>'11'!F8</f>
        <v>163953.78999999998</v>
      </c>
      <c r="E14" s="19">
        <f>'11'!G96</f>
        <v>46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152</v>
      </c>
      <c r="J14" s="19">
        <f>'11'!G70</f>
        <v>0</v>
      </c>
      <c r="K14" s="23">
        <f t="shared" si="1"/>
        <v>152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>
      <c r="A15" s="16">
        <v>12</v>
      </c>
      <c r="B15" s="26">
        <v>12</v>
      </c>
      <c r="C15" s="27"/>
      <c r="D15" s="19">
        <f>'12'!F8</f>
        <v>185453.78999999998</v>
      </c>
      <c r="E15" s="19">
        <f>'12'!G96</f>
        <v>36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227</v>
      </c>
      <c r="J15" s="19">
        <f>'12'!G70</f>
        <v>0</v>
      </c>
      <c r="K15" s="23">
        <f t="shared" si="1"/>
        <v>227</v>
      </c>
      <c r="L15" s="19">
        <f>'12'!G71</f>
        <v>0</v>
      </c>
      <c r="M15" s="19">
        <f>'12'!G72</f>
        <v>12</v>
      </c>
      <c r="N15" s="19">
        <v>0</v>
      </c>
      <c r="O15" s="23">
        <f t="shared" si="2"/>
        <v>12</v>
      </c>
    </row>
    <row r="16" spans="1:15">
      <c r="A16" s="16">
        <v>13</v>
      </c>
      <c r="B16" s="26">
        <v>13</v>
      </c>
      <c r="C16" s="26"/>
      <c r="D16" s="19">
        <f>'13'!F8</f>
        <v>206953.78999999998</v>
      </c>
      <c r="E16" s="19">
        <f>'13'!G96</f>
        <v>64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217</v>
      </c>
      <c r="J16" s="19">
        <f>'13'!G70</f>
        <v>0</v>
      </c>
      <c r="K16" s="23">
        <f t="shared" si="1"/>
        <v>217</v>
      </c>
      <c r="L16" s="19">
        <f>'13'!G71</f>
        <v>0</v>
      </c>
      <c r="M16" s="19">
        <f>'13'!G72</f>
        <v>13</v>
      </c>
      <c r="N16" s="19">
        <v>0</v>
      </c>
      <c r="O16" s="23">
        <f t="shared" si="2"/>
        <v>13</v>
      </c>
    </row>
    <row r="17" spans="1:15">
      <c r="A17" s="16">
        <v>14</v>
      </c>
      <c r="B17" s="17">
        <v>14</v>
      </c>
      <c r="C17" s="27"/>
      <c r="D17" s="19">
        <f>'14'!F8</f>
        <v>228453.78999999998</v>
      </c>
      <c r="E17" s="19">
        <f>'14'!G96</f>
        <v>68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209</v>
      </c>
      <c r="J17" s="19">
        <f>'14'!G71</f>
        <v>0</v>
      </c>
      <c r="K17" s="23">
        <f t="shared" si="1"/>
        <v>209</v>
      </c>
      <c r="L17" s="19">
        <f>'14'!G72</f>
        <v>13</v>
      </c>
      <c r="M17" s="19">
        <f>'14'!G73</f>
        <v>1</v>
      </c>
      <c r="N17" s="19">
        <v>0</v>
      </c>
      <c r="O17" s="23">
        <f t="shared" si="2"/>
        <v>14</v>
      </c>
    </row>
    <row r="18" spans="1:15">
      <c r="A18" s="16">
        <v>15</v>
      </c>
      <c r="B18" s="26">
        <v>15</v>
      </c>
      <c r="C18" s="18"/>
      <c r="D18" s="19">
        <f>'15'!F8</f>
        <v>249953.78999999998</v>
      </c>
      <c r="E18" s="19">
        <f>'15'!G96</f>
        <v>65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202</v>
      </c>
      <c r="J18" s="19">
        <f>'15'!G71</f>
        <v>0</v>
      </c>
      <c r="K18" s="23">
        <f t="shared" si="1"/>
        <v>202</v>
      </c>
      <c r="L18" s="19">
        <f>'15'!G72</f>
        <v>13</v>
      </c>
      <c r="M18" s="19">
        <f>'15'!G73</f>
        <v>2</v>
      </c>
      <c r="N18" s="19">
        <v>0</v>
      </c>
      <c r="O18" s="23">
        <f t="shared" si="2"/>
        <v>15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42" t="s">
        <v>116</v>
      </c>
      <c r="B1" s="1742"/>
      <c r="C1" s="1742"/>
      <c r="D1" s="1742"/>
      <c r="E1" s="1742"/>
      <c r="F1" s="1742"/>
      <c r="G1" s="1742"/>
      <c r="H1" s="1742"/>
      <c r="I1" s="1742"/>
      <c r="J1" s="1742"/>
    </row>
    <row r="2" spans="1:12" ht="23.25" customHeight="1">
      <c r="A2" s="214" t="s">
        <v>279</v>
      </c>
      <c r="B2" s="195">
        <v>42328</v>
      </c>
      <c r="C2" s="1743" t="s">
        <v>280</v>
      </c>
      <c r="D2" s="1744"/>
      <c r="E2" s="191" t="s">
        <v>117</v>
      </c>
      <c r="F2" s="191" t="s">
        <v>6</v>
      </c>
      <c r="G2" s="191" t="s">
        <v>8</v>
      </c>
      <c r="H2" s="40" t="s">
        <v>118</v>
      </c>
      <c r="I2" s="41"/>
      <c r="J2" s="42"/>
    </row>
    <row r="3" spans="1:12" ht="18.75" customHeight="1">
      <c r="A3" s="1133" t="s">
        <v>281</v>
      </c>
      <c r="B3" s="189"/>
      <c r="C3" s="189"/>
      <c r="D3" s="1134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282</v>
      </c>
      <c r="J3" s="42" t="s">
        <v>283</v>
      </c>
      <c r="K3" s="116"/>
      <c r="L3" s="117"/>
    </row>
    <row r="4" spans="1:12" ht="18.75" customHeight="1">
      <c r="A4" s="45" t="s">
        <v>284</v>
      </c>
      <c r="B4" s="46" t="s">
        <v>285</v>
      </c>
      <c r="C4" s="39" t="s">
        <v>68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122</v>
      </c>
      <c r="B5" s="217"/>
      <c r="C5" s="218"/>
      <c r="D5" s="219" t="s">
        <v>123</v>
      </c>
      <c r="E5" s="220" t="s">
        <v>124</v>
      </c>
      <c r="F5" s="220" t="s">
        <v>111</v>
      </c>
      <c r="G5" s="22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18.75" customHeight="1">
      <c r="A6" s="1750" t="s">
        <v>129</v>
      </c>
      <c r="B6" s="1751"/>
      <c r="C6" s="1752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130</v>
      </c>
      <c r="B7" s="251"/>
      <c r="C7" s="252"/>
      <c r="D7" s="133" t="s">
        <v>131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133</v>
      </c>
      <c r="B9" s="65"/>
      <c r="C9" s="66"/>
      <c r="D9" s="55" t="s">
        <v>131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134</v>
      </c>
      <c r="B10" s="193"/>
      <c r="C10" s="194"/>
      <c r="D10" s="55" t="s">
        <v>131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135</v>
      </c>
      <c r="B11" s="193"/>
      <c r="C11" s="194"/>
      <c r="D11" s="55" t="s">
        <v>131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136</v>
      </c>
      <c r="B12" s="193"/>
      <c r="C12" s="194"/>
      <c r="D12" s="55" t="s">
        <v>131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137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36" t="s">
        <v>138</v>
      </c>
      <c r="B14" s="1737"/>
      <c r="C14" s="1738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139</v>
      </c>
      <c r="B15" s="184"/>
      <c r="C15" s="185"/>
      <c r="D15" s="133" t="s">
        <v>140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36" t="s">
        <v>141</v>
      </c>
      <c r="B17" s="1737"/>
      <c r="C17" s="1738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20" t="s">
        <v>142</v>
      </c>
      <c r="B18" s="1721"/>
      <c r="C18" s="1722"/>
      <c r="D18" s="55" t="s">
        <v>143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20" t="s">
        <v>70</v>
      </c>
      <c r="B19" s="1721"/>
      <c r="C19" s="1722"/>
      <c r="D19" s="55" t="s">
        <v>143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144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36" t="s">
        <v>145</v>
      </c>
      <c r="B21" s="1737"/>
      <c r="C21" s="1738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0" t="s">
        <v>146</v>
      </c>
      <c r="B22" s="1131"/>
      <c r="C22" s="1132"/>
      <c r="D22" s="55" t="s">
        <v>147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0" t="s">
        <v>148</v>
      </c>
      <c r="B23" s="1131"/>
      <c r="C23" s="1132"/>
      <c r="D23" s="55" t="s">
        <v>147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149</v>
      </c>
      <c r="B24" s="171"/>
      <c r="C24" s="172"/>
      <c r="D24" s="54" t="s">
        <v>147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39" t="s">
        <v>150</v>
      </c>
      <c r="B25" s="1740"/>
      <c r="C25" s="1741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151</v>
      </c>
      <c r="B26" s="165"/>
      <c r="C26" s="166"/>
      <c r="D26" s="144" t="s">
        <v>152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131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153</v>
      </c>
      <c r="B28" s="165"/>
      <c r="C28" s="166"/>
      <c r="D28" s="146" t="s">
        <v>154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155</v>
      </c>
      <c r="B29" s="165"/>
      <c r="C29" s="166"/>
      <c r="D29" s="146" t="s">
        <v>156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158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160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45" t="s">
        <v>161</v>
      </c>
      <c r="B32" s="1746"/>
      <c r="C32" s="1746"/>
      <c r="D32" s="1746"/>
      <c r="E32" s="1746"/>
      <c r="F32" s="1746"/>
      <c r="G32" s="1746"/>
      <c r="H32" s="1746"/>
      <c r="I32" s="1746"/>
      <c r="J32" s="1747"/>
      <c r="K32" s="59"/>
      <c r="L32" s="117"/>
    </row>
    <row r="33" spans="1:12" ht="18.75" customHeight="1">
      <c r="A33" s="1146" t="s">
        <v>162</v>
      </c>
      <c r="B33" s="1147"/>
      <c r="C33" s="1148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163</v>
      </c>
      <c r="B34" s="193"/>
      <c r="C34" s="194"/>
      <c r="D34" s="55" t="s">
        <v>131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164</v>
      </c>
      <c r="B35" s="193"/>
      <c r="C35" s="194"/>
      <c r="D35" s="55" t="s">
        <v>131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165</v>
      </c>
      <c r="B36" s="193"/>
      <c r="C36" s="194"/>
      <c r="D36" s="55" t="s">
        <v>131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166</v>
      </c>
      <c r="B37" s="193"/>
      <c r="C37" s="194"/>
      <c r="D37" s="55" t="s">
        <v>131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167</v>
      </c>
      <c r="B38" s="193"/>
      <c r="C38" s="194"/>
      <c r="D38" s="55" t="s">
        <v>131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168</v>
      </c>
      <c r="B39" s="77"/>
      <c r="C39" s="78"/>
      <c r="D39" s="55" t="s">
        <v>131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169</v>
      </c>
      <c r="B40" s="193"/>
      <c r="C40" s="194"/>
      <c r="D40" s="55" t="s">
        <v>131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170</v>
      </c>
      <c r="B41" s="193"/>
      <c r="C41" s="194"/>
      <c r="D41" s="55" t="s">
        <v>131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171</v>
      </c>
      <c r="B42" s="193"/>
      <c r="C42" s="194"/>
      <c r="D42" s="55" t="s">
        <v>131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172</v>
      </c>
      <c r="B43" s="193"/>
      <c r="C43" s="194"/>
      <c r="D43" s="55" t="s">
        <v>131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173</v>
      </c>
      <c r="B44" s="193"/>
      <c r="C44" s="194"/>
      <c r="D44" s="55" t="s">
        <v>131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174</v>
      </c>
      <c r="B45" s="193"/>
      <c r="C45" s="194"/>
      <c r="D45" s="55" t="s">
        <v>131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175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46" t="s">
        <v>176</v>
      </c>
      <c r="B47" s="1147"/>
      <c r="C47" s="1148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163</v>
      </c>
      <c r="B48" s="175"/>
      <c r="C48" s="176"/>
      <c r="D48" s="55" t="s">
        <v>131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177</v>
      </c>
      <c r="B49" s="175"/>
      <c r="C49" s="176"/>
      <c r="D49" s="55" t="s">
        <v>131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165</v>
      </c>
      <c r="B50" s="175"/>
      <c r="C50" s="176"/>
      <c r="D50" s="55" t="s">
        <v>131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178</v>
      </c>
      <c r="B51" s="175"/>
      <c r="C51" s="176"/>
      <c r="D51" s="55" t="s">
        <v>131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167</v>
      </c>
      <c r="B52" s="175"/>
      <c r="C52" s="176"/>
      <c r="D52" s="55" t="s">
        <v>131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179</v>
      </c>
      <c r="B53" s="175"/>
      <c r="C53" s="176"/>
      <c r="D53" s="55" t="s">
        <v>131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180</v>
      </c>
      <c r="B54" s="175"/>
      <c r="C54" s="176"/>
      <c r="D54" s="55" t="s">
        <v>131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181</v>
      </c>
      <c r="B55" s="175"/>
      <c r="C55" s="176"/>
      <c r="D55" s="55" t="s">
        <v>182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171</v>
      </c>
      <c r="B56" s="175"/>
      <c r="C56" s="176"/>
      <c r="D56" s="55" t="s">
        <v>131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183</v>
      </c>
      <c r="B57" s="175"/>
      <c r="C57" s="176"/>
      <c r="D57" s="55" t="s">
        <v>131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175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184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185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97</v>
      </c>
      <c r="B61" s="244"/>
      <c r="C61" s="245"/>
      <c r="D61" s="54" t="s">
        <v>186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187</v>
      </c>
      <c r="B62" s="244"/>
      <c r="C62" s="245"/>
      <c r="D62" s="54" t="s">
        <v>186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32" t="s">
        <v>98</v>
      </c>
      <c r="B63" s="1733"/>
      <c r="C63" s="1734"/>
      <c r="D63" s="55" t="s">
        <v>186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32" t="s">
        <v>99</v>
      </c>
      <c r="B64" s="1733"/>
      <c r="C64" s="1734"/>
      <c r="D64" s="55" t="s">
        <v>186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32" t="s">
        <v>100</v>
      </c>
      <c r="B65" s="1733"/>
      <c r="C65" s="1734"/>
      <c r="D65" s="55" t="s">
        <v>186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32" t="s">
        <v>101</v>
      </c>
      <c r="B66" s="1733"/>
      <c r="C66" s="1734"/>
      <c r="D66" s="55" t="s">
        <v>186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32" t="s">
        <v>102</v>
      </c>
      <c r="B67" s="1733"/>
      <c r="C67" s="1734"/>
      <c r="D67" s="55" t="s">
        <v>186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32" t="s">
        <v>103</v>
      </c>
      <c r="B68" s="1733"/>
      <c r="C68" s="1734"/>
      <c r="D68" s="55" t="s">
        <v>186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189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32" t="s">
        <v>190</v>
      </c>
      <c r="B70" s="1733"/>
      <c r="C70" s="1734"/>
      <c r="D70" s="55" t="s">
        <v>186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32" t="s">
        <v>191</v>
      </c>
      <c r="B71" s="1733"/>
      <c r="C71" s="1734"/>
      <c r="D71" s="55" t="s">
        <v>186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32" t="s">
        <v>192</v>
      </c>
      <c r="B72" s="1733"/>
      <c r="C72" s="1734"/>
      <c r="D72" s="55" t="s">
        <v>186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29" t="s">
        <v>193</v>
      </c>
      <c r="B73" s="1730"/>
      <c r="C73" s="1731"/>
      <c r="D73" s="55" t="s">
        <v>186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29" t="s">
        <v>194</v>
      </c>
      <c r="B74" s="1730"/>
      <c r="C74" s="1731"/>
      <c r="D74" s="55" t="s">
        <v>186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32" t="s">
        <v>195</v>
      </c>
      <c r="B75" s="1733"/>
      <c r="C75" s="1734"/>
      <c r="D75" s="55" t="s">
        <v>186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35" t="s">
        <v>91</v>
      </c>
      <c r="B76" s="1727"/>
      <c r="C76" s="1728"/>
      <c r="D76" s="81" t="s">
        <v>186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35" t="s">
        <v>197</v>
      </c>
      <c r="B77" s="1727"/>
      <c r="C77" s="1728"/>
      <c r="D77" s="81" t="s">
        <v>186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35" t="s">
        <v>198</v>
      </c>
      <c r="B78" s="1727"/>
      <c r="C78" s="1728"/>
      <c r="D78" s="81" t="s">
        <v>186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26" t="s">
        <v>92</v>
      </c>
      <c r="B79" s="1727"/>
      <c r="C79" s="1728"/>
      <c r="D79" s="207" t="s">
        <v>131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26" t="s">
        <v>199</v>
      </c>
      <c r="B80" s="1727"/>
      <c r="C80" s="1728"/>
      <c r="D80" s="208" t="s">
        <v>131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26" t="s">
        <v>286</v>
      </c>
      <c r="B81" s="1727"/>
      <c r="C81" s="1728"/>
      <c r="D81" s="209" t="s">
        <v>131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201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204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20" t="s">
        <v>206</v>
      </c>
      <c r="B84" s="1721"/>
      <c r="C84" s="1722"/>
      <c r="D84" s="55" t="s">
        <v>143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20" t="s">
        <v>208</v>
      </c>
      <c r="B85" s="1721"/>
      <c r="C85" s="1722"/>
      <c r="D85" s="55" t="s">
        <v>143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20" t="s">
        <v>209</v>
      </c>
      <c r="B86" s="1721"/>
      <c r="C86" s="1722"/>
      <c r="D86" s="55" t="s">
        <v>143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20" t="s">
        <v>210</v>
      </c>
      <c r="B87" s="1721"/>
      <c r="C87" s="1722"/>
      <c r="D87" s="55" t="s">
        <v>143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20" t="s">
        <v>211</v>
      </c>
      <c r="B88" s="1721"/>
      <c r="C88" s="1722"/>
      <c r="D88" s="55" t="s">
        <v>143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20" t="s">
        <v>212</v>
      </c>
      <c r="B89" s="1721"/>
      <c r="C89" s="1722"/>
      <c r="D89" s="55" t="s">
        <v>143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20" t="s">
        <v>213</v>
      </c>
      <c r="B90" s="1721"/>
      <c r="C90" s="1722"/>
      <c r="D90" s="55" t="s">
        <v>143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20" t="s">
        <v>218</v>
      </c>
      <c r="B91" s="1721"/>
      <c r="C91" s="1722"/>
      <c r="D91" s="55" t="s">
        <v>143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20" t="s">
        <v>76</v>
      </c>
      <c r="B92" s="1721"/>
      <c r="C92" s="1722"/>
      <c r="D92" s="55" t="s">
        <v>143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20" t="s">
        <v>77</v>
      </c>
      <c r="B93" s="1721"/>
      <c r="C93" s="1722"/>
      <c r="D93" s="55" t="s">
        <v>143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20" t="s">
        <v>205</v>
      </c>
      <c r="B94" s="1721"/>
      <c r="C94" s="1722"/>
      <c r="D94" s="55" t="s">
        <v>143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23" t="s">
        <v>229</v>
      </c>
      <c r="B95" s="1724"/>
      <c r="C95" s="1725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230</v>
      </c>
      <c r="B96" s="187"/>
      <c r="C96" s="188"/>
      <c r="D96" s="137" t="s">
        <v>140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232</v>
      </c>
      <c r="B97" s="1131"/>
      <c r="C97" s="1132"/>
      <c r="D97" s="55" t="s">
        <v>140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48" t="s">
        <v>249</v>
      </c>
      <c r="B98" s="1749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20" t="s">
        <v>250</v>
      </c>
      <c r="B99" s="1721"/>
      <c r="C99" s="1722"/>
      <c r="D99" s="55" t="s">
        <v>131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20" t="s">
        <v>251</v>
      </c>
      <c r="B100" s="1721"/>
      <c r="C100" s="1722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20" t="s">
        <v>252</v>
      </c>
      <c r="B101" s="1721"/>
      <c r="C101" s="1722"/>
      <c r="D101" s="55" t="s">
        <v>131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20" t="s">
        <v>253</v>
      </c>
      <c r="B102" s="1721"/>
      <c r="C102" s="1722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20" t="s">
        <v>254</v>
      </c>
      <c r="B103" s="1721"/>
      <c r="C103" s="1722"/>
      <c r="D103" s="55" t="s">
        <v>131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20" t="s">
        <v>255</v>
      </c>
      <c r="B104" s="1721"/>
      <c r="C104" s="1722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20" t="s">
        <v>256</v>
      </c>
      <c r="B105" s="1721"/>
      <c r="C105" s="1722"/>
      <c r="D105" s="55" t="s">
        <v>182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20" t="s">
        <v>257</v>
      </c>
      <c r="B106" s="1721"/>
      <c r="C106" s="1722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20" t="s">
        <v>258</v>
      </c>
      <c r="B107" s="1721"/>
      <c r="C107" s="1722"/>
      <c r="D107" s="55" t="s">
        <v>182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20" t="s">
        <v>259</v>
      </c>
      <c r="B108" s="1721"/>
      <c r="C108" s="1722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20" t="s">
        <v>260</v>
      </c>
      <c r="B109" s="1721"/>
      <c r="C109" s="1722"/>
      <c r="D109" s="55" t="s">
        <v>182</v>
      </c>
      <c r="E109" s="70"/>
      <c r="F109" s="70"/>
      <c r="G109" s="132"/>
      <c r="H109" s="57"/>
      <c r="I109" s="86"/>
      <c r="J109" s="58"/>
    </row>
    <row r="110" spans="1:12" ht="18.75" customHeight="1">
      <c r="A110" s="1720" t="s">
        <v>261</v>
      </c>
      <c r="B110" s="1721"/>
      <c r="C110" s="1722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236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237</v>
      </c>
      <c r="B112" s="197"/>
      <c r="C112" s="197"/>
      <c r="D112" s="55" t="s">
        <v>238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239</v>
      </c>
      <c r="B113" s="197"/>
      <c r="C113" s="197"/>
      <c r="D113" s="55" t="s">
        <v>238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240</v>
      </c>
      <c r="B114" s="197"/>
      <c r="C114" s="197"/>
      <c r="D114" s="55" t="s">
        <v>238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241</v>
      </c>
      <c r="B115" s="197"/>
      <c r="C115" s="197"/>
      <c r="D115" s="55" t="s">
        <v>238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242</v>
      </c>
      <c r="B116" s="197"/>
      <c r="C116" s="197"/>
      <c r="D116" s="55" t="s">
        <v>238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243</v>
      </c>
      <c r="B117" s="197"/>
      <c r="C117" s="197"/>
      <c r="D117" s="55" t="s">
        <v>238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244</v>
      </c>
      <c r="B118" s="197"/>
      <c r="C118" s="197"/>
      <c r="D118" s="55" t="s">
        <v>238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245</v>
      </c>
      <c r="B119" s="197"/>
      <c r="C119" s="197"/>
      <c r="D119" s="55" t="s">
        <v>238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246</v>
      </c>
      <c r="B120" s="197"/>
      <c r="C120" s="197"/>
      <c r="D120" s="55" t="s">
        <v>238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247</v>
      </c>
      <c r="B121" s="197"/>
      <c r="C121" s="197"/>
      <c r="D121" s="55" t="s">
        <v>238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248</v>
      </c>
      <c r="B122" s="197"/>
      <c r="C122" s="197"/>
      <c r="D122" s="55" t="s">
        <v>238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42" t="s">
        <v>116</v>
      </c>
      <c r="B1" s="1742"/>
      <c r="C1" s="1742"/>
      <c r="D1" s="1742"/>
      <c r="E1" s="1742"/>
      <c r="F1" s="1742"/>
      <c r="G1" s="1742"/>
      <c r="H1" s="1742"/>
      <c r="I1" s="1742"/>
      <c r="J1" s="1742"/>
    </row>
    <row r="2" spans="1:12" ht="23.25" customHeight="1">
      <c r="A2" s="282" t="s">
        <v>287</v>
      </c>
      <c r="B2" s="283">
        <v>43585</v>
      </c>
      <c r="C2" s="387" t="s">
        <v>68</v>
      </c>
      <c r="D2" s="284">
        <v>0.66339999999999999</v>
      </c>
      <c r="E2" s="285"/>
      <c r="F2" s="285"/>
      <c r="G2" s="285" t="s">
        <v>117</v>
      </c>
      <c r="H2" s="285" t="s">
        <v>6</v>
      </c>
      <c r="I2" s="285" t="s">
        <v>8</v>
      </c>
      <c r="J2" s="286" t="s">
        <v>118</v>
      </c>
    </row>
    <row r="3" spans="1:12" ht="23.25" customHeight="1">
      <c r="A3" s="288"/>
      <c r="B3" s="289"/>
      <c r="C3" s="1129" t="s">
        <v>119</v>
      </c>
      <c r="D3" s="386">
        <v>32</v>
      </c>
      <c r="E3" s="1756" t="s">
        <v>120</v>
      </c>
      <c r="F3" s="1757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121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122</v>
      </c>
      <c r="B5" s="297"/>
      <c r="C5" s="298"/>
      <c r="D5" s="299" t="s">
        <v>123</v>
      </c>
      <c r="E5" s="300" t="s">
        <v>124</v>
      </c>
      <c r="F5" s="300" t="s">
        <v>111</v>
      </c>
      <c r="G5" s="30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23.25" customHeight="1">
      <c r="A6" s="1758" t="s">
        <v>129</v>
      </c>
      <c r="B6" s="1759"/>
      <c r="C6" s="1760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130</v>
      </c>
      <c r="B7" s="303"/>
      <c r="C7" s="304"/>
      <c r="D7" s="305" t="s">
        <v>131</v>
      </c>
      <c r="E7" s="159">
        <f>'29'!F7</f>
        <v>545295.56000000006</v>
      </c>
      <c r="F7" s="306">
        <v>3615871.9</v>
      </c>
      <c r="G7" s="307">
        <f>F7-E7</f>
        <v>3070576.34</v>
      </c>
      <c r="H7" s="57">
        <f>G7+'29'!H7</f>
        <v>3693918.9</v>
      </c>
      <c r="I7" s="276">
        <f>'1'!I7</f>
        <v>12000</v>
      </c>
      <c r="J7" s="58">
        <f>H7/DAY(B2)</f>
        <v>123130.62999999999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133</v>
      </c>
      <c r="B9" s="316"/>
      <c r="C9" s="317"/>
      <c r="D9" s="268" t="s">
        <v>131</v>
      </c>
      <c r="E9" s="56">
        <f>'29'!F9</f>
        <v>2014052</v>
      </c>
      <c r="F9" s="264">
        <v>2288314.7000000002</v>
      </c>
      <c r="G9" s="318">
        <f t="shared" ref="G9:G11" si="0">F9-E9</f>
        <v>274262.70000000019</v>
      </c>
      <c r="H9" s="57">
        <f>G9+'29'!H9</f>
        <v>257312.70000000019</v>
      </c>
      <c r="I9" s="278">
        <f>I7-J7</f>
        <v>-111130.62999999999</v>
      </c>
      <c r="J9" s="58">
        <f>H9/DAY(B2)</f>
        <v>8577.0900000000056</v>
      </c>
      <c r="K9" s="59"/>
      <c r="L9" s="117"/>
    </row>
    <row r="10" spans="1:12" ht="23.25" customHeight="1">
      <c r="A10" s="320" t="s">
        <v>134</v>
      </c>
      <c r="B10" s="321"/>
      <c r="C10" s="322"/>
      <c r="D10" s="268" t="s">
        <v>131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1226059.7</v>
      </c>
      <c r="I10" s="69"/>
      <c r="J10" s="58">
        <f>H10/DAY(B2)</f>
        <v>40868.656666666662</v>
      </c>
      <c r="K10" s="59"/>
      <c r="L10" s="117"/>
    </row>
    <row r="11" spans="1:12" ht="23.25" customHeight="1">
      <c r="A11" s="320" t="s">
        <v>135</v>
      </c>
      <c r="B11" s="321"/>
      <c r="C11" s="322"/>
      <c r="D11" s="268" t="s">
        <v>131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136</v>
      </c>
      <c r="B12" s="321"/>
      <c r="C12" s="322"/>
      <c r="D12" s="268" t="s">
        <v>131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137</v>
      </c>
      <c r="B13" s="401"/>
      <c r="C13" s="402"/>
      <c r="D13" s="268"/>
      <c r="E13" s="422"/>
      <c r="F13" s="279"/>
      <c r="G13" s="279">
        <f>G9+G10+G11+G12</f>
        <v>1497182.1</v>
      </c>
      <c r="H13" s="57">
        <f>G13+'29'!H13</f>
        <v>1463707.4000000001</v>
      </c>
      <c r="I13" s="369">
        <f>G7-G13</f>
        <v>1573394.2399999998</v>
      </c>
      <c r="J13" s="308">
        <f>H13/DAY(B2)</f>
        <v>48790.246666666673</v>
      </c>
      <c r="K13" s="59"/>
      <c r="L13" s="117"/>
    </row>
    <row r="14" spans="1:12" ht="23.25" customHeight="1">
      <c r="A14" s="1761" t="s">
        <v>138</v>
      </c>
      <c r="B14" s="1762"/>
      <c r="C14" s="1763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139</v>
      </c>
      <c r="B15" s="324"/>
      <c r="C15" s="325"/>
      <c r="D15" s="305" t="s">
        <v>140</v>
      </c>
      <c r="E15" s="159">
        <f>'29'!F15</f>
        <v>1724567.16</v>
      </c>
      <c r="F15" s="266">
        <v>1040573.68</v>
      </c>
      <c r="G15" s="318">
        <f>(F15-E15)</f>
        <v>-683993.47999999986</v>
      </c>
      <c r="H15" s="57">
        <f>G15+'29'!H15</f>
        <v>-663109.31999999995</v>
      </c>
      <c r="I15" s="276">
        <f>'1'!I15</f>
        <v>800</v>
      </c>
      <c r="J15" s="58">
        <f>H15/DAY(B2)</f>
        <v>-22103.643999999997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22903.643999999997</v>
      </c>
      <c r="J16" s="229"/>
      <c r="K16" s="59"/>
      <c r="L16" s="117"/>
    </row>
    <row r="17" spans="1:12" ht="23.25" customHeight="1">
      <c r="A17" s="1761" t="s">
        <v>141</v>
      </c>
      <c r="B17" s="1762"/>
      <c r="C17" s="1763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53" t="s">
        <v>142</v>
      </c>
      <c r="B18" s="1754"/>
      <c r="C18" s="1755"/>
      <c r="D18" s="268" t="s">
        <v>143</v>
      </c>
      <c r="E18" s="415">
        <f>'29'!F18</f>
        <v>10</v>
      </c>
      <c r="F18" s="267">
        <v>24</v>
      </c>
      <c r="G18" s="279">
        <f>F18*10</f>
        <v>240</v>
      </c>
      <c r="H18" s="57">
        <f>G18+'29'!H18</f>
        <v>3260</v>
      </c>
      <c r="I18" s="158">
        <f>'1'!I18</f>
        <v>65</v>
      </c>
      <c r="J18" s="58">
        <f>H18/DAY(B2)</f>
        <v>108.66666666666667</v>
      </c>
      <c r="K18" s="59"/>
      <c r="L18" s="117"/>
    </row>
    <row r="19" spans="1:12" ht="23.25" customHeight="1">
      <c r="A19" s="1753" t="s">
        <v>70</v>
      </c>
      <c r="B19" s="1754"/>
      <c r="C19" s="1755"/>
      <c r="D19" s="268" t="s">
        <v>143</v>
      </c>
      <c r="E19" s="56">
        <f>'29'!F19</f>
        <v>141431</v>
      </c>
      <c r="F19" s="267">
        <v>99778</v>
      </c>
      <c r="G19" s="318">
        <f t="shared" ref="G19" si="1">F19-E19</f>
        <v>-41653</v>
      </c>
      <c r="H19" s="57">
        <f>G19+'29'!H19</f>
        <v>-41717</v>
      </c>
      <c r="I19" s="80"/>
      <c r="J19" s="58">
        <f>H19/DAY(B2)</f>
        <v>-1390.5666666666666</v>
      </c>
      <c r="K19" s="59"/>
      <c r="L19" s="117"/>
    </row>
    <row r="20" spans="1:12" ht="23.25" customHeight="1">
      <c r="A20" s="400" t="s">
        <v>144</v>
      </c>
      <c r="B20" s="401"/>
      <c r="C20" s="402"/>
      <c r="D20" s="330"/>
      <c r="E20" s="421"/>
      <c r="F20" s="330"/>
      <c r="G20" s="331">
        <f>G18+G19</f>
        <v>-41413</v>
      </c>
      <c r="H20" s="57">
        <f>G20+'29'!H20</f>
        <v>-38457</v>
      </c>
      <c r="I20" s="127">
        <f>J20-I18</f>
        <v>-1346.9</v>
      </c>
      <c r="J20" s="58">
        <f>H20/DAY(B2)</f>
        <v>-1281.9000000000001</v>
      </c>
      <c r="K20" s="59"/>
      <c r="L20" s="117"/>
    </row>
    <row r="21" spans="1:12" ht="23.25" customHeight="1">
      <c r="A21" s="1761" t="s">
        <v>145</v>
      </c>
      <c r="B21" s="1762"/>
      <c r="C21" s="1763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1" t="s">
        <v>146</v>
      </c>
      <c r="B22" s="1122"/>
      <c r="C22" s="1123"/>
      <c r="D22" s="268" t="s">
        <v>147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21" t="s">
        <v>148</v>
      </c>
      <c r="B23" s="1122"/>
      <c r="C23" s="1123"/>
      <c r="D23" s="268" t="s">
        <v>147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149</v>
      </c>
      <c r="B24" s="404"/>
      <c r="C24" s="405"/>
      <c r="D24" s="269" t="s">
        <v>147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67" t="s">
        <v>150</v>
      </c>
      <c r="B25" s="1768"/>
      <c r="C25" s="1769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151</v>
      </c>
      <c r="B26" s="334"/>
      <c r="C26" s="335"/>
      <c r="D26" s="336" t="s">
        <v>152</v>
      </c>
      <c r="E26" s="337" t="s">
        <v>288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131</v>
      </c>
      <c r="E27" s="340">
        <f>G7</f>
        <v>3070576.34</v>
      </c>
      <c r="F27" s="412">
        <v>10.86</v>
      </c>
      <c r="G27" s="366">
        <f>E27*F27</f>
        <v>33346459.052399997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153</v>
      </c>
      <c r="B28" s="334"/>
      <c r="C28" s="335"/>
      <c r="D28" s="339" t="s">
        <v>154</v>
      </c>
      <c r="E28" s="341">
        <f>G15</f>
        <v>-683993.47999999986</v>
      </c>
      <c r="F28" s="412">
        <v>44</v>
      </c>
      <c r="G28" s="366">
        <f>E28*F28</f>
        <v>-30095713.119999994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155</v>
      </c>
      <c r="B29" s="334"/>
      <c r="C29" s="335"/>
      <c r="D29" s="339" t="s">
        <v>156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158</v>
      </c>
      <c r="E30" s="342">
        <f>G20</f>
        <v>-41413</v>
      </c>
      <c r="F30" s="412">
        <v>95</v>
      </c>
      <c r="G30" s="366">
        <f>E30*F30</f>
        <v>-3934235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160</v>
      </c>
      <c r="B31" s="407"/>
      <c r="C31" s="408"/>
      <c r="D31" s="343"/>
      <c r="E31" s="343"/>
      <c r="F31" s="343"/>
      <c r="G31" s="367">
        <f>G27+G28+G29+G30</f>
        <v>-683489.06759999692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45" t="s">
        <v>161</v>
      </c>
      <c r="B32" s="1746"/>
      <c r="C32" s="1746"/>
      <c r="D32" s="1746"/>
      <c r="E32" s="1746"/>
      <c r="F32" s="1746"/>
      <c r="G32" s="1746"/>
      <c r="H32" s="1746"/>
      <c r="I32" s="1746"/>
      <c r="J32" s="1747"/>
      <c r="K32" s="59"/>
      <c r="L32" s="117"/>
    </row>
    <row r="33" spans="1:12" ht="23.25" customHeight="1">
      <c r="A33" s="1116" t="s">
        <v>162</v>
      </c>
      <c r="B33" s="1117"/>
      <c r="C33" s="1118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163</v>
      </c>
      <c r="B34" s="321"/>
      <c r="C34" s="322"/>
      <c r="D34" s="268" t="s">
        <v>131</v>
      </c>
      <c r="E34" s="415">
        <f>'29'!F35</f>
        <v>1026011</v>
      </c>
      <c r="F34" s="344">
        <v>0</v>
      </c>
      <c r="G34" s="318">
        <f t="shared" ref="G34:G45" si="3">F34-E34</f>
        <v>-1026011</v>
      </c>
      <c r="H34" s="57">
        <f>G34+'29'!H35</f>
        <v>-1028714</v>
      </c>
      <c r="I34" s="56"/>
      <c r="J34" s="58">
        <f>H34/DAY(B2)</f>
        <v>-34290.466666666667</v>
      </c>
      <c r="K34" s="59"/>
      <c r="L34" s="117"/>
    </row>
    <row r="35" spans="1:12" ht="23.25" customHeight="1">
      <c r="A35" s="320" t="s">
        <v>164</v>
      </c>
      <c r="B35" s="321"/>
      <c r="C35" s="322"/>
      <c r="D35" s="268" t="s">
        <v>131</v>
      </c>
      <c r="E35" s="56">
        <f>'29'!F36</f>
        <v>19808</v>
      </c>
      <c r="F35" s="344">
        <v>694322.47</v>
      </c>
      <c r="G35" s="318">
        <f t="shared" si="3"/>
        <v>674514.47</v>
      </c>
      <c r="H35" s="57">
        <f>G35+'29'!H36</f>
        <v>673861.47</v>
      </c>
      <c r="I35" s="56"/>
      <c r="J35" s="58">
        <f>H35/DAY(B2)</f>
        <v>22462.048999999999</v>
      </c>
      <c r="K35" s="59"/>
      <c r="L35" s="117"/>
    </row>
    <row r="36" spans="1:12" ht="23.25" customHeight="1">
      <c r="A36" s="320" t="s">
        <v>165</v>
      </c>
      <c r="B36" s="321"/>
      <c r="C36" s="322"/>
      <c r="D36" s="268" t="s">
        <v>131</v>
      </c>
      <c r="E36" s="56">
        <f>'29'!F37</f>
        <v>175158</v>
      </c>
      <c r="F36" s="344">
        <v>392708.87</v>
      </c>
      <c r="G36" s="318">
        <f t="shared" si="3"/>
        <v>217550.87</v>
      </c>
      <c r="H36" s="57">
        <f>G36+'29'!H37</f>
        <v>216138.87</v>
      </c>
      <c r="I36" s="56"/>
      <c r="J36" s="58">
        <f>H36/DAY(B2)</f>
        <v>7204.6289999999999</v>
      </c>
      <c r="K36" s="59"/>
      <c r="L36" s="117"/>
    </row>
    <row r="37" spans="1:12" ht="23.25" customHeight="1">
      <c r="A37" s="320" t="s">
        <v>166</v>
      </c>
      <c r="B37" s="321"/>
      <c r="C37" s="322"/>
      <c r="D37" s="268" t="s">
        <v>131</v>
      </c>
      <c r="E37" s="56">
        <f>'29'!F38</f>
        <v>197105</v>
      </c>
      <c r="F37" s="345">
        <v>675505.75</v>
      </c>
      <c r="G37" s="318">
        <f t="shared" si="3"/>
        <v>478400.75</v>
      </c>
      <c r="H37" s="57">
        <f>G37+'29'!H38</f>
        <v>477046.75</v>
      </c>
      <c r="I37" s="56"/>
      <c r="J37" s="58">
        <f>H37/DAY(B2)</f>
        <v>15901.558333333332</v>
      </c>
      <c r="K37" s="59"/>
      <c r="L37" s="117"/>
    </row>
    <row r="38" spans="1:12" ht="23.25" customHeight="1">
      <c r="A38" s="320" t="s">
        <v>167</v>
      </c>
      <c r="B38" s="321"/>
      <c r="C38" s="322"/>
      <c r="D38" s="268" t="s">
        <v>131</v>
      </c>
      <c r="E38" s="56">
        <f>'29'!F39</f>
        <v>401127</v>
      </c>
      <c r="F38" s="344">
        <v>2497766.1</v>
      </c>
      <c r="G38" s="318">
        <f t="shared" si="3"/>
        <v>2096639.1</v>
      </c>
      <c r="H38" s="57">
        <f>G38+'29'!H39</f>
        <v>2092902.1</v>
      </c>
      <c r="I38" s="56"/>
      <c r="J38" s="58">
        <f>H38/DAY(B2)</f>
        <v>69763.403333333335</v>
      </c>
      <c r="K38" s="59"/>
      <c r="L38" s="117"/>
    </row>
    <row r="39" spans="1:12" ht="23.25" customHeight="1">
      <c r="A39" s="346" t="s">
        <v>168</v>
      </c>
      <c r="B39" s="347"/>
      <c r="C39" s="348"/>
      <c r="D39" s="268" t="s">
        <v>131</v>
      </c>
      <c r="E39" s="56">
        <f>'29'!F40</f>
        <v>6837</v>
      </c>
      <c r="F39" s="344">
        <v>0</v>
      </c>
      <c r="G39" s="318">
        <f t="shared" si="3"/>
        <v>-6837</v>
      </c>
      <c r="H39" s="57">
        <f>G39+'29'!H40</f>
        <v>-7113</v>
      </c>
      <c r="I39" s="56"/>
      <c r="J39" s="58">
        <f>H39/DAY(B2)</f>
        <v>-237.1</v>
      </c>
      <c r="K39" s="75"/>
      <c r="L39" s="117"/>
    </row>
    <row r="40" spans="1:12" ht="23.25" customHeight="1">
      <c r="A40" s="320" t="s">
        <v>169</v>
      </c>
      <c r="B40" s="321"/>
      <c r="C40" s="322"/>
      <c r="D40" s="268" t="s">
        <v>131</v>
      </c>
      <c r="E40" s="56">
        <f>'29'!F41</f>
        <v>324353</v>
      </c>
      <c r="F40" s="344">
        <v>1138016.5</v>
      </c>
      <c r="G40" s="318">
        <f t="shared" si="3"/>
        <v>813663.5</v>
      </c>
      <c r="H40" s="57">
        <f>G40+'29'!H41</f>
        <v>808374.5</v>
      </c>
      <c r="I40" s="56"/>
      <c r="J40" s="58">
        <f>H40/DAY(B2)</f>
        <v>26945.816666666666</v>
      </c>
      <c r="K40" s="59"/>
      <c r="L40" s="117"/>
    </row>
    <row r="41" spans="1:12" ht="23.25" customHeight="1">
      <c r="A41" s="320" t="s">
        <v>170</v>
      </c>
      <c r="B41" s="321"/>
      <c r="C41" s="322"/>
      <c r="D41" s="268" t="s">
        <v>131</v>
      </c>
      <c r="E41" s="56">
        <f>'29'!F42</f>
        <v>59210</v>
      </c>
      <c r="F41" s="344">
        <v>1251783.8</v>
      </c>
      <c r="G41" s="318">
        <f t="shared" si="3"/>
        <v>1192573.8</v>
      </c>
      <c r="H41" s="57">
        <f>G41+'29'!H42</f>
        <v>1192584.9100000001</v>
      </c>
      <c r="I41" s="56"/>
      <c r="J41" s="58">
        <f>H41/DAY(B2)</f>
        <v>39752.830333333339</v>
      </c>
      <c r="K41" s="59"/>
      <c r="L41" s="117"/>
    </row>
    <row r="42" spans="1:12" ht="23.25" customHeight="1">
      <c r="A42" s="320" t="s">
        <v>171</v>
      </c>
      <c r="B42" s="321"/>
      <c r="C42" s="322"/>
      <c r="D42" s="268" t="s">
        <v>131</v>
      </c>
      <c r="E42" s="56">
        <f>'29'!F43</f>
        <v>1117914</v>
      </c>
      <c r="F42" s="344">
        <v>1479848.9</v>
      </c>
      <c r="G42" s="318">
        <f t="shared" si="3"/>
        <v>361934.89999999991</v>
      </c>
      <c r="H42" s="57">
        <f>G42+'29'!H43</f>
        <v>359396.89999999991</v>
      </c>
      <c r="I42" s="56"/>
      <c r="J42" s="58">
        <f>H42/DAY(B2)</f>
        <v>11979.896666666664</v>
      </c>
      <c r="K42" s="59"/>
      <c r="L42" s="117"/>
    </row>
    <row r="43" spans="1:12" ht="23.25" customHeight="1">
      <c r="A43" s="320" t="s">
        <v>172</v>
      </c>
      <c r="B43" s="321"/>
      <c r="C43" s="322"/>
      <c r="D43" s="268" t="s">
        <v>131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173</v>
      </c>
      <c r="B44" s="321"/>
      <c r="C44" s="322"/>
      <c r="D44" s="268" t="s">
        <v>131</v>
      </c>
      <c r="E44" s="56">
        <f>'29'!F45</f>
        <v>0</v>
      </c>
      <c r="F44" s="344">
        <v>945</v>
      </c>
      <c r="G44" s="318">
        <f t="shared" si="3"/>
        <v>945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174</v>
      </c>
      <c r="B45" s="321"/>
      <c r="C45" s="322"/>
      <c r="D45" s="268" t="s">
        <v>131</v>
      </c>
      <c r="E45" s="56">
        <f>'29'!F46</f>
        <v>0</v>
      </c>
      <c r="F45" s="344">
        <v>375</v>
      </c>
      <c r="G45" s="318">
        <f t="shared" si="3"/>
        <v>375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175</v>
      </c>
      <c r="B46" s="401"/>
      <c r="C46" s="402"/>
      <c r="D46" s="349"/>
      <c r="E46" s="414"/>
      <c r="F46" s="269"/>
      <c r="G46" s="279">
        <f>G34+G35+G36+G37+G38+G39+G40+G41+G42+G43+G44+G45</f>
        <v>4804649.3900000006</v>
      </c>
      <c r="H46" s="57">
        <f>G46+'29'!H47</f>
        <v>4787499.9400000004</v>
      </c>
      <c r="I46" s="56"/>
      <c r="J46" s="58">
        <f>H46/DAY(B2)</f>
        <v>159583.33133333334</v>
      </c>
      <c r="K46" s="59"/>
      <c r="L46" s="117"/>
    </row>
    <row r="47" spans="1:12" ht="23.25" customHeight="1">
      <c r="A47" s="1116" t="s">
        <v>176</v>
      </c>
      <c r="B47" s="1117"/>
      <c r="C47" s="1118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163</v>
      </c>
      <c r="B48" s="350"/>
      <c r="C48" s="351"/>
      <c r="D48" s="268" t="s">
        <v>131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>
      <c r="A49" s="320" t="s">
        <v>177</v>
      </c>
      <c r="B49" s="350"/>
      <c r="C49" s="351"/>
      <c r="D49" s="268" t="s">
        <v>131</v>
      </c>
      <c r="E49" s="56">
        <f>'29'!F50</f>
        <v>533719</v>
      </c>
      <c r="F49" s="344">
        <v>707853.75</v>
      </c>
      <c r="G49" s="318">
        <f t="shared" si="4"/>
        <v>174134.75</v>
      </c>
      <c r="H49" s="57">
        <f>G49+'29'!H50</f>
        <v>172300.75</v>
      </c>
      <c r="I49" s="56"/>
      <c r="J49" s="58">
        <f>H49/DAY(B2)</f>
        <v>5743.3583333333336</v>
      </c>
      <c r="K49" s="59"/>
      <c r="L49" s="117"/>
    </row>
    <row r="50" spans="1:12" ht="23.25" customHeight="1">
      <c r="A50" s="320" t="s">
        <v>165</v>
      </c>
      <c r="B50" s="350"/>
      <c r="C50" s="351"/>
      <c r="D50" s="268" t="s">
        <v>131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178</v>
      </c>
      <c r="B51" s="350"/>
      <c r="C51" s="351"/>
      <c r="D51" s="268" t="s">
        <v>131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167</v>
      </c>
      <c r="B52" s="350"/>
      <c r="C52" s="351"/>
      <c r="D52" s="268" t="s">
        <v>131</v>
      </c>
      <c r="E52" s="56">
        <f>'29'!F53</f>
        <v>434232</v>
      </c>
      <c r="F52" s="344">
        <v>495803.59</v>
      </c>
      <c r="G52" s="318">
        <f t="shared" si="4"/>
        <v>61571.590000000026</v>
      </c>
      <c r="H52" s="57">
        <f>G52+'29'!H53</f>
        <v>61571.260000000009</v>
      </c>
      <c r="I52" s="56"/>
      <c r="J52" s="58">
        <f>H52/DAY(B2)</f>
        <v>2052.3753333333339</v>
      </c>
      <c r="K52" s="59"/>
      <c r="L52" s="117"/>
    </row>
    <row r="53" spans="1:12" ht="23.25" customHeight="1">
      <c r="A53" s="320" t="s">
        <v>179</v>
      </c>
      <c r="B53" s="350"/>
      <c r="C53" s="351"/>
      <c r="D53" s="268" t="s">
        <v>131</v>
      </c>
      <c r="E53" s="56">
        <f>'29'!F54</f>
        <v>14967</v>
      </c>
      <c r="F53" s="344">
        <v>55471.01</v>
      </c>
      <c r="G53" s="318">
        <f t="shared" si="4"/>
        <v>40504.01</v>
      </c>
      <c r="H53" s="57">
        <f>G53+'29'!H54</f>
        <v>40425.01</v>
      </c>
      <c r="I53" s="56"/>
      <c r="J53" s="58">
        <f>H53/DAY(B2)</f>
        <v>1347.5003333333334</v>
      </c>
      <c r="K53" s="59"/>
      <c r="L53" s="117"/>
    </row>
    <row r="54" spans="1:12" ht="23.25" customHeight="1">
      <c r="A54" s="320" t="s">
        <v>180</v>
      </c>
      <c r="B54" s="350"/>
      <c r="C54" s="351"/>
      <c r="D54" s="268" t="s">
        <v>131</v>
      </c>
      <c r="E54" s="56">
        <f>'29'!F55</f>
        <v>117226</v>
      </c>
      <c r="F54" s="344">
        <v>741511.59</v>
      </c>
      <c r="G54" s="318">
        <f t="shared" si="4"/>
        <v>624285.59</v>
      </c>
      <c r="H54" s="57">
        <f>G54+'29'!H55</f>
        <v>623875.59</v>
      </c>
      <c r="I54" s="56"/>
      <c r="J54" s="58">
        <f>H54/DAY(B2)</f>
        <v>20795.852999999999</v>
      </c>
      <c r="K54" s="59"/>
      <c r="L54" s="117"/>
    </row>
    <row r="55" spans="1:12" ht="23.25" customHeight="1">
      <c r="A55" s="320" t="s">
        <v>181</v>
      </c>
      <c r="B55" s="350"/>
      <c r="C55" s="351"/>
      <c r="D55" s="268" t="s">
        <v>182</v>
      </c>
      <c r="E55" s="56">
        <f>'29'!F56</f>
        <v>649022</v>
      </c>
      <c r="F55" s="344">
        <v>334966</v>
      </c>
      <c r="G55" s="318">
        <f t="shared" si="4"/>
        <v>-314056</v>
      </c>
      <c r="H55" s="57">
        <f>G55+'29'!H56</f>
        <v>-314066</v>
      </c>
      <c r="I55" s="56"/>
      <c r="J55" s="58">
        <f>H55/DAY(B2)</f>
        <v>-10468.866666666667</v>
      </c>
      <c r="K55" s="43"/>
      <c r="L55" s="117"/>
    </row>
    <row r="56" spans="1:12" ht="23.25" customHeight="1">
      <c r="A56" s="320" t="s">
        <v>171</v>
      </c>
      <c r="B56" s="350"/>
      <c r="C56" s="351"/>
      <c r="D56" s="268" t="s">
        <v>131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183</v>
      </c>
      <c r="B57" s="350"/>
      <c r="C57" s="351"/>
      <c r="D57" s="268" t="s">
        <v>131</v>
      </c>
      <c r="E57" s="56">
        <f>'29'!F58</f>
        <v>53986</v>
      </c>
      <c r="F57" s="344">
        <v>2065.9499999999998</v>
      </c>
      <c r="G57" s="318">
        <f t="shared" si="4"/>
        <v>-51920.05</v>
      </c>
      <c r="H57" s="57">
        <f>G57+'29'!H58</f>
        <v>-52159.26</v>
      </c>
      <c r="I57" s="56"/>
      <c r="J57" s="58">
        <f>H57/DAY(B2)</f>
        <v>-1738.6420000000001</v>
      </c>
      <c r="K57" s="59"/>
      <c r="L57" s="117"/>
    </row>
    <row r="58" spans="1:12" ht="23.25" customHeight="1">
      <c r="A58" s="400" t="s">
        <v>175</v>
      </c>
      <c r="B58" s="401"/>
      <c r="C58" s="402"/>
      <c r="D58" s="269"/>
      <c r="E58" s="414"/>
      <c r="F58" s="269"/>
      <c r="G58" s="279">
        <f>G48+G49+G50+G51+G52+G53+G54+G55+G56+G57</f>
        <v>2171698.6</v>
      </c>
      <c r="H58" s="57">
        <f>G58+'29'!H59</f>
        <v>2169126.13</v>
      </c>
      <c r="I58" s="56">
        <f>G7-G59</f>
        <v>-3905771.6500000004</v>
      </c>
      <c r="J58" s="58">
        <f>H58/DAY(B2)</f>
        <v>72304.204333333328</v>
      </c>
      <c r="K58" s="59"/>
      <c r="L58" s="117"/>
    </row>
    <row r="59" spans="1:12" ht="23.25" customHeight="1">
      <c r="A59" s="352"/>
      <c r="B59" s="352"/>
      <c r="C59" s="352"/>
      <c r="D59" s="269" t="s">
        <v>184</v>
      </c>
      <c r="E59" s="269"/>
      <c r="F59" s="269"/>
      <c r="G59" s="279">
        <f>G46+G58</f>
        <v>6976347.9900000002</v>
      </c>
      <c r="H59" s="57">
        <f>G59+'29'!H60</f>
        <v>6957834.6100000003</v>
      </c>
      <c r="I59" s="56">
        <f>G13-G59</f>
        <v>-5479165.8900000006</v>
      </c>
      <c r="J59" s="58">
        <f>H59/DAY(B2)</f>
        <v>231927.82033333334</v>
      </c>
      <c r="K59" s="59"/>
      <c r="L59" s="117"/>
    </row>
    <row r="60" spans="1:12" ht="23.25" customHeight="1">
      <c r="A60" s="392" t="s">
        <v>185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97</v>
      </c>
      <c r="B61" s="354"/>
      <c r="C61" s="355"/>
      <c r="D61" s="269" t="s">
        <v>186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34666.001999999993</v>
      </c>
      <c r="I61" s="201"/>
      <c r="J61" s="58">
        <f>H61/DAY(B2)</f>
        <v>1155.5333999999998</v>
      </c>
      <c r="K61" s="59"/>
      <c r="L61" s="117"/>
    </row>
    <row r="62" spans="1:12" ht="23.25" customHeight="1">
      <c r="A62" s="353" t="s">
        <v>187</v>
      </c>
      <c r="B62" s="354"/>
      <c r="C62" s="355"/>
      <c r="D62" s="269" t="s">
        <v>186</v>
      </c>
      <c r="E62" s="56">
        <f>'29'!F63</f>
        <v>0</v>
      </c>
      <c r="F62" s="270">
        <v>113360.74</v>
      </c>
      <c r="G62" s="318">
        <f t="shared" si="5"/>
        <v>113360.74</v>
      </c>
      <c r="H62" s="57">
        <f>G62+'29'!H63</f>
        <v>113360.74</v>
      </c>
      <c r="I62" s="201"/>
      <c r="J62" s="58">
        <f>H62/DAY(B2)</f>
        <v>3778.6913333333337</v>
      </c>
      <c r="K62" s="59"/>
      <c r="L62" s="117"/>
    </row>
    <row r="63" spans="1:12" ht="23.25" customHeight="1">
      <c r="A63" s="1770" t="s">
        <v>98</v>
      </c>
      <c r="B63" s="1771"/>
      <c r="C63" s="1772"/>
      <c r="D63" s="268" t="s">
        <v>186</v>
      </c>
      <c r="E63" s="56">
        <f>'29'!F64</f>
        <v>169669</v>
      </c>
      <c r="F63" s="267">
        <v>274089</v>
      </c>
      <c r="G63" s="318">
        <f t="shared" si="5"/>
        <v>104420</v>
      </c>
      <c r="H63" s="57">
        <f>G63+'29'!H64</f>
        <v>104067</v>
      </c>
      <c r="I63" s="69"/>
      <c r="J63" s="58">
        <f>H63/DAY(B2)</f>
        <v>3468.9</v>
      </c>
      <c r="K63" s="59"/>
      <c r="L63" s="117"/>
    </row>
    <row r="64" spans="1:12" ht="23.25" customHeight="1">
      <c r="A64" s="1770" t="s">
        <v>99</v>
      </c>
      <c r="B64" s="1771"/>
      <c r="C64" s="1772"/>
      <c r="D64" s="268" t="s">
        <v>186</v>
      </c>
      <c r="E64" s="56">
        <f>'29'!F65</f>
        <v>169867</v>
      </c>
      <c r="F64" s="267">
        <v>218102.43</v>
      </c>
      <c r="G64" s="318">
        <f t="shared" si="5"/>
        <v>48235.429999999993</v>
      </c>
      <c r="H64" s="57">
        <f>G64+'29'!H65</f>
        <v>47800.429999999993</v>
      </c>
      <c r="I64" s="80"/>
      <c r="J64" s="58">
        <f>H64/DAY(B2)</f>
        <v>1593.3476666666663</v>
      </c>
      <c r="K64" s="59"/>
      <c r="L64" s="117"/>
    </row>
    <row r="65" spans="1:12" ht="23.25" customHeight="1">
      <c r="A65" s="1770" t="s">
        <v>100</v>
      </c>
      <c r="B65" s="1771"/>
      <c r="C65" s="1772"/>
      <c r="D65" s="268" t="s">
        <v>186</v>
      </c>
      <c r="E65" s="56">
        <f>'29'!F66</f>
        <v>67531</v>
      </c>
      <c r="F65" s="267">
        <v>7977.92</v>
      </c>
      <c r="G65" s="318">
        <f t="shared" si="5"/>
        <v>-59553.08</v>
      </c>
      <c r="H65" s="57">
        <f>G65+'29'!H66</f>
        <v>-59992.08</v>
      </c>
      <c r="I65" s="69"/>
      <c r="J65" s="58">
        <f>H65/DAY(B2)</f>
        <v>-1999.7360000000001</v>
      </c>
      <c r="K65" s="59"/>
      <c r="L65" s="117"/>
    </row>
    <row r="66" spans="1:12" ht="23.25" customHeight="1">
      <c r="A66" s="1770" t="s">
        <v>101</v>
      </c>
      <c r="B66" s="1771"/>
      <c r="C66" s="1772"/>
      <c r="D66" s="268" t="s">
        <v>186</v>
      </c>
      <c r="E66" s="56">
        <f>'29'!F67</f>
        <v>264497</v>
      </c>
      <c r="F66" s="267">
        <v>350190.03</v>
      </c>
      <c r="G66" s="318">
        <f t="shared" si="5"/>
        <v>85693.030000000028</v>
      </c>
      <c r="H66" s="57">
        <f>G66+'29'!H67</f>
        <v>85231.030000000028</v>
      </c>
      <c r="I66" s="80"/>
      <c r="J66" s="58">
        <f>H66/DAY(B2)</f>
        <v>2841.0343333333344</v>
      </c>
      <c r="K66" s="75"/>
      <c r="L66" s="117"/>
    </row>
    <row r="67" spans="1:12" ht="23.25" customHeight="1">
      <c r="A67" s="1770" t="s">
        <v>102</v>
      </c>
      <c r="B67" s="1771"/>
      <c r="C67" s="1772"/>
      <c r="D67" s="268" t="s">
        <v>186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70" t="s">
        <v>103</v>
      </c>
      <c r="B68" s="1771"/>
      <c r="C68" s="1772"/>
      <c r="D68" s="268" t="s">
        <v>186</v>
      </c>
      <c r="E68" s="56">
        <f>'29'!F69</f>
        <v>87263</v>
      </c>
      <c r="F68" s="267">
        <v>156094.09</v>
      </c>
      <c r="G68" s="318">
        <f t="shared" si="5"/>
        <v>68831.09</v>
      </c>
      <c r="H68" s="57">
        <f>G68+'29'!H69</f>
        <v>68579.09</v>
      </c>
      <c r="I68" s="105"/>
      <c r="J68" s="58">
        <f>H68/DAY(B2)</f>
        <v>2285.9696666666664</v>
      </c>
      <c r="K68" s="85"/>
      <c r="L68" s="117"/>
    </row>
    <row r="69" spans="1:12" ht="23.25" customHeight="1">
      <c r="A69" s="1773" t="s">
        <v>188</v>
      </c>
      <c r="B69" s="1774"/>
      <c r="C69" s="1775"/>
      <c r="D69" s="268" t="s">
        <v>186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64" t="s">
        <v>189</v>
      </c>
      <c r="B70" s="1765"/>
      <c r="C70" s="1765"/>
      <c r="D70" s="1765"/>
      <c r="E70" s="1765"/>
      <c r="F70" s="1765"/>
      <c r="G70" s="1765"/>
      <c r="H70" s="1765"/>
      <c r="I70" s="1765"/>
      <c r="J70" s="1766"/>
      <c r="K70" s="83"/>
      <c r="L70" s="117"/>
    </row>
    <row r="71" spans="1:12" ht="23.25" customHeight="1">
      <c r="A71" s="1770" t="s">
        <v>190</v>
      </c>
      <c r="B71" s="1771"/>
      <c r="C71" s="1772"/>
      <c r="D71" s="268" t="s">
        <v>186</v>
      </c>
      <c r="E71" s="415">
        <f>'29'!F72</f>
        <v>856211</v>
      </c>
      <c r="F71" s="271">
        <v>788748</v>
      </c>
      <c r="G71" s="318">
        <f t="shared" ref="G71:G83" si="6">F71-E71</f>
        <v>-67463</v>
      </c>
      <c r="H71" s="57">
        <f>G71+'29'!H72</f>
        <v>-67487</v>
      </c>
      <c r="I71" s="69"/>
      <c r="J71" s="58">
        <f>H71/DAY(B2)</f>
        <v>-2249.5666666666666</v>
      </c>
      <c r="K71" s="85"/>
      <c r="L71" s="117"/>
    </row>
    <row r="72" spans="1:12" ht="23.25" customHeight="1">
      <c r="A72" s="1770" t="s">
        <v>191</v>
      </c>
      <c r="B72" s="1771"/>
      <c r="C72" s="1772"/>
      <c r="D72" s="268" t="s">
        <v>186</v>
      </c>
      <c r="E72" s="56">
        <f>'29'!F73</f>
        <v>885971</v>
      </c>
      <c r="F72" s="271">
        <v>883770</v>
      </c>
      <c r="G72" s="318">
        <f t="shared" si="6"/>
        <v>-2201</v>
      </c>
      <c r="H72" s="57">
        <f>G72+'29'!H73</f>
        <v>-2390</v>
      </c>
      <c r="I72" s="69"/>
      <c r="J72" s="58">
        <f>H72/DAY(B2)</f>
        <v>-79.666666666666671</v>
      </c>
      <c r="K72" s="83"/>
      <c r="L72" s="117"/>
    </row>
    <row r="73" spans="1:12" ht="23.25" customHeight="1">
      <c r="A73" s="1770" t="s">
        <v>192</v>
      </c>
      <c r="B73" s="1771"/>
      <c r="C73" s="1772"/>
      <c r="D73" s="268" t="s">
        <v>186</v>
      </c>
      <c r="E73" s="56">
        <f>'29'!F74</f>
        <v>88694</v>
      </c>
      <c r="F73" s="271">
        <v>783142</v>
      </c>
      <c r="G73" s="318">
        <f t="shared" si="6"/>
        <v>694448</v>
      </c>
      <c r="H73" s="57">
        <f>G73+'29'!H74</f>
        <v>608366.96</v>
      </c>
      <c r="I73" s="69"/>
      <c r="J73" s="58">
        <f>H73/DAY(B2)</f>
        <v>20278.898666666664</v>
      </c>
      <c r="K73" s="85"/>
      <c r="L73" s="117"/>
    </row>
    <row r="74" spans="1:12" ht="23.25" customHeight="1">
      <c r="A74" s="1776" t="s">
        <v>193</v>
      </c>
      <c r="B74" s="1777"/>
      <c r="C74" s="1778"/>
      <c r="D74" s="268" t="s">
        <v>186</v>
      </c>
      <c r="E74" s="56">
        <f>'29'!F75</f>
        <v>15940</v>
      </c>
      <c r="F74" s="271">
        <v>641404</v>
      </c>
      <c r="G74" s="318">
        <f t="shared" si="6"/>
        <v>625464</v>
      </c>
      <c r="H74" s="57">
        <f>G74+'29'!H75</f>
        <v>625333</v>
      </c>
      <c r="I74" s="69"/>
      <c r="J74" s="58">
        <f>H74/DAY(B2)</f>
        <v>20844.433333333334</v>
      </c>
      <c r="K74" s="83"/>
      <c r="L74" s="117"/>
    </row>
    <row r="75" spans="1:12" ht="23.25" customHeight="1">
      <c r="A75" s="1776" t="s">
        <v>194</v>
      </c>
      <c r="B75" s="1777"/>
      <c r="C75" s="1778"/>
      <c r="D75" s="268" t="s">
        <v>186</v>
      </c>
      <c r="E75" s="56">
        <f>'29'!F76</f>
        <v>9261</v>
      </c>
      <c r="F75" s="271">
        <v>615603</v>
      </c>
      <c r="G75" s="318">
        <f t="shared" si="6"/>
        <v>606342</v>
      </c>
      <c r="H75" s="57">
        <f>G75+'29'!H76</f>
        <v>604995</v>
      </c>
      <c r="I75" s="112"/>
      <c r="J75" s="58">
        <f>H75/DAY(B2)</f>
        <v>20166.5</v>
      </c>
      <c r="K75" s="83"/>
      <c r="L75" s="117"/>
    </row>
    <row r="76" spans="1:12" ht="23.25" customHeight="1">
      <c r="A76" s="1770" t="s">
        <v>195</v>
      </c>
      <c r="B76" s="1771"/>
      <c r="C76" s="1772"/>
      <c r="D76" s="268" t="s">
        <v>186</v>
      </c>
      <c r="E76" s="56">
        <f>'29'!F77</f>
        <v>704314</v>
      </c>
      <c r="F76" s="271">
        <v>669905</v>
      </c>
      <c r="G76" s="318">
        <f t="shared" si="6"/>
        <v>-34409</v>
      </c>
      <c r="H76" s="57">
        <f>G76+'29'!H77</f>
        <v>-34469</v>
      </c>
      <c r="I76" s="112"/>
      <c r="J76" s="58">
        <f>H76/DAY(B2)</f>
        <v>-1148.9666666666667</v>
      </c>
      <c r="K76" s="83"/>
      <c r="L76" s="117"/>
    </row>
    <row r="77" spans="1:12" ht="23.25" customHeight="1">
      <c r="A77" s="1124" t="s">
        <v>196</v>
      </c>
      <c r="B77" s="1125"/>
      <c r="C77" s="1126"/>
      <c r="D77" s="268" t="s">
        <v>186</v>
      </c>
      <c r="E77" s="56">
        <f>'29'!F78</f>
        <v>675299</v>
      </c>
      <c r="F77" s="271">
        <v>487314</v>
      </c>
      <c r="G77" s="318">
        <f t="shared" si="6"/>
        <v>-187985</v>
      </c>
      <c r="H77" s="57">
        <f>G77+'29'!H78</f>
        <v>-188100</v>
      </c>
      <c r="I77" s="112"/>
      <c r="J77" s="58">
        <f>H77/DAY(B2)</f>
        <v>-6270</v>
      </c>
      <c r="K77" s="83"/>
      <c r="L77" s="117"/>
    </row>
    <row r="78" spans="1:12" ht="23.25" customHeight="1">
      <c r="A78" s="1779" t="s">
        <v>91</v>
      </c>
      <c r="B78" s="1780"/>
      <c r="C78" s="1781"/>
      <c r="D78" s="356" t="s">
        <v>186</v>
      </c>
      <c r="E78" s="56">
        <f>'29'!F79</f>
        <v>835257</v>
      </c>
      <c r="F78" s="271">
        <v>677157</v>
      </c>
      <c r="G78" s="318">
        <f t="shared" si="6"/>
        <v>-158100</v>
      </c>
      <c r="H78" s="57">
        <f>G78+'29'!H79</f>
        <v>-157247</v>
      </c>
      <c r="I78" s="112"/>
      <c r="J78" s="58">
        <f>H78/DAY(B2)</f>
        <v>-5241.5666666666666</v>
      </c>
      <c r="K78" s="83"/>
      <c r="L78" s="117"/>
    </row>
    <row r="79" spans="1:12" ht="23.25" customHeight="1">
      <c r="A79" s="1779" t="s">
        <v>197</v>
      </c>
      <c r="B79" s="1780"/>
      <c r="C79" s="1781"/>
      <c r="D79" s="356" t="s">
        <v>186</v>
      </c>
      <c r="E79" s="56">
        <f>'29'!F80</f>
        <v>538632</v>
      </c>
      <c r="F79" s="271">
        <v>341072.6</v>
      </c>
      <c r="G79" s="318">
        <f t="shared" si="6"/>
        <v>-197559.40000000002</v>
      </c>
      <c r="H79" s="57">
        <f>G79+'29'!H80</f>
        <v>-193878.92000000004</v>
      </c>
      <c r="I79" s="112"/>
      <c r="J79" s="58">
        <f>H79/DAY(B2)</f>
        <v>-6462.6306666666678</v>
      </c>
      <c r="K79" s="83"/>
      <c r="L79" s="117"/>
    </row>
    <row r="80" spans="1:12" ht="23.25" customHeight="1">
      <c r="A80" s="1779" t="s">
        <v>198</v>
      </c>
      <c r="B80" s="1780"/>
      <c r="C80" s="1781"/>
      <c r="D80" s="356" t="s">
        <v>186</v>
      </c>
      <c r="E80" s="56">
        <f>'29'!F81</f>
        <v>642845</v>
      </c>
      <c r="F80" s="271">
        <v>407588.2</v>
      </c>
      <c r="G80" s="318">
        <f t="shared" si="6"/>
        <v>-235256.8</v>
      </c>
      <c r="H80" s="57">
        <f>G80+'29'!H81</f>
        <v>-235396.8</v>
      </c>
      <c r="I80" s="112"/>
      <c r="J80" s="58">
        <f>H80/DAY(B2)</f>
        <v>-7846.5599999999995</v>
      </c>
      <c r="K80" s="83"/>
      <c r="L80" s="117"/>
    </row>
    <row r="81" spans="1:12" ht="23.25" customHeight="1">
      <c r="A81" s="1782" t="s">
        <v>92</v>
      </c>
      <c r="B81" s="1780"/>
      <c r="C81" s="1781"/>
      <c r="D81" s="357" t="s">
        <v>131</v>
      </c>
      <c r="E81" s="56">
        <f>'29'!F82</f>
        <v>108670</v>
      </c>
      <c r="F81" s="272">
        <v>72586.12</v>
      </c>
      <c r="G81" s="318">
        <f t="shared" si="6"/>
        <v>-36083.880000000005</v>
      </c>
      <c r="H81" s="57">
        <f>G81+'29'!H82</f>
        <v>-36094.880000000005</v>
      </c>
      <c r="I81" s="206"/>
      <c r="J81" s="58">
        <f>H81/DAY(B2)</f>
        <v>-1203.1626666666668</v>
      </c>
      <c r="K81" s="83"/>
      <c r="L81" s="117"/>
    </row>
    <row r="82" spans="1:12" ht="23.25" customHeight="1">
      <c r="A82" s="1782" t="s">
        <v>199</v>
      </c>
      <c r="B82" s="1780"/>
      <c r="C82" s="1781"/>
      <c r="D82" s="273" t="s">
        <v>131</v>
      </c>
      <c r="E82" s="56">
        <f>'29'!F83</f>
        <v>27277</v>
      </c>
      <c r="F82" s="269">
        <v>725847</v>
      </c>
      <c r="G82" s="318">
        <f t="shared" si="6"/>
        <v>698570</v>
      </c>
      <c r="H82" s="57">
        <f>G82+'29'!H83</f>
        <v>698296</v>
      </c>
      <c r="I82" s="68"/>
      <c r="J82" s="58">
        <f>H82/DAY(B2)</f>
        <v>23276.533333333333</v>
      </c>
      <c r="K82" s="75"/>
      <c r="L82" s="117"/>
    </row>
    <row r="83" spans="1:12" ht="23.25" customHeight="1">
      <c r="A83" s="1127" t="s">
        <v>200</v>
      </c>
      <c r="B83" s="1127"/>
      <c r="C83" s="1128"/>
      <c r="D83" s="358" t="s">
        <v>131</v>
      </c>
      <c r="E83" s="56">
        <f>'29'!F84</f>
        <v>522240</v>
      </c>
      <c r="F83" s="268">
        <v>960770</v>
      </c>
      <c r="G83" s="318">
        <f t="shared" si="6"/>
        <v>438530</v>
      </c>
      <c r="H83" s="57">
        <f>G83+'29'!H84</f>
        <v>437690</v>
      </c>
      <c r="I83" s="68"/>
      <c r="J83" s="58">
        <f>H83/DAY(B2)</f>
        <v>14589.666666666666</v>
      </c>
      <c r="K83" s="88"/>
      <c r="L83" s="117"/>
    </row>
    <row r="84" spans="1:12" s="38" customFormat="1" ht="23.25" customHeight="1">
      <c r="A84" s="409" t="s">
        <v>201</v>
      </c>
      <c r="B84" s="410"/>
      <c r="C84" s="410"/>
      <c r="D84" s="359"/>
      <c r="E84" s="312"/>
      <c r="F84" s="268"/>
      <c r="G84" s="368">
        <f xml:space="preserve"> SUM(G71:G83)</f>
        <v>2144295.92</v>
      </c>
      <c r="H84" s="57">
        <f>G84+'29'!H85</f>
        <v>2056016.88</v>
      </c>
      <c r="I84" s="68"/>
      <c r="J84" s="58">
        <f>H84/DAY(B2)</f>
        <v>68533.895999999993</v>
      </c>
      <c r="K84" s="88"/>
      <c r="L84" s="44"/>
    </row>
    <row r="85" spans="1:12" s="38" customFormat="1" ht="23.25" customHeight="1">
      <c r="A85" s="1119" t="s">
        <v>204</v>
      </c>
      <c r="B85" s="398"/>
      <c r="C85" s="1120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53" t="s">
        <v>205</v>
      </c>
      <c r="B86" s="1754"/>
      <c r="C86" s="1755"/>
      <c r="D86" s="268" t="s">
        <v>143</v>
      </c>
      <c r="E86" s="415">
        <f>'29'!F93</f>
        <v>247344</v>
      </c>
      <c r="F86" s="267">
        <v>175511</v>
      </c>
      <c r="G86" s="318">
        <f t="shared" ref="G86:G87" si="7">F86-E86</f>
        <v>-71833</v>
      </c>
      <c r="H86" s="57">
        <f>G86+'29'!H93</f>
        <v>-71841</v>
      </c>
      <c r="I86" s="69"/>
      <c r="J86" s="58">
        <f>H86/DAY(B2)</f>
        <v>-2394.6999999999998</v>
      </c>
      <c r="K86" s="75"/>
      <c r="L86" s="117"/>
    </row>
    <row r="87" spans="1:12" ht="23.25" customHeight="1">
      <c r="A87" s="1753" t="s">
        <v>206</v>
      </c>
      <c r="B87" s="1754"/>
      <c r="C87" s="1755"/>
      <c r="D87" s="268" t="s">
        <v>143</v>
      </c>
      <c r="E87" s="56">
        <f>'29'!F94</f>
        <v>189344</v>
      </c>
      <c r="F87" s="267">
        <v>60336</v>
      </c>
      <c r="G87" s="318">
        <f t="shared" si="7"/>
        <v>-129008</v>
      </c>
      <c r="H87" s="57">
        <f>G87+'29'!H94</f>
        <v>-129118</v>
      </c>
      <c r="I87" s="69"/>
      <c r="J87" s="58">
        <f>H87/DAY(B2)</f>
        <v>-4303.9333333333334</v>
      </c>
      <c r="K87" s="88"/>
      <c r="L87" s="117"/>
    </row>
    <row r="88" spans="1:12" ht="23.25" customHeight="1">
      <c r="A88" s="1783" t="s">
        <v>207</v>
      </c>
      <c r="B88" s="1784"/>
      <c r="C88" s="1785"/>
      <c r="D88" s="268"/>
      <c r="E88" s="56">
        <f>'29'!F95</f>
        <v>3</v>
      </c>
      <c r="F88" s="267"/>
      <c r="G88" s="318">
        <f>G86+G87</f>
        <v>-200841</v>
      </c>
      <c r="H88" s="57">
        <f>G88+'29'!H95</f>
        <v>-201145</v>
      </c>
      <c r="I88" s="69"/>
      <c r="J88" s="58">
        <f>H88/DAY(B2)</f>
        <v>-6704.833333333333</v>
      </c>
      <c r="K88" s="88"/>
      <c r="L88" s="117"/>
    </row>
    <row r="89" spans="1:12" ht="23.25" customHeight="1">
      <c r="A89" s="1753" t="s">
        <v>208</v>
      </c>
      <c r="B89" s="1754"/>
      <c r="C89" s="1755"/>
      <c r="D89" s="268" t="s">
        <v>143</v>
      </c>
      <c r="E89" s="56">
        <f>'29'!F96</f>
        <v>415960</v>
      </c>
      <c r="F89" s="267">
        <v>351186</v>
      </c>
      <c r="G89" s="318">
        <f t="shared" ref="G89:G94" si="8">F89-E89</f>
        <v>-64774</v>
      </c>
      <c r="H89" s="57">
        <f>G89+'29'!H96</f>
        <v>-64813</v>
      </c>
      <c r="I89" s="69"/>
      <c r="J89" s="58">
        <f>H89/DAY(B2)</f>
        <v>-2160.4333333333334</v>
      </c>
      <c r="K89" s="88"/>
      <c r="L89" s="117"/>
    </row>
    <row r="90" spans="1:12" ht="23.25" customHeight="1">
      <c r="A90" s="1121" t="s">
        <v>209</v>
      </c>
      <c r="B90" s="1122"/>
      <c r="C90" s="1123"/>
      <c r="D90" s="268" t="s">
        <v>143</v>
      </c>
      <c r="E90" s="56">
        <v>72</v>
      </c>
      <c r="F90" s="267">
        <v>84</v>
      </c>
      <c r="G90" s="318">
        <f t="shared" si="8"/>
        <v>12</v>
      </c>
      <c r="H90" s="57">
        <f>G90+'29'!H97</f>
        <v>0</v>
      </c>
      <c r="I90" s="69"/>
      <c r="J90" s="58">
        <f>H90/DAY(B2)</f>
        <v>0</v>
      </c>
      <c r="K90" s="43"/>
      <c r="L90" s="117"/>
    </row>
    <row r="91" spans="1:12" ht="23.25" customHeight="1">
      <c r="A91" s="1121" t="s">
        <v>210</v>
      </c>
      <c r="B91" s="1122"/>
      <c r="C91" s="1123"/>
      <c r="D91" s="268" t="s">
        <v>143</v>
      </c>
      <c r="E91" s="56">
        <f>'29'!F98</f>
        <v>98634</v>
      </c>
      <c r="F91" s="267">
        <v>82333</v>
      </c>
      <c r="G91" s="318">
        <f t="shared" si="8"/>
        <v>-16301</v>
      </c>
      <c r="H91" s="57">
        <f>G91+'29'!H98</f>
        <v>-16324</v>
      </c>
      <c r="I91" s="69"/>
      <c r="J91" s="58">
        <f>H91/DAY(B2)</f>
        <v>-544.13333333333333</v>
      </c>
      <c r="K91" s="51"/>
      <c r="L91" s="117"/>
    </row>
    <row r="92" spans="1:12" ht="23.25" customHeight="1">
      <c r="A92" s="1121" t="s">
        <v>211</v>
      </c>
      <c r="B92" s="1122"/>
      <c r="C92" s="1123"/>
      <c r="D92" s="268" t="s">
        <v>143</v>
      </c>
      <c r="E92" s="56">
        <f>'29'!F99</f>
        <v>150394</v>
      </c>
      <c r="F92" s="267">
        <v>115948</v>
      </c>
      <c r="G92" s="318">
        <f t="shared" si="8"/>
        <v>-34446</v>
      </c>
      <c r="H92" s="57">
        <f>G92+'29'!H99</f>
        <v>-34457</v>
      </c>
      <c r="I92" s="69"/>
      <c r="J92" s="58">
        <f>H92/DAY(B2)</f>
        <v>-1148.5666666666666</v>
      </c>
      <c r="K92" s="88"/>
      <c r="L92" s="117"/>
    </row>
    <row r="93" spans="1:12" ht="23.25" customHeight="1">
      <c r="A93" s="1121" t="s">
        <v>212</v>
      </c>
      <c r="B93" s="1122"/>
      <c r="C93" s="1123"/>
      <c r="D93" s="268" t="s">
        <v>143</v>
      </c>
      <c r="E93" s="56">
        <f>'29'!F100</f>
        <v>7791</v>
      </c>
      <c r="F93" s="267">
        <v>2658</v>
      </c>
      <c r="G93" s="318">
        <f t="shared" si="8"/>
        <v>-5133</v>
      </c>
      <c r="H93" s="57">
        <f>G93+'29'!H100</f>
        <v>-5139</v>
      </c>
      <c r="I93" s="69"/>
      <c r="J93" s="58">
        <f>H93/DAY(B2)</f>
        <v>-171.3</v>
      </c>
      <c r="K93" s="88"/>
      <c r="L93" s="117"/>
    </row>
    <row r="94" spans="1:12" ht="23.25" customHeight="1">
      <c r="A94" s="1121" t="s">
        <v>213</v>
      </c>
      <c r="B94" s="1122"/>
      <c r="C94" s="1123"/>
      <c r="D94" s="268" t="s">
        <v>143</v>
      </c>
      <c r="E94" s="56">
        <f>'29'!F101</f>
        <v>5664</v>
      </c>
      <c r="F94" s="267">
        <v>2507</v>
      </c>
      <c r="G94" s="318">
        <f t="shared" si="8"/>
        <v>-3157</v>
      </c>
      <c r="H94" s="57">
        <f>G94+'29'!H101</f>
        <v>-3167</v>
      </c>
      <c r="I94" s="69"/>
      <c r="J94" s="58">
        <f>H94/DAY(B2)</f>
        <v>-105.56666666666666</v>
      </c>
      <c r="K94" s="88"/>
      <c r="L94" s="117"/>
    </row>
    <row r="95" spans="1:12" ht="23.25" customHeight="1">
      <c r="A95" s="1783" t="s">
        <v>215</v>
      </c>
      <c r="B95" s="1784"/>
      <c r="C95" s="1785"/>
      <c r="D95" s="274"/>
      <c r="E95" s="416"/>
      <c r="F95" s="274"/>
      <c r="G95" s="411">
        <f>SUM(G89:G94)</f>
        <v>-123799</v>
      </c>
      <c r="H95" s="57">
        <f>G95+'29'!H102</f>
        <v>-123900</v>
      </c>
      <c r="I95" s="140"/>
      <c r="J95" s="58">
        <f>H95/DAY(B2)</f>
        <v>-4130</v>
      </c>
      <c r="K95" s="88"/>
      <c r="L95" s="117"/>
    </row>
    <row r="96" spans="1:12" ht="23.25" customHeight="1">
      <c r="A96" s="1786" t="s">
        <v>229</v>
      </c>
      <c r="B96" s="1787"/>
      <c r="C96" s="1788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230</v>
      </c>
      <c r="B97" s="361"/>
      <c r="C97" s="362"/>
      <c r="D97" s="312" t="s">
        <v>140</v>
      </c>
      <c r="E97" s="415">
        <f>'29'!F124</f>
        <v>839407</v>
      </c>
      <c r="F97" s="275">
        <v>650192.71</v>
      </c>
      <c r="G97" s="318">
        <f t="shared" ref="G97:G101" si="9">F97-E97</f>
        <v>-189214.29000000004</v>
      </c>
      <c r="H97" s="57">
        <f>G97+'29'!H124</f>
        <v>-189477.29000000004</v>
      </c>
      <c r="I97" s="87"/>
      <c r="J97" s="58">
        <f>H97/DAY(B2)</f>
        <v>-6315.9096666666683</v>
      </c>
      <c r="K97" s="88"/>
      <c r="L97" s="117"/>
    </row>
    <row r="98" spans="1:12" ht="23.25" customHeight="1">
      <c r="A98" s="360" t="s">
        <v>231</v>
      </c>
      <c r="B98" s="361"/>
      <c r="C98" s="362"/>
      <c r="D98" s="312" t="s">
        <v>140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70" t="s">
        <v>232</v>
      </c>
      <c r="B99" s="1771"/>
      <c r="C99" s="1772"/>
      <c r="D99" s="268" t="s">
        <v>140</v>
      </c>
      <c r="E99" s="56">
        <f>'29'!F126</f>
        <v>148513</v>
      </c>
      <c r="F99" s="264">
        <v>83294.490000000005</v>
      </c>
      <c r="G99" s="318">
        <f t="shared" si="9"/>
        <v>-65218.509999999995</v>
      </c>
      <c r="H99" s="57">
        <f>G99+'29'!H126</f>
        <v>-65302.509999999995</v>
      </c>
      <c r="I99" s="363"/>
      <c r="J99" s="58">
        <f>H99/DAY(B2)</f>
        <v>-2176.7503333333329</v>
      </c>
      <c r="K99" s="88"/>
      <c r="L99" s="117"/>
    </row>
    <row r="100" spans="1:12" ht="23.25" customHeight="1">
      <c r="A100" s="385" t="s">
        <v>233</v>
      </c>
      <c r="B100" s="1122"/>
      <c r="C100" s="1123"/>
      <c r="D100" s="268" t="s">
        <v>140</v>
      </c>
      <c r="E100" s="56">
        <f>'29'!F127</f>
        <v>32041</v>
      </c>
      <c r="F100" s="264">
        <v>39666</v>
      </c>
      <c r="G100" s="318">
        <f t="shared" si="9"/>
        <v>7625</v>
      </c>
      <c r="H100" s="57">
        <f>G100+'29'!H127</f>
        <v>7595</v>
      </c>
      <c r="I100" s="363"/>
      <c r="J100" s="58">
        <f>H100/DAY(B2)</f>
        <v>253.16666666666666</v>
      </c>
      <c r="K100" s="88"/>
      <c r="L100" s="117"/>
    </row>
    <row r="101" spans="1:12" ht="23.25" customHeight="1">
      <c r="A101" s="385" t="s">
        <v>234</v>
      </c>
      <c r="B101" s="1122"/>
      <c r="C101" s="1123"/>
      <c r="D101" s="268" t="s">
        <v>140</v>
      </c>
      <c r="E101" s="56">
        <f>'29'!F128</f>
        <v>9011</v>
      </c>
      <c r="F101" s="264">
        <v>6221.3</v>
      </c>
      <c r="G101" s="318">
        <f t="shared" si="9"/>
        <v>-2789.7</v>
      </c>
      <c r="H101" s="57">
        <f>G101+'29'!H128</f>
        <v>-2790.7</v>
      </c>
      <c r="I101" s="319"/>
      <c r="J101" s="308">
        <f>H101/DAY(B2)</f>
        <v>-93.023333333333326</v>
      </c>
      <c r="K101" s="88"/>
      <c r="L101" s="117"/>
    </row>
    <row r="102" spans="1:12" ht="23.25" customHeight="1">
      <c r="A102" s="1789" t="s">
        <v>249</v>
      </c>
      <c r="B102" s="1790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53" t="s">
        <v>250</v>
      </c>
      <c r="B103" s="1754"/>
      <c r="C103" s="1755"/>
      <c r="D103" s="268" t="s">
        <v>131</v>
      </c>
      <c r="E103" s="268"/>
      <c r="F103" s="268"/>
      <c r="G103" s="277">
        <f>G34+G42+G48+G56</f>
        <v>-138814.52000000014</v>
      </c>
      <c r="H103" s="57">
        <f>G103+'29'!H143</f>
        <v>-145698.45000000007</v>
      </c>
      <c r="I103" s="69"/>
      <c r="J103" s="58">
        <f>H103/DAY(B2)</f>
        <v>-4856.6150000000025</v>
      </c>
      <c r="K103" s="88"/>
      <c r="L103" s="117"/>
    </row>
    <row r="104" spans="1:12" ht="23.25" customHeight="1">
      <c r="A104" s="1753" t="s">
        <v>251</v>
      </c>
      <c r="B104" s="1754"/>
      <c r="C104" s="1755"/>
      <c r="D104" s="268" t="s">
        <v>24</v>
      </c>
      <c r="E104" s="269"/>
      <c r="F104" s="269"/>
      <c r="G104" s="280">
        <f>G103/G7</f>
        <v>-4.5207969002978819E-2</v>
      </c>
      <c r="H104" s="57">
        <f>G104+'29'!H144</f>
        <v>-0.36107524157191467</v>
      </c>
      <c r="I104" s="84"/>
      <c r="J104" s="58">
        <f>H104/DAY(B2)</f>
        <v>-1.2035841385730489E-2</v>
      </c>
      <c r="K104" s="111"/>
      <c r="L104" s="117"/>
    </row>
    <row r="105" spans="1:12" ht="23.25" customHeight="1">
      <c r="A105" s="1753" t="s">
        <v>252</v>
      </c>
      <c r="B105" s="1754"/>
      <c r="C105" s="1755"/>
      <c r="D105" s="268" t="s">
        <v>131</v>
      </c>
      <c r="E105" s="265"/>
      <c r="F105" s="265"/>
      <c r="G105" s="277">
        <f>G40+G41+G54+G55</f>
        <v>2316466.89</v>
      </c>
      <c r="H105" s="57">
        <f>G105+'29'!H145</f>
        <v>2310769</v>
      </c>
      <c r="I105" s="69"/>
      <c r="J105" s="58">
        <f>H105/DAY(B2)</f>
        <v>77025.633333333331</v>
      </c>
      <c r="K105" s="111"/>
      <c r="L105" s="117"/>
    </row>
    <row r="106" spans="1:12" ht="23.25" customHeight="1">
      <c r="A106" s="1753" t="s">
        <v>253</v>
      </c>
      <c r="B106" s="1754"/>
      <c r="C106" s="1755"/>
      <c r="D106" s="268" t="s">
        <v>24</v>
      </c>
      <c r="E106" s="265"/>
      <c r="F106" s="265"/>
      <c r="G106" s="280">
        <f>G105/G7</f>
        <v>0.75440784839760744</v>
      </c>
      <c r="H106" s="57">
        <f>G106+'29'!H146</f>
        <v>0.48868208764932169</v>
      </c>
      <c r="I106" s="84"/>
      <c r="J106" s="58">
        <f>H106/DAY(B2)</f>
        <v>1.6289402921644058E-2</v>
      </c>
      <c r="K106" s="111"/>
      <c r="L106" s="117"/>
    </row>
    <row r="107" spans="1:12" ht="23.25" customHeight="1">
      <c r="A107" s="1753" t="s">
        <v>254</v>
      </c>
      <c r="B107" s="1754"/>
      <c r="C107" s="1755"/>
      <c r="D107" s="268" t="s">
        <v>131</v>
      </c>
      <c r="E107" s="265"/>
      <c r="F107" s="265"/>
      <c r="G107" s="277">
        <f>G38+G52</f>
        <v>2158210.69</v>
      </c>
      <c r="H107" s="57">
        <f>G107+'29'!H147</f>
        <v>2154473.69</v>
      </c>
      <c r="I107" s="86"/>
      <c r="J107" s="58">
        <f>H107/DAY(B2)</f>
        <v>71815.789666666664</v>
      </c>
      <c r="K107" s="111"/>
      <c r="L107" s="117"/>
    </row>
    <row r="108" spans="1:12" ht="23.25" customHeight="1">
      <c r="A108" s="1753" t="s">
        <v>255</v>
      </c>
      <c r="B108" s="1754"/>
      <c r="C108" s="1755"/>
      <c r="D108" s="268" t="s">
        <v>24</v>
      </c>
      <c r="E108" s="265"/>
      <c r="F108" s="265"/>
      <c r="G108" s="280">
        <f>G107/G7</f>
        <v>0.70286827325713064</v>
      </c>
      <c r="H108" s="57">
        <f>G108+'29'!H148</f>
        <v>0.53223930470349745</v>
      </c>
      <c r="I108" s="86"/>
      <c r="J108" s="58">
        <f>H108/DAY(B2)</f>
        <v>1.7741310156783249E-2</v>
      </c>
    </row>
    <row r="109" spans="1:12" ht="23.25" customHeight="1">
      <c r="A109" s="1753" t="s">
        <v>256</v>
      </c>
      <c r="B109" s="1754"/>
      <c r="C109" s="1755"/>
      <c r="D109" s="268" t="s">
        <v>182</v>
      </c>
      <c r="E109" s="265"/>
      <c r="F109" s="265"/>
      <c r="G109" s="277">
        <f>G37+G51</f>
        <v>1182855.6800000002</v>
      </c>
      <c r="H109" s="57">
        <f>G109+'29'!H149</f>
        <v>1181501.75</v>
      </c>
      <c r="I109" s="69"/>
      <c r="J109" s="58">
        <f>H109/DAY(B2)</f>
        <v>39383.39166666667</v>
      </c>
      <c r="K109" s="153"/>
    </row>
    <row r="110" spans="1:12" ht="23.25" customHeight="1">
      <c r="A110" s="1753" t="s">
        <v>257</v>
      </c>
      <c r="B110" s="1754"/>
      <c r="C110" s="1755"/>
      <c r="D110" s="268" t="s">
        <v>24</v>
      </c>
      <c r="E110" s="265"/>
      <c r="F110" s="265"/>
      <c r="G110" s="280">
        <f>G109/G7</f>
        <v>0.38522269079947391</v>
      </c>
      <c r="H110" s="57">
        <f>G110+'29'!H150</f>
        <v>0.3224594862430461</v>
      </c>
      <c r="I110" s="86"/>
      <c r="J110" s="58">
        <f>H110/DAY(B2)</f>
        <v>1.074864954143487E-2</v>
      </c>
    </row>
    <row r="111" spans="1:12" ht="23.25" customHeight="1">
      <c r="A111" s="1753" t="s">
        <v>258</v>
      </c>
      <c r="B111" s="1754"/>
      <c r="C111" s="1755"/>
      <c r="D111" s="268" t="s">
        <v>182</v>
      </c>
      <c r="E111" s="265"/>
      <c r="F111" s="265"/>
      <c r="G111" s="277">
        <f>G35+G49</f>
        <v>848649.22</v>
      </c>
      <c r="H111" s="57">
        <f>G111+'29'!H151</f>
        <v>847052.22</v>
      </c>
      <c r="I111" s="86"/>
      <c r="J111" s="58">
        <f>H111/DAY(B2)</f>
        <v>28235.074000000001</v>
      </c>
    </row>
    <row r="112" spans="1:12" ht="23.25" customHeight="1">
      <c r="A112" s="1753" t="s">
        <v>259</v>
      </c>
      <c r="B112" s="1754"/>
      <c r="C112" s="1755"/>
      <c r="D112" s="268" t="s">
        <v>24</v>
      </c>
      <c r="E112" s="265"/>
      <c r="F112" s="265"/>
      <c r="G112" s="280">
        <f>G111/G7</f>
        <v>0.27638108486174295</v>
      </c>
      <c r="H112" s="57">
        <f>G112+'29'!H152</f>
        <v>0.20156343007808375</v>
      </c>
      <c r="I112" s="69"/>
      <c r="J112" s="58">
        <f>H112/DAY(B2)</f>
        <v>6.7187810026027913E-3</v>
      </c>
    </row>
    <row r="113" spans="1:10" ht="23.25" customHeight="1">
      <c r="A113" s="1753" t="s">
        <v>260</v>
      </c>
      <c r="B113" s="1754"/>
      <c r="C113" s="1755"/>
      <c r="D113" s="268" t="s">
        <v>182</v>
      </c>
      <c r="E113" s="265"/>
      <c r="F113" s="265"/>
      <c r="G113" s="277">
        <f>G36+G50</f>
        <v>625013.06999999995</v>
      </c>
      <c r="H113" s="57">
        <f>G113+'29'!H153</f>
        <v>623600.93999999994</v>
      </c>
      <c r="I113" s="69"/>
      <c r="J113" s="58">
        <f>H113/DAY(B2)</f>
        <v>20786.697999999997</v>
      </c>
    </row>
    <row r="114" spans="1:10" ht="23.25" customHeight="1">
      <c r="A114" s="1753" t="s">
        <v>261</v>
      </c>
      <c r="B114" s="1754"/>
      <c r="C114" s="1755"/>
      <c r="D114" s="268" t="s">
        <v>24</v>
      </c>
      <c r="E114" s="265"/>
      <c r="F114" s="265"/>
      <c r="G114" s="280">
        <f>G113/G7</f>
        <v>0.20354910635441162</v>
      </c>
      <c r="H114" s="57">
        <f>G114+'29'!H154</f>
        <v>0.13926787093438581</v>
      </c>
      <c r="I114" s="69"/>
      <c r="J114" s="58">
        <f>H114/DAY(B2)</f>
        <v>4.6422623644795267E-3</v>
      </c>
    </row>
    <row r="115" spans="1:10" ht="23.25" customHeight="1">
      <c r="A115" s="388" t="s">
        <v>236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237</v>
      </c>
      <c r="B116" s="436"/>
      <c r="C116" s="436"/>
      <c r="D116" s="268" t="s">
        <v>238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239</v>
      </c>
      <c r="B117" s="436"/>
      <c r="C117" s="436"/>
      <c r="D117" s="268" t="s">
        <v>238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240</v>
      </c>
      <c r="B118" s="436"/>
      <c r="C118" s="436"/>
      <c r="D118" s="268" t="s">
        <v>238</v>
      </c>
      <c r="E118" s="56">
        <f>'29'!F133</f>
        <v>40429</v>
      </c>
      <c r="F118" s="267">
        <v>36196</v>
      </c>
      <c r="G118" s="318">
        <f t="shared" si="10"/>
        <v>-4233</v>
      </c>
      <c r="H118" s="57">
        <f>G118+'29'!H133</f>
        <v>-4257</v>
      </c>
      <c r="I118" s="69"/>
      <c r="J118" s="58">
        <f>H118/DAY(B2)</f>
        <v>-141.9</v>
      </c>
    </row>
    <row r="119" spans="1:10" ht="23.25" customHeight="1">
      <c r="A119" s="436" t="s">
        <v>241</v>
      </c>
      <c r="B119" s="436"/>
      <c r="C119" s="436"/>
      <c r="D119" s="268" t="s">
        <v>238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27864.32</v>
      </c>
      <c r="J119" s="58">
        <f>H119/DAY(B2)</f>
        <v>1069.9106666666667</v>
      </c>
    </row>
    <row r="120" spans="1:10" ht="23.25" customHeight="1">
      <c r="A120" s="436" t="s">
        <v>242</v>
      </c>
      <c r="B120" s="436"/>
      <c r="C120" s="436"/>
      <c r="D120" s="268" t="s">
        <v>238</v>
      </c>
      <c r="E120" s="56">
        <f>'29'!F135</f>
        <v>41970</v>
      </c>
      <c r="F120" s="267">
        <v>30495.25</v>
      </c>
      <c r="G120" s="318">
        <f t="shared" si="10"/>
        <v>-11474.75</v>
      </c>
      <c r="H120" s="57">
        <f>G120+'29'!H135</f>
        <v>-11344.190000000002</v>
      </c>
      <c r="I120" s="69"/>
      <c r="J120" s="58">
        <f>H120/DAY(B2)</f>
        <v>-378.13966666666676</v>
      </c>
    </row>
    <row r="121" spans="1:10" ht="23.25" customHeight="1">
      <c r="A121" s="436" t="s">
        <v>243</v>
      </c>
      <c r="B121" s="436"/>
      <c r="C121" s="436"/>
      <c r="D121" s="268" t="s">
        <v>238</v>
      </c>
      <c r="E121" s="56">
        <f>'29'!F136</f>
        <v>32874</v>
      </c>
      <c r="F121" s="267">
        <v>25683.26</v>
      </c>
      <c r="G121" s="318">
        <f t="shared" si="10"/>
        <v>-7190.7400000000016</v>
      </c>
      <c r="H121" s="57">
        <f>G121+'29'!H136</f>
        <v>-7177.7900000000045</v>
      </c>
      <c r="I121" s="69"/>
      <c r="J121" s="58">
        <f>H121/DAY(B2)</f>
        <v>-239.25966666666682</v>
      </c>
    </row>
    <row r="122" spans="1:10" ht="23.25" customHeight="1">
      <c r="A122" s="436" t="s">
        <v>244</v>
      </c>
      <c r="B122" s="436"/>
      <c r="C122" s="436"/>
      <c r="D122" s="268" t="s">
        <v>238</v>
      </c>
      <c r="E122" s="56">
        <f>'29'!F137</f>
        <v>22891.42</v>
      </c>
      <c r="F122" s="267">
        <v>21285.49</v>
      </c>
      <c r="G122" s="318">
        <f t="shared" si="10"/>
        <v>-1605.9299999999967</v>
      </c>
      <c r="H122" s="57">
        <f>G122+'29'!H137</f>
        <v>-1606</v>
      </c>
      <c r="I122" s="69">
        <f>G120+G121+G122</f>
        <v>-20271.419999999998</v>
      </c>
      <c r="J122" s="58">
        <f>H122/DAY(B2)</f>
        <v>-53.533333333333331</v>
      </c>
    </row>
    <row r="123" spans="1:10" ht="23.25" customHeight="1">
      <c r="A123" s="436" t="s">
        <v>245</v>
      </c>
      <c r="B123" s="436"/>
      <c r="C123" s="436"/>
      <c r="D123" s="268" t="s">
        <v>238</v>
      </c>
      <c r="E123" s="56">
        <f>'29'!F138</f>
        <v>25091.39</v>
      </c>
      <c r="F123" s="267">
        <v>22354.720000000001</v>
      </c>
      <c r="G123" s="318">
        <f t="shared" si="10"/>
        <v>-2736.6699999999983</v>
      </c>
      <c r="H123" s="57">
        <f>G123+'29'!H138</f>
        <v>-2719.1699999999983</v>
      </c>
      <c r="I123" s="69"/>
      <c r="J123" s="58">
        <f>H123/DAY(B2)</f>
        <v>-90.638999999999939</v>
      </c>
    </row>
    <row r="124" spans="1:10" ht="23.25" customHeight="1">
      <c r="A124" s="436" t="s">
        <v>246</v>
      </c>
      <c r="B124" s="436"/>
      <c r="C124" s="436"/>
      <c r="D124" s="268" t="s">
        <v>238</v>
      </c>
      <c r="E124" s="56">
        <f>'29'!F139</f>
        <v>70513.62</v>
      </c>
      <c r="F124" s="267">
        <v>64789.37</v>
      </c>
      <c r="G124" s="318">
        <f t="shared" si="10"/>
        <v>-5724.2499999999927</v>
      </c>
      <c r="H124" s="57">
        <f>G124+'29'!H139</f>
        <v>-5692.3599999999933</v>
      </c>
      <c r="I124" s="69">
        <f>G123+G124</f>
        <v>-8460.919999999991</v>
      </c>
      <c r="J124" s="58">
        <f>H124/DAY(B2)</f>
        <v>-189.74533333333312</v>
      </c>
    </row>
    <row r="125" spans="1:10" ht="23.25" customHeight="1">
      <c r="A125" s="436" t="s">
        <v>247</v>
      </c>
      <c r="B125" s="436"/>
      <c r="C125" s="436"/>
      <c r="D125" s="268" t="s">
        <v>238</v>
      </c>
      <c r="E125" s="56">
        <f>'29'!F140</f>
        <v>2119.34</v>
      </c>
      <c r="F125" s="267">
        <v>17.899999999999999</v>
      </c>
      <c r="G125" s="318">
        <f t="shared" si="10"/>
        <v>-2101.44</v>
      </c>
      <c r="H125" s="57">
        <f>G125+'29'!H140</f>
        <v>-2111.2799999999997</v>
      </c>
      <c r="J125" s="58">
        <f>H125/DAY(B2)</f>
        <v>-70.375999999999991</v>
      </c>
    </row>
    <row r="126" spans="1:10" ht="23.25" customHeight="1" thickBot="1">
      <c r="A126" s="436" t="s">
        <v>248</v>
      </c>
      <c r="B126" s="436"/>
      <c r="C126" s="436"/>
      <c r="D126" s="268" t="s">
        <v>238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23102.75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20930</v>
      </c>
      <c r="B4" s="213"/>
    </row>
    <row r="5" spans="1:9">
      <c r="A5" s="213">
        <f>'3'!G7</f>
        <v>22034.25</v>
      </c>
    </row>
    <row r="6" spans="1:9">
      <c r="A6" s="213">
        <f>'4'!G7</f>
        <v>21708.650000000023</v>
      </c>
    </row>
    <row r="7" spans="1:9">
      <c r="A7" s="213">
        <f>'5'!G7</f>
        <v>20879.79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27</vt:i4>
      </vt:variant>
    </vt:vector>
  </HeadingPairs>
  <TitlesOfParts>
    <vt:vector size="68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2021-07-09T05:34:07Z</dcterms:modified>
</cp:coreProperties>
</file>