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6" i="1" l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34" i="4" l="1"/>
  <c r="M146" i="4"/>
  <c r="M152" i="4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30" i="4"/>
  <c r="K142" i="4"/>
  <c r="K143" i="4"/>
  <c r="K148" i="4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K126" i="4" s="1"/>
  <c r="J127" i="4"/>
  <c r="K127" i="4" s="1"/>
  <c r="J128" i="4"/>
  <c r="K128" i="4" s="1"/>
  <c r="J129" i="4"/>
  <c r="K129" i="4" s="1"/>
  <c r="J130" i="4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J143" i="4"/>
  <c r="J144" i="4"/>
  <c r="K144" i="4" s="1"/>
  <c r="J145" i="4"/>
  <c r="K145" i="4" s="1"/>
  <c r="J146" i="4"/>
  <c r="K146" i="4" s="1"/>
  <c r="J147" i="4"/>
  <c r="K147" i="4" s="1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25" i="4" l="1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Q194" i="3"/>
  <c r="Q208" i="3"/>
  <c r="M218" i="3"/>
  <c r="G216" i="1" s="1"/>
  <c r="M276" i="3"/>
  <c r="G274" i="1" s="1"/>
  <c r="M316" i="3"/>
  <c r="G314" i="1" s="1"/>
  <c r="Q320" i="3"/>
  <c r="Q328" i="3"/>
  <c r="M130" i="3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M146" i="3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Q145" i="3"/>
  <c r="I143" i="1"/>
  <c r="M150" i="3"/>
  <c r="M153" i="3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M134" i="3"/>
  <c r="M138" i="3"/>
  <c r="M141" i="3"/>
  <c r="M144" i="3"/>
  <c r="M151" i="3"/>
  <c r="M154" i="3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M145" i="3"/>
  <c r="M147" i="3"/>
  <c r="M149" i="3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M140" i="3"/>
  <c r="M148" i="3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<sst xmlns="http://schemas.openxmlformats.org/spreadsheetml/2006/main" count="606" uniqueCount="76">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</sst>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09" workbookViewId="0">
      <selection activeCell="P127" sqref="P12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>
        <v>0.67</v>
      </c>
      <c r="G125" s="4" t="str">
        <f>'Gas Water'!M127</f>
        <v/>
      </c>
      <c r="H125" s="154">
        <v>1.77</v>
      </c>
      <c r="I125" s="2" t="str">
        <f>'Gas Water'!L127</f>
        <v/>
      </c>
      <c r="J125" s="154">
        <v>12.93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>
        <v>0.67</v>
      </c>
      <c r="G126" s="4" t="str">
        <f>'Gas Water'!M128</f>
        <v/>
      </c>
      <c r="H126" s="154">
        <v>1.77</v>
      </c>
      <c r="I126" s="2" t="str">
        <f>'Gas Water'!L128</f>
        <v/>
      </c>
      <c r="J126" s="154">
        <v>12.93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>
        <v>0.67</v>
      </c>
      <c r="G127" s="4" t="str">
        <f>'Gas Water'!M129</f>
        <v/>
      </c>
      <c r="H127" s="154">
        <v>1.77</v>
      </c>
      <c r="I127" s="2" t="str">
        <f>'Gas Water'!L129</f>
        <v/>
      </c>
      <c r="J127" s="154">
        <v>12.93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>
        <v>0.67</v>
      </c>
      <c r="G128" s="4" t="str">
        <f>'Gas Water'!M130</f>
        <v/>
      </c>
      <c r="H128" s="154">
        <v>1.77</v>
      </c>
      <c r="I128" s="2" t="str">
        <f>'Gas Water'!L130</f>
        <v/>
      </c>
      <c r="J128" s="154">
        <v>12.93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>
        <v>0.67</v>
      </c>
      <c r="G129" s="4" t="str">
        <f>'Gas Water'!M131</f>
        <v/>
      </c>
      <c r="H129" s="154">
        <v>1.77</v>
      </c>
      <c r="I129" s="2" t="str">
        <f>'Gas Water'!L131</f>
        <v/>
      </c>
      <c r="J129" s="154">
        <v>12.93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>
        <v>0.67</v>
      </c>
      <c r="G130" s="4" t="str">
        <f>'Gas Water'!M132</f>
        <v/>
      </c>
      <c r="H130" s="154">
        <v>1.77</v>
      </c>
      <c r="I130" s="2" t="str">
        <f>'Gas Water'!L132</f>
        <v/>
      </c>
      <c r="J130" s="154">
        <v>12.93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>
        <v>0.67</v>
      </c>
      <c r="G131" s="4" t="str">
        <f>'Gas Water'!M133</f>
        <v/>
      </c>
      <c r="H131" s="154">
        <v>1.77</v>
      </c>
      <c r="I131" s="2" t="str">
        <f>'Gas Water'!L133</f>
        <v/>
      </c>
      <c r="J131" s="154">
        <v>12.93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>
        <v>0.67</v>
      </c>
      <c r="G132" s="4" t="str">
        <f>'Gas Water'!M134</f>
        <v/>
      </c>
      <c r="H132" s="154">
        <v>1.77</v>
      </c>
      <c r="I132" s="2" t="str">
        <f>'Gas Water'!L134</f>
        <v/>
      </c>
      <c r="J132" s="154">
        <v>12.93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>
        <v>0.67</v>
      </c>
      <c r="G133" s="4" t="str">
        <f>'Gas Water'!M135</f>
        <v/>
      </c>
      <c r="H133" s="154">
        <v>1.77</v>
      </c>
      <c r="I133" s="2" t="str">
        <f>'Gas Water'!L135</f>
        <v/>
      </c>
      <c r="J133" s="154">
        <v>12.93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>
        <v>0.67</v>
      </c>
      <c r="G134" s="4" t="str">
        <f>'Gas Water'!M136</f>
        <v/>
      </c>
      <c r="H134" s="154">
        <v>1.77</v>
      </c>
      <c r="I134" s="2" t="str">
        <f>'Gas Water'!L136</f>
        <v/>
      </c>
      <c r="J134" s="154">
        <v>12.93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>
        <v>0.67</v>
      </c>
      <c r="G135" s="4" t="str">
        <f>'Gas Water'!M137</f>
        <v/>
      </c>
      <c r="H135" s="154">
        <v>1.77</v>
      </c>
      <c r="I135" s="2" t="str">
        <f>'Gas Water'!L137</f>
        <v/>
      </c>
      <c r="J135" s="154">
        <v>12.93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>
        <v>0.67</v>
      </c>
      <c r="G136" s="4" t="str">
        <f>'Gas Water'!M138</f>
        <v/>
      </c>
      <c r="H136" s="154">
        <v>1.77</v>
      </c>
      <c r="I136" s="2" t="str">
        <f>'Gas Water'!L138</f>
        <v/>
      </c>
      <c r="J136" s="154">
        <v>12.93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>
        <v>0.67</v>
      </c>
      <c r="G137" s="4" t="str">
        <f>'Gas Water'!M139</f>
        <v/>
      </c>
      <c r="H137" s="154">
        <v>1.77</v>
      </c>
      <c r="I137" s="2" t="str">
        <f>'Gas Water'!L139</f>
        <v/>
      </c>
      <c r="J137" s="154">
        <v>12.93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>
        <v>0.67</v>
      </c>
      <c r="G138" s="4" t="str">
        <f>'Gas Water'!M140</f>
        <v/>
      </c>
      <c r="H138" s="154">
        <v>1.77</v>
      </c>
      <c r="I138" s="2" t="str">
        <f>'Gas Water'!L140</f>
        <v/>
      </c>
      <c r="J138" s="154">
        <v>12.93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>
        <v>0.67</v>
      </c>
      <c r="G139" s="4" t="str">
        <f>'Gas Water'!M141</f>
        <v/>
      </c>
      <c r="H139" s="154">
        <v>1.77</v>
      </c>
      <c r="I139" s="2" t="str">
        <f>'Gas Water'!L141</f>
        <v/>
      </c>
      <c r="J139" s="154">
        <v>12.93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>
        <v>0.67</v>
      </c>
      <c r="G140" s="4" t="str">
        <f>'Gas Water'!M142</f>
        <v/>
      </c>
      <c r="H140" s="154">
        <v>1.77</v>
      </c>
      <c r="I140" s="2" t="str">
        <f>'Gas Water'!L142</f>
        <v/>
      </c>
      <c r="J140" s="154">
        <v>12.93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>
        <v>0.67</v>
      </c>
      <c r="G141" s="4" t="str">
        <f>'Gas Water'!M143</f>
        <v/>
      </c>
      <c r="H141" s="154">
        <v>1.77</v>
      </c>
      <c r="I141" s="2" t="str">
        <f>'Gas Water'!L143</f>
        <v/>
      </c>
      <c r="J141" s="154">
        <v>12.93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>
        <v>0.67</v>
      </c>
      <c r="G142" s="4" t="str">
        <f>'Gas Water'!M144</f>
        <v/>
      </c>
      <c r="H142" s="154">
        <v>1.77</v>
      </c>
      <c r="I142" s="2" t="str">
        <f>'Gas Water'!L144</f>
        <v/>
      </c>
      <c r="J142" s="154">
        <v>12.93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>
        <v>0.67</v>
      </c>
      <c r="G143" s="4" t="str">
        <f>'Gas Water'!M145</f>
        <v/>
      </c>
      <c r="H143" s="154">
        <v>1.77</v>
      </c>
      <c r="I143" s="2" t="str">
        <f>'Gas Water'!L145</f>
        <v/>
      </c>
      <c r="J143" s="154">
        <v>12.93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>
        <v>0.67</v>
      </c>
      <c r="G144" s="4" t="str">
        <f>'Gas Water'!M146</f>
        <v/>
      </c>
      <c r="H144" s="154">
        <v>1.77</v>
      </c>
      <c r="I144" s="2" t="str">
        <f>'Gas Water'!L146</f>
        <v/>
      </c>
      <c r="J144" s="154">
        <v>12.93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>
        <v>0.67</v>
      </c>
      <c r="G145" s="4" t="str">
        <f>'Gas Water'!M147</f>
        <v/>
      </c>
      <c r="H145" s="154">
        <v>1.77</v>
      </c>
      <c r="I145" s="2" t="str">
        <f>'Gas Water'!L147</f>
        <v/>
      </c>
      <c r="J145" s="154">
        <v>12.93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>
        <v>0.67</v>
      </c>
      <c r="G146" s="4" t="str">
        <f>'Gas Water'!M148</f>
        <v/>
      </c>
      <c r="H146" s="154">
        <v>1.77</v>
      </c>
      <c r="I146" s="2" t="str">
        <f>'Gas Water'!L148</f>
        <v/>
      </c>
      <c r="J146" s="154">
        <v>12.93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>
        <v>0.67</v>
      </c>
      <c r="G147" s="4" t="str">
        <f>'Gas Water'!M149</f>
        <v/>
      </c>
      <c r="H147" s="154">
        <v>1.77</v>
      </c>
      <c r="I147" s="2" t="str">
        <f>'Gas Water'!L149</f>
        <v/>
      </c>
      <c r="J147" s="154">
        <v>12.93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>
        <v>0.67</v>
      </c>
      <c r="G148" s="4" t="str">
        <f>'Gas Water'!M150</f>
        <v/>
      </c>
      <c r="H148" s="154">
        <v>1.77</v>
      </c>
      <c r="I148" s="2" t="str">
        <f>'Gas Water'!L150</f>
        <v/>
      </c>
      <c r="J148" s="154">
        <v>12.93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>
        <v>0.67</v>
      </c>
      <c r="G149" s="4" t="str">
        <f>'Gas Water'!M151</f>
        <v/>
      </c>
      <c r="H149" s="154">
        <v>1.77</v>
      </c>
      <c r="I149" s="2" t="str">
        <f>'Gas Water'!L151</f>
        <v/>
      </c>
      <c r="J149" s="154">
        <v>12.93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>
        <v>0.67</v>
      </c>
      <c r="G150" s="4" t="str">
        <f>'Gas Water'!M152</f>
        <v/>
      </c>
      <c r="H150" s="154">
        <v>1.77</v>
      </c>
      <c r="I150" s="2" t="str">
        <f>'Gas Water'!L152</f>
        <v/>
      </c>
      <c r="J150" s="154">
        <v>12.93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>
        <v>0.67</v>
      </c>
      <c r="G151" s="4" t="str">
        <f>'Gas Water'!M153</f>
        <v/>
      </c>
      <c r="H151" s="154">
        <v>1.77</v>
      </c>
      <c r="I151" s="2" t="str">
        <f>'Gas Water'!L153</f>
        <v/>
      </c>
      <c r="J151" s="154">
        <v>12.93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>
        <v>0.67</v>
      </c>
      <c r="G152" s="4" t="str">
        <f>'Gas Water'!M154</f>
        <v/>
      </c>
      <c r="H152" s="154">
        <v>1.77</v>
      </c>
      <c r="I152" s="2" t="str">
        <f>'Gas Water'!L154</f>
        <v/>
      </c>
      <c r="J152" s="154">
        <v>12.93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>
        <v>0.67</v>
      </c>
      <c r="G153" s="4" t="str">
        <f>'Gas Water'!M155</f>
        <v/>
      </c>
      <c r="H153" s="154">
        <v>1.77</v>
      </c>
      <c r="I153" s="2" t="str">
        <f>'Gas Water'!L155</f>
        <v/>
      </c>
      <c r="J153" s="154">
        <v>12.93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>
        <v>0.67</v>
      </c>
      <c r="G154" s="4" t="str">
        <f>'Gas Water'!M156</f>
        <v/>
      </c>
      <c r="H154" s="154">
        <v>1.77</v>
      </c>
      <c r="I154" s="2" t="str">
        <f>'Gas Water'!L156</f>
        <v/>
      </c>
      <c r="J154" s="154">
        <v>12.93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94" workbookViewId="0">
      <selection activeCell="H126" sqref="H126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289</v>
      </c>
      <c r="O148" s="32">
        <f>SUM(M12:M155)</f>
        <v>347863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>
        <f>AVERAGE(L125:L155)</f>
        <v>144.5</v>
      </c>
      <c r="O151" s="32">
        <f>AVERAGE(M125:M155)</f>
        <v>1460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330895</v>
      </c>
      <c r="J371" s="40">
        <f t="shared" si="29"/>
        <v>17395</v>
      </c>
      <c r="K371" s="40">
        <f t="shared" si="29"/>
        <v>16626</v>
      </c>
      <c r="L371" s="40">
        <f t="shared" si="29"/>
        <v>16455</v>
      </c>
      <c r="M371" s="40">
        <f t="shared" si="29"/>
        <v>364916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94" workbookViewId="0">
      <selection activeCell="U101" sqref="U101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3.5313309663180081E-2</v>
      </c>
      <c r="Q145" s="71">
        <f>IF(L124="",0,+SUM(L124:L154)/SUM(I124:I154))</f>
        <v>3.5313309663180081E-2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2585181.1199999959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2021-05-04T05:24:13Z</dcterms:modified>
  <cp:category/>
  <cp:contentStatus/>
</cp:coreProperties>
</file>