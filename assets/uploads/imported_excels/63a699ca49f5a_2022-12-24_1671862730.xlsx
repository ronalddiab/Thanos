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15360" windowHeight="7905" activeTab="5"/>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4" i="4" l="1"/>
  <c r="I27" i="4"/>
  <c r="I28" i="4" s="1"/>
  <c r="I20" i="4"/>
  <c r="I21" i="4" s="1"/>
  <c r="G22" i="4"/>
  <c r="G21" i="4"/>
  <c r="W21" i="3"/>
  <c r="W22" i="3" s="1"/>
  <c r="G21" i="3"/>
  <c r="G22" i="3" s="1"/>
  <c r="E21" i="3"/>
  <c r="E22" i="3" s="1"/>
  <c r="C22" i="3"/>
  <c r="AT35" i="5" l="1"/>
  <c r="AJ32" i="5" l="1"/>
  <c r="AT29" i="5" l="1"/>
  <c r="V10" i="5" l="1"/>
  <c r="V9" i="5"/>
  <c r="X26" i="3"/>
  <c r="X27" i="3"/>
  <c r="X28" i="3"/>
  <c r="X29" i="3"/>
  <c r="X30" i="3"/>
  <c r="X31" i="3"/>
  <c r="X32" i="3"/>
  <c r="X33" i="3"/>
  <c r="X34" i="3"/>
  <c r="X35" i="3"/>
  <c r="X36" i="3"/>
  <c r="X9" i="3"/>
  <c r="X10" i="3"/>
  <c r="X11" i="3"/>
  <c r="X12" i="3"/>
  <c r="X13" i="3"/>
  <c r="X14" i="3"/>
  <c r="X15" i="3"/>
  <c r="X16" i="3"/>
  <c r="X17" i="3"/>
  <c r="X18" i="3"/>
  <c r="X19" i="3"/>
  <c r="X20" i="3"/>
  <c r="X21" i="3"/>
  <c r="X22" i="3"/>
  <c r="X23" i="3"/>
  <c r="X24" i="3"/>
  <c r="X25" i="3"/>
  <c r="BF38" i="5" l="1"/>
  <c r="BD38" i="5"/>
  <c r="BB38" i="5"/>
  <c r="AZ38" i="5"/>
  <c r="AX38" i="5"/>
  <c r="AV38" i="5"/>
  <c r="AT38" i="5"/>
  <c r="AR38" i="5"/>
  <c r="AP38" i="5"/>
  <c r="AN38" i="5"/>
  <c r="AL38" i="5"/>
  <c r="AJ38" i="5"/>
  <c r="AH38" i="5"/>
  <c r="AF38" i="5"/>
  <c r="AD38" i="5"/>
  <c r="AB38" i="5"/>
  <c r="Z38" i="5"/>
  <c r="X38" i="5"/>
  <c r="V38" i="5"/>
  <c r="T38" i="5"/>
  <c r="R38" i="5"/>
  <c r="P38" i="5"/>
  <c r="N38" i="5"/>
  <c r="L38" i="5"/>
  <c r="J38" i="5"/>
  <c r="H38" i="5"/>
  <c r="D38" i="5"/>
  <c r="F38" i="5" s="1"/>
  <c r="BF37" i="5"/>
  <c r="BD37" i="5"/>
  <c r="BB37" i="5"/>
  <c r="AZ37" i="5"/>
  <c r="AX37" i="5"/>
  <c r="AV37" i="5"/>
  <c r="AT37" i="5"/>
  <c r="AR37" i="5"/>
  <c r="AP37" i="5"/>
  <c r="AN37" i="5"/>
  <c r="AL37" i="5"/>
  <c r="AJ37" i="5"/>
  <c r="AH37" i="5"/>
  <c r="AF37" i="5"/>
  <c r="AD37" i="5"/>
  <c r="AB37" i="5"/>
  <c r="Z37" i="5"/>
  <c r="X37" i="5"/>
  <c r="V37" i="5"/>
  <c r="T37" i="5"/>
  <c r="R37" i="5"/>
  <c r="P37" i="5"/>
  <c r="N37" i="5"/>
  <c r="L37" i="5"/>
  <c r="J37" i="5"/>
  <c r="H37" i="5"/>
  <c r="D37" i="5"/>
  <c r="F37" i="5" s="1"/>
  <c r="BF36" i="5"/>
  <c r="BD36" i="5"/>
  <c r="BB36" i="5"/>
  <c r="AZ36" i="5"/>
  <c r="AX36" i="5"/>
  <c r="AV36" i="5"/>
  <c r="AT36" i="5"/>
  <c r="AR36" i="5"/>
  <c r="AP36" i="5"/>
  <c r="AN36" i="5"/>
  <c r="AL36" i="5"/>
  <c r="AJ36" i="5"/>
  <c r="AH36" i="5"/>
  <c r="AF36" i="5"/>
  <c r="AD36" i="5"/>
  <c r="AB36" i="5"/>
  <c r="Z36" i="5"/>
  <c r="X36" i="5"/>
  <c r="V36" i="5"/>
  <c r="T36" i="5"/>
  <c r="R36" i="5"/>
  <c r="P36" i="5"/>
  <c r="N36" i="5"/>
  <c r="L36" i="5"/>
  <c r="J36" i="5"/>
  <c r="H36" i="5"/>
  <c r="D36" i="5"/>
  <c r="F36" i="5" s="1"/>
  <c r="BF35" i="5"/>
  <c r="BD35" i="5"/>
  <c r="BB35" i="5"/>
  <c r="AZ35" i="5"/>
  <c r="AX35" i="5"/>
  <c r="AV35" i="5"/>
  <c r="AR35" i="5"/>
  <c r="AP35" i="5"/>
  <c r="AN35" i="5"/>
  <c r="AL35" i="5"/>
  <c r="AJ35" i="5"/>
  <c r="AH35" i="5"/>
  <c r="AF35" i="5"/>
  <c r="AD35" i="5"/>
  <c r="AB35" i="5"/>
  <c r="Z35" i="5"/>
  <c r="X35" i="5"/>
  <c r="V35" i="5"/>
  <c r="T35" i="5"/>
  <c r="R35" i="5"/>
  <c r="P35" i="5"/>
  <c r="N35" i="5"/>
  <c r="L35" i="5"/>
  <c r="J35" i="5"/>
  <c r="H35" i="5"/>
  <c r="D35" i="5"/>
  <c r="F35" i="5" s="1"/>
  <c r="BF34" i="5"/>
  <c r="BD34" i="5"/>
  <c r="BB34" i="5"/>
  <c r="AZ34" i="5"/>
  <c r="AV34" i="5"/>
  <c r="AT34" i="5"/>
  <c r="AR34" i="5"/>
  <c r="AP34" i="5"/>
  <c r="AN34" i="5"/>
  <c r="AL34" i="5"/>
  <c r="AJ34" i="5"/>
  <c r="AH34" i="5"/>
  <c r="AF34" i="5"/>
  <c r="AD34" i="5"/>
  <c r="AB34" i="5"/>
  <c r="Z34" i="5"/>
  <c r="X34" i="5"/>
  <c r="V34" i="5"/>
  <c r="T34" i="5"/>
  <c r="R34" i="5"/>
  <c r="P34" i="5"/>
  <c r="N34" i="5"/>
  <c r="L34" i="5"/>
  <c r="J34" i="5"/>
  <c r="H34" i="5"/>
  <c r="D34" i="5"/>
  <c r="E34" i="5" s="1"/>
  <c r="BF33" i="5"/>
  <c r="BD33" i="5"/>
  <c r="BB33" i="5"/>
  <c r="AZ33" i="5"/>
  <c r="AX33" i="5"/>
  <c r="AV33" i="5"/>
  <c r="AT33" i="5"/>
  <c r="AR33" i="5"/>
  <c r="AP33" i="5"/>
  <c r="AN33" i="5"/>
  <c r="AL33" i="5"/>
  <c r="AJ33" i="5"/>
  <c r="AH33" i="5"/>
  <c r="AF33" i="5"/>
  <c r="AD33" i="5"/>
  <c r="AB33" i="5"/>
  <c r="Z33" i="5"/>
  <c r="X33" i="5"/>
  <c r="V33" i="5"/>
  <c r="T33" i="5"/>
  <c r="R33" i="5"/>
  <c r="P33" i="5"/>
  <c r="N33" i="5"/>
  <c r="L33" i="5"/>
  <c r="J33" i="5"/>
  <c r="H33" i="5"/>
  <c r="D33" i="5"/>
  <c r="F33" i="5" s="1"/>
  <c r="BF32" i="5"/>
  <c r="BD32" i="5"/>
  <c r="BB32" i="5"/>
  <c r="AZ32" i="5"/>
  <c r="AX32" i="5"/>
  <c r="AV32" i="5"/>
  <c r="AT32" i="5"/>
  <c r="AR32" i="5"/>
  <c r="AP32" i="5"/>
  <c r="AN32" i="5"/>
  <c r="AL32" i="5"/>
  <c r="AH32" i="5"/>
  <c r="AF32" i="5"/>
  <c r="AD32" i="5"/>
  <c r="AB32" i="5"/>
  <c r="Z32" i="5"/>
  <c r="X32" i="5"/>
  <c r="V32" i="5"/>
  <c r="T32" i="5"/>
  <c r="R32" i="5"/>
  <c r="P32" i="5"/>
  <c r="N32" i="5"/>
  <c r="L32" i="5"/>
  <c r="J32" i="5"/>
  <c r="H32" i="5"/>
  <c r="D32" i="5"/>
  <c r="F32" i="5" s="1"/>
  <c r="BF31" i="5"/>
  <c r="BD31" i="5"/>
  <c r="BB31" i="5"/>
  <c r="AZ31" i="5"/>
  <c r="AX31" i="5"/>
  <c r="AV31" i="5"/>
  <c r="AT31" i="5"/>
  <c r="AR31" i="5"/>
  <c r="AP31" i="5"/>
  <c r="AN31" i="5"/>
  <c r="AL31" i="5"/>
  <c r="AJ31" i="5"/>
  <c r="AH31" i="5"/>
  <c r="AF31" i="5"/>
  <c r="AD31" i="5"/>
  <c r="AB31" i="5"/>
  <c r="Z31" i="5"/>
  <c r="X31" i="5"/>
  <c r="V31" i="5"/>
  <c r="T31" i="5"/>
  <c r="R31" i="5"/>
  <c r="P31" i="5"/>
  <c r="N31" i="5"/>
  <c r="L31" i="5"/>
  <c r="J31" i="5"/>
  <c r="H31" i="5"/>
  <c r="D31" i="5"/>
  <c r="F31" i="5" s="1"/>
  <c r="BF30" i="5"/>
  <c r="BD30" i="5"/>
  <c r="BB30" i="5"/>
  <c r="AZ30" i="5"/>
  <c r="AX30" i="5"/>
  <c r="AV30" i="5"/>
  <c r="AT30" i="5"/>
  <c r="AR30" i="5"/>
  <c r="AP30" i="5"/>
  <c r="AN30" i="5"/>
  <c r="AL30" i="5"/>
  <c r="AJ30" i="5"/>
  <c r="AH30" i="5"/>
  <c r="AF30" i="5"/>
  <c r="AD30" i="5"/>
  <c r="AB30" i="5"/>
  <c r="Z30" i="5"/>
  <c r="X30" i="5"/>
  <c r="V30" i="5"/>
  <c r="T30" i="5"/>
  <c r="R30" i="5"/>
  <c r="P30" i="5"/>
  <c r="N30" i="5"/>
  <c r="L30" i="5"/>
  <c r="J30" i="5"/>
  <c r="H30" i="5"/>
  <c r="D30" i="5"/>
  <c r="E30" i="5" s="1"/>
  <c r="BF29" i="5"/>
  <c r="BD29" i="5"/>
  <c r="BB29" i="5"/>
  <c r="AZ29" i="5"/>
  <c r="AX29" i="5"/>
  <c r="AV29" i="5"/>
  <c r="AR29" i="5"/>
  <c r="AP29" i="5"/>
  <c r="AN29" i="5"/>
  <c r="AL29" i="5"/>
  <c r="AJ29" i="5"/>
  <c r="AH29" i="5"/>
  <c r="AF29" i="5"/>
  <c r="AD29" i="5"/>
  <c r="AB29" i="5"/>
  <c r="Z29" i="5"/>
  <c r="X29" i="5"/>
  <c r="V29" i="5"/>
  <c r="T29" i="5"/>
  <c r="R29" i="5"/>
  <c r="P29" i="5"/>
  <c r="N29" i="5"/>
  <c r="L29" i="5"/>
  <c r="J29" i="5"/>
  <c r="H29" i="5"/>
  <c r="D29" i="5"/>
  <c r="F29" i="5" s="1"/>
  <c r="BF28" i="5"/>
  <c r="BD28" i="5"/>
  <c r="BB28" i="5"/>
  <c r="AZ28" i="5"/>
  <c r="AX28" i="5"/>
  <c r="AV28" i="5"/>
  <c r="AT28" i="5"/>
  <c r="AR28" i="5"/>
  <c r="AP28" i="5"/>
  <c r="AN28" i="5"/>
  <c r="AL28" i="5"/>
  <c r="AJ28" i="5"/>
  <c r="AH28" i="5"/>
  <c r="AF28" i="5"/>
  <c r="AD28" i="5"/>
  <c r="AB28" i="5"/>
  <c r="Z28" i="5"/>
  <c r="X28" i="5"/>
  <c r="V28" i="5"/>
  <c r="T28" i="5"/>
  <c r="R28" i="5"/>
  <c r="P28" i="5"/>
  <c r="N28" i="5"/>
  <c r="L28" i="5"/>
  <c r="J28" i="5"/>
  <c r="H28" i="5"/>
  <c r="D28" i="5"/>
  <c r="F28" i="5" s="1"/>
  <c r="BF27" i="5"/>
  <c r="BD27" i="5"/>
  <c r="BB27" i="5"/>
  <c r="AZ27" i="5"/>
  <c r="AX27" i="5"/>
  <c r="AV27" i="5"/>
  <c r="AT27" i="5"/>
  <c r="AR27" i="5"/>
  <c r="AP27" i="5"/>
  <c r="AN27" i="5"/>
  <c r="AL27" i="5"/>
  <c r="AJ27" i="5"/>
  <c r="AH27" i="5"/>
  <c r="AF27" i="5"/>
  <c r="AD27" i="5"/>
  <c r="AB27" i="5"/>
  <c r="Z27" i="5"/>
  <c r="X27" i="5"/>
  <c r="V27" i="5"/>
  <c r="T27" i="5"/>
  <c r="R27" i="5"/>
  <c r="P27" i="5"/>
  <c r="N27" i="5"/>
  <c r="L27" i="5"/>
  <c r="J27" i="5"/>
  <c r="H27" i="5"/>
  <c r="D27" i="5"/>
  <c r="F27" i="5" s="1"/>
  <c r="BF26" i="5"/>
  <c r="BD26" i="5"/>
  <c r="BB26" i="5"/>
  <c r="AZ26" i="5"/>
  <c r="AX26" i="5"/>
  <c r="AV26" i="5"/>
  <c r="AT26" i="5"/>
  <c r="AR26" i="5"/>
  <c r="AP26" i="5"/>
  <c r="AN26" i="5"/>
  <c r="AL26" i="5"/>
  <c r="AJ26" i="5"/>
  <c r="AH26" i="5"/>
  <c r="AF26" i="5"/>
  <c r="AD26" i="5"/>
  <c r="AB26" i="5"/>
  <c r="Z26" i="5"/>
  <c r="X26" i="5"/>
  <c r="V26" i="5"/>
  <c r="T26" i="5"/>
  <c r="R26" i="5"/>
  <c r="P26" i="5"/>
  <c r="N26" i="5"/>
  <c r="L26" i="5"/>
  <c r="J26" i="5"/>
  <c r="H26" i="5"/>
  <c r="D26" i="5"/>
  <c r="E26" i="5" s="1"/>
  <c r="BF25" i="5"/>
  <c r="BD25" i="5"/>
  <c r="BB25" i="5"/>
  <c r="AZ25" i="5"/>
  <c r="AX25" i="5"/>
  <c r="AV25" i="5"/>
  <c r="AT25" i="5"/>
  <c r="AR25" i="5"/>
  <c r="AP25" i="5"/>
  <c r="AN25" i="5"/>
  <c r="AL25" i="5"/>
  <c r="AJ25" i="5"/>
  <c r="AH25" i="5"/>
  <c r="AF25" i="5"/>
  <c r="AD25" i="5"/>
  <c r="AB25" i="5"/>
  <c r="Z25" i="5"/>
  <c r="X25" i="5"/>
  <c r="V25" i="5"/>
  <c r="T25" i="5"/>
  <c r="R25" i="5"/>
  <c r="P25" i="5"/>
  <c r="N25" i="5"/>
  <c r="L25" i="5"/>
  <c r="J25" i="5"/>
  <c r="H25" i="5"/>
  <c r="D25" i="5"/>
  <c r="F25" i="5" s="1"/>
  <c r="BF24" i="5"/>
  <c r="BD24" i="5"/>
  <c r="BB24" i="5"/>
  <c r="AZ24" i="5"/>
  <c r="AX24" i="5"/>
  <c r="AV24" i="5"/>
  <c r="AT24" i="5"/>
  <c r="AR24" i="5"/>
  <c r="AP24" i="5"/>
  <c r="AN24" i="5"/>
  <c r="AL24" i="5"/>
  <c r="AJ24" i="5"/>
  <c r="AH24" i="5"/>
  <c r="AF24" i="5"/>
  <c r="AD24" i="5"/>
  <c r="AB24" i="5"/>
  <c r="Z24" i="5"/>
  <c r="X24" i="5"/>
  <c r="V24" i="5"/>
  <c r="T24" i="5"/>
  <c r="R24" i="5"/>
  <c r="P24" i="5"/>
  <c r="N24" i="5"/>
  <c r="L24" i="5"/>
  <c r="J24" i="5"/>
  <c r="H24" i="5"/>
  <c r="D24" i="5"/>
  <c r="F24" i="5" s="1"/>
  <c r="BF23" i="5"/>
  <c r="BD23" i="5"/>
  <c r="BB23" i="5"/>
  <c r="AZ23" i="5"/>
  <c r="AX23" i="5"/>
  <c r="AV23" i="5"/>
  <c r="AT23" i="5"/>
  <c r="AR23" i="5"/>
  <c r="AP23" i="5"/>
  <c r="AN23" i="5"/>
  <c r="AL23" i="5"/>
  <c r="AJ23" i="5"/>
  <c r="AH23" i="5"/>
  <c r="AF23" i="5"/>
  <c r="AD23" i="5"/>
  <c r="AB23" i="5"/>
  <c r="Z23" i="5"/>
  <c r="X23" i="5"/>
  <c r="V23" i="5"/>
  <c r="T23" i="5"/>
  <c r="R23" i="5"/>
  <c r="P23" i="5"/>
  <c r="N23" i="5"/>
  <c r="L23" i="5"/>
  <c r="J23" i="5"/>
  <c r="H23" i="5"/>
  <c r="D23" i="5"/>
  <c r="F23" i="5" s="1"/>
  <c r="BF22" i="5"/>
  <c r="BD22" i="5"/>
  <c r="BB22" i="5"/>
  <c r="AZ22" i="5"/>
  <c r="AX22" i="5"/>
  <c r="AV22" i="5"/>
  <c r="AT22" i="5"/>
  <c r="AR22" i="5"/>
  <c r="AP22" i="5"/>
  <c r="AN22" i="5"/>
  <c r="AL22" i="5"/>
  <c r="AJ22" i="5"/>
  <c r="AH22" i="5"/>
  <c r="AF22" i="5"/>
  <c r="AD22" i="5"/>
  <c r="AB22" i="5"/>
  <c r="Z22" i="5"/>
  <c r="X22" i="5"/>
  <c r="V22" i="5"/>
  <c r="T22" i="5"/>
  <c r="R22" i="5"/>
  <c r="P22" i="5"/>
  <c r="N22" i="5"/>
  <c r="L22" i="5"/>
  <c r="J22" i="5"/>
  <c r="H22" i="5"/>
  <c r="D22" i="5"/>
  <c r="E22" i="5" s="1"/>
  <c r="BF21" i="5"/>
  <c r="BD21" i="5"/>
  <c r="BB21" i="5"/>
  <c r="AZ21" i="5"/>
  <c r="AX21" i="5"/>
  <c r="AV21" i="5"/>
  <c r="AT21" i="5"/>
  <c r="AR21" i="5"/>
  <c r="AP21" i="5"/>
  <c r="AN21" i="5"/>
  <c r="AL21" i="5"/>
  <c r="AJ21" i="5"/>
  <c r="AH21" i="5"/>
  <c r="AF21" i="5"/>
  <c r="AD21" i="5"/>
  <c r="AB21" i="5"/>
  <c r="Z21" i="5"/>
  <c r="X21" i="5"/>
  <c r="V21" i="5"/>
  <c r="T21" i="5"/>
  <c r="R21" i="5"/>
  <c r="P21" i="5"/>
  <c r="N21" i="5"/>
  <c r="L21" i="5"/>
  <c r="J21" i="5"/>
  <c r="H21" i="5"/>
  <c r="D21" i="5"/>
  <c r="F21" i="5" s="1"/>
  <c r="BF20" i="5"/>
  <c r="BD20" i="5"/>
  <c r="BB20" i="5"/>
  <c r="AZ20" i="5"/>
  <c r="AX20" i="5"/>
  <c r="AV20" i="5"/>
  <c r="AT20" i="5"/>
  <c r="AR20" i="5"/>
  <c r="AP20" i="5"/>
  <c r="AN20" i="5"/>
  <c r="AL20" i="5"/>
  <c r="AJ20" i="5"/>
  <c r="AH20" i="5"/>
  <c r="AF20" i="5"/>
  <c r="AD20" i="5"/>
  <c r="AB20" i="5"/>
  <c r="Z20" i="5"/>
  <c r="X20" i="5"/>
  <c r="V20" i="5"/>
  <c r="T20" i="5"/>
  <c r="R20" i="5"/>
  <c r="P20" i="5"/>
  <c r="N20" i="5"/>
  <c r="L20" i="5"/>
  <c r="J20" i="5"/>
  <c r="H20" i="5"/>
  <c r="D20" i="5"/>
  <c r="F20" i="5" s="1"/>
  <c r="BF19" i="5"/>
  <c r="BD19" i="5"/>
  <c r="BB19" i="5"/>
  <c r="AZ19" i="5"/>
  <c r="AX19" i="5"/>
  <c r="AV19" i="5"/>
  <c r="AT19" i="5"/>
  <c r="AR19" i="5"/>
  <c r="AP19" i="5"/>
  <c r="AN19" i="5"/>
  <c r="AL19" i="5"/>
  <c r="AJ19" i="5"/>
  <c r="AH19" i="5"/>
  <c r="AF19" i="5"/>
  <c r="AD19" i="5"/>
  <c r="AB19" i="5"/>
  <c r="Z19" i="5"/>
  <c r="X19" i="5"/>
  <c r="V19" i="5"/>
  <c r="T19" i="5"/>
  <c r="R19" i="5"/>
  <c r="P19" i="5"/>
  <c r="N19" i="5"/>
  <c r="L19" i="5"/>
  <c r="J19" i="5"/>
  <c r="H19" i="5"/>
  <c r="D19" i="5"/>
  <c r="F19" i="5" s="1"/>
  <c r="BF18" i="5"/>
  <c r="BD18" i="5"/>
  <c r="BB18" i="5"/>
  <c r="AZ18" i="5"/>
  <c r="AX18" i="5"/>
  <c r="AV18" i="5"/>
  <c r="AT18" i="5"/>
  <c r="AR18" i="5"/>
  <c r="AP18" i="5"/>
  <c r="AN18" i="5"/>
  <c r="AL18" i="5"/>
  <c r="AJ18" i="5"/>
  <c r="AH18" i="5"/>
  <c r="AF18" i="5"/>
  <c r="AD18" i="5"/>
  <c r="AB18" i="5"/>
  <c r="Z18" i="5"/>
  <c r="X18" i="5"/>
  <c r="V18" i="5"/>
  <c r="T18" i="5"/>
  <c r="R18" i="5"/>
  <c r="P18" i="5"/>
  <c r="N18" i="5"/>
  <c r="L18" i="5"/>
  <c r="J18" i="5"/>
  <c r="H18" i="5"/>
  <c r="D18" i="5"/>
  <c r="E18" i="5" s="1"/>
  <c r="BF17" i="5"/>
  <c r="BD17" i="5"/>
  <c r="BB17" i="5"/>
  <c r="AZ17" i="5"/>
  <c r="AX17" i="5"/>
  <c r="AV17" i="5"/>
  <c r="AT17" i="5"/>
  <c r="AR17" i="5"/>
  <c r="AP17" i="5"/>
  <c r="AN17" i="5"/>
  <c r="AL17" i="5"/>
  <c r="AJ17" i="5"/>
  <c r="AH17" i="5"/>
  <c r="AF17" i="5"/>
  <c r="AD17" i="5"/>
  <c r="AB17" i="5"/>
  <c r="Z17" i="5"/>
  <c r="X17" i="5"/>
  <c r="V17" i="5"/>
  <c r="T17" i="5"/>
  <c r="R17" i="5"/>
  <c r="P17" i="5"/>
  <c r="N17" i="5"/>
  <c r="L17" i="5"/>
  <c r="J17" i="5"/>
  <c r="H17" i="5"/>
  <c r="D17" i="5"/>
  <c r="F17" i="5" s="1"/>
  <c r="BF16" i="5"/>
  <c r="BD16" i="5"/>
  <c r="BB16" i="5"/>
  <c r="AZ16" i="5"/>
  <c r="AX16" i="5"/>
  <c r="AV16" i="5"/>
  <c r="AT16" i="5"/>
  <c r="AR16" i="5"/>
  <c r="AP16" i="5"/>
  <c r="AN16" i="5"/>
  <c r="AL16" i="5"/>
  <c r="AJ16" i="5"/>
  <c r="AH16" i="5"/>
  <c r="AF16" i="5"/>
  <c r="AD16" i="5"/>
  <c r="AB16" i="5"/>
  <c r="Z16" i="5"/>
  <c r="X16" i="5"/>
  <c r="V16" i="5"/>
  <c r="T16" i="5"/>
  <c r="R16" i="5"/>
  <c r="P16" i="5"/>
  <c r="N16" i="5"/>
  <c r="L16" i="5"/>
  <c r="J16" i="5"/>
  <c r="H16" i="5"/>
  <c r="D16" i="5"/>
  <c r="E16" i="5" s="1"/>
  <c r="BF15" i="5"/>
  <c r="BD15" i="5"/>
  <c r="BB15" i="5"/>
  <c r="AZ15" i="5"/>
  <c r="AX15" i="5"/>
  <c r="AV15" i="5"/>
  <c r="AT15" i="5"/>
  <c r="AR15" i="5"/>
  <c r="AP15" i="5"/>
  <c r="AN15" i="5"/>
  <c r="AL15" i="5"/>
  <c r="AJ15" i="5"/>
  <c r="AH15" i="5"/>
  <c r="AF15" i="5"/>
  <c r="AD15" i="5"/>
  <c r="AB15" i="5"/>
  <c r="Z15" i="5"/>
  <c r="X15" i="5"/>
  <c r="V15" i="5"/>
  <c r="T15" i="5"/>
  <c r="R15" i="5"/>
  <c r="P15" i="5"/>
  <c r="N15" i="5"/>
  <c r="L15" i="5"/>
  <c r="J15" i="5"/>
  <c r="H15" i="5"/>
  <c r="D15" i="5"/>
  <c r="F15" i="5" s="1"/>
  <c r="BF14" i="5"/>
  <c r="BD14" i="5"/>
  <c r="BB14" i="5"/>
  <c r="AZ14" i="5"/>
  <c r="AX14" i="5"/>
  <c r="AV14" i="5"/>
  <c r="AT14" i="5"/>
  <c r="AR14" i="5"/>
  <c r="AP14" i="5"/>
  <c r="AN14" i="5"/>
  <c r="AL14" i="5"/>
  <c r="AJ14" i="5"/>
  <c r="AH14" i="5"/>
  <c r="AF14" i="5"/>
  <c r="AD14" i="5"/>
  <c r="AB14" i="5"/>
  <c r="Z14" i="5"/>
  <c r="X14" i="5"/>
  <c r="V14" i="5"/>
  <c r="T14" i="5"/>
  <c r="R14" i="5"/>
  <c r="P14" i="5"/>
  <c r="N14" i="5"/>
  <c r="L14" i="5"/>
  <c r="J14" i="5"/>
  <c r="H14" i="5"/>
  <c r="D14" i="5"/>
  <c r="E14" i="5" s="1"/>
  <c r="BF13" i="5"/>
  <c r="BD13" i="5"/>
  <c r="BB13" i="5"/>
  <c r="AZ13" i="5"/>
  <c r="AX13" i="5"/>
  <c r="AV13" i="5"/>
  <c r="AT13" i="5"/>
  <c r="AR13" i="5"/>
  <c r="AP13" i="5"/>
  <c r="AN13" i="5"/>
  <c r="AL13" i="5"/>
  <c r="AJ13" i="5"/>
  <c r="AH13" i="5"/>
  <c r="AF13" i="5"/>
  <c r="AD13" i="5"/>
  <c r="AB13" i="5"/>
  <c r="Z13" i="5"/>
  <c r="X13" i="5"/>
  <c r="V13" i="5"/>
  <c r="T13" i="5"/>
  <c r="R13" i="5"/>
  <c r="P13" i="5"/>
  <c r="N13" i="5"/>
  <c r="L13" i="5"/>
  <c r="J13" i="5"/>
  <c r="H13" i="5"/>
  <c r="D13" i="5"/>
  <c r="F13" i="5" s="1"/>
  <c r="BF12" i="5"/>
  <c r="BD12" i="5"/>
  <c r="BB12" i="5"/>
  <c r="AZ12" i="5"/>
  <c r="AX12" i="5"/>
  <c r="AV12" i="5"/>
  <c r="AT12" i="5"/>
  <c r="AR12" i="5"/>
  <c r="AP12" i="5"/>
  <c r="AN12" i="5"/>
  <c r="AL12" i="5"/>
  <c r="AJ12" i="5"/>
  <c r="AH12" i="5"/>
  <c r="AF12" i="5"/>
  <c r="AD12" i="5"/>
  <c r="AB12" i="5"/>
  <c r="Z12" i="5"/>
  <c r="X12" i="5"/>
  <c r="V12" i="5"/>
  <c r="T12" i="5"/>
  <c r="R12" i="5"/>
  <c r="P12" i="5"/>
  <c r="N12" i="5"/>
  <c r="L12" i="5"/>
  <c r="J12" i="5"/>
  <c r="H12" i="5"/>
  <c r="D12" i="5"/>
  <c r="E12" i="5" s="1"/>
  <c r="BF11" i="5"/>
  <c r="BD11" i="5"/>
  <c r="BB11" i="5"/>
  <c r="AZ11" i="5"/>
  <c r="AX11" i="5"/>
  <c r="AV11" i="5"/>
  <c r="AT11" i="5"/>
  <c r="AR11" i="5"/>
  <c r="AP11" i="5"/>
  <c r="AN11" i="5"/>
  <c r="AL11" i="5"/>
  <c r="AJ11" i="5"/>
  <c r="AH11" i="5"/>
  <c r="AF11" i="5"/>
  <c r="AD11" i="5"/>
  <c r="AB11" i="5"/>
  <c r="Z11" i="5"/>
  <c r="X11" i="5"/>
  <c r="V11" i="5"/>
  <c r="T11" i="5"/>
  <c r="R11" i="5"/>
  <c r="P11" i="5"/>
  <c r="N11" i="5"/>
  <c r="L11" i="5"/>
  <c r="J11" i="5"/>
  <c r="H11" i="5"/>
  <c r="D11" i="5"/>
  <c r="F11" i="5" s="1"/>
  <c r="BF10" i="5"/>
  <c r="BD10" i="5"/>
  <c r="BB10" i="5"/>
  <c r="AZ10" i="5"/>
  <c r="AX10" i="5"/>
  <c r="AV10" i="5"/>
  <c r="AT10" i="5"/>
  <c r="AR10" i="5"/>
  <c r="AP10" i="5"/>
  <c r="AN10" i="5"/>
  <c r="AL10" i="5"/>
  <c r="AJ10" i="5"/>
  <c r="AH10" i="5"/>
  <c r="AF10" i="5"/>
  <c r="AD10" i="5"/>
  <c r="AB10" i="5"/>
  <c r="Z10" i="5"/>
  <c r="X10" i="5"/>
  <c r="T10" i="5"/>
  <c r="R10" i="5"/>
  <c r="P10" i="5"/>
  <c r="N10" i="5"/>
  <c r="L10" i="5"/>
  <c r="J10" i="5"/>
  <c r="H10" i="5"/>
  <c r="D10" i="5"/>
  <c r="E10" i="5" s="1"/>
  <c r="BF9" i="5"/>
  <c r="BD9" i="5"/>
  <c r="BB9" i="5"/>
  <c r="AZ9" i="5"/>
  <c r="AX9" i="5"/>
  <c r="AV9" i="5"/>
  <c r="AT9" i="5"/>
  <c r="AR9" i="5"/>
  <c r="AP9" i="5"/>
  <c r="AN9" i="5"/>
  <c r="AL9" i="5"/>
  <c r="AJ9" i="5"/>
  <c r="AH9" i="5"/>
  <c r="AF9" i="5"/>
  <c r="AD9" i="5"/>
  <c r="AB9" i="5"/>
  <c r="Z9" i="5"/>
  <c r="X9" i="5"/>
  <c r="T9" i="5"/>
  <c r="R9" i="5"/>
  <c r="P9" i="5"/>
  <c r="N9" i="5"/>
  <c r="L9" i="5"/>
  <c r="J9" i="5"/>
  <c r="H9" i="5"/>
  <c r="D9" i="5"/>
  <c r="F9" i="5" s="1"/>
  <c r="BI9" i="5" s="1"/>
  <c r="P36" i="4"/>
  <c r="L36" i="4"/>
  <c r="M36" i="4" s="1"/>
  <c r="J36" i="4"/>
  <c r="H36" i="4"/>
  <c r="F36" i="4"/>
  <c r="D36" i="4"/>
  <c r="P35" i="4"/>
  <c r="L35" i="4"/>
  <c r="N35" i="4" s="1"/>
  <c r="S35" i="4" s="1"/>
  <c r="J35" i="4"/>
  <c r="H35" i="4"/>
  <c r="F35" i="4"/>
  <c r="D35" i="4"/>
  <c r="R35" i="4" s="1"/>
  <c r="P34" i="4"/>
  <c r="L34" i="4"/>
  <c r="N34" i="4" s="1"/>
  <c r="J34" i="4"/>
  <c r="H34" i="4"/>
  <c r="F34" i="4"/>
  <c r="D34" i="4"/>
  <c r="P33" i="4"/>
  <c r="L33" i="4"/>
  <c r="N33" i="4" s="1"/>
  <c r="S33" i="4" s="1"/>
  <c r="J33" i="4"/>
  <c r="H33" i="4"/>
  <c r="F33" i="4"/>
  <c r="D33" i="4"/>
  <c r="P32" i="4"/>
  <c r="L32" i="4"/>
  <c r="N32" i="4" s="1"/>
  <c r="S32" i="4" s="1"/>
  <c r="J32" i="4"/>
  <c r="H32" i="4"/>
  <c r="F32" i="4"/>
  <c r="D32" i="4"/>
  <c r="P31" i="4"/>
  <c r="L31" i="4"/>
  <c r="N31" i="4" s="1"/>
  <c r="S31" i="4" s="1"/>
  <c r="J31" i="4"/>
  <c r="H31" i="4"/>
  <c r="F31" i="4"/>
  <c r="D31" i="4"/>
  <c r="P30" i="4"/>
  <c r="L30" i="4"/>
  <c r="N30" i="4" s="1"/>
  <c r="J30" i="4"/>
  <c r="H30" i="4"/>
  <c r="F30" i="4"/>
  <c r="D30" i="4"/>
  <c r="P29" i="4"/>
  <c r="L29" i="4"/>
  <c r="N29" i="4" s="1"/>
  <c r="J29" i="4"/>
  <c r="H29" i="4"/>
  <c r="F29" i="4"/>
  <c r="D29" i="4"/>
  <c r="P28" i="4"/>
  <c r="L28" i="4"/>
  <c r="N28" i="4" s="1"/>
  <c r="S28" i="4" s="1"/>
  <c r="J28" i="4"/>
  <c r="H28" i="4"/>
  <c r="F28" i="4"/>
  <c r="D28" i="4"/>
  <c r="P27" i="4"/>
  <c r="L27" i="4"/>
  <c r="N27" i="4" s="1"/>
  <c r="J27" i="4"/>
  <c r="H27" i="4"/>
  <c r="F27" i="4"/>
  <c r="D27" i="4"/>
  <c r="P26" i="4"/>
  <c r="N26" i="4"/>
  <c r="S26" i="4" s="1"/>
  <c r="L26" i="4"/>
  <c r="M26" i="4" s="1"/>
  <c r="J26" i="4"/>
  <c r="H26" i="4"/>
  <c r="F26" i="4"/>
  <c r="D26" i="4"/>
  <c r="P25" i="4"/>
  <c r="L25" i="4"/>
  <c r="M25" i="4" s="1"/>
  <c r="J25" i="4"/>
  <c r="H25" i="4"/>
  <c r="F25" i="4"/>
  <c r="D25" i="4"/>
  <c r="P24" i="4"/>
  <c r="L24" i="4"/>
  <c r="N24" i="4" s="1"/>
  <c r="J24" i="4"/>
  <c r="H24" i="4"/>
  <c r="F24" i="4"/>
  <c r="D24" i="4"/>
  <c r="P23" i="4"/>
  <c r="L23" i="4"/>
  <c r="N23" i="4" s="1"/>
  <c r="S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S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S13" i="4" s="1"/>
  <c r="J13" i="4"/>
  <c r="H13" i="4"/>
  <c r="F13" i="4"/>
  <c r="D13" i="4"/>
  <c r="P12" i="4"/>
  <c r="L12" i="4"/>
  <c r="N12" i="4" s="1"/>
  <c r="S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P7" i="4"/>
  <c r="L7" i="4"/>
  <c r="N7" i="4" s="1"/>
  <c r="J7" i="4"/>
  <c r="H7" i="4"/>
  <c r="F7" i="4"/>
  <c r="D7" i="4"/>
  <c r="AI36" i="3"/>
  <c r="AG36" i="3"/>
  <c r="AE36" i="3"/>
  <c r="AC36" i="3"/>
  <c r="AA36" i="3"/>
  <c r="Y36" i="3"/>
  <c r="V36" i="3"/>
  <c r="U36" i="3"/>
  <c r="R36" i="3"/>
  <c r="S36" i="3" s="1"/>
  <c r="O36" i="3"/>
  <c r="P36" i="3" s="1"/>
  <c r="M36" i="3"/>
  <c r="K36" i="3"/>
  <c r="H36" i="3"/>
  <c r="I36" i="3" s="1"/>
  <c r="F36" i="3"/>
  <c r="D36" i="3"/>
  <c r="AI35" i="3"/>
  <c r="AG35" i="3"/>
  <c r="AE35" i="3"/>
  <c r="AC35" i="3"/>
  <c r="AA35" i="3"/>
  <c r="Y35" i="3"/>
  <c r="U35" i="3"/>
  <c r="V35" i="3" s="1"/>
  <c r="R35" i="3"/>
  <c r="S35" i="3" s="1"/>
  <c r="O35" i="3"/>
  <c r="P35" i="3" s="1"/>
  <c r="M35" i="3"/>
  <c r="K35" i="3"/>
  <c r="H35" i="3"/>
  <c r="I35" i="3" s="1"/>
  <c r="F35" i="3"/>
  <c r="D35" i="3"/>
  <c r="AI34" i="3"/>
  <c r="AG34" i="3"/>
  <c r="AE34" i="3"/>
  <c r="AC34" i="3"/>
  <c r="AA34" i="3"/>
  <c r="Y34" i="3"/>
  <c r="U34" i="3"/>
  <c r="V34" i="3" s="1"/>
  <c r="R34" i="3"/>
  <c r="S34" i="3" s="1"/>
  <c r="O34" i="3"/>
  <c r="P34" i="3" s="1"/>
  <c r="M34" i="3"/>
  <c r="K34" i="3"/>
  <c r="H34" i="3"/>
  <c r="I34" i="3" s="1"/>
  <c r="F34" i="3"/>
  <c r="D34" i="3"/>
  <c r="AI33" i="3"/>
  <c r="AG33" i="3"/>
  <c r="AE33" i="3"/>
  <c r="AC33" i="3"/>
  <c r="AA33" i="3"/>
  <c r="Y33" i="3"/>
  <c r="U33" i="3"/>
  <c r="V33" i="3" s="1"/>
  <c r="R33" i="3"/>
  <c r="S33" i="3" s="1"/>
  <c r="O33" i="3"/>
  <c r="P33" i="3" s="1"/>
  <c r="M33" i="3"/>
  <c r="K33" i="3"/>
  <c r="H33" i="3"/>
  <c r="I33" i="3" s="1"/>
  <c r="F33" i="3"/>
  <c r="D33" i="3"/>
  <c r="AI32" i="3"/>
  <c r="AG32" i="3"/>
  <c r="AE32" i="3"/>
  <c r="AC32" i="3"/>
  <c r="AA32" i="3"/>
  <c r="Y32" i="3"/>
  <c r="U32" i="3"/>
  <c r="V32" i="3" s="1"/>
  <c r="R32" i="3"/>
  <c r="S32" i="3" s="1"/>
  <c r="P32" i="3"/>
  <c r="O32" i="3"/>
  <c r="M32" i="3"/>
  <c r="K32" i="3"/>
  <c r="I32" i="3"/>
  <c r="H32" i="3"/>
  <c r="F32" i="3"/>
  <c r="D32" i="3"/>
  <c r="AI31" i="3"/>
  <c r="AG31" i="3"/>
  <c r="AE31" i="3"/>
  <c r="AC31" i="3"/>
  <c r="AA31" i="3"/>
  <c r="Y31" i="3"/>
  <c r="U31" i="3"/>
  <c r="V31" i="3" s="1"/>
  <c r="R31" i="3"/>
  <c r="S31" i="3" s="1"/>
  <c r="O31" i="3"/>
  <c r="P31" i="3" s="1"/>
  <c r="M31" i="3"/>
  <c r="K31" i="3"/>
  <c r="H31" i="3"/>
  <c r="I31" i="3" s="1"/>
  <c r="F31" i="3"/>
  <c r="D31" i="3"/>
  <c r="AI30" i="3"/>
  <c r="AG30" i="3"/>
  <c r="AE30" i="3"/>
  <c r="AC30" i="3"/>
  <c r="AA30" i="3"/>
  <c r="Y30" i="3"/>
  <c r="U30" i="3"/>
  <c r="V30" i="3" s="1"/>
  <c r="R30" i="3"/>
  <c r="S30" i="3" s="1"/>
  <c r="O30" i="3"/>
  <c r="P30" i="3" s="1"/>
  <c r="M30" i="3"/>
  <c r="K30" i="3"/>
  <c r="H30" i="3"/>
  <c r="I30" i="3" s="1"/>
  <c r="F30" i="3"/>
  <c r="D30" i="3"/>
  <c r="AI29" i="3"/>
  <c r="AG29" i="3"/>
  <c r="AE29" i="3"/>
  <c r="AC29" i="3"/>
  <c r="AA29" i="3"/>
  <c r="Y29" i="3"/>
  <c r="U29" i="3"/>
  <c r="V29" i="3" s="1"/>
  <c r="R29" i="3"/>
  <c r="S29" i="3" s="1"/>
  <c r="O29" i="3"/>
  <c r="P29" i="3" s="1"/>
  <c r="M29" i="3"/>
  <c r="K29" i="3"/>
  <c r="H29" i="3"/>
  <c r="I29" i="3" s="1"/>
  <c r="F29" i="3"/>
  <c r="D29" i="3"/>
  <c r="AI28" i="3"/>
  <c r="AG28" i="3"/>
  <c r="AE28" i="3"/>
  <c r="AC28" i="3"/>
  <c r="AA28" i="3"/>
  <c r="Y28" i="3"/>
  <c r="U28" i="3"/>
  <c r="V28" i="3" s="1"/>
  <c r="R28" i="3"/>
  <c r="S28" i="3" s="1"/>
  <c r="O28" i="3"/>
  <c r="P28" i="3" s="1"/>
  <c r="M28" i="3"/>
  <c r="K28" i="3"/>
  <c r="H28" i="3"/>
  <c r="I28" i="3" s="1"/>
  <c r="F28" i="3"/>
  <c r="D28" i="3"/>
  <c r="AI27" i="3"/>
  <c r="AG27" i="3"/>
  <c r="AE27" i="3"/>
  <c r="AC27" i="3"/>
  <c r="AA27" i="3"/>
  <c r="Y27" i="3"/>
  <c r="U27" i="3"/>
  <c r="V27" i="3" s="1"/>
  <c r="R27" i="3"/>
  <c r="S27" i="3" s="1"/>
  <c r="O27" i="3"/>
  <c r="P27" i="3" s="1"/>
  <c r="M27" i="3"/>
  <c r="K27" i="3"/>
  <c r="H27" i="3"/>
  <c r="I27" i="3" s="1"/>
  <c r="F27" i="3"/>
  <c r="D27" i="3"/>
  <c r="AI26" i="3"/>
  <c r="AG26" i="3"/>
  <c r="AE26" i="3"/>
  <c r="AC26" i="3"/>
  <c r="AA26" i="3"/>
  <c r="Y26" i="3"/>
  <c r="U26" i="3"/>
  <c r="V26" i="3" s="1"/>
  <c r="R26" i="3"/>
  <c r="S26" i="3" s="1"/>
  <c r="O26" i="3"/>
  <c r="P26" i="3" s="1"/>
  <c r="M26" i="3"/>
  <c r="K26" i="3"/>
  <c r="H26" i="3"/>
  <c r="I26" i="3" s="1"/>
  <c r="F26" i="3"/>
  <c r="D26" i="3"/>
  <c r="AI25" i="3"/>
  <c r="AG25" i="3"/>
  <c r="AE25" i="3"/>
  <c r="AC25" i="3"/>
  <c r="AA25" i="3"/>
  <c r="Y25" i="3"/>
  <c r="U25" i="3"/>
  <c r="V25" i="3" s="1"/>
  <c r="R25" i="3"/>
  <c r="S25" i="3" s="1"/>
  <c r="O25" i="3"/>
  <c r="P25" i="3" s="1"/>
  <c r="M25" i="3"/>
  <c r="K25" i="3"/>
  <c r="H25" i="3"/>
  <c r="I25" i="3" s="1"/>
  <c r="F25" i="3"/>
  <c r="D25" i="3"/>
  <c r="AI24" i="3"/>
  <c r="AG24" i="3"/>
  <c r="AE24" i="3"/>
  <c r="AC24" i="3"/>
  <c r="AA24" i="3"/>
  <c r="Y24" i="3"/>
  <c r="U24" i="3"/>
  <c r="V24" i="3" s="1"/>
  <c r="R24" i="3"/>
  <c r="S24" i="3" s="1"/>
  <c r="O24" i="3"/>
  <c r="P24" i="3" s="1"/>
  <c r="M24" i="3"/>
  <c r="K24" i="3"/>
  <c r="H24" i="3"/>
  <c r="I24" i="3" s="1"/>
  <c r="F24" i="3"/>
  <c r="D24" i="3"/>
  <c r="AI23" i="3"/>
  <c r="AG23" i="3"/>
  <c r="AE23" i="3"/>
  <c r="AC23" i="3"/>
  <c r="AA23" i="3"/>
  <c r="Y23" i="3"/>
  <c r="U23" i="3"/>
  <c r="V23" i="3" s="1"/>
  <c r="R23" i="3"/>
  <c r="S23" i="3" s="1"/>
  <c r="O23" i="3"/>
  <c r="P23" i="3" s="1"/>
  <c r="M23" i="3"/>
  <c r="K23" i="3"/>
  <c r="H23" i="3"/>
  <c r="I23" i="3" s="1"/>
  <c r="D23" i="3"/>
  <c r="AI22" i="3"/>
  <c r="AG22" i="3"/>
  <c r="AE22" i="3"/>
  <c r="AC22" i="3"/>
  <c r="AA22" i="3"/>
  <c r="Y22" i="3"/>
  <c r="U22" i="3"/>
  <c r="V22" i="3" s="1"/>
  <c r="R22" i="3"/>
  <c r="S22" i="3" s="1"/>
  <c r="O22" i="3"/>
  <c r="P22" i="3" s="1"/>
  <c r="M22" i="3"/>
  <c r="K22" i="3"/>
  <c r="H22" i="3"/>
  <c r="I22" i="3" s="1"/>
  <c r="D22" i="3"/>
  <c r="AI21" i="3"/>
  <c r="AG21" i="3"/>
  <c r="AE21" i="3"/>
  <c r="AC21" i="3"/>
  <c r="AA21" i="3"/>
  <c r="Y21" i="3"/>
  <c r="U21" i="3"/>
  <c r="V21" i="3" s="1"/>
  <c r="R21" i="3"/>
  <c r="S21" i="3" s="1"/>
  <c r="O21" i="3"/>
  <c r="P21" i="3" s="1"/>
  <c r="M21" i="3"/>
  <c r="K21" i="3"/>
  <c r="H21" i="3"/>
  <c r="I21" i="3" s="1"/>
  <c r="F21" i="3"/>
  <c r="D21" i="3"/>
  <c r="AI20" i="3"/>
  <c r="AG20" i="3"/>
  <c r="AE20" i="3"/>
  <c r="AC20" i="3"/>
  <c r="AA20" i="3"/>
  <c r="Y20" i="3"/>
  <c r="U20" i="3"/>
  <c r="V20" i="3" s="1"/>
  <c r="R20" i="3"/>
  <c r="S20" i="3" s="1"/>
  <c r="O20" i="3"/>
  <c r="P20" i="3" s="1"/>
  <c r="M20" i="3"/>
  <c r="K20" i="3"/>
  <c r="H20" i="3"/>
  <c r="I20" i="3" s="1"/>
  <c r="F20" i="3"/>
  <c r="D20" i="3"/>
  <c r="AI19" i="3"/>
  <c r="AG19" i="3"/>
  <c r="AE19" i="3"/>
  <c r="AC19" i="3"/>
  <c r="AA19" i="3"/>
  <c r="Y19" i="3"/>
  <c r="U19" i="3"/>
  <c r="V19" i="3" s="1"/>
  <c r="R19" i="3"/>
  <c r="S19" i="3" s="1"/>
  <c r="O19" i="3"/>
  <c r="P19" i="3" s="1"/>
  <c r="M19" i="3"/>
  <c r="K19" i="3"/>
  <c r="H19" i="3"/>
  <c r="I19" i="3" s="1"/>
  <c r="F19" i="3"/>
  <c r="D19" i="3"/>
  <c r="AI18" i="3"/>
  <c r="AG18" i="3"/>
  <c r="AE18" i="3"/>
  <c r="AC18" i="3"/>
  <c r="AA18" i="3"/>
  <c r="Y18" i="3"/>
  <c r="U18" i="3"/>
  <c r="V18" i="3" s="1"/>
  <c r="R18" i="3"/>
  <c r="S18" i="3" s="1"/>
  <c r="O18" i="3"/>
  <c r="P18" i="3" s="1"/>
  <c r="M18" i="3"/>
  <c r="K18" i="3"/>
  <c r="H18" i="3"/>
  <c r="I18" i="3" s="1"/>
  <c r="F18" i="3"/>
  <c r="D18" i="3"/>
  <c r="AI17" i="3"/>
  <c r="AG17" i="3"/>
  <c r="AE17" i="3"/>
  <c r="AC17" i="3"/>
  <c r="AA17" i="3"/>
  <c r="Y17" i="3"/>
  <c r="U17" i="3"/>
  <c r="V17" i="3" s="1"/>
  <c r="R17" i="3"/>
  <c r="S17" i="3" s="1"/>
  <c r="O17" i="3"/>
  <c r="P17" i="3" s="1"/>
  <c r="M17" i="3"/>
  <c r="K17" i="3"/>
  <c r="H17" i="3"/>
  <c r="I17" i="3" s="1"/>
  <c r="F17" i="3"/>
  <c r="D17" i="3"/>
  <c r="AI16" i="3"/>
  <c r="AG16" i="3"/>
  <c r="AE16" i="3"/>
  <c r="AC16" i="3"/>
  <c r="AA16" i="3"/>
  <c r="Y16" i="3"/>
  <c r="U16" i="3"/>
  <c r="V16" i="3" s="1"/>
  <c r="R16" i="3"/>
  <c r="S16" i="3" s="1"/>
  <c r="O16" i="3"/>
  <c r="P16" i="3" s="1"/>
  <c r="M16" i="3"/>
  <c r="K16" i="3"/>
  <c r="H16" i="3"/>
  <c r="I16" i="3" s="1"/>
  <c r="F16" i="3"/>
  <c r="D16" i="3"/>
  <c r="AI15" i="3"/>
  <c r="AG15" i="3"/>
  <c r="AE15" i="3"/>
  <c r="AC15" i="3"/>
  <c r="AA15" i="3"/>
  <c r="Y15" i="3"/>
  <c r="U15" i="3"/>
  <c r="V15" i="3" s="1"/>
  <c r="R15" i="3"/>
  <c r="S15" i="3" s="1"/>
  <c r="O15" i="3"/>
  <c r="P15" i="3" s="1"/>
  <c r="M15" i="3"/>
  <c r="K15" i="3"/>
  <c r="H15" i="3"/>
  <c r="I15" i="3" s="1"/>
  <c r="F15" i="3"/>
  <c r="D15" i="3"/>
  <c r="AI14" i="3"/>
  <c r="AG14" i="3"/>
  <c r="AE14" i="3"/>
  <c r="AC14" i="3"/>
  <c r="AA14" i="3"/>
  <c r="Y14" i="3"/>
  <c r="U14" i="3"/>
  <c r="V14" i="3" s="1"/>
  <c r="R14" i="3"/>
  <c r="S14" i="3" s="1"/>
  <c r="O14" i="3"/>
  <c r="P14" i="3" s="1"/>
  <c r="M14" i="3"/>
  <c r="K14" i="3"/>
  <c r="H14" i="3"/>
  <c r="I14" i="3" s="1"/>
  <c r="F14" i="3"/>
  <c r="D14" i="3"/>
  <c r="AI13" i="3"/>
  <c r="AG13" i="3"/>
  <c r="AE13" i="3"/>
  <c r="AC13" i="3"/>
  <c r="AA13" i="3"/>
  <c r="Y13" i="3"/>
  <c r="U13" i="3"/>
  <c r="V13" i="3" s="1"/>
  <c r="R13" i="3"/>
  <c r="S13" i="3" s="1"/>
  <c r="O13" i="3"/>
  <c r="P13" i="3" s="1"/>
  <c r="M13" i="3"/>
  <c r="K13" i="3"/>
  <c r="H13" i="3"/>
  <c r="I13" i="3" s="1"/>
  <c r="F13" i="3"/>
  <c r="D13" i="3"/>
  <c r="AI12" i="3"/>
  <c r="AG12" i="3"/>
  <c r="AE12" i="3"/>
  <c r="AC12" i="3"/>
  <c r="AA12" i="3"/>
  <c r="Y12" i="3"/>
  <c r="U12" i="3"/>
  <c r="V12" i="3" s="1"/>
  <c r="R12" i="3"/>
  <c r="S12" i="3" s="1"/>
  <c r="O12" i="3"/>
  <c r="P12" i="3" s="1"/>
  <c r="M12" i="3"/>
  <c r="K12" i="3"/>
  <c r="H12" i="3"/>
  <c r="I12" i="3" s="1"/>
  <c r="F12" i="3"/>
  <c r="D12" i="3"/>
  <c r="AI11" i="3"/>
  <c r="AG11" i="3"/>
  <c r="AE11" i="3"/>
  <c r="AC11" i="3"/>
  <c r="AA11" i="3"/>
  <c r="Y11" i="3"/>
  <c r="U11" i="3"/>
  <c r="V11" i="3" s="1"/>
  <c r="R11" i="3"/>
  <c r="S11" i="3" s="1"/>
  <c r="O11" i="3"/>
  <c r="P11" i="3" s="1"/>
  <c r="M11" i="3"/>
  <c r="K11" i="3"/>
  <c r="H11" i="3"/>
  <c r="I11" i="3" s="1"/>
  <c r="F11" i="3"/>
  <c r="D11" i="3"/>
  <c r="AI10" i="3"/>
  <c r="AG10" i="3"/>
  <c r="AE10" i="3"/>
  <c r="AC10" i="3"/>
  <c r="AA10" i="3"/>
  <c r="Y10" i="3"/>
  <c r="U10" i="3"/>
  <c r="V10" i="3" s="1"/>
  <c r="R10" i="3"/>
  <c r="S10" i="3" s="1"/>
  <c r="O10" i="3"/>
  <c r="P10" i="3" s="1"/>
  <c r="M10" i="3"/>
  <c r="K10" i="3"/>
  <c r="H10" i="3"/>
  <c r="I10" i="3" s="1"/>
  <c r="F10" i="3"/>
  <c r="D10" i="3"/>
  <c r="AI9" i="3"/>
  <c r="AG9" i="3"/>
  <c r="AE9" i="3"/>
  <c r="AC9" i="3"/>
  <c r="AA9" i="3"/>
  <c r="Y9" i="3"/>
  <c r="U9" i="3"/>
  <c r="V9" i="3" s="1"/>
  <c r="R9" i="3"/>
  <c r="S9" i="3" s="1"/>
  <c r="O9" i="3"/>
  <c r="P9" i="3" s="1"/>
  <c r="M9" i="3"/>
  <c r="K9" i="3"/>
  <c r="H9" i="3"/>
  <c r="I9" i="3" s="1"/>
  <c r="F9" i="3"/>
  <c r="D9" i="3"/>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I8" i="3"/>
  <c r="AG8" i="3"/>
  <c r="AE8" i="3"/>
  <c r="AC8" i="3"/>
  <c r="AA8" i="3"/>
  <c r="X8" i="3"/>
  <c r="Y8" i="3" s="1"/>
  <c r="U8" i="3"/>
  <c r="V8" i="3" s="1"/>
  <c r="R8" i="3"/>
  <c r="S8" i="3" s="1"/>
  <c r="P8" i="3"/>
  <c r="O8" i="3"/>
  <c r="M8" i="3"/>
  <c r="K8" i="3"/>
  <c r="H8" i="3"/>
  <c r="I8" i="3" s="1"/>
  <c r="F8" i="3"/>
  <c r="D8" i="3"/>
  <c r="AK15" i="3" l="1"/>
  <c r="M17" i="4"/>
  <c r="M18" i="4"/>
  <c r="N25" i="4"/>
  <c r="S25" i="4" s="1"/>
  <c r="M30" i="4"/>
  <c r="R8" i="4"/>
  <c r="R16" i="4"/>
  <c r="R32" i="4"/>
  <c r="R34" i="4"/>
  <c r="AL8" i="3"/>
  <c r="S7" i="4"/>
  <c r="R22" i="4"/>
  <c r="AK37" i="3"/>
  <c r="AL36" i="3"/>
  <c r="AK36" i="3"/>
  <c r="R36" i="4"/>
  <c r="S34" i="4"/>
  <c r="M33" i="4"/>
  <c r="M34" i="4"/>
  <c r="AL34" i="3"/>
  <c r="R33" i="4"/>
  <c r="AK32" i="3"/>
  <c r="AK33" i="3"/>
  <c r="AL32" i="3"/>
  <c r="S30" i="4"/>
  <c r="R30" i="4"/>
  <c r="R31" i="4"/>
  <c r="R29" i="4"/>
  <c r="AL30" i="3"/>
  <c r="AK29" i="3"/>
  <c r="S29" i="4"/>
  <c r="M29" i="4"/>
  <c r="R28" i="4"/>
  <c r="AL28" i="3"/>
  <c r="AK28" i="3"/>
  <c r="E29" i="5"/>
  <c r="BH29" i="5" s="1"/>
  <c r="S27" i="4"/>
  <c r="R27" i="4"/>
  <c r="R26" i="4"/>
  <c r="R25" i="4"/>
  <c r="F26" i="5"/>
  <c r="BI26" i="5" s="1"/>
  <c r="S24" i="4"/>
  <c r="R23" i="4"/>
  <c r="R24" i="4"/>
  <c r="AL24" i="3"/>
  <c r="M22" i="4"/>
  <c r="S21" i="4"/>
  <c r="S22" i="4"/>
  <c r="AL22" i="3"/>
  <c r="M21" i="4"/>
  <c r="S20" i="4"/>
  <c r="S19" i="4"/>
  <c r="R21" i="4"/>
  <c r="R20" i="4"/>
  <c r="R19" i="4"/>
  <c r="R18" i="4"/>
  <c r="E21" i="5"/>
  <c r="BH21" i="5" s="1"/>
  <c r="E20" i="5"/>
  <c r="BH20" i="5" s="1"/>
  <c r="AL17" i="3"/>
  <c r="AL19" i="3"/>
  <c r="E25" i="5"/>
  <c r="BH25" i="5" s="1"/>
  <c r="F34" i="5"/>
  <c r="BI21" i="5"/>
  <c r="BI35" i="5"/>
  <c r="E36" i="5"/>
  <c r="BH36" i="5" s="1"/>
  <c r="BH22" i="5"/>
  <c r="S17" i="4"/>
  <c r="R17" i="4"/>
  <c r="E9" i="5"/>
  <c r="BH9" i="5" s="1"/>
  <c r="F10" i="5"/>
  <c r="BI10" i="5" s="1"/>
  <c r="F14" i="5"/>
  <c r="F22" i="5"/>
  <c r="BI22" i="5" s="1"/>
  <c r="E33" i="5"/>
  <c r="BH33" i="5" s="1"/>
  <c r="E37" i="5"/>
  <c r="BH37" i="5" s="1"/>
  <c r="BI28" i="5"/>
  <c r="BI34" i="5"/>
  <c r="BI24" i="5"/>
  <c r="BH26" i="5"/>
  <c r="BI27" i="5"/>
  <c r="BI29" i="5"/>
  <c r="F30" i="5"/>
  <c r="BI30" i="5" s="1"/>
  <c r="BH34" i="5"/>
  <c r="BH30" i="5"/>
  <c r="BH18" i="5"/>
  <c r="S15" i="4"/>
  <c r="R15" i="4"/>
  <c r="E17" i="5"/>
  <c r="BH17" i="5" s="1"/>
  <c r="F18" i="5"/>
  <c r="BI18" i="5" s="1"/>
  <c r="BI17" i="5"/>
  <c r="AL14" i="3"/>
  <c r="BI32" i="5"/>
  <c r="BI36" i="5"/>
  <c r="BI38" i="5"/>
  <c r="BI31" i="5"/>
  <c r="BI33" i="5"/>
  <c r="BI37" i="5"/>
  <c r="BI19" i="5"/>
  <c r="BI23" i="5"/>
  <c r="BI25" i="5"/>
  <c r="BI20" i="5"/>
  <c r="BH16" i="5"/>
  <c r="N14" i="4"/>
  <c r="S14" i="4" s="1"/>
  <c r="M13" i="4"/>
  <c r="R14" i="4"/>
  <c r="BI15" i="5"/>
  <c r="R13" i="4"/>
  <c r="BI14" i="5"/>
  <c r="BH14" i="5"/>
  <c r="S11" i="4"/>
  <c r="R12" i="4"/>
  <c r="R11" i="4"/>
  <c r="BI13" i="5"/>
  <c r="E13" i="5"/>
  <c r="BH13" i="5" s="1"/>
  <c r="P37" i="4"/>
  <c r="S10" i="4"/>
  <c r="M10" i="4"/>
  <c r="J37" i="4"/>
  <c r="D37" i="4"/>
  <c r="BI11" i="5"/>
  <c r="BH10" i="5"/>
  <c r="BH12" i="5"/>
  <c r="AL26" i="3"/>
  <c r="AK27" i="3"/>
  <c r="AL27" i="3"/>
  <c r="AL11" i="3"/>
  <c r="AL16" i="3"/>
  <c r="AL18" i="3"/>
  <c r="AK21" i="3"/>
  <c r="AL9" i="3"/>
  <c r="AK9" i="3"/>
  <c r="N9" i="4"/>
  <c r="S9" i="4" s="1"/>
  <c r="F37" i="4"/>
  <c r="R10" i="4"/>
  <c r="R9" i="4"/>
  <c r="H37" i="4"/>
  <c r="E24" i="5"/>
  <c r="BH24" i="5" s="1"/>
  <c r="E28" i="5"/>
  <c r="BH28" i="5" s="1"/>
  <c r="E32" i="5"/>
  <c r="BH32" i="5" s="1"/>
  <c r="E35" i="5"/>
  <c r="BH35" i="5" s="1"/>
  <c r="E11" i="5"/>
  <c r="BH11" i="5" s="1"/>
  <c r="F12" i="5"/>
  <c r="BI12" i="5" s="1"/>
  <c r="E15" i="5"/>
  <c r="BH15" i="5" s="1"/>
  <c r="F16" i="5"/>
  <c r="BI16" i="5" s="1"/>
  <c r="E19" i="5"/>
  <c r="BH19" i="5" s="1"/>
  <c r="E23" i="5"/>
  <c r="BH23" i="5" s="1"/>
  <c r="E27" i="5"/>
  <c r="BH27" i="5" s="1"/>
  <c r="E31" i="5"/>
  <c r="BH31" i="5" s="1"/>
  <c r="E38" i="5"/>
  <c r="BH38" i="5" s="1"/>
  <c r="R7" i="4"/>
  <c r="M12" i="4"/>
  <c r="M20" i="4"/>
  <c r="M24" i="4"/>
  <c r="M28" i="4"/>
  <c r="M32" i="4"/>
  <c r="M7" i="4"/>
  <c r="N8" i="4"/>
  <c r="S8" i="4" s="1"/>
  <c r="M11" i="4"/>
  <c r="M15" i="4"/>
  <c r="N16" i="4"/>
  <c r="S16" i="4" s="1"/>
  <c r="M19" i="4"/>
  <c r="M23" i="4"/>
  <c r="M27" i="4"/>
  <c r="M31" i="4"/>
  <c r="M35" i="4"/>
  <c r="N36" i="4"/>
  <c r="S36" i="4" s="1"/>
  <c r="L37" i="4"/>
  <c r="AK11" i="3"/>
  <c r="AK17" i="3"/>
  <c r="AK13" i="3"/>
  <c r="AK19" i="3"/>
  <c r="AK25" i="3"/>
  <c r="AL25" i="3"/>
  <c r="AL12" i="3"/>
  <c r="AL10" i="3"/>
  <c r="AL15" i="3"/>
  <c r="AL20" i="3"/>
  <c r="AK10" i="3"/>
  <c r="AK12" i="3"/>
  <c r="AL13" i="3"/>
  <c r="AK8" i="3"/>
  <c r="AL31" i="3"/>
  <c r="AL35" i="3"/>
  <c r="AK16" i="3"/>
  <c r="AK18" i="3"/>
  <c r="AK20" i="3"/>
  <c r="AK24" i="3"/>
  <c r="AK30" i="3"/>
  <c r="AK31" i="3"/>
  <c r="AK34" i="3"/>
  <c r="AK35" i="3"/>
  <c r="AK14" i="3"/>
  <c r="AL21" i="3"/>
  <c r="AL23" i="3"/>
  <c r="AK26" i="3"/>
  <c r="AL29" i="3"/>
  <c r="AL33" i="3"/>
  <c r="AL37" i="3"/>
  <c r="H34" i="9" l="1"/>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H32" i="8"/>
  <c r="H33" i="8"/>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H19" i="8"/>
  <c r="J18" i="1" l="1"/>
  <c r="E32" i="1"/>
  <c r="H11" i="8"/>
  <c r="J30" i="1"/>
  <c r="H30" i="8"/>
  <c r="H16" i="8"/>
  <c r="H8" i="8"/>
  <c r="H4" i="8"/>
  <c r="H12" i="8"/>
  <c r="H13" i="8"/>
  <c r="H7" i="8"/>
  <c r="H15" i="8"/>
  <c r="H10" i="8"/>
  <c r="H18" i="8"/>
  <c r="I31" i="6"/>
  <c r="H25" i="8"/>
  <c r="H29" i="8"/>
  <c r="H27" i="8"/>
  <c r="H26" i="8"/>
  <c r="H28" i="8"/>
  <c r="J31" i="1"/>
  <c r="H21" i="8"/>
  <c r="H22" i="8"/>
  <c r="G31" i="1"/>
  <c r="H31" i="1" s="1"/>
  <c r="G30" i="1"/>
  <c r="H30" i="1" s="1"/>
  <c r="G31" i="6"/>
  <c r="H23" i="8"/>
  <c r="I30" i="6"/>
  <c r="H5" i="8"/>
  <c r="H9" i="8"/>
  <c r="H17" i="8"/>
  <c r="H6" i="8"/>
  <c r="H14" i="8"/>
  <c r="H3" i="8"/>
  <c r="E31" i="1"/>
  <c r="E31" i="6"/>
  <c r="E30" i="6"/>
  <c r="E30" i="1"/>
  <c r="J23" i="1" l="1"/>
  <c r="H24" i="8"/>
  <c r="J19" i="1"/>
  <c r="H20" i="8"/>
  <c r="G9" i="1"/>
  <c r="H9" i="1" s="1"/>
  <c r="K10" i="8"/>
  <c r="G18" i="1"/>
  <c r="H18" i="1" s="1"/>
  <c r="K19" i="8"/>
  <c r="G5" i="6"/>
  <c r="G23" i="1"/>
  <c r="H23" i="1" s="1"/>
  <c r="K24" i="8"/>
  <c r="G22" i="1"/>
  <c r="H22" i="1" s="1"/>
  <c r="K23" i="8"/>
  <c r="G14" i="1"/>
  <c r="H14" i="1" s="1"/>
  <c r="K15" i="8"/>
  <c r="G25" i="6"/>
  <c r="G17" i="6"/>
  <c r="G9" i="6"/>
  <c r="G19" i="1"/>
  <c r="H19" i="1" s="1"/>
  <c r="K20" i="8"/>
  <c r="G20" i="1"/>
  <c r="H20" i="1" s="1"/>
  <c r="K21" i="8"/>
  <c r="G7" i="1"/>
  <c r="H7" i="1" s="1"/>
  <c r="K8" i="8"/>
  <c r="G21" i="6"/>
  <c r="G20" i="6"/>
  <c r="G4" i="6"/>
  <c r="G25" i="1"/>
  <c r="H25" i="1" s="1"/>
  <c r="K26" i="8"/>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4" i="1"/>
  <c r="H24" i="1" s="1"/>
  <c r="K25" i="8"/>
  <c r="G21" i="1"/>
  <c r="H21" i="1" s="1"/>
  <c r="K22" i="8"/>
  <c r="G6" i="6"/>
  <c r="G14" i="6"/>
  <c r="G3" i="1"/>
  <c r="H3" i="1" s="1"/>
  <c r="K4" i="8"/>
  <c r="G16" i="1"/>
  <c r="H16" i="1" s="1"/>
  <c r="K17" i="8"/>
  <c r="G15" i="6"/>
  <c r="G15" i="1"/>
  <c r="H15" i="1" s="1"/>
  <c r="K16" i="8"/>
  <c r="G18" i="6"/>
  <c r="G10" i="6"/>
  <c r="G17" i="1"/>
  <c r="H17" i="1" s="1"/>
  <c r="K18" i="8"/>
  <c r="G19" i="6"/>
  <c r="G3" i="6"/>
  <c r="G24" i="6"/>
  <c r="G16" i="6"/>
  <c r="G8" i="6"/>
  <c r="G26" i="1"/>
  <c r="H26" i="1" s="1"/>
  <c r="K27" i="8"/>
  <c r="G27" i="1"/>
  <c r="H27" i="1" s="1"/>
  <c r="K28" i="8"/>
  <c r="G28" i="1"/>
  <c r="H28" i="1" s="1"/>
  <c r="K29" i="8"/>
  <c r="G29" i="1"/>
  <c r="H29" i="1" s="1"/>
  <c r="K30" i="8"/>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E19" i="1"/>
  <c r="E20" i="8"/>
  <c r="E21" i="1"/>
  <c r="E22" i="8"/>
  <c r="E20" i="1"/>
  <c r="E21" i="8"/>
  <c r="G21" i="8" s="1"/>
  <c r="E20" i="10" s="1"/>
  <c r="E9" i="1"/>
  <c r="E10" i="8"/>
  <c r="G10" i="8" s="1"/>
  <c r="E9" i="10" s="1"/>
  <c r="E23" i="1"/>
  <c r="E24" i="8"/>
  <c r="E15" i="1"/>
  <c r="E16" i="8"/>
  <c r="E4" i="1"/>
  <c r="E5" i="8"/>
  <c r="G5" i="8" s="1"/>
  <c r="E4" i="10" s="1"/>
  <c r="E24" i="1"/>
  <c r="E25" i="8"/>
  <c r="G25" i="8" s="1"/>
  <c r="E24" i="10" s="1"/>
  <c r="E22" i="1"/>
  <c r="E23" i="8"/>
  <c r="E12" i="1"/>
  <c r="E13" i="8"/>
  <c r="G13" i="8" s="1"/>
  <c r="E12" i="10" s="1"/>
  <c r="E18" i="1"/>
  <c r="E19" i="8"/>
  <c r="E25" i="1"/>
  <c r="E26" i="8"/>
  <c r="G26" i="8" s="1"/>
  <c r="E25" i="10" s="1"/>
  <c r="E3" i="1"/>
  <c r="E4" i="8"/>
  <c r="E28" i="1"/>
  <c r="E29" i="8"/>
  <c r="E11" i="1"/>
  <c r="E12" i="8"/>
  <c r="E13" i="1"/>
  <c r="E14" i="8"/>
  <c r="E26" i="1"/>
  <c r="E27" i="8"/>
  <c r="E14" i="1"/>
  <c r="E15" i="8"/>
  <c r="E7" i="1"/>
  <c r="E8" i="8"/>
  <c r="G8" i="8" s="1"/>
  <c r="E7" i="10" s="1"/>
  <c r="E5" i="1"/>
  <c r="E6" i="8"/>
  <c r="E29" i="1"/>
  <c r="E30" i="8"/>
  <c r="E6" i="1"/>
  <c r="E7" i="8"/>
  <c r="E8" i="1"/>
  <c r="E9" i="8"/>
  <c r="G9" i="8" s="1"/>
  <c r="E8" i="10" s="1"/>
  <c r="E27" i="1"/>
  <c r="E28" i="8"/>
  <c r="G28" i="8" s="1"/>
  <c r="E27" i="10" s="1"/>
  <c r="E2" i="6"/>
  <c r="E2" i="1"/>
  <c r="E3" i="8"/>
  <c r="G15" i="8" l="1"/>
  <c r="E14" i="10" s="1"/>
  <c r="G27" i="8"/>
  <c r="E26" i="10" s="1"/>
  <c r="G12" i="8"/>
  <c r="E11" i="10" s="1"/>
  <c r="G19" i="8"/>
  <c r="E18" i="10" s="1"/>
  <c r="G30" i="8"/>
  <c r="E29" i="10" s="1"/>
  <c r="G11" i="8"/>
  <c r="E10"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24" i="8"/>
  <c r="E23" i="10" s="1"/>
  <c r="G20" i="8"/>
  <c r="E19" i="10" s="1"/>
  <c r="G30" i="6"/>
  <c r="G29" i="6" l="1"/>
  <c r="M30" i="8"/>
  <c r="G29" i="10" s="1"/>
  <c r="G28" i="6"/>
  <c r="M29" i="8"/>
  <c r="G28" i="10" s="1"/>
  <c r="F22" i="3" l="1"/>
  <c r="AK22" i="3"/>
  <c r="E16" i="1" s="1"/>
  <c r="F23" i="3"/>
  <c r="AK23" i="3" s="1"/>
  <c r="E17" i="1" s="1"/>
  <c r="E18" i="8" l="1"/>
  <c r="G18" i="8" s="1"/>
  <c r="E17" i="10" s="1"/>
  <c r="E17" i="8"/>
  <c r="G17" i="8" s="1"/>
  <c r="E16" i="10" s="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<sst xmlns="http://schemas.openxmlformats.org/spreadsheetml/2006/main" count="1420" uniqueCount="404">
  <si>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</si>
  <si>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</si>
  <si>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</si>
  <si>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</si>
  <si>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</si>
  <si>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</si>
  <si>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</si>
  <si>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</si>
  <si>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</si>
  <si>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</si>
  <si>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</si>
  <si>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</si>
  <si>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</si>
  <si>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</si>
  <si>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</si>
  <si>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</si>
  <si>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</si>
  <si>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</si>
  <si>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</si>
  <si>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</si>
  <si>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</si>
  <si>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</si>
  <si>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</si>
  <si>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</si>
  <si>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</si>
  <si>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</si>
  <si>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</si>
  <si>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</si>
  <si>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</si>
  <si>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</si>
  <si>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</si>
  <si>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</si>
  <si>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</si>
  <si>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</si>
  <si>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</si>
  <si>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</si>
  <si>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</si>
  <si>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</si>
  <si>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</si>
  <si>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</si>
  <si>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</si>
  <si>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</si>
  <si>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</si>
  <si>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</si>
  <si>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</si>
  <si>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</si>
  <si>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</si>
  <si>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</si>
  <si>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</si>
  <si>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</si>
  <si>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</si>
  <si>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</si>
  <si>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</si>
  <si>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</si>
  <si>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</si>
  <si>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</si>
  <si>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</si>
  <si>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</si>
  <si>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</si>
  <si>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</si>
  <si>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</si>
  <si>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</si>
  <si>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</si>
  <si>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</si>
  <si>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</si>
  <si>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</si>
  <si>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</si>
  <si>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</si>
  <si>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</si>
  <si>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</si>
  <si>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</si>
  <si>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</si>
  <si>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</si>
  <si>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</si>
  <si>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</si>
  <si>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</si>
  <si>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</si>
  <si>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</si>
  <si>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</si>
  <si>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</si>
  <si>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</si>
  <si>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</si>
  <si>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</si>
  <si>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</si>
  <si>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</si>
  <si>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</si>
  <si>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</si>
  <si>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</si>
  <si>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</si>
  <si>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</si>
  <si>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</si>
  <si>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</si>
  <si>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</si>
  <si>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</si>
  <si>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</si>
  <si>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</si>
  <si>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</si>
  <si>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</si>
  <si>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</si>
  <si>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</si>
  <si>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</si>
  <si>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</si>
  <si>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</si>
  <si>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</si>
  <si>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</si>
  <si>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</si>
  <si>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</si>
  <si>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</si>
  <si>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</si>
  <si>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</si>
  <si>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</si>
  <si>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</si>
  <si>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</si>
  <si>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</si>
  <si>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</si>
  <si>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</si>
  <si>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</si>
  <si>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</si>
  <si>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</si>
  <si>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</si>
  <si>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</si>
  <si>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</si>
  <si>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</si>
  <si>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</si>
  <si>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</si>
  <si>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</si>
  <si>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</si>
  <si>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</si>
  <si>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</si>
  <si>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</si>
  <si>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</si>
  <si>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</si>
  <si>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</si>
  <si>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</si>
  <si>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</si>
  <si>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</si>
  <si>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</si>
  <si>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</si>
  <si>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</si>
  <si>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</si>
  <si>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</si>
  <si>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</si>
  <si>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</si>
  <si>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</si>
  <si>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</si>
  <si>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</si>
  <si>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</si>
  <si>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</si>
  <si>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</si>
  <si>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</si>
  <si>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</si>
  <si>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</si>
  <si>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</si>
  <si>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</si>
  <si>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</si>
  <si>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</si>
  <si>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</si>
  <si>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</si>
  <si>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</si>
  <si>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</si>
  <si>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</si>
  <si>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</si>
  <si>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</si>
  <si>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</si>
  <si>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</si>
  <si>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</si>
  <si>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</si>
  <si>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</si>
  <si>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</si>
  <si>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</si>
  <si>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</si>
  <si>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</si>
  <si>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</si>
  <si>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</si>
  <si>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</si>
  <si>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</si>
  <si>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</si>
  <si>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</si>
  <si>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</si>
  <si>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</si>
  <si>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</si>
  <si>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</si>
  <si>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</si>
  <si>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</si>
  <si>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</si>
  <si>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</si>
  <si>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</si>
  <si>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</si>
  <si>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</si>
  <si>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</si>
  <si>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</si>
  <si>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</si>
  <si>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</si>
  <si>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</si>
  <si>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</si>
  <si>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</si>
  <si>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</si>
  <si>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</si>
  <si>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</si>
  <si>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</si>
  <si>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</si>
  <si>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</si>
  <si>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</si>
  <si>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</si>
  <si>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</si>
  <si>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</si>
  <si>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</si>
  <si>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</si>
  <si>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</si>
  <si>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</si>
  <si>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</si>
  <si>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</si>
  <si>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</si>
  <si>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</si>
  <si>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</si>
  <si>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</si>
  <si>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</si>
  <si>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</si>
  <si>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</si>
  <si>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</si>
  <si>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</si>
  <si>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</si>
  <si>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</si>
  <si>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</si>
  <si>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</si>
  <si>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</si>
  <si>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</si>
  <si>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</si>
  <si>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</si>
  <si>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</si>
  <si>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</si>
  <si>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</si>
  <si>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</si>
  <si>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</si>
  <si>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</si>
  <si>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</si>
  <si>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</si>
  <si>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</si>
  <si>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</si>
  <si>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</si>
  <si>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</si>
  <si>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</si>
  <si>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</si>
  <si>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</si>
  <si>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</si>
  <si>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</si>
  <si>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</si>
  <si>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</si>
  <si>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</si>
  <si>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</si>
  <si>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</si>
  <si>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</si>
  <si>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</si>
  <si>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</si>
  <si>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</si>
  <si>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</si>
  <si>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</si>
  <si>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</si>
  <si>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</si>
  <si>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</si>
  <si>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</si>
  <si>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</si>
  <si>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</si>
  <si>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</si>
  <si>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</si>
  <si>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</si>
  <si>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</si>
  <si>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</si>
  <si>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</si>
  <si>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</si>
  <si>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</si>
  <si>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</si>
  <si>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</si>
  <si>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</si>
  <si>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</si>
  <si>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</si>
  <si>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</si>
  <si>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</si>
  <si>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</si>
  <si>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</si>
  <si>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</si>
  <si>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</si>
  <si>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</si>
  <si>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</si>
  <si>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</si>
  <si>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</si>
  <si>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</si>
  <si>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</si>
  <si>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</si>
  <si>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</si>
  <si>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</si>
  <si>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</si>
  <si>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</si>
  <si>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</si>
  <si>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</si>
  <si>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</si>
  <si>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</si>
  <si>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</si>
  <si>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</si>
  <si>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</si>
  <si>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</si>
  <si>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</si>
  <si>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</si>
  <si>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</si>
  <si>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</si>
  <si>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</si>
  <si>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</si>
  <si>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</si>
  <si>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</si>
  <si>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</si>
  <si>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</si>
  <si>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</si>
  <si>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</si>
  <si>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</si>
  <si>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</si>
  <si>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</si>
  <si>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</si>
  <si>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</si>
  <si>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</si>
  <si>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</si>
  <si>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</si>
  <si>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</si>
  <si>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</si>
  <si>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</si>
  <si>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</si>
  <si>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</si>
  <si>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</si>
  <si>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</si>
  <si>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</si>
  <si>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</si>
  <si>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</si>
  <si>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</si>
  <si>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</si>
  <si>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</si>
  <si>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</si>
  <si>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</si>
  <si>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</si>
  <si>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</si>
  <si>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</si>
  <si>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</si>
  <si>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</si>
  <si>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</si>
  <si>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</si>
  <si>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</si>
  <si>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</si>
  <si>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</si>
  <si>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</si>
  <si>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</si>
  <si>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</si>
  <si>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</si>
  <si>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</si>
  <si>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</si>
  <si>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</si>
  <si>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</si>
  <si>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</si>
  <si>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</si>
  <si>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</si>
  <si>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</si>
  <si>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</si>
  <si>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</si>
  <si>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</si>
  <si>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</si>
  <si>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</si>
  <si>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</si>
  <si>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</si>
  <si>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</si>
  <si>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</si>
  <si>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</si>
  <si>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</si>
  <si>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</si>
  <si>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</si>
  <si>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</si>
  <si>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</si>
  <si>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</si>
  <si>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</si>
  <si>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</si>
  <si>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</si>
  <si>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</si>
  <si>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</si>
  <si>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</si>
  <si>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</si>
  <si>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</si>
  <si>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</si>
  <si>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</si>
  <si>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</si>
  <si>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</si>
  <si>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</si>
  <si>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</si>
  <si>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</si>
  <si>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</si>
  <si>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</si>
  <si>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</si>
  <si>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</si>
  <si>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</si>
  <si>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</si>
  <si>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</si>
  <si>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</si>
  <si>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</si>
  <si>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</si>
  <si>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</si>
  <si>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</si>
  <si>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</si>
  <si>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</si>
  <si>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Apr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</si>
</sst>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0" fillId="6" borderId="43" xfId="0" applyNumberFormat="1" applyFill="1" applyBorder="1" applyAlignment="1">
      <alignment horizontal="center"/>
    </xf>
    <xf numFmtId="1" fontId="0" fillId="6" borderId="2" xfId="0" applyNumberFormat="1" applyFill="1" applyBorder="1" applyAlignment="1">
      <alignment horizontal="center"/>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0" fillId="6" borderId="30" xfId="0" applyFill="1" applyBorder="1" applyAlignment="1" applyProtection="1">
      <alignment horizontal="center"/>
      <protection locked="0"/>
    </xf>
    <xf numFmtId="0" fontId="0" fillId="6" borderId="31" xfId="0" applyFill="1" applyBorder="1" applyAlignment="1" applyProtection="1">
      <alignment horizontal="center"/>
      <protection locked="0"/>
    </xf>
    <xf numFmtId="1" fontId="50" fillId="0" borderId="2" xfId="0" applyNumberFormat="1" applyFont="1" applyBorder="1" applyAlignment="1" applyProtection="1">
      <alignment horizontal="center" vertical="center"/>
      <protection locked="0"/>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7" sqref="G27"/>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2" t="s">
        <v>3</v>
      </c>
      <c r="B1" s="182" t="s">
        <v>4</v>
      </c>
      <c r="C1" s="183" t="s">
        <v>5</v>
      </c>
      <c r="D1" s="182" t="s">
        <v>64</v>
      </c>
      <c r="E1" s="184" t="s">
        <v>395</v>
      </c>
      <c r="F1" s="185" t="s">
        <v>396</v>
      </c>
      <c r="G1" s="184" t="s">
        <v>402</v>
      </c>
      <c r="H1" s="185" t="s">
        <v>397</v>
      </c>
      <c r="I1" s="184" t="s">
        <v>398</v>
      </c>
      <c r="J1" s="186" t="s">
        <v>399</v>
      </c>
      <c r="K1" s="184" t="s">
        <v>400</v>
      </c>
      <c r="L1" s="184" t="s">
        <v>63</v>
      </c>
    </row>
    <row r="2" spans="1:12">
      <c r="A2" s="187" t="s">
        <v>401</v>
      </c>
      <c r="B2" s="188">
        <v>1</v>
      </c>
      <c r="C2" s="189">
        <v>4</v>
      </c>
      <c r="D2" s="188">
        <v>2022</v>
      </c>
      <c r="E2" s="117">
        <f>Combine!G3</f>
        <v>31500</v>
      </c>
      <c r="F2" s="190">
        <v>1.517123857001059</v>
      </c>
      <c r="G2" s="117">
        <f>Combine!M3</f>
        <v>2337.9642579642577</v>
      </c>
      <c r="H2" s="191">
        <v>9.4900649956329914</v>
      </c>
      <c r="I2" s="117">
        <f>Combine!J3</f>
        <v>262</v>
      </c>
      <c r="J2" s="190">
        <v>8.1634210712689761</v>
      </c>
      <c r="K2" s="117">
        <f>Combine!N3</f>
        <v>49</v>
      </c>
      <c r="L2" s="117">
        <f>Combine!O3</f>
        <v>98</v>
      </c>
    </row>
    <row r="3" spans="1:12">
      <c r="A3" s="187" t="s">
        <v>401</v>
      </c>
      <c r="B3" s="188">
        <v>2</v>
      </c>
      <c r="C3" s="189">
        <v>4</v>
      </c>
      <c r="D3" s="188">
        <v>2022</v>
      </c>
      <c r="E3" s="117">
        <f>Combine!G4</f>
        <v>29270</v>
      </c>
      <c r="F3" s="190">
        <v>1.517123857001059</v>
      </c>
      <c r="G3" s="117">
        <f>Combine!M4</f>
        <v>3013.4986790986791</v>
      </c>
      <c r="H3" s="191">
        <v>9.4900649956329914</v>
      </c>
      <c r="I3" s="117">
        <f>Combine!J4</f>
        <v>307</v>
      </c>
      <c r="J3" s="190">
        <v>8.1634210712689761</v>
      </c>
      <c r="K3" s="117">
        <f>Combine!N4</f>
        <v>95</v>
      </c>
      <c r="L3" s="117">
        <f>Combine!O4</f>
        <v>206</v>
      </c>
    </row>
    <row r="4" spans="1:12">
      <c r="A4" s="187" t="s">
        <v>401</v>
      </c>
      <c r="B4" s="188">
        <v>3</v>
      </c>
      <c r="C4" s="189">
        <v>4</v>
      </c>
      <c r="D4" s="188">
        <v>2022</v>
      </c>
      <c r="E4" s="117">
        <f>Combine!G5</f>
        <v>30495</v>
      </c>
      <c r="F4" s="190">
        <v>1.517123857001059</v>
      </c>
      <c r="G4" s="117">
        <f>Combine!M5</f>
        <v>3365.6354312354306</v>
      </c>
      <c r="H4" s="191">
        <v>9.4900649956329914</v>
      </c>
      <c r="I4" s="117">
        <f>Combine!J5</f>
        <v>334</v>
      </c>
      <c r="J4" s="190">
        <v>8.1634210712689761</v>
      </c>
      <c r="K4" s="117">
        <f>Combine!N5</f>
        <v>62</v>
      </c>
      <c r="L4" s="117">
        <f>Combine!O5</f>
        <v>128</v>
      </c>
    </row>
    <row r="5" spans="1:12">
      <c r="A5" s="187" t="s">
        <v>401</v>
      </c>
      <c r="B5" s="188">
        <v>4</v>
      </c>
      <c r="C5" s="189">
        <v>4</v>
      </c>
      <c r="D5" s="188">
        <v>2022</v>
      </c>
      <c r="E5" s="117">
        <f>Combine!G6</f>
        <v>29315</v>
      </c>
      <c r="F5" s="190">
        <v>1.517123857001059</v>
      </c>
      <c r="G5" s="117">
        <f>Combine!M6</f>
        <v>2764.4717948717953</v>
      </c>
      <c r="H5" s="191">
        <v>9.4900649956329914</v>
      </c>
      <c r="I5" s="117">
        <f>Combine!J6</f>
        <v>340</v>
      </c>
      <c r="J5" s="190">
        <v>8.1634210712689761</v>
      </c>
      <c r="K5" s="117">
        <f>Combine!N6</f>
        <v>95</v>
      </c>
      <c r="L5" s="117">
        <f>Combine!O6</f>
        <v>209</v>
      </c>
    </row>
    <row r="6" spans="1:12">
      <c r="A6" s="187" t="s">
        <v>401</v>
      </c>
      <c r="B6" s="188">
        <v>5</v>
      </c>
      <c r="C6" s="189">
        <v>4</v>
      </c>
      <c r="D6" s="188">
        <v>2022</v>
      </c>
      <c r="E6" s="117">
        <f>Combine!G7</f>
        <v>31725</v>
      </c>
      <c r="F6" s="190">
        <v>1.517123857001059</v>
      </c>
      <c r="G6" s="117">
        <f>Combine!M7</f>
        <v>2616.1926961926961</v>
      </c>
      <c r="H6" s="191">
        <v>9.4900649956329914</v>
      </c>
      <c r="I6" s="117">
        <f>Combine!J7</f>
        <v>307</v>
      </c>
      <c r="J6" s="190">
        <v>8.1634210712689761</v>
      </c>
      <c r="K6" s="117">
        <f>Combine!N7</f>
        <v>56</v>
      </c>
      <c r="L6" s="117">
        <f>Combine!O7</f>
        <v>118</v>
      </c>
    </row>
    <row r="7" spans="1:12">
      <c r="A7" s="187" t="s">
        <v>401</v>
      </c>
      <c r="B7" s="188">
        <v>6</v>
      </c>
      <c r="C7" s="189">
        <v>4</v>
      </c>
      <c r="D7" s="188">
        <v>2022</v>
      </c>
      <c r="E7" s="117">
        <f>Combine!G8</f>
        <v>31035</v>
      </c>
      <c r="F7" s="190">
        <v>1.517123857001059</v>
      </c>
      <c r="G7" s="117">
        <f>Combine!M8</f>
        <v>2442.6418026418023</v>
      </c>
      <c r="H7" s="191">
        <v>9.4900649956329914</v>
      </c>
      <c r="I7" s="117">
        <f>Combine!J8</f>
        <v>351</v>
      </c>
      <c r="J7" s="190">
        <v>8.1634210712689761</v>
      </c>
      <c r="K7" s="117">
        <f>Combine!N8</f>
        <v>46</v>
      </c>
      <c r="L7" s="117">
        <f>Combine!O8</f>
        <v>96</v>
      </c>
    </row>
    <row r="8" spans="1:12">
      <c r="A8" s="187" t="s">
        <v>401</v>
      </c>
      <c r="B8" s="188">
        <v>7</v>
      </c>
      <c r="C8" s="189">
        <v>4</v>
      </c>
      <c r="D8" s="188">
        <v>2022</v>
      </c>
      <c r="E8" s="117">
        <f>Combine!G9</f>
        <v>32125</v>
      </c>
      <c r="F8" s="190">
        <v>1.517123857001059</v>
      </c>
      <c r="G8" s="117">
        <f>Combine!M9</f>
        <v>2454.079254079254</v>
      </c>
      <c r="H8" s="191">
        <v>9.4900649956329914</v>
      </c>
      <c r="I8" s="117">
        <f>Combine!J9</f>
        <v>280</v>
      </c>
      <c r="J8" s="190">
        <v>8.1634210712689761</v>
      </c>
      <c r="K8" s="117">
        <f>Combine!N9</f>
        <v>76</v>
      </c>
      <c r="L8" s="117">
        <f>Combine!O9</f>
        <v>154</v>
      </c>
    </row>
    <row r="9" spans="1:12">
      <c r="A9" s="187" t="s">
        <v>401</v>
      </c>
      <c r="B9" s="188">
        <v>8</v>
      </c>
      <c r="C9" s="189">
        <v>4</v>
      </c>
      <c r="D9" s="188">
        <v>2022</v>
      </c>
      <c r="E9" s="117">
        <f>Combine!G10</f>
        <v>28915</v>
      </c>
      <c r="F9" s="190">
        <v>1.517123857001059</v>
      </c>
      <c r="G9" s="117">
        <f>Combine!M10</f>
        <v>2393.5888111888107</v>
      </c>
      <c r="H9" s="191">
        <v>9.4900649956329914</v>
      </c>
      <c r="I9" s="117">
        <f>Combine!J10</f>
        <v>306</v>
      </c>
      <c r="J9" s="190">
        <v>8.1634210712689761</v>
      </c>
      <c r="K9" s="117">
        <f>Combine!N10</f>
        <v>90</v>
      </c>
      <c r="L9" s="117">
        <f>Combine!O10</f>
        <v>196</v>
      </c>
    </row>
    <row r="10" spans="1:12">
      <c r="A10" s="187" t="s">
        <v>401</v>
      </c>
      <c r="B10" s="188">
        <v>9</v>
      </c>
      <c r="C10" s="189">
        <v>4</v>
      </c>
      <c r="D10" s="188">
        <v>2022</v>
      </c>
      <c r="E10" s="117">
        <f>Combine!G11</f>
        <v>37565</v>
      </c>
      <c r="F10" s="190">
        <v>1.517123857001059</v>
      </c>
      <c r="G10" s="117">
        <f>Combine!M11</f>
        <v>2312.5407925407931</v>
      </c>
      <c r="H10" s="191">
        <v>9.4900649956329914</v>
      </c>
      <c r="I10" s="117">
        <f>Combine!J11</f>
        <v>352</v>
      </c>
      <c r="J10" s="190">
        <v>8.1634210712689761</v>
      </c>
      <c r="K10" s="117">
        <f>Combine!N11</f>
        <v>140</v>
      </c>
      <c r="L10" s="117">
        <f>Combine!O11</f>
        <v>315</v>
      </c>
    </row>
    <row r="11" spans="1:12">
      <c r="A11" s="187" t="s">
        <v>401</v>
      </c>
      <c r="B11" s="188">
        <v>10</v>
      </c>
      <c r="C11" s="189">
        <v>4</v>
      </c>
      <c r="D11" s="188">
        <v>2022</v>
      </c>
      <c r="E11" s="117">
        <f>Combine!G12</f>
        <v>43610</v>
      </c>
      <c r="F11" s="190">
        <v>1.517123857001059</v>
      </c>
      <c r="G11" s="117">
        <f>Combine!M12</f>
        <v>2633.5353535353534</v>
      </c>
      <c r="H11" s="191">
        <v>9.4900649956329914</v>
      </c>
      <c r="I11" s="117">
        <f>Combine!J12</f>
        <v>379</v>
      </c>
      <c r="J11" s="190">
        <v>8.1634210712689761</v>
      </c>
      <c r="K11" s="117">
        <f>Combine!N12</f>
        <v>106</v>
      </c>
      <c r="L11" s="117">
        <f>Combine!O12</f>
        <v>233</v>
      </c>
    </row>
    <row r="12" spans="1:12">
      <c r="A12" s="187" t="s">
        <v>401</v>
      </c>
      <c r="B12" s="188">
        <v>11</v>
      </c>
      <c r="C12" s="189">
        <v>4</v>
      </c>
      <c r="D12" s="188">
        <v>2022</v>
      </c>
      <c r="E12" s="117">
        <f>Combine!G13</f>
        <v>28505</v>
      </c>
      <c r="F12" s="190">
        <v>1.517123857001059</v>
      </c>
      <c r="G12" s="117">
        <f>Combine!M13</f>
        <v>2827.2335664335656</v>
      </c>
      <c r="H12" s="191">
        <v>9.4900649956329914</v>
      </c>
      <c r="I12" s="117">
        <f>Combine!J13</f>
        <v>411</v>
      </c>
      <c r="J12" s="190">
        <v>8.1634210712689761</v>
      </c>
      <c r="K12" s="117">
        <f>Combine!N13</f>
        <v>73</v>
      </c>
      <c r="L12" s="117">
        <f>Combine!O13</f>
        <v>148</v>
      </c>
    </row>
    <row r="13" spans="1:12">
      <c r="A13" s="187" t="s">
        <v>401</v>
      </c>
      <c r="B13" s="188">
        <v>12</v>
      </c>
      <c r="C13" s="189">
        <v>4</v>
      </c>
      <c r="D13" s="188">
        <v>2022</v>
      </c>
      <c r="E13" s="117">
        <f>Combine!G14</f>
        <v>29070</v>
      </c>
      <c r="F13" s="190">
        <v>1.517123857001059</v>
      </c>
      <c r="G13" s="117">
        <f>Combine!M14</f>
        <v>2689.5092463092465</v>
      </c>
      <c r="H13" s="191">
        <v>9.4900649956329914</v>
      </c>
      <c r="I13" s="117">
        <f>Combine!J14</f>
        <v>347</v>
      </c>
      <c r="J13" s="190">
        <v>8.1634210712689761</v>
      </c>
      <c r="K13" s="117">
        <f>Combine!N14</f>
        <v>90</v>
      </c>
      <c r="L13" s="117">
        <f>Combine!O14</f>
        <v>187</v>
      </c>
    </row>
    <row r="14" spans="1:12">
      <c r="A14" s="187" t="s">
        <v>401</v>
      </c>
      <c r="B14" s="188">
        <v>13</v>
      </c>
      <c r="C14" s="189">
        <v>4</v>
      </c>
      <c r="D14" s="188">
        <v>2022</v>
      </c>
      <c r="E14" s="117">
        <f>Combine!G15</f>
        <v>32480</v>
      </c>
      <c r="F14" s="190">
        <v>1.517123857001059</v>
      </c>
      <c r="G14" s="117">
        <f>Combine!M15</f>
        <v>2502.3154623154624</v>
      </c>
      <c r="H14" s="191">
        <v>9.4900649956329914</v>
      </c>
      <c r="I14" s="117">
        <f>Combine!J15</f>
        <v>342</v>
      </c>
      <c r="J14" s="190">
        <v>8.1634210712689761</v>
      </c>
      <c r="K14" s="117">
        <f>Combine!N15</f>
        <v>94</v>
      </c>
      <c r="L14" s="117">
        <f>Combine!O15</f>
        <v>207</v>
      </c>
    </row>
    <row r="15" spans="1:12">
      <c r="A15" s="187" t="s">
        <v>401</v>
      </c>
      <c r="B15" s="188">
        <v>14</v>
      </c>
      <c r="C15" s="189">
        <v>4</v>
      </c>
      <c r="D15" s="188">
        <v>2022</v>
      </c>
      <c r="E15" s="117">
        <f>Combine!G16</f>
        <v>26988.333333333576</v>
      </c>
      <c r="F15" s="190">
        <v>1.517123857001059</v>
      </c>
      <c r="G15" s="117">
        <f>Combine!M16</f>
        <v>2614.2309246309251</v>
      </c>
      <c r="H15" s="191">
        <v>9.4900649956329914</v>
      </c>
      <c r="I15" s="117">
        <f>Combine!J16</f>
        <v>585</v>
      </c>
      <c r="J15" s="190">
        <v>8.1634210712689761</v>
      </c>
      <c r="K15" s="117">
        <f>Combine!N16</f>
        <v>89</v>
      </c>
      <c r="L15" s="117">
        <f>Combine!O16</f>
        <v>193</v>
      </c>
    </row>
    <row r="16" spans="1:12">
      <c r="A16" s="187" t="s">
        <v>401</v>
      </c>
      <c r="B16" s="188">
        <v>15</v>
      </c>
      <c r="C16" s="189">
        <v>4</v>
      </c>
      <c r="D16" s="188">
        <v>2022</v>
      </c>
      <c r="E16" s="117">
        <f>Combine!G17</f>
        <v>29233.333333333576</v>
      </c>
      <c r="F16" s="190">
        <v>1.517123857001059</v>
      </c>
      <c r="G16" s="117">
        <f>Combine!M17</f>
        <v>2830.207303807304</v>
      </c>
      <c r="H16" s="191">
        <v>9.4900649956329914</v>
      </c>
      <c r="I16" s="117">
        <f>Combine!J17</f>
        <v>525.66666666666606</v>
      </c>
      <c r="J16" s="190">
        <v>8.1634210712689761</v>
      </c>
      <c r="K16" s="117">
        <f>Combine!N17</f>
        <v>164</v>
      </c>
      <c r="L16" s="117">
        <f>Combine!O17</f>
        <v>390</v>
      </c>
    </row>
    <row r="17" spans="1:12">
      <c r="A17" s="187" t="s">
        <v>401</v>
      </c>
      <c r="B17" s="188">
        <v>16</v>
      </c>
      <c r="C17" s="189">
        <v>4</v>
      </c>
      <c r="D17" s="188">
        <v>2022</v>
      </c>
      <c r="E17" s="117">
        <f>Combine!G18</f>
        <v>54783.333333332848</v>
      </c>
      <c r="F17" s="190">
        <v>1.517123857001059</v>
      </c>
      <c r="G17" s="117">
        <f>Combine!M18</f>
        <v>2768.1118881118878</v>
      </c>
      <c r="H17" s="191">
        <v>9.4900649956329914</v>
      </c>
      <c r="I17" s="117">
        <f>Combine!J18</f>
        <v>587.49711111111174</v>
      </c>
      <c r="J17" s="190">
        <v>8.1634210712689761</v>
      </c>
      <c r="K17" s="117">
        <f>Combine!N18</f>
        <v>148</v>
      </c>
      <c r="L17" s="117">
        <f>Combine!O18</f>
        <v>350</v>
      </c>
    </row>
    <row r="18" spans="1:12">
      <c r="A18" s="187" t="s">
        <v>401</v>
      </c>
      <c r="B18" s="188">
        <v>17</v>
      </c>
      <c r="C18" s="189">
        <v>4</v>
      </c>
      <c r="D18" s="188">
        <v>2022</v>
      </c>
      <c r="E18" s="117">
        <f>Combine!G19</f>
        <v>33395</v>
      </c>
      <c r="F18" s="190">
        <v>1.517123857001059</v>
      </c>
      <c r="G18" s="117">
        <f>Combine!M19</f>
        <v>2886.1414141414139</v>
      </c>
      <c r="H18" s="191">
        <v>9.4900649956329914</v>
      </c>
      <c r="I18" s="117">
        <f>Combine!J19</f>
        <v>655.8362222222222</v>
      </c>
      <c r="J18" s="190">
        <v>8.1634210712689761</v>
      </c>
      <c r="K18" s="117">
        <f>Combine!N19</f>
        <v>146</v>
      </c>
      <c r="L18" s="117">
        <f>Combine!O19</f>
        <v>356</v>
      </c>
    </row>
    <row r="19" spans="1:12">
      <c r="A19" s="187" t="s">
        <v>401</v>
      </c>
      <c r="B19" s="188">
        <v>18</v>
      </c>
      <c r="C19" s="189">
        <v>4</v>
      </c>
      <c r="D19" s="188">
        <v>2022</v>
      </c>
      <c r="E19" s="117">
        <f>Combine!G20</f>
        <v>33710</v>
      </c>
      <c r="F19" s="190">
        <v>1.517123857001059</v>
      </c>
      <c r="G19" s="117">
        <f>Combine!M20</f>
        <v>2877.2599844599845</v>
      </c>
      <c r="H19" s="191">
        <v>9.4900649956329914</v>
      </c>
      <c r="I19" s="117">
        <f>Combine!J20</f>
        <v>618.15799999999945</v>
      </c>
      <c r="J19" s="190">
        <v>8.1634210712689761</v>
      </c>
      <c r="K19" s="117">
        <f>Combine!N20</f>
        <v>117</v>
      </c>
      <c r="L19" s="117">
        <f>Combine!O20</f>
        <v>243</v>
      </c>
    </row>
    <row r="20" spans="1:12">
      <c r="A20" s="187" t="s">
        <v>401</v>
      </c>
      <c r="B20" s="188">
        <v>19</v>
      </c>
      <c r="C20" s="189">
        <v>4</v>
      </c>
      <c r="D20" s="188">
        <v>2022</v>
      </c>
      <c r="E20" s="117">
        <f>Combine!G21</f>
        <v>32920</v>
      </c>
      <c r="F20" s="190">
        <v>1.517123857001059</v>
      </c>
      <c r="G20" s="117">
        <f>Combine!M21</f>
        <v>2744.1019425019431</v>
      </c>
      <c r="H20" s="191">
        <v>9.4900649956329914</v>
      </c>
      <c r="I20" s="117">
        <f>Combine!J21</f>
        <v>569.44800000000032</v>
      </c>
      <c r="J20" s="190">
        <v>8.1634210712689761</v>
      </c>
      <c r="K20" s="117">
        <f>Combine!N21</f>
        <v>80</v>
      </c>
      <c r="L20" s="117">
        <f>Combine!O21</f>
        <v>171</v>
      </c>
    </row>
    <row r="21" spans="1:12">
      <c r="A21" s="187" t="s">
        <v>401</v>
      </c>
      <c r="B21" s="188">
        <v>20</v>
      </c>
      <c r="C21" s="189">
        <v>4</v>
      </c>
      <c r="D21" s="188">
        <v>2022</v>
      </c>
      <c r="E21" s="117">
        <f>Combine!G22</f>
        <v>34125</v>
      </c>
      <c r="F21" s="190">
        <v>1.517123857001059</v>
      </c>
      <c r="G21" s="117">
        <f>Combine!M22</f>
        <v>2788.7490287490291</v>
      </c>
      <c r="H21" s="191">
        <v>9.4900649956329914</v>
      </c>
      <c r="I21" s="117">
        <f>Combine!J22</f>
        <v>415.78600000000006</v>
      </c>
      <c r="J21" s="190">
        <v>8.1634210712689761</v>
      </c>
      <c r="K21" s="117">
        <f>Combine!N22</f>
        <v>79</v>
      </c>
      <c r="L21" s="117">
        <f>Combine!O22</f>
        <v>164</v>
      </c>
    </row>
    <row r="22" spans="1:12">
      <c r="A22" s="187" t="s">
        <v>401</v>
      </c>
      <c r="B22" s="188">
        <v>21</v>
      </c>
      <c r="C22" s="189">
        <v>4</v>
      </c>
      <c r="D22" s="188">
        <v>2022</v>
      </c>
      <c r="E22" s="117">
        <f>Combine!G23</f>
        <v>36150</v>
      </c>
      <c r="F22" s="190">
        <v>1.517123857001059</v>
      </c>
      <c r="G22" s="117">
        <f>Combine!M23</f>
        <v>2716.1460761460762</v>
      </c>
      <c r="H22" s="191">
        <v>9.4900649956329914</v>
      </c>
      <c r="I22" s="117">
        <f>Combine!J23</f>
        <v>347.53900000000067</v>
      </c>
      <c r="J22" s="190">
        <v>8.1634210712689761</v>
      </c>
      <c r="K22" s="117">
        <f>Combine!N23</f>
        <v>71</v>
      </c>
      <c r="L22" s="117">
        <f>Combine!O23</f>
        <v>143</v>
      </c>
    </row>
    <row r="23" spans="1:12">
      <c r="A23" s="187" t="s">
        <v>401</v>
      </c>
      <c r="B23" s="188">
        <v>22</v>
      </c>
      <c r="C23" s="189">
        <v>4</v>
      </c>
      <c r="D23" s="188">
        <v>2022</v>
      </c>
      <c r="E23" s="117">
        <f>Combine!G24</f>
        <v>38550</v>
      </c>
      <c r="F23" s="190">
        <v>1.517123857001059</v>
      </c>
      <c r="G23" s="117">
        <f>Combine!M24</f>
        <v>2883.983216783216</v>
      </c>
      <c r="H23" s="191">
        <v>9.4900649956329914</v>
      </c>
      <c r="I23" s="117">
        <f>Combine!J24</f>
        <v>366.36340000000018</v>
      </c>
      <c r="J23" s="190">
        <v>8.1634210712689761</v>
      </c>
      <c r="K23" s="117">
        <f>Combine!N24</f>
        <v>104</v>
      </c>
      <c r="L23" s="117">
        <f>Combine!O24</f>
        <v>226</v>
      </c>
    </row>
    <row r="24" spans="1:12">
      <c r="A24" s="187" t="s">
        <v>401</v>
      </c>
      <c r="B24" s="188">
        <v>23</v>
      </c>
      <c r="C24" s="189">
        <v>4</v>
      </c>
      <c r="D24" s="188">
        <v>2022</v>
      </c>
      <c r="E24" s="117">
        <f>Combine!G25</f>
        <v>39505</v>
      </c>
      <c r="F24" s="190">
        <v>1.517123857001059</v>
      </c>
      <c r="G24" s="117">
        <f>Combine!M25</f>
        <v>2854.0158508158515</v>
      </c>
      <c r="H24" s="191">
        <v>9.4900649956329914</v>
      </c>
      <c r="I24" s="117">
        <f>Combine!J25</f>
        <v>391.70559999999932</v>
      </c>
      <c r="J24" s="190">
        <v>8.1634210712689761</v>
      </c>
      <c r="K24" s="117">
        <f>Combine!N25</f>
        <v>126</v>
      </c>
      <c r="L24" s="117">
        <f>Combine!O25</f>
        <v>283</v>
      </c>
    </row>
    <row r="25" spans="1:12">
      <c r="A25" s="187" t="s">
        <v>401</v>
      </c>
      <c r="B25" s="188">
        <v>24</v>
      </c>
      <c r="C25" s="189">
        <v>4</v>
      </c>
      <c r="D25" s="188">
        <v>2022</v>
      </c>
      <c r="E25" s="117">
        <f>Combine!G26</f>
        <v>43045</v>
      </c>
      <c r="F25" s="190">
        <v>1.517123857001059</v>
      </c>
      <c r="G25" s="117">
        <f>Combine!M26</f>
        <v>2923.3976689976694</v>
      </c>
      <c r="H25" s="191">
        <v>9.4900649956329914</v>
      </c>
      <c r="I25" s="117">
        <f>Combine!J26</f>
        <v>438</v>
      </c>
      <c r="J25" s="190">
        <v>8.1634210712689761</v>
      </c>
      <c r="K25" s="117">
        <f>Combine!N26</f>
        <v>103</v>
      </c>
      <c r="L25" s="117">
        <f>Combine!O26</f>
        <v>209</v>
      </c>
    </row>
    <row r="26" spans="1:12">
      <c r="A26" s="187" t="s">
        <v>401</v>
      </c>
      <c r="B26" s="188">
        <v>25</v>
      </c>
      <c r="C26" s="189">
        <v>4</v>
      </c>
      <c r="D26" s="188">
        <v>2022</v>
      </c>
      <c r="E26" s="117">
        <f>Combine!G27</f>
        <v>39810</v>
      </c>
      <c r="F26" s="190">
        <v>1.517123857001059</v>
      </c>
      <c r="G26" s="117">
        <f>Combine!M27</f>
        <v>2748.9181041181037</v>
      </c>
      <c r="H26" s="191">
        <v>9.4900649956329914</v>
      </c>
      <c r="I26" s="117">
        <f>Combine!J27</f>
        <v>428</v>
      </c>
      <c r="J26" s="190">
        <v>8.1634210712689761</v>
      </c>
      <c r="K26" s="117">
        <f>Combine!N27</f>
        <v>55</v>
      </c>
      <c r="L26" s="117">
        <f>Combine!O27</f>
        <v>111</v>
      </c>
    </row>
    <row r="27" spans="1:12">
      <c r="A27" s="187" t="s">
        <v>401</v>
      </c>
      <c r="B27" s="188">
        <v>26</v>
      </c>
      <c r="C27" s="189">
        <v>4</v>
      </c>
      <c r="D27" s="188">
        <v>2022</v>
      </c>
      <c r="E27" s="117">
        <f>Combine!G28</f>
        <v>42470</v>
      </c>
      <c r="F27" s="190">
        <v>1.517123857001059</v>
      </c>
      <c r="G27" s="117">
        <f>Combine!M28</f>
        <v>2788.7552447552443</v>
      </c>
      <c r="H27" s="191">
        <v>9.4900649956329914</v>
      </c>
      <c r="I27" s="117">
        <f>Combine!J28</f>
        <v>355</v>
      </c>
      <c r="J27" s="190">
        <v>8.1634210712689761</v>
      </c>
      <c r="K27" s="117">
        <f>Combine!N28</f>
        <v>64</v>
      </c>
      <c r="L27" s="117">
        <f>Combine!O28</f>
        <v>131</v>
      </c>
    </row>
    <row r="28" spans="1:12">
      <c r="A28" s="187" t="s">
        <v>401</v>
      </c>
      <c r="B28" s="188">
        <v>27</v>
      </c>
      <c r="C28" s="189">
        <v>4</v>
      </c>
      <c r="D28" s="188">
        <v>2022</v>
      </c>
      <c r="E28" s="117">
        <f>Combine!G29</f>
        <v>41810</v>
      </c>
      <c r="F28" s="190">
        <v>1.517123857001059</v>
      </c>
      <c r="G28" s="117">
        <f>Combine!M29</f>
        <v>2739.5182595182591</v>
      </c>
      <c r="H28" s="191">
        <v>9.4900649956329914</v>
      </c>
      <c r="I28" s="117">
        <f>Combine!J29</f>
        <v>366</v>
      </c>
      <c r="J28" s="190">
        <v>8.1634210712689761</v>
      </c>
      <c r="K28" s="117">
        <f>Combine!N29</f>
        <v>63</v>
      </c>
      <c r="L28" s="117">
        <f>Combine!O29</f>
        <v>122</v>
      </c>
    </row>
    <row r="29" spans="1:12">
      <c r="A29" s="187" t="s">
        <v>401</v>
      </c>
      <c r="B29" s="188">
        <v>28</v>
      </c>
      <c r="C29" s="189">
        <v>4</v>
      </c>
      <c r="D29" s="188">
        <v>2022</v>
      </c>
      <c r="E29" s="117">
        <f>Combine!G30</f>
        <v>40265</v>
      </c>
      <c r="F29" s="190">
        <v>1.517123857001059</v>
      </c>
      <c r="G29" s="117">
        <f>Combine!M30</f>
        <v>2779.5493395493395</v>
      </c>
      <c r="H29" s="191">
        <v>9.4900649956329914</v>
      </c>
      <c r="I29" s="117">
        <f>Combine!J30</f>
        <v>371</v>
      </c>
      <c r="J29" s="190">
        <v>8.1634210712689761</v>
      </c>
      <c r="K29" s="117">
        <f>Combine!N30</f>
        <v>92</v>
      </c>
      <c r="L29" s="117">
        <f>Combine!O30</f>
        <v>185</v>
      </c>
    </row>
    <row r="30" spans="1:12">
      <c r="A30" s="187" t="s">
        <v>401</v>
      </c>
      <c r="B30" s="188">
        <v>29</v>
      </c>
      <c r="C30" s="189">
        <v>4</v>
      </c>
      <c r="D30" s="188">
        <v>2022</v>
      </c>
      <c r="E30" s="117">
        <f>Combine!G31</f>
        <v>46015</v>
      </c>
      <c r="F30" s="190">
        <v>1.517123857001059</v>
      </c>
      <c r="G30" s="117">
        <f>Combine!M31</f>
        <v>2626.1383061383062</v>
      </c>
      <c r="H30" s="191">
        <v>9.4900649956329914</v>
      </c>
      <c r="I30" s="117">
        <f>Combine!J31</f>
        <v>380</v>
      </c>
      <c r="J30" s="190">
        <v>8.1634210712689761</v>
      </c>
      <c r="K30" s="117">
        <f>Combine!N31</f>
        <v>143</v>
      </c>
      <c r="L30" s="117">
        <f>Combine!O31</f>
        <v>293</v>
      </c>
    </row>
    <row r="31" spans="1:12">
      <c r="A31" s="187" t="s">
        <v>401</v>
      </c>
      <c r="B31" s="188">
        <v>30</v>
      </c>
      <c r="C31" s="189">
        <v>4</v>
      </c>
      <c r="D31" s="188">
        <v>2022</v>
      </c>
      <c r="E31" s="117">
        <f>Combine!G32</f>
        <v>46015</v>
      </c>
      <c r="F31" s="190">
        <v>1.517123857001059</v>
      </c>
      <c r="G31" s="117">
        <f>Combine!M32</f>
        <v>5431.0489510489506</v>
      </c>
      <c r="H31" s="191">
        <v>9.4900649956329914</v>
      </c>
      <c r="I31" s="117">
        <f>Combine!J32</f>
        <v>495</v>
      </c>
      <c r="J31" s="190">
        <v>8.1634210712689761</v>
      </c>
      <c r="K31" s="117">
        <f>Combine!N32</f>
        <v>155</v>
      </c>
      <c r="L31" s="117">
        <f>Combine!O32</f>
        <v>352</v>
      </c>
    </row>
    <row r="32" spans="1:12">
      <c r="A32" s="187" t="s">
        <v>401</v>
      </c>
      <c r="B32" s="188"/>
      <c r="C32" s="189">
        <v>4</v>
      </c>
      <c r="D32" s="188">
        <v>2022</v>
      </c>
      <c r="E32" s="117">
        <f>Combine!G33</f>
        <v>0</v>
      </c>
      <c r="F32" s="190">
        <v>1.517123857001059</v>
      </c>
      <c r="G32" s="117">
        <f>Combine!M33</f>
        <v>0</v>
      </c>
      <c r="H32" s="191">
        <v>9.4900649956329914</v>
      </c>
      <c r="I32" s="117">
        <f>Combine!J33</f>
        <v>0</v>
      </c>
      <c r="J32" s="190">
        <v>8.1634210712689761</v>
      </c>
      <c r="K32" s="117">
        <f>Combine!N33</f>
        <v>0</v>
      </c>
      <c r="L32" s="117">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10" activePane="bottomRight" state="frozen"/>
      <selection activeCell="B1" sqref="B1"/>
      <selection pane="topRight" activeCell="E1" sqref="E1"/>
      <selection pane="bottomLeft" activeCell="B3" sqref="B3"/>
      <selection pane="bottomRight" activeCell="H31" sqref="H31"/>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204" t="s">
        <v>66</v>
      </c>
      <c r="O1" s="205"/>
      <c r="P1" s="206"/>
    </row>
    <row r="2" spans="1:17" s="2" customFormat="1" ht="60" customHeight="1">
      <c r="A2" s="4" t="s">
        <v>3</v>
      </c>
      <c r="B2" s="5" t="s">
        <v>4</v>
      </c>
      <c r="C2" s="5" t="s">
        <v>5</v>
      </c>
      <c r="D2" s="115"/>
      <c r="E2" s="120" t="s">
        <v>6</v>
      </c>
      <c r="F2" s="141" t="s">
        <v>6</v>
      </c>
      <c r="G2" s="150" t="s">
        <v>6</v>
      </c>
      <c r="H2" s="151" t="s">
        <v>9</v>
      </c>
      <c r="I2" s="142" t="s">
        <v>9</v>
      </c>
      <c r="J2" s="150" t="s">
        <v>9</v>
      </c>
      <c r="K2" s="120" t="s">
        <v>7</v>
      </c>
      <c r="L2" s="107">
        <v>335</v>
      </c>
      <c r="M2" s="126" t="s">
        <v>8</v>
      </c>
      <c r="N2" s="157" t="s">
        <v>10</v>
      </c>
      <c r="O2" s="5" t="s">
        <v>11</v>
      </c>
      <c r="P2" s="156" t="s">
        <v>12</v>
      </c>
      <c r="Q2" s="145" t="s">
        <v>394</v>
      </c>
    </row>
    <row r="3" spans="1:17" ht="15.75">
      <c r="A3" s="7" t="s">
        <v>14</v>
      </c>
      <c r="B3" s="7">
        <v>1</v>
      </c>
      <c r="C3" s="7">
        <v>4</v>
      </c>
      <c r="D3" s="116">
        <v>2021</v>
      </c>
      <c r="E3" s="146">
        <f>'Athens Daily - EL'!AK8</f>
        <v>31500</v>
      </c>
      <c r="F3" s="148"/>
      <c r="G3" s="127">
        <f>SUM(E3,F3)</f>
        <v>31500</v>
      </c>
      <c r="H3" s="146">
        <f>'Athens Daily - Water'!R7</f>
        <v>262</v>
      </c>
      <c r="I3" s="117"/>
      <c r="J3" s="123">
        <f t="shared" ref="J3:J33" si="0">SUM(H3,I3)</f>
        <v>262</v>
      </c>
      <c r="K3" s="146">
        <f>'Athens Daily - Gas'!BH9</f>
        <v>90268.799999999988</v>
      </c>
      <c r="L3" s="117"/>
      <c r="M3" s="127">
        <f>SUM(K3,L3)/38.61</f>
        <v>2337.9642579642577</v>
      </c>
      <c r="N3" s="155">
        <f>Occ!G10</f>
        <v>49</v>
      </c>
      <c r="O3" s="100">
        <f>Occ!H10</f>
        <v>98</v>
      </c>
      <c r="P3" s="154">
        <v>918</v>
      </c>
      <c r="Q3" s="163"/>
    </row>
    <row r="4" spans="1:17" ht="15.75">
      <c r="A4" s="7" t="s">
        <v>14</v>
      </c>
      <c r="B4" s="7">
        <v>2</v>
      </c>
      <c r="C4" s="7">
        <v>4</v>
      </c>
      <c r="D4" s="116">
        <v>2021</v>
      </c>
      <c r="E4" s="146">
        <f>'Athens Daily - EL'!AK9</f>
        <v>29270</v>
      </c>
      <c r="F4" s="148"/>
      <c r="G4" s="127">
        <f t="shared" ref="G4:G33" si="1">SUM(E4,F4)</f>
        <v>29270</v>
      </c>
      <c r="H4" s="146">
        <f>'Athens Daily - Water'!R8</f>
        <v>307</v>
      </c>
      <c r="I4" s="117"/>
      <c r="J4" s="123">
        <f t="shared" si="0"/>
        <v>307</v>
      </c>
      <c r="K4" s="146">
        <f>'Athens Daily - Gas'!BH10</f>
        <v>116351.18399999999</v>
      </c>
      <c r="L4" s="117"/>
      <c r="M4" s="127">
        <f t="shared" ref="M4:M33" si="2">SUM(K4,L4)/38.61</f>
        <v>3013.4986790986791</v>
      </c>
      <c r="N4" s="155">
        <f>Occ!G11</f>
        <v>95</v>
      </c>
      <c r="O4" s="100">
        <f>Occ!H11</f>
        <v>206</v>
      </c>
      <c r="P4" s="154">
        <v>918</v>
      </c>
      <c r="Q4" s="163"/>
    </row>
    <row r="5" spans="1:17" ht="15.75">
      <c r="A5" s="7" t="s">
        <v>14</v>
      </c>
      <c r="B5" s="7">
        <v>3</v>
      </c>
      <c r="C5" s="7">
        <v>4</v>
      </c>
      <c r="D5" s="116">
        <v>2021</v>
      </c>
      <c r="E5" s="146">
        <f>'Athens Daily - EL'!AK10</f>
        <v>30495</v>
      </c>
      <c r="F5" s="148"/>
      <c r="G5" s="127">
        <f t="shared" si="1"/>
        <v>30495</v>
      </c>
      <c r="H5" s="146">
        <f>'Athens Daily - Water'!R9</f>
        <v>334</v>
      </c>
      <c r="I5" s="117"/>
      <c r="J5" s="123">
        <f t="shared" si="0"/>
        <v>334</v>
      </c>
      <c r="K5" s="146">
        <f>'Athens Daily - Gas'!BH11</f>
        <v>129947.18399999998</v>
      </c>
      <c r="L5" s="117"/>
      <c r="M5" s="127">
        <f t="shared" si="2"/>
        <v>3365.6354312354306</v>
      </c>
      <c r="N5" s="155">
        <f>Occ!G12</f>
        <v>62</v>
      </c>
      <c r="O5" s="100">
        <f>Occ!H12</f>
        <v>128</v>
      </c>
      <c r="P5" s="154">
        <v>918</v>
      </c>
      <c r="Q5" s="163"/>
    </row>
    <row r="6" spans="1:17" ht="15.75">
      <c r="A6" s="7" t="s">
        <v>14</v>
      </c>
      <c r="B6" s="7">
        <v>4</v>
      </c>
      <c r="C6" s="7">
        <v>4</v>
      </c>
      <c r="D6" s="116">
        <v>2021</v>
      </c>
      <c r="E6" s="146">
        <f>'Athens Daily - EL'!AK11</f>
        <v>29315</v>
      </c>
      <c r="F6" s="148"/>
      <c r="G6" s="127">
        <f t="shared" si="1"/>
        <v>29315</v>
      </c>
      <c r="H6" s="146">
        <f>'Athens Daily - Water'!R10</f>
        <v>340</v>
      </c>
      <c r="I6" s="117"/>
      <c r="J6" s="123">
        <f t="shared" si="0"/>
        <v>340</v>
      </c>
      <c r="K6" s="146">
        <f>'Athens Daily - Gas'!BH12</f>
        <v>106736.25600000001</v>
      </c>
      <c r="L6" s="117"/>
      <c r="M6" s="127">
        <f t="shared" si="2"/>
        <v>2764.4717948717953</v>
      </c>
      <c r="N6" s="155">
        <f>Occ!G13</f>
        <v>95</v>
      </c>
      <c r="O6" s="100">
        <f>Occ!H13</f>
        <v>209</v>
      </c>
      <c r="P6" s="154">
        <v>918</v>
      </c>
      <c r="Q6" s="163"/>
    </row>
    <row r="7" spans="1:17" ht="15.75">
      <c r="A7" s="7" t="s">
        <v>14</v>
      </c>
      <c r="B7" s="7">
        <v>5</v>
      </c>
      <c r="C7" s="7">
        <v>4</v>
      </c>
      <c r="D7" s="116">
        <v>2021</v>
      </c>
      <c r="E7" s="146">
        <f>'Athens Daily - EL'!AK12</f>
        <v>31725</v>
      </c>
      <c r="F7" s="148"/>
      <c r="G7" s="127">
        <f t="shared" si="1"/>
        <v>31725</v>
      </c>
      <c r="H7" s="146">
        <f>'Athens Daily - Water'!R11</f>
        <v>307</v>
      </c>
      <c r="I7" s="117"/>
      <c r="J7" s="123">
        <f t="shared" si="0"/>
        <v>307</v>
      </c>
      <c r="K7" s="146">
        <f>'Athens Daily - Gas'!BH13</f>
        <v>101011.2</v>
      </c>
      <c r="L7" s="117"/>
      <c r="M7" s="127">
        <f t="shared" si="2"/>
        <v>2616.1926961926961</v>
      </c>
      <c r="N7" s="155">
        <f>Occ!G14</f>
        <v>56</v>
      </c>
      <c r="O7" s="100">
        <f>Occ!H14</f>
        <v>118</v>
      </c>
      <c r="P7" s="154">
        <v>918</v>
      </c>
      <c r="Q7" s="163"/>
    </row>
    <row r="8" spans="1:17" ht="15.75">
      <c r="A8" s="7" t="s">
        <v>14</v>
      </c>
      <c r="B8" s="7">
        <v>6</v>
      </c>
      <c r="C8" s="7">
        <v>4</v>
      </c>
      <c r="D8" s="116">
        <v>2021</v>
      </c>
      <c r="E8" s="146">
        <f>'Athens Daily - EL'!AK13</f>
        <v>31035</v>
      </c>
      <c r="F8" s="148"/>
      <c r="G8" s="127">
        <f t="shared" si="1"/>
        <v>31035</v>
      </c>
      <c r="H8" s="146">
        <f>'Athens Daily - Water'!R12</f>
        <v>351</v>
      </c>
      <c r="I8" s="117"/>
      <c r="J8" s="123">
        <f t="shared" si="0"/>
        <v>351</v>
      </c>
      <c r="K8" s="146">
        <f>'Athens Daily - Gas'!BH14</f>
        <v>94310.399999999994</v>
      </c>
      <c r="L8" s="117"/>
      <c r="M8" s="127">
        <f t="shared" si="2"/>
        <v>2442.6418026418023</v>
      </c>
      <c r="N8" s="155">
        <f>Occ!G15</f>
        <v>46</v>
      </c>
      <c r="O8" s="100">
        <f>Occ!H15</f>
        <v>96</v>
      </c>
      <c r="P8" s="154">
        <v>918</v>
      </c>
      <c r="Q8" s="163"/>
    </row>
    <row r="9" spans="1:17" ht="15.75">
      <c r="A9" s="7" t="s">
        <v>14</v>
      </c>
      <c r="B9" s="7">
        <v>7</v>
      </c>
      <c r="C9" s="7">
        <v>4</v>
      </c>
      <c r="D9" s="116">
        <v>2021</v>
      </c>
      <c r="E9" s="146">
        <f>'Athens Daily - EL'!AK14</f>
        <v>32125</v>
      </c>
      <c r="F9" s="148"/>
      <c r="G9" s="127">
        <f t="shared" si="1"/>
        <v>32125</v>
      </c>
      <c r="H9" s="146">
        <f>'Athens Daily - Water'!R13</f>
        <v>280</v>
      </c>
      <c r="I9" s="117"/>
      <c r="J9" s="123">
        <f t="shared" si="0"/>
        <v>280</v>
      </c>
      <c r="K9" s="146">
        <f>'Athens Daily - Gas'!BH15</f>
        <v>94752</v>
      </c>
      <c r="L9" s="117"/>
      <c r="M9" s="127">
        <f t="shared" si="2"/>
        <v>2454.079254079254</v>
      </c>
      <c r="N9" s="155">
        <f>Occ!G16</f>
        <v>76</v>
      </c>
      <c r="O9" s="100">
        <f>Occ!H16</f>
        <v>154</v>
      </c>
      <c r="P9" s="154">
        <v>918</v>
      </c>
      <c r="Q9" s="163"/>
    </row>
    <row r="10" spans="1:17">
      <c r="A10" s="7" t="s">
        <v>14</v>
      </c>
      <c r="B10" s="7">
        <v>8</v>
      </c>
      <c r="C10" s="7">
        <v>4</v>
      </c>
      <c r="D10" s="116">
        <v>2021</v>
      </c>
      <c r="E10" s="146">
        <f>'Athens Daily - EL'!AK15</f>
        <v>28915</v>
      </c>
      <c r="F10" s="148"/>
      <c r="G10" s="127">
        <f t="shared" si="1"/>
        <v>28915</v>
      </c>
      <c r="H10" s="146">
        <f>'Athens Daily - Water'!R14</f>
        <v>306</v>
      </c>
      <c r="I10" s="117"/>
      <c r="J10" s="123">
        <f t="shared" si="0"/>
        <v>306</v>
      </c>
      <c r="K10" s="146">
        <f>'Athens Daily - Gas'!BH16</f>
        <v>92416.463999999978</v>
      </c>
      <c r="L10" s="117"/>
      <c r="M10" s="127">
        <f t="shared" si="2"/>
        <v>2393.5888111888107</v>
      </c>
      <c r="N10" s="155">
        <f>Occ!G17</f>
        <v>90</v>
      </c>
      <c r="O10" s="100">
        <f>Occ!H17</f>
        <v>196</v>
      </c>
      <c r="P10" s="154">
        <v>918</v>
      </c>
      <c r="Q10" s="98"/>
    </row>
    <row r="11" spans="1:17">
      <c r="A11" s="7" t="s">
        <v>14</v>
      </c>
      <c r="B11" s="7">
        <v>9</v>
      </c>
      <c r="C11" s="7">
        <v>4</v>
      </c>
      <c r="D11" s="116">
        <v>2021</v>
      </c>
      <c r="E11" s="146">
        <f>'Athens Daily - EL'!AK16</f>
        <v>37565</v>
      </c>
      <c r="F11" s="148"/>
      <c r="G11" s="127">
        <f t="shared" si="1"/>
        <v>37565</v>
      </c>
      <c r="H11" s="146">
        <f>'Athens Daily - Water'!R15</f>
        <v>352</v>
      </c>
      <c r="I11" s="117"/>
      <c r="J11" s="123">
        <f t="shared" si="0"/>
        <v>352</v>
      </c>
      <c r="K11" s="146">
        <f>'Athens Daily - Gas'!BH17</f>
        <v>89287.200000000026</v>
      </c>
      <c r="L11" s="117"/>
      <c r="M11" s="127">
        <f t="shared" si="2"/>
        <v>2312.5407925407931</v>
      </c>
      <c r="N11" s="155">
        <f>Occ!G18</f>
        <v>140</v>
      </c>
      <c r="O11" s="100">
        <f>Occ!H18</f>
        <v>315</v>
      </c>
      <c r="P11" s="154">
        <v>918</v>
      </c>
      <c r="Q11" s="98"/>
    </row>
    <row r="12" spans="1:17" ht="15.75">
      <c r="A12" s="7" t="s">
        <v>14</v>
      </c>
      <c r="B12" s="7">
        <v>10</v>
      </c>
      <c r="C12" s="7">
        <v>4</v>
      </c>
      <c r="D12" s="116">
        <v>2021</v>
      </c>
      <c r="E12" s="146">
        <f>'Athens Daily - EL'!AK17</f>
        <v>43610</v>
      </c>
      <c r="F12" s="148"/>
      <c r="G12" s="127">
        <f t="shared" si="1"/>
        <v>43610</v>
      </c>
      <c r="H12" s="146">
        <f>'Athens Daily - Water'!R16</f>
        <v>379</v>
      </c>
      <c r="I12" s="117"/>
      <c r="J12" s="123">
        <f t="shared" si="0"/>
        <v>379</v>
      </c>
      <c r="K12" s="146">
        <f>'Athens Daily - Gas'!BH18</f>
        <v>101680.79999999999</v>
      </c>
      <c r="L12" s="117"/>
      <c r="M12" s="127">
        <f t="shared" si="2"/>
        <v>2633.5353535353534</v>
      </c>
      <c r="N12" s="155">
        <f>Occ!G19</f>
        <v>106</v>
      </c>
      <c r="O12" s="100">
        <f>Occ!H19</f>
        <v>233</v>
      </c>
      <c r="P12" s="154">
        <v>918</v>
      </c>
      <c r="Q12" s="163"/>
    </row>
    <row r="13" spans="1:17" ht="15.75">
      <c r="A13" s="7" t="s">
        <v>14</v>
      </c>
      <c r="B13" s="7">
        <v>11</v>
      </c>
      <c r="C13" s="7">
        <v>4</v>
      </c>
      <c r="D13" s="116">
        <v>2021</v>
      </c>
      <c r="E13" s="146">
        <f>'Athens Daily - EL'!AK18</f>
        <v>28505</v>
      </c>
      <c r="F13" s="148"/>
      <c r="G13" s="127">
        <f t="shared" si="1"/>
        <v>28505</v>
      </c>
      <c r="H13" s="146">
        <f>'Athens Daily - Water'!R17</f>
        <v>411</v>
      </c>
      <c r="I13" s="117"/>
      <c r="J13" s="123">
        <f t="shared" si="0"/>
        <v>411</v>
      </c>
      <c r="K13" s="146">
        <f>'Athens Daily - Gas'!BH19</f>
        <v>109159.48799999997</v>
      </c>
      <c r="L13" s="117"/>
      <c r="M13" s="127">
        <f t="shared" si="2"/>
        <v>2827.2335664335656</v>
      </c>
      <c r="N13" s="155">
        <f>Occ!G20</f>
        <v>73</v>
      </c>
      <c r="O13" s="100">
        <f>Occ!H20</f>
        <v>148</v>
      </c>
      <c r="P13" s="154">
        <v>918</v>
      </c>
      <c r="Q13" s="163"/>
    </row>
    <row r="14" spans="1:17" ht="15.75">
      <c r="A14" s="7" t="s">
        <v>14</v>
      </c>
      <c r="B14" s="7">
        <v>12</v>
      </c>
      <c r="C14" s="7">
        <v>4</v>
      </c>
      <c r="D14" s="116">
        <v>2021</v>
      </c>
      <c r="E14" s="146">
        <f>'Athens Daily - EL'!AK19</f>
        <v>29070</v>
      </c>
      <c r="F14" s="148"/>
      <c r="G14" s="127">
        <f t="shared" si="1"/>
        <v>29070</v>
      </c>
      <c r="H14" s="146">
        <f>'Athens Daily - Water'!R18</f>
        <v>347</v>
      </c>
      <c r="I14" s="117"/>
      <c r="J14" s="123">
        <f t="shared" si="0"/>
        <v>347</v>
      </c>
      <c r="K14" s="146">
        <f>'Athens Daily - Gas'!BH20</f>
        <v>103841.952</v>
      </c>
      <c r="L14" s="117"/>
      <c r="M14" s="127">
        <f t="shared" si="2"/>
        <v>2689.5092463092465</v>
      </c>
      <c r="N14" s="155">
        <f>Occ!G21</f>
        <v>90</v>
      </c>
      <c r="O14" s="100">
        <f>Occ!H21</f>
        <v>187</v>
      </c>
      <c r="P14" s="154">
        <v>918</v>
      </c>
      <c r="Q14" s="163"/>
    </row>
    <row r="15" spans="1:17">
      <c r="A15" s="7" t="s">
        <v>14</v>
      </c>
      <c r="B15" s="7">
        <v>13</v>
      </c>
      <c r="C15" s="7">
        <v>4</v>
      </c>
      <c r="D15" s="116">
        <v>2021</v>
      </c>
      <c r="E15" s="146">
        <f>'Athens Daily - EL'!AK20</f>
        <v>32480</v>
      </c>
      <c r="F15" s="164"/>
      <c r="G15" s="127">
        <f t="shared" si="1"/>
        <v>32480</v>
      </c>
      <c r="H15" s="146">
        <f>'Athens Daily - Water'!R19</f>
        <v>342</v>
      </c>
      <c r="I15" s="117"/>
      <c r="J15" s="123">
        <f t="shared" si="0"/>
        <v>342</v>
      </c>
      <c r="K15" s="146">
        <f>'Athens Daily - Gas'!BH21</f>
        <v>96614.399999999994</v>
      </c>
      <c r="L15" s="117"/>
      <c r="M15" s="127">
        <f t="shared" si="2"/>
        <v>2502.3154623154624</v>
      </c>
      <c r="N15" s="155">
        <f>Occ!G22</f>
        <v>94</v>
      </c>
      <c r="O15" s="100">
        <f>Occ!H22</f>
        <v>207</v>
      </c>
      <c r="P15" s="154">
        <v>918</v>
      </c>
      <c r="Q15" s="160"/>
    </row>
    <row r="16" spans="1:17">
      <c r="A16" s="7" t="s">
        <v>14</v>
      </c>
      <c r="B16" s="7">
        <v>14</v>
      </c>
      <c r="C16" s="7">
        <v>4</v>
      </c>
      <c r="D16" s="116">
        <v>2021</v>
      </c>
      <c r="E16" s="146">
        <f>'Athens Daily - EL'!AK21</f>
        <v>26988.333333333576</v>
      </c>
      <c r="F16" s="148"/>
      <c r="G16" s="127">
        <f t="shared" si="1"/>
        <v>26988.333333333576</v>
      </c>
      <c r="H16" s="146">
        <f>'Athens Daily - Water'!R20</f>
        <v>585</v>
      </c>
      <c r="I16" s="117"/>
      <c r="J16" s="123">
        <f t="shared" si="0"/>
        <v>585</v>
      </c>
      <c r="K16" s="146">
        <f>'Athens Daily - Gas'!BH22</f>
        <v>100935.45600000002</v>
      </c>
      <c r="L16" s="117"/>
      <c r="M16" s="127">
        <f t="shared" si="2"/>
        <v>2614.2309246309251</v>
      </c>
      <c r="N16" s="155">
        <f>Occ!G23</f>
        <v>89</v>
      </c>
      <c r="O16" s="100">
        <f>Occ!H23</f>
        <v>193</v>
      </c>
      <c r="P16" s="154">
        <v>918</v>
      </c>
      <c r="Q16" s="160"/>
    </row>
    <row r="17" spans="1:17">
      <c r="A17" s="7" t="s">
        <v>14</v>
      </c>
      <c r="B17" s="7">
        <v>15</v>
      </c>
      <c r="C17" s="7">
        <v>4</v>
      </c>
      <c r="D17" s="116">
        <v>2021</v>
      </c>
      <c r="E17" s="146">
        <f>'Athens Daily - EL'!AK22</f>
        <v>29233.333333333576</v>
      </c>
      <c r="F17" s="148"/>
      <c r="G17" s="127">
        <f t="shared" si="1"/>
        <v>29233.333333333576</v>
      </c>
      <c r="H17" s="146">
        <f>'Athens Daily - Water'!R21</f>
        <v>525.66666666666606</v>
      </c>
      <c r="I17" s="117"/>
      <c r="J17" s="123">
        <f t="shared" si="0"/>
        <v>525.66666666666606</v>
      </c>
      <c r="K17" s="146">
        <f>'Athens Daily - Gas'!BH23</f>
        <v>109274.304</v>
      </c>
      <c r="L17" s="117"/>
      <c r="M17" s="127">
        <f t="shared" si="2"/>
        <v>2830.207303807304</v>
      </c>
      <c r="N17" s="155">
        <f>Occ!G24</f>
        <v>164</v>
      </c>
      <c r="O17" s="100">
        <f>Occ!H24</f>
        <v>390</v>
      </c>
      <c r="P17" s="154">
        <v>918</v>
      </c>
      <c r="Q17" s="160"/>
    </row>
    <row r="18" spans="1:17">
      <c r="A18" s="7" t="s">
        <v>14</v>
      </c>
      <c r="B18" s="7">
        <v>16</v>
      </c>
      <c r="C18" s="7">
        <v>4</v>
      </c>
      <c r="D18" s="116">
        <v>2021</v>
      </c>
      <c r="E18" s="146">
        <f>'Athens Daily - EL'!AK23</f>
        <v>54783.333333332848</v>
      </c>
      <c r="F18" s="148"/>
      <c r="G18" s="127">
        <f t="shared" si="1"/>
        <v>54783.333333332848</v>
      </c>
      <c r="H18" s="146">
        <f>'Athens Daily - Water'!R22</f>
        <v>587.49711111111174</v>
      </c>
      <c r="I18" s="117"/>
      <c r="J18" s="123">
        <f t="shared" si="0"/>
        <v>587.49711111111174</v>
      </c>
      <c r="K18" s="146">
        <f>'Athens Daily - Gas'!BH24</f>
        <v>106876.79999999999</v>
      </c>
      <c r="L18" s="117"/>
      <c r="M18" s="127">
        <f t="shared" si="2"/>
        <v>2768.1118881118878</v>
      </c>
      <c r="N18" s="155">
        <f>Occ!G25</f>
        <v>148</v>
      </c>
      <c r="O18" s="100">
        <f>Occ!H25</f>
        <v>350</v>
      </c>
      <c r="P18" s="154">
        <v>918</v>
      </c>
      <c r="Q18" s="159"/>
    </row>
    <row r="19" spans="1:17">
      <c r="A19" s="7" t="s">
        <v>14</v>
      </c>
      <c r="B19" s="7">
        <v>17</v>
      </c>
      <c r="C19" s="7">
        <v>4</v>
      </c>
      <c r="D19" s="116">
        <v>2021</v>
      </c>
      <c r="E19" s="146">
        <f>'Athens Daily - EL'!AK24</f>
        <v>33395</v>
      </c>
      <c r="F19" s="148"/>
      <c r="G19" s="127">
        <f t="shared" si="1"/>
        <v>33395</v>
      </c>
      <c r="H19" s="146">
        <f>'Athens Daily - Water'!R23</f>
        <v>655.8362222222222</v>
      </c>
      <c r="I19" s="117"/>
      <c r="J19" s="123">
        <f t="shared" si="0"/>
        <v>655.8362222222222</v>
      </c>
      <c r="K19" s="146">
        <f>'Athens Daily - Gas'!BH25</f>
        <v>111433.91999999998</v>
      </c>
      <c r="L19" s="117"/>
      <c r="M19" s="127">
        <f t="shared" si="2"/>
        <v>2886.1414141414139</v>
      </c>
      <c r="N19" s="155">
        <f>Occ!G26</f>
        <v>146</v>
      </c>
      <c r="O19" s="100">
        <f>Occ!H26</f>
        <v>356</v>
      </c>
      <c r="P19" s="154">
        <v>918</v>
      </c>
      <c r="Q19" s="159"/>
    </row>
    <row r="20" spans="1:17">
      <c r="A20" s="7" t="s">
        <v>14</v>
      </c>
      <c r="B20" s="7">
        <v>18</v>
      </c>
      <c r="C20" s="7">
        <v>4</v>
      </c>
      <c r="D20" s="116">
        <v>2021</v>
      </c>
      <c r="E20" s="146">
        <f>'Athens Daily - EL'!AK25</f>
        <v>33710</v>
      </c>
      <c r="F20" s="148"/>
      <c r="G20" s="127">
        <f t="shared" si="1"/>
        <v>33710</v>
      </c>
      <c r="H20" s="146">
        <f>'Athens Daily - Water'!R24</f>
        <v>618.15799999999945</v>
      </c>
      <c r="I20" s="117"/>
      <c r="J20" s="123">
        <f t="shared" si="0"/>
        <v>618.15799999999945</v>
      </c>
      <c r="K20" s="146">
        <f>'Athens Daily - Gas'!BH26</f>
        <v>111091.008</v>
      </c>
      <c r="L20" s="117"/>
      <c r="M20" s="127">
        <f t="shared" si="2"/>
        <v>2877.2599844599845</v>
      </c>
      <c r="N20" s="155">
        <f>Occ!G27</f>
        <v>117</v>
      </c>
      <c r="O20" s="100">
        <f>Occ!H27</f>
        <v>243</v>
      </c>
      <c r="P20" s="154">
        <v>918</v>
      </c>
      <c r="Q20" s="159"/>
    </row>
    <row r="21" spans="1:17">
      <c r="A21" s="7" t="s">
        <v>14</v>
      </c>
      <c r="B21" s="7">
        <v>19</v>
      </c>
      <c r="C21" s="7">
        <v>4</v>
      </c>
      <c r="D21" s="116">
        <v>2021</v>
      </c>
      <c r="E21" s="146">
        <f>'Athens Daily - EL'!AK26</f>
        <v>32920</v>
      </c>
      <c r="F21" s="148"/>
      <c r="G21" s="127">
        <f t="shared" si="1"/>
        <v>32920</v>
      </c>
      <c r="H21" s="146">
        <f>'Athens Daily - Water'!R25</f>
        <v>569.44800000000032</v>
      </c>
      <c r="I21" s="117"/>
      <c r="J21" s="123">
        <f t="shared" si="0"/>
        <v>569.44800000000032</v>
      </c>
      <c r="K21" s="146">
        <f>'Athens Daily - Gas'!BH27</f>
        <v>105949.77600000001</v>
      </c>
      <c r="L21" s="168"/>
      <c r="M21" s="127">
        <f t="shared" si="2"/>
        <v>2744.1019425019431</v>
      </c>
      <c r="N21" s="155">
        <f>Occ!G28</f>
        <v>80</v>
      </c>
      <c r="O21" s="100">
        <f>Occ!H28</f>
        <v>171</v>
      </c>
      <c r="P21" s="154">
        <v>918</v>
      </c>
      <c r="Q21" s="159"/>
    </row>
    <row r="22" spans="1:17">
      <c r="A22" s="7" t="s">
        <v>14</v>
      </c>
      <c r="B22" s="7">
        <v>20</v>
      </c>
      <c r="C22" s="7">
        <v>4</v>
      </c>
      <c r="D22" s="116">
        <v>2021</v>
      </c>
      <c r="E22" s="146">
        <f>'Athens Daily - EL'!AK27</f>
        <v>34125</v>
      </c>
      <c r="F22" s="148"/>
      <c r="G22" s="127">
        <f t="shared" si="1"/>
        <v>34125</v>
      </c>
      <c r="H22" s="146">
        <f>'Athens Daily - Water'!R26</f>
        <v>415.78600000000006</v>
      </c>
      <c r="I22" s="117"/>
      <c r="J22" s="123">
        <f t="shared" si="0"/>
        <v>415.78600000000006</v>
      </c>
      <c r="K22" s="146">
        <f>'Athens Daily - Gas'!BH28</f>
        <v>107673.60000000001</v>
      </c>
      <c r="L22" s="117"/>
      <c r="M22" s="127">
        <f t="shared" si="2"/>
        <v>2788.7490287490291</v>
      </c>
      <c r="N22" s="155">
        <f>Occ!G29</f>
        <v>79</v>
      </c>
      <c r="O22" s="100">
        <f>Occ!H29</f>
        <v>164</v>
      </c>
      <c r="P22" s="154">
        <v>918</v>
      </c>
      <c r="Q22" s="160"/>
    </row>
    <row r="23" spans="1:17">
      <c r="A23" s="7" t="s">
        <v>14</v>
      </c>
      <c r="B23" s="7">
        <v>21</v>
      </c>
      <c r="C23" s="7">
        <v>4</v>
      </c>
      <c r="D23" s="116">
        <v>2021</v>
      </c>
      <c r="E23" s="146">
        <f>'Athens Daily - EL'!AK28</f>
        <v>36150</v>
      </c>
      <c r="F23" s="148"/>
      <c r="G23" s="127">
        <f t="shared" si="1"/>
        <v>36150</v>
      </c>
      <c r="H23" s="179">
        <f>'Athens Daily - Water'!R27</f>
        <v>347.53900000000067</v>
      </c>
      <c r="I23" s="180"/>
      <c r="J23" s="123">
        <f t="shared" si="0"/>
        <v>347.53900000000067</v>
      </c>
      <c r="K23" s="146">
        <f>'Athens Daily - Gas'!BH29</f>
        <v>104870.39999999999</v>
      </c>
      <c r="L23" s="117"/>
      <c r="M23" s="127">
        <f t="shared" si="2"/>
        <v>2716.1460761460762</v>
      </c>
      <c r="N23" s="155">
        <f>Occ!G30</f>
        <v>71</v>
      </c>
      <c r="O23" s="100">
        <f>Occ!H30</f>
        <v>143</v>
      </c>
      <c r="P23" s="154">
        <v>918</v>
      </c>
      <c r="Q23" s="160"/>
    </row>
    <row r="24" spans="1:17">
      <c r="A24" s="7" t="s">
        <v>14</v>
      </c>
      <c r="B24" s="7">
        <v>22</v>
      </c>
      <c r="C24" s="7">
        <v>4</v>
      </c>
      <c r="D24" s="116">
        <v>2021</v>
      </c>
      <c r="E24" s="146">
        <f>'Athens Daily - EL'!AK29</f>
        <v>38550</v>
      </c>
      <c r="F24" s="148"/>
      <c r="G24" s="127">
        <f t="shared" si="1"/>
        <v>38550</v>
      </c>
      <c r="H24" s="179">
        <f>'Athens Daily - Water'!R28</f>
        <v>366.36340000000018</v>
      </c>
      <c r="I24" s="180"/>
      <c r="J24" s="123">
        <f t="shared" si="0"/>
        <v>366.36340000000018</v>
      </c>
      <c r="K24" s="146">
        <f>'Athens Daily - Gas'!BH30</f>
        <v>111350.59199999998</v>
      </c>
      <c r="L24" s="117"/>
      <c r="M24" s="127">
        <f t="shared" si="2"/>
        <v>2883.983216783216</v>
      </c>
      <c r="N24" s="155">
        <f>Occ!G31</f>
        <v>104</v>
      </c>
      <c r="O24" s="100">
        <f>Occ!H31</f>
        <v>226</v>
      </c>
      <c r="P24" s="154">
        <v>918</v>
      </c>
      <c r="Q24" s="160"/>
    </row>
    <row r="25" spans="1:17">
      <c r="A25" s="7" t="s">
        <v>14</v>
      </c>
      <c r="B25" s="7">
        <v>23</v>
      </c>
      <c r="C25" s="7">
        <v>4</v>
      </c>
      <c r="D25" s="116">
        <v>2021</v>
      </c>
      <c r="E25" s="146">
        <f>'Athens Daily - EL'!AK30</f>
        <v>39505</v>
      </c>
      <c r="F25" s="148"/>
      <c r="G25" s="127">
        <f t="shared" si="1"/>
        <v>39505</v>
      </c>
      <c r="H25" s="179">
        <f>'Athens Daily - Water'!R29</f>
        <v>391.70559999999932</v>
      </c>
      <c r="I25" s="180"/>
      <c r="J25" s="123">
        <f t="shared" si="0"/>
        <v>391.70559999999932</v>
      </c>
      <c r="K25" s="167">
        <f>'Athens Daily - Gas'!BH31</f>
        <v>110193.55200000003</v>
      </c>
      <c r="L25" s="117"/>
      <c r="M25" s="127">
        <f t="shared" si="2"/>
        <v>2854.0158508158515</v>
      </c>
      <c r="N25" s="155">
        <f>Occ!G32</f>
        <v>126</v>
      </c>
      <c r="O25" s="100">
        <f>Occ!H32</f>
        <v>283</v>
      </c>
      <c r="P25" s="154">
        <v>918</v>
      </c>
      <c r="Q25" s="160"/>
    </row>
    <row r="26" spans="1:17">
      <c r="A26" s="7" t="s">
        <v>14</v>
      </c>
      <c r="B26" s="7">
        <v>24</v>
      </c>
      <c r="C26" s="7">
        <v>4</v>
      </c>
      <c r="D26" s="116">
        <v>2021</v>
      </c>
      <c r="E26" s="146">
        <f>'Athens Daily - EL'!AK31</f>
        <v>43045</v>
      </c>
      <c r="F26" s="148"/>
      <c r="G26" s="127">
        <f t="shared" si="1"/>
        <v>43045</v>
      </c>
      <c r="H26" s="179">
        <f>'Athens Daily - Water'!R30</f>
        <v>438</v>
      </c>
      <c r="I26" s="180"/>
      <c r="J26" s="123">
        <f t="shared" si="0"/>
        <v>438</v>
      </c>
      <c r="K26" s="146">
        <f>'Athens Daily - Gas'!BH32</f>
        <v>112872.38400000001</v>
      </c>
      <c r="L26" s="117"/>
      <c r="M26" s="127">
        <f t="shared" si="2"/>
        <v>2923.3976689976694</v>
      </c>
      <c r="N26" s="155">
        <f>Occ!G33</f>
        <v>103</v>
      </c>
      <c r="O26" s="100">
        <f>Occ!H33</f>
        <v>209</v>
      </c>
      <c r="P26" s="154">
        <v>918</v>
      </c>
      <c r="Q26" s="160"/>
    </row>
    <row r="27" spans="1:17">
      <c r="A27" s="7" t="s">
        <v>14</v>
      </c>
      <c r="B27" s="7">
        <v>25</v>
      </c>
      <c r="C27" s="7">
        <v>4</v>
      </c>
      <c r="D27" s="116">
        <v>2021</v>
      </c>
      <c r="E27" s="146">
        <f>'Athens Daily - EL'!AK32</f>
        <v>39810</v>
      </c>
      <c r="F27" s="148"/>
      <c r="G27" s="127">
        <f t="shared" si="1"/>
        <v>39810</v>
      </c>
      <c r="H27" s="146">
        <f>'Athens Daily - Water'!R31</f>
        <v>428</v>
      </c>
      <c r="I27" s="117"/>
      <c r="J27" s="123">
        <f t="shared" si="0"/>
        <v>428</v>
      </c>
      <c r="K27" s="146">
        <f>'Athens Daily - Gas'!BH33</f>
        <v>106135.72799999999</v>
      </c>
      <c r="L27" s="117"/>
      <c r="M27" s="127">
        <f t="shared" si="2"/>
        <v>2748.9181041181037</v>
      </c>
      <c r="N27" s="155">
        <f>Occ!G34</f>
        <v>55</v>
      </c>
      <c r="O27" s="100">
        <f>Occ!H34</f>
        <v>111</v>
      </c>
      <c r="P27" s="154">
        <v>918</v>
      </c>
      <c r="Q27" s="158"/>
    </row>
    <row r="28" spans="1:17">
      <c r="A28" s="7" t="s">
        <v>14</v>
      </c>
      <c r="B28" s="7">
        <v>26</v>
      </c>
      <c r="C28" s="7">
        <v>4</v>
      </c>
      <c r="D28" s="116">
        <v>2021</v>
      </c>
      <c r="E28" s="146">
        <f>'Athens Daily - EL'!AK33</f>
        <v>42470</v>
      </c>
      <c r="F28" s="148"/>
      <c r="G28" s="127">
        <f t="shared" si="1"/>
        <v>42470</v>
      </c>
      <c r="H28" s="146">
        <f>'Athens Daily - Water'!R32</f>
        <v>355</v>
      </c>
      <c r="I28" s="117"/>
      <c r="J28" s="123">
        <f t="shared" si="0"/>
        <v>355</v>
      </c>
      <c r="K28" s="146">
        <f>'Athens Daily - Gas'!BH34</f>
        <v>107673.83999999998</v>
      </c>
      <c r="L28" s="117"/>
      <c r="M28" s="127">
        <f t="shared" si="2"/>
        <v>2788.7552447552443</v>
      </c>
      <c r="N28" s="155">
        <f>Occ!G35</f>
        <v>64</v>
      </c>
      <c r="O28" s="100">
        <f>Occ!H35</f>
        <v>131</v>
      </c>
      <c r="P28" s="154">
        <v>918</v>
      </c>
      <c r="Q28" s="158"/>
    </row>
    <row r="29" spans="1:17">
      <c r="A29" s="7" t="s">
        <v>14</v>
      </c>
      <c r="B29" s="7">
        <v>27</v>
      </c>
      <c r="C29" s="7">
        <v>4</v>
      </c>
      <c r="D29" s="116">
        <v>2021</v>
      </c>
      <c r="E29" s="146">
        <f>'Athens Daily - EL'!AK34</f>
        <v>41810</v>
      </c>
      <c r="F29" s="148"/>
      <c r="G29" s="127">
        <f t="shared" si="1"/>
        <v>41810</v>
      </c>
      <c r="H29" s="146">
        <f>'Athens Daily - Water'!R33</f>
        <v>366</v>
      </c>
      <c r="I29" s="117"/>
      <c r="J29" s="123">
        <f t="shared" si="0"/>
        <v>366</v>
      </c>
      <c r="K29" s="146">
        <f>'Athens Daily - Gas'!BH35</f>
        <v>105772.79999999999</v>
      </c>
      <c r="L29" s="117"/>
      <c r="M29" s="127">
        <f t="shared" si="2"/>
        <v>2739.5182595182591</v>
      </c>
      <c r="N29" s="155">
        <f>Occ!G36</f>
        <v>63</v>
      </c>
      <c r="O29" s="100">
        <f>Occ!H36</f>
        <v>122</v>
      </c>
      <c r="P29" s="154">
        <v>918</v>
      </c>
      <c r="Q29" s="158"/>
    </row>
    <row r="30" spans="1:17">
      <c r="A30" s="7" t="s">
        <v>14</v>
      </c>
      <c r="B30" s="7">
        <v>28</v>
      </c>
      <c r="C30" s="7">
        <v>4</v>
      </c>
      <c r="D30" s="116">
        <v>2021</v>
      </c>
      <c r="E30" s="146">
        <f>'Athens Daily - EL'!AK35</f>
        <v>40265</v>
      </c>
      <c r="F30" s="148"/>
      <c r="G30" s="127">
        <f t="shared" si="1"/>
        <v>40265</v>
      </c>
      <c r="H30" s="146">
        <f>'Athens Daily - Water'!R34</f>
        <v>371</v>
      </c>
      <c r="I30" s="117"/>
      <c r="J30" s="123">
        <f t="shared" si="0"/>
        <v>371</v>
      </c>
      <c r="K30" s="146">
        <f>'Athens Daily - Gas'!BH36</f>
        <v>107318.39999999999</v>
      </c>
      <c r="L30" s="117"/>
      <c r="M30" s="127">
        <f t="shared" si="2"/>
        <v>2779.5493395493395</v>
      </c>
      <c r="N30" s="155">
        <f>Occ!G37</f>
        <v>92</v>
      </c>
      <c r="O30" s="100">
        <f>Occ!H37</f>
        <v>185</v>
      </c>
      <c r="P30" s="154">
        <v>918</v>
      </c>
      <c r="Q30" s="158"/>
    </row>
    <row r="31" spans="1:17">
      <c r="A31" s="7" t="s">
        <v>14</v>
      </c>
      <c r="B31" s="7">
        <v>29</v>
      </c>
      <c r="C31" s="7">
        <v>4</v>
      </c>
      <c r="D31" s="116">
        <v>2021</v>
      </c>
      <c r="E31" s="146">
        <f>'Athens Daily - EL'!AK36</f>
        <v>46015</v>
      </c>
      <c r="F31" s="148"/>
      <c r="G31" s="127">
        <f t="shared" si="1"/>
        <v>46015</v>
      </c>
      <c r="H31" s="146">
        <f>'Athens Daily - Water'!R35</f>
        <v>380</v>
      </c>
      <c r="I31" s="117"/>
      <c r="J31" s="123">
        <f t="shared" si="0"/>
        <v>380</v>
      </c>
      <c r="K31" s="146">
        <f>'Athens Daily - Gas'!BH37</f>
        <v>101395.2</v>
      </c>
      <c r="L31" s="117"/>
      <c r="M31" s="127">
        <f t="shared" si="2"/>
        <v>2626.1383061383062</v>
      </c>
      <c r="N31" s="155">
        <f>Occ!G38</f>
        <v>143</v>
      </c>
      <c r="O31" s="100">
        <f>Occ!H38</f>
        <v>293</v>
      </c>
      <c r="P31" s="154">
        <v>918</v>
      </c>
      <c r="Q31" s="158"/>
    </row>
    <row r="32" spans="1:17">
      <c r="A32" s="7" t="s">
        <v>14</v>
      </c>
      <c r="B32" s="7">
        <v>30</v>
      </c>
      <c r="C32" s="7">
        <v>4</v>
      </c>
      <c r="D32" s="116">
        <v>2021</v>
      </c>
      <c r="E32" s="146">
        <f>'Athens Daily - EL'!AK37</f>
        <v>46015</v>
      </c>
      <c r="F32" s="148"/>
      <c r="G32" s="127">
        <f t="shared" si="1"/>
        <v>46015</v>
      </c>
      <c r="H32" s="146">
        <f>'Athens Daily - Water'!R36</f>
        <v>495</v>
      </c>
      <c r="I32" s="117"/>
      <c r="J32" s="123">
        <f t="shared" si="0"/>
        <v>495</v>
      </c>
      <c r="K32" s="146">
        <f>'Athens Daily - Gas'!BH38</f>
        <v>209692.79999999999</v>
      </c>
      <c r="L32" s="117"/>
      <c r="M32" s="127">
        <f t="shared" si="2"/>
        <v>5431.0489510489506</v>
      </c>
      <c r="N32" s="155">
        <f>Occ!G39</f>
        <v>155</v>
      </c>
      <c r="O32" s="100">
        <f>Occ!H39</f>
        <v>352</v>
      </c>
      <c r="P32" s="154">
        <v>918</v>
      </c>
      <c r="Q32" s="158"/>
    </row>
    <row r="33" spans="1:17" ht="15.75" thickBot="1">
      <c r="A33" s="7" t="s">
        <v>14</v>
      </c>
      <c r="B33" s="7">
        <v>31</v>
      </c>
      <c r="C33" s="7">
        <v>4</v>
      </c>
      <c r="D33" s="116">
        <v>2021</v>
      </c>
      <c r="E33" s="147">
        <f>'Athens Daily - EL'!AK38</f>
        <v>0</v>
      </c>
      <c r="F33" s="149"/>
      <c r="G33" s="128">
        <f t="shared" si="1"/>
        <v>0</v>
      </c>
      <c r="H33" s="147">
        <f>'Athens Daily - Water'!R37</f>
        <v>0</v>
      </c>
      <c r="I33" s="121"/>
      <c r="J33" s="124">
        <f t="shared" si="0"/>
        <v>0</v>
      </c>
      <c r="K33" s="147">
        <f>'Athens Daily - Gas'!BH39</f>
        <v>0</v>
      </c>
      <c r="L33" s="121"/>
      <c r="M33" s="128">
        <f t="shared" si="2"/>
        <v>0</v>
      </c>
      <c r="N33" s="162">
        <f>Occ!G40</f>
        <v>0</v>
      </c>
      <c r="O33" s="153">
        <f>Occ!H40</f>
        <v>0</v>
      </c>
      <c r="P33" s="152">
        <v>918</v>
      </c>
      <c r="Q33" s="158"/>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E18" sqref="E18"/>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207" t="s">
        <v>22</v>
      </c>
      <c r="H8" s="208"/>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49</v>
      </c>
      <c r="D10" s="140">
        <v>98</v>
      </c>
      <c r="E10" s="139"/>
      <c r="F10" s="140"/>
      <c r="G10" s="161">
        <f>SUM(C10+E10)</f>
        <v>49</v>
      </c>
      <c r="H10" s="140">
        <f>D10+F10</f>
        <v>98</v>
      </c>
      <c r="I10" s="137">
        <v>918</v>
      </c>
      <c r="J10" s="129"/>
      <c r="K10" s="129"/>
      <c r="L10" s="129"/>
      <c r="M10" s="129"/>
      <c r="N10" s="129"/>
    </row>
    <row r="11" spans="1:14">
      <c r="A11" s="129"/>
      <c r="B11" s="138" t="s">
        <v>29</v>
      </c>
      <c r="C11" s="139">
        <v>95</v>
      </c>
      <c r="D11" s="140">
        <v>206</v>
      </c>
      <c r="E11" s="139"/>
      <c r="F11" s="140"/>
      <c r="G11" s="161">
        <f t="shared" ref="G11:G40" si="0">SUM(C11+E11)</f>
        <v>95</v>
      </c>
      <c r="H11" s="140">
        <f t="shared" ref="H11:H14" si="1">D11+F11</f>
        <v>206</v>
      </c>
      <c r="I11" s="137">
        <v>918</v>
      </c>
      <c r="J11" s="129"/>
      <c r="K11" s="129"/>
      <c r="L11" s="129"/>
      <c r="M11" s="129"/>
      <c r="N11" s="129"/>
    </row>
    <row r="12" spans="1:14">
      <c r="A12" s="129"/>
      <c r="B12" s="138" t="s">
        <v>30</v>
      </c>
      <c r="C12" s="139">
        <v>62</v>
      </c>
      <c r="D12" s="140">
        <v>128</v>
      </c>
      <c r="E12" s="139"/>
      <c r="F12" s="140"/>
      <c r="G12" s="161">
        <f t="shared" si="0"/>
        <v>62</v>
      </c>
      <c r="H12" s="140">
        <f t="shared" si="1"/>
        <v>128</v>
      </c>
      <c r="I12" s="137">
        <v>918</v>
      </c>
      <c r="J12" s="129"/>
      <c r="K12" s="129"/>
      <c r="L12" s="129"/>
      <c r="M12" s="129"/>
      <c r="N12" s="129"/>
    </row>
    <row r="13" spans="1:14">
      <c r="A13" s="129"/>
      <c r="B13" s="138" t="s">
        <v>31</v>
      </c>
      <c r="C13" s="139">
        <v>95</v>
      </c>
      <c r="D13" s="140">
        <v>209</v>
      </c>
      <c r="E13" s="139"/>
      <c r="F13" s="140"/>
      <c r="G13" s="161">
        <f t="shared" si="0"/>
        <v>95</v>
      </c>
      <c r="H13" s="140">
        <f t="shared" si="1"/>
        <v>209</v>
      </c>
      <c r="I13" s="137">
        <v>918</v>
      </c>
      <c r="J13" s="129"/>
      <c r="K13" s="129"/>
      <c r="L13" s="129"/>
      <c r="M13" s="129"/>
      <c r="N13" s="129"/>
    </row>
    <row r="14" spans="1:14">
      <c r="A14" s="129"/>
      <c r="B14" s="138" t="s">
        <v>32</v>
      </c>
      <c r="C14" s="139">
        <v>56</v>
      </c>
      <c r="D14" s="140">
        <v>118</v>
      </c>
      <c r="E14" s="139"/>
      <c r="F14" s="140"/>
      <c r="G14" s="161">
        <f t="shared" si="0"/>
        <v>56</v>
      </c>
      <c r="H14" s="140">
        <f t="shared" si="1"/>
        <v>118</v>
      </c>
      <c r="I14" s="137">
        <v>918</v>
      </c>
      <c r="J14" s="129"/>
      <c r="K14" s="129"/>
      <c r="L14" s="129"/>
      <c r="M14" s="129"/>
      <c r="N14" s="129"/>
    </row>
    <row r="15" spans="1:14">
      <c r="A15" s="129"/>
      <c r="B15" s="138" t="s">
        <v>33</v>
      </c>
      <c r="C15" s="139">
        <v>46</v>
      </c>
      <c r="D15" s="140">
        <v>96</v>
      </c>
      <c r="E15" s="139"/>
      <c r="F15" s="140"/>
      <c r="G15" s="161">
        <f t="shared" si="0"/>
        <v>46</v>
      </c>
      <c r="H15" s="140">
        <f t="shared" ref="H15:H40" si="2">D15+F15</f>
        <v>96</v>
      </c>
      <c r="I15" s="137">
        <v>918</v>
      </c>
      <c r="J15" s="129"/>
      <c r="K15" s="129"/>
      <c r="L15" s="129"/>
      <c r="M15" s="129"/>
      <c r="N15" s="129"/>
    </row>
    <row r="16" spans="1:14">
      <c r="A16" s="129"/>
      <c r="B16" s="138" t="s">
        <v>34</v>
      </c>
      <c r="C16" s="139">
        <v>76</v>
      </c>
      <c r="D16" s="140">
        <v>154</v>
      </c>
      <c r="E16" s="139"/>
      <c r="F16" s="140"/>
      <c r="G16" s="161">
        <f t="shared" si="0"/>
        <v>76</v>
      </c>
      <c r="H16" s="140">
        <f t="shared" si="2"/>
        <v>154</v>
      </c>
      <c r="I16" s="137">
        <v>918</v>
      </c>
      <c r="J16" s="129"/>
      <c r="K16" s="129"/>
      <c r="L16" s="129"/>
      <c r="M16" s="129"/>
      <c r="N16" s="129"/>
    </row>
    <row r="17" spans="1:14">
      <c r="A17" s="129"/>
      <c r="B17" s="138" t="s">
        <v>35</v>
      </c>
      <c r="C17" s="139">
        <v>90</v>
      </c>
      <c r="D17" s="140">
        <v>196</v>
      </c>
      <c r="E17" s="139"/>
      <c r="F17" s="140"/>
      <c r="G17" s="161">
        <f t="shared" si="0"/>
        <v>90</v>
      </c>
      <c r="H17" s="140">
        <f t="shared" si="2"/>
        <v>196</v>
      </c>
      <c r="I17" s="137">
        <v>918</v>
      </c>
      <c r="J17" s="129"/>
      <c r="K17" s="129"/>
      <c r="L17" s="129"/>
      <c r="M17" s="129"/>
      <c r="N17" s="129"/>
    </row>
    <row r="18" spans="1:14">
      <c r="A18" s="129"/>
      <c r="B18" s="138" t="s">
        <v>36</v>
      </c>
      <c r="C18" s="139">
        <v>140</v>
      </c>
      <c r="D18" s="140">
        <v>315</v>
      </c>
      <c r="E18" s="139"/>
      <c r="F18" s="140"/>
      <c r="G18" s="161">
        <f t="shared" si="0"/>
        <v>140</v>
      </c>
      <c r="H18" s="140">
        <f t="shared" si="2"/>
        <v>315</v>
      </c>
      <c r="I18" s="137">
        <v>918</v>
      </c>
      <c r="J18" s="129"/>
      <c r="K18" s="129"/>
      <c r="L18" s="129"/>
      <c r="M18" s="129"/>
      <c r="N18" s="129"/>
    </row>
    <row r="19" spans="1:14">
      <c r="A19" s="129"/>
      <c r="B19" s="138" t="s">
        <v>37</v>
      </c>
      <c r="C19" s="139">
        <v>106</v>
      </c>
      <c r="D19" s="140">
        <v>233</v>
      </c>
      <c r="E19" s="139"/>
      <c r="F19" s="140"/>
      <c r="G19" s="161">
        <f t="shared" si="0"/>
        <v>106</v>
      </c>
      <c r="H19" s="140">
        <f t="shared" si="2"/>
        <v>233</v>
      </c>
      <c r="I19" s="137">
        <v>918</v>
      </c>
      <c r="J19" s="129"/>
      <c r="K19" s="129"/>
      <c r="L19" s="129"/>
      <c r="M19" s="129"/>
      <c r="N19" s="129"/>
    </row>
    <row r="20" spans="1:14">
      <c r="A20" s="129"/>
      <c r="B20" s="138" t="s">
        <v>38</v>
      </c>
      <c r="C20" s="139">
        <v>73</v>
      </c>
      <c r="D20" s="140">
        <v>148</v>
      </c>
      <c r="E20" s="139"/>
      <c r="F20" s="140"/>
      <c r="G20" s="161">
        <f t="shared" si="0"/>
        <v>73</v>
      </c>
      <c r="H20" s="140">
        <f t="shared" si="2"/>
        <v>148</v>
      </c>
      <c r="I20" s="137">
        <v>918</v>
      </c>
      <c r="J20" s="129"/>
      <c r="K20" s="129"/>
      <c r="L20" s="129"/>
      <c r="M20" s="129"/>
      <c r="N20" s="129"/>
    </row>
    <row r="21" spans="1:14">
      <c r="A21" s="129"/>
      <c r="B21" s="138" t="s">
        <v>39</v>
      </c>
      <c r="C21" s="139">
        <v>90</v>
      </c>
      <c r="D21" s="140">
        <v>187</v>
      </c>
      <c r="E21" s="161"/>
      <c r="F21" s="140"/>
      <c r="G21" s="161">
        <f t="shared" ref="G21:G34" si="3">SUM(C21+E21)</f>
        <v>90</v>
      </c>
      <c r="H21" s="140">
        <f t="shared" ref="H21:H34" si="4">D21+F21</f>
        <v>187</v>
      </c>
      <c r="I21" s="137">
        <v>918</v>
      </c>
      <c r="J21" s="129"/>
      <c r="K21" s="129"/>
      <c r="L21" s="129"/>
      <c r="M21" s="129"/>
      <c r="N21" s="129"/>
    </row>
    <row r="22" spans="1:14">
      <c r="A22" s="129"/>
      <c r="B22" s="138" t="s">
        <v>40</v>
      </c>
      <c r="C22" s="201">
        <v>94</v>
      </c>
      <c r="D22" s="202">
        <v>207</v>
      </c>
      <c r="E22" s="161"/>
      <c r="F22" s="140"/>
      <c r="G22" s="161">
        <f t="shared" si="3"/>
        <v>94</v>
      </c>
      <c r="H22" s="140">
        <f t="shared" si="4"/>
        <v>207</v>
      </c>
      <c r="I22" s="137">
        <v>918</v>
      </c>
      <c r="J22" s="129"/>
      <c r="K22" s="129"/>
      <c r="L22" s="129"/>
      <c r="M22" s="129"/>
      <c r="N22" s="129"/>
    </row>
    <row r="23" spans="1:14">
      <c r="A23" s="129"/>
      <c r="B23" s="138" t="s">
        <v>41</v>
      </c>
      <c r="C23" s="201">
        <v>89</v>
      </c>
      <c r="D23" s="202">
        <v>193</v>
      </c>
      <c r="E23" s="161"/>
      <c r="F23" s="140"/>
      <c r="G23" s="161">
        <f t="shared" si="3"/>
        <v>89</v>
      </c>
      <c r="H23" s="140">
        <f t="shared" si="4"/>
        <v>193</v>
      </c>
      <c r="I23" s="137">
        <v>918</v>
      </c>
      <c r="J23" s="129"/>
      <c r="K23" s="129"/>
      <c r="L23" s="129"/>
      <c r="M23" s="129"/>
      <c r="N23" s="129"/>
    </row>
    <row r="24" spans="1:14">
      <c r="A24" s="129"/>
      <c r="B24" s="138" t="s">
        <v>42</v>
      </c>
      <c r="C24" s="201">
        <v>164</v>
      </c>
      <c r="D24" s="202">
        <v>390</v>
      </c>
      <c r="E24" s="161"/>
      <c r="F24" s="140"/>
      <c r="G24" s="161">
        <f t="shared" si="3"/>
        <v>164</v>
      </c>
      <c r="H24" s="140">
        <f t="shared" si="4"/>
        <v>390</v>
      </c>
      <c r="I24" s="137">
        <v>918</v>
      </c>
      <c r="J24" s="129"/>
      <c r="K24" s="129"/>
      <c r="L24" s="129"/>
      <c r="M24" s="129"/>
      <c r="N24" s="129"/>
    </row>
    <row r="25" spans="1:14">
      <c r="A25" s="129"/>
      <c r="B25" s="138" t="s">
        <v>43</v>
      </c>
      <c r="C25" s="201">
        <v>148</v>
      </c>
      <c r="D25" s="202">
        <v>350</v>
      </c>
      <c r="E25" s="161"/>
      <c r="F25" s="140"/>
      <c r="G25" s="161">
        <f t="shared" si="3"/>
        <v>148</v>
      </c>
      <c r="H25" s="140">
        <f t="shared" si="4"/>
        <v>350</v>
      </c>
      <c r="I25" s="137">
        <v>918</v>
      </c>
      <c r="J25" s="129"/>
      <c r="K25" s="129"/>
      <c r="L25" s="129"/>
      <c r="M25" s="129"/>
      <c r="N25" s="129"/>
    </row>
    <row r="26" spans="1:14">
      <c r="A26" s="129"/>
      <c r="B26" s="138" t="s">
        <v>44</v>
      </c>
      <c r="C26" s="201">
        <v>146</v>
      </c>
      <c r="D26" s="202">
        <v>356</v>
      </c>
      <c r="E26" s="161"/>
      <c r="F26" s="140"/>
      <c r="G26" s="161">
        <f t="shared" si="3"/>
        <v>146</v>
      </c>
      <c r="H26" s="140">
        <f t="shared" si="4"/>
        <v>356</v>
      </c>
      <c r="I26" s="137">
        <v>918</v>
      </c>
      <c r="J26" s="129"/>
      <c r="K26" s="129"/>
      <c r="L26" s="129"/>
      <c r="M26" s="129"/>
      <c r="N26" s="129"/>
    </row>
    <row r="27" spans="1:14">
      <c r="A27" s="129"/>
      <c r="B27" s="138" t="s">
        <v>45</v>
      </c>
      <c r="C27" s="201">
        <v>117</v>
      </c>
      <c r="D27" s="202">
        <v>243</v>
      </c>
      <c r="E27" s="161"/>
      <c r="F27" s="140"/>
      <c r="G27" s="161">
        <f t="shared" si="3"/>
        <v>117</v>
      </c>
      <c r="H27" s="140">
        <f t="shared" si="4"/>
        <v>243</v>
      </c>
      <c r="I27" s="137">
        <v>918</v>
      </c>
      <c r="J27" s="129"/>
      <c r="K27" s="129"/>
      <c r="L27" s="129"/>
      <c r="M27" s="129"/>
      <c r="N27" s="129"/>
    </row>
    <row r="28" spans="1:14">
      <c r="A28" s="129"/>
      <c r="B28" s="138" t="s">
        <v>46</v>
      </c>
      <c r="C28" s="139">
        <v>80</v>
      </c>
      <c r="D28" s="140">
        <v>171</v>
      </c>
      <c r="E28" s="161"/>
      <c r="F28" s="140"/>
      <c r="G28" s="161">
        <f t="shared" si="3"/>
        <v>80</v>
      </c>
      <c r="H28" s="140">
        <f t="shared" si="4"/>
        <v>171</v>
      </c>
      <c r="I28" s="137">
        <v>918</v>
      </c>
      <c r="J28" s="129"/>
      <c r="K28" s="129"/>
      <c r="L28" s="129"/>
      <c r="M28" s="129"/>
      <c r="N28" s="129"/>
    </row>
    <row r="29" spans="1:14">
      <c r="A29" s="129"/>
      <c r="B29" s="138" t="s">
        <v>47</v>
      </c>
      <c r="C29" s="139">
        <v>79</v>
      </c>
      <c r="D29" s="140">
        <v>164</v>
      </c>
      <c r="E29" s="161"/>
      <c r="F29" s="140"/>
      <c r="G29" s="161">
        <f t="shared" si="3"/>
        <v>79</v>
      </c>
      <c r="H29" s="140">
        <f t="shared" si="4"/>
        <v>164</v>
      </c>
      <c r="I29" s="137">
        <v>918</v>
      </c>
      <c r="J29" s="129"/>
      <c r="K29" s="129"/>
      <c r="L29" s="129"/>
      <c r="M29" s="129"/>
      <c r="N29" s="129"/>
    </row>
    <row r="30" spans="1:14">
      <c r="A30" s="129"/>
      <c r="B30" s="138" t="s">
        <v>48</v>
      </c>
      <c r="C30" s="139">
        <v>71</v>
      </c>
      <c r="D30" s="140">
        <v>143</v>
      </c>
      <c r="E30" s="161"/>
      <c r="F30" s="140"/>
      <c r="G30" s="161">
        <f t="shared" si="3"/>
        <v>71</v>
      </c>
      <c r="H30" s="140">
        <f t="shared" si="4"/>
        <v>143</v>
      </c>
      <c r="I30" s="137">
        <v>918</v>
      </c>
      <c r="J30" s="129"/>
      <c r="K30" s="129"/>
      <c r="L30" s="129"/>
      <c r="M30" s="129"/>
      <c r="N30" s="129"/>
    </row>
    <row r="31" spans="1:14">
      <c r="A31" s="129"/>
      <c r="B31" s="138" t="s">
        <v>49</v>
      </c>
      <c r="C31" s="139">
        <v>104</v>
      </c>
      <c r="D31" s="140">
        <v>226</v>
      </c>
      <c r="E31" s="161"/>
      <c r="F31" s="140"/>
      <c r="G31" s="161">
        <f t="shared" si="3"/>
        <v>104</v>
      </c>
      <c r="H31" s="140">
        <f t="shared" si="4"/>
        <v>226</v>
      </c>
      <c r="I31" s="137">
        <v>918</v>
      </c>
      <c r="J31" s="129"/>
      <c r="K31" s="129"/>
      <c r="L31" s="129"/>
      <c r="M31" s="129"/>
      <c r="N31" s="129"/>
    </row>
    <row r="32" spans="1:14">
      <c r="A32" s="129"/>
      <c r="B32" s="138" t="s">
        <v>50</v>
      </c>
      <c r="C32" s="139">
        <v>126</v>
      </c>
      <c r="D32" s="140">
        <v>283</v>
      </c>
      <c r="E32" s="161"/>
      <c r="F32" s="140"/>
      <c r="G32" s="161">
        <f t="shared" si="3"/>
        <v>126</v>
      </c>
      <c r="H32" s="140">
        <f t="shared" si="4"/>
        <v>283</v>
      </c>
      <c r="I32" s="137">
        <v>918</v>
      </c>
      <c r="J32" s="129"/>
      <c r="K32" s="129"/>
      <c r="L32" s="129"/>
      <c r="M32" s="129"/>
      <c r="N32" s="129"/>
    </row>
    <row r="33" spans="1:14">
      <c r="A33" s="129"/>
      <c r="B33" s="138" t="s">
        <v>51</v>
      </c>
      <c r="C33" s="139">
        <v>103</v>
      </c>
      <c r="D33" s="140">
        <v>209</v>
      </c>
      <c r="E33" s="161"/>
      <c r="F33" s="140"/>
      <c r="G33" s="161">
        <f t="shared" si="3"/>
        <v>103</v>
      </c>
      <c r="H33" s="140">
        <f t="shared" si="4"/>
        <v>209</v>
      </c>
      <c r="I33" s="137">
        <v>918</v>
      </c>
      <c r="J33" s="129"/>
      <c r="K33" s="129"/>
      <c r="L33" s="129"/>
      <c r="M33" s="129"/>
      <c r="N33" s="129"/>
    </row>
    <row r="34" spans="1:14">
      <c r="A34" s="129"/>
      <c r="B34" s="138" t="s">
        <v>52</v>
      </c>
      <c r="C34" s="139">
        <v>55</v>
      </c>
      <c r="D34" s="140">
        <v>111</v>
      </c>
      <c r="E34" s="161"/>
      <c r="F34" s="140"/>
      <c r="G34" s="161">
        <f t="shared" si="3"/>
        <v>55</v>
      </c>
      <c r="H34" s="140">
        <f t="shared" si="4"/>
        <v>111</v>
      </c>
      <c r="I34" s="137">
        <v>918</v>
      </c>
      <c r="J34" s="129"/>
      <c r="K34" s="129"/>
      <c r="L34" s="129"/>
      <c r="M34" s="129"/>
      <c r="N34" s="129"/>
    </row>
    <row r="35" spans="1:14">
      <c r="A35" s="129"/>
      <c r="B35" s="138" t="s">
        <v>53</v>
      </c>
      <c r="C35" s="139">
        <v>64</v>
      </c>
      <c r="D35" s="140">
        <v>131</v>
      </c>
      <c r="E35" s="139"/>
      <c r="F35" s="140"/>
      <c r="G35" s="161">
        <f t="shared" si="0"/>
        <v>64</v>
      </c>
      <c r="H35" s="140">
        <f t="shared" si="2"/>
        <v>131</v>
      </c>
      <c r="I35" s="137">
        <v>918</v>
      </c>
      <c r="J35" s="129"/>
      <c r="K35" s="129"/>
      <c r="L35" s="129"/>
      <c r="M35" s="129"/>
      <c r="N35" s="129"/>
    </row>
    <row r="36" spans="1:14">
      <c r="A36" s="129"/>
      <c r="B36" s="138" t="s">
        <v>54</v>
      </c>
      <c r="C36" s="139">
        <v>63</v>
      </c>
      <c r="D36" s="140">
        <v>122</v>
      </c>
      <c r="E36" s="139"/>
      <c r="F36" s="140"/>
      <c r="G36" s="161">
        <f t="shared" si="0"/>
        <v>63</v>
      </c>
      <c r="H36" s="140">
        <f t="shared" si="2"/>
        <v>122</v>
      </c>
      <c r="I36" s="137">
        <v>918</v>
      </c>
      <c r="J36" s="129"/>
      <c r="K36" s="129"/>
      <c r="L36" s="129"/>
      <c r="M36" s="129"/>
      <c r="N36" s="129"/>
    </row>
    <row r="37" spans="1:14">
      <c r="A37" s="129"/>
      <c r="B37" s="138" t="s">
        <v>55</v>
      </c>
      <c r="C37" s="139">
        <v>92</v>
      </c>
      <c r="D37" s="140">
        <v>185</v>
      </c>
      <c r="E37" s="139"/>
      <c r="F37" s="140"/>
      <c r="G37" s="161">
        <f t="shared" si="0"/>
        <v>92</v>
      </c>
      <c r="H37" s="140">
        <f t="shared" si="2"/>
        <v>185</v>
      </c>
      <c r="I37" s="137">
        <v>918</v>
      </c>
      <c r="J37" s="129"/>
      <c r="K37" s="129"/>
      <c r="L37" s="129"/>
      <c r="M37" s="129"/>
      <c r="N37" s="129"/>
    </row>
    <row r="38" spans="1:14" s="175" customFormat="1">
      <c r="A38" s="169"/>
      <c r="B38" s="170" t="s">
        <v>56</v>
      </c>
      <c r="C38" s="171">
        <v>143</v>
      </c>
      <c r="D38" s="140">
        <v>293</v>
      </c>
      <c r="E38" s="171"/>
      <c r="F38" s="172"/>
      <c r="G38" s="173">
        <f t="shared" si="0"/>
        <v>143</v>
      </c>
      <c r="H38" s="172">
        <f t="shared" si="2"/>
        <v>293</v>
      </c>
      <c r="I38" s="174">
        <v>918</v>
      </c>
      <c r="J38" s="169"/>
      <c r="K38" s="169"/>
      <c r="L38" s="169"/>
      <c r="M38" s="169"/>
      <c r="N38" s="169"/>
    </row>
    <row r="39" spans="1:14" s="175" customFormat="1">
      <c r="A39" s="169"/>
      <c r="B39" s="170" t="s">
        <v>57</v>
      </c>
      <c r="C39" s="171">
        <v>155</v>
      </c>
      <c r="D39" s="172">
        <v>352</v>
      </c>
      <c r="E39" s="171"/>
      <c r="F39" s="172"/>
      <c r="G39" s="173">
        <f t="shared" si="0"/>
        <v>155</v>
      </c>
      <c r="H39" s="172">
        <f t="shared" si="2"/>
        <v>352</v>
      </c>
      <c r="I39" s="174">
        <v>918</v>
      </c>
      <c r="J39" s="169"/>
      <c r="K39" s="169"/>
      <c r="L39" s="169"/>
      <c r="M39" s="169"/>
      <c r="N39" s="169"/>
    </row>
    <row r="40" spans="1:14" s="175" customFormat="1" ht="15.75" thickBot="1">
      <c r="A40" s="169"/>
      <c r="B40" s="170" t="s">
        <v>58</v>
      </c>
      <c r="C40" s="176"/>
      <c r="D40" s="177"/>
      <c r="E40" s="176"/>
      <c r="F40" s="177"/>
      <c r="G40" s="178">
        <f t="shared" si="0"/>
        <v>0</v>
      </c>
      <c r="H40" s="177">
        <f t="shared" si="2"/>
        <v>0</v>
      </c>
      <c r="I40" s="174">
        <v>918</v>
      </c>
      <c r="J40" s="169"/>
      <c r="K40" s="169"/>
      <c r="L40" s="169"/>
      <c r="M40" s="169"/>
      <c r="N40" s="169"/>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31500</v>
      </c>
      <c r="F2" s="100"/>
      <c r="G2" s="100">
        <f>'Athens Daily - Gas'!BH9</f>
        <v>90268.799999999988</v>
      </c>
      <c r="H2" s="100">
        <f>G2/38.3</f>
        <v>2356.8877284595301</v>
      </c>
      <c r="I2" s="100"/>
      <c r="J2" s="100">
        <f>'Athens Daily - Water'!R7</f>
        <v>262</v>
      </c>
      <c r="K2" s="100"/>
      <c r="L2" s="101">
        <v>142</v>
      </c>
      <c r="M2" s="100">
        <f>L2*2</f>
        <v>284</v>
      </c>
      <c r="N2" s="98">
        <v>10</v>
      </c>
    </row>
    <row r="3" spans="1:14">
      <c r="A3" s="7" t="s">
        <v>14</v>
      </c>
      <c r="B3" s="7">
        <v>2</v>
      </c>
      <c r="C3" s="7">
        <v>1</v>
      </c>
      <c r="D3" s="7">
        <v>2021</v>
      </c>
      <c r="E3" s="100">
        <f>'Athens Daily - EL'!AK9</f>
        <v>29270</v>
      </c>
      <c r="F3" s="100"/>
      <c r="G3" s="100">
        <f>'Athens Daily - Gas'!BH10</f>
        <v>116351.18399999999</v>
      </c>
      <c r="H3" s="100">
        <f t="shared" ref="H3:H32" si="0">G3/38.3</f>
        <v>3037.8899216710183</v>
      </c>
      <c r="I3" s="100"/>
      <c r="J3" s="100">
        <f>'Athens Daily - Water'!R8</f>
        <v>307</v>
      </c>
      <c r="K3" s="100"/>
      <c r="L3" s="101">
        <v>102</v>
      </c>
      <c r="M3" s="100">
        <f t="shared" ref="M3:M32" si="1">L3*2</f>
        <v>204</v>
      </c>
      <c r="N3" s="98">
        <v>12</v>
      </c>
    </row>
    <row r="4" spans="1:14">
      <c r="A4" s="7" t="s">
        <v>14</v>
      </c>
      <c r="B4" s="7">
        <v>3</v>
      </c>
      <c r="C4" s="7">
        <v>1</v>
      </c>
      <c r="D4" s="7">
        <v>2021</v>
      </c>
      <c r="E4" s="100">
        <f>'Athens Daily - EL'!AK10</f>
        <v>30495</v>
      </c>
      <c r="F4" s="100"/>
      <c r="G4" s="100">
        <f>'Athens Daily - Gas'!BH11</f>
        <v>129947.18399999998</v>
      </c>
      <c r="H4" s="100">
        <f t="shared" si="0"/>
        <v>3392.8768668407306</v>
      </c>
      <c r="I4" s="100"/>
      <c r="J4" s="100">
        <f>'Athens Daily - Water'!R9</f>
        <v>334</v>
      </c>
      <c r="K4" s="100"/>
      <c r="L4" s="101">
        <v>55</v>
      </c>
      <c r="M4" s="100">
        <f t="shared" si="1"/>
        <v>110</v>
      </c>
      <c r="N4" s="98">
        <v>15</v>
      </c>
    </row>
    <row r="5" spans="1:14">
      <c r="A5" s="7" t="s">
        <v>14</v>
      </c>
      <c r="B5" s="7">
        <v>4</v>
      </c>
      <c r="C5" s="7">
        <v>1</v>
      </c>
      <c r="D5" s="7">
        <v>2021</v>
      </c>
      <c r="E5" s="100">
        <f>'Athens Daily - EL'!AK11</f>
        <v>29315</v>
      </c>
      <c r="F5" s="100"/>
      <c r="G5" s="100">
        <f>'Athens Daily - Gas'!BH12</f>
        <v>106736.25600000001</v>
      </c>
      <c r="H5" s="100">
        <f t="shared" si="0"/>
        <v>2786.8474151436035</v>
      </c>
      <c r="I5" s="100"/>
      <c r="J5" s="100">
        <f>'Athens Daily - Water'!R10</f>
        <v>340</v>
      </c>
      <c r="K5" s="100"/>
      <c r="L5" s="101">
        <v>45</v>
      </c>
      <c r="M5" s="100">
        <f t="shared" si="1"/>
        <v>90</v>
      </c>
      <c r="N5" s="98">
        <v>17</v>
      </c>
    </row>
    <row r="6" spans="1:14">
      <c r="A6" s="7" t="s">
        <v>14</v>
      </c>
      <c r="B6" s="7">
        <v>5</v>
      </c>
      <c r="C6" s="7">
        <v>1</v>
      </c>
      <c r="D6" s="7">
        <v>2021</v>
      </c>
      <c r="E6" s="100">
        <f>'Athens Daily - EL'!AK12</f>
        <v>31725</v>
      </c>
      <c r="F6" s="100"/>
      <c r="G6" s="100">
        <f>'Athens Daily - Gas'!BH13</f>
        <v>101011.2</v>
      </c>
      <c r="H6" s="100">
        <f t="shared" si="0"/>
        <v>2637.3681462140994</v>
      </c>
      <c r="I6" s="100"/>
      <c r="J6" s="100">
        <f>'Athens Daily - Water'!R11</f>
        <v>307</v>
      </c>
      <c r="K6" s="100"/>
      <c r="L6" s="101">
        <v>34</v>
      </c>
      <c r="M6" s="100">
        <f t="shared" si="1"/>
        <v>68</v>
      </c>
      <c r="N6" s="98">
        <v>15</v>
      </c>
    </row>
    <row r="7" spans="1:14">
      <c r="A7" s="7" t="s">
        <v>14</v>
      </c>
      <c r="B7" s="7">
        <v>6</v>
      </c>
      <c r="C7" s="7">
        <v>1</v>
      </c>
      <c r="D7" s="7">
        <v>2021</v>
      </c>
      <c r="E7" s="100">
        <f>'Athens Daily - EL'!AK13</f>
        <v>31035</v>
      </c>
      <c r="F7" s="100"/>
      <c r="G7" s="100">
        <f>'Athens Daily - Gas'!BH14</f>
        <v>94310.399999999994</v>
      </c>
      <c r="H7" s="100">
        <f t="shared" si="0"/>
        <v>2462.4125326370759</v>
      </c>
      <c r="I7" s="100"/>
      <c r="J7" s="100">
        <f>'Athens Daily - Water'!R12</f>
        <v>351</v>
      </c>
      <c r="K7" s="100"/>
      <c r="L7" s="101">
        <v>36</v>
      </c>
      <c r="M7" s="100">
        <f t="shared" si="1"/>
        <v>72</v>
      </c>
      <c r="N7" s="98"/>
    </row>
    <row r="8" spans="1:14">
      <c r="A8" s="7" t="s">
        <v>14</v>
      </c>
      <c r="B8" s="7">
        <v>7</v>
      </c>
      <c r="C8" s="7">
        <v>1</v>
      </c>
      <c r="D8" s="7">
        <v>2021</v>
      </c>
      <c r="E8" s="100">
        <f>'Athens Daily - EL'!AK14</f>
        <v>32125</v>
      </c>
      <c r="F8" s="100"/>
      <c r="G8" s="100">
        <f>'Athens Daily - Gas'!BH15</f>
        <v>94752</v>
      </c>
      <c r="H8" s="100">
        <f t="shared" si="0"/>
        <v>2473.9425587467363</v>
      </c>
      <c r="I8" s="100"/>
      <c r="J8" s="100">
        <f>'Athens Daily - Water'!R13</f>
        <v>280</v>
      </c>
      <c r="K8" s="100"/>
      <c r="L8" s="101">
        <v>60</v>
      </c>
      <c r="M8" s="100">
        <f t="shared" si="1"/>
        <v>120</v>
      </c>
      <c r="N8" s="98"/>
    </row>
    <row r="9" spans="1:14">
      <c r="A9" s="7" t="s">
        <v>14</v>
      </c>
      <c r="B9" s="7">
        <v>8</v>
      </c>
      <c r="C9" s="7">
        <v>1</v>
      </c>
      <c r="D9" s="7">
        <v>2021</v>
      </c>
      <c r="E9" s="100">
        <f>'Athens Daily - EL'!AK15</f>
        <v>28915</v>
      </c>
      <c r="F9" s="100"/>
      <c r="G9" s="100">
        <f>'Athens Daily - Gas'!BH16</f>
        <v>92416.463999999978</v>
      </c>
      <c r="H9" s="100">
        <f t="shared" si="0"/>
        <v>2412.9625065274149</v>
      </c>
      <c r="I9" s="100"/>
      <c r="J9" s="100">
        <f>'Athens Daily - Water'!R14</f>
        <v>306</v>
      </c>
      <c r="K9" s="100"/>
      <c r="L9" s="101">
        <v>64</v>
      </c>
      <c r="M9" s="100">
        <f t="shared" si="1"/>
        <v>128</v>
      </c>
      <c r="N9" s="98"/>
    </row>
    <row r="10" spans="1:14">
      <c r="A10" s="7" t="s">
        <v>14</v>
      </c>
      <c r="B10" s="7">
        <v>9</v>
      </c>
      <c r="C10" s="7">
        <v>1</v>
      </c>
      <c r="D10" s="7">
        <v>2021</v>
      </c>
      <c r="E10" s="100">
        <f>'Athens Daily - EL'!AK16</f>
        <v>37565</v>
      </c>
      <c r="F10" s="100"/>
      <c r="G10" s="100">
        <f>'Athens Daily - Gas'!BH17</f>
        <v>89287.200000000026</v>
      </c>
      <c r="H10" s="100">
        <f t="shared" si="0"/>
        <v>2331.2584856396875</v>
      </c>
      <c r="I10" s="100"/>
      <c r="J10" s="100">
        <f>'Athens Daily - Water'!R15</f>
        <v>352</v>
      </c>
      <c r="K10" s="100"/>
      <c r="L10" s="101">
        <v>100</v>
      </c>
      <c r="M10" s="100">
        <f t="shared" si="1"/>
        <v>200</v>
      </c>
      <c r="N10" s="98">
        <v>9</v>
      </c>
    </row>
    <row r="11" spans="1:14">
      <c r="A11" s="7" t="s">
        <v>14</v>
      </c>
      <c r="B11" s="7">
        <v>10</v>
      </c>
      <c r="C11" s="7">
        <v>1</v>
      </c>
      <c r="D11" s="7">
        <v>2021</v>
      </c>
      <c r="E11" s="100">
        <f>'Athens Daily - EL'!AK17</f>
        <v>43610</v>
      </c>
      <c r="F11" s="100"/>
      <c r="G11" s="100">
        <f>'Athens Daily - Gas'!BH18</f>
        <v>101680.79999999999</v>
      </c>
      <c r="H11" s="100">
        <f t="shared" si="0"/>
        <v>2654.8511749347258</v>
      </c>
      <c r="I11" s="100"/>
      <c r="J11" s="100">
        <f>'Athens Daily - Water'!R16</f>
        <v>379</v>
      </c>
      <c r="K11" s="100"/>
      <c r="L11" s="101">
        <v>63</v>
      </c>
      <c r="M11" s="100">
        <f t="shared" si="1"/>
        <v>126</v>
      </c>
      <c r="N11" s="98">
        <v>12</v>
      </c>
    </row>
    <row r="12" spans="1:14">
      <c r="A12" s="7" t="s">
        <v>14</v>
      </c>
      <c r="B12" s="7">
        <v>11</v>
      </c>
      <c r="C12" s="7">
        <v>1</v>
      </c>
      <c r="D12" s="7">
        <v>2021</v>
      </c>
      <c r="E12" s="100">
        <f>'Athens Daily - EL'!AK18</f>
        <v>28505</v>
      </c>
      <c r="F12" s="100"/>
      <c r="G12" s="100">
        <f>'Athens Daily - Gas'!BH19</f>
        <v>109159.48799999997</v>
      </c>
      <c r="H12" s="100">
        <f t="shared" si="0"/>
        <v>2850.1171801566575</v>
      </c>
      <c r="I12" s="100"/>
      <c r="J12" s="100">
        <f>'Athens Daily - Water'!R17</f>
        <v>411</v>
      </c>
      <c r="K12" s="100"/>
      <c r="L12" s="101">
        <v>39</v>
      </c>
      <c r="M12" s="100">
        <f t="shared" si="1"/>
        <v>78</v>
      </c>
      <c r="N12" s="98">
        <v>12</v>
      </c>
    </row>
    <row r="13" spans="1:14">
      <c r="A13" s="7" t="s">
        <v>14</v>
      </c>
      <c r="B13" s="7">
        <v>12</v>
      </c>
      <c r="C13" s="7">
        <v>1</v>
      </c>
      <c r="D13" s="7">
        <v>2021</v>
      </c>
      <c r="E13" s="100">
        <f>'Athens Daily - EL'!AK19</f>
        <v>29070</v>
      </c>
      <c r="F13" s="100"/>
      <c r="G13" s="100">
        <f>'Athens Daily - Gas'!BH20</f>
        <v>103841.952</v>
      </c>
      <c r="H13" s="100">
        <f t="shared" si="0"/>
        <v>2711.278120104439</v>
      </c>
      <c r="I13" s="100"/>
      <c r="J13" s="100">
        <f>'Athens Daily - Water'!R18</f>
        <v>347</v>
      </c>
      <c r="K13" s="100"/>
      <c r="L13" s="101">
        <v>43</v>
      </c>
      <c r="M13" s="100">
        <f t="shared" si="1"/>
        <v>86</v>
      </c>
      <c r="N13" s="98">
        <v>10</v>
      </c>
    </row>
    <row r="14" spans="1:14">
      <c r="A14" s="7" t="s">
        <v>14</v>
      </c>
      <c r="B14" s="7">
        <v>13</v>
      </c>
      <c r="C14" s="7">
        <v>1</v>
      </c>
      <c r="D14" s="7">
        <v>2021</v>
      </c>
      <c r="E14" s="100">
        <f>'Athens Daily - EL'!AK20</f>
        <v>32480</v>
      </c>
      <c r="F14" s="100"/>
      <c r="G14" s="100">
        <f>'Athens Daily - Gas'!BH21</f>
        <v>96614.399999999994</v>
      </c>
      <c r="H14" s="100">
        <f t="shared" si="0"/>
        <v>2522.5691906005222</v>
      </c>
      <c r="I14" s="100"/>
      <c r="J14" s="100">
        <f>'Athens Daily - Water'!R19</f>
        <v>342</v>
      </c>
      <c r="K14" s="100"/>
      <c r="L14" s="101">
        <v>46</v>
      </c>
      <c r="M14" s="100">
        <f t="shared" si="1"/>
        <v>92</v>
      </c>
      <c r="N14" s="98">
        <v>12</v>
      </c>
    </row>
    <row r="15" spans="1:14">
      <c r="A15" s="7" t="s">
        <v>14</v>
      </c>
      <c r="B15" s="7">
        <v>14</v>
      </c>
      <c r="C15" s="7">
        <v>1</v>
      </c>
      <c r="D15" s="7">
        <v>2021</v>
      </c>
      <c r="E15" s="100">
        <f>'Athens Daily - EL'!AK21</f>
        <v>26988.333333333576</v>
      </c>
      <c r="F15" s="100"/>
      <c r="G15" s="100">
        <f>'Athens Daily - Gas'!BH22</f>
        <v>100935.45600000002</v>
      </c>
      <c r="H15" s="100">
        <f t="shared" si="0"/>
        <v>2635.3904960835516</v>
      </c>
      <c r="I15" s="100"/>
      <c r="J15" s="100">
        <f>'Athens Daily - Water'!R20</f>
        <v>585</v>
      </c>
      <c r="K15" s="100"/>
      <c r="L15" s="101">
        <v>55</v>
      </c>
      <c r="M15" s="100">
        <f t="shared" si="1"/>
        <v>110</v>
      </c>
      <c r="N15" s="98">
        <v>13</v>
      </c>
    </row>
    <row r="16" spans="1:14">
      <c r="A16" s="7" t="s">
        <v>14</v>
      </c>
      <c r="B16" s="7">
        <v>15</v>
      </c>
      <c r="C16" s="7">
        <v>1</v>
      </c>
      <c r="D16" s="7">
        <v>2021</v>
      </c>
      <c r="E16" s="100">
        <f>'Athens Daily - EL'!AK22</f>
        <v>29233.333333333576</v>
      </c>
      <c r="F16" s="100"/>
      <c r="G16" s="100">
        <f>'Athens Daily - Gas'!BH23</f>
        <v>109274.304</v>
      </c>
      <c r="H16" s="100">
        <f t="shared" si="0"/>
        <v>2853.1149869451701</v>
      </c>
      <c r="I16" s="100"/>
      <c r="J16" s="100">
        <f>'Athens Daily - Water'!R21</f>
        <v>525.66666666666606</v>
      </c>
      <c r="K16" s="100"/>
      <c r="L16" s="101">
        <v>74</v>
      </c>
      <c r="M16" s="100">
        <f t="shared" si="1"/>
        <v>148</v>
      </c>
      <c r="N16" s="98">
        <v>13</v>
      </c>
    </row>
    <row r="17" spans="1:14">
      <c r="A17" s="7" t="s">
        <v>14</v>
      </c>
      <c r="B17" s="7">
        <v>16</v>
      </c>
      <c r="C17" s="7">
        <v>1</v>
      </c>
      <c r="D17" s="7">
        <v>2021</v>
      </c>
      <c r="E17" s="100">
        <f>'Athens Daily - EL'!AK23</f>
        <v>54783.333333332848</v>
      </c>
      <c r="F17" s="100"/>
      <c r="G17" s="100">
        <f>'Athens Daily - Gas'!BH24</f>
        <v>106876.79999999999</v>
      </c>
      <c r="H17" s="100">
        <f t="shared" si="0"/>
        <v>2790.5169712793731</v>
      </c>
      <c r="I17" s="100"/>
      <c r="J17" s="100">
        <f>'Athens Daily - Water'!R22</f>
        <v>587.49711111111174</v>
      </c>
      <c r="K17" s="100"/>
      <c r="L17" s="101">
        <v>149</v>
      </c>
      <c r="M17" s="100">
        <f t="shared" si="1"/>
        <v>298</v>
      </c>
      <c r="N17" s="102"/>
    </row>
    <row r="18" spans="1:14">
      <c r="A18" s="7" t="s">
        <v>14</v>
      </c>
      <c r="B18" s="7">
        <v>17</v>
      </c>
      <c r="C18" s="7">
        <v>1</v>
      </c>
      <c r="D18" s="7">
        <v>2021</v>
      </c>
      <c r="E18" s="100">
        <f>'Athens Daily - EL'!AK24</f>
        <v>33395</v>
      </c>
      <c r="F18" s="100"/>
      <c r="G18" s="100">
        <f>'Athens Daily - Gas'!BH25</f>
        <v>111433.91999999998</v>
      </c>
      <c r="H18" s="100">
        <f t="shared" si="0"/>
        <v>2909.5018276762398</v>
      </c>
      <c r="I18" s="100"/>
      <c r="J18" s="100">
        <f>'Athens Daily - Water'!R23</f>
        <v>655.8362222222222</v>
      </c>
      <c r="K18" s="100"/>
      <c r="L18" s="101">
        <v>64</v>
      </c>
      <c r="M18" s="100">
        <f t="shared" si="1"/>
        <v>128</v>
      </c>
      <c r="N18" s="102"/>
    </row>
    <row r="19" spans="1:14">
      <c r="A19" s="7" t="s">
        <v>14</v>
      </c>
      <c r="B19" s="7">
        <v>18</v>
      </c>
      <c r="C19" s="7">
        <v>1</v>
      </c>
      <c r="D19" s="7">
        <v>2021</v>
      </c>
      <c r="E19" s="100">
        <f>'Athens Daily - EL'!AK25</f>
        <v>33710</v>
      </c>
      <c r="F19" s="100"/>
      <c r="G19" s="100">
        <f>'Athens Daily - Gas'!BH26</f>
        <v>111091.008</v>
      </c>
      <c r="H19" s="100">
        <f t="shared" si="0"/>
        <v>2900.5485117493477</v>
      </c>
      <c r="I19" s="100"/>
      <c r="J19" s="100">
        <f>'Athens Daily - Water'!R24</f>
        <v>618.15799999999945</v>
      </c>
      <c r="K19" s="100"/>
      <c r="L19" s="101">
        <v>58</v>
      </c>
      <c r="M19" s="100">
        <f t="shared" si="1"/>
        <v>116</v>
      </c>
      <c r="N19" s="102"/>
    </row>
    <row r="20" spans="1:14">
      <c r="A20" s="7" t="s">
        <v>14</v>
      </c>
      <c r="B20" s="7">
        <v>19</v>
      </c>
      <c r="C20" s="7">
        <v>1</v>
      </c>
      <c r="D20" s="7">
        <v>2021</v>
      </c>
      <c r="E20" s="100">
        <f>'Athens Daily - EL'!AK26</f>
        <v>32920</v>
      </c>
      <c r="F20" s="100"/>
      <c r="G20" s="100">
        <f>'Athens Daily - Gas'!BH27</f>
        <v>105949.77600000001</v>
      </c>
      <c r="H20" s="100">
        <f t="shared" si="0"/>
        <v>2766.3126892950395</v>
      </c>
      <c r="I20" s="100"/>
      <c r="J20" s="100">
        <f>'Athens Daily - Water'!R25</f>
        <v>569.44800000000032</v>
      </c>
      <c r="K20" s="100"/>
      <c r="L20" s="101">
        <v>69</v>
      </c>
      <c r="M20" s="100">
        <f t="shared" si="1"/>
        <v>138</v>
      </c>
      <c r="N20" s="102"/>
    </row>
    <row r="21" spans="1:14">
      <c r="A21" s="7" t="s">
        <v>14</v>
      </c>
      <c r="B21" s="7">
        <v>20</v>
      </c>
      <c r="C21" s="7">
        <v>1</v>
      </c>
      <c r="D21" s="7">
        <v>2021</v>
      </c>
      <c r="E21" s="100">
        <f>'Athens Daily - EL'!AK27</f>
        <v>34125</v>
      </c>
      <c r="F21" s="100"/>
      <c r="G21" s="100">
        <f>'Athens Daily - Gas'!BH28</f>
        <v>107673.60000000001</v>
      </c>
      <c r="H21" s="100">
        <f t="shared" si="0"/>
        <v>2811.3211488250658</v>
      </c>
      <c r="I21" s="100"/>
      <c r="J21" s="100">
        <f>'Athens Daily - Water'!R26</f>
        <v>415.78600000000006</v>
      </c>
      <c r="K21" s="100"/>
      <c r="L21" s="101">
        <v>42</v>
      </c>
      <c r="M21" s="100">
        <f t="shared" si="1"/>
        <v>84</v>
      </c>
      <c r="N21" s="98"/>
    </row>
    <row r="22" spans="1:14">
      <c r="A22" s="7" t="s">
        <v>14</v>
      </c>
      <c r="B22" s="7">
        <v>21</v>
      </c>
      <c r="C22" s="7">
        <v>1</v>
      </c>
      <c r="D22" s="7">
        <v>2021</v>
      </c>
      <c r="E22" s="100">
        <f>'Athens Daily - EL'!AK28</f>
        <v>36150</v>
      </c>
      <c r="F22" s="100"/>
      <c r="G22" s="100">
        <f>'Athens Daily - Gas'!BH29</f>
        <v>104870.39999999999</v>
      </c>
      <c r="H22" s="100">
        <f t="shared" si="0"/>
        <v>2738.1305483028723</v>
      </c>
      <c r="I22" s="100"/>
      <c r="J22" s="100">
        <f>'Athens Daily - Water'!R27</f>
        <v>347.53900000000067</v>
      </c>
      <c r="K22" s="100"/>
      <c r="L22" s="101">
        <v>45</v>
      </c>
      <c r="M22" s="100">
        <f t="shared" si="1"/>
        <v>90</v>
      </c>
      <c r="N22" s="98"/>
    </row>
    <row r="23" spans="1:14">
      <c r="A23" s="7" t="s">
        <v>14</v>
      </c>
      <c r="B23" s="7">
        <v>22</v>
      </c>
      <c r="C23" s="7">
        <v>1</v>
      </c>
      <c r="D23" s="7">
        <v>2021</v>
      </c>
      <c r="E23" s="100">
        <f>'Athens Daily - EL'!AK29</f>
        <v>38550</v>
      </c>
      <c r="F23" s="100"/>
      <c r="G23" s="100">
        <f>'Athens Daily - Gas'!BH30</f>
        <v>111350.59199999998</v>
      </c>
      <c r="H23" s="100">
        <f t="shared" si="0"/>
        <v>2907.3261618798952</v>
      </c>
      <c r="I23" s="100"/>
      <c r="J23" s="100">
        <f>'Athens Daily - Water'!R28</f>
        <v>366.36340000000018</v>
      </c>
      <c r="K23" s="100"/>
      <c r="L23" s="101">
        <v>82</v>
      </c>
      <c r="M23" s="100">
        <f t="shared" si="1"/>
        <v>164</v>
      </c>
      <c r="N23" s="98">
        <v>19</v>
      </c>
    </row>
    <row r="24" spans="1:14">
      <c r="A24" s="7" t="s">
        <v>14</v>
      </c>
      <c r="B24" s="7">
        <v>23</v>
      </c>
      <c r="C24" s="7">
        <v>1</v>
      </c>
      <c r="D24" s="7">
        <v>2021</v>
      </c>
      <c r="E24" s="100">
        <f>'Athens Daily - EL'!AK30</f>
        <v>39505</v>
      </c>
      <c r="F24" s="100"/>
      <c r="G24" s="100">
        <f>'Athens Daily - Gas'!BH31</f>
        <v>110193.55200000003</v>
      </c>
      <c r="H24" s="100">
        <f t="shared" si="0"/>
        <v>2877.116240208878</v>
      </c>
      <c r="I24" s="100"/>
      <c r="J24" s="100">
        <f>'Athens Daily - Water'!R29</f>
        <v>391.70559999999932</v>
      </c>
      <c r="K24" s="100"/>
      <c r="L24" s="101">
        <v>170</v>
      </c>
      <c r="M24" s="100">
        <f t="shared" si="1"/>
        <v>340</v>
      </c>
      <c r="N24" s="98">
        <v>20</v>
      </c>
    </row>
    <row r="25" spans="1:14">
      <c r="A25" s="7" t="s">
        <v>14</v>
      </c>
      <c r="B25" s="7">
        <v>24</v>
      </c>
      <c r="C25" s="7">
        <v>1</v>
      </c>
      <c r="D25" s="7">
        <v>2021</v>
      </c>
      <c r="E25" s="100">
        <f>'Athens Daily - EL'!AK31</f>
        <v>43045</v>
      </c>
      <c r="F25" s="100"/>
      <c r="G25" s="100">
        <f>'Athens Daily - Gas'!BH32</f>
        <v>112872.38400000001</v>
      </c>
      <c r="H25" s="100">
        <f t="shared" si="0"/>
        <v>2947.0596344647524</v>
      </c>
      <c r="I25" s="100"/>
      <c r="J25" s="100">
        <f>'Athens Daily - Water'!R30</f>
        <v>438</v>
      </c>
      <c r="K25" s="100"/>
      <c r="L25" s="101">
        <v>91</v>
      </c>
      <c r="M25" s="100">
        <f t="shared" si="1"/>
        <v>182</v>
      </c>
      <c r="N25" s="98">
        <v>19</v>
      </c>
    </row>
    <row r="26" spans="1:14">
      <c r="A26" s="7" t="s">
        <v>14</v>
      </c>
      <c r="B26" s="7">
        <v>25</v>
      </c>
      <c r="C26" s="7">
        <v>1</v>
      </c>
      <c r="D26" s="7">
        <v>2021</v>
      </c>
      <c r="E26" s="100">
        <f>'Athens Daily - EL'!AK32</f>
        <v>39810</v>
      </c>
      <c r="F26" s="100"/>
      <c r="G26" s="100">
        <f>'Athens Daily - Gas'!BH33</f>
        <v>106135.72799999999</v>
      </c>
      <c r="H26" s="100">
        <f t="shared" si="0"/>
        <v>2771.167832898172</v>
      </c>
      <c r="I26" s="100"/>
      <c r="J26" s="100">
        <f>'Athens Daily - Water'!R31</f>
        <v>428</v>
      </c>
      <c r="K26" s="100"/>
      <c r="L26" s="101">
        <v>56</v>
      </c>
      <c r="M26" s="100">
        <f t="shared" si="1"/>
        <v>112</v>
      </c>
      <c r="N26" s="99"/>
    </row>
    <row r="27" spans="1:14">
      <c r="A27" s="7" t="s">
        <v>14</v>
      </c>
      <c r="B27" s="7">
        <v>26</v>
      </c>
      <c r="C27" s="7">
        <v>1</v>
      </c>
      <c r="D27" s="7">
        <v>2021</v>
      </c>
      <c r="E27" s="100">
        <f>'Athens Daily - EL'!AK33</f>
        <v>42470</v>
      </c>
      <c r="F27" s="100"/>
      <c r="G27" s="100">
        <f>'Athens Daily - Gas'!BH34</f>
        <v>107673.83999999998</v>
      </c>
      <c r="H27" s="100">
        <f t="shared" si="0"/>
        <v>2811.327415143603</v>
      </c>
      <c r="I27" s="100"/>
      <c r="J27" s="100">
        <f>'Athens Daily - Water'!R32</f>
        <v>355</v>
      </c>
      <c r="K27" s="100"/>
      <c r="L27" s="100"/>
      <c r="M27" s="100">
        <f t="shared" si="1"/>
        <v>0</v>
      </c>
      <c r="N27" s="99"/>
    </row>
    <row r="28" spans="1:14">
      <c r="A28" s="7" t="s">
        <v>14</v>
      </c>
      <c r="B28" s="7">
        <v>27</v>
      </c>
      <c r="C28" s="7">
        <v>1</v>
      </c>
      <c r="D28" s="7">
        <v>2021</v>
      </c>
      <c r="E28" s="100">
        <f>'Athens Daily - EL'!AK34</f>
        <v>41810</v>
      </c>
      <c r="F28" s="100"/>
      <c r="G28" s="100">
        <f>'Athens Daily - Gas'!BH35</f>
        <v>105772.79999999999</v>
      </c>
      <c r="H28" s="100">
        <f t="shared" si="0"/>
        <v>2761.6919060052219</v>
      </c>
      <c r="I28" s="100"/>
      <c r="J28" s="100">
        <f>'Athens Daily - Water'!R33</f>
        <v>366</v>
      </c>
      <c r="K28" s="100"/>
      <c r="L28" s="100"/>
      <c r="M28" s="100">
        <f t="shared" si="1"/>
        <v>0</v>
      </c>
      <c r="N28" s="99"/>
    </row>
    <row r="29" spans="1:14">
      <c r="A29" s="7" t="s">
        <v>14</v>
      </c>
      <c r="B29" s="7">
        <v>28</v>
      </c>
      <c r="C29" s="7">
        <v>1</v>
      </c>
      <c r="D29" s="7">
        <v>2021</v>
      </c>
      <c r="E29" s="100">
        <f>'Athens Daily - EL'!AK35</f>
        <v>40265</v>
      </c>
      <c r="F29" s="100"/>
      <c r="G29" s="100">
        <f>'Athens Daily - Gas'!BH36</f>
        <v>107318.39999999999</v>
      </c>
      <c r="H29" s="100">
        <f t="shared" si="0"/>
        <v>2802.046997389034</v>
      </c>
      <c r="I29" s="100"/>
      <c r="J29" s="100">
        <f>'Athens Daily - Water'!R34</f>
        <v>371</v>
      </c>
      <c r="K29" s="100"/>
      <c r="L29" s="100"/>
      <c r="M29" s="100">
        <f t="shared" si="1"/>
        <v>0</v>
      </c>
      <c r="N29" s="99"/>
    </row>
    <row r="30" spans="1:14">
      <c r="A30" s="7" t="s">
        <v>14</v>
      </c>
      <c r="B30" s="7">
        <v>29</v>
      </c>
      <c r="C30" s="7">
        <v>1</v>
      </c>
      <c r="D30" s="7">
        <v>2021</v>
      </c>
      <c r="E30" s="100">
        <f>'Athens Daily - EL'!AK36</f>
        <v>46015</v>
      </c>
      <c r="F30" s="100"/>
      <c r="G30" s="100">
        <f>'Athens Daily - Gas'!BH37</f>
        <v>101395.2</v>
      </c>
      <c r="H30" s="100">
        <f t="shared" si="0"/>
        <v>2647.3942558746739</v>
      </c>
      <c r="I30" s="100"/>
      <c r="J30" s="100">
        <f>'Athens Daily - Water'!R35</f>
        <v>380</v>
      </c>
      <c r="K30" s="100"/>
      <c r="L30" s="100"/>
      <c r="M30" s="100">
        <f t="shared" si="1"/>
        <v>0</v>
      </c>
      <c r="N30" s="99"/>
    </row>
    <row r="31" spans="1:14">
      <c r="A31" s="7" t="s">
        <v>14</v>
      </c>
      <c r="B31" s="7">
        <v>30</v>
      </c>
      <c r="C31" s="7">
        <v>1</v>
      </c>
      <c r="D31" s="7">
        <v>2021</v>
      </c>
      <c r="E31" s="100">
        <f>'Athens Daily - EL'!AK37</f>
        <v>46015</v>
      </c>
      <c r="F31" s="100"/>
      <c r="G31" s="100">
        <f>'Athens Daily - Gas'!BH38</f>
        <v>209692.79999999999</v>
      </c>
      <c r="H31" s="100">
        <f t="shared" si="0"/>
        <v>5475.0078328981726</v>
      </c>
      <c r="I31" s="100"/>
      <c r="J31" s="100">
        <f>'Athens Daily - Water'!R37</f>
        <v>0</v>
      </c>
      <c r="K31" s="100"/>
      <c r="L31" s="100"/>
      <c r="M31" s="100">
        <f t="shared" si="1"/>
        <v>0</v>
      </c>
      <c r="N31" s="99"/>
    </row>
    <row r="32" spans="1:14">
      <c r="A32" s="7" t="s">
        <v>14</v>
      </c>
      <c r="B32" s="7">
        <v>31</v>
      </c>
      <c r="C32" s="7">
        <v>1</v>
      </c>
      <c r="D32" s="7">
        <v>2021</v>
      </c>
      <c r="E32" s="100">
        <f>'Athens Daily - EL'!AK38</f>
        <v>0</v>
      </c>
      <c r="F32" s="100"/>
      <c r="G32" s="100">
        <f>'Athens Daily - Gas'!BH39</f>
        <v>0</v>
      </c>
      <c r="H32" s="100">
        <f t="shared" si="0"/>
        <v>0</v>
      </c>
      <c r="I32" s="100"/>
      <c r="J32" s="100">
        <f>'Athens Daily - Water'!R38</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7048</v>
      </c>
      <c r="F2" s="7"/>
      <c r="G2" s="38">
        <f>'Athens Daily - Gas'!BI9</f>
        <v>106099.20000000001</v>
      </c>
      <c r="H2" s="7"/>
      <c r="I2" s="39">
        <f>'Athens Daily - Water'!S7</f>
        <v>121.80000000000001</v>
      </c>
      <c r="J2" s="7"/>
      <c r="K2" s="7">
        <v>286</v>
      </c>
      <c r="L2" s="7">
        <v>2</v>
      </c>
    </row>
    <row r="3" spans="1:12">
      <c r="A3" s="7" t="s">
        <v>14</v>
      </c>
      <c r="B3" s="7">
        <v>2</v>
      </c>
      <c r="C3" s="7">
        <v>1</v>
      </c>
      <c r="D3" s="7">
        <v>2021</v>
      </c>
      <c r="E3" s="7">
        <f>'Athens Daily - EL'!AL9</f>
        <v>5680</v>
      </c>
      <c r="F3" s="7"/>
      <c r="G3" s="38">
        <f>'Athens Daily - Gas'!BI10</f>
        <v>76329.600000000006</v>
      </c>
      <c r="H3" s="7"/>
      <c r="I3" s="39">
        <f>'Athens Daily - Water'!S8</f>
        <v>104.35</v>
      </c>
      <c r="J3" s="7"/>
      <c r="K3" s="7">
        <v>285</v>
      </c>
      <c r="L3" s="7">
        <v>2</v>
      </c>
    </row>
    <row r="4" spans="1:12">
      <c r="A4" s="7" t="s">
        <v>14</v>
      </c>
      <c r="B4" s="7">
        <v>3</v>
      </c>
      <c r="C4" s="7">
        <v>1</v>
      </c>
      <c r="D4" s="7">
        <v>2021</v>
      </c>
      <c r="E4" s="7">
        <f>'Athens Daily - EL'!AL10</f>
        <v>6276</v>
      </c>
      <c r="F4" s="7"/>
      <c r="G4" s="38">
        <f>'Athens Daily - Gas'!BI11</f>
        <v>80092.800000000003</v>
      </c>
      <c r="H4" s="7"/>
      <c r="I4" s="39">
        <f>'Athens Daily - Water'!S9</f>
        <v>105.95</v>
      </c>
      <c r="J4" s="7"/>
      <c r="K4" s="7">
        <v>282</v>
      </c>
      <c r="L4" s="7">
        <v>2</v>
      </c>
    </row>
    <row r="5" spans="1:12">
      <c r="A5" s="7" t="s">
        <v>14</v>
      </c>
      <c r="B5" s="7">
        <v>4</v>
      </c>
      <c r="C5" s="7">
        <v>1</v>
      </c>
      <c r="D5" s="7">
        <v>2021</v>
      </c>
      <c r="E5" s="7">
        <f>'Athens Daily - EL'!AL11</f>
        <v>6548</v>
      </c>
      <c r="F5" s="7"/>
      <c r="G5" s="38">
        <f>'Athens Daily - Gas'!BI12</f>
        <v>63331.200000000004</v>
      </c>
      <c r="H5" s="7"/>
      <c r="I5" s="39">
        <f>'Athens Daily - Water'!S10</f>
        <v>101.30000000000001</v>
      </c>
      <c r="J5" s="7"/>
      <c r="K5" s="7">
        <v>284</v>
      </c>
      <c r="L5" s="7">
        <v>2</v>
      </c>
    </row>
    <row r="6" spans="1:12">
      <c r="A6" s="7" t="s">
        <v>14</v>
      </c>
      <c r="B6" s="7">
        <v>5</v>
      </c>
      <c r="C6" s="7">
        <v>1</v>
      </c>
      <c r="D6" s="7">
        <v>2021</v>
      </c>
      <c r="E6" s="7">
        <f>'Athens Daily - EL'!AL12</f>
        <v>7331</v>
      </c>
      <c r="F6" s="7"/>
      <c r="G6" s="38">
        <f>'Athens Daily - Gas'!BI13</f>
        <v>61708.800000000003</v>
      </c>
      <c r="H6" s="7"/>
      <c r="I6" s="39">
        <f>'Athens Daily - Water'!S11</f>
        <v>118.15</v>
      </c>
      <c r="J6" s="7"/>
      <c r="K6" s="7">
        <v>286</v>
      </c>
      <c r="L6" s="7">
        <v>2</v>
      </c>
    </row>
    <row r="7" spans="1:12">
      <c r="A7" s="7" t="s">
        <v>14</v>
      </c>
      <c r="B7" s="7">
        <v>6</v>
      </c>
      <c r="C7" s="7">
        <v>1</v>
      </c>
      <c r="D7" s="7">
        <v>2021</v>
      </c>
      <c r="E7" s="7">
        <f>'Athens Daily - EL'!AL13</f>
        <v>7791</v>
      </c>
      <c r="F7" s="7"/>
      <c r="G7" s="38">
        <f>'Athens Daily - Gas'!BI14</f>
        <v>55497.599999999999</v>
      </c>
      <c r="H7" s="7"/>
      <c r="I7" s="39">
        <f>'Athens Daily - Water'!S12</f>
        <v>113.75</v>
      </c>
      <c r="J7" s="7"/>
      <c r="K7" s="7">
        <v>288</v>
      </c>
      <c r="L7" s="7">
        <v>2</v>
      </c>
    </row>
    <row r="8" spans="1:12">
      <c r="A8" s="7" t="s">
        <v>14</v>
      </c>
      <c r="B8" s="7">
        <v>7</v>
      </c>
      <c r="C8" s="7">
        <v>1</v>
      </c>
      <c r="D8" s="7">
        <v>2021</v>
      </c>
      <c r="E8" s="7">
        <f>'Athens Daily - EL'!AL14</f>
        <v>8202</v>
      </c>
      <c r="F8" s="7"/>
      <c r="G8" s="38">
        <f>'Athens Daily - Gas'!BI15</f>
        <v>59568</v>
      </c>
      <c r="H8" s="7"/>
      <c r="I8" s="39">
        <f>'Athens Daily - Water'!S13</f>
        <v>117.6</v>
      </c>
      <c r="J8" s="7"/>
      <c r="K8" s="7">
        <v>286</v>
      </c>
      <c r="L8" s="7">
        <v>2</v>
      </c>
    </row>
    <row r="9" spans="1:12">
      <c r="A9" s="7" t="s">
        <v>14</v>
      </c>
      <c r="B9" s="7">
        <v>8</v>
      </c>
      <c r="C9" s="7">
        <v>1</v>
      </c>
      <c r="D9" s="7">
        <v>2021</v>
      </c>
      <c r="E9" s="7">
        <f>'Athens Daily - EL'!AL15</f>
        <v>8199</v>
      </c>
      <c r="F9" s="7"/>
      <c r="G9" s="38">
        <f>'Athens Daily - Gas'!BI16</f>
        <v>56361.600000000006</v>
      </c>
      <c r="H9" s="7"/>
      <c r="I9" s="39">
        <f>'Athens Daily - Water'!S14</f>
        <v>118.15</v>
      </c>
      <c r="J9" s="7"/>
      <c r="K9" s="7">
        <v>287</v>
      </c>
      <c r="L9" s="7">
        <v>2</v>
      </c>
    </row>
    <row r="10" spans="1:12">
      <c r="A10" s="7" t="s">
        <v>14</v>
      </c>
      <c r="B10" s="7">
        <v>9</v>
      </c>
      <c r="C10" s="7">
        <v>1</v>
      </c>
      <c r="D10" s="7">
        <v>2021</v>
      </c>
      <c r="E10" s="7">
        <f>'Athens Daily - EL'!AL16</f>
        <v>8552</v>
      </c>
      <c r="F10" s="7"/>
      <c r="G10" s="38">
        <f>'Athens Daily - Gas'!BI17</f>
        <v>53808</v>
      </c>
      <c r="H10" s="7"/>
      <c r="I10" s="39">
        <f>'Athens Daily - Water'!S15</f>
        <v>141.9</v>
      </c>
      <c r="J10" s="7"/>
      <c r="K10" s="7">
        <v>284</v>
      </c>
      <c r="L10" s="7">
        <v>2</v>
      </c>
    </row>
    <row r="11" spans="1:12">
      <c r="A11" s="7" t="s">
        <v>14</v>
      </c>
      <c r="B11" s="7">
        <v>10</v>
      </c>
      <c r="C11" s="7">
        <v>1</v>
      </c>
      <c r="D11" s="7">
        <v>2021</v>
      </c>
      <c r="E11" s="7">
        <f>'Athens Daily - EL'!AL17</f>
        <v>18541</v>
      </c>
      <c r="F11" s="7"/>
      <c r="G11" s="38">
        <f>'Athens Daily - Gas'!BI18</f>
        <v>56188.800000000003</v>
      </c>
      <c r="H11" s="7"/>
      <c r="I11" s="39">
        <f>'Athens Daily - Water'!S16</f>
        <v>113.85</v>
      </c>
      <c r="J11" s="7"/>
      <c r="K11" s="7">
        <v>284</v>
      </c>
      <c r="L11" s="7">
        <v>2</v>
      </c>
    </row>
    <row r="12" spans="1:12">
      <c r="A12" s="7" t="s">
        <v>14</v>
      </c>
      <c r="B12" s="7">
        <v>11</v>
      </c>
      <c r="C12" s="7">
        <v>1</v>
      </c>
      <c r="D12" s="7">
        <v>2021</v>
      </c>
      <c r="E12" s="7">
        <f>'Athens Daily - EL'!AL18</f>
        <v>4989</v>
      </c>
      <c r="F12" s="7"/>
      <c r="G12" s="38">
        <f>'Athens Daily - Gas'!BI19</f>
        <v>14179.200000000004</v>
      </c>
      <c r="H12" s="7"/>
      <c r="I12" s="39">
        <f>'Athens Daily - Water'!S17</f>
        <v>107.05000000000001</v>
      </c>
      <c r="J12" s="7"/>
      <c r="K12" s="7">
        <v>284</v>
      </c>
      <c r="L12" s="7">
        <v>2</v>
      </c>
    </row>
    <row r="13" spans="1:12">
      <c r="A13" s="7" t="s">
        <v>14</v>
      </c>
      <c r="B13" s="7">
        <v>12</v>
      </c>
      <c r="C13" s="7">
        <v>1</v>
      </c>
      <c r="D13" s="7">
        <v>2021</v>
      </c>
      <c r="E13" s="7">
        <f>'Athens Daily - EL'!AL19</f>
        <v>4755</v>
      </c>
      <c r="F13" s="7"/>
      <c r="G13" s="38">
        <f>'Athens Daily - Gas'!BI20</f>
        <v>66268.800000000003</v>
      </c>
      <c r="H13" s="7"/>
      <c r="I13" s="39">
        <f>'Athens Daily - Water'!S18</f>
        <v>143.1</v>
      </c>
      <c r="J13" s="7"/>
      <c r="K13" s="7">
        <v>286</v>
      </c>
      <c r="L13" s="7">
        <v>2</v>
      </c>
    </row>
    <row r="14" spans="1:12">
      <c r="A14" s="7" t="s">
        <v>14</v>
      </c>
      <c r="B14" s="7">
        <v>13</v>
      </c>
      <c r="C14" s="7">
        <v>1</v>
      </c>
      <c r="D14" s="7">
        <v>2021</v>
      </c>
      <c r="E14" s="7">
        <f>'Athens Daily - EL'!AL20</f>
        <v>4880</v>
      </c>
      <c r="F14" s="7"/>
      <c r="G14" s="38">
        <f>'Athens Daily - Gas'!BI21</f>
        <v>60633.599999999999</v>
      </c>
      <c r="H14" s="7"/>
      <c r="I14" s="39">
        <f>'Athens Daily - Water'!S19</f>
        <v>111.30000000000001</v>
      </c>
      <c r="J14" s="7"/>
      <c r="K14" s="7">
        <v>287</v>
      </c>
      <c r="L14" s="7">
        <v>2</v>
      </c>
    </row>
    <row r="15" spans="1:12">
      <c r="A15" s="7" t="s">
        <v>14</v>
      </c>
      <c r="B15" s="7">
        <v>14</v>
      </c>
      <c r="C15" s="7">
        <v>1</v>
      </c>
      <c r="D15" s="7">
        <v>2021</v>
      </c>
      <c r="E15" s="7">
        <f>'Athens Daily - EL'!AL21</f>
        <v>4527.6666666667152</v>
      </c>
      <c r="F15" s="7"/>
      <c r="G15" s="38">
        <f>'Athens Daily - Gas'!BI22</f>
        <v>61718.400000000001</v>
      </c>
      <c r="H15" s="7"/>
      <c r="I15" s="39">
        <f>'Athens Daily - Water'!S20</f>
        <v>120.25</v>
      </c>
      <c r="J15" s="7"/>
      <c r="K15" s="7">
        <v>287</v>
      </c>
      <c r="L15" s="7">
        <v>2</v>
      </c>
    </row>
    <row r="16" spans="1:12">
      <c r="A16" s="7" t="s">
        <v>14</v>
      </c>
      <c r="B16" s="7">
        <v>15</v>
      </c>
      <c r="C16" s="7">
        <v>1</v>
      </c>
      <c r="D16" s="7">
        <v>2021</v>
      </c>
      <c r="E16" s="7">
        <f>'Athens Daily - EL'!AL22</f>
        <v>3803.6666666667152</v>
      </c>
      <c r="F16" s="7"/>
      <c r="G16" s="38">
        <f>'Athens Daily - Gas'!BI23</f>
        <v>65030.400000000001</v>
      </c>
      <c r="H16" s="7"/>
      <c r="I16" s="39">
        <f>'Athens Daily - Water'!S21</f>
        <v>116.80000000000001</v>
      </c>
      <c r="J16" s="7"/>
      <c r="K16" s="7">
        <v>288</v>
      </c>
      <c r="L16" s="7">
        <v>2</v>
      </c>
    </row>
    <row r="17" spans="1:12">
      <c r="A17" s="7" t="s">
        <v>14</v>
      </c>
      <c r="B17" s="7">
        <v>16</v>
      </c>
      <c r="C17" s="7">
        <v>1</v>
      </c>
      <c r="D17" s="7">
        <v>2021</v>
      </c>
      <c r="E17" s="7">
        <f>'Athens Daily - EL'!AL23</f>
        <v>29179.66666666657</v>
      </c>
      <c r="F17" s="7"/>
      <c r="G17" s="38">
        <f>'Athens Daily - Gas'!BI24</f>
        <v>61315.200000000004</v>
      </c>
      <c r="H17" s="7"/>
      <c r="I17" s="39">
        <f>'Athens Daily - Water'!S22</f>
        <v>107.4</v>
      </c>
      <c r="J17" s="7"/>
      <c r="K17" s="7">
        <v>288</v>
      </c>
      <c r="L17" s="7">
        <v>2</v>
      </c>
    </row>
    <row r="18" spans="1:12">
      <c r="A18" s="7" t="s">
        <v>14</v>
      </c>
      <c r="B18" s="7">
        <v>17</v>
      </c>
      <c r="C18" s="7">
        <v>1</v>
      </c>
      <c r="D18" s="7">
        <v>2021</v>
      </c>
      <c r="E18" s="7">
        <f>'Athens Daily - EL'!AL24</f>
        <v>8018</v>
      </c>
      <c r="F18" s="7"/>
      <c r="G18" s="38">
        <f>'Athens Daily - Gas'!BI25</f>
        <v>66153.600000000006</v>
      </c>
      <c r="H18" s="7"/>
      <c r="I18" s="39">
        <f>'Athens Daily - Water'!S23</f>
        <v>128.80000000000001</v>
      </c>
      <c r="J18" s="7"/>
      <c r="K18" s="7">
        <v>288</v>
      </c>
      <c r="L18" s="7">
        <v>2</v>
      </c>
    </row>
    <row r="19" spans="1:12">
      <c r="A19" s="7" t="s">
        <v>14</v>
      </c>
      <c r="B19" s="7">
        <v>18</v>
      </c>
      <c r="C19" s="7">
        <v>1</v>
      </c>
      <c r="D19" s="7">
        <v>2021</v>
      </c>
      <c r="E19" s="7">
        <f>'Athens Daily - EL'!AL25</f>
        <v>8501</v>
      </c>
      <c r="F19" s="7"/>
      <c r="G19" s="38">
        <f>'Athens Daily - Gas'!BI26</f>
        <v>64867.200000000004</v>
      </c>
      <c r="H19" s="7"/>
      <c r="I19" s="39">
        <f>'Athens Daily - Water'!S24</f>
        <v>125</v>
      </c>
      <c r="J19" s="7"/>
      <c r="K19" s="7">
        <v>291</v>
      </c>
      <c r="L19" s="7">
        <v>2</v>
      </c>
    </row>
    <row r="20" spans="1:12">
      <c r="A20" s="7" t="s">
        <v>14</v>
      </c>
      <c r="B20" s="7">
        <v>19</v>
      </c>
      <c r="C20" s="7">
        <v>1</v>
      </c>
      <c r="D20" s="7">
        <v>2021</v>
      </c>
      <c r="E20" s="7">
        <f>'Athens Daily - EL'!AL26</f>
        <v>7723</v>
      </c>
      <c r="F20" s="7"/>
      <c r="G20" s="38">
        <f>'Athens Daily - Gas'!BI27</f>
        <v>63840</v>
      </c>
      <c r="H20" s="7"/>
      <c r="I20" s="39">
        <f>'Athens Daily - Water'!S25</f>
        <v>120.55000000000001</v>
      </c>
      <c r="J20" s="7"/>
      <c r="K20" s="7">
        <v>290</v>
      </c>
      <c r="L20" s="7">
        <v>2</v>
      </c>
    </row>
    <row r="21" spans="1:12">
      <c r="A21" s="7" t="s">
        <v>14</v>
      </c>
      <c r="B21" s="7">
        <v>20</v>
      </c>
      <c r="C21" s="7">
        <v>1</v>
      </c>
      <c r="D21" s="7">
        <v>2021</v>
      </c>
      <c r="E21" s="7">
        <f>'Athens Daily - EL'!AL27</f>
        <v>8953</v>
      </c>
      <c r="F21" s="7"/>
      <c r="G21" s="38">
        <f>'Athens Daily - Gas'!BI28</f>
        <v>65078.400000000001</v>
      </c>
      <c r="H21" s="7"/>
      <c r="I21" s="39">
        <f>'Athens Daily - Water'!S26</f>
        <v>133.19999999999999</v>
      </c>
      <c r="J21" s="7"/>
      <c r="K21" s="7">
        <v>292</v>
      </c>
      <c r="L21" s="7">
        <v>2</v>
      </c>
    </row>
    <row r="22" spans="1:12">
      <c r="A22" s="7" t="s">
        <v>14</v>
      </c>
      <c r="B22" s="7">
        <v>21</v>
      </c>
      <c r="C22" s="7">
        <v>1</v>
      </c>
      <c r="D22" s="7">
        <v>2021</v>
      </c>
      <c r="E22" s="7">
        <f>'Athens Daily - EL'!AL28</f>
        <v>10260</v>
      </c>
      <c r="F22" s="7"/>
      <c r="G22" s="38">
        <f>'Athens Daily - Gas'!BI29</f>
        <v>64041.599999999999</v>
      </c>
      <c r="H22" s="7"/>
      <c r="I22" s="39">
        <f>'Athens Daily - Water'!S27</f>
        <v>123.75</v>
      </c>
      <c r="J22" s="7"/>
      <c r="K22" s="7">
        <v>293</v>
      </c>
      <c r="L22" s="7">
        <v>2</v>
      </c>
    </row>
    <row r="23" spans="1:12">
      <c r="A23" s="7" t="s">
        <v>14</v>
      </c>
      <c r="B23" s="7">
        <v>22</v>
      </c>
      <c r="C23" s="7">
        <v>1</v>
      </c>
      <c r="D23" s="7">
        <v>2021</v>
      </c>
      <c r="E23" s="7">
        <f>'Athens Daily - EL'!AL29</f>
        <v>12279</v>
      </c>
      <c r="F23" s="7"/>
      <c r="G23" s="38">
        <f>'Athens Daily - Gas'!BI30</f>
        <v>66566.399999999994</v>
      </c>
      <c r="H23" s="7"/>
      <c r="I23" s="39">
        <f>'Athens Daily - Water'!S28</f>
        <v>130.9</v>
      </c>
      <c r="J23" s="7"/>
      <c r="K23" s="7">
        <v>293</v>
      </c>
      <c r="L23" s="7">
        <v>2</v>
      </c>
    </row>
    <row r="24" spans="1:12">
      <c r="A24" s="7" t="s">
        <v>14</v>
      </c>
      <c r="B24" s="7">
        <v>23</v>
      </c>
      <c r="C24" s="7">
        <v>1</v>
      </c>
      <c r="D24" s="7">
        <v>2021</v>
      </c>
      <c r="E24" s="7">
        <f>'Athens Daily - EL'!AL30</f>
        <v>13747</v>
      </c>
      <c r="F24" s="7"/>
      <c r="G24" s="38">
        <f>'Athens Daily - Gas'!BI31</f>
        <v>64944</v>
      </c>
      <c r="H24" s="7"/>
      <c r="I24" s="39">
        <f>'Athens Daily - Water'!S29</f>
        <v>112.7</v>
      </c>
      <c r="J24" s="7"/>
      <c r="K24" s="7">
        <v>294</v>
      </c>
      <c r="L24" s="7">
        <v>2</v>
      </c>
    </row>
    <row r="25" spans="1:12">
      <c r="A25" s="7" t="s">
        <v>14</v>
      </c>
      <c r="B25" s="7">
        <v>24</v>
      </c>
      <c r="C25" s="7">
        <v>1</v>
      </c>
      <c r="D25" s="7">
        <v>2021</v>
      </c>
      <c r="E25" s="7">
        <f>'Athens Daily - EL'!AL31</f>
        <v>14369</v>
      </c>
      <c r="F25" s="7"/>
      <c r="G25" s="38">
        <f>'Athens Daily - Gas'!BI32</f>
        <v>65212.800000000003</v>
      </c>
      <c r="H25" s="7"/>
      <c r="I25" s="39">
        <f>'Athens Daily - Water'!S30</f>
        <v>128.9</v>
      </c>
      <c r="J25" s="7"/>
      <c r="K25" s="7">
        <v>294</v>
      </c>
      <c r="L25" s="7">
        <v>2</v>
      </c>
    </row>
    <row r="26" spans="1:12">
      <c r="A26" s="7" t="s">
        <v>14</v>
      </c>
      <c r="B26" s="7">
        <v>25</v>
      </c>
      <c r="C26" s="7">
        <v>1</v>
      </c>
      <c r="D26" s="7">
        <v>2021</v>
      </c>
      <c r="E26" s="7">
        <f>'Athens Daily - EL'!AL32</f>
        <v>14769</v>
      </c>
      <c r="F26" s="7"/>
      <c r="G26" s="38">
        <f>'Athens Daily - Gas'!BI33</f>
        <v>62889.599999999999</v>
      </c>
      <c r="H26" s="7"/>
      <c r="I26" s="39">
        <f>'Athens Daily - Water'!S31</f>
        <v>132.55000000000001</v>
      </c>
      <c r="J26" s="7"/>
      <c r="K26" s="7">
        <v>291</v>
      </c>
      <c r="L26" s="7">
        <v>2</v>
      </c>
    </row>
    <row r="27" spans="1:12">
      <c r="A27" s="7" t="s">
        <v>14</v>
      </c>
      <c r="B27" s="7">
        <v>26</v>
      </c>
      <c r="C27" s="7">
        <v>1</v>
      </c>
      <c r="D27" s="7">
        <v>2021</v>
      </c>
      <c r="E27" s="7">
        <f>'Athens Daily - EL'!AL33</f>
        <v>15574</v>
      </c>
      <c r="F27" s="7"/>
      <c r="G27" s="38">
        <f>'Athens Daily - Gas'!BI34</f>
        <v>65289.600000000006</v>
      </c>
      <c r="H27" s="7"/>
      <c r="I27" s="39">
        <f>'Athens Daily - Water'!S32</f>
        <v>127.15</v>
      </c>
      <c r="J27" s="7"/>
      <c r="K27" s="7">
        <v>291</v>
      </c>
      <c r="L27" s="7">
        <v>2</v>
      </c>
    </row>
    <row r="28" spans="1:12">
      <c r="A28" s="7" t="s">
        <v>14</v>
      </c>
      <c r="B28" s="7">
        <v>27</v>
      </c>
      <c r="C28" s="7">
        <v>1</v>
      </c>
      <c r="D28" s="7">
        <v>2021</v>
      </c>
      <c r="E28" s="7">
        <f>'Athens Daily - EL'!AL34</f>
        <v>16166</v>
      </c>
      <c r="F28" s="7"/>
      <c r="G28" s="38">
        <f>'Athens Daily - Gas'!BI35</f>
        <v>63667.200000000004</v>
      </c>
      <c r="H28" s="7"/>
      <c r="I28" s="39">
        <f>'Athens Daily - Water'!S33</f>
        <v>155.5</v>
      </c>
      <c r="J28" s="7"/>
      <c r="K28" s="7">
        <v>288</v>
      </c>
      <c r="L28" s="7">
        <v>2</v>
      </c>
    </row>
    <row r="29" spans="1:12">
      <c r="A29" s="7" t="s">
        <v>14</v>
      </c>
      <c r="B29" s="7">
        <v>28</v>
      </c>
      <c r="C29" s="7">
        <v>1</v>
      </c>
      <c r="D29" s="7">
        <v>2021</v>
      </c>
      <c r="E29" s="7">
        <f>'Athens Daily - EL'!AL35</f>
        <v>13653</v>
      </c>
      <c r="F29" s="7"/>
      <c r="G29" s="38">
        <f>'Athens Daily - Gas'!BI36</f>
        <v>62985.599999999999</v>
      </c>
      <c r="H29" s="7"/>
      <c r="I29" s="39">
        <f>'Athens Daily - Water'!S34</f>
        <v>144</v>
      </c>
      <c r="J29" s="7"/>
      <c r="K29" s="7">
        <v>290</v>
      </c>
      <c r="L29" s="7">
        <v>2</v>
      </c>
    </row>
    <row r="30" spans="1:12">
      <c r="A30" s="7" t="s">
        <v>14</v>
      </c>
      <c r="B30" s="7">
        <v>29</v>
      </c>
      <c r="C30" s="7">
        <v>1</v>
      </c>
      <c r="D30" s="7">
        <v>2021</v>
      </c>
      <c r="E30" s="7">
        <f>'Athens Daily - EL'!AL36</f>
        <v>19107</v>
      </c>
      <c r="F30" s="7"/>
      <c r="G30" s="38">
        <f>'Athens Daily - Gas'!BI37</f>
        <v>63196.800000000003</v>
      </c>
      <c r="H30" s="7"/>
      <c r="I30" s="39">
        <f>'Athens Daily - Water'!S35</f>
        <v>134.94999999999999</v>
      </c>
      <c r="J30" s="7"/>
      <c r="K30" s="7">
        <v>291</v>
      </c>
      <c r="L30" s="7">
        <v>2</v>
      </c>
    </row>
    <row r="31" spans="1:12">
      <c r="A31" s="7" t="s">
        <v>14</v>
      </c>
      <c r="B31" s="7">
        <v>30</v>
      </c>
      <c r="C31" s="7">
        <v>1</v>
      </c>
      <c r="D31" s="7">
        <v>2021</v>
      </c>
      <c r="E31" s="7">
        <f>'Athens Daily - EL'!AL37</f>
        <v>19107</v>
      </c>
      <c r="F31" s="7"/>
      <c r="G31" s="38">
        <f>'Athens Daily - Gas'!BI38</f>
        <v>129043.2</v>
      </c>
      <c r="H31" s="7"/>
      <c r="I31" s="39">
        <f>'Athens Daily - Water'!S37</f>
        <v>0</v>
      </c>
      <c r="J31" s="7"/>
      <c r="K31" s="7">
        <v>290</v>
      </c>
      <c r="L31" s="7">
        <v>2</v>
      </c>
    </row>
    <row r="32" spans="1:12">
      <c r="A32" s="7" t="s">
        <v>14</v>
      </c>
      <c r="B32" s="7">
        <v>31</v>
      </c>
      <c r="C32" s="7">
        <v>1</v>
      </c>
      <c r="D32" s="7">
        <v>2021</v>
      </c>
      <c r="E32" s="7">
        <f>'Athens Daily - EL'!AL38</f>
        <v>0</v>
      </c>
      <c r="F32" s="7"/>
      <c r="G32" s="38">
        <f>'Athens Daily - Gas'!BI39</f>
        <v>0</v>
      </c>
      <c r="H32" s="7"/>
      <c r="I32" s="39">
        <f>'Athens Daily - Water'!S38</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abSelected="1" topLeftCell="A2" zoomScale="51" zoomScaleNormal="51" workbookViewId="0">
      <pane xSplit="2" ySplit="5" topLeftCell="T7" activePane="bottomRight" state="frozen"/>
      <selection pane="topRight" activeCell="C2" sqref="C2"/>
      <selection pane="bottomLeft" activeCell="A7" sqref="A7"/>
      <selection pane="bottomRight" activeCell="C7" sqref="C7:AI7"/>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8"/>
      <c r="B1" s="198"/>
      <c r="C1" s="211" t="s">
        <v>65</v>
      </c>
      <c r="D1" s="211"/>
      <c r="E1" s="211" t="s">
        <v>65</v>
      </c>
      <c r="F1" s="211"/>
      <c r="G1" s="211" t="s">
        <v>65</v>
      </c>
      <c r="H1" s="211"/>
      <c r="I1" s="198"/>
      <c r="J1" s="211" t="s">
        <v>65</v>
      </c>
      <c r="K1" s="211"/>
      <c r="L1" s="211" t="s">
        <v>65</v>
      </c>
      <c r="M1" s="211"/>
      <c r="N1" s="224" t="s">
        <v>66</v>
      </c>
      <c r="O1" s="225"/>
      <c r="P1" s="226"/>
      <c r="Q1" s="224" t="s">
        <v>66</v>
      </c>
      <c r="R1" s="225"/>
      <c r="S1" s="226"/>
      <c r="T1" s="224" t="s">
        <v>66</v>
      </c>
      <c r="U1" s="225"/>
      <c r="V1" s="226"/>
      <c r="W1" s="224" t="s">
        <v>66</v>
      </c>
      <c r="X1" s="225"/>
      <c r="Y1" s="226"/>
      <c r="Z1" s="211" t="s">
        <v>67</v>
      </c>
      <c r="AA1" s="211"/>
      <c r="AB1" s="211" t="s">
        <v>67</v>
      </c>
      <c r="AC1" s="211"/>
      <c r="AD1" s="211" t="s">
        <v>67</v>
      </c>
      <c r="AE1" s="211"/>
      <c r="AF1" s="211" t="s">
        <v>67</v>
      </c>
      <c r="AG1" s="211"/>
      <c r="AH1" s="211" t="s">
        <v>67</v>
      </c>
      <c r="AI1" s="211"/>
    </row>
    <row r="2" spans="1:45" s="114" customFormat="1" ht="113.25" customHeight="1">
      <c r="A2" s="13"/>
      <c r="B2" s="14"/>
      <c r="C2" s="210" t="s">
        <v>68</v>
      </c>
      <c r="D2" s="210"/>
      <c r="E2" s="210" t="s">
        <v>69</v>
      </c>
      <c r="F2" s="210"/>
      <c r="G2" s="215" t="s">
        <v>70</v>
      </c>
      <c r="H2" s="216"/>
      <c r="I2" s="217"/>
      <c r="J2" s="210" t="s">
        <v>71</v>
      </c>
      <c r="K2" s="210"/>
      <c r="L2" s="210" t="s">
        <v>72</v>
      </c>
      <c r="M2" s="210"/>
      <c r="N2" s="215" t="s">
        <v>73</v>
      </c>
      <c r="O2" s="216"/>
      <c r="P2" s="217"/>
      <c r="Q2" s="215" t="s">
        <v>74</v>
      </c>
      <c r="R2" s="216"/>
      <c r="S2" s="217"/>
      <c r="T2" s="215" t="s">
        <v>75</v>
      </c>
      <c r="U2" s="216"/>
      <c r="V2" s="217"/>
      <c r="W2" s="215" t="s">
        <v>76</v>
      </c>
      <c r="X2" s="216"/>
      <c r="Y2" s="217"/>
      <c r="Z2" s="210" t="s">
        <v>77</v>
      </c>
      <c r="AA2" s="210"/>
      <c r="AB2" s="210" t="s">
        <v>78</v>
      </c>
      <c r="AC2" s="210"/>
      <c r="AD2" s="210" t="s">
        <v>79</v>
      </c>
      <c r="AE2" s="210"/>
      <c r="AF2" s="210" t="s">
        <v>78</v>
      </c>
      <c r="AG2" s="210"/>
      <c r="AH2" s="210" t="s">
        <v>80</v>
      </c>
      <c r="AI2" s="210"/>
    </row>
    <row r="3" spans="1:45" s="24" customFormat="1" ht="30" customHeight="1">
      <c r="A3" s="197"/>
      <c r="B3" s="48"/>
      <c r="C3" s="212">
        <v>5065546</v>
      </c>
      <c r="D3" s="214"/>
      <c r="E3" s="212">
        <v>5065547</v>
      </c>
      <c r="F3" s="214"/>
      <c r="G3" s="212">
        <v>5008272</v>
      </c>
      <c r="H3" s="213"/>
      <c r="I3" s="214"/>
      <c r="J3" s="212">
        <v>5065548</v>
      </c>
      <c r="K3" s="214"/>
      <c r="L3" s="212">
        <v>5465545</v>
      </c>
      <c r="M3" s="214"/>
      <c r="N3" s="212">
        <v>5008273</v>
      </c>
      <c r="O3" s="213"/>
      <c r="P3" s="214"/>
      <c r="Q3" s="212">
        <v>5018351</v>
      </c>
      <c r="R3" s="213"/>
      <c r="S3" s="214"/>
      <c r="T3" s="212">
        <v>5018354</v>
      </c>
      <c r="U3" s="213"/>
      <c r="V3" s="214"/>
      <c r="W3" s="212">
        <v>5018350</v>
      </c>
      <c r="X3" s="213"/>
      <c r="Y3" s="214"/>
      <c r="Z3" s="212">
        <v>5065543</v>
      </c>
      <c r="AA3" s="214"/>
      <c r="AB3" s="212">
        <v>5065544</v>
      </c>
      <c r="AC3" s="214"/>
      <c r="AD3" s="212">
        <v>5065541</v>
      </c>
      <c r="AE3" s="214"/>
      <c r="AF3" s="212">
        <v>5065542</v>
      </c>
      <c r="AG3" s="214"/>
      <c r="AH3" s="212">
        <v>5065540</v>
      </c>
      <c r="AI3" s="214"/>
      <c r="AK3" s="209" t="s">
        <v>81</v>
      </c>
      <c r="AL3" s="209"/>
    </row>
    <row r="4" spans="1:45" s="23" customFormat="1" ht="30" customHeight="1">
      <c r="A4" s="197"/>
      <c r="B4" s="200"/>
      <c r="C4" s="220" t="s">
        <v>82</v>
      </c>
      <c r="D4" s="221"/>
      <c r="E4" s="220" t="s">
        <v>83</v>
      </c>
      <c r="F4" s="221"/>
      <c r="G4" s="220" t="s">
        <v>84</v>
      </c>
      <c r="H4" s="222"/>
      <c r="I4" s="221"/>
      <c r="J4" s="220" t="s">
        <v>85</v>
      </c>
      <c r="K4" s="221"/>
      <c r="L4" s="220" t="s">
        <v>86</v>
      </c>
      <c r="M4" s="221"/>
      <c r="N4" s="220" t="s">
        <v>87</v>
      </c>
      <c r="O4" s="222"/>
      <c r="P4" s="221"/>
      <c r="Q4" s="220" t="s">
        <v>88</v>
      </c>
      <c r="R4" s="222"/>
      <c r="S4" s="221"/>
      <c r="T4" s="220" t="s">
        <v>89</v>
      </c>
      <c r="U4" s="222"/>
      <c r="V4" s="221"/>
      <c r="W4" s="220" t="s">
        <v>90</v>
      </c>
      <c r="X4" s="222"/>
      <c r="Y4" s="221"/>
      <c r="Z4" s="220" t="s">
        <v>91</v>
      </c>
      <c r="AA4" s="221"/>
      <c r="AB4" s="220" t="s">
        <v>92</v>
      </c>
      <c r="AC4" s="221"/>
      <c r="AD4" s="220" t="s">
        <v>93</v>
      </c>
      <c r="AE4" s="221"/>
      <c r="AF4" s="220" t="s">
        <v>94</v>
      </c>
      <c r="AG4" s="221"/>
      <c r="AH4" s="220" t="s">
        <v>95</v>
      </c>
      <c r="AI4" s="221"/>
      <c r="AK4" s="209"/>
      <c r="AL4" s="209"/>
    </row>
    <row r="5" spans="1:45" s="8" customFormat="1" ht="30" customHeight="1">
      <c r="A5" s="197" t="s">
        <v>96</v>
      </c>
      <c r="B5" s="49"/>
      <c r="C5" s="218" t="s">
        <v>97</v>
      </c>
      <c r="D5" s="219"/>
      <c r="E5" s="218" t="s">
        <v>97</v>
      </c>
      <c r="F5" s="219"/>
      <c r="G5" s="218" t="s">
        <v>97</v>
      </c>
      <c r="H5" s="223"/>
      <c r="I5" s="219"/>
      <c r="J5" s="49" t="s">
        <v>97</v>
      </c>
      <c r="K5" s="49"/>
      <c r="L5" s="218" t="s">
        <v>97</v>
      </c>
      <c r="M5" s="219"/>
      <c r="N5" s="218" t="s">
        <v>97</v>
      </c>
      <c r="O5" s="223"/>
      <c r="P5" s="219"/>
      <c r="Q5" s="218" t="s">
        <v>98</v>
      </c>
      <c r="R5" s="223"/>
      <c r="S5" s="219"/>
      <c r="T5" s="218" t="s">
        <v>98</v>
      </c>
      <c r="U5" s="223"/>
      <c r="V5" s="219"/>
      <c r="W5" s="218" t="s">
        <v>98</v>
      </c>
      <c r="X5" s="223"/>
      <c r="Y5" s="219"/>
      <c r="Z5" s="218" t="s">
        <v>97</v>
      </c>
      <c r="AA5" s="219"/>
      <c r="AB5" s="218" t="s">
        <v>97</v>
      </c>
      <c r="AC5" s="219"/>
      <c r="AD5" s="218" t="s">
        <v>97</v>
      </c>
      <c r="AE5" s="219"/>
      <c r="AF5" s="218" t="s">
        <v>97</v>
      </c>
      <c r="AG5" s="219"/>
      <c r="AH5" s="218" t="s">
        <v>97</v>
      </c>
      <c r="AI5" s="219"/>
    </row>
    <row r="6" spans="1:45" s="10" customFormat="1" ht="50.1" customHeight="1">
      <c r="A6" s="197" t="s">
        <v>99</v>
      </c>
      <c r="B6" s="197"/>
      <c r="C6" s="197" t="s">
        <v>100</v>
      </c>
      <c r="D6" s="197" t="s">
        <v>101</v>
      </c>
      <c r="E6" s="197" t="s">
        <v>100</v>
      </c>
      <c r="F6" s="197" t="s">
        <v>101</v>
      </c>
      <c r="G6" s="197" t="s">
        <v>100</v>
      </c>
      <c r="H6" s="197" t="s">
        <v>101</v>
      </c>
      <c r="I6" s="197" t="s">
        <v>102</v>
      </c>
      <c r="J6" s="197" t="s">
        <v>100</v>
      </c>
      <c r="K6" s="197" t="s">
        <v>101</v>
      </c>
      <c r="L6" s="197" t="s">
        <v>100</v>
      </c>
      <c r="M6" s="197" t="s">
        <v>101</v>
      </c>
      <c r="N6" s="197" t="s">
        <v>100</v>
      </c>
      <c r="O6" s="197" t="s">
        <v>101</v>
      </c>
      <c r="P6" s="197" t="s">
        <v>102</v>
      </c>
      <c r="Q6" s="197" t="s">
        <v>100</v>
      </c>
      <c r="R6" s="197" t="s">
        <v>101</v>
      </c>
      <c r="S6" s="197" t="s">
        <v>102</v>
      </c>
      <c r="T6" s="197" t="s">
        <v>100</v>
      </c>
      <c r="U6" s="197" t="s">
        <v>101</v>
      </c>
      <c r="V6" s="197" t="s">
        <v>102</v>
      </c>
      <c r="W6" s="197" t="s">
        <v>100</v>
      </c>
      <c r="X6" s="197" t="s">
        <v>101</v>
      </c>
      <c r="Y6" s="197" t="s">
        <v>102</v>
      </c>
      <c r="Z6" s="197" t="s">
        <v>100</v>
      </c>
      <c r="AA6" s="197" t="s">
        <v>101</v>
      </c>
      <c r="AB6" s="197" t="s">
        <v>100</v>
      </c>
      <c r="AC6" s="197" t="s">
        <v>101</v>
      </c>
      <c r="AD6" s="197" t="s">
        <v>100</v>
      </c>
      <c r="AE6" s="197" t="s">
        <v>101</v>
      </c>
      <c r="AF6" s="197" t="s">
        <v>100</v>
      </c>
      <c r="AG6" s="197" t="s">
        <v>101</v>
      </c>
      <c r="AH6" s="197" t="s">
        <v>100</v>
      </c>
      <c r="AI6" s="197" t="s">
        <v>101</v>
      </c>
      <c r="AK6" s="197" t="s">
        <v>65</v>
      </c>
      <c r="AL6" s="197" t="s">
        <v>67</v>
      </c>
    </row>
    <row r="7" spans="1:45" ht="39.950000000000003" customHeight="1">
      <c r="A7" s="192">
        <v>44651</v>
      </c>
      <c r="B7" s="16"/>
      <c r="C7" s="193">
        <v>235614</v>
      </c>
      <c r="D7" s="17"/>
      <c r="E7" s="193">
        <v>390605</v>
      </c>
      <c r="F7" s="17"/>
      <c r="G7" s="193">
        <v>105957</v>
      </c>
      <c r="H7" s="17"/>
      <c r="I7" s="17"/>
      <c r="J7" s="193">
        <v>344987</v>
      </c>
      <c r="K7" s="17"/>
      <c r="L7" s="193">
        <v>543579</v>
      </c>
      <c r="M7" s="17"/>
      <c r="N7" s="193">
        <v>234847</v>
      </c>
      <c r="O7" s="17"/>
      <c r="P7" s="17"/>
      <c r="Q7" s="193">
        <v>349842</v>
      </c>
      <c r="R7" s="17"/>
      <c r="S7" s="17"/>
      <c r="T7" s="193">
        <v>167816</v>
      </c>
      <c r="U7" s="17"/>
      <c r="V7" s="17"/>
      <c r="W7" s="193">
        <v>246891</v>
      </c>
      <c r="X7" s="17"/>
      <c r="Y7" s="17"/>
      <c r="Z7" s="193">
        <v>66479</v>
      </c>
      <c r="AA7" s="17"/>
      <c r="AB7" s="193">
        <v>127349</v>
      </c>
      <c r="AC7" s="17"/>
      <c r="AD7" s="193">
        <v>228458</v>
      </c>
      <c r="AE7" s="17"/>
      <c r="AF7" s="193">
        <v>118035</v>
      </c>
      <c r="AG7" s="17"/>
      <c r="AH7" s="193">
        <v>615015</v>
      </c>
      <c r="AI7" s="17"/>
      <c r="AJ7" s="19"/>
      <c r="AK7" s="96"/>
      <c r="AL7" s="97"/>
      <c r="AM7" s="19"/>
      <c r="AN7" s="19"/>
      <c r="AO7" s="19"/>
      <c r="AP7" s="19"/>
      <c r="AQ7" s="19"/>
      <c r="AR7" s="19"/>
      <c r="AS7" s="19"/>
    </row>
    <row r="8" spans="1:45" s="2" customFormat="1" ht="39.950000000000003" customHeight="1">
      <c r="A8" s="192">
        <v>44652</v>
      </c>
      <c r="B8" s="15"/>
      <c r="C8" s="194">
        <v>235971</v>
      </c>
      <c r="D8" s="17">
        <f>(C8-C7)*10</f>
        <v>3570</v>
      </c>
      <c r="E8" s="194">
        <v>391338</v>
      </c>
      <c r="F8" s="17">
        <f>(E8-E7)*10</f>
        <v>7330</v>
      </c>
      <c r="G8" s="194">
        <v>106209</v>
      </c>
      <c r="H8" s="17">
        <f>(G8-G7)*10</f>
        <v>2520</v>
      </c>
      <c r="I8" s="17">
        <f>H8*50%</f>
        <v>1260</v>
      </c>
      <c r="J8" s="194">
        <v>345512</v>
      </c>
      <c r="K8" s="17">
        <f>(J8-J7)*10</f>
        <v>5250</v>
      </c>
      <c r="L8" s="194">
        <v>544447</v>
      </c>
      <c r="M8" s="17">
        <f>(L8-L7)*10</f>
        <v>8680</v>
      </c>
      <c r="N8" s="194">
        <v>235916</v>
      </c>
      <c r="O8" s="17">
        <f t="shared" ref="O8:O37" si="0">(N8-N7)*10</f>
        <v>10690</v>
      </c>
      <c r="P8" s="17">
        <f>O8*50%</f>
        <v>5345</v>
      </c>
      <c r="Q8" s="194">
        <v>349844</v>
      </c>
      <c r="R8" s="17">
        <f t="shared" ref="R8:R37" si="1">(Q8-Q7)*10</f>
        <v>20</v>
      </c>
      <c r="S8" s="17">
        <f>R8*50%</f>
        <v>10</v>
      </c>
      <c r="T8" s="194">
        <v>167819</v>
      </c>
      <c r="U8" s="17">
        <f>(T8-T7)*10</f>
        <v>30</v>
      </c>
      <c r="V8" s="17">
        <f>U8*50%</f>
        <v>15</v>
      </c>
      <c r="W8" s="194">
        <v>246899</v>
      </c>
      <c r="X8" s="17">
        <f>(W8-W7)*10</f>
        <v>80</v>
      </c>
      <c r="Y8" s="17">
        <f>X8*50%</f>
        <v>40</v>
      </c>
      <c r="Z8" s="194">
        <v>66584</v>
      </c>
      <c r="AA8" s="17">
        <f>Z8-Z7</f>
        <v>105</v>
      </c>
      <c r="AB8" s="194">
        <v>127508</v>
      </c>
      <c r="AC8" s="17">
        <f>AB8-AB7</f>
        <v>159</v>
      </c>
      <c r="AD8" s="194">
        <v>228792</v>
      </c>
      <c r="AE8" s="17">
        <f>AD8-AD7</f>
        <v>334</v>
      </c>
      <c r="AF8" s="194">
        <v>118191</v>
      </c>
      <c r="AG8" s="17">
        <f>AF8-AF7</f>
        <v>156</v>
      </c>
      <c r="AH8" s="194">
        <v>615899</v>
      </c>
      <c r="AI8" s="17">
        <f>AH8-AH7</f>
        <v>884</v>
      </c>
      <c r="AK8" s="96">
        <f>SUM(D8,F8,I8,K8,M8,P8,S8,V8,Y8)</f>
        <v>31500</v>
      </c>
      <c r="AL8" s="97">
        <f>SUM(P8,S8,V8,Y8,AA8,AC8,AE8,AG8,AI8)</f>
        <v>7048</v>
      </c>
    </row>
    <row r="9" spans="1:45" ht="39.950000000000003" customHeight="1">
      <c r="A9" s="192">
        <f>SUM(A8+1)</f>
        <v>44653</v>
      </c>
      <c r="B9" s="16"/>
      <c r="C9" s="194">
        <v>236318</v>
      </c>
      <c r="D9" s="17">
        <f t="shared" ref="D9:F25" si="2">(C9-C8)*10</f>
        <v>3470</v>
      </c>
      <c r="E9" s="194">
        <v>392055</v>
      </c>
      <c r="F9" s="17">
        <f t="shared" si="2"/>
        <v>7170</v>
      </c>
      <c r="G9" s="194">
        <v>106439</v>
      </c>
      <c r="H9" s="17">
        <f t="shared" ref="H9:H37" si="3">(G9-G8)*10</f>
        <v>2300</v>
      </c>
      <c r="I9" s="17">
        <f t="shared" ref="I9:I37" si="4">H9*50%</f>
        <v>1150</v>
      </c>
      <c r="J9" s="194">
        <v>346012</v>
      </c>
      <c r="K9" s="17">
        <f t="shared" ref="K9:K37" si="5">(J9-J8)*10</f>
        <v>5000</v>
      </c>
      <c r="L9" s="194">
        <v>545282</v>
      </c>
      <c r="M9" s="17">
        <f t="shared" ref="M9:M37" si="6">(L9-L8)*10</f>
        <v>8350</v>
      </c>
      <c r="N9" s="194">
        <v>236731</v>
      </c>
      <c r="O9" s="17">
        <f t="shared" si="0"/>
        <v>8150</v>
      </c>
      <c r="P9" s="17">
        <f t="shared" ref="P9:P37" si="7">O9*50%</f>
        <v>4075</v>
      </c>
      <c r="Q9" s="194">
        <v>349846</v>
      </c>
      <c r="R9" s="17">
        <f t="shared" si="1"/>
        <v>20</v>
      </c>
      <c r="S9" s="17">
        <f t="shared" ref="S9:S37" si="8">R9*50%</f>
        <v>10</v>
      </c>
      <c r="T9" s="194">
        <v>167821</v>
      </c>
      <c r="U9" s="17">
        <f t="shared" ref="U9:U37" si="9">(T9-T8)*10</f>
        <v>20</v>
      </c>
      <c r="V9" s="17">
        <f t="shared" ref="V9:V37" si="10">U9*50%</f>
        <v>10</v>
      </c>
      <c r="W9" s="194">
        <v>246906</v>
      </c>
      <c r="X9" s="17">
        <f t="shared" ref="X9:X37" si="11">(W9-W8)*10</f>
        <v>70</v>
      </c>
      <c r="Y9" s="17">
        <f t="shared" ref="Y9:Y37" si="12">X9*50%</f>
        <v>35</v>
      </c>
      <c r="Z9" s="194">
        <v>66679</v>
      </c>
      <c r="AA9" s="17">
        <f t="shared" ref="AA9:AA37" si="13">Z9-Z8</f>
        <v>95</v>
      </c>
      <c r="AB9" s="194">
        <v>127653</v>
      </c>
      <c r="AC9" s="17">
        <f t="shared" ref="AC9:AC37" si="14">AB9-AB8</f>
        <v>145</v>
      </c>
      <c r="AD9" s="194">
        <v>229104</v>
      </c>
      <c r="AE9" s="17">
        <f t="shared" ref="AE9:AE37" si="15">AD9-AD8</f>
        <v>312</v>
      </c>
      <c r="AF9" s="194">
        <v>118337</v>
      </c>
      <c r="AG9" s="17">
        <f t="shared" ref="AG9:AG37" si="16">AF9-AF8</f>
        <v>146</v>
      </c>
      <c r="AH9" s="194">
        <v>616751</v>
      </c>
      <c r="AI9" s="17">
        <f t="shared" ref="AI9:AI37" si="17">AH9-AH8</f>
        <v>852</v>
      </c>
      <c r="AK9" s="96">
        <f t="shared" ref="AK9:AK37" si="18">SUM(D9,F9,I9,K9,M9,P9,S9,V9,Y9)</f>
        <v>29270</v>
      </c>
      <c r="AL9" s="97">
        <f t="shared" ref="AL9:AL37" si="19">SUM(P9,S9,V9,Y9,AA9,AC9,AE9,AG9,AI9)</f>
        <v>5680</v>
      </c>
    </row>
    <row r="10" spans="1:45" ht="39.950000000000003" customHeight="1">
      <c r="A10" s="192">
        <f t="shared" ref="A10:A37" si="20">SUM(A9+1)</f>
        <v>44654</v>
      </c>
      <c r="B10" s="16"/>
      <c r="C10" s="194">
        <v>236686</v>
      </c>
      <c r="D10" s="17">
        <f t="shared" si="2"/>
        <v>3680</v>
      </c>
      <c r="E10" s="194">
        <v>392736</v>
      </c>
      <c r="F10" s="17">
        <f t="shared" si="2"/>
        <v>6810</v>
      </c>
      <c r="G10" s="194">
        <v>106676</v>
      </c>
      <c r="H10" s="17">
        <f t="shared" si="3"/>
        <v>2370</v>
      </c>
      <c r="I10" s="17">
        <f t="shared" si="4"/>
        <v>1185</v>
      </c>
      <c r="J10" s="194">
        <v>346536</v>
      </c>
      <c r="K10" s="17">
        <f t="shared" si="5"/>
        <v>5240</v>
      </c>
      <c r="L10" s="194">
        <v>546165</v>
      </c>
      <c r="M10" s="17">
        <f t="shared" si="6"/>
        <v>8830</v>
      </c>
      <c r="N10" s="194">
        <v>237669</v>
      </c>
      <c r="O10" s="17">
        <f t="shared" si="0"/>
        <v>9380</v>
      </c>
      <c r="P10" s="17">
        <f t="shared" si="7"/>
        <v>4690</v>
      </c>
      <c r="Q10" s="194">
        <v>349848</v>
      </c>
      <c r="R10" s="17">
        <f t="shared" si="1"/>
        <v>20</v>
      </c>
      <c r="S10" s="17">
        <f t="shared" si="8"/>
        <v>10</v>
      </c>
      <c r="T10" s="194">
        <v>167823</v>
      </c>
      <c r="U10" s="17">
        <f t="shared" si="9"/>
        <v>20</v>
      </c>
      <c r="V10" s="17">
        <f t="shared" si="10"/>
        <v>10</v>
      </c>
      <c r="W10" s="194">
        <v>246914</v>
      </c>
      <c r="X10" s="17">
        <f t="shared" si="11"/>
        <v>80</v>
      </c>
      <c r="Y10" s="17">
        <f t="shared" si="12"/>
        <v>40</v>
      </c>
      <c r="Z10" s="194">
        <v>66776</v>
      </c>
      <c r="AA10" s="17">
        <f t="shared" si="13"/>
        <v>97</v>
      </c>
      <c r="AB10" s="194">
        <v>127798</v>
      </c>
      <c r="AC10" s="17">
        <f t="shared" si="14"/>
        <v>145</v>
      </c>
      <c r="AD10" s="194">
        <v>229416</v>
      </c>
      <c r="AE10" s="17">
        <f t="shared" si="15"/>
        <v>312</v>
      </c>
      <c r="AF10" s="194">
        <v>118435</v>
      </c>
      <c r="AG10" s="17">
        <f t="shared" si="16"/>
        <v>98</v>
      </c>
      <c r="AH10" s="194">
        <v>617625</v>
      </c>
      <c r="AI10" s="17">
        <f t="shared" si="17"/>
        <v>874</v>
      </c>
      <c r="AK10" s="96">
        <f t="shared" si="18"/>
        <v>30495</v>
      </c>
      <c r="AL10" s="97">
        <f t="shared" si="19"/>
        <v>6276</v>
      </c>
    </row>
    <row r="11" spans="1:45" ht="39.950000000000003" customHeight="1">
      <c r="A11" s="192">
        <f t="shared" si="20"/>
        <v>44655</v>
      </c>
      <c r="B11" s="16"/>
      <c r="C11" s="194">
        <v>237032</v>
      </c>
      <c r="D11" s="17">
        <f t="shared" si="2"/>
        <v>3460</v>
      </c>
      <c r="E11" s="194">
        <v>393445</v>
      </c>
      <c r="F11" s="17">
        <f t="shared" si="2"/>
        <v>7090</v>
      </c>
      <c r="G11" s="194">
        <v>106917</v>
      </c>
      <c r="H11" s="17">
        <f t="shared" si="3"/>
        <v>2410</v>
      </c>
      <c r="I11" s="17">
        <f t="shared" si="4"/>
        <v>1205</v>
      </c>
      <c r="J11" s="194">
        <v>347050</v>
      </c>
      <c r="K11" s="17">
        <f t="shared" si="5"/>
        <v>5140</v>
      </c>
      <c r="L11" s="194">
        <v>546917</v>
      </c>
      <c r="M11" s="17">
        <f t="shared" si="6"/>
        <v>7520</v>
      </c>
      <c r="N11" s="194">
        <v>238638</v>
      </c>
      <c r="O11" s="17">
        <f t="shared" si="0"/>
        <v>9690</v>
      </c>
      <c r="P11" s="17">
        <f t="shared" si="7"/>
        <v>4845</v>
      </c>
      <c r="Q11" s="194">
        <v>349850</v>
      </c>
      <c r="R11" s="17">
        <f t="shared" si="1"/>
        <v>20</v>
      </c>
      <c r="S11" s="17">
        <f t="shared" si="8"/>
        <v>10</v>
      </c>
      <c r="T11" s="194">
        <v>167825</v>
      </c>
      <c r="U11" s="17">
        <f t="shared" si="9"/>
        <v>20</v>
      </c>
      <c r="V11" s="17">
        <f t="shared" si="10"/>
        <v>10</v>
      </c>
      <c r="W11" s="194">
        <v>246921</v>
      </c>
      <c r="X11" s="17">
        <f t="shared" si="11"/>
        <v>70</v>
      </c>
      <c r="Y11" s="17">
        <f t="shared" si="12"/>
        <v>35</v>
      </c>
      <c r="Z11" s="194">
        <v>66870</v>
      </c>
      <c r="AA11" s="17">
        <f t="shared" si="13"/>
        <v>94</v>
      </c>
      <c r="AB11" s="194">
        <v>127948</v>
      </c>
      <c r="AC11" s="17">
        <f t="shared" si="14"/>
        <v>150</v>
      </c>
      <c r="AD11" s="194">
        <v>229743</v>
      </c>
      <c r="AE11" s="17">
        <f t="shared" si="15"/>
        <v>327</v>
      </c>
      <c r="AF11" s="194">
        <v>118632</v>
      </c>
      <c r="AG11" s="17">
        <f t="shared" si="16"/>
        <v>197</v>
      </c>
      <c r="AH11" s="194">
        <v>618505</v>
      </c>
      <c r="AI11" s="17">
        <f t="shared" si="17"/>
        <v>880</v>
      </c>
      <c r="AK11" s="96">
        <f t="shared" si="18"/>
        <v>29315</v>
      </c>
      <c r="AL11" s="97">
        <f t="shared" si="19"/>
        <v>6548</v>
      </c>
    </row>
    <row r="12" spans="1:45" ht="39.950000000000003" customHeight="1">
      <c r="A12" s="192">
        <f t="shared" si="20"/>
        <v>44656</v>
      </c>
      <c r="B12" s="16"/>
      <c r="C12" s="194">
        <v>237375</v>
      </c>
      <c r="D12" s="17">
        <f t="shared" si="2"/>
        <v>3430</v>
      </c>
      <c r="E12" s="194">
        <v>394181</v>
      </c>
      <c r="F12" s="17">
        <f t="shared" si="2"/>
        <v>7360</v>
      </c>
      <c r="G12" s="194">
        <v>107167</v>
      </c>
      <c r="H12" s="17">
        <f t="shared" si="3"/>
        <v>2500</v>
      </c>
      <c r="I12" s="17">
        <f t="shared" si="4"/>
        <v>1250</v>
      </c>
      <c r="J12" s="194">
        <v>347573</v>
      </c>
      <c r="K12" s="17">
        <f t="shared" si="5"/>
        <v>5230</v>
      </c>
      <c r="L12" s="194">
        <v>547787</v>
      </c>
      <c r="M12" s="17">
        <f t="shared" si="6"/>
        <v>8700</v>
      </c>
      <c r="N12" s="194">
        <v>239719</v>
      </c>
      <c r="O12" s="17">
        <f t="shared" si="0"/>
        <v>10810</v>
      </c>
      <c r="P12" s="17">
        <f t="shared" si="7"/>
        <v>5405</v>
      </c>
      <c r="Q12" s="194">
        <v>349910</v>
      </c>
      <c r="R12" s="17">
        <f t="shared" si="1"/>
        <v>600</v>
      </c>
      <c r="S12" s="17">
        <f t="shared" si="8"/>
        <v>300</v>
      </c>
      <c r="T12" s="194">
        <v>167827</v>
      </c>
      <c r="U12" s="17">
        <f t="shared" si="9"/>
        <v>20</v>
      </c>
      <c r="V12" s="17">
        <f t="shared" si="10"/>
        <v>10</v>
      </c>
      <c r="W12" s="194">
        <v>246929</v>
      </c>
      <c r="X12" s="17">
        <f t="shared" si="11"/>
        <v>80</v>
      </c>
      <c r="Y12" s="17">
        <f t="shared" si="12"/>
        <v>40</v>
      </c>
      <c r="Z12" s="194">
        <v>66964</v>
      </c>
      <c r="AA12" s="17">
        <f t="shared" si="13"/>
        <v>94</v>
      </c>
      <c r="AB12" s="194">
        <v>128097</v>
      </c>
      <c r="AC12" s="17">
        <f t="shared" si="14"/>
        <v>149</v>
      </c>
      <c r="AD12" s="194">
        <v>230064</v>
      </c>
      <c r="AE12" s="17">
        <f t="shared" si="15"/>
        <v>321</v>
      </c>
      <c r="AF12" s="194">
        <v>118775</v>
      </c>
      <c r="AG12" s="17">
        <f t="shared" si="16"/>
        <v>143</v>
      </c>
      <c r="AH12" s="194">
        <v>619374</v>
      </c>
      <c r="AI12" s="17">
        <f t="shared" si="17"/>
        <v>869</v>
      </c>
      <c r="AK12" s="96">
        <f t="shared" si="18"/>
        <v>31725</v>
      </c>
      <c r="AL12" s="97">
        <f t="shared" si="19"/>
        <v>7331</v>
      </c>
    </row>
    <row r="13" spans="1:45" ht="39.950000000000003" customHeight="1">
      <c r="A13" s="192">
        <f t="shared" si="20"/>
        <v>44657</v>
      </c>
      <c r="B13" s="16"/>
      <c r="C13" s="194">
        <v>237709</v>
      </c>
      <c r="D13" s="17">
        <f t="shared" si="2"/>
        <v>3340</v>
      </c>
      <c r="E13" s="194">
        <v>394900</v>
      </c>
      <c r="F13" s="17">
        <f t="shared" si="2"/>
        <v>7190</v>
      </c>
      <c r="G13" s="194">
        <v>107424</v>
      </c>
      <c r="H13" s="17">
        <f t="shared" si="3"/>
        <v>2570</v>
      </c>
      <c r="I13" s="17">
        <f t="shared" si="4"/>
        <v>1285</v>
      </c>
      <c r="J13" s="194">
        <v>348080</v>
      </c>
      <c r="K13" s="17">
        <f t="shared" si="5"/>
        <v>5070</v>
      </c>
      <c r="L13" s="194">
        <v>548581</v>
      </c>
      <c r="M13" s="17">
        <f t="shared" si="6"/>
        <v>7940</v>
      </c>
      <c r="N13" s="194">
        <v>240791</v>
      </c>
      <c r="O13" s="17">
        <f t="shared" si="0"/>
        <v>10720</v>
      </c>
      <c r="P13" s="17">
        <f t="shared" si="7"/>
        <v>5360</v>
      </c>
      <c r="Q13" s="194">
        <v>349912</v>
      </c>
      <c r="R13" s="17">
        <f t="shared" si="1"/>
        <v>20</v>
      </c>
      <c r="S13" s="17">
        <f t="shared" si="8"/>
        <v>10</v>
      </c>
      <c r="T13" s="194">
        <v>167974</v>
      </c>
      <c r="U13" s="17">
        <f t="shared" si="9"/>
        <v>1470</v>
      </c>
      <c r="V13" s="17">
        <f t="shared" si="10"/>
        <v>735</v>
      </c>
      <c r="W13" s="194">
        <v>246950</v>
      </c>
      <c r="X13" s="17">
        <f t="shared" si="11"/>
        <v>210</v>
      </c>
      <c r="Y13" s="17">
        <f t="shared" si="12"/>
        <v>105</v>
      </c>
      <c r="Z13" s="194">
        <v>67055</v>
      </c>
      <c r="AA13" s="17">
        <f t="shared" si="13"/>
        <v>91</v>
      </c>
      <c r="AB13" s="194">
        <v>128249</v>
      </c>
      <c r="AC13" s="17">
        <f t="shared" si="14"/>
        <v>152</v>
      </c>
      <c r="AD13" s="194">
        <v>230390</v>
      </c>
      <c r="AE13" s="17">
        <f t="shared" si="15"/>
        <v>326</v>
      </c>
      <c r="AF13" s="194">
        <v>118919</v>
      </c>
      <c r="AG13" s="17">
        <f t="shared" si="16"/>
        <v>144</v>
      </c>
      <c r="AH13" s="194">
        <v>620242</v>
      </c>
      <c r="AI13" s="17">
        <f t="shared" si="17"/>
        <v>868</v>
      </c>
      <c r="AK13" s="96">
        <f t="shared" si="18"/>
        <v>31035</v>
      </c>
      <c r="AL13" s="97">
        <f t="shared" si="19"/>
        <v>7791</v>
      </c>
    </row>
    <row r="14" spans="1:45" ht="39.950000000000003" customHeight="1">
      <c r="A14" s="192">
        <f t="shared" si="20"/>
        <v>44658</v>
      </c>
      <c r="B14" s="16"/>
      <c r="C14" s="194">
        <v>238048</v>
      </c>
      <c r="D14" s="17">
        <f t="shared" si="2"/>
        <v>3390</v>
      </c>
      <c r="E14" s="194">
        <v>395621</v>
      </c>
      <c r="F14" s="17">
        <f t="shared" si="2"/>
        <v>7210</v>
      </c>
      <c r="G14" s="194">
        <v>107683</v>
      </c>
      <c r="H14" s="17">
        <f t="shared" si="3"/>
        <v>2590</v>
      </c>
      <c r="I14" s="17">
        <f t="shared" si="4"/>
        <v>1295</v>
      </c>
      <c r="J14" s="194">
        <v>348602</v>
      </c>
      <c r="K14" s="17">
        <f t="shared" si="5"/>
        <v>5220</v>
      </c>
      <c r="L14" s="194">
        <v>549427</v>
      </c>
      <c r="M14" s="17">
        <f t="shared" si="6"/>
        <v>8460</v>
      </c>
      <c r="N14" s="194">
        <v>241914</v>
      </c>
      <c r="O14" s="17">
        <f t="shared" si="0"/>
        <v>11230</v>
      </c>
      <c r="P14" s="17">
        <f t="shared" si="7"/>
        <v>5615</v>
      </c>
      <c r="Q14" s="194">
        <v>350089</v>
      </c>
      <c r="R14" s="17">
        <f t="shared" si="1"/>
        <v>1770</v>
      </c>
      <c r="S14" s="17">
        <f t="shared" si="8"/>
        <v>885</v>
      </c>
      <c r="T14" s="194">
        <v>167976</v>
      </c>
      <c r="U14" s="17">
        <f t="shared" si="9"/>
        <v>20</v>
      </c>
      <c r="V14" s="17">
        <f t="shared" si="10"/>
        <v>10</v>
      </c>
      <c r="W14" s="194">
        <v>246958</v>
      </c>
      <c r="X14" s="17">
        <f t="shared" si="11"/>
        <v>80</v>
      </c>
      <c r="Y14" s="17">
        <f t="shared" si="12"/>
        <v>40</v>
      </c>
      <c r="Z14" s="194">
        <v>67153</v>
      </c>
      <c r="AA14" s="17">
        <f t="shared" si="13"/>
        <v>98</v>
      </c>
      <c r="AB14" s="194">
        <v>128411</v>
      </c>
      <c r="AC14" s="17">
        <f t="shared" si="14"/>
        <v>162</v>
      </c>
      <c r="AD14" s="194">
        <v>230732</v>
      </c>
      <c r="AE14" s="17">
        <f t="shared" si="15"/>
        <v>342</v>
      </c>
      <c r="AF14" s="194">
        <v>119069</v>
      </c>
      <c r="AG14" s="17">
        <f t="shared" si="16"/>
        <v>150</v>
      </c>
      <c r="AH14" s="194">
        <v>621142</v>
      </c>
      <c r="AI14" s="17">
        <f t="shared" si="17"/>
        <v>900</v>
      </c>
      <c r="AK14" s="96">
        <f t="shared" si="18"/>
        <v>32125</v>
      </c>
      <c r="AL14" s="97">
        <f t="shared" si="19"/>
        <v>8202</v>
      </c>
    </row>
    <row r="15" spans="1:45" ht="39.950000000000003" customHeight="1">
      <c r="A15" s="192">
        <f t="shared" si="20"/>
        <v>44659</v>
      </c>
      <c r="B15" s="16"/>
      <c r="C15" s="194">
        <v>238387</v>
      </c>
      <c r="D15" s="17">
        <f t="shared" si="2"/>
        <v>3390</v>
      </c>
      <c r="E15" s="194">
        <v>396035</v>
      </c>
      <c r="F15" s="17">
        <f t="shared" si="2"/>
        <v>4140</v>
      </c>
      <c r="G15" s="194">
        <v>107946</v>
      </c>
      <c r="H15" s="17">
        <f t="shared" si="3"/>
        <v>2630</v>
      </c>
      <c r="I15" s="17">
        <f t="shared" si="4"/>
        <v>1315</v>
      </c>
      <c r="J15" s="194">
        <v>349123</v>
      </c>
      <c r="K15" s="17">
        <f t="shared" si="5"/>
        <v>5210</v>
      </c>
      <c r="L15" s="194">
        <v>550255</v>
      </c>
      <c r="M15" s="17">
        <f t="shared" si="6"/>
        <v>8280</v>
      </c>
      <c r="N15" s="194">
        <v>242974</v>
      </c>
      <c r="O15" s="17">
        <f t="shared" si="0"/>
        <v>10600</v>
      </c>
      <c r="P15" s="17">
        <f t="shared" si="7"/>
        <v>5300</v>
      </c>
      <c r="Q15" s="194">
        <v>350091</v>
      </c>
      <c r="R15" s="17">
        <f t="shared" si="1"/>
        <v>20</v>
      </c>
      <c r="S15" s="17">
        <f t="shared" si="8"/>
        <v>10</v>
      </c>
      <c r="T15" s="194">
        <v>168201</v>
      </c>
      <c r="U15" s="17">
        <f t="shared" si="9"/>
        <v>2250</v>
      </c>
      <c r="V15" s="17">
        <f t="shared" si="10"/>
        <v>1125</v>
      </c>
      <c r="W15" s="194">
        <v>246987</v>
      </c>
      <c r="X15" s="17">
        <f t="shared" si="11"/>
        <v>290</v>
      </c>
      <c r="Y15" s="17">
        <f t="shared" si="12"/>
        <v>145</v>
      </c>
      <c r="Z15" s="194">
        <v>67249</v>
      </c>
      <c r="AA15" s="17">
        <f t="shared" si="13"/>
        <v>96</v>
      </c>
      <c r="AB15" s="194">
        <v>128569</v>
      </c>
      <c r="AC15" s="17">
        <f t="shared" si="14"/>
        <v>158</v>
      </c>
      <c r="AD15" s="194">
        <v>231080</v>
      </c>
      <c r="AE15" s="17">
        <f t="shared" si="15"/>
        <v>348</v>
      </c>
      <c r="AF15" s="194">
        <v>119217</v>
      </c>
      <c r="AG15" s="17">
        <f t="shared" si="16"/>
        <v>148</v>
      </c>
      <c r="AH15" s="194">
        <v>622011</v>
      </c>
      <c r="AI15" s="17">
        <f t="shared" si="17"/>
        <v>869</v>
      </c>
      <c r="AK15" s="96">
        <f t="shared" si="18"/>
        <v>28915</v>
      </c>
      <c r="AL15" s="97">
        <f t="shared" si="19"/>
        <v>8199</v>
      </c>
    </row>
    <row r="16" spans="1:45" ht="39.950000000000003" customHeight="1">
      <c r="A16" s="192">
        <f t="shared" si="20"/>
        <v>44660</v>
      </c>
      <c r="B16" s="16"/>
      <c r="C16" s="194">
        <v>238764</v>
      </c>
      <c r="D16" s="17">
        <f t="shared" si="2"/>
        <v>3770</v>
      </c>
      <c r="E16" s="194">
        <v>397175</v>
      </c>
      <c r="F16" s="17">
        <f t="shared" si="2"/>
        <v>11400</v>
      </c>
      <c r="G16" s="194">
        <v>108219</v>
      </c>
      <c r="H16" s="17">
        <f t="shared" si="3"/>
        <v>2730</v>
      </c>
      <c r="I16" s="17">
        <f t="shared" si="4"/>
        <v>1365</v>
      </c>
      <c r="J16" s="194">
        <v>349642</v>
      </c>
      <c r="K16" s="17">
        <f t="shared" si="5"/>
        <v>5190</v>
      </c>
      <c r="L16" s="194">
        <v>551146</v>
      </c>
      <c r="M16" s="17">
        <f t="shared" si="6"/>
        <v>8910</v>
      </c>
      <c r="N16" s="194">
        <v>244194</v>
      </c>
      <c r="O16" s="17">
        <f t="shared" si="0"/>
        <v>12200</v>
      </c>
      <c r="P16" s="17">
        <f t="shared" si="7"/>
        <v>6100</v>
      </c>
      <c r="Q16" s="194">
        <v>350248</v>
      </c>
      <c r="R16" s="17">
        <f t="shared" si="1"/>
        <v>1570</v>
      </c>
      <c r="S16" s="17">
        <f t="shared" si="8"/>
        <v>785</v>
      </c>
      <c r="T16" s="194">
        <v>168203</v>
      </c>
      <c r="U16" s="17">
        <f t="shared" si="9"/>
        <v>20</v>
      </c>
      <c r="V16" s="17">
        <f t="shared" si="10"/>
        <v>10</v>
      </c>
      <c r="W16" s="194">
        <v>246994</v>
      </c>
      <c r="X16" s="17">
        <f t="shared" si="11"/>
        <v>70</v>
      </c>
      <c r="Y16" s="17">
        <f t="shared" si="12"/>
        <v>35</v>
      </c>
      <c r="Z16" s="194">
        <v>67352</v>
      </c>
      <c r="AA16" s="17">
        <f t="shared" si="13"/>
        <v>103</v>
      </c>
      <c r="AB16" s="194">
        <v>128725</v>
      </c>
      <c r="AC16" s="17">
        <f t="shared" si="14"/>
        <v>156</v>
      </c>
      <c r="AD16" s="194">
        <v>231405</v>
      </c>
      <c r="AE16" s="17">
        <f t="shared" si="15"/>
        <v>325</v>
      </c>
      <c r="AF16" s="194">
        <v>119361</v>
      </c>
      <c r="AG16" s="17">
        <f t="shared" si="16"/>
        <v>144</v>
      </c>
      <c r="AH16" s="194">
        <v>622905</v>
      </c>
      <c r="AI16" s="17">
        <f t="shared" si="17"/>
        <v>894</v>
      </c>
      <c r="AK16" s="96">
        <f t="shared" si="18"/>
        <v>37565</v>
      </c>
      <c r="AL16" s="97">
        <f t="shared" si="19"/>
        <v>8552</v>
      </c>
    </row>
    <row r="17" spans="1:38" ht="39.950000000000003" customHeight="1">
      <c r="A17" s="192">
        <f t="shared" si="20"/>
        <v>44661</v>
      </c>
      <c r="B17" s="16"/>
      <c r="C17" s="194">
        <v>239118</v>
      </c>
      <c r="D17" s="17">
        <f t="shared" si="2"/>
        <v>3540</v>
      </c>
      <c r="E17" s="194">
        <v>397899</v>
      </c>
      <c r="F17" s="17">
        <f t="shared" si="2"/>
        <v>7240</v>
      </c>
      <c r="G17" s="194">
        <v>108490</v>
      </c>
      <c r="H17" s="17">
        <f t="shared" si="3"/>
        <v>2710</v>
      </c>
      <c r="I17" s="17">
        <f t="shared" si="4"/>
        <v>1355</v>
      </c>
      <c r="J17" s="194">
        <v>350203</v>
      </c>
      <c r="K17" s="17">
        <f t="shared" si="5"/>
        <v>5610</v>
      </c>
      <c r="L17" s="194">
        <v>552047</v>
      </c>
      <c r="M17" s="17">
        <f t="shared" si="6"/>
        <v>9010</v>
      </c>
      <c r="N17" s="194">
        <v>247002</v>
      </c>
      <c r="O17" s="17">
        <f t="shared" si="0"/>
        <v>28080</v>
      </c>
      <c r="P17" s="17">
        <f t="shared" si="7"/>
        <v>14040</v>
      </c>
      <c r="Q17" s="194">
        <v>350556</v>
      </c>
      <c r="R17" s="17">
        <f t="shared" si="1"/>
        <v>3080</v>
      </c>
      <c r="S17" s="17">
        <f t="shared" si="8"/>
        <v>1540</v>
      </c>
      <c r="T17" s="194">
        <v>168205</v>
      </c>
      <c r="U17" s="17">
        <f t="shared" si="9"/>
        <v>20</v>
      </c>
      <c r="V17" s="17">
        <f t="shared" si="10"/>
        <v>10</v>
      </c>
      <c r="W17" s="194">
        <v>247247</v>
      </c>
      <c r="X17" s="17">
        <f t="shared" si="11"/>
        <v>2530</v>
      </c>
      <c r="Y17" s="17">
        <f t="shared" si="12"/>
        <v>1265</v>
      </c>
      <c r="Z17" s="194">
        <v>67456</v>
      </c>
      <c r="AA17" s="17">
        <f t="shared" si="13"/>
        <v>104</v>
      </c>
      <c r="AB17" s="194">
        <v>128886</v>
      </c>
      <c r="AC17" s="17">
        <f t="shared" si="14"/>
        <v>161</v>
      </c>
      <c r="AD17" s="194">
        <v>231741</v>
      </c>
      <c r="AE17" s="17">
        <f t="shared" si="15"/>
        <v>336</v>
      </c>
      <c r="AF17" s="194">
        <v>119518</v>
      </c>
      <c r="AG17" s="17">
        <f t="shared" si="16"/>
        <v>157</v>
      </c>
      <c r="AH17" s="194">
        <v>623833</v>
      </c>
      <c r="AI17" s="17">
        <f t="shared" si="17"/>
        <v>928</v>
      </c>
      <c r="AK17" s="96">
        <f t="shared" si="18"/>
        <v>43610</v>
      </c>
      <c r="AL17" s="97">
        <f t="shared" si="19"/>
        <v>18541</v>
      </c>
    </row>
    <row r="18" spans="1:38" ht="39.950000000000003" customHeight="1">
      <c r="A18" s="192">
        <f t="shared" si="20"/>
        <v>44662</v>
      </c>
      <c r="B18" s="16"/>
      <c r="C18" s="194">
        <v>239476</v>
      </c>
      <c r="D18" s="17">
        <f t="shared" si="2"/>
        <v>3580</v>
      </c>
      <c r="E18" s="194">
        <v>398614</v>
      </c>
      <c r="F18" s="17">
        <f t="shared" si="2"/>
        <v>7150</v>
      </c>
      <c r="G18" s="194">
        <v>108771</v>
      </c>
      <c r="H18" s="17">
        <f t="shared" si="3"/>
        <v>2810</v>
      </c>
      <c r="I18" s="17">
        <f t="shared" si="4"/>
        <v>1405</v>
      </c>
      <c r="J18" s="194">
        <v>350724</v>
      </c>
      <c r="K18" s="17">
        <f t="shared" si="5"/>
        <v>5210</v>
      </c>
      <c r="L18" s="194">
        <v>552826</v>
      </c>
      <c r="M18" s="17">
        <f t="shared" si="6"/>
        <v>7790</v>
      </c>
      <c r="N18" s="194">
        <v>247010</v>
      </c>
      <c r="O18" s="17">
        <f t="shared" si="0"/>
        <v>80</v>
      </c>
      <c r="P18" s="17">
        <f t="shared" si="7"/>
        <v>40</v>
      </c>
      <c r="Q18" s="194">
        <v>351029</v>
      </c>
      <c r="R18" s="17">
        <f t="shared" si="1"/>
        <v>4730</v>
      </c>
      <c r="S18" s="17">
        <f t="shared" si="8"/>
        <v>2365</v>
      </c>
      <c r="T18" s="194">
        <v>168207</v>
      </c>
      <c r="U18" s="17">
        <f t="shared" si="9"/>
        <v>20</v>
      </c>
      <c r="V18" s="17">
        <f t="shared" si="10"/>
        <v>10</v>
      </c>
      <c r="W18" s="194">
        <v>247438</v>
      </c>
      <c r="X18" s="17">
        <f t="shared" si="11"/>
        <v>1910</v>
      </c>
      <c r="Y18" s="17">
        <f t="shared" si="12"/>
        <v>955</v>
      </c>
      <c r="Z18" s="194">
        <v>67557</v>
      </c>
      <c r="AA18" s="17">
        <f t="shared" si="13"/>
        <v>101</v>
      </c>
      <c r="AB18" s="194">
        <v>129042</v>
      </c>
      <c r="AC18" s="17">
        <f t="shared" si="14"/>
        <v>156</v>
      </c>
      <c r="AD18" s="194">
        <v>232069</v>
      </c>
      <c r="AE18" s="17">
        <f t="shared" si="15"/>
        <v>328</v>
      </c>
      <c r="AF18" s="194">
        <v>119667</v>
      </c>
      <c r="AG18" s="17">
        <f t="shared" si="16"/>
        <v>149</v>
      </c>
      <c r="AH18" s="194">
        <v>624718</v>
      </c>
      <c r="AI18" s="17">
        <f t="shared" si="17"/>
        <v>885</v>
      </c>
      <c r="AK18" s="96">
        <f t="shared" si="18"/>
        <v>28505</v>
      </c>
      <c r="AL18" s="97">
        <f t="shared" si="19"/>
        <v>4989</v>
      </c>
    </row>
    <row r="19" spans="1:38" ht="39.950000000000003" customHeight="1">
      <c r="A19" s="192">
        <f t="shared" si="20"/>
        <v>44663</v>
      </c>
      <c r="B19" s="16"/>
      <c r="C19" s="194">
        <v>239842</v>
      </c>
      <c r="D19" s="17">
        <f t="shared" si="2"/>
        <v>3660</v>
      </c>
      <c r="E19" s="194">
        <v>399334</v>
      </c>
      <c r="F19" s="17">
        <f t="shared" si="2"/>
        <v>7200</v>
      </c>
      <c r="G19" s="194">
        <v>109020</v>
      </c>
      <c r="H19" s="17">
        <f t="shared" si="3"/>
        <v>2490</v>
      </c>
      <c r="I19" s="17">
        <f t="shared" si="4"/>
        <v>1245</v>
      </c>
      <c r="J19" s="194">
        <v>351245</v>
      </c>
      <c r="K19" s="17">
        <f t="shared" si="5"/>
        <v>5210</v>
      </c>
      <c r="L19" s="194">
        <v>553696</v>
      </c>
      <c r="M19" s="17">
        <f t="shared" si="6"/>
        <v>8700</v>
      </c>
      <c r="N19" s="194">
        <v>247048</v>
      </c>
      <c r="O19" s="17">
        <f t="shared" si="0"/>
        <v>380</v>
      </c>
      <c r="P19" s="17">
        <f t="shared" si="7"/>
        <v>190</v>
      </c>
      <c r="Q19" s="194">
        <v>351031</v>
      </c>
      <c r="R19" s="17">
        <f t="shared" si="1"/>
        <v>20</v>
      </c>
      <c r="S19" s="17">
        <f t="shared" si="8"/>
        <v>10</v>
      </c>
      <c r="T19" s="194">
        <v>168735</v>
      </c>
      <c r="U19" s="17">
        <f t="shared" si="9"/>
        <v>5280</v>
      </c>
      <c r="V19" s="17">
        <f t="shared" si="10"/>
        <v>2640</v>
      </c>
      <c r="W19" s="194">
        <v>247481</v>
      </c>
      <c r="X19" s="17">
        <f t="shared" si="11"/>
        <v>430</v>
      </c>
      <c r="Y19" s="17">
        <f t="shared" si="12"/>
        <v>215</v>
      </c>
      <c r="Z19" s="194">
        <v>67658</v>
      </c>
      <c r="AA19" s="17">
        <f t="shared" si="13"/>
        <v>101</v>
      </c>
      <c r="AB19" s="194">
        <v>129210</v>
      </c>
      <c r="AC19" s="17">
        <f t="shared" si="14"/>
        <v>168</v>
      </c>
      <c r="AD19" s="194">
        <v>232416</v>
      </c>
      <c r="AE19" s="17">
        <f t="shared" si="15"/>
        <v>347</v>
      </c>
      <c r="AF19" s="194">
        <v>119823</v>
      </c>
      <c r="AG19" s="17">
        <f t="shared" si="16"/>
        <v>156</v>
      </c>
      <c r="AH19" s="194">
        <v>625646</v>
      </c>
      <c r="AI19" s="17">
        <f t="shared" si="17"/>
        <v>928</v>
      </c>
      <c r="AK19" s="96">
        <f t="shared" si="18"/>
        <v>29070</v>
      </c>
      <c r="AL19" s="97">
        <f t="shared" si="19"/>
        <v>4755</v>
      </c>
    </row>
    <row r="20" spans="1:38" ht="39.950000000000003" customHeight="1">
      <c r="A20" s="192">
        <f t="shared" si="20"/>
        <v>44664</v>
      </c>
      <c r="B20" s="16"/>
      <c r="C20" s="194">
        <v>240563</v>
      </c>
      <c r="D20" s="17">
        <f t="shared" si="2"/>
        <v>7210</v>
      </c>
      <c r="E20" s="194">
        <v>400045</v>
      </c>
      <c r="F20" s="17">
        <f t="shared" si="2"/>
        <v>7110</v>
      </c>
      <c r="G20" s="194">
        <v>109270</v>
      </c>
      <c r="H20" s="17">
        <f t="shared" si="3"/>
        <v>2500</v>
      </c>
      <c r="I20" s="17">
        <f t="shared" si="4"/>
        <v>1250</v>
      </c>
      <c r="J20" s="194">
        <v>351757</v>
      </c>
      <c r="K20" s="17">
        <f t="shared" si="5"/>
        <v>5120</v>
      </c>
      <c r="L20" s="194">
        <v>554551</v>
      </c>
      <c r="M20" s="17">
        <f t="shared" si="6"/>
        <v>8550</v>
      </c>
      <c r="N20" s="194">
        <v>247563</v>
      </c>
      <c r="O20" s="17">
        <f t="shared" si="0"/>
        <v>5150</v>
      </c>
      <c r="P20" s="17">
        <f t="shared" si="7"/>
        <v>2575</v>
      </c>
      <c r="Q20" s="194">
        <v>351147</v>
      </c>
      <c r="R20" s="17">
        <f t="shared" si="1"/>
        <v>1160</v>
      </c>
      <c r="S20" s="17">
        <f t="shared" si="8"/>
        <v>580</v>
      </c>
      <c r="T20" s="194">
        <v>168737</v>
      </c>
      <c r="U20" s="17">
        <f t="shared" si="9"/>
        <v>20</v>
      </c>
      <c r="V20" s="17">
        <f t="shared" si="10"/>
        <v>10</v>
      </c>
      <c r="W20" s="194">
        <v>247496</v>
      </c>
      <c r="X20" s="17">
        <f t="shared" si="11"/>
        <v>150</v>
      </c>
      <c r="Y20" s="17">
        <f t="shared" si="12"/>
        <v>75</v>
      </c>
      <c r="Z20" s="194">
        <v>67754</v>
      </c>
      <c r="AA20" s="17">
        <f t="shared" si="13"/>
        <v>96</v>
      </c>
      <c r="AB20" s="194">
        <v>129370</v>
      </c>
      <c r="AC20" s="17">
        <f t="shared" si="14"/>
        <v>160</v>
      </c>
      <c r="AD20" s="194">
        <v>232756</v>
      </c>
      <c r="AE20" s="17">
        <f t="shared" si="15"/>
        <v>340</v>
      </c>
      <c r="AF20" s="194">
        <v>119975</v>
      </c>
      <c r="AG20" s="17">
        <f t="shared" si="16"/>
        <v>152</v>
      </c>
      <c r="AH20" s="194">
        <v>626538</v>
      </c>
      <c r="AI20" s="17">
        <f t="shared" si="17"/>
        <v>892</v>
      </c>
      <c r="AK20" s="96">
        <f t="shared" si="18"/>
        <v>32480</v>
      </c>
      <c r="AL20" s="97">
        <f t="shared" si="19"/>
        <v>4880</v>
      </c>
    </row>
    <row r="21" spans="1:38" ht="39.950000000000003" customHeight="1">
      <c r="A21" s="192">
        <f t="shared" si="20"/>
        <v>44665</v>
      </c>
      <c r="B21" s="16"/>
      <c r="C21" s="194">
        <v>240589</v>
      </c>
      <c r="D21" s="17">
        <f t="shared" si="2"/>
        <v>260</v>
      </c>
      <c r="E21" s="203">
        <f>(E23-E20)/3+E20</f>
        <v>400810.66666666669</v>
      </c>
      <c r="F21" s="96">
        <f t="shared" si="2"/>
        <v>7656.6666666668607</v>
      </c>
      <c r="G21" s="203">
        <f>(G23-G20)/3+G20</f>
        <v>109541</v>
      </c>
      <c r="H21" s="17">
        <f t="shared" si="3"/>
        <v>2710</v>
      </c>
      <c r="I21" s="17">
        <f t="shared" si="4"/>
        <v>1355</v>
      </c>
      <c r="J21" s="194">
        <v>352334</v>
      </c>
      <c r="K21" s="17">
        <f t="shared" si="5"/>
        <v>5770</v>
      </c>
      <c r="L21" s="194">
        <v>555471</v>
      </c>
      <c r="M21" s="17">
        <f t="shared" si="6"/>
        <v>9200</v>
      </c>
      <c r="N21" s="194">
        <v>247617</v>
      </c>
      <c r="O21" s="17">
        <f t="shared" si="0"/>
        <v>540</v>
      </c>
      <c r="P21" s="17">
        <f t="shared" si="7"/>
        <v>270</v>
      </c>
      <c r="Q21" s="194">
        <v>351594</v>
      </c>
      <c r="R21" s="17">
        <f t="shared" si="1"/>
        <v>4470</v>
      </c>
      <c r="S21" s="17">
        <f t="shared" si="8"/>
        <v>2235</v>
      </c>
      <c r="T21" s="194">
        <v>168740</v>
      </c>
      <c r="U21" s="17">
        <f t="shared" si="9"/>
        <v>30</v>
      </c>
      <c r="V21" s="17">
        <f t="shared" si="10"/>
        <v>15</v>
      </c>
      <c r="W21" s="203">
        <f>(W23-W20)/3+W20</f>
        <v>247541.33333333334</v>
      </c>
      <c r="X21" s="96">
        <f t="shared" si="11"/>
        <v>453.33333333343035</v>
      </c>
      <c r="Y21" s="96">
        <f t="shared" si="12"/>
        <v>226.66666666671517</v>
      </c>
      <c r="Z21" s="194">
        <v>67855</v>
      </c>
      <c r="AA21" s="17">
        <f t="shared" si="13"/>
        <v>101</v>
      </c>
      <c r="AB21" s="194">
        <v>129552</v>
      </c>
      <c r="AC21" s="17">
        <f t="shared" si="14"/>
        <v>182</v>
      </c>
      <c r="AD21" s="194">
        <v>233121</v>
      </c>
      <c r="AE21" s="17">
        <f t="shared" si="15"/>
        <v>365</v>
      </c>
      <c r="AF21" s="194">
        <v>120139</v>
      </c>
      <c r="AG21" s="17">
        <f t="shared" si="16"/>
        <v>164</v>
      </c>
      <c r="AH21" s="194">
        <v>627507</v>
      </c>
      <c r="AI21" s="17">
        <f t="shared" si="17"/>
        <v>969</v>
      </c>
      <c r="AK21" s="96">
        <f t="shared" si="18"/>
        <v>26988.333333333576</v>
      </c>
      <c r="AL21" s="97">
        <f t="shared" si="19"/>
        <v>4527.6666666667152</v>
      </c>
    </row>
    <row r="22" spans="1:38" ht="39.950000000000003" customHeight="1">
      <c r="A22" s="192">
        <f t="shared" si="20"/>
        <v>44666</v>
      </c>
      <c r="B22" s="16"/>
      <c r="C22" s="203">
        <f>(C21+C23)/2</f>
        <v>240959.5</v>
      </c>
      <c r="D22" s="17">
        <f t="shared" si="2"/>
        <v>3705</v>
      </c>
      <c r="E22" s="203">
        <f>(E23-E20)/3+E21</f>
        <v>401576.33333333337</v>
      </c>
      <c r="F22" s="96">
        <f t="shared" si="2"/>
        <v>7656.6666666668607</v>
      </c>
      <c r="G22" s="203">
        <f>(G23-G20)/3+G21</f>
        <v>109812</v>
      </c>
      <c r="H22" s="17">
        <f t="shared" si="3"/>
        <v>2710</v>
      </c>
      <c r="I22" s="17">
        <f t="shared" si="4"/>
        <v>1355</v>
      </c>
      <c r="J22" s="194">
        <v>352886</v>
      </c>
      <c r="K22" s="17">
        <f t="shared" si="5"/>
        <v>5520</v>
      </c>
      <c r="L22" s="194">
        <v>556356</v>
      </c>
      <c r="M22" s="17">
        <f t="shared" si="6"/>
        <v>8850</v>
      </c>
      <c r="N22" s="194">
        <v>247624</v>
      </c>
      <c r="O22" s="17">
        <f t="shared" si="0"/>
        <v>70</v>
      </c>
      <c r="P22" s="17">
        <f t="shared" si="7"/>
        <v>35</v>
      </c>
      <c r="Q22" s="194">
        <v>351969</v>
      </c>
      <c r="R22" s="17">
        <f t="shared" si="1"/>
        <v>3750</v>
      </c>
      <c r="S22" s="17">
        <f t="shared" si="8"/>
        <v>1875</v>
      </c>
      <c r="T22" s="194">
        <v>168742</v>
      </c>
      <c r="U22" s="17">
        <f t="shared" si="9"/>
        <v>20</v>
      </c>
      <c r="V22" s="17">
        <f t="shared" si="10"/>
        <v>10</v>
      </c>
      <c r="W22" s="203">
        <f>(W23-W20)/3+W21</f>
        <v>247586.66666666669</v>
      </c>
      <c r="X22" s="96">
        <f t="shared" si="11"/>
        <v>453.33333333343035</v>
      </c>
      <c r="Y22" s="96">
        <f t="shared" si="12"/>
        <v>226.66666666671517</v>
      </c>
      <c r="Z22" s="194">
        <v>67955</v>
      </c>
      <c r="AA22" s="17">
        <f t="shared" si="13"/>
        <v>100</v>
      </c>
      <c r="AB22" s="194">
        <v>129720</v>
      </c>
      <c r="AC22" s="17">
        <f t="shared" si="14"/>
        <v>168</v>
      </c>
      <c r="AD22" s="194">
        <v>233461</v>
      </c>
      <c r="AE22" s="17">
        <f t="shared" si="15"/>
        <v>340</v>
      </c>
      <c r="AF22" s="194">
        <v>120296</v>
      </c>
      <c r="AG22" s="17">
        <f t="shared" si="16"/>
        <v>157</v>
      </c>
      <c r="AH22" s="194">
        <v>628399</v>
      </c>
      <c r="AI22" s="17">
        <f t="shared" si="17"/>
        <v>892</v>
      </c>
      <c r="AK22" s="96">
        <f t="shared" si="18"/>
        <v>29233.333333333576</v>
      </c>
      <c r="AL22" s="97">
        <f t="shared" si="19"/>
        <v>3803.6666666667152</v>
      </c>
    </row>
    <row r="23" spans="1:38" ht="39.950000000000003" customHeight="1">
      <c r="A23" s="192">
        <f t="shared" si="20"/>
        <v>44667</v>
      </c>
      <c r="B23" s="16"/>
      <c r="C23" s="194">
        <v>241330</v>
      </c>
      <c r="D23" s="17">
        <f t="shared" si="2"/>
        <v>3705</v>
      </c>
      <c r="E23" s="194">
        <v>402342</v>
      </c>
      <c r="F23" s="96">
        <f t="shared" si="2"/>
        <v>7656.6666666662786</v>
      </c>
      <c r="G23" s="194">
        <v>110083</v>
      </c>
      <c r="H23" s="17">
        <f t="shared" si="3"/>
        <v>2710</v>
      </c>
      <c r="I23" s="17">
        <f t="shared" si="4"/>
        <v>1355</v>
      </c>
      <c r="J23" s="194">
        <v>353454</v>
      </c>
      <c r="K23" s="17">
        <f t="shared" si="5"/>
        <v>5680</v>
      </c>
      <c r="L23" s="194">
        <v>557240</v>
      </c>
      <c r="M23" s="17">
        <f t="shared" si="6"/>
        <v>8840</v>
      </c>
      <c r="N23" s="194">
        <v>253084</v>
      </c>
      <c r="O23" s="17">
        <f t="shared" si="0"/>
        <v>54600</v>
      </c>
      <c r="P23" s="17">
        <f t="shared" si="7"/>
        <v>27300</v>
      </c>
      <c r="Q23" s="194">
        <v>351971</v>
      </c>
      <c r="R23" s="17">
        <f t="shared" si="1"/>
        <v>20</v>
      </c>
      <c r="S23" s="17">
        <f t="shared" si="8"/>
        <v>10</v>
      </c>
      <c r="T23" s="194">
        <v>168744</v>
      </c>
      <c r="U23" s="17">
        <f t="shared" si="9"/>
        <v>20</v>
      </c>
      <c r="V23" s="17">
        <f t="shared" si="10"/>
        <v>10</v>
      </c>
      <c r="W23" s="194">
        <v>247632</v>
      </c>
      <c r="X23" s="96">
        <f t="shared" si="11"/>
        <v>453.33333333313931</v>
      </c>
      <c r="Y23" s="96">
        <f t="shared" si="12"/>
        <v>226.66666666656965</v>
      </c>
      <c r="Z23" s="194">
        <v>68056</v>
      </c>
      <c r="AA23" s="17">
        <f t="shared" si="13"/>
        <v>101</v>
      </c>
      <c r="AB23" s="194">
        <v>129900</v>
      </c>
      <c r="AC23" s="17">
        <f t="shared" si="14"/>
        <v>180</v>
      </c>
      <c r="AD23" s="194">
        <v>233798</v>
      </c>
      <c r="AE23" s="17">
        <f t="shared" si="15"/>
        <v>337</v>
      </c>
      <c r="AF23" s="194">
        <v>120448</v>
      </c>
      <c r="AG23" s="17">
        <f t="shared" si="16"/>
        <v>152</v>
      </c>
      <c r="AH23" s="194">
        <v>629262</v>
      </c>
      <c r="AI23" s="17">
        <f t="shared" si="17"/>
        <v>863</v>
      </c>
      <c r="AK23" s="96">
        <f t="shared" si="18"/>
        <v>54783.333333332848</v>
      </c>
      <c r="AL23" s="97">
        <f t="shared" si="19"/>
        <v>29179.66666666657</v>
      </c>
    </row>
    <row r="24" spans="1:38" ht="39.950000000000003" customHeight="1">
      <c r="A24" s="192">
        <f t="shared" si="20"/>
        <v>44668</v>
      </c>
      <c r="B24" s="16"/>
      <c r="C24" s="194">
        <v>241706</v>
      </c>
      <c r="D24" s="17">
        <f t="shared" si="2"/>
        <v>3760</v>
      </c>
      <c r="E24" s="194">
        <v>403097</v>
      </c>
      <c r="F24" s="17">
        <f t="shared" si="2"/>
        <v>7550</v>
      </c>
      <c r="G24" s="194">
        <v>110332</v>
      </c>
      <c r="H24" s="17">
        <f t="shared" si="3"/>
        <v>2490</v>
      </c>
      <c r="I24" s="17">
        <f t="shared" si="4"/>
        <v>1245</v>
      </c>
      <c r="J24" s="194">
        <v>354009</v>
      </c>
      <c r="K24" s="17">
        <f t="shared" si="5"/>
        <v>5550</v>
      </c>
      <c r="L24" s="194">
        <v>558130</v>
      </c>
      <c r="M24" s="17">
        <f t="shared" si="6"/>
        <v>8900</v>
      </c>
      <c r="N24" s="194">
        <v>254351</v>
      </c>
      <c r="O24" s="17">
        <f t="shared" si="0"/>
        <v>12670</v>
      </c>
      <c r="P24" s="17">
        <f t="shared" si="7"/>
        <v>6335</v>
      </c>
      <c r="Q24" s="194">
        <v>351973</v>
      </c>
      <c r="R24" s="17">
        <f t="shared" si="1"/>
        <v>20</v>
      </c>
      <c r="S24" s="17">
        <f t="shared" si="8"/>
        <v>10</v>
      </c>
      <c r="T24" s="194">
        <v>168746</v>
      </c>
      <c r="U24" s="17">
        <f t="shared" si="9"/>
        <v>20</v>
      </c>
      <c r="V24" s="17">
        <f t="shared" si="10"/>
        <v>10</v>
      </c>
      <c r="W24" s="194">
        <v>247639</v>
      </c>
      <c r="X24" s="17">
        <f t="shared" si="11"/>
        <v>70</v>
      </c>
      <c r="Y24" s="17">
        <f t="shared" si="12"/>
        <v>35</v>
      </c>
      <c r="Z24" s="194">
        <v>68157</v>
      </c>
      <c r="AA24" s="17">
        <f t="shared" si="13"/>
        <v>101</v>
      </c>
      <c r="AB24" s="194">
        <v>130073</v>
      </c>
      <c r="AC24" s="17">
        <f t="shared" si="14"/>
        <v>173</v>
      </c>
      <c r="AD24" s="194">
        <v>234126</v>
      </c>
      <c r="AE24" s="17">
        <f t="shared" si="15"/>
        <v>328</v>
      </c>
      <c r="AF24" s="194">
        <v>120599</v>
      </c>
      <c r="AG24" s="17">
        <f t="shared" si="16"/>
        <v>151</v>
      </c>
      <c r="AH24" s="194">
        <v>630137</v>
      </c>
      <c r="AI24" s="17">
        <f t="shared" si="17"/>
        <v>875</v>
      </c>
      <c r="AK24" s="96">
        <f t="shared" si="18"/>
        <v>33395</v>
      </c>
      <c r="AL24" s="97">
        <f t="shared" si="19"/>
        <v>8018</v>
      </c>
    </row>
    <row r="25" spans="1:38" ht="39.950000000000003" customHeight="1">
      <c r="A25" s="192">
        <f t="shared" si="20"/>
        <v>44669</v>
      </c>
      <c r="B25" s="16"/>
      <c r="C25" s="194">
        <v>242090</v>
      </c>
      <c r="D25" s="17">
        <f t="shared" si="2"/>
        <v>3840</v>
      </c>
      <c r="E25" s="194">
        <v>403888</v>
      </c>
      <c r="F25" s="17">
        <f t="shared" si="2"/>
        <v>7910</v>
      </c>
      <c r="G25" s="194">
        <v>110609</v>
      </c>
      <c r="H25" s="17">
        <f t="shared" si="3"/>
        <v>2770</v>
      </c>
      <c r="I25" s="17">
        <f t="shared" si="4"/>
        <v>1385</v>
      </c>
      <c r="J25" s="194">
        <v>354567</v>
      </c>
      <c r="K25" s="17">
        <f t="shared" si="5"/>
        <v>5580</v>
      </c>
      <c r="L25" s="194">
        <v>558941</v>
      </c>
      <c r="M25" s="17">
        <f t="shared" si="6"/>
        <v>8110</v>
      </c>
      <c r="N25" s="194">
        <v>255595</v>
      </c>
      <c r="O25" s="17">
        <f t="shared" si="0"/>
        <v>12440</v>
      </c>
      <c r="P25" s="17">
        <f t="shared" si="7"/>
        <v>6220</v>
      </c>
      <c r="Q25" s="194">
        <v>352095</v>
      </c>
      <c r="R25" s="17">
        <f t="shared" si="1"/>
        <v>1220</v>
      </c>
      <c r="S25" s="17">
        <f t="shared" si="8"/>
        <v>610</v>
      </c>
      <c r="T25" s="194">
        <v>168749</v>
      </c>
      <c r="U25" s="17">
        <f t="shared" si="9"/>
        <v>30</v>
      </c>
      <c r="V25" s="17">
        <f t="shared" si="10"/>
        <v>15</v>
      </c>
      <c r="W25" s="194">
        <v>247647</v>
      </c>
      <c r="X25" s="17">
        <f t="shared" si="11"/>
        <v>80</v>
      </c>
      <c r="Y25" s="17">
        <f t="shared" si="12"/>
        <v>40</v>
      </c>
      <c r="Z25" s="194">
        <v>68257</v>
      </c>
      <c r="AA25" s="17">
        <f t="shared" si="13"/>
        <v>100</v>
      </c>
      <c r="AB25" s="194">
        <v>130247</v>
      </c>
      <c r="AC25" s="17">
        <f t="shared" si="14"/>
        <v>174</v>
      </c>
      <c r="AD25" s="194">
        <v>234455</v>
      </c>
      <c r="AE25" s="17">
        <f t="shared" si="15"/>
        <v>329</v>
      </c>
      <c r="AF25" s="194">
        <v>120753</v>
      </c>
      <c r="AG25" s="17">
        <f t="shared" si="16"/>
        <v>154</v>
      </c>
      <c r="AH25" s="194">
        <v>630996</v>
      </c>
      <c r="AI25" s="17">
        <f t="shared" si="17"/>
        <v>859</v>
      </c>
      <c r="AK25" s="96">
        <f t="shared" si="18"/>
        <v>33710</v>
      </c>
      <c r="AL25" s="97">
        <f t="shared" si="19"/>
        <v>8501</v>
      </c>
    </row>
    <row r="26" spans="1:38" ht="39.950000000000003" customHeight="1">
      <c r="A26" s="192">
        <f t="shared" si="20"/>
        <v>44670</v>
      </c>
      <c r="B26" s="16"/>
      <c r="C26" s="194">
        <v>242452</v>
      </c>
      <c r="D26" s="17">
        <f t="shared" ref="D26:D37" si="21">(C26-C25)*10</f>
        <v>3620</v>
      </c>
      <c r="E26" s="194">
        <v>404632</v>
      </c>
      <c r="F26" s="17">
        <f t="shared" ref="F26:F37" si="22">(E26-E25)*10</f>
        <v>7440</v>
      </c>
      <c r="G26" s="194">
        <v>110874</v>
      </c>
      <c r="H26" s="17">
        <f t="shared" si="3"/>
        <v>2650</v>
      </c>
      <c r="I26" s="17">
        <f t="shared" si="4"/>
        <v>1325</v>
      </c>
      <c r="J26" s="194">
        <v>355122</v>
      </c>
      <c r="K26" s="17">
        <f t="shared" si="5"/>
        <v>5550</v>
      </c>
      <c r="L26" s="194">
        <v>559832</v>
      </c>
      <c r="M26" s="17">
        <f t="shared" si="6"/>
        <v>8910</v>
      </c>
      <c r="N26" s="194">
        <v>256798</v>
      </c>
      <c r="O26" s="17">
        <f t="shared" si="0"/>
        <v>12030</v>
      </c>
      <c r="P26" s="17">
        <f t="shared" si="7"/>
        <v>6015</v>
      </c>
      <c r="Q26" s="194">
        <v>352097</v>
      </c>
      <c r="R26" s="17">
        <f t="shared" si="1"/>
        <v>20</v>
      </c>
      <c r="S26" s="17">
        <f t="shared" si="8"/>
        <v>10</v>
      </c>
      <c r="T26" s="194">
        <v>168751</v>
      </c>
      <c r="U26" s="17">
        <f t="shared" si="9"/>
        <v>20</v>
      </c>
      <c r="V26" s="17">
        <f t="shared" si="10"/>
        <v>10</v>
      </c>
      <c r="W26" s="194">
        <v>247655</v>
      </c>
      <c r="X26" s="17">
        <f>(W26-W25)*10</f>
        <v>80</v>
      </c>
      <c r="Y26" s="17">
        <f t="shared" si="12"/>
        <v>40</v>
      </c>
      <c r="Z26" s="194">
        <v>68357</v>
      </c>
      <c r="AA26" s="17">
        <f t="shared" si="13"/>
        <v>100</v>
      </c>
      <c r="AB26" s="194">
        <v>130427</v>
      </c>
      <c r="AC26" s="17">
        <f t="shared" si="14"/>
        <v>180</v>
      </c>
      <c r="AD26" s="194">
        <v>234796</v>
      </c>
      <c r="AE26" s="17">
        <f t="shared" si="15"/>
        <v>341</v>
      </c>
      <c r="AF26" s="194">
        <v>120908</v>
      </c>
      <c r="AG26" s="17">
        <f t="shared" si="16"/>
        <v>155</v>
      </c>
      <c r="AH26" s="194">
        <v>631868</v>
      </c>
      <c r="AI26" s="17">
        <f t="shared" si="17"/>
        <v>872</v>
      </c>
      <c r="AK26" s="96">
        <f t="shared" si="18"/>
        <v>32920</v>
      </c>
      <c r="AL26" s="97">
        <f t="shared" si="19"/>
        <v>7723</v>
      </c>
    </row>
    <row r="27" spans="1:38" ht="39.950000000000003" customHeight="1">
      <c r="A27" s="192">
        <f t="shared" si="20"/>
        <v>44671</v>
      </c>
      <c r="B27" s="16"/>
      <c r="C27" s="194">
        <v>242817</v>
      </c>
      <c r="D27" s="17">
        <f t="shared" si="21"/>
        <v>3650</v>
      </c>
      <c r="E27" s="194">
        <v>405350</v>
      </c>
      <c r="F27" s="17">
        <f t="shared" si="22"/>
        <v>7180</v>
      </c>
      <c r="G27" s="194">
        <v>111140</v>
      </c>
      <c r="H27" s="17">
        <f t="shared" si="3"/>
        <v>2660</v>
      </c>
      <c r="I27" s="17">
        <f t="shared" si="4"/>
        <v>1330</v>
      </c>
      <c r="J27" s="194">
        <v>355683</v>
      </c>
      <c r="K27" s="17">
        <f t="shared" si="5"/>
        <v>5610</v>
      </c>
      <c r="L27" s="194">
        <v>560740</v>
      </c>
      <c r="M27" s="17">
        <f t="shared" si="6"/>
        <v>9080</v>
      </c>
      <c r="N27" s="194">
        <v>257931</v>
      </c>
      <c r="O27" s="17">
        <f t="shared" si="0"/>
        <v>11330</v>
      </c>
      <c r="P27" s="17">
        <f t="shared" si="7"/>
        <v>5665</v>
      </c>
      <c r="Q27" s="194">
        <v>352099</v>
      </c>
      <c r="R27" s="17">
        <f t="shared" si="1"/>
        <v>20</v>
      </c>
      <c r="S27" s="17">
        <f t="shared" si="8"/>
        <v>10</v>
      </c>
      <c r="T27" s="194">
        <v>169039</v>
      </c>
      <c r="U27" s="17">
        <f t="shared" si="9"/>
        <v>2880</v>
      </c>
      <c r="V27" s="17">
        <f t="shared" si="10"/>
        <v>1440</v>
      </c>
      <c r="W27" s="194">
        <v>247687</v>
      </c>
      <c r="X27" s="17">
        <f t="shared" si="11"/>
        <v>320</v>
      </c>
      <c r="Y27" s="17">
        <f t="shared" si="12"/>
        <v>160</v>
      </c>
      <c r="Z27" s="194">
        <v>68456</v>
      </c>
      <c r="AA27" s="17">
        <f t="shared" si="13"/>
        <v>99</v>
      </c>
      <c r="AB27" s="194">
        <v>130613</v>
      </c>
      <c r="AC27" s="17">
        <f t="shared" si="14"/>
        <v>186</v>
      </c>
      <c r="AD27" s="194">
        <v>235138</v>
      </c>
      <c r="AE27" s="17">
        <f t="shared" si="15"/>
        <v>342</v>
      </c>
      <c r="AF27" s="194">
        <v>121067</v>
      </c>
      <c r="AG27" s="17">
        <f t="shared" si="16"/>
        <v>159</v>
      </c>
      <c r="AH27" s="194">
        <v>632760</v>
      </c>
      <c r="AI27" s="17">
        <f t="shared" si="17"/>
        <v>892</v>
      </c>
      <c r="AK27" s="96">
        <f t="shared" si="18"/>
        <v>34125</v>
      </c>
      <c r="AL27" s="97">
        <f t="shared" si="19"/>
        <v>8953</v>
      </c>
    </row>
    <row r="28" spans="1:38" ht="39.950000000000003" customHeight="1">
      <c r="A28" s="192">
        <f t="shared" si="20"/>
        <v>44672</v>
      </c>
      <c r="B28" s="16"/>
      <c r="C28" s="194">
        <v>243184</v>
      </c>
      <c r="D28" s="17">
        <f t="shared" si="21"/>
        <v>3670</v>
      </c>
      <c r="E28" s="194">
        <v>406071</v>
      </c>
      <c r="F28" s="17">
        <f t="shared" si="22"/>
        <v>7210</v>
      </c>
      <c r="G28" s="194">
        <v>111427</v>
      </c>
      <c r="H28" s="17">
        <f t="shared" si="3"/>
        <v>2870</v>
      </c>
      <c r="I28" s="17">
        <f t="shared" si="4"/>
        <v>1435</v>
      </c>
      <c r="J28" s="194">
        <v>356251</v>
      </c>
      <c r="K28" s="17">
        <f t="shared" si="5"/>
        <v>5680</v>
      </c>
      <c r="L28" s="194">
        <v>561701</v>
      </c>
      <c r="M28" s="17">
        <f t="shared" si="6"/>
        <v>9610</v>
      </c>
      <c r="N28" s="194">
        <v>259247</v>
      </c>
      <c r="O28" s="17">
        <f t="shared" si="0"/>
        <v>13160</v>
      </c>
      <c r="P28" s="17">
        <f t="shared" si="7"/>
        <v>6580</v>
      </c>
      <c r="Q28" s="194">
        <v>352483</v>
      </c>
      <c r="R28" s="17">
        <f t="shared" si="1"/>
        <v>3840</v>
      </c>
      <c r="S28" s="17">
        <f t="shared" si="8"/>
        <v>1920</v>
      </c>
      <c r="T28" s="194">
        <v>169041</v>
      </c>
      <c r="U28" s="17">
        <f t="shared" si="9"/>
        <v>20</v>
      </c>
      <c r="V28" s="17">
        <f t="shared" si="10"/>
        <v>10</v>
      </c>
      <c r="W28" s="194">
        <v>247694</v>
      </c>
      <c r="X28" s="17">
        <f t="shared" si="11"/>
        <v>70</v>
      </c>
      <c r="Y28" s="17">
        <f t="shared" si="12"/>
        <v>35</v>
      </c>
      <c r="Z28" s="194">
        <v>68546</v>
      </c>
      <c r="AA28" s="17">
        <f t="shared" si="13"/>
        <v>90</v>
      </c>
      <c r="AB28" s="194">
        <v>130814</v>
      </c>
      <c r="AC28" s="17">
        <f t="shared" si="14"/>
        <v>201</v>
      </c>
      <c r="AD28" s="194">
        <v>235496</v>
      </c>
      <c r="AE28" s="17">
        <f t="shared" si="15"/>
        <v>358</v>
      </c>
      <c r="AF28" s="194">
        <v>121223</v>
      </c>
      <c r="AG28" s="17">
        <f t="shared" si="16"/>
        <v>156</v>
      </c>
      <c r="AH28" s="194">
        <v>633670</v>
      </c>
      <c r="AI28" s="17">
        <f t="shared" si="17"/>
        <v>910</v>
      </c>
      <c r="AK28" s="96">
        <f t="shared" si="18"/>
        <v>36150</v>
      </c>
      <c r="AL28" s="97">
        <f t="shared" si="19"/>
        <v>10260</v>
      </c>
    </row>
    <row r="29" spans="1:38" ht="39.950000000000003" customHeight="1">
      <c r="A29" s="192">
        <f t="shared" si="20"/>
        <v>44673</v>
      </c>
      <c r="B29" s="16"/>
      <c r="C29" s="194">
        <v>243560</v>
      </c>
      <c r="D29" s="17">
        <f t="shared" si="21"/>
        <v>3760</v>
      </c>
      <c r="E29" s="194">
        <v>406815</v>
      </c>
      <c r="F29" s="17">
        <f t="shared" si="22"/>
        <v>7440</v>
      </c>
      <c r="G29" s="194">
        <v>111704</v>
      </c>
      <c r="H29" s="17">
        <f t="shared" si="3"/>
        <v>2770</v>
      </c>
      <c r="I29" s="17">
        <f t="shared" si="4"/>
        <v>1385</v>
      </c>
      <c r="J29" s="194">
        <v>356818</v>
      </c>
      <c r="K29" s="17">
        <f t="shared" si="5"/>
        <v>5670</v>
      </c>
      <c r="L29" s="194">
        <v>562674</v>
      </c>
      <c r="M29" s="17">
        <f t="shared" si="6"/>
        <v>9730</v>
      </c>
      <c r="N29" s="194">
        <v>260600</v>
      </c>
      <c r="O29" s="17">
        <f t="shared" si="0"/>
        <v>13530</v>
      </c>
      <c r="P29" s="17">
        <f t="shared" si="7"/>
        <v>6765</v>
      </c>
      <c r="Q29" s="194">
        <v>352599</v>
      </c>
      <c r="R29" s="17">
        <f t="shared" si="1"/>
        <v>1160</v>
      </c>
      <c r="S29" s="17">
        <f t="shared" si="8"/>
        <v>580</v>
      </c>
      <c r="T29" s="194">
        <v>169642</v>
      </c>
      <c r="U29" s="17">
        <f t="shared" si="9"/>
        <v>6010</v>
      </c>
      <c r="V29" s="17">
        <f t="shared" si="10"/>
        <v>3005</v>
      </c>
      <c r="W29" s="194">
        <v>247737</v>
      </c>
      <c r="X29" s="17">
        <f t="shared" si="11"/>
        <v>430</v>
      </c>
      <c r="Y29" s="17">
        <f t="shared" si="12"/>
        <v>215</v>
      </c>
      <c r="Z29" s="194">
        <v>68641</v>
      </c>
      <c r="AA29" s="17">
        <f t="shared" si="13"/>
        <v>95</v>
      </c>
      <c r="AB29" s="194">
        <v>131008</v>
      </c>
      <c r="AC29" s="17">
        <f t="shared" si="14"/>
        <v>194</v>
      </c>
      <c r="AD29" s="194">
        <v>235853</v>
      </c>
      <c r="AE29" s="17">
        <f t="shared" si="15"/>
        <v>357</v>
      </c>
      <c r="AF29" s="194">
        <v>121380</v>
      </c>
      <c r="AG29" s="17">
        <f t="shared" si="16"/>
        <v>157</v>
      </c>
      <c r="AH29" s="194">
        <v>634581</v>
      </c>
      <c r="AI29" s="17">
        <f t="shared" si="17"/>
        <v>911</v>
      </c>
      <c r="AK29" s="96">
        <f t="shared" si="18"/>
        <v>38550</v>
      </c>
      <c r="AL29" s="97">
        <f t="shared" si="19"/>
        <v>12279</v>
      </c>
    </row>
    <row r="30" spans="1:38" ht="39.950000000000003" customHeight="1">
      <c r="A30" s="192">
        <f t="shared" si="20"/>
        <v>44674</v>
      </c>
      <c r="B30" s="16"/>
      <c r="C30" s="194">
        <v>243852</v>
      </c>
      <c r="D30" s="17">
        <f t="shared" si="21"/>
        <v>2920</v>
      </c>
      <c r="E30" s="194">
        <v>407586</v>
      </c>
      <c r="F30" s="17">
        <f t="shared" si="22"/>
        <v>7710</v>
      </c>
      <c r="G30" s="194">
        <v>112007</v>
      </c>
      <c r="H30" s="17">
        <f t="shared" si="3"/>
        <v>3030</v>
      </c>
      <c r="I30" s="17">
        <f t="shared" si="4"/>
        <v>1515</v>
      </c>
      <c r="J30" s="194">
        <v>357383</v>
      </c>
      <c r="K30" s="17">
        <f t="shared" si="5"/>
        <v>5650</v>
      </c>
      <c r="L30" s="194">
        <v>563646</v>
      </c>
      <c r="M30" s="17">
        <f t="shared" si="6"/>
        <v>9720</v>
      </c>
      <c r="N30" s="194">
        <v>262111</v>
      </c>
      <c r="O30" s="17">
        <f t="shared" si="0"/>
        <v>15110</v>
      </c>
      <c r="P30" s="17">
        <f t="shared" si="7"/>
        <v>7555</v>
      </c>
      <c r="Q30" s="194">
        <v>353369</v>
      </c>
      <c r="R30" s="17">
        <f t="shared" si="1"/>
        <v>7700</v>
      </c>
      <c r="S30" s="17">
        <f t="shared" si="8"/>
        <v>3850</v>
      </c>
      <c r="T30" s="194">
        <v>169744</v>
      </c>
      <c r="U30" s="17">
        <f t="shared" si="9"/>
        <v>1020</v>
      </c>
      <c r="V30" s="17">
        <f t="shared" si="10"/>
        <v>510</v>
      </c>
      <c r="W30" s="194">
        <v>247752</v>
      </c>
      <c r="X30" s="17">
        <f t="shared" si="11"/>
        <v>150</v>
      </c>
      <c r="Y30" s="17">
        <f t="shared" si="12"/>
        <v>75</v>
      </c>
      <c r="Z30" s="194">
        <v>68733</v>
      </c>
      <c r="AA30" s="17">
        <f t="shared" si="13"/>
        <v>92</v>
      </c>
      <c r="AB30" s="194">
        <v>131201</v>
      </c>
      <c r="AC30" s="17">
        <f t="shared" si="14"/>
        <v>193</v>
      </c>
      <c r="AD30" s="194">
        <v>236211</v>
      </c>
      <c r="AE30" s="17">
        <f t="shared" si="15"/>
        <v>358</v>
      </c>
      <c r="AF30" s="194">
        <v>121541</v>
      </c>
      <c r="AG30" s="17">
        <f t="shared" si="16"/>
        <v>161</v>
      </c>
      <c r="AH30" s="194">
        <v>635534</v>
      </c>
      <c r="AI30" s="17">
        <f t="shared" si="17"/>
        <v>953</v>
      </c>
      <c r="AK30" s="96">
        <f t="shared" si="18"/>
        <v>39505</v>
      </c>
      <c r="AL30" s="97">
        <f t="shared" si="19"/>
        <v>13747</v>
      </c>
    </row>
    <row r="31" spans="1:38" ht="39.950000000000003" customHeight="1">
      <c r="A31" s="192">
        <f t="shared" si="20"/>
        <v>44675</v>
      </c>
      <c r="B31" s="16"/>
      <c r="C31" s="194">
        <v>244371</v>
      </c>
      <c r="D31" s="17">
        <f t="shared" si="21"/>
        <v>5190</v>
      </c>
      <c r="E31" s="194">
        <v>408369</v>
      </c>
      <c r="F31" s="17">
        <f t="shared" si="22"/>
        <v>7830</v>
      </c>
      <c r="G31" s="194">
        <v>112322</v>
      </c>
      <c r="H31" s="17">
        <f t="shared" si="3"/>
        <v>3150</v>
      </c>
      <c r="I31" s="17">
        <f t="shared" si="4"/>
        <v>1575</v>
      </c>
      <c r="J31" s="194">
        <v>357971</v>
      </c>
      <c r="K31" s="17">
        <f t="shared" si="5"/>
        <v>5880</v>
      </c>
      <c r="L31" s="194">
        <v>564640</v>
      </c>
      <c r="M31" s="17">
        <f t="shared" si="6"/>
        <v>9940</v>
      </c>
      <c r="N31" s="194">
        <v>263416</v>
      </c>
      <c r="O31" s="17">
        <f t="shared" si="0"/>
        <v>13050</v>
      </c>
      <c r="P31" s="17">
        <f t="shared" si="7"/>
        <v>6525</v>
      </c>
      <c r="Q31" s="194">
        <v>354224</v>
      </c>
      <c r="R31" s="17">
        <f t="shared" si="1"/>
        <v>8550</v>
      </c>
      <c r="S31" s="17">
        <f t="shared" si="8"/>
        <v>4275</v>
      </c>
      <c r="T31" s="194">
        <v>170083</v>
      </c>
      <c r="U31" s="17">
        <f t="shared" si="9"/>
        <v>3390</v>
      </c>
      <c r="V31" s="17">
        <f t="shared" si="10"/>
        <v>1695</v>
      </c>
      <c r="W31" s="194">
        <v>247779</v>
      </c>
      <c r="X31" s="17">
        <f t="shared" si="11"/>
        <v>270</v>
      </c>
      <c r="Y31" s="17">
        <f t="shared" si="12"/>
        <v>135</v>
      </c>
      <c r="Z31" s="194">
        <v>68827</v>
      </c>
      <c r="AA31" s="17">
        <f t="shared" si="13"/>
        <v>94</v>
      </c>
      <c r="AB31" s="194">
        <v>131389</v>
      </c>
      <c r="AC31" s="17">
        <f t="shared" si="14"/>
        <v>188</v>
      </c>
      <c r="AD31" s="194">
        <v>236559</v>
      </c>
      <c r="AE31" s="17">
        <f t="shared" si="15"/>
        <v>348</v>
      </c>
      <c r="AF31" s="194">
        <v>121698</v>
      </c>
      <c r="AG31" s="17">
        <f t="shared" si="16"/>
        <v>157</v>
      </c>
      <c r="AH31" s="194">
        <v>636486</v>
      </c>
      <c r="AI31" s="17">
        <f t="shared" si="17"/>
        <v>952</v>
      </c>
      <c r="AK31" s="96">
        <f t="shared" si="18"/>
        <v>43045</v>
      </c>
      <c r="AL31" s="97">
        <f t="shared" si="19"/>
        <v>14369</v>
      </c>
    </row>
    <row r="32" spans="1:38" ht="39.950000000000003" customHeight="1">
      <c r="A32" s="192">
        <f t="shared" si="20"/>
        <v>44676</v>
      </c>
      <c r="B32" s="16"/>
      <c r="C32" s="193">
        <v>244767</v>
      </c>
      <c r="D32" s="17">
        <f t="shared" si="21"/>
        <v>3960</v>
      </c>
      <c r="E32" s="193">
        <v>409089</v>
      </c>
      <c r="F32" s="17">
        <f t="shared" si="22"/>
        <v>7200</v>
      </c>
      <c r="G32" s="193">
        <v>112644</v>
      </c>
      <c r="H32" s="17">
        <f t="shared" si="3"/>
        <v>3220</v>
      </c>
      <c r="I32" s="17">
        <f t="shared" si="4"/>
        <v>1610</v>
      </c>
      <c r="J32" s="193">
        <v>358521</v>
      </c>
      <c r="K32" s="17">
        <f t="shared" si="5"/>
        <v>5500</v>
      </c>
      <c r="L32" s="193">
        <v>565489</v>
      </c>
      <c r="M32" s="17">
        <f t="shared" si="6"/>
        <v>8490</v>
      </c>
      <c r="N32" s="193">
        <v>264749</v>
      </c>
      <c r="O32" s="17">
        <f t="shared" si="0"/>
        <v>13330</v>
      </c>
      <c r="P32" s="17">
        <f t="shared" si="7"/>
        <v>6665</v>
      </c>
      <c r="Q32" s="193">
        <v>355126</v>
      </c>
      <c r="R32" s="17">
        <f t="shared" si="1"/>
        <v>9020</v>
      </c>
      <c r="S32" s="17">
        <f t="shared" si="8"/>
        <v>4510</v>
      </c>
      <c r="T32" s="193">
        <v>170429</v>
      </c>
      <c r="U32" s="17">
        <f t="shared" si="9"/>
        <v>3460</v>
      </c>
      <c r="V32" s="17">
        <f t="shared" si="10"/>
        <v>1730</v>
      </c>
      <c r="W32" s="193">
        <v>247808</v>
      </c>
      <c r="X32" s="17">
        <f t="shared" si="11"/>
        <v>290</v>
      </c>
      <c r="Y32" s="17">
        <f t="shared" si="12"/>
        <v>145</v>
      </c>
      <c r="Z32" s="193">
        <v>68920</v>
      </c>
      <c r="AA32" s="17">
        <f t="shared" si="13"/>
        <v>93</v>
      </c>
      <c r="AB32" s="193">
        <v>131573</v>
      </c>
      <c r="AC32" s="17">
        <f t="shared" si="14"/>
        <v>184</v>
      </c>
      <c r="AD32" s="193">
        <v>236913</v>
      </c>
      <c r="AE32" s="17">
        <f t="shared" si="15"/>
        <v>354</v>
      </c>
      <c r="AF32" s="193">
        <v>121850</v>
      </c>
      <c r="AG32" s="17">
        <f t="shared" si="16"/>
        <v>152</v>
      </c>
      <c r="AH32" s="193">
        <v>637422</v>
      </c>
      <c r="AI32" s="17">
        <f t="shared" si="17"/>
        <v>936</v>
      </c>
      <c r="AK32" s="96">
        <f t="shared" si="18"/>
        <v>39810</v>
      </c>
      <c r="AL32" s="97">
        <f t="shared" si="19"/>
        <v>14769</v>
      </c>
    </row>
    <row r="33" spans="1:38" ht="39.950000000000003" customHeight="1">
      <c r="A33" s="192">
        <f t="shared" si="20"/>
        <v>44677</v>
      </c>
      <c r="B33" s="16"/>
      <c r="C33" s="193">
        <v>245164</v>
      </c>
      <c r="D33" s="17">
        <f t="shared" si="21"/>
        <v>3970</v>
      </c>
      <c r="E33" s="193">
        <v>409830</v>
      </c>
      <c r="F33" s="17">
        <f t="shared" si="22"/>
        <v>7410</v>
      </c>
      <c r="G33" s="193">
        <v>112978</v>
      </c>
      <c r="H33" s="17">
        <f t="shared" si="3"/>
        <v>3340</v>
      </c>
      <c r="I33" s="17">
        <f t="shared" si="4"/>
        <v>1670</v>
      </c>
      <c r="J33" s="193">
        <v>359104</v>
      </c>
      <c r="K33" s="17">
        <f t="shared" si="5"/>
        <v>5830</v>
      </c>
      <c r="L33" s="193">
        <v>566471</v>
      </c>
      <c r="M33" s="17">
        <f t="shared" si="6"/>
        <v>9820</v>
      </c>
      <c r="N33" s="193">
        <v>266121</v>
      </c>
      <c r="O33" s="17">
        <f t="shared" si="0"/>
        <v>13720</v>
      </c>
      <c r="P33" s="17">
        <f t="shared" si="7"/>
        <v>6860</v>
      </c>
      <c r="Q33" s="193">
        <v>356036</v>
      </c>
      <c r="R33" s="17">
        <f t="shared" si="1"/>
        <v>9100</v>
      </c>
      <c r="S33" s="17">
        <f t="shared" si="8"/>
        <v>4550</v>
      </c>
      <c r="T33" s="193">
        <v>170864</v>
      </c>
      <c r="U33" s="17">
        <f t="shared" si="9"/>
        <v>4350</v>
      </c>
      <c r="V33" s="17">
        <f t="shared" si="10"/>
        <v>2175</v>
      </c>
      <c r="W33" s="193">
        <v>247845</v>
      </c>
      <c r="X33" s="17">
        <f t="shared" si="11"/>
        <v>370</v>
      </c>
      <c r="Y33" s="17">
        <f t="shared" si="12"/>
        <v>185</v>
      </c>
      <c r="Z33" s="193">
        <v>69017</v>
      </c>
      <c r="AA33" s="17">
        <f t="shared" si="13"/>
        <v>97</v>
      </c>
      <c r="AB33" s="193">
        <v>131772</v>
      </c>
      <c r="AC33" s="17">
        <f t="shared" si="14"/>
        <v>199</v>
      </c>
      <c r="AD33" s="193">
        <v>237282</v>
      </c>
      <c r="AE33" s="17">
        <f t="shared" si="15"/>
        <v>369</v>
      </c>
      <c r="AF33" s="193">
        <v>122010</v>
      </c>
      <c r="AG33" s="17">
        <f t="shared" si="16"/>
        <v>160</v>
      </c>
      <c r="AH33" s="193">
        <v>638401</v>
      </c>
      <c r="AI33" s="17">
        <f t="shared" si="17"/>
        <v>979</v>
      </c>
      <c r="AK33" s="96">
        <f t="shared" si="18"/>
        <v>42470</v>
      </c>
      <c r="AL33" s="97">
        <f t="shared" si="19"/>
        <v>15574</v>
      </c>
    </row>
    <row r="34" spans="1:38" ht="39.950000000000003" customHeight="1">
      <c r="A34" s="192">
        <f t="shared" si="20"/>
        <v>44678</v>
      </c>
      <c r="B34" s="16"/>
      <c r="C34" s="193">
        <v>245541</v>
      </c>
      <c r="D34" s="17">
        <f t="shared" si="21"/>
        <v>3770</v>
      </c>
      <c r="E34" s="193">
        <v>410514</v>
      </c>
      <c r="F34" s="17">
        <f t="shared" si="22"/>
        <v>6840</v>
      </c>
      <c r="G34" s="193">
        <v>113297</v>
      </c>
      <c r="H34" s="17">
        <f t="shared" si="3"/>
        <v>3190</v>
      </c>
      <c r="I34" s="17">
        <f t="shared" si="4"/>
        <v>1595</v>
      </c>
      <c r="J34" s="193">
        <v>359656</v>
      </c>
      <c r="K34" s="17">
        <f t="shared" si="5"/>
        <v>5520</v>
      </c>
      <c r="L34" s="193">
        <v>567439</v>
      </c>
      <c r="M34" s="17">
        <f t="shared" si="6"/>
        <v>9680</v>
      </c>
      <c r="N34" s="193">
        <v>267542</v>
      </c>
      <c r="O34" s="17">
        <f t="shared" si="0"/>
        <v>14210</v>
      </c>
      <c r="P34" s="17">
        <f t="shared" si="7"/>
        <v>7105</v>
      </c>
      <c r="Q34" s="193">
        <v>357001</v>
      </c>
      <c r="R34" s="17">
        <f t="shared" si="1"/>
        <v>9650</v>
      </c>
      <c r="S34" s="17">
        <f t="shared" si="8"/>
        <v>4825</v>
      </c>
      <c r="T34" s="193">
        <v>171324</v>
      </c>
      <c r="U34" s="17">
        <f t="shared" si="9"/>
        <v>4600</v>
      </c>
      <c r="V34" s="17">
        <f t="shared" si="10"/>
        <v>2300</v>
      </c>
      <c r="W34" s="193">
        <v>247880</v>
      </c>
      <c r="X34" s="17">
        <f t="shared" si="11"/>
        <v>350</v>
      </c>
      <c r="Y34" s="17">
        <f t="shared" si="12"/>
        <v>175</v>
      </c>
      <c r="Z34" s="193">
        <v>69108</v>
      </c>
      <c r="AA34" s="17">
        <f t="shared" si="13"/>
        <v>91</v>
      </c>
      <c r="AB34" s="193">
        <v>131966</v>
      </c>
      <c r="AC34" s="17">
        <f t="shared" si="14"/>
        <v>194</v>
      </c>
      <c r="AD34" s="193">
        <v>237652</v>
      </c>
      <c r="AE34" s="17">
        <f t="shared" si="15"/>
        <v>370</v>
      </c>
      <c r="AF34" s="193">
        <v>122169</v>
      </c>
      <c r="AG34" s="17">
        <f t="shared" si="16"/>
        <v>159</v>
      </c>
      <c r="AH34" s="193">
        <v>639348</v>
      </c>
      <c r="AI34" s="17">
        <f t="shared" si="17"/>
        <v>947</v>
      </c>
      <c r="AK34" s="96">
        <f t="shared" si="18"/>
        <v>41810</v>
      </c>
      <c r="AL34" s="97">
        <f t="shared" si="19"/>
        <v>16166</v>
      </c>
    </row>
    <row r="35" spans="1:38" ht="39.950000000000003" customHeight="1">
      <c r="A35" s="192">
        <f t="shared" si="20"/>
        <v>44679</v>
      </c>
      <c r="B35" s="16"/>
      <c r="C35" s="193">
        <v>245924</v>
      </c>
      <c r="D35" s="17">
        <f t="shared" si="21"/>
        <v>3830</v>
      </c>
      <c r="E35" s="193">
        <v>411251</v>
      </c>
      <c r="F35" s="17">
        <f t="shared" si="22"/>
        <v>7370</v>
      </c>
      <c r="G35" s="193">
        <v>113640</v>
      </c>
      <c r="H35" s="17">
        <f t="shared" si="3"/>
        <v>3430</v>
      </c>
      <c r="I35" s="17">
        <f t="shared" si="4"/>
        <v>1715</v>
      </c>
      <c r="J35" s="193">
        <v>360227</v>
      </c>
      <c r="K35" s="17">
        <f t="shared" si="5"/>
        <v>5710</v>
      </c>
      <c r="L35" s="193">
        <v>568414</v>
      </c>
      <c r="M35" s="17">
        <f t="shared" si="6"/>
        <v>9750</v>
      </c>
      <c r="N35" s="193">
        <v>268956</v>
      </c>
      <c r="O35" s="17">
        <f t="shared" si="0"/>
        <v>14140</v>
      </c>
      <c r="P35" s="17">
        <f t="shared" si="7"/>
        <v>7070</v>
      </c>
      <c r="Q35" s="193">
        <v>357551</v>
      </c>
      <c r="R35" s="17">
        <f t="shared" si="1"/>
        <v>5500</v>
      </c>
      <c r="S35" s="17">
        <f t="shared" si="8"/>
        <v>2750</v>
      </c>
      <c r="T35" s="193">
        <v>171327</v>
      </c>
      <c r="U35" s="17">
        <f t="shared" si="9"/>
        <v>30</v>
      </c>
      <c r="V35" s="17">
        <f t="shared" si="10"/>
        <v>15</v>
      </c>
      <c r="W35" s="193">
        <v>248291</v>
      </c>
      <c r="X35" s="17">
        <f t="shared" si="11"/>
        <v>4110</v>
      </c>
      <c r="Y35" s="17">
        <f t="shared" si="12"/>
        <v>2055</v>
      </c>
      <c r="Z35" s="193">
        <v>69203</v>
      </c>
      <c r="AA35" s="17">
        <f t="shared" si="13"/>
        <v>95</v>
      </c>
      <c r="AB35" s="193">
        <v>132165</v>
      </c>
      <c r="AC35" s="17">
        <f t="shared" si="14"/>
        <v>199</v>
      </c>
      <c r="AD35" s="193">
        <v>238015</v>
      </c>
      <c r="AE35" s="17">
        <f t="shared" si="15"/>
        <v>363</v>
      </c>
      <c r="AF35" s="193">
        <v>122328</v>
      </c>
      <c r="AG35" s="17">
        <f t="shared" si="16"/>
        <v>159</v>
      </c>
      <c r="AH35" s="193">
        <v>640295</v>
      </c>
      <c r="AI35" s="17">
        <f t="shared" si="17"/>
        <v>947</v>
      </c>
      <c r="AK35" s="96">
        <f t="shared" si="18"/>
        <v>40265</v>
      </c>
      <c r="AL35" s="97">
        <f t="shared" si="19"/>
        <v>13653</v>
      </c>
    </row>
    <row r="36" spans="1:38" ht="39.950000000000003" customHeight="1">
      <c r="A36" s="192">
        <f t="shared" si="20"/>
        <v>44680</v>
      </c>
      <c r="B36" s="16"/>
      <c r="C36" s="193">
        <v>246320</v>
      </c>
      <c r="D36" s="17">
        <f t="shared" si="21"/>
        <v>3960</v>
      </c>
      <c r="E36" s="193">
        <v>411988</v>
      </c>
      <c r="F36" s="17">
        <f t="shared" si="22"/>
        <v>7370</v>
      </c>
      <c r="G36" s="193">
        <v>113954</v>
      </c>
      <c r="H36" s="17">
        <f t="shared" si="3"/>
        <v>3140</v>
      </c>
      <c r="I36" s="17">
        <f t="shared" si="4"/>
        <v>1570</v>
      </c>
      <c r="J36" s="193">
        <v>360807</v>
      </c>
      <c r="K36" s="17">
        <f t="shared" si="5"/>
        <v>5800</v>
      </c>
      <c r="L36" s="193">
        <v>569414</v>
      </c>
      <c r="M36" s="17">
        <f t="shared" si="6"/>
        <v>10000</v>
      </c>
      <c r="N36" s="193">
        <v>270385</v>
      </c>
      <c r="O36" s="17">
        <f t="shared" si="0"/>
        <v>14290</v>
      </c>
      <c r="P36" s="17">
        <f t="shared" si="7"/>
        <v>7145</v>
      </c>
      <c r="Q36" s="193">
        <v>358980</v>
      </c>
      <c r="R36" s="17">
        <f t="shared" si="1"/>
        <v>14290</v>
      </c>
      <c r="S36" s="17">
        <f t="shared" si="8"/>
        <v>7145</v>
      </c>
      <c r="T36" s="193">
        <v>171798</v>
      </c>
      <c r="U36" s="17">
        <f t="shared" si="9"/>
        <v>4710</v>
      </c>
      <c r="V36" s="17">
        <f t="shared" si="10"/>
        <v>2355</v>
      </c>
      <c r="W36" s="193">
        <v>248425</v>
      </c>
      <c r="X36" s="17">
        <f t="shared" si="11"/>
        <v>1340</v>
      </c>
      <c r="Y36" s="17">
        <f t="shared" si="12"/>
        <v>670</v>
      </c>
      <c r="Z36" s="193">
        <v>69301</v>
      </c>
      <c r="AA36" s="17">
        <f t="shared" si="13"/>
        <v>98</v>
      </c>
      <c r="AB36" s="193">
        <v>132370</v>
      </c>
      <c r="AC36" s="17">
        <f t="shared" si="14"/>
        <v>205</v>
      </c>
      <c r="AD36" s="193">
        <v>238373</v>
      </c>
      <c r="AE36" s="17">
        <f t="shared" si="15"/>
        <v>358</v>
      </c>
      <c r="AF36" s="193">
        <v>122491</v>
      </c>
      <c r="AG36" s="17">
        <f t="shared" si="16"/>
        <v>163</v>
      </c>
      <c r="AH36" s="193">
        <v>641263</v>
      </c>
      <c r="AI36" s="17">
        <f t="shared" si="17"/>
        <v>968</v>
      </c>
      <c r="AK36" s="96">
        <f t="shared" si="18"/>
        <v>46015</v>
      </c>
      <c r="AL36" s="97">
        <f t="shared" si="19"/>
        <v>19107</v>
      </c>
    </row>
    <row r="37" spans="1:38" ht="39.950000000000003" customHeight="1">
      <c r="A37" s="192">
        <f t="shared" si="20"/>
        <v>44681</v>
      </c>
      <c r="B37" s="16"/>
      <c r="C37" s="193">
        <v>246716</v>
      </c>
      <c r="D37" s="17">
        <v>3960</v>
      </c>
      <c r="E37" s="193">
        <v>412725</v>
      </c>
      <c r="F37" s="17">
        <v>7370</v>
      </c>
      <c r="G37" s="193">
        <v>114268</v>
      </c>
      <c r="H37" s="17">
        <v>3140</v>
      </c>
      <c r="I37" s="17">
        <v>1570</v>
      </c>
      <c r="J37" s="193">
        <v>361387</v>
      </c>
      <c r="K37" s="17">
        <v>5800</v>
      </c>
      <c r="L37" s="193">
        <v>570414</v>
      </c>
      <c r="M37" s="17">
        <v>10000</v>
      </c>
      <c r="N37" s="193">
        <v>271814</v>
      </c>
      <c r="O37" s="17">
        <v>14290</v>
      </c>
      <c r="P37" s="17">
        <v>7145</v>
      </c>
      <c r="Q37" s="193">
        <v>360409</v>
      </c>
      <c r="R37" s="17">
        <v>14290</v>
      </c>
      <c r="S37" s="17">
        <v>7145</v>
      </c>
      <c r="T37" s="193">
        <v>172269</v>
      </c>
      <c r="U37" s="17">
        <v>4710</v>
      </c>
      <c r="V37" s="17">
        <v>2355</v>
      </c>
      <c r="W37" s="193">
        <v>248559</v>
      </c>
      <c r="X37" s="17">
        <v>1340</v>
      </c>
      <c r="Y37" s="17">
        <v>670</v>
      </c>
      <c r="Z37" s="193">
        <v>69399</v>
      </c>
      <c r="AA37" s="17">
        <v>98</v>
      </c>
      <c r="AB37" s="193">
        <v>132575</v>
      </c>
      <c r="AC37" s="17">
        <v>205</v>
      </c>
      <c r="AD37" s="193">
        <v>238731</v>
      </c>
      <c r="AE37" s="17">
        <v>358</v>
      </c>
      <c r="AF37" s="193">
        <v>122654</v>
      </c>
      <c r="AG37" s="17">
        <v>163</v>
      </c>
      <c r="AH37" s="193">
        <v>642231</v>
      </c>
      <c r="AI37" s="17">
        <v>968</v>
      </c>
      <c r="AK37" s="96">
        <f t="shared" si="18"/>
        <v>46015</v>
      </c>
      <c r="AL37" s="97">
        <f t="shared" si="19"/>
        <v>19107</v>
      </c>
    </row>
    <row r="38" spans="1:38" s="144" customFormat="1" ht="39.950000000000003" customHeight="1">
      <c r="A38" s="192"/>
      <c r="B38" s="143"/>
      <c r="C38" s="195"/>
      <c r="D38" s="17"/>
      <c r="E38" s="195"/>
      <c r="F38" s="17"/>
      <c r="G38" s="195"/>
      <c r="H38" s="17"/>
      <c r="I38" s="17"/>
      <c r="J38" s="195"/>
      <c r="K38" s="17"/>
      <c r="L38" s="195"/>
      <c r="M38" s="17"/>
      <c r="N38" s="195"/>
      <c r="O38" s="17"/>
      <c r="P38" s="17"/>
      <c r="Q38" s="195"/>
      <c r="R38" s="17"/>
      <c r="S38" s="17"/>
      <c r="T38" s="195"/>
      <c r="U38" s="17"/>
      <c r="V38" s="17"/>
      <c r="W38" s="195"/>
      <c r="X38" s="17"/>
      <c r="Y38" s="17"/>
      <c r="Z38" s="195"/>
      <c r="AA38" s="17"/>
      <c r="AB38" s="195"/>
      <c r="AC38" s="17"/>
      <c r="AD38" s="195"/>
      <c r="AE38" s="17"/>
      <c r="AF38" s="195"/>
      <c r="AG38" s="17"/>
      <c r="AH38" s="195"/>
      <c r="AI38" s="17"/>
      <c r="AK38" s="96"/>
      <c r="AL38" s="97"/>
    </row>
    <row r="39" spans="1:38" s="19" customFormat="1" ht="39.950000000000003" customHeight="1">
      <c r="A39" s="18"/>
      <c r="D39" s="20"/>
    </row>
    <row r="40" spans="1:38" s="19" customFormat="1" ht="39.950000000000003" customHeight="1">
      <c r="A40" s="18"/>
      <c r="D40" s="20"/>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zoomScale="50" zoomScaleNormal="50" workbookViewId="0">
      <pane xSplit="2" ySplit="4" topLeftCell="C5" activePane="bottomRight" state="frozen"/>
      <selection pane="topRight" activeCell="C1" sqref="C1"/>
      <selection pane="bottomLeft" activeCell="A5" sqref="A5"/>
      <selection pane="bottomRight" activeCell="C40" sqref="C40"/>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8"/>
      <c r="B1" s="198"/>
      <c r="C1" s="211" t="s">
        <v>65</v>
      </c>
      <c r="D1" s="211"/>
      <c r="E1" s="211" t="s">
        <v>65</v>
      </c>
      <c r="F1" s="211"/>
      <c r="G1" s="211" t="s">
        <v>65</v>
      </c>
      <c r="H1" s="211"/>
      <c r="I1" s="211" t="s">
        <v>65</v>
      </c>
      <c r="J1" s="211"/>
      <c r="K1" s="224" t="s">
        <v>66</v>
      </c>
      <c r="L1" s="225"/>
      <c r="M1" s="225"/>
      <c r="N1" s="226"/>
      <c r="O1" s="211" t="s">
        <v>67</v>
      </c>
      <c r="P1" s="211"/>
    </row>
    <row r="2" spans="1:19" s="26" customFormat="1" ht="113.25" customHeight="1">
      <c r="A2" s="25"/>
      <c r="B2" s="25"/>
      <c r="C2" s="227" t="s">
        <v>103</v>
      </c>
      <c r="D2" s="228"/>
      <c r="E2" s="227" t="s">
        <v>104</v>
      </c>
      <c r="F2" s="228"/>
      <c r="G2" s="227" t="s">
        <v>105</v>
      </c>
      <c r="H2" s="228"/>
      <c r="I2" s="227" t="s">
        <v>106</v>
      </c>
      <c r="J2" s="228"/>
      <c r="K2" s="236" t="s">
        <v>107</v>
      </c>
      <c r="L2" s="237"/>
      <c r="M2" s="237"/>
      <c r="N2" s="238"/>
      <c r="O2" s="227" t="s">
        <v>108</v>
      </c>
      <c r="P2" s="228"/>
    </row>
    <row r="3" spans="1:19" s="31" customFormat="1" ht="50.1" customHeight="1">
      <c r="A3" s="40"/>
      <c r="B3" s="40"/>
      <c r="C3" s="231" t="s">
        <v>109</v>
      </c>
      <c r="D3" s="232"/>
      <c r="E3" s="229" t="s">
        <v>110</v>
      </c>
      <c r="F3" s="230"/>
      <c r="G3" s="229" t="s">
        <v>111</v>
      </c>
      <c r="H3" s="230"/>
      <c r="I3" s="229" t="s">
        <v>112</v>
      </c>
      <c r="J3" s="230"/>
      <c r="K3" s="233" t="s">
        <v>113</v>
      </c>
      <c r="L3" s="234"/>
      <c r="M3" s="234"/>
      <c r="N3" s="235"/>
      <c r="O3" s="231" t="s">
        <v>114</v>
      </c>
      <c r="P3" s="232"/>
      <c r="R3" s="209" t="s">
        <v>81</v>
      </c>
      <c r="S3" s="209"/>
    </row>
    <row r="4" spans="1:19" s="8" customFormat="1" ht="30" customHeight="1">
      <c r="A4" s="197" t="s">
        <v>96</v>
      </c>
      <c r="B4" s="49"/>
      <c r="C4" s="218"/>
      <c r="D4" s="219"/>
      <c r="E4" s="218"/>
      <c r="F4" s="219"/>
      <c r="G4" s="218"/>
      <c r="H4" s="219"/>
      <c r="I4" s="218"/>
      <c r="J4" s="219"/>
      <c r="K4" s="218"/>
      <c r="L4" s="223"/>
      <c r="M4" s="223"/>
      <c r="N4" s="219"/>
      <c r="O4" s="49"/>
      <c r="P4" s="49"/>
      <c r="R4" s="209"/>
      <c r="S4" s="209"/>
    </row>
    <row r="5" spans="1:19" s="10" customFormat="1" ht="50.1" customHeight="1">
      <c r="A5" s="197" t="s">
        <v>99</v>
      </c>
      <c r="B5" s="197"/>
      <c r="C5" s="197" t="s">
        <v>115</v>
      </c>
      <c r="D5" s="197" t="s">
        <v>116</v>
      </c>
      <c r="E5" s="197" t="s">
        <v>115</v>
      </c>
      <c r="F5" s="197" t="s">
        <v>116</v>
      </c>
      <c r="G5" s="197" t="s">
        <v>115</v>
      </c>
      <c r="H5" s="197" t="s">
        <v>116</v>
      </c>
      <c r="I5" s="197" t="s">
        <v>115</v>
      </c>
      <c r="J5" s="197" t="s">
        <v>116</v>
      </c>
      <c r="K5" s="197" t="s">
        <v>115</v>
      </c>
      <c r="L5" s="197" t="s">
        <v>116</v>
      </c>
      <c r="M5" s="197" t="s">
        <v>65</v>
      </c>
      <c r="N5" s="197" t="s">
        <v>67</v>
      </c>
      <c r="O5" s="197" t="s">
        <v>115</v>
      </c>
      <c r="P5" s="197" t="s">
        <v>116</v>
      </c>
      <c r="R5" s="197"/>
      <c r="S5" s="197"/>
    </row>
    <row r="6" spans="1:19" ht="39.950000000000003" customHeight="1">
      <c r="A6" s="192">
        <v>44651</v>
      </c>
      <c r="B6" s="81"/>
      <c r="C6" s="72">
        <v>48655</v>
      </c>
      <c r="D6" s="74"/>
      <c r="E6" s="72">
        <v>78002</v>
      </c>
      <c r="F6" s="74"/>
      <c r="G6" s="83">
        <v>9012</v>
      </c>
      <c r="H6" s="75"/>
      <c r="I6" s="72">
        <v>17330</v>
      </c>
      <c r="J6" s="74"/>
      <c r="K6" s="72">
        <v>16385</v>
      </c>
      <c r="L6" s="74"/>
      <c r="M6" s="75"/>
      <c r="N6" s="75"/>
      <c r="O6" s="72">
        <v>28054</v>
      </c>
      <c r="P6" s="74"/>
      <c r="R6" s="106"/>
      <c r="S6" s="97"/>
    </row>
    <row r="7" spans="1:19" s="2" customFormat="1" ht="39.950000000000003" customHeight="1">
      <c r="A7" s="192">
        <v>44652</v>
      </c>
      <c r="B7" s="15"/>
      <c r="C7" s="72">
        <v>48752</v>
      </c>
      <c r="D7" s="74">
        <f>(C7-C6)</f>
        <v>97</v>
      </c>
      <c r="E7" s="72">
        <v>78167</v>
      </c>
      <c r="F7" s="74">
        <f>(E7-E6)</f>
        <v>165</v>
      </c>
      <c r="G7" s="83">
        <v>9012</v>
      </c>
      <c r="H7" s="75">
        <f>(G7-G6)</f>
        <v>0</v>
      </c>
      <c r="I7" s="72">
        <v>17354</v>
      </c>
      <c r="J7" s="74">
        <f>(I7-I6)</f>
        <v>24</v>
      </c>
      <c r="K7" s="72">
        <v>16469</v>
      </c>
      <c r="L7" s="74">
        <f>(K7-K6)</f>
        <v>84</v>
      </c>
      <c r="M7" s="75">
        <f>L7*55%</f>
        <v>46.2</v>
      </c>
      <c r="N7" s="75">
        <f>L7*45%</f>
        <v>37.800000000000004</v>
      </c>
      <c r="O7" s="72">
        <v>28138</v>
      </c>
      <c r="P7" s="74">
        <f>(O7-O6)</f>
        <v>84</v>
      </c>
      <c r="R7" s="106">
        <f t="shared" ref="R7:R36" si="0">SUM(D7,F7,M70,H7)</f>
        <v>262</v>
      </c>
      <c r="S7" s="97">
        <f>SUM(N7,P7)</f>
        <v>121.80000000000001</v>
      </c>
    </row>
    <row r="8" spans="1:19" ht="39.950000000000003" customHeight="1">
      <c r="A8" s="192">
        <f>SUM(A7+1)</f>
        <v>44653</v>
      </c>
      <c r="B8" s="16"/>
      <c r="C8" s="72">
        <v>48852</v>
      </c>
      <c r="D8" s="74">
        <f t="shared" ref="D8:F35" si="1">(C8-C7)</f>
        <v>100</v>
      </c>
      <c r="E8" s="72">
        <v>78352</v>
      </c>
      <c r="F8" s="74">
        <f t="shared" si="1"/>
        <v>185</v>
      </c>
      <c r="G8" s="83">
        <v>9034</v>
      </c>
      <c r="H8" s="75">
        <f t="shared" ref="H8:H36" si="2">(G8-G7)</f>
        <v>22</v>
      </c>
      <c r="I8" s="72">
        <v>17377</v>
      </c>
      <c r="J8" s="74">
        <f t="shared" ref="J8:J36" si="3">(I8-I7)</f>
        <v>23</v>
      </c>
      <c r="K8" s="72">
        <v>16572</v>
      </c>
      <c r="L8" s="74">
        <f t="shared" ref="L8:L36" si="4">(K8-K7)</f>
        <v>103</v>
      </c>
      <c r="M8" s="75">
        <f t="shared" ref="M8:M36" si="5">L8*55%</f>
        <v>56.650000000000006</v>
      </c>
      <c r="N8" s="75">
        <f t="shared" ref="N8:N36" si="6">L8*45%</f>
        <v>46.35</v>
      </c>
      <c r="O8" s="72">
        <v>28196</v>
      </c>
      <c r="P8" s="74">
        <f t="shared" ref="P8:P36" si="7">(O8-O7)</f>
        <v>58</v>
      </c>
      <c r="R8" s="106">
        <f t="shared" si="0"/>
        <v>307</v>
      </c>
      <c r="S8" s="97">
        <f t="shared" ref="S8:S36" si="8">SUM(N8,P8)</f>
        <v>104.35</v>
      </c>
    </row>
    <row r="9" spans="1:19" ht="39.950000000000003" customHeight="1">
      <c r="A9" s="192">
        <f t="shared" ref="A9:A36" si="9">SUM(A8+1)</f>
        <v>44654</v>
      </c>
      <c r="B9" s="16"/>
      <c r="C9" s="72">
        <v>48964</v>
      </c>
      <c r="D9" s="74">
        <f t="shared" si="1"/>
        <v>112</v>
      </c>
      <c r="E9" s="72">
        <v>78569</v>
      </c>
      <c r="F9" s="74">
        <f t="shared" si="1"/>
        <v>217</v>
      </c>
      <c r="G9" s="83">
        <v>9039</v>
      </c>
      <c r="H9" s="75">
        <f t="shared" si="2"/>
        <v>5</v>
      </c>
      <c r="I9" s="72">
        <v>17400</v>
      </c>
      <c r="J9" s="74">
        <f t="shared" si="3"/>
        <v>23</v>
      </c>
      <c r="K9" s="72">
        <v>16643</v>
      </c>
      <c r="L9" s="74">
        <f t="shared" si="4"/>
        <v>71</v>
      </c>
      <c r="M9" s="75">
        <f t="shared" si="5"/>
        <v>39.050000000000004</v>
      </c>
      <c r="N9" s="75">
        <f t="shared" si="6"/>
        <v>31.95</v>
      </c>
      <c r="O9" s="72">
        <v>28270</v>
      </c>
      <c r="P9" s="74">
        <f t="shared" si="7"/>
        <v>74</v>
      </c>
      <c r="R9" s="106">
        <f t="shared" si="0"/>
        <v>334</v>
      </c>
      <c r="S9" s="97">
        <f t="shared" si="8"/>
        <v>105.95</v>
      </c>
    </row>
    <row r="10" spans="1:19" ht="39.950000000000003" customHeight="1">
      <c r="A10" s="192">
        <f t="shared" si="9"/>
        <v>44655</v>
      </c>
      <c r="B10" s="16"/>
      <c r="C10" s="72">
        <v>49085</v>
      </c>
      <c r="D10" s="74">
        <f t="shared" si="1"/>
        <v>121</v>
      </c>
      <c r="E10" s="72">
        <v>78784</v>
      </c>
      <c r="F10" s="74">
        <f t="shared" si="1"/>
        <v>215</v>
      </c>
      <c r="G10" s="83">
        <v>9043</v>
      </c>
      <c r="H10" s="75">
        <f t="shared" si="2"/>
        <v>4</v>
      </c>
      <c r="I10" s="72">
        <v>17424</v>
      </c>
      <c r="J10" s="74">
        <f t="shared" si="3"/>
        <v>24</v>
      </c>
      <c r="K10" s="72">
        <v>16737</v>
      </c>
      <c r="L10" s="74">
        <f t="shared" si="4"/>
        <v>94</v>
      </c>
      <c r="M10" s="75">
        <f t="shared" si="5"/>
        <v>51.7</v>
      </c>
      <c r="N10" s="75">
        <f t="shared" si="6"/>
        <v>42.300000000000004</v>
      </c>
      <c r="O10" s="72">
        <v>28329</v>
      </c>
      <c r="P10" s="74">
        <f t="shared" si="7"/>
        <v>59</v>
      </c>
      <c r="R10" s="106">
        <f t="shared" si="0"/>
        <v>340</v>
      </c>
      <c r="S10" s="97">
        <f t="shared" si="8"/>
        <v>101.30000000000001</v>
      </c>
    </row>
    <row r="11" spans="1:19" ht="39.950000000000003" customHeight="1">
      <c r="A11" s="192">
        <f t="shared" si="9"/>
        <v>44656</v>
      </c>
      <c r="B11" s="16"/>
      <c r="C11" s="72">
        <v>49229</v>
      </c>
      <c r="D11" s="74">
        <f t="shared" si="1"/>
        <v>144</v>
      </c>
      <c r="E11" s="72">
        <v>78943</v>
      </c>
      <c r="F11" s="74">
        <f t="shared" si="1"/>
        <v>159</v>
      </c>
      <c r="G11" s="83">
        <v>9047</v>
      </c>
      <c r="H11" s="75">
        <f t="shared" si="2"/>
        <v>4</v>
      </c>
      <c r="I11" s="72">
        <v>17453</v>
      </c>
      <c r="J11" s="74">
        <f t="shared" si="3"/>
        <v>29</v>
      </c>
      <c r="K11" s="72">
        <v>16844</v>
      </c>
      <c r="L11" s="74">
        <f t="shared" si="4"/>
        <v>107</v>
      </c>
      <c r="M11" s="75">
        <f t="shared" si="5"/>
        <v>58.85</v>
      </c>
      <c r="N11" s="75">
        <f t="shared" si="6"/>
        <v>48.15</v>
      </c>
      <c r="O11" s="72">
        <v>28399</v>
      </c>
      <c r="P11" s="74">
        <f t="shared" si="7"/>
        <v>70</v>
      </c>
      <c r="R11" s="106">
        <f t="shared" si="0"/>
        <v>307</v>
      </c>
      <c r="S11" s="97">
        <f t="shared" si="8"/>
        <v>118.15</v>
      </c>
    </row>
    <row r="12" spans="1:19" ht="39.950000000000003" customHeight="1">
      <c r="A12" s="192">
        <f t="shared" si="9"/>
        <v>44657</v>
      </c>
      <c r="B12" s="16"/>
      <c r="C12" s="72">
        <v>49368</v>
      </c>
      <c r="D12" s="74">
        <f t="shared" si="1"/>
        <v>139</v>
      </c>
      <c r="E12" s="72">
        <v>79152</v>
      </c>
      <c r="F12" s="74">
        <f t="shared" si="1"/>
        <v>209</v>
      </c>
      <c r="G12" s="83">
        <v>9050</v>
      </c>
      <c r="H12" s="75">
        <f t="shared" si="2"/>
        <v>3</v>
      </c>
      <c r="I12" s="72">
        <v>17477</v>
      </c>
      <c r="J12" s="74">
        <f t="shared" si="3"/>
        <v>24</v>
      </c>
      <c r="K12" s="72">
        <v>16939</v>
      </c>
      <c r="L12" s="74">
        <f t="shared" si="4"/>
        <v>95</v>
      </c>
      <c r="M12" s="75">
        <f t="shared" si="5"/>
        <v>52.250000000000007</v>
      </c>
      <c r="N12" s="75">
        <f t="shared" si="6"/>
        <v>42.75</v>
      </c>
      <c r="O12" s="72">
        <v>28470</v>
      </c>
      <c r="P12" s="74">
        <f t="shared" si="7"/>
        <v>71</v>
      </c>
      <c r="R12" s="106">
        <f t="shared" si="0"/>
        <v>351</v>
      </c>
      <c r="S12" s="97">
        <f t="shared" si="8"/>
        <v>113.75</v>
      </c>
    </row>
    <row r="13" spans="1:19" ht="39.950000000000003" customHeight="1">
      <c r="A13" s="192">
        <f t="shared" si="9"/>
        <v>44658</v>
      </c>
      <c r="B13" s="16"/>
      <c r="C13" s="72">
        <v>49461</v>
      </c>
      <c r="D13" s="74">
        <f t="shared" si="1"/>
        <v>93</v>
      </c>
      <c r="E13" s="72">
        <v>79331</v>
      </c>
      <c r="F13" s="74">
        <f t="shared" si="1"/>
        <v>179</v>
      </c>
      <c r="G13" s="83">
        <v>9058</v>
      </c>
      <c r="H13" s="75">
        <f t="shared" si="2"/>
        <v>8</v>
      </c>
      <c r="I13" s="72">
        <v>17504</v>
      </c>
      <c r="J13" s="74">
        <f t="shared" si="3"/>
        <v>27</v>
      </c>
      <c r="K13" s="72">
        <v>17047</v>
      </c>
      <c r="L13" s="74">
        <f t="shared" si="4"/>
        <v>108</v>
      </c>
      <c r="M13" s="75">
        <f t="shared" si="5"/>
        <v>59.400000000000006</v>
      </c>
      <c r="N13" s="75">
        <f t="shared" si="6"/>
        <v>48.6</v>
      </c>
      <c r="O13" s="72">
        <v>28539</v>
      </c>
      <c r="P13" s="74">
        <f t="shared" si="7"/>
        <v>69</v>
      </c>
      <c r="R13" s="106">
        <f t="shared" si="0"/>
        <v>280</v>
      </c>
      <c r="S13" s="97">
        <f t="shared" si="8"/>
        <v>117.6</v>
      </c>
    </row>
    <row r="14" spans="1:19" ht="39.950000000000003" customHeight="1">
      <c r="A14" s="192">
        <f t="shared" si="9"/>
        <v>44659</v>
      </c>
      <c r="B14" s="16"/>
      <c r="C14" s="72">
        <v>49596</v>
      </c>
      <c r="D14" s="74">
        <f t="shared" si="1"/>
        <v>135</v>
      </c>
      <c r="E14" s="72">
        <v>79497</v>
      </c>
      <c r="F14" s="74">
        <f t="shared" si="1"/>
        <v>166</v>
      </c>
      <c r="G14" s="83">
        <v>9063</v>
      </c>
      <c r="H14" s="75">
        <f t="shared" si="2"/>
        <v>5</v>
      </c>
      <c r="I14" s="72">
        <v>17528</v>
      </c>
      <c r="J14" s="74">
        <f t="shared" si="3"/>
        <v>24</v>
      </c>
      <c r="K14" s="72">
        <v>17154</v>
      </c>
      <c r="L14" s="74">
        <f t="shared" si="4"/>
        <v>107</v>
      </c>
      <c r="M14" s="75">
        <f t="shared" si="5"/>
        <v>58.85</v>
      </c>
      <c r="N14" s="75">
        <f t="shared" si="6"/>
        <v>48.15</v>
      </c>
      <c r="O14" s="72">
        <v>28609</v>
      </c>
      <c r="P14" s="74">
        <f t="shared" si="7"/>
        <v>70</v>
      </c>
      <c r="R14" s="106">
        <f t="shared" si="0"/>
        <v>306</v>
      </c>
      <c r="S14" s="97">
        <f t="shared" si="8"/>
        <v>118.15</v>
      </c>
    </row>
    <row r="15" spans="1:19" ht="39.950000000000003" customHeight="1">
      <c r="A15" s="192">
        <f t="shared" si="9"/>
        <v>44660</v>
      </c>
      <c r="B15" s="16"/>
      <c r="C15" s="72">
        <v>49712</v>
      </c>
      <c r="D15" s="74">
        <f t="shared" si="1"/>
        <v>116</v>
      </c>
      <c r="E15" s="72">
        <v>79732</v>
      </c>
      <c r="F15" s="74">
        <f t="shared" si="1"/>
        <v>235</v>
      </c>
      <c r="G15" s="83">
        <v>9064</v>
      </c>
      <c r="H15" s="75">
        <f t="shared" si="2"/>
        <v>1</v>
      </c>
      <c r="I15" s="72">
        <v>17560</v>
      </c>
      <c r="J15" s="74">
        <f t="shared" si="3"/>
        <v>32</v>
      </c>
      <c r="K15" s="72">
        <v>17256</v>
      </c>
      <c r="L15" s="74">
        <f t="shared" si="4"/>
        <v>102</v>
      </c>
      <c r="M15" s="75">
        <f t="shared" si="5"/>
        <v>56.1</v>
      </c>
      <c r="N15" s="75">
        <f t="shared" si="6"/>
        <v>45.9</v>
      </c>
      <c r="O15" s="72">
        <v>28705</v>
      </c>
      <c r="P15" s="74">
        <f t="shared" si="7"/>
        <v>96</v>
      </c>
      <c r="R15" s="106">
        <f t="shared" si="0"/>
        <v>352</v>
      </c>
      <c r="S15" s="97">
        <f t="shared" si="8"/>
        <v>141.9</v>
      </c>
    </row>
    <row r="16" spans="1:19" ht="39.950000000000003" customHeight="1">
      <c r="A16" s="192">
        <f t="shared" si="9"/>
        <v>44661</v>
      </c>
      <c r="B16" s="16"/>
      <c r="C16" s="72">
        <v>49867</v>
      </c>
      <c r="D16" s="74">
        <f t="shared" si="1"/>
        <v>155</v>
      </c>
      <c r="E16" s="72">
        <v>79954</v>
      </c>
      <c r="F16" s="74">
        <f t="shared" si="1"/>
        <v>222</v>
      </c>
      <c r="G16" s="83">
        <v>9066</v>
      </c>
      <c r="H16" s="75">
        <f t="shared" si="2"/>
        <v>2</v>
      </c>
      <c r="I16" s="72">
        <v>17586</v>
      </c>
      <c r="J16" s="74">
        <f t="shared" si="3"/>
        <v>26</v>
      </c>
      <c r="K16" s="72">
        <v>17349</v>
      </c>
      <c r="L16" s="74">
        <f t="shared" si="4"/>
        <v>93</v>
      </c>
      <c r="M16" s="75">
        <f t="shared" si="5"/>
        <v>51.150000000000006</v>
      </c>
      <c r="N16" s="75">
        <f t="shared" si="6"/>
        <v>41.85</v>
      </c>
      <c r="O16" s="72">
        <v>28777</v>
      </c>
      <c r="P16" s="74">
        <f t="shared" si="7"/>
        <v>72</v>
      </c>
      <c r="R16" s="106">
        <f t="shared" si="0"/>
        <v>379</v>
      </c>
      <c r="S16" s="97">
        <f t="shared" si="8"/>
        <v>113.85</v>
      </c>
    </row>
    <row r="17" spans="1:19" ht="39.950000000000003" customHeight="1">
      <c r="A17" s="192">
        <f t="shared" si="9"/>
        <v>44662</v>
      </c>
      <c r="B17" s="16"/>
      <c r="C17" s="72">
        <v>50028</v>
      </c>
      <c r="D17" s="74">
        <f t="shared" si="1"/>
        <v>161</v>
      </c>
      <c r="E17" s="72">
        <v>80203</v>
      </c>
      <c r="F17" s="74">
        <f t="shared" si="1"/>
        <v>249</v>
      </c>
      <c r="G17" s="83">
        <v>9067</v>
      </c>
      <c r="H17" s="75">
        <f t="shared" si="2"/>
        <v>1</v>
      </c>
      <c r="I17" s="72">
        <v>17605</v>
      </c>
      <c r="J17" s="74">
        <f t="shared" si="3"/>
        <v>19</v>
      </c>
      <c r="K17" s="72">
        <v>17458</v>
      </c>
      <c r="L17" s="74">
        <f t="shared" si="4"/>
        <v>109</v>
      </c>
      <c r="M17" s="75">
        <f t="shared" si="5"/>
        <v>59.95</v>
      </c>
      <c r="N17" s="75">
        <f t="shared" si="6"/>
        <v>49.050000000000004</v>
      </c>
      <c r="O17" s="72">
        <v>28835</v>
      </c>
      <c r="P17" s="181">
        <f t="shared" si="7"/>
        <v>58</v>
      </c>
      <c r="R17" s="106">
        <f t="shared" si="0"/>
        <v>411</v>
      </c>
      <c r="S17" s="97">
        <f t="shared" si="8"/>
        <v>107.05000000000001</v>
      </c>
    </row>
    <row r="18" spans="1:19" ht="39.950000000000003" customHeight="1">
      <c r="A18" s="192">
        <f t="shared" si="9"/>
        <v>44663</v>
      </c>
      <c r="B18" s="16"/>
      <c r="C18" s="72">
        <v>50175</v>
      </c>
      <c r="D18" s="74">
        <f t="shared" si="1"/>
        <v>147</v>
      </c>
      <c r="E18" s="72">
        <v>80401</v>
      </c>
      <c r="F18" s="74">
        <f t="shared" si="1"/>
        <v>198</v>
      </c>
      <c r="G18" s="83">
        <v>9069</v>
      </c>
      <c r="H18" s="75">
        <f t="shared" si="2"/>
        <v>2</v>
      </c>
      <c r="I18" s="72">
        <v>17692</v>
      </c>
      <c r="J18" s="74">
        <f t="shared" si="3"/>
        <v>87</v>
      </c>
      <c r="K18" s="72">
        <v>17576</v>
      </c>
      <c r="L18" s="74">
        <f t="shared" si="4"/>
        <v>118</v>
      </c>
      <c r="M18" s="75">
        <f t="shared" si="5"/>
        <v>64.900000000000006</v>
      </c>
      <c r="N18" s="75">
        <f t="shared" si="6"/>
        <v>53.1</v>
      </c>
      <c r="O18" s="72">
        <v>28925</v>
      </c>
      <c r="P18" s="181">
        <f t="shared" si="7"/>
        <v>90</v>
      </c>
      <c r="R18" s="106">
        <f t="shared" si="0"/>
        <v>347</v>
      </c>
      <c r="S18" s="97">
        <f t="shared" si="8"/>
        <v>143.1</v>
      </c>
    </row>
    <row r="19" spans="1:19" s="78" customFormat="1" ht="39.950000000000003" customHeight="1">
      <c r="A19" s="192">
        <f t="shared" si="9"/>
        <v>44664</v>
      </c>
      <c r="B19" s="81"/>
      <c r="C19" s="72">
        <v>50294</v>
      </c>
      <c r="D19" s="74">
        <f t="shared" si="1"/>
        <v>119</v>
      </c>
      <c r="E19" s="72">
        <v>80623</v>
      </c>
      <c r="F19" s="74">
        <f t="shared" si="1"/>
        <v>222</v>
      </c>
      <c r="G19" s="83">
        <v>9070</v>
      </c>
      <c r="H19" s="75">
        <f t="shared" si="2"/>
        <v>1</v>
      </c>
      <c r="I19" s="72">
        <v>17718</v>
      </c>
      <c r="J19" s="74">
        <f t="shared" si="3"/>
        <v>26</v>
      </c>
      <c r="K19" s="72">
        <v>17650</v>
      </c>
      <c r="L19" s="74">
        <f t="shared" si="4"/>
        <v>74</v>
      </c>
      <c r="M19" s="75">
        <f t="shared" si="5"/>
        <v>40.700000000000003</v>
      </c>
      <c r="N19" s="75">
        <f t="shared" si="6"/>
        <v>33.300000000000004</v>
      </c>
      <c r="O19" s="72">
        <v>29003</v>
      </c>
      <c r="P19" s="181">
        <f t="shared" si="7"/>
        <v>78</v>
      </c>
      <c r="R19" s="165">
        <f t="shared" si="0"/>
        <v>342</v>
      </c>
      <c r="S19" s="105">
        <f t="shared" si="8"/>
        <v>111.30000000000001</v>
      </c>
    </row>
    <row r="20" spans="1:19" s="78" customFormat="1" ht="39.950000000000003" customHeight="1">
      <c r="A20" s="192">
        <f t="shared" si="9"/>
        <v>44665</v>
      </c>
      <c r="B20" s="81"/>
      <c r="C20" s="72">
        <v>50657</v>
      </c>
      <c r="D20" s="74">
        <f t="shared" si="1"/>
        <v>363</v>
      </c>
      <c r="E20" s="72">
        <v>80844</v>
      </c>
      <c r="F20" s="74">
        <f t="shared" si="1"/>
        <v>221</v>
      </c>
      <c r="G20" s="83">
        <v>9071</v>
      </c>
      <c r="H20" s="75">
        <f t="shared" si="2"/>
        <v>1</v>
      </c>
      <c r="I20" s="82">
        <f>(I22-I19)/3+I19</f>
        <v>17759</v>
      </c>
      <c r="J20" s="74">
        <f t="shared" si="3"/>
        <v>41</v>
      </c>
      <c r="K20" s="72">
        <v>17755</v>
      </c>
      <c r="L20" s="74">
        <f t="shared" si="4"/>
        <v>105</v>
      </c>
      <c r="M20" s="75">
        <f t="shared" si="5"/>
        <v>57.750000000000007</v>
      </c>
      <c r="N20" s="75">
        <f t="shared" si="6"/>
        <v>47.25</v>
      </c>
      <c r="O20" s="72">
        <v>29076</v>
      </c>
      <c r="P20" s="181">
        <f t="shared" si="7"/>
        <v>73</v>
      </c>
      <c r="R20" s="165">
        <f t="shared" si="0"/>
        <v>585</v>
      </c>
      <c r="S20" s="105">
        <f t="shared" si="8"/>
        <v>120.25</v>
      </c>
    </row>
    <row r="21" spans="1:19" s="78" customFormat="1" ht="39.950000000000003" customHeight="1">
      <c r="A21" s="192">
        <f t="shared" si="9"/>
        <v>44666</v>
      </c>
      <c r="B21" s="81"/>
      <c r="C21" s="73">
        <v>50951</v>
      </c>
      <c r="D21" s="74">
        <f t="shared" si="1"/>
        <v>294</v>
      </c>
      <c r="E21" s="73">
        <v>81070</v>
      </c>
      <c r="F21" s="181">
        <f>(E21-E20)</f>
        <v>226</v>
      </c>
      <c r="G21" s="82">
        <f>(G23-G20)/3+G20</f>
        <v>9076.6666666666661</v>
      </c>
      <c r="H21" s="75">
        <f t="shared" si="2"/>
        <v>5.6666666666660603</v>
      </c>
      <c r="I21" s="82">
        <f>(I23-I20)/3+I20</f>
        <v>17786.333333333332</v>
      </c>
      <c r="J21" s="181">
        <f t="shared" si="3"/>
        <v>27.333333333332121</v>
      </c>
      <c r="K21" s="73">
        <v>17859</v>
      </c>
      <c r="L21" s="74">
        <f t="shared" si="4"/>
        <v>104</v>
      </c>
      <c r="M21" s="75">
        <f t="shared" si="5"/>
        <v>57.2</v>
      </c>
      <c r="N21" s="75">
        <f t="shared" si="6"/>
        <v>46.800000000000004</v>
      </c>
      <c r="O21" s="73">
        <v>29146</v>
      </c>
      <c r="P21" s="74">
        <f t="shared" si="7"/>
        <v>70</v>
      </c>
      <c r="R21" s="165">
        <f t="shared" si="0"/>
        <v>525.66666666666606</v>
      </c>
      <c r="S21" s="105">
        <f t="shared" si="8"/>
        <v>116.80000000000001</v>
      </c>
    </row>
    <row r="22" spans="1:19" s="78" customFormat="1" ht="39.950000000000003" customHeight="1">
      <c r="A22" s="192">
        <f t="shared" si="9"/>
        <v>44667</v>
      </c>
      <c r="B22" s="81"/>
      <c r="C22" s="73">
        <v>51279</v>
      </c>
      <c r="D22" s="74">
        <f t="shared" si="1"/>
        <v>328</v>
      </c>
      <c r="E22" s="73">
        <v>81325</v>
      </c>
      <c r="F22" s="74">
        <f>(E22-E21)</f>
        <v>255</v>
      </c>
      <c r="G22" s="82">
        <f>(G24-G21)/3+G21</f>
        <v>9081.1637777777778</v>
      </c>
      <c r="H22" s="75">
        <f t="shared" si="2"/>
        <v>4.4971111111117352</v>
      </c>
      <c r="I22" s="72">
        <v>17841</v>
      </c>
      <c r="J22" s="181">
        <f t="shared" si="3"/>
        <v>54.666666666667879</v>
      </c>
      <c r="K22" s="73">
        <v>17971</v>
      </c>
      <c r="L22" s="74">
        <f t="shared" si="4"/>
        <v>112</v>
      </c>
      <c r="M22" s="75">
        <f t="shared" si="5"/>
        <v>61.600000000000009</v>
      </c>
      <c r="N22" s="75">
        <f t="shared" si="6"/>
        <v>50.4</v>
      </c>
      <c r="O22" s="73">
        <v>29203</v>
      </c>
      <c r="P22" s="74">
        <f t="shared" si="7"/>
        <v>57</v>
      </c>
      <c r="R22" s="165">
        <f t="shared" si="0"/>
        <v>587.49711111111174</v>
      </c>
      <c r="S22" s="105">
        <f t="shared" si="8"/>
        <v>107.4</v>
      </c>
    </row>
    <row r="23" spans="1:19" s="78" customFormat="1" ht="39.950000000000003" customHeight="1">
      <c r="A23" s="192">
        <f t="shared" si="9"/>
        <v>44668</v>
      </c>
      <c r="B23" s="81"/>
      <c r="C23" s="73">
        <v>51676</v>
      </c>
      <c r="D23" s="74">
        <f t="shared" si="1"/>
        <v>397</v>
      </c>
      <c r="E23" s="73">
        <v>81577</v>
      </c>
      <c r="F23" s="74">
        <f>(E23-E22)</f>
        <v>252</v>
      </c>
      <c r="G23" s="82">
        <v>9088</v>
      </c>
      <c r="H23" s="75">
        <f t="shared" si="2"/>
        <v>6.8362222222222044</v>
      </c>
      <c r="I23" s="72">
        <v>17841</v>
      </c>
      <c r="J23" s="181">
        <f t="shared" si="3"/>
        <v>0</v>
      </c>
      <c r="K23" s="73">
        <v>18095</v>
      </c>
      <c r="L23" s="74">
        <f t="shared" si="4"/>
        <v>124</v>
      </c>
      <c r="M23" s="75">
        <f t="shared" si="5"/>
        <v>68.2</v>
      </c>
      <c r="N23" s="75">
        <f t="shared" si="6"/>
        <v>55.800000000000004</v>
      </c>
      <c r="O23" s="73">
        <v>29276</v>
      </c>
      <c r="P23" s="74">
        <f t="shared" si="7"/>
        <v>73</v>
      </c>
      <c r="R23" s="165">
        <f t="shared" si="0"/>
        <v>655.8362222222222</v>
      </c>
      <c r="S23" s="105">
        <f t="shared" si="8"/>
        <v>128.80000000000001</v>
      </c>
    </row>
    <row r="24" spans="1:19" s="78" customFormat="1" ht="39.950000000000003" customHeight="1">
      <c r="A24" s="192">
        <f t="shared" si="9"/>
        <v>44669</v>
      </c>
      <c r="B24" s="81"/>
      <c r="C24" s="73">
        <v>52074</v>
      </c>
      <c r="D24" s="74">
        <f t="shared" si="1"/>
        <v>398</v>
      </c>
      <c r="E24" s="73">
        <v>81795</v>
      </c>
      <c r="F24" s="74">
        <f t="shared" si="1"/>
        <v>218</v>
      </c>
      <c r="G24" s="82">
        <v>9090.1579999999994</v>
      </c>
      <c r="H24" s="75">
        <f t="shared" si="2"/>
        <v>2.157999999999447</v>
      </c>
      <c r="I24" s="72">
        <f>(I23+I25)/2</f>
        <v>17877.5</v>
      </c>
      <c r="J24" s="181">
        <f t="shared" si="3"/>
        <v>36.5</v>
      </c>
      <c r="K24" s="73">
        <v>18215</v>
      </c>
      <c r="L24" s="74">
        <f t="shared" si="4"/>
        <v>120</v>
      </c>
      <c r="M24" s="75">
        <f t="shared" si="5"/>
        <v>66</v>
      </c>
      <c r="N24" s="75">
        <f t="shared" si="6"/>
        <v>54</v>
      </c>
      <c r="O24" s="73">
        <v>29347</v>
      </c>
      <c r="P24" s="74">
        <f t="shared" si="7"/>
        <v>71</v>
      </c>
      <c r="R24" s="165">
        <f t="shared" si="0"/>
        <v>618.15799999999945</v>
      </c>
      <c r="S24" s="105">
        <f t="shared" si="8"/>
        <v>125</v>
      </c>
    </row>
    <row r="25" spans="1:19" s="78" customFormat="1" ht="39.950000000000003" customHeight="1">
      <c r="A25" s="192">
        <f t="shared" si="9"/>
        <v>44670</v>
      </c>
      <c r="B25" s="81"/>
      <c r="C25" s="73">
        <v>52430</v>
      </c>
      <c r="D25" s="74">
        <f t="shared" si="1"/>
        <v>356</v>
      </c>
      <c r="E25" s="73">
        <v>82007</v>
      </c>
      <c r="F25" s="74">
        <f t="shared" si="1"/>
        <v>212</v>
      </c>
      <c r="G25" s="82">
        <v>9091.6059999999998</v>
      </c>
      <c r="H25" s="75">
        <f t="shared" si="2"/>
        <v>1.4480000000003201</v>
      </c>
      <c r="I25" s="72">
        <v>17914</v>
      </c>
      <c r="J25" s="181">
        <f t="shared" si="3"/>
        <v>36.5</v>
      </c>
      <c r="K25" s="73">
        <v>18354</v>
      </c>
      <c r="L25" s="74">
        <f t="shared" si="4"/>
        <v>139</v>
      </c>
      <c r="M25" s="75">
        <f t="shared" si="5"/>
        <v>76.45</v>
      </c>
      <c r="N25" s="75">
        <f t="shared" si="6"/>
        <v>62.550000000000004</v>
      </c>
      <c r="O25" s="73">
        <v>29405</v>
      </c>
      <c r="P25" s="74">
        <f t="shared" si="7"/>
        <v>58</v>
      </c>
      <c r="R25" s="165">
        <f t="shared" si="0"/>
        <v>569.44800000000032</v>
      </c>
      <c r="S25" s="105">
        <f t="shared" si="8"/>
        <v>120.55000000000001</v>
      </c>
    </row>
    <row r="26" spans="1:19" ht="39.950000000000003" customHeight="1">
      <c r="A26" s="192">
        <f t="shared" si="9"/>
        <v>44671</v>
      </c>
      <c r="B26" s="81"/>
      <c r="C26" s="73">
        <v>52637</v>
      </c>
      <c r="D26" s="74">
        <f t="shared" si="1"/>
        <v>207</v>
      </c>
      <c r="E26" s="73">
        <v>82214</v>
      </c>
      <c r="F26" s="74">
        <f t="shared" si="1"/>
        <v>207</v>
      </c>
      <c r="G26" s="82">
        <v>9093.3919999999998</v>
      </c>
      <c r="H26" s="75">
        <f t="shared" si="2"/>
        <v>1.7860000000000582</v>
      </c>
      <c r="I26" s="72">
        <v>17954</v>
      </c>
      <c r="J26" s="181">
        <f t="shared" si="3"/>
        <v>40</v>
      </c>
      <c r="K26" s="73">
        <v>18490</v>
      </c>
      <c r="L26" s="74">
        <f t="shared" si="4"/>
        <v>136</v>
      </c>
      <c r="M26" s="75">
        <f t="shared" si="5"/>
        <v>74.800000000000011</v>
      </c>
      <c r="N26" s="75">
        <f t="shared" si="6"/>
        <v>61.2</v>
      </c>
      <c r="O26" s="73">
        <v>29477</v>
      </c>
      <c r="P26" s="74">
        <f t="shared" si="7"/>
        <v>72</v>
      </c>
      <c r="R26" s="106">
        <f t="shared" si="0"/>
        <v>415.78600000000006</v>
      </c>
      <c r="S26" s="97">
        <f t="shared" si="8"/>
        <v>133.19999999999999</v>
      </c>
    </row>
    <row r="27" spans="1:19" ht="39.950000000000003" customHeight="1">
      <c r="A27" s="192">
        <f t="shared" si="9"/>
        <v>44672</v>
      </c>
      <c r="B27" s="81"/>
      <c r="C27" s="73">
        <v>52766</v>
      </c>
      <c r="D27" s="74">
        <f t="shared" si="1"/>
        <v>129</v>
      </c>
      <c r="E27" s="73">
        <v>82426</v>
      </c>
      <c r="F27" s="74">
        <f t="shared" si="1"/>
        <v>212</v>
      </c>
      <c r="G27" s="82">
        <v>9099.9310000000005</v>
      </c>
      <c r="H27" s="75">
        <f t="shared" si="2"/>
        <v>6.5390000000006694</v>
      </c>
      <c r="I27" s="82">
        <f>(I29-I26)/3+I26</f>
        <v>17981.666666666668</v>
      </c>
      <c r="J27" s="181">
        <f t="shared" si="3"/>
        <v>27.666666666667879</v>
      </c>
      <c r="K27" s="73">
        <v>18605</v>
      </c>
      <c r="L27" s="74">
        <f t="shared" si="4"/>
        <v>115</v>
      </c>
      <c r="M27" s="75">
        <f t="shared" si="5"/>
        <v>63.250000000000007</v>
      </c>
      <c r="N27" s="75">
        <f t="shared" si="6"/>
        <v>51.75</v>
      </c>
      <c r="O27" s="73">
        <v>29549</v>
      </c>
      <c r="P27" s="74">
        <f t="shared" si="7"/>
        <v>72</v>
      </c>
      <c r="R27" s="106">
        <f t="shared" si="0"/>
        <v>347.53900000000067</v>
      </c>
      <c r="S27" s="97">
        <f t="shared" si="8"/>
        <v>123.75</v>
      </c>
    </row>
    <row r="28" spans="1:19" ht="39.950000000000003" customHeight="1">
      <c r="A28" s="192">
        <f t="shared" si="9"/>
        <v>44673</v>
      </c>
      <c r="B28" s="81"/>
      <c r="C28" s="73">
        <v>52895</v>
      </c>
      <c r="D28" s="74">
        <f t="shared" si="1"/>
        <v>129</v>
      </c>
      <c r="E28" s="73">
        <v>82659</v>
      </c>
      <c r="F28" s="74">
        <f t="shared" si="1"/>
        <v>233</v>
      </c>
      <c r="G28" s="82">
        <v>9104.2944000000007</v>
      </c>
      <c r="H28" s="75">
        <f t="shared" si="2"/>
        <v>4.3634000000001834</v>
      </c>
      <c r="I28" s="82">
        <f>(I30-I27)/3+I27</f>
        <v>18008.111111111113</v>
      </c>
      <c r="J28" s="181">
        <f t="shared" si="3"/>
        <v>26.444444444445253</v>
      </c>
      <c r="K28" s="73">
        <v>18727</v>
      </c>
      <c r="L28" s="74">
        <f t="shared" si="4"/>
        <v>122</v>
      </c>
      <c r="M28" s="75">
        <f t="shared" si="5"/>
        <v>67.100000000000009</v>
      </c>
      <c r="N28" s="75">
        <f t="shared" si="6"/>
        <v>54.9</v>
      </c>
      <c r="O28" s="73">
        <v>29625</v>
      </c>
      <c r="P28" s="74">
        <f t="shared" si="7"/>
        <v>76</v>
      </c>
      <c r="R28" s="106">
        <f t="shared" si="0"/>
        <v>366.36340000000018</v>
      </c>
      <c r="S28" s="97">
        <f t="shared" si="8"/>
        <v>130.9</v>
      </c>
    </row>
    <row r="29" spans="1:19" ht="39.950000000000003" customHeight="1">
      <c r="A29" s="192">
        <f t="shared" si="9"/>
        <v>44674</v>
      </c>
      <c r="B29" s="81"/>
      <c r="C29" s="73">
        <v>53025</v>
      </c>
      <c r="D29" s="74">
        <f t="shared" si="1"/>
        <v>130</v>
      </c>
      <c r="E29" s="73">
        <v>82906</v>
      </c>
      <c r="F29" s="74">
        <f t="shared" si="1"/>
        <v>247</v>
      </c>
      <c r="G29" s="82">
        <v>9119</v>
      </c>
      <c r="H29" s="75">
        <f t="shared" si="2"/>
        <v>14.705599999999322</v>
      </c>
      <c r="I29" s="73">
        <v>18037</v>
      </c>
      <c r="J29" s="181">
        <f t="shared" si="3"/>
        <v>28.888888888886868</v>
      </c>
      <c r="K29" s="73">
        <v>18853</v>
      </c>
      <c r="L29" s="74">
        <f t="shared" si="4"/>
        <v>126</v>
      </c>
      <c r="M29" s="75">
        <f t="shared" si="5"/>
        <v>69.300000000000011</v>
      </c>
      <c r="N29" s="75">
        <f t="shared" si="6"/>
        <v>56.7</v>
      </c>
      <c r="O29" s="73">
        <v>29681</v>
      </c>
      <c r="P29" s="74">
        <f t="shared" si="7"/>
        <v>56</v>
      </c>
      <c r="R29" s="106">
        <f t="shared" si="0"/>
        <v>391.70559999999932</v>
      </c>
      <c r="S29" s="97">
        <f t="shared" si="8"/>
        <v>112.7</v>
      </c>
    </row>
    <row r="30" spans="1:19" ht="39.950000000000003" customHeight="1">
      <c r="A30" s="192">
        <f t="shared" si="9"/>
        <v>44675</v>
      </c>
      <c r="B30" s="81"/>
      <c r="C30" s="73">
        <v>53195</v>
      </c>
      <c r="D30" s="74">
        <f t="shared" si="1"/>
        <v>170</v>
      </c>
      <c r="E30" s="73">
        <v>83170</v>
      </c>
      <c r="F30" s="74">
        <f t="shared" si="1"/>
        <v>264</v>
      </c>
      <c r="G30" s="82">
        <v>9123</v>
      </c>
      <c r="H30" s="75">
        <f t="shared" si="2"/>
        <v>4</v>
      </c>
      <c r="I30" s="73">
        <v>18061</v>
      </c>
      <c r="J30" s="74">
        <f t="shared" si="3"/>
        <v>24</v>
      </c>
      <c r="K30" s="73">
        <v>18975</v>
      </c>
      <c r="L30" s="74">
        <f t="shared" si="4"/>
        <v>122</v>
      </c>
      <c r="M30" s="75">
        <f t="shared" si="5"/>
        <v>67.100000000000009</v>
      </c>
      <c r="N30" s="75">
        <f t="shared" si="6"/>
        <v>54.9</v>
      </c>
      <c r="O30" s="73">
        <v>29755</v>
      </c>
      <c r="P30" s="74">
        <f t="shared" si="7"/>
        <v>74</v>
      </c>
      <c r="R30" s="106">
        <f t="shared" si="0"/>
        <v>438</v>
      </c>
      <c r="S30" s="97">
        <f t="shared" si="8"/>
        <v>128.9</v>
      </c>
    </row>
    <row r="31" spans="1:19" ht="39.950000000000003" customHeight="1">
      <c r="A31" s="192">
        <f t="shared" si="9"/>
        <v>44676</v>
      </c>
      <c r="B31" s="81"/>
      <c r="C31" s="73">
        <v>53357</v>
      </c>
      <c r="D31" s="74">
        <f t="shared" si="1"/>
        <v>162</v>
      </c>
      <c r="E31" s="73">
        <v>83428</v>
      </c>
      <c r="F31" s="74">
        <f t="shared" si="1"/>
        <v>258</v>
      </c>
      <c r="G31" s="82">
        <v>9131</v>
      </c>
      <c r="H31" s="75">
        <f t="shared" si="2"/>
        <v>8</v>
      </c>
      <c r="I31" s="73">
        <v>18086</v>
      </c>
      <c r="J31" s="74">
        <f t="shared" si="3"/>
        <v>25</v>
      </c>
      <c r="K31" s="73">
        <v>19094</v>
      </c>
      <c r="L31" s="74">
        <f t="shared" si="4"/>
        <v>119</v>
      </c>
      <c r="M31" s="75">
        <f t="shared" si="5"/>
        <v>65.45</v>
      </c>
      <c r="N31" s="75">
        <f t="shared" si="6"/>
        <v>53.550000000000004</v>
      </c>
      <c r="O31" s="73">
        <v>29834</v>
      </c>
      <c r="P31" s="74">
        <f t="shared" si="7"/>
        <v>79</v>
      </c>
      <c r="R31" s="106">
        <f t="shared" si="0"/>
        <v>428</v>
      </c>
      <c r="S31" s="97">
        <f t="shared" si="8"/>
        <v>132.55000000000001</v>
      </c>
    </row>
    <row r="32" spans="1:19" ht="39.950000000000003" customHeight="1">
      <c r="A32" s="192">
        <f t="shared" si="9"/>
        <v>44677</v>
      </c>
      <c r="B32" s="81"/>
      <c r="C32" s="73">
        <v>53492</v>
      </c>
      <c r="D32" s="74">
        <f t="shared" si="1"/>
        <v>135</v>
      </c>
      <c r="E32" s="73">
        <v>83645</v>
      </c>
      <c r="F32" s="74">
        <f t="shared" si="1"/>
        <v>217</v>
      </c>
      <c r="G32" s="82">
        <v>9134</v>
      </c>
      <c r="H32" s="75">
        <f t="shared" si="2"/>
        <v>3</v>
      </c>
      <c r="I32" s="73">
        <v>18112</v>
      </c>
      <c r="J32" s="74">
        <f t="shared" si="3"/>
        <v>26</v>
      </c>
      <c r="K32" s="73">
        <v>19241</v>
      </c>
      <c r="L32" s="74">
        <f t="shared" si="4"/>
        <v>147</v>
      </c>
      <c r="M32" s="75">
        <f t="shared" si="5"/>
        <v>80.850000000000009</v>
      </c>
      <c r="N32" s="75">
        <f t="shared" si="6"/>
        <v>66.150000000000006</v>
      </c>
      <c r="O32" s="73">
        <v>29895</v>
      </c>
      <c r="P32" s="74">
        <f t="shared" si="7"/>
        <v>61</v>
      </c>
      <c r="R32" s="106">
        <f t="shared" si="0"/>
        <v>355</v>
      </c>
      <c r="S32" s="97">
        <f t="shared" si="8"/>
        <v>127.15</v>
      </c>
    </row>
    <row r="33" spans="1:19" ht="39.950000000000003" customHeight="1">
      <c r="A33" s="192">
        <f t="shared" si="9"/>
        <v>44678</v>
      </c>
      <c r="B33" s="81"/>
      <c r="C33" s="73">
        <v>53616</v>
      </c>
      <c r="D33" s="74">
        <f t="shared" si="1"/>
        <v>124</v>
      </c>
      <c r="E33" s="73">
        <v>83883</v>
      </c>
      <c r="F33" s="74">
        <f t="shared" si="1"/>
        <v>238</v>
      </c>
      <c r="G33" s="82">
        <v>9138</v>
      </c>
      <c r="H33" s="75">
        <f t="shared" si="2"/>
        <v>4</v>
      </c>
      <c r="I33" s="73">
        <v>18141</v>
      </c>
      <c r="J33" s="74">
        <f t="shared" si="3"/>
        <v>29</v>
      </c>
      <c r="K33" s="73">
        <v>19371</v>
      </c>
      <c r="L33" s="74">
        <f t="shared" si="4"/>
        <v>130</v>
      </c>
      <c r="M33" s="75">
        <f t="shared" si="5"/>
        <v>71.5</v>
      </c>
      <c r="N33" s="75">
        <f t="shared" si="6"/>
        <v>58.5</v>
      </c>
      <c r="O33" s="73">
        <v>29992</v>
      </c>
      <c r="P33" s="74">
        <f t="shared" si="7"/>
        <v>97</v>
      </c>
      <c r="R33" s="106">
        <f t="shared" si="0"/>
        <v>366</v>
      </c>
      <c r="S33" s="97">
        <f t="shared" si="8"/>
        <v>155.5</v>
      </c>
    </row>
    <row r="34" spans="1:19" ht="39.950000000000003" customHeight="1">
      <c r="A34" s="192">
        <f t="shared" si="9"/>
        <v>44679</v>
      </c>
      <c r="B34" s="81"/>
      <c r="C34" s="73">
        <v>53723</v>
      </c>
      <c r="D34" s="181">
        <f t="shared" si="1"/>
        <v>107</v>
      </c>
      <c r="E34" s="73">
        <v>84144</v>
      </c>
      <c r="F34" s="74">
        <f t="shared" si="1"/>
        <v>261</v>
      </c>
      <c r="G34" s="82">
        <v>9141</v>
      </c>
      <c r="H34" s="75">
        <f t="shared" si="2"/>
        <v>3</v>
      </c>
      <c r="I34" s="73">
        <v>18165</v>
      </c>
      <c r="J34" s="74">
        <f t="shared" si="3"/>
        <v>24</v>
      </c>
      <c r="K34" s="73">
        <v>19511</v>
      </c>
      <c r="L34" s="74">
        <f t="shared" si="4"/>
        <v>140</v>
      </c>
      <c r="M34" s="75">
        <f t="shared" si="5"/>
        <v>77</v>
      </c>
      <c r="N34" s="75">
        <f t="shared" si="6"/>
        <v>63</v>
      </c>
      <c r="O34" s="73">
        <v>30073</v>
      </c>
      <c r="P34" s="181">
        <f t="shared" si="7"/>
        <v>81</v>
      </c>
      <c r="R34" s="106">
        <f t="shared" si="0"/>
        <v>371</v>
      </c>
      <c r="S34" s="97">
        <f t="shared" si="8"/>
        <v>144</v>
      </c>
    </row>
    <row r="35" spans="1:19" ht="39.950000000000003" customHeight="1">
      <c r="A35" s="192">
        <f t="shared" si="9"/>
        <v>44680</v>
      </c>
      <c r="B35" s="81"/>
      <c r="C35" s="82">
        <v>53838</v>
      </c>
      <c r="D35" s="181">
        <f t="shared" si="1"/>
        <v>115</v>
      </c>
      <c r="E35" s="82">
        <v>84404</v>
      </c>
      <c r="F35" s="74">
        <f t="shared" si="1"/>
        <v>260</v>
      </c>
      <c r="G35" s="82">
        <v>9146</v>
      </c>
      <c r="H35" s="75">
        <f t="shared" si="2"/>
        <v>5</v>
      </c>
      <c r="I35" s="82">
        <v>18189</v>
      </c>
      <c r="J35" s="74">
        <f t="shared" si="3"/>
        <v>24</v>
      </c>
      <c r="K35" s="82">
        <v>19642</v>
      </c>
      <c r="L35" s="74">
        <f t="shared" si="4"/>
        <v>131</v>
      </c>
      <c r="M35" s="75">
        <f t="shared" si="5"/>
        <v>72.050000000000011</v>
      </c>
      <c r="N35" s="75">
        <f t="shared" si="6"/>
        <v>58.95</v>
      </c>
      <c r="O35" s="82">
        <v>30149</v>
      </c>
      <c r="P35" s="181">
        <f t="shared" si="7"/>
        <v>76</v>
      </c>
      <c r="R35" s="106">
        <f t="shared" si="0"/>
        <v>380</v>
      </c>
      <c r="S35" s="97">
        <f t="shared" si="8"/>
        <v>134.94999999999999</v>
      </c>
    </row>
    <row r="36" spans="1:19" ht="39.950000000000003" customHeight="1">
      <c r="A36" s="192">
        <f t="shared" si="9"/>
        <v>44681</v>
      </c>
      <c r="B36" s="81"/>
      <c r="C36" s="73">
        <v>54024</v>
      </c>
      <c r="D36" s="74">
        <f t="shared" ref="D36" si="10">(C36-C35)</f>
        <v>186</v>
      </c>
      <c r="E36" s="73">
        <v>84695</v>
      </c>
      <c r="F36" s="74">
        <f t="shared" ref="F36" si="11">(E36-E35)</f>
        <v>291</v>
      </c>
      <c r="G36" s="73">
        <v>9164</v>
      </c>
      <c r="H36" s="75">
        <f t="shared" si="2"/>
        <v>18</v>
      </c>
      <c r="I36" s="73">
        <v>18218</v>
      </c>
      <c r="J36" s="74">
        <f t="shared" si="3"/>
        <v>29</v>
      </c>
      <c r="K36" s="73">
        <v>19784</v>
      </c>
      <c r="L36" s="74">
        <f t="shared" si="4"/>
        <v>142</v>
      </c>
      <c r="M36" s="75">
        <f t="shared" si="5"/>
        <v>78.100000000000009</v>
      </c>
      <c r="N36" s="75">
        <f t="shared" si="6"/>
        <v>63.9</v>
      </c>
      <c r="O36" s="73">
        <v>30208</v>
      </c>
      <c r="P36" s="74">
        <f t="shared" si="7"/>
        <v>59</v>
      </c>
      <c r="R36" s="106">
        <f t="shared" si="0"/>
        <v>495</v>
      </c>
      <c r="S36" s="97">
        <f t="shared" si="8"/>
        <v>122.9</v>
      </c>
    </row>
    <row r="37" spans="1:19" s="21" customFormat="1" ht="39.950000000000003" customHeight="1">
      <c r="A37" s="18"/>
      <c r="D37" s="22">
        <f>SUM(D7:D36)</f>
        <v>5369</v>
      </c>
      <c r="F37" s="22">
        <f>SUM(F7:F36)</f>
        <v>6693</v>
      </c>
      <c r="H37" s="22">
        <f>SUM(H7:H36)</f>
        <v>152</v>
      </c>
      <c r="J37" s="22">
        <f>SUM(J7:J36)</f>
        <v>888</v>
      </c>
      <c r="L37" s="22">
        <f>SUM(L7:L36)</f>
        <v>3399</v>
      </c>
      <c r="M37" s="22"/>
      <c r="N37" s="22"/>
      <c r="P37" s="22">
        <f>SUM(P7:P36)</f>
        <v>2154</v>
      </c>
    </row>
    <row r="38" spans="1:19" s="19" customFormat="1" ht="39.950000000000003" customHeight="1">
      <c r="A38" s="18"/>
      <c r="D38" s="20"/>
    </row>
    <row r="39" spans="1:19" s="19" customFormat="1" ht="39.950000000000003" customHeight="1">
      <c r="A39" s="18"/>
      <c r="D39" s="20"/>
    </row>
    <row r="40" spans="1:19" ht="39.950000000000003" customHeight="1">
      <c r="A40" s="11"/>
    </row>
    <row r="41" spans="1:19">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89"/>
  <sheetViews>
    <sheetView zoomScale="50" zoomScaleNormal="50" workbookViewId="0">
      <pane xSplit="2" ySplit="7" topLeftCell="AS23" activePane="bottomRight" state="frozen"/>
      <selection pane="topRight" activeCell="C1" sqref="C1"/>
      <selection pane="bottomLeft" activeCell="A8" sqref="A8"/>
      <selection pane="bottomRight" activeCell="AU42" sqref="AU42"/>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8"/>
      <c r="B1" s="198"/>
      <c r="C1" s="211" t="s">
        <v>66</v>
      </c>
      <c r="D1" s="211"/>
      <c r="E1" s="211"/>
      <c r="F1" s="211"/>
      <c r="G1" s="211" t="s">
        <v>65</v>
      </c>
      <c r="H1" s="211"/>
      <c r="I1" s="211" t="s">
        <v>65</v>
      </c>
      <c r="J1" s="211"/>
      <c r="K1" s="211" t="s">
        <v>65</v>
      </c>
      <c r="L1" s="211"/>
      <c r="M1" s="211" t="s">
        <v>65</v>
      </c>
      <c r="N1" s="211"/>
      <c r="O1" s="211" t="s">
        <v>65</v>
      </c>
      <c r="P1" s="211"/>
      <c r="Q1" s="224" t="s">
        <v>65</v>
      </c>
      <c r="R1" s="225"/>
      <c r="S1" s="224" t="s">
        <v>65</v>
      </c>
      <c r="T1" s="225"/>
      <c r="U1" s="224" t="s">
        <v>65</v>
      </c>
      <c r="V1" s="225"/>
      <c r="W1" s="224" t="s">
        <v>65</v>
      </c>
      <c r="X1" s="226"/>
      <c r="Y1" s="211" t="s">
        <v>65</v>
      </c>
      <c r="Z1" s="211"/>
      <c r="AA1" s="224" t="s">
        <v>65</v>
      </c>
      <c r="AB1" s="225"/>
      <c r="AC1" s="211" t="s">
        <v>65</v>
      </c>
      <c r="AD1" s="211"/>
      <c r="AE1" s="211" t="s">
        <v>65</v>
      </c>
      <c r="AF1" s="211"/>
      <c r="AG1" s="211" t="s">
        <v>65</v>
      </c>
      <c r="AH1" s="211"/>
      <c r="AI1" s="211" t="s">
        <v>65</v>
      </c>
      <c r="AJ1" s="211"/>
      <c r="AK1" s="211" t="s">
        <v>65</v>
      </c>
      <c r="AL1" s="211"/>
      <c r="AM1" s="211" t="s">
        <v>67</v>
      </c>
      <c r="AN1" s="211"/>
      <c r="AO1" s="211" t="s">
        <v>67</v>
      </c>
      <c r="AP1" s="211"/>
      <c r="AQ1" s="211" t="s">
        <v>67</v>
      </c>
      <c r="AR1" s="211"/>
      <c r="AS1" s="211" t="s">
        <v>67</v>
      </c>
      <c r="AT1" s="211"/>
      <c r="AU1" s="211" t="s">
        <v>67</v>
      </c>
      <c r="AV1" s="211"/>
      <c r="AW1" s="211" t="s">
        <v>67</v>
      </c>
      <c r="AX1" s="211"/>
      <c r="AY1" s="211" t="s">
        <v>67</v>
      </c>
      <c r="AZ1" s="211"/>
      <c r="BA1" s="211" t="s">
        <v>67</v>
      </c>
      <c r="BB1" s="211"/>
      <c r="BC1" s="211" t="s">
        <v>67</v>
      </c>
      <c r="BD1" s="211"/>
      <c r="BE1" s="211" t="s">
        <v>67</v>
      </c>
      <c r="BF1" s="211"/>
      <c r="BH1" s="32"/>
      <c r="BI1" s="32"/>
    </row>
    <row r="2" spans="1:61" s="24" customFormat="1" ht="75.75" customHeight="1">
      <c r="A2" s="48"/>
      <c r="B2" s="48"/>
      <c r="C2" s="246" t="s">
        <v>117</v>
      </c>
      <c r="D2" s="246"/>
      <c r="E2" s="246"/>
      <c r="F2" s="246"/>
      <c r="G2" s="246" t="s">
        <v>118</v>
      </c>
      <c r="H2" s="246"/>
      <c r="I2" s="246" t="s">
        <v>119</v>
      </c>
      <c r="J2" s="246"/>
      <c r="K2" s="246" t="s">
        <v>120</v>
      </c>
      <c r="L2" s="246"/>
      <c r="M2" s="246" t="s">
        <v>121</v>
      </c>
      <c r="N2" s="246"/>
      <c r="O2" s="251" t="s">
        <v>122</v>
      </c>
      <c r="P2" s="253"/>
      <c r="Q2" s="251" t="s">
        <v>123</v>
      </c>
      <c r="R2" s="253"/>
      <c r="S2" s="251" t="s">
        <v>124</v>
      </c>
      <c r="T2" s="253"/>
      <c r="U2" s="251" t="s">
        <v>125</v>
      </c>
      <c r="V2" s="253"/>
      <c r="W2" s="251" t="s">
        <v>126</v>
      </c>
      <c r="X2" s="252"/>
      <c r="Y2" s="246" t="s">
        <v>127</v>
      </c>
      <c r="Z2" s="246"/>
      <c r="AA2" s="251" t="s">
        <v>128</v>
      </c>
      <c r="AB2" s="253"/>
      <c r="AC2" s="246" t="s">
        <v>129</v>
      </c>
      <c r="AD2" s="246"/>
      <c r="AE2" s="246" t="s">
        <v>130</v>
      </c>
      <c r="AF2" s="246"/>
      <c r="AG2" s="246" t="s">
        <v>130</v>
      </c>
      <c r="AH2" s="246"/>
      <c r="AI2" s="246" t="s">
        <v>130</v>
      </c>
      <c r="AJ2" s="246"/>
      <c r="AK2" s="246" t="s">
        <v>130</v>
      </c>
      <c r="AL2" s="246"/>
      <c r="AM2" s="246" t="s">
        <v>131</v>
      </c>
      <c r="AN2" s="246"/>
      <c r="AO2" s="246" t="s">
        <v>132</v>
      </c>
      <c r="AP2" s="246"/>
      <c r="AQ2" s="246" t="s">
        <v>133</v>
      </c>
      <c r="AR2" s="246"/>
      <c r="AS2" s="246" t="s">
        <v>133</v>
      </c>
      <c r="AT2" s="246"/>
      <c r="AU2" s="246" t="s">
        <v>134</v>
      </c>
      <c r="AV2" s="246"/>
      <c r="AW2" s="246" t="s">
        <v>135</v>
      </c>
      <c r="AX2" s="246"/>
      <c r="AY2" s="246" t="s">
        <v>136</v>
      </c>
      <c r="AZ2" s="246"/>
      <c r="BA2" s="246" t="s">
        <v>136</v>
      </c>
      <c r="BB2" s="246"/>
      <c r="BC2" s="246" t="s">
        <v>137</v>
      </c>
      <c r="BD2" s="246"/>
      <c r="BE2" s="246" t="s">
        <v>137</v>
      </c>
      <c r="BF2" s="246"/>
      <c r="BH2" s="32"/>
      <c r="BI2" s="32"/>
    </row>
    <row r="3" spans="1:61" s="10" customFormat="1" ht="87.75" customHeight="1">
      <c r="A3" s="197"/>
      <c r="B3" s="197"/>
      <c r="C3" s="239" t="s">
        <v>138</v>
      </c>
      <c r="D3" s="240"/>
      <c r="E3" s="197" t="s">
        <v>65</v>
      </c>
      <c r="F3" s="198" t="s">
        <v>67</v>
      </c>
      <c r="G3" s="243" t="s">
        <v>139</v>
      </c>
      <c r="H3" s="244"/>
      <c r="I3" s="243" t="s">
        <v>139</v>
      </c>
      <c r="J3" s="244"/>
      <c r="K3" s="243" t="s">
        <v>139</v>
      </c>
      <c r="L3" s="244"/>
      <c r="M3" s="241" t="s">
        <v>140</v>
      </c>
      <c r="N3" s="242"/>
      <c r="O3" s="243" t="s">
        <v>139</v>
      </c>
      <c r="P3" s="244"/>
      <c r="Q3" s="243" t="s">
        <v>139</v>
      </c>
      <c r="R3" s="244"/>
      <c r="S3" s="249" t="s">
        <v>139</v>
      </c>
      <c r="T3" s="250"/>
      <c r="U3" s="243" t="s">
        <v>139</v>
      </c>
      <c r="V3" s="244"/>
      <c r="W3" s="243" t="s">
        <v>139</v>
      </c>
      <c r="X3" s="244"/>
      <c r="Y3" s="245" t="s">
        <v>141</v>
      </c>
      <c r="Z3" s="244"/>
      <c r="AA3" s="243" t="s">
        <v>142</v>
      </c>
      <c r="AB3" s="244"/>
      <c r="AC3" s="243" t="s">
        <v>143</v>
      </c>
      <c r="AD3" s="244"/>
      <c r="AE3" s="243" t="s">
        <v>143</v>
      </c>
      <c r="AF3" s="244"/>
      <c r="AG3" s="245" t="s">
        <v>144</v>
      </c>
      <c r="AH3" s="244"/>
      <c r="AI3" s="243" t="s">
        <v>145</v>
      </c>
      <c r="AJ3" s="244"/>
      <c r="AK3" s="245" t="s">
        <v>146</v>
      </c>
      <c r="AL3" s="244"/>
      <c r="AM3" s="243" t="s">
        <v>147</v>
      </c>
      <c r="AN3" s="244"/>
      <c r="AO3" s="243" t="s">
        <v>147</v>
      </c>
      <c r="AP3" s="244"/>
      <c r="AQ3" s="245" t="s">
        <v>148</v>
      </c>
      <c r="AR3" s="244"/>
      <c r="AS3" s="243" t="s">
        <v>149</v>
      </c>
      <c r="AT3" s="244"/>
      <c r="AU3" s="245" t="s">
        <v>150</v>
      </c>
      <c r="AV3" s="244"/>
      <c r="AW3" s="245" t="s">
        <v>150</v>
      </c>
      <c r="AX3" s="244"/>
      <c r="AY3" s="243" t="s">
        <v>145</v>
      </c>
      <c r="AZ3" s="244"/>
      <c r="BA3" s="245" t="s">
        <v>146</v>
      </c>
      <c r="BB3" s="244"/>
      <c r="BC3" s="243" t="s">
        <v>145</v>
      </c>
      <c r="BD3" s="244"/>
      <c r="BE3" s="245" t="s">
        <v>146</v>
      </c>
      <c r="BF3" s="244"/>
      <c r="BH3" s="32"/>
      <c r="BI3" s="32"/>
    </row>
    <row r="4" spans="1:61" s="24" customFormat="1" ht="50.1" customHeight="1">
      <c r="A4" s="197"/>
      <c r="B4" s="48"/>
      <c r="C4" s="212" t="s">
        <v>151</v>
      </c>
      <c r="D4" s="214"/>
      <c r="E4" s="247" t="s">
        <v>152</v>
      </c>
      <c r="F4" s="248"/>
      <c r="G4" s="212" t="s">
        <v>153</v>
      </c>
      <c r="H4" s="214"/>
      <c r="I4" s="212" t="s">
        <v>154</v>
      </c>
      <c r="J4" s="214"/>
      <c r="K4" s="212" t="s">
        <v>155</v>
      </c>
      <c r="L4" s="214"/>
      <c r="M4" s="212">
        <v>7092801222</v>
      </c>
      <c r="N4" s="214"/>
      <c r="O4" s="212" t="s">
        <v>156</v>
      </c>
      <c r="P4" s="213"/>
      <c r="Q4" s="212" t="s">
        <v>157</v>
      </c>
      <c r="R4" s="213"/>
      <c r="S4" s="212" t="s">
        <v>158</v>
      </c>
      <c r="T4" s="213"/>
      <c r="U4" s="212" t="s">
        <v>159</v>
      </c>
      <c r="V4" s="213"/>
      <c r="W4" s="212" t="s">
        <v>160</v>
      </c>
      <c r="X4" s="214"/>
      <c r="Y4" s="212" t="s">
        <v>161</v>
      </c>
      <c r="Z4" s="214"/>
      <c r="AA4" s="212" t="s">
        <v>162</v>
      </c>
      <c r="AB4" s="213"/>
      <c r="AC4" s="212" t="s">
        <v>163</v>
      </c>
      <c r="AD4" s="214"/>
      <c r="AE4" s="212" t="s">
        <v>164</v>
      </c>
      <c r="AF4" s="214"/>
      <c r="AG4" s="212" t="s">
        <v>165</v>
      </c>
      <c r="AH4" s="214"/>
      <c r="AI4" s="212">
        <v>7105826734</v>
      </c>
      <c r="AJ4" s="214"/>
      <c r="AK4" s="212">
        <v>7105825932</v>
      </c>
      <c r="AL4" s="214"/>
      <c r="AM4" s="212" t="s">
        <v>166</v>
      </c>
      <c r="AN4" s="214"/>
      <c r="AO4" s="212" t="s">
        <v>167</v>
      </c>
      <c r="AP4" s="214"/>
      <c r="AQ4" s="212" t="s">
        <v>168</v>
      </c>
      <c r="AR4" s="214"/>
      <c r="AS4" s="212" t="s">
        <v>169</v>
      </c>
      <c r="AT4" s="214"/>
      <c r="AU4" s="212" t="s">
        <v>170</v>
      </c>
      <c r="AV4" s="214"/>
      <c r="AW4" s="212" t="s">
        <v>171</v>
      </c>
      <c r="AX4" s="214"/>
      <c r="AY4" s="212">
        <v>7111912486</v>
      </c>
      <c r="AZ4" s="214"/>
      <c r="BA4" s="212">
        <v>7111911842</v>
      </c>
      <c r="BB4" s="214"/>
      <c r="BC4" s="212">
        <v>7111913281</v>
      </c>
      <c r="BD4" s="214"/>
      <c r="BE4" s="212">
        <v>7111912723</v>
      </c>
      <c r="BF4" s="214"/>
      <c r="BH4" s="209" t="s">
        <v>81</v>
      </c>
      <c r="BI4" s="209"/>
    </row>
    <row r="5" spans="1:61" s="24" customFormat="1" ht="50.1" customHeight="1">
      <c r="A5" s="48" t="s">
        <v>172</v>
      </c>
      <c r="B5" s="48"/>
      <c r="C5" s="212" t="s">
        <v>173</v>
      </c>
      <c r="D5" s="214"/>
      <c r="E5" s="79">
        <v>0.6</v>
      </c>
      <c r="F5" s="30">
        <v>0.4</v>
      </c>
      <c r="G5" s="212" t="s">
        <v>174</v>
      </c>
      <c r="H5" s="214"/>
      <c r="I5" s="212" t="s">
        <v>175</v>
      </c>
      <c r="J5" s="214"/>
      <c r="K5" s="212" t="s">
        <v>176</v>
      </c>
      <c r="L5" s="214"/>
      <c r="M5" s="212" t="s">
        <v>177</v>
      </c>
      <c r="N5" s="214"/>
      <c r="O5" s="212" t="s">
        <v>178</v>
      </c>
      <c r="P5" s="213"/>
      <c r="Q5" s="212" t="s">
        <v>179</v>
      </c>
      <c r="R5" s="213"/>
      <c r="S5" s="212" t="s">
        <v>180</v>
      </c>
      <c r="T5" s="213"/>
      <c r="U5" s="212" t="s">
        <v>181</v>
      </c>
      <c r="V5" s="213"/>
      <c r="W5" s="212" t="s">
        <v>182</v>
      </c>
      <c r="X5" s="214"/>
      <c r="Y5" s="212" t="s">
        <v>183</v>
      </c>
      <c r="Z5" s="214"/>
      <c r="AA5" s="212" t="s">
        <v>184</v>
      </c>
      <c r="AB5" s="213"/>
      <c r="AC5" s="212" t="s">
        <v>185</v>
      </c>
      <c r="AD5" s="214"/>
      <c r="AE5" s="212" t="s">
        <v>186</v>
      </c>
      <c r="AF5" s="214"/>
      <c r="AG5" s="212" t="s">
        <v>187</v>
      </c>
      <c r="AH5" s="214"/>
      <c r="AI5" s="212" t="s">
        <v>188</v>
      </c>
      <c r="AJ5" s="214"/>
      <c r="AK5" s="212" t="s">
        <v>189</v>
      </c>
      <c r="AL5" s="214"/>
      <c r="AM5" s="212" t="s">
        <v>190</v>
      </c>
      <c r="AN5" s="214"/>
      <c r="AO5" s="212" t="s">
        <v>191</v>
      </c>
      <c r="AP5" s="214"/>
      <c r="AQ5" s="212" t="s">
        <v>192</v>
      </c>
      <c r="AR5" s="214"/>
      <c r="AS5" s="212" t="s">
        <v>193</v>
      </c>
      <c r="AT5" s="214"/>
      <c r="AU5" s="212" t="s">
        <v>194</v>
      </c>
      <c r="AV5" s="214"/>
      <c r="AW5" s="212" t="s">
        <v>195</v>
      </c>
      <c r="AX5" s="214"/>
      <c r="AY5" s="212">
        <v>744483</v>
      </c>
      <c r="AZ5" s="214"/>
      <c r="BA5" s="212">
        <v>119314</v>
      </c>
      <c r="BB5" s="214"/>
      <c r="BC5" s="212">
        <v>1053229</v>
      </c>
      <c r="BD5" s="214"/>
      <c r="BE5" s="212">
        <v>1053215</v>
      </c>
      <c r="BF5" s="214"/>
      <c r="BH5" s="209"/>
      <c r="BI5" s="209"/>
    </row>
    <row r="6" spans="1:61" s="8" customFormat="1" ht="30" customHeight="1">
      <c r="A6" s="197" t="s">
        <v>96</v>
      </c>
      <c r="B6" s="49"/>
      <c r="C6" s="218"/>
      <c r="D6" s="219"/>
      <c r="E6" s="80"/>
      <c r="F6" s="199"/>
      <c r="G6" s="197"/>
      <c r="H6" s="49"/>
      <c r="I6" s="218"/>
      <c r="J6" s="219"/>
      <c r="K6" s="218"/>
      <c r="L6" s="219"/>
      <c r="M6" s="218"/>
      <c r="N6" s="219"/>
      <c r="O6" s="218"/>
      <c r="P6" s="223"/>
      <c r="Q6" s="218"/>
      <c r="R6" s="223"/>
      <c r="S6" s="218"/>
      <c r="T6" s="223"/>
      <c r="U6" s="218"/>
      <c r="V6" s="223"/>
      <c r="W6" s="218"/>
      <c r="X6" s="219"/>
      <c r="Y6" s="218"/>
      <c r="Z6" s="219"/>
      <c r="AA6" s="218"/>
      <c r="AB6" s="223"/>
      <c r="AC6" s="218"/>
      <c r="AD6" s="219"/>
      <c r="AE6" s="218"/>
      <c r="AF6" s="219"/>
      <c r="AG6" s="218"/>
      <c r="AH6" s="219"/>
      <c r="AI6" s="218"/>
      <c r="AJ6" s="219"/>
      <c r="AK6" s="218"/>
      <c r="AL6" s="219"/>
      <c r="AM6" s="218"/>
      <c r="AN6" s="219"/>
      <c r="AO6" s="218"/>
      <c r="AP6" s="219"/>
      <c r="AQ6" s="218"/>
      <c r="AR6" s="219"/>
      <c r="AS6" s="218"/>
      <c r="AT6" s="219"/>
      <c r="AU6" s="218"/>
      <c r="AV6" s="219"/>
      <c r="AW6" s="218"/>
      <c r="AX6" s="219"/>
      <c r="AY6" s="218"/>
      <c r="AZ6" s="219"/>
      <c r="BA6" s="218"/>
      <c r="BB6" s="219"/>
      <c r="BC6" s="218"/>
      <c r="BD6" s="219"/>
      <c r="BE6" s="218"/>
      <c r="BF6" s="219"/>
      <c r="BH6" s="32"/>
      <c r="BI6" s="32"/>
    </row>
    <row r="7" spans="1:61" s="10" customFormat="1" ht="50.1" customHeight="1">
      <c r="A7" s="197" t="s">
        <v>99</v>
      </c>
      <c r="B7" s="197"/>
      <c r="C7" s="197" t="s">
        <v>115</v>
      </c>
      <c r="D7" s="197" t="s">
        <v>196</v>
      </c>
      <c r="E7" s="197" t="s">
        <v>196</v>
      </c>
      <c r="F7" s="197" t="s">
        <v>196</v>
      </c>
      <c r="G7" s="197" t="s">
        <v>115</v>
      </c>
      <c r="H7" s="197" t="s">
        <v>196</v>
      </c>
      <c r="I7" s="197" t="s">
        <v>115</v>
      </c>
      <c r="J7" s="197" t="s">
        <v>196</v>
      </c>
      <c r="K7" s="197" t="s">
        <v>115</v>
      </c>
      <c r="L7" s="197" t="s">
        <v>196</v>
      </c>
      <c r="M7" s="197" t="s">
        <v>115</v>
      </c>
      <c r="N7" s="197" t="s">
        <v>196</v>
      </c>
      <c r="O7" s="197" t="s">
        <v>115</v>
      </c>
      <c r="P7" s="197" t="s">
        <v>196</v>
      </c>
      <c r="Q7" s="197" t="s">
        <v>115</v>
      </c>
      <c r="R7" s="197" t="s">
        <v>196</v>
      </c>
      <c r="S7" s="197" t="s">
        <v>115</v>
      </c>
      <c r="T7" s="197" t="s">
        <v>196</v>
      </c>
      <c r="U7" s="197" t="s">
        <v>115</v>
      </c>
      <c r="V7" s="197" t="s">
        <v>196</v>
      </c>
      <c r="W7" s="197" t="s">
        <v>115</v>
      </c>
      <c r="X7" s="197" t="s">
        <v>196</v>
      </c>
      <c r="Y7" s="197" t="s">
        <v>115</v>
      </c>
      <c r="Z7" s="197" t="s">
        <v>196</v>
      </c>
      <c r="AA7" s="197" t="s">
        <v>115</v>
      </c>
      <c r="AB7" s="197" t="s">
        <v>196</v>
      </c>
      <c r="AC7" s="197" t="s">
        <v>115</v>
      </c>
      <c r="AD7" s="197" t="s">
        <v>196</v>
      </c>
      <c r="AE7" s="13" t="s">
        <v>115</v>
      </c>
      <c r="AF7" s="197" t="s">
        <v>196</v>
      </c>
      <c r="AG7" s="13" t="s">
        <v>115</v>
      </c>
      <c r="AH7" s="197" t="s">
        <v>196</v>
      </c>
      <c r="AI7" s="13" t="s">
        <v>115</v>
      </c>
      <c r="AJ7" s="197" t="s">
        <v>196</v>
      </c>
      <c r="AK7" s="13" t="s">
        <v>115</v>
      </c>
      <c r="AL7" s="197" t="s">
        <v>196</v>
      </c>
      <c r="AM7" s="13" t="s">
        <v>115</v>
      </c>
      <c r="AN7" s="197" t="s">
        <v>196</v>
      </c>
      <c r="AO7" s="13" t="s">
        <v>115</v>
      </c>
      <c r="AP7" s="197" t="s">
        <v>196</v>
      </c>
      <c r="AQ7" s="13" t="s">
        <v>115</v>
      </c>
      <c r="AR7" s="197" t="s">
        <v>196</v>
      </c>
      <c r="AS7" s="13" t="s">
        <v>115</v>
      </c>
      <c r="AT7" s="197" t="s">
        <v>196</v>
      </c>
      <c r="AU7" s="13" t="s">
        <v>115</v>
      </c>
      <c r="AV7" s="197" t="s">
        <v>196</v>
      </c>
      <c r="AW7" s="13" t="s">
        <v>115</v>
      </c>
      <c r="AX7" s="197" t="s">
        <v>196</v>
      </c>
      <c r="AY7" s="13" t="s">
        <v>115</v>
      </c>
      <c r="AZ7" s="197" t="s">
        <v>196</v>
      </c>
      <c r="BA7" s="13" t="s">
        <v>115</v>
      </c>
      <c r="BB7" s="197" t="s">
        <v>196</v>
      </c>
      <c r="BC7" s="13" t="s">
        <v>115</v>
      </c>
      <c r="BD7" s="197" t="s">
        <v>196</v>
      </c>
      <c r="BE7" s="13" t="s">
        <v>115</v>
      </c>
      <c r="BF7" s="197" t="s">
        <v>196</v>
      </c>
      <c r="BH7" s="197" t="s">
        <v>65</v>
      </c>
      <c r="BI7" s="197" t="s">
        <v>67</v>
      </c>
    </row>
    <row r="8" spans="1:61" s="35" customFormat="1" ht="39.950000000000003" customHeight="1">
      <c r="A8" s="192">
        <v>44651</v>
      </c>
      <c r="B8" s="34"/>
      <c r="C8" s="77">
        <v>6796462</v>
      </c>
      <c r="D8" s="103"/>
      <c r="E8" s="104"/>
      <c r="F8" s="103"/>
      <c r="G8" s="77">
        <v>293359</v>
      </c>
      <c r="H8" s="103"/>
      <c r="I8" s="77">
        <v>177818</v>
      </c>
      <c r="J8" s="37"/>
      <c r="K8" s="77">
        <v>268388</v>
      </c>
      <c r="L8" s="103"/>
      <c r="M8" s="77">
        <v>25315</v>
      </c>
      <c r="N8" s="37"/>
      <c r="O8" s="77">
        <v>321092</v>
      </c>
      <c r="P8" s="37"/>
      <c r="Q8" s="77">
        <v>472800</v>
      </c>
      <c r="R8" s="103"/>
      <c r="S8" s="77">
        <v>757671</v>
      </c>
      <c r="T8" s="103"/>
      <c r="U8" s="82">
        <v>4280.7690000000002</v>
      </c>
      <c r="V8" s="103"/>
      <c r="W8" s="77">
        <v>84370</v>
      </c>
      <c r="X8" s="103"/>
      <c r="Y8" s="77">
        <v>1518181</v>
      </c>
      <c r="Z8" s="103"/>
      <c r="AA8" s="77">
        <v>13886</v>
      </c>
      <c r="AB8" s="103"/>
      <c r="AC8" s="77">
        <v>493560</v>
      </c>
      <c r="AD8" s="103"/>
      <c r="AE8" s="77">
        <v>564524</v>
      </c>
      <c r="AF8" s="103"/>
      <c r="AG8" s="77">
        <v>49787</v>
      </c>
      <c r="AH8" s="103"/>
      <c r="AI8" s="77">
        <v>439316</v>
      </c>
      <c r="AJ8" s="103"/>
      <c r="AK8" s="77">
        <v>102770</v>
      </c>
      <c r="AL8" s="103"/>
      <c r="AM8" s="77">
        <v>600688</v>
      </c>
      <c r="AN8" s="103"/>
      <c r="AO8" s="77">
        <v>985391</v>
      </c>
      <c r="AP8" s="103"/>
      <c r="AQ8" s="77">
        <v>88721</v>
      </c>
      <c r="AR8" s="103"/>
      <c r="AS8" s="77">
        <v>2453</v>
      </c>
      <c r="AT8" s="103"/>
      <c r="AU8" s="77">
        <v>939</v>
      </c>
      <c r="AV8" s="103"/>
      <c r="AW8" s="77">
        <v>3110</v>
      </c>
      <c r="AX8" s="103"/>
      <c r="AY8" s="77">
        <v>342556</v>
      </c>
      <c r="AZ8" s="103"/>
      <c r="BA8" s="77">
        <v>161101</v>
      </c>
      <c r="BB8" s="103"/>
      <c r="BC8" s="77">
        <v>231605</v>
      </c>
      <c r="BD8" s="103"/>
      <c r="BE8" s="77">
        <v>5349</v>
      </c>
      <c r="BF8" s="103"/>
      <c r="BH8" s="105"/>
      <c r="BI8" s="105"/>
    </row>
    <row r="9" spans="1:61" s="28" customFormat="1" ht="39.950000000000003" customHeight="1">
      <c r="A9" s="192">
        <v>44652</v>
      </c>
      <c r="B9" s="27"/>
      <c r="C9" s="77">
        <v>6798213</v>
      </c>
      <c r="D9" s="37">
        <f>(+C9-+C8)*48</f>
        <v>84048</v>
      </c>
      <c r="E9" s="104">
        <f>D9*0.6</f>
        <v>50428.799999999996</v>
      </c>
      <c r="F9" s="37">
        <f>D9*0.4</f>
        <v>33619.200000000004</v>
      </c>
      <c r="G9" s="77">
        <v>293376</v>
      </c>
      <c r="H9" s="37">
        <f>(+G9-+G8)*48</f>
        <v>816</v>
      </c>
      <c r="I9" s="77">
        <v>177991</v>
      </c>
      <c r="J9" s="37">
        <f>(+I9-+I8)*48</f>
        <v>8304</v>
      </c>
      <c r="K9" s="77">
        <v>268388</v>
      </c>
      <c r="L9" s="37">
        <f t="shared" ref="L9:L37" si="0">(+K9-+K8)*48</f>
        <v>0</v>
      </c>
      <c r="M9" s="77">
        <v>25315</v>
      </c>
      <c r="N9" s="37">
        <f>(+M9-+M8)*48</f>
        <v>0</v>
      </c>
      <c r="O9" s="77">
        <v>321219</v>
      </c>
      <c r="P9" s="37">
        <f>(+O9-+O8)*48</f>
        <v>6096</v>
      </c>
      <c r="Q9" s="77">
        <v>472822</v>
      </c>
      <c r="R9" s="37">
        <f>(+Q9-+Q8)*48</f>
        <v>1056</v>
      </c>
      <c r="S9" s="77">
        <v>757816</v>
      </c>
      <c r="T9" s="37">
        <f>(+S9-+S8)*48</f>
        <v>6960</v>
      </c>
      <c r="U9" s="77">
        <v>4280.7690000000002</v>
      </c>
      <c r="V9" s="103">
        <f>(+U9-+U8)*48</f>
        <v>0</v>
      </c>
      <c r="W9" s="77">
        <v>84374</v>
      </c>
      <c r="X9" s="37">
        <f>(+W9-+W8)*48</f>
        <v>192</v>
      </c>
      <c r="Y9" s="77">
        <v>1518181</v>
      </c>
      <c r="Z9" s="37">
        <f>(+Y9-+Y8)*48</f>
        <v>0</v>
      </c>
      <c r="AA9" s="77">
        <v>13886</v>
      </c>
      <c r="AB9" s="37">
        <f>(+AA9-+AA8)*48</f>
        <v>0</v>
      </c>
      <c r="AC9" s="77">
        <v>493706</v>
      </c>
      <c r="AD9" s="37">
        <f>(+AC9-+AC8)*48</f>
        <v>7008</v>
      </c>
      <c r="AE9" s="77">
        <v>564685</v>
      </c>
      <c r="AF9" s="37">
        <f>(+AE9-+AE8)*48</f>
        <v>7728</v>
      </c>
      <c r="AG9" s="76">
        <v>49787</v>
      </c>
      <c r="AH9" s="37">
        <f>(+AG9-+AG8)*48</f>
        <v>0</v>
      </c>
      <c r="AI9" s="77">
        <v>439351</v>
      </c>
      <c r="AJ9" s="37">
        <f>(+AI9-+AI8)*48</f>
        <v>1680</v>
      </c>
      <c r="AK9" s="77">
        <v>102770</v>
      </c>
      <c r="AL9" s="37">
        <f>(+AK9-+AK8)*48</f>
        <v>0</v>
      </c>
      <c r="AM9" s="77">
        <v>600803</v>
      </c>
      <c r="AN9" s="37">
        <f>(+AM9-+AM8)*48</f>
        <v>5520</v>
      </c>
      <c r="AO9" s="77">
        <v>986607</v>
      </c>
      <c r="AP9" s="37">
        <f>(+AO9-+AO8)*48</f>
        <v>58368</v>
      </c>
      <c r="AQ9" s="77">
        <v>88721</v>
      </c>
      <c r="AR9" s="37">
        <f>(+AQ9-+AQ8)*48</f>
        <v>0</v>
      </c>
      <c r="AS9" s="77">
        <v>2453</v>
      </c>
      <c r="AT9" s="37">
        <f>(+AS9-+AS8)*48</f>
        <v>0</v>
      </c>
      <c r="AU9" s="77">
        <v>939</v>
      </c>
      <c r="AV9" s="37">
        <f>(+AU9-+AU8)*48</f>
        <v>0</v>
      </c>
      <c r="AW9" s="77">
        <v>3110</v>
      </c>
      <c r="AX9" s="37">
        <f>(+AW9-+AW8)*48</f>
        <v>0</v>
      </c>
      <c r="AY9" s="77">
        <v>342659</v>
      </c>
      <c r="AZ9" s="37">
        <f>(+AY9-+AY8)*48</f>
        <v>4944</v>
      </c>
      <c r="BA9" s="76">
        <v>161101</v>
      </c>
      <c r="BB9" s="37">
        <f>(+BA9-+BA8)*48</f>
        <v>0</v>
      </c>
      <c r="BC9" s="77">
        <v>231681</v>
      </c>
      <c r="BD9" s="37">
        <f>(+BC9-+BC8)*48</f>
        <v>3648</v>
      </c>
      <c r="BE9" s="77">
        <v>5349</v>
      </c>
      <c r="BF9" s="37">
        <f>(+BE9-+BE8)*48</f>
        <v>0</v>
      </c>
      <c r="BH9" s="105">
        <f t="shared" ref="BH9:BH38" si="1">SUM(E9,J9,P9,H9,L9,R9,T9,V9,X9,N9,AB9,Z9,AD9,AF9,AH9,AL9,AJ9)</f>
        <v>90268.799999999988</v>
      </c>
      <c r="BI9" s="105">
        <f t="shared" ref="BI9:BI38" si="2">SUM(F9,AN9,AP9,AT9,AV9,AX9,AR9,AZ9,BB9,BD9,BF9)</f>
        <v>106099.20000000001</v>
      </c>
    </row>
    <row r="10" spans="1:61" s="35" customFormat="1" ht="39.950000000000003" customHeight="1">
      <c r="A10" s="192">
        <v>44653</v>
      </c>
      <c r="B10" s="34"/>
      <c r="C10" s="77">
        <v>6800826</v>
      </c>
      <c r="D10" s="37">
        <f t="shared" ref="D10:D37" si="3">(+C10-+C9)*48</f>
        <v>125424</v>
      </c>
      <c r="E10" s="104">
        <f t="shared" ref="E10:E38" si="4">D10*0.6</f>
        <v>75254.399999999994</v>
      </c>
      <c r="F10" s="103">
        <f t="shared" ref="F10:F38" si="5">D10*0.4</f>
        <v>50169.600000000006</v>
      </c>
      <c r="G10" s="77">
        <v>293397</v>
      </c>
      <c r="H10" s="37">
        <f t="shared" ref="H10:H37" si="6">(+G10-+G9)*48</f>
        <v>1008</v>
      </c>
      <c r="I10" s="77">
        <v>178148</v>
      </c>
      <c r="J10" s="37">
        <f t="shared" ref="J10:J37" si="7">(+I10-+I9)*48</f>
        <v>7536</v>
      </c>
      <c r="K10" s="77">
        <v>268393</v>
      </c>
      <c r="L10" s="37">
        <f t="shared" si="0"/>
        <v>240</v>
      </c>
      <c r="M10" s="77">
        <v>25315</v>
      </c>
      <c r="N10" s="37">
        <f t="shared" ref="N10:N37" si="8">(+M10-+M9)*48</f>
        <v>0</v>
      </c>
      <c r="O10" s="77">
        <v>321341</v>
      </c>
      <c r="P10" s="37">
        <f t="shared" ref="P10:P37" si="9">(+O10-+O9)*48</f>
        <v>5856</v>
      </c>
      <c r="Q10" s="77">
        <v>472865</v>
      </c>
      <c r="R10" s="37">
        <f t="shared" ref="R10:R37" si="10">(+Q10-+Q9)*48</f>
        <v>2064</v>
      </c>
      <c r="S10" s="77">
        <v>757948</v>
      </c>
      <c r="T10" s="37">
        <f t="shared" ref="T10:T37" si="11">(+S10-+S9)*48</f>
        <v>6336</v>
      </c>
      <c r="U10" s="77">
        <v>4297.9520000000002</v>
      </c>
      <c r="V10" s="103">
        <f>(+U10-+U9)*48</f>
        <v>824.78399999999965</v>
      </c>
      <c r="W10" s="77">
        <v>84378</v>
      </c>
      <c r="X10" s="37">
        <f t="shared" ref="X10:X37" si="12">(+W10-+W9)*48</f>
        <v>192</v>
      </c>
      <c r="Y10" s="77">
        <v>1518181</v>
      </c>
      <c r="Z10" s="37">
        <f t="shared" ref="Z10:Z34" si="13">(+Y10-+Y9)*48</f>
        <v>0</v>
      </c>
      <c r="AA10" s="77">
        <v>13886</v>
      </c>
      <c r="AB10" s="37">
        <f t="shared" ref="AB10:AB37" si="14">(+AA10-+AA9)*48</f>
        <v>0</v>
      </c>
      <c r="AC10" s="77">
        <v>493867</v>
      </c>
      <c r="AD10" s="37">
        <f t="shared" ref="AD10:AF36" si="15">(+AC10-+AC9)*48</f>
        <v>7728</v>
      </c>
      <c r="AE10" s="77">
        <v>564842</v>
      </c>
      <c r="AF10" s="37">
        <f t="shared" si="15"/>
        <v>7536</v>
      </c>
      <c r="AG10" s="76">
        <v>49787</v>
      </c>
      <c r="AH10" s="37">
        <f t="shared" ref="AH10:AH36" si="16">(+AG10-+AG9)*48</f>
        <v>0</v>
      </c>
      <c r="AI10" s="77">
        <v>439388</v>
      </c>
      <c r="AJ10" s="37">
        <f t="shared" ref="AJ10:AJ37" si="17">(+AI10-+AI9)*48</f>
        <v>1776</v>
      </c>
      <c r="AK10" s="77">
        <v>102770</v>
      </c>
      <c r="AL10" s="37">
        <f t="shared" ref="AL10:AL37" si="18">(+AK10-+AK9)*48</f>
        <v>0</v>
      </c>
      <c r="AM10" s="77">
        <v>600941</v>
      </c>
      <c r="AN10" s="37">
        <f t="shared" ref="AN10:AN37" si="19">(+AM10-+AM9)*48</f>
        <v>6624</v>
      </c>
      <c r="AO10" s="77">
        <v>986835</v>
      </c>
      <c r="AP10" s="37">
        <f t="shared" ref="AP10:AP37" si="20">(+AO10-+AO9)*48</f>
        <v>10944</v>
      </c>
      <c r="AQ10" s="77">
        <v>88721</v>
      </c>
      <c r="AR10" s="37">
        <f t="shared" ref="AR10:AR37" si="21">(+AQ10-+AQ9)*48</f>
        <v>0</v>
      </c>
      <c r="AS10" s="77">
        <v>2453</v>
      </c>
      <c r="AT10" s="37">
        <f t="shared" ref="AT10:AT33" si="22">(+AS10-+AS9)*48</f>
        <v>0</v>
      </c>
      <c r="AU10" s="77">
        <v>939</v>
      </c>
      <c r="AV10" s="37">
        <f t="shared" ref="AV10:AV37" si="23">(+AU10-+AU9)*48</f>
        <v>0</v>
      </c>
      <c r="AW10" s="77">
        <v>3110</v>
      </c>
      <c r="AX10" s="37">
        <f t="shared" ref="AX10:AX32" si="24">(+AW10-+AW9)*48</f>
        <v>0</v>
      </c>
      <c r="AY10" s="77">
        <v>342767</v>
      </c>
      <c r="AZ10" s="37">
        <f t="shared" ref="AZ10:AZ25" si="25">(+AY10-+AY9)*48</f>
        <v>5184</v>
      </c>
      <c r="BA10" s="76">
        <v>161101</v>
      </c>
      <c r="BB10" s="37">
        <f t="shared" ref="BB10:BB21" si="26">(+BA10-+BA9)*48</f>
        <v>0</v>
      </c>
      <c r="BC10" s="77">
        <v>231752</v>
      </c>
      <c r="BD10" s="37">
        <f t="shared" ref="BD10:BD37" si="27">(+BC10-+BC9)*48</f>
        <v>3408</v>
      </c>
      <c r="BE10" s="77">
        <v>5349</v>
      </c>
      <c r="BF10" s="37">
        <f t="shared" ref="BF10:BF37" si="28">(+BE10-+BE9)*48</f>
        <v>0</v>
      </c>
      <c r="BH10" s="105">
        <f t="shared" si="1"/>
        <v>116351.18399999999</v>
      </c>
      <c r="BI10" s="105">
        <f t="shared" si="2"/>
        <v>76329.600000000006</v>
      </c>
    </row>
    <row r="11" spans="1:61" s="35" customFormat="1" ht="39.950000000000003" customHeight="1">
      <c r="A11" s="192">
        <v>44654</v>
      </c>
      <c r="B11" s="34"/>
      <c r="C11" s="77">
        <v>6803855</v>
      </c>
      <c r="D11" s="37">
        <f t="shared" si="3"/>
        <v>145392</v>
      </c>
      <c r="E11" s="104">
        <f t="shared" si="4"/>
        <v>87235.199999999997</v>
      </c>
      <c r="F11" s="103">
        <f t="shared" si="5"/>
        <v>58156.800000000003</v>
      </c>
      <c r="G11" s="77">
        <v>293425</v>
      </c>
      <c r="H11" s="37">
        <f t="shared" si="6"/>
        <v>1344</v>
      </c>
      <c r="I11" s="77">
        <v>178307</v>
      </c>
      <c r="J11" s="37">
        <f t="shared" si="7"/>
        <v>7632</v>
      </c>
      <c r="K11" s="77">
        <v>268401</v>
      </c>
      <c r="L11" s="37">
        <f t="shared" si="0"/>
        <v>384</v>
      </c>
      <c r="M11" s="77">
        <v>25315</v>
      </c>
      <c r="N11" s="37">
        <f t="shared" si="8"/>
        <v>0</v>
      </c>
      <c r="O11" s="77">
        <v>321497</v>
      </c>
      <c r="P11" s="37">
        <f t="shared" si="9"/>
        <v>7488</v>
      </c>
      <c r="Q11" s="77">
        <v>472937</v>
      </c>
      <c r="R11" s="37">
        <f t="shared" si="10"/>
        <v>3456</v>
      </c>
      <c r="S11" s="77">
        <v>758066</v>
      </c>
      <c r="T11" s="37">
        <f t="shared" si="11"/>
        <v>5664</v>
      </c>
      <c r="U11" s="196">
        <v>4313.7849999999999</v>
      </c>
      <c r="V11" s="103">
        <f t="shared" ref="V11:V13" si="29">(+U11-+U10)*48</f>
        <v>759.98399999998219</v>
      </c>
      <c r="W11" s="77">
        <v>84381</v>
      </c>
      <c r="X11" s="37">
        <f t="shared" si="12"/>
        <v>144</v>
      </c>
      <c r="Y11" s="77">
        <v>1518181</v>
      </c>
      <c r="Z11" s="37">
        <f t="shared" si="13"/>
        <v>0</v>
      </c>
      <c r="AA11" s="77">
        <v>13886</v>
      </c>
      <c r="AB11" s="37">
        <f t="shared" si="14"/>
        <v>0</v>
      </c>
      <c r="AC11" s="77">
        <v>494015</v>
      </c>
      <c r="AD11" s="37">
        <f t="shared" si="15"/>
        <v>7104</v>
      </c>
      <c r="AE11" s="77">
        <v>564982</v>
      </c>
      <c r="AF11" s="37">
        <f t="shared" si="15"/>
        <v>6720</v>
      </c>
      <c r="AG11" s="76">
        <v>49787</v>
      </c>
      <c r="AH11" s="37">
        <f t="shared" si="16"/>
        <v>0</v>
      </c>
      <c r="AI11" s="77">
        <v>439430</v>
      </c>
      <c r="AJ11" s="37">
        <f t="shared" si="17"/>
        <v>2016</v>
      </c>
      <c r="AK11" s="77">
        <v>102770</v>
      </c>
      <c r="AL11" s="37">
        <f t="shared" si="18"/>
        <v>0</v>
      </c>
      <c r="AM11" s="77">
        <v>601071</v>
      </c>
      <c r="AN11" s="37">
        <f t="shared" si="19"/>
        <v>6240</v>
      </c>
      <c r="AO11" s="77">
        <v>986983</v>
      </c>
      <c r="AP11" s="37">
        <f t="shared" si="20"/>
        <v>7104</v>
      </c>
      <c r="AQ11" s="77">
        <v>88721</v>
      </c>
      <c r="AR11" s="37">
        <f t="shared" si="21"/>
        <v>0</v>
      </c>
      <c r="AS11" s="77">
        <v>2453</v>
      </c>
      <c r="AT11" s="37">
        <f t="shared" si="22"/>
        <v>0</v>
      </c>
      <c r="AU11" s="77">
        <v>939</v>
      </c>
      <c r="AV11" s="37">
        <f t="shared" si="23"/>
        <v>0</v>
      </c>
      <c r="AW11" s="77">
        <v>3110</v>
      </c>
      <c r="AX11" s="37">
        <f t="shared" si="24"/>
        <v>0</v>
      </c>
      <c r="AY11" s="77">
        <v>342874</v>
      </c>
      <c r="AZ11" s="37">
        <f t="shared" si="25"/>
        <v>5136</v>
      </c>
      <c r="BA11" s="76">
        <v>161101</v>
      </c>
      <c r="BB11" s="37">
        <f t="shared" si="26"/>
        <v>0</v>
      </c>
      <c r="BC11" s="77">
        <v>231824</v>
      </c>
      <c r="BD11" s="37">
        <f t="shared" si="27"/>
        <v>3456</v>
      </c>
      <c r="BE11" s="77">
        <v>5349</v>
      </c>
      <c r="BF11" s="37">
        <f t="shared" si="28"/>
        <v>0</v>
      </c>
      <c r="BH11" s="105">
        <f t="shared" si="1"/>
        <v>129947.18399999998</v>
      </c>
      <c r="BI11" s="105">
        <f t="shared" si="2"/>
        <v>80092.800000000003</v>
      </c>
    </row>
    <row r="12" spans="1:61" s="35" customFormat="1" ht="39.950000000000003" customHeight="1">
      <c r="A12" s="192">
        <v>44655</v>
      </c>
      <c r="B12" s="34"/>
      <c r="C12" s="77">
        <v>6806391</v>
      </c>
      <c r="D12" s="37">
        <f t="shared" si="3"/>
        <v>121728</v>
      </c>
      <c r="E12" s="104">
        <f t="shared" si="4"/>
        <v>73036.800000000003</v>
      </c>
      <c r="F12" s="103">
        <f t="shared" si="5"/>
        <v>48691.200000000004</v>
      </c>
      <c r="G12" s="77">
        <v>293443</v>
      </c>
      <c r="H12" s="37">
        <f t="shared" si="6"/>
        <v>864</v>
      </c>
      <c r="I12" s="77">
        <v>178472</v>
      </c>
      <c r="J12" s="37">
        <f t="shared" si="7"/>
        <v>7920</v>
      </c>
      <c r="K12" s="77">
        <v>268407</v>
      </c>
      <c r="L12" s="37">
        <f t="shared" si="0"/>
        <v>288</v>
      </c>
      <c r="M12" s="77">
        <v>25315</v>
      </c>
      <c r="N12" s="37">
        <f t="shared" si="8"/>
        <v>0</v>
      </c>
      <c r="O12" s="77">
        <v>321644</v>
      </c>
      <c r="P12" s="37">
        <f t="shared" si="9"/>
        <v>7056</v>
      </c>
      <c r="Q12" s="77">
        <v>473004</v>
      </c>
      <c r="R12" s="37">
        <f t="shared" si="10"/>
        <v>3216</v>
      </c>
      <c r="S12" s="77">
        <v>758202</v>
      </c>
      <c r="T12" s="37">
        <f t="shared" si="11"/>
        <v>6528</v>
      </c>
      <c r="U12" s="196">
        <v>4333.857</v>
      </c>
      <c r="V12" s="103">
        <f t="shared" si="29"/>
        <v>963.45600000000559</v>
      </c>
      <c r="W12" s="77">
        <v>84386</v>
      </c>
      <c r="X12" s="37">
        <f t="shared" si="12"/>
        <v>240</v>
      </c>
      <c r="Y12" s="77">
        <v>1518181</v>
      </c>
      <c r="Z12" s="37">
        <f t="shared" si="13"/>
        <v>0</v>
      </c>
      <c r="AA12" s="77">
        <v>13886</v>
      </c>
      <c r="AB12" s="37">
        <f t="shared" si="14"/>
        <v>0</v>
      </c>
      <c r="AC12" s="77">
        <v>494057</v>
      </c>
      <c r="AD12" s="37">
        <f t="shared" si="15"/>
        <v>2016</v>
      </c>
      <c r="AE12" s="77">
        <v>565019</v>
      </c>
      <c r="AF12" s="37">
        <f t="shared" si="15"/>
        <v>1776</v>
      </c>
      <c r="AG12" s="76">
        <v>49787</v>
      </c>
      <c r="AH12" s="37">
        <f t="shared" si="16"/>
        <v>0</v>
      </c>
      <c r="AI12" s="77">
        <v>439489</v>
      </c>
      <c r="AJ12" s="37">
        <f t="shared" si="17"/>
        <v>2832</v>
      </c>
      <c r="AK12" s="77">
        <v>102770</v>
      </c>
      <c r="AL12" s="37">
        <f t="shared" si="18"/>
        <v>0</v>
      </c>
      <c r="AM12" s="77">
        <v>601144</v>
      </c>
      <c r="AN12" s="37">
        <f t="shared" si="19"/>
        <v>3504</v>
      </c>
      <c r="AO12" s="77">
        <v>987037</v>
      </c>
      <c r="AP12" s="37">
        <f t="shared" si="20"/>
        <v>2592</v>
      </c>
      <c r="AQ12" s="77">
        <v>88721</v>
      </c>
      <c r="AR12" s="37">
        <f t="shared" si="21"/>
        <v>0</v>
      </c>
      <c r="AS12" s="77">
        <v>2453</v>
      </c>
      <c r="AT12" s="37">
        <f t="shared" si="22"/>
        <v>0</v>
      </c>
      <c r="AU12" s="77">
        <v>939</v>
      </c>
      <c r="AV12" s="37">
        <f t="shared" si="23"/>
        <v>0</v>
      </c>
      <c r="AW12" s="77">
        <v>3110</v>
      </c>
      <c r="AX12" s="37">
        <f t="shared" si="24"/>
        <v>0</v>
      </c>
      <c r="AY12" s="77">
        <v>342982</v>
      </c>
      <c r="AZ12" s="37">
        <f t="shared" si="25"/>
        <v>5184</v>
      </c>
      <c r="BA12" s="76">
        <v>161101</v>
      </c>
      <c r="BB12" s="37">
        <f t="shared" si="26"/>
        <v>0</v>
      </c>
      <c r="BC12" s="77">
        <v>231894</v>
      </c>
      <c r="BD12" s="37">
        <f t="shared" si="27"/>
        <v>3360</v>
      </c>
      <c r="BE12" s="77">
        <v>5349</v>
      </c>
      <c r="BF12" s="37">
        <f t="shared" si="28"/>
        <v>0</v>
      </c>
      <c r="BH12" s="105">
        <f t="shared" si="1"/>
        <v>106736.25600000001</v>
      </c>
      <c r="BI12" s="105">
        <f t="shared" si="2"/>
        <v>63331.200000000004</v>
      </c>
    </row>
    <row r="13" spans="1:61" s="35" customFormat="1" ht="39.950000000000003" customHeight="1">
      <c r="A13" s="192">
        <v>44656</v>
      </c>
      <c r="B13" s="34"/>
      <c r="C13" s="77">
        <v>6808750</v>
      </c>
      <c r="D13" s="37">
        <f t="shared" si="3"/>
        <v>113232</v>
      </c>
      <c r="E13" s="104">
        <f t="shared" si="4"/>
        <v>67939.199999999997</v>
      </c>
      <c r="F13" s="103">
        <f t="shared" si="5"/>
        <v>45292.800000000003</v>
      </c>
      <c r="G13" s="77">
        <v>293465</v>
      </c>
      <c r="H13" s="37">
        <f t="shared" si="6"/>
        <v>1056</v>
      </c>
      <c r="I13" s="77">
        <v>178635</v>
      </c>
      <c r="J13" s="37">
        <f t="shared" si="7"/>
        <v>7824</v>
      </c>
      <c r="K13" s="77">
        <v>268412</v>
      </c>
      <c r="L13" s="37">
        <f t="shared" si="0"/>
        <v>240</v>
      </c>
      <c r="M13" s="77">
        <v>25315</v>
      </c>
      <c r="N13" s="37">
        <f t="shared" si="8"/>
        <v>0</v>
      </c>
      <c r="O13" s="77">
        <v>321769</v>
      </c>
      <c r="P13" s="37">
        <f t="shared" si="9"/>
        <v>6000</v>
      </c>
      <c r="Q13" s="77">
        <v>473060</v>
      </c>
      <c r="R13" s="37">
        <f t="shared" si="10"/>
        <v>2688</v>
      </c>
      <c r="S13" s="77">
        <v>758348</v>
      </c>
      <c r="T13" s="37">
        <f t="shared" si="11"/>
        <v>7008</v>
      </c>
      <c r="U13" s="196">
        <v>4333.857</v>
      </c>
      <c r="V13" s="103">
        <f t="shared" si="29"/>
        <v>0</v>
      </c>
      <c r="W13" s="77">
        <v>84386</v>
      </c>
      <c r="X13" s="37">
        <f t="shared" si="12"/>
        <v>0</v>
      </c>
      <c r="Y13" s="77">
        <v>1518181</v>
      </c>
      <c r="Z13" s="37">
        <f t="shared" si="13"/>
        <v>0</v>
      </c>
      <c r="AA13" s="77">
        <v>13886</v>
      </c>
      <c r="AB13" s="37">
        <f t="shared" si="14"/>
        <v>0</v>
      </c>
      <c r="AC13" s="77">
        <v>494114</v>
      </c>
      <c r="AD13" s="37">
        <f t="shared" si="15"/>
        <v>2736</v>
      </c>
      <c r="AE13" s="77">
        <v>565067</v>
      </c>
      <c r="AF13" s="37">
        <f t="shared" si="15"/>
        <v>2304</v>
      </c>
      <c r="AG13" s="77">
        <v>49787</v>
      </c>
      <c r="AH13" s="37">
        <f t="shared" si="16"/>
        <v>0</v>
      </c>
      <c r="AI13" s="77">
        <v>439556</v>
      </c>
      <c r="AJ13" s="37">
        <f t="shared" si="17"/>
        <v>3216</v>
      </c>
      <c r="AK13" s="77">
        <v>102770</v>
      </c>
      <c r="AL13" s="37">
        <f t="shared" si="18"/>
        <v>0</v>
      </c>
      <c r="AM13" s="77">
        <v>601223</v>
      </c>
      <c r="AN13" s="37">
        <f t="shared" si="19"/>
        <v>3792</v>
      </c>
      <c r="AO13" s="77">
        <v>987111</v>
      </c>
      <c r="AP13" s="37">
        <f t="shared" si="20"/>
        <v>3552</v>
      </c>
      <c r="AQ13" s="77">
        <v>88721</v>
      </c>
      <c r="AR13" s="37">
        <f t="shared" si="21"/>
        <v>0</v>
      </c>
      <c r="AS13" s="77">
        <v>2453</v>
      </c>
      <c r="AT13" s="37">
        <f t="shared" si="22"/>
        <v>0</v>
      </c>
      <c r="AU13" s="77">
        <v>939</v>
      </c>
      <c r="AV13" s="37">
        <f t="shared" si="23"/>
        <v>0</v>
      </c>
      <c r="AW13" s="77">
        <v>3110</v>
      </c>
      <c r="AX13" s="37">
        <f t="shared" si="24"/>
        <v>0</v>
      </c>
      <c r="AY13" s="77">
        <v>343095</v>
      </c>
      <c r="AZ13" s="37">
        <f t="shared" si="25"/>
        <v>5424</v>
      </c>
      <c r="BA13" s="76">
        <v>161101</v>
      </c>
      <c r="BB13" s="37">
        <f t="shared" si="26"/>
        <v>0</v>
      </c>
      <c r="BC13" s="77">
        <v>231970</v>
      </c>
      <c r="BD13" s="37">
        <f t="shared" si="27"/>
        <v>3648</v>
      </c>
      <c r="BE13" s="77">
        <v>5349</v>
      </c>
      <c r="BF13" s="37">
        <f t="shared" si="28"/>
        <v>0</v>
      </c>
      <c r="BH13" s="105">
        <f t="shared" si="1"/>
        <v>101011.2</v>
      </c>
      <c r="BI13" s="105">
        <f t="shared" si="2"/>
        <v>61708.800000000003</v>
      </c>
    </row>
    <row r="14" spans="1:61" s="35" customFormat="1" ht="39.950000000000003" customHeight="1">
      <c r="A14" s="192">
        <v>44657</v>
      </c>
      <c r="B14" s="34"/>
      <c r="C14" s="77">
        <v>6810548</v>
      </c>
      <c r="D14" s="37">
        <f t="shared" si="3"/>
        <v>86304</v>
      </c>
      <c r="E14" s="104">
        <f t="shared" si="4"/>
        <v>51782.400000000001</v>
      </c>
      <c r="F14" s="103">
        <f t="shared" si="5"/>
        <v>34521.599999999999</v>
      </c>
      <c r="G14" s="77">
        <v>293485</v>
      </c>
      <c r="H14" s="37">
        <f t="shared" si="6"/>
        <v>960</v>
      </c>
      <c r="I14" s="77">
        <v>178800</v>
      </c>
      <c r="J14" s="37">
        <f t="shared" si="7"/>
        <v>7920</v>
      </c>
      <c r="K14" s="77">
        <v>268416</v>
      </c>
      <c r="L14" s="37">
        <f t="shared" si="0"/>
        <v>192</v>
      </c>
      <c r="M14" s="77">
        <v>25315</v>
      </c>
      <c r="N14" s="37">
        <f t="shared" si="8"/>
        <v>0</v>
      </c>
      <c r="O14" s="77">
        <v>321914</v>
      </c>
      <c r="P14" s="37">
        <f t="shared" si="9"/>
        <v>6960</v>
      </c>
      <c r="Q14" s="77">
        <v>473128</v>
      </c>
      <c r="R14" s="37">
        <f t="shared" si="10"/>
        <v>3264</v>
      </c>
      <c r="S14" s="77">
        <v>758473</v>
      </c>
      <c r="T14" s="37">
        <f t="shared" si="11"/>
        <v>6000</v>
      </c>
      <c r="U14" s="196">
        <v>4333.857</v>
      </c>
      <c r="V14" s="103">
        <f>(+U14-+U13)*48</f>
        <v>0</v>
      </c>
      <c r="W14" s="77">
        <v>84391</v>
      </c>
      <c r="X14" s="37">
        <f t="shared" si="12"/>
        <v>240</v>
      </c>
      <c r="Y14" s="77">
        <v>1518181</v>
      </c>
      <c r="Z14" s="37">
        <f t="shared" si="13"/>
        <v>0</v>
      </c>
      <c r="AA14" s="77">
        <v>13886</v>
      </c>
      <c r="AB14" s="37">
        <f t="shared" si="14"/>
        <v>0</v>
      </c>
      <c r="AC14" s="77">
        <v>494255</v>
      </c>
      <c r="AD14" s="37">
        <f t="shared" si="15"/>
        <v>6768</v>
      </c>
      <c r="AE14" s="77">
        <v>565192</v>
      </c>
      <c r="AF14" s="37">
        <f t="shared" si="15"/>
        <v>6000</v>
      </c>
      <c r="AG14" s="77">
        <v>49787</v>
      </c>
      <c r="AH14" s="37">
        <f t="shared" si="16"/>
        <v>0</v>
      </c>
      <c r="AI14" s="77">
        <v>439644</v>
      </c>
      <c r="AJ14" s="37">
        <f t="shared" si="17"/>
        <v>4224</v>
      </c>
      <c r="AK14" s="77">
        <v>102770</v>
      </c>
      <c r="AL14" s="37">
        <f t="shared" si="18"/>
        <v>0</v>
      </c>
      <c r="AM14" s="77">
        <v>601323</v>
      </c>
      <c r="AN14" s="37">
        <f t="shared" si="19"/>
        <v>4800</v>
      </c>
      <c r="AO14" s="77">
        <v>987275</v>
      </c>
      <c r="AP14" s="37">
        <f t="shared" si="20"/>
        <v>7872</v>
      </c>
      <c r="AQ14" s="77">
        <v>88721</v>
      </c>
      <c r="AR14" s="37">
        <f t="shared" si="21"/>
        <v>0</v>
      </c>
      <c r="AS14" s="77">
        <v>2453</v>
      </c>
      <c r="AT14" s="37">
        <f t="shared" si="22"/>
        <v>0</v>
      </c>
      <c r="AU14" s="77">
        <v>939</v>
      </c>
      <c r="AV14" s="37">
        <f t="shared" si="23"/>
        <v>0</v>
      </c>
      <c r="AW14" s="77">
        <v>3110</v>
      </c>
      <c r="AX14" s="37">
        <f t="shared" si="24"/>
        <v>0</v>
      </c>
      <c r="AY14" s="77">
        <v>343198</v>
      </c>
      <c r="AZ14" s="37">
        <f t="shared" si="25"/>
        <v>4944</v>
      </c>
      <c r="BA14" s="76">
        <v>161101</v>
      </c>
      <c r="BB14" s="37">
        <f t="shared" si="26"/>
        <v>0</v>
      </c>
      <c r="BC14" s="77">
        <v>232040</v>
      </c>
      <c r="BD14" s="37">
        <f t="shared" si="27"/>
        <v>3360</v>
      </c>
      <c r="BE14" s="77">
        <v>5349</v>
      </c>
      <c r="BF14" s="37">
        <f t="shared" si="28"/>
        <v>0</v>
      </c>
      <c r="BH14" s="105">
        <f t="shared" si="1"/>
        <v>94310.399999999994</v>
      </c>
      <c r="BI14" s="105">
        <f t="shared" si="2"/>
        <v>55497.599999999999</v>
      </c>
    </row>
    <row r="15" spans="1:61" s="35" customFormat="1" ht="39.950000000000003" customHeight="1">
      <c r="A15" s="192">
        <v>44658</v>
      </c>
      <c r="B15" s="34"/>
      <c r="C15" s="77">
        <v>6812398</v>
      </c>
      <c r="D15" s="37">
        <f t="shared" si="3"/>
        <v>88800</v>
      </c>
      <c r="E15" s="104">
        <f t="shared" si="4"/>
        <v>53280</v>
      </c>
      <c r="F15" s="103">
        <f t="shared" si="5"/>
        <v>35520</v>
      </c>
      <c r="G15" s="77">
        <v>293519</v>
      </c>
      <c r="H15" s="37">
        <f t="shared" si="6"/>
        <v>1632</v>
      </c>
      <c r="I15" s="77">
        <v>178966</v>
      </c>
      <c r="J15" s="37">
        <f t="shared" si="7"/>
        <v>7968</v>
      </c>
      <c r="K15" s="77">
        <v>268417</v>
      </c>
      <c r="L15" s="37">
        <f t="shared" si="0"/>
        <v>48</v>
      </c>
      <c r="M15" s="77">
        <v>25315</v>
      </c>
      <c r="N15" s="37">
        <f t="shared" si="8"/>
        <v>0</v>
      </c>
      <c r="O15" s="77">
        <v>322047</v>
      </c>
      <c r="P15" s="37">
        <f t="shared" si="9"/>
        <v>6384</v>
      </c>
      <c r="Q15" s="77">
        <v>473144</v>
      </c>
      <c r="R15" s="37">
        <f t="shared" si="10"/>
        <v>768</v>
      </c>
      <c r="S15" s="77">
        <v>758592</v>
      </c>
      <c r="T15" s="37">
        <f t="shared" si="11"/>
        <v>5712</v>
      </c>
      <c r="U15" s="196">
        <v>4333.857</v>
      </c>
      <c r="V15" s="103">
        <f t="shared" ref="V15:V37" si="30">(+U15-+U14)*48</f>
        <v>0</v>
      </c>
      <c r="W15" s="77">
        <v>84394</v>
      </c>
      <c r="X15" s="37">
        <f t="shared" si="12"/>
        <v>144</v>
      </c>
      <c r="Y15" s="77">
        <v>1518181</v>
      </c>
      <c r="Z15" s="37">
        <f t="shared" si="13"/>
        <v>0</v>
      </c>
      <c r="AA15" s="77">
        <v>13886</v>
      </c>
      <c r="AB15" s="37">
        <f t="shared" si="14"/>
        <v>0</v>
      </c>
      <c r="AC15" s="77">
        <v>494411</v>
      </c>
      <c r="AD15" s="37">
        <f t="shared" si="15"/>
        <v>7488</v>
      </c>
      <c r="AE15" s="77">
        <v>565336</v>
      </c>
      <c r="AF15" s="37">
        <f t="shared" si="15"/>
        <v>6912</v>
      </c>
      <c r="AG15" s="77">
        <v>49787</v>
      </c>
      <c r="AH15" s="37">
        <f t="shared" si="16"/>
        <v>0</v>
      </c>
      <c r="AI15" s="77">
        <v>439736</v>
      </c>
      <c r="AJ15" s="37">
        <f t="shared" si="17"/>
        <v>4416</v>
      </c>
      <c r="AK15" s="77">
        <v>102770</v>
      </c>
      <c r="AL15" s="37">
        <f t="shared" si="18"/>
        <v>0</v>
      </c>
      <c r="AM15" s="77">
        <v>601440</v>
      </c>
      <c r="AN15" s="37">
        <f t="shared" si="19"/>
        <v>5616</v>
      </c>
      <c r="AO15" s="77">
        <v>987480</v>
      </c>
      <c r="AP15" s="37">
        <f t="shared" si="20"/>
        <v>9840</v>
      </c>
      <c r="AQ15" s="77">
        <v>88721</v>
      </c>
      <c r="AR15" s="37">
        <f t="shared" si="21"/>
        <v>0</v>
      </c>
      <c r="AS15" s="77">
        <v>2453</v>
      </c>
      <c r="AT15" s="37">
        <f t="shared" si="22"/>
        <v>0</v>
      </c>
      <c r="AU15" s="77">
        <v>939</v>
      </c>
      <c r="AV15" s="37">
        <f t="shared" si="23"/>
        <v>0</v>
      </c>
      <c r="AW15" s="77">
        <v>3110</v>
      </c>
      <c r="AX15" s="37">
        <f t="shared" si="24"/>
        <v>0</v>
      </c>
      <c r="AY15" s="77">
        <v>343300</v>
      </c>
      <c r="AZ15" s="37">
        <f t="shared" si="25"/>
        <v>4896</v>
      </c>
      <c r="BA15" s="76">
        <v>161101</v>
      </c>
      <c r="BB15" s="37">
        <f t="shared" si="26"/>
        <v>0</v>
      </c>
      <c r="BC15" s="77">
        <v>232117</v>
      </c>
      <c r="BD15" s="37">
        <f t="shared" si="27"/>
        <v>3696</v>
      </c>
      <c r="BE15" s="77">
        <v>5349</v>
      </c>
      <c r="BF15" s="37">
        <f t="shared" si="28"/>
        <v>0</v>
      </c>
      <c r="BH15" s="105">
        <f t="shared" si="1"/>
        <v>94752</v>
      </c>
      <c r="BI15" s="105">
        <f t="shared" si="2"/>
        <v>59568</v>
      </c>
    </row>
    <row r="16" spans="1:61" s="35" customFormat="1" ht="39.950000000000003" customHeight="1">
      <c r="A16" s="192">
        <v>44659</v>
      </c>
      <c r="B16" s="34"/>
      <c r="C16" s="77">
        <v>6814066</v>
      </c>
      <c r="D16" s="37">
        <f t="shared" si="3"/>
        <v>80064</v>
      </c>
      <c r="E16" s="104">
        <f t="shared" si="4"/>
        <v>48038.400000000001</v>
      </c>
      <c r="F16" s="103">
        <f t="shared" si="5"/>
        <v>32025.600000000002</v>
      </c>
      <c r="G16" s="77">
        <v>293550</v>
      </c>
      <c r="H16" s="37">
        <f t="shared" si="6"/>
        <v>1488</v>
      </c>
      <c r="I16" s="77">
        <v>179138</v>
      </c>
      <c r="J16" s="37">
        <f t="shared" si="7"/>
        <v>8256</v>
      </c>
      <c r="K16" s="77">
        <v>268417</v>
      </c>
      <c r="L16" s="37">
        <f t="shared" si="0"/>
        <v>0</v>
      </c>
      <c r="M16" s="77">
        <v>25315</v>
      </c>
      <c r="N16" s="37">
        <f t="shared" si="8"/>
        <v>0</v>
      </c>
      <c r="O16" s="77">
        <v>322182</v>
      </c>
      <c r="P16" s="37">
        <f t="shared" si="9"/>
        <v>6480</v>
      </c>
      <c r="Q16" s="77">
        <v>473168</v>
      </c>
      <c r="R16" s="37">
        <f t="shared" si="10"/>
        <v>1152</v>
      </c>
      <c r="S16" s="77">
        <v>758709</v>
      </c>
      <c r="T16" s="37">
        <f t="shared" si="11"/>
        <v>5616</v>
      </c>
      <c r="U16" s="196">
        <v>4351.3999999999996</v>
      </c>
      <c r="V16" s="103">
        <f t="shared" si="30"/>
        <v>842.06399999998393</v>
      </c>
      <c r="W16" s="77">
        <v>84398</v>
      </c>
      <c r="X16" s="37">
        <f t="shared" si="12"/>
        <v>192</v>
      </c>
      <c r="Y16" s="77">
        <v>1518181</v>
      </c>
      <c r="Z16" s="37">
        <f t="shared" si="13"/>
        <v>0</v>
      </c>
      <c r="AA16" s="77">
        <v>13886</v>
      </c>
      <c r="AB16" s="37">
        <f t="shared" si="14"/>
        <v>0</v>
      </c>
      <c r="AC16" s="77">
        <v>494581</v>
      </c>
      <c r="AD16" s="37">
        <f t="shared" si="15"/>
        <v>8160</v>
      </c>
      <c r="AE16" s="77">
        <v>565484</v>
      </c>
      <c r="AF16" s="37">
        <f t="shared" si="15"/>
        <v>7104</v>
      </c>
      <c r="AG16" s="77">
        <v>49787</v>
      </c>
      <c r="AH16" s="37">
        <f>(+AG16-+AG15)*48</f>
        <v>0</v>
      </c>
      <c r="AI16" s="77">
        <v>439842</v>
      </c>
      <c r="AJ16" s="37">
        <f t="shared" si="17"/>
        <v>5088</v>
      </c>
      <c r="AK16" s="77">
        <v>102770</v>
      </c>
      <c r="AL16" s="37">
        <f t="shared" si="18"/>
        <v>0</v>
      </c>
      <c r="AM16" s="77">
        <v>601556</v>
      </c>
      <c r="AN16" s="37">
        <f t="shared" si="19"/>
        <v>5568</v>
      </c>
      <c r="AO16" s="77">
        <v>987697</v>
      </c>
      <c r="AP16" s="37">
        <f t="shared" si="20"/>
        <v>10416</v>
      </c>
      <c r="AQ16" s="77">
        <v>88721</v>
      </c>
      <c r="AR16" s="37">
        <f t="shared" si="21"/>
        <v>0</v>
      </c>
      <c r="AS16" s="77">
        <v>2453</v>
      </c>
      <c r="AT16" s="37">
        <f t="shared" si="22"/>
        <v>0</v>
      </c>
      <c r="AU16" s="77">
        <v>939</v>
      </c>
      <c r="AV16" s="37">
        <f t="shared" si="23"/>
        <v>0</v>
      </c>
      <c r="AW16" s="77">
        <v>3110</v>
      </c>
      <c r="AX16" s="37">
        <f t="shared" si="24"/>
        <v>0</v>
      </c>
      <c r="AY16" s="77">
        <v>343403</v>
      </c>
      <c r="AZ16" s="37">
        <f t="shared" si="25"/>
        <v>4944</v>
      </c>
      <c r="BA16" s="76">
        <v>161101</v>
      </c>
      <c r="BB16" s="37">
        <f t="shared" si="26"/>
        <v>0</v>
      </c>
      <c r="BC16" s="77">
        <v>232188</v>
      </c>
      <c r="BD16" s="37">
        <f t="shared" si="27"/>
        <v>3408</v>
      </c>
      <c r="BE16" s="77">
        <v>5349</v>
      </c>
      <c r="BF16" s="37">
        <f t="shared" si="28"/>
        <v>0</v>
      </c>
      <c r="BH16" s="105">
        <f t="shared" si="1"/>
        <v>92416.463999999978</v>
      </c>
      <c r="BI16" s="105">
        <f t="shared" si="2"/>
        <v>56361.600000000006</v>
      </c>
    </row>
    <row r="17" spans="1:61" s="35" customFormat="1" ht="39.950000000000003" customHeight="1">
      <c r="A17" s="192">
        <v>44660</v>
      </c>
      <c r="B17" s="34"/>
      <c r="C17" s="77">
        <v>6816051</v>
      </c>
      <c r="D17" s="37">
        <f t="shared" si="3"/>
        <v>95280</v>
      </c>
      <c r="E17" s="104">
        <f t="shared" si="4"/>
        <v>57168</v>
      </c>
      <c r="F17" s="103">
        <f t="shared" si="5"/>
        <v>38112</v>
      </c>
      <c r="G17" s="77">
        <v>293578</v>
      </c>
      <c r="H17" s="37">
        <f t="shared" si="6"/>
        <v>1344</v>
      </c>
      <c r="I17" s="77">
        <v>179318</v>
      </c>
      <c r="J17" s="37">
        <f t="shared" si="7"/>
        <v>8640</v>
      </c>
      <c r="K17" s="77">
        <v>268430</v>
      </c>
      <c r="L17" s="37">
        <f t="shared" si="0"/>
        <v>624</v>
      </c>
      <c r="M17" s="77">
        <v>25315</v>
      </c>
      <c r="N17" s="37">
        <f t="shared" si="8"/>
        <v>0</v>
      </c>
      <c r="O17" s="77">
        <v>322308</v>
      </c>
      <c r="P17" s="37">
        <f t="shared" si="9"/>
        <v>6048</v>
      </c>
      <c r="Q17" s="77">
        <v>473220</v>
      </c>
      <c r="R17" s="37">
        <f t="shared" si="10"/>
        <v>2496</v>
      </c>
      <c r="S17" s="77">
        <v>758801</v>
      </c>
      <c r="T17" s="37">
        <f t="shared" si="11"/>
        <v>4416</v>
      </c>
      <c r="U17" s="196">
        <v>4371.55</v>
      </c>
      <c r="V17" s="103">
        <f t="shared" si="30"/>
        <v>967.20000000002619</v>
      </c>
      <c r="W17" s="77">
        <v>84401</v>
      </c>
      <c r="X17" s="37">
        <f t="shared" si="12"/>
        <v>144</v>
      </c>
      <c r="Y17" s="77">
        <v>1518181</v>
      </c>
      <c r="Z17" s="37">
        <f t="shared" si="13"/>
        <v>0</v>
      </c>
      <c r="AA17" s="77">
        <v>13886</v>
      </c>
      <c r="AB17" s="37">
        <f t="shared" si="14"/>
        <v>0</v>
      </c>
      <c r="AC17" s="77">
        <v>494639</v>
      </c>
      <c r="AD17" s="37">
        <f t="shared" si="15"/>
        <v>2784</v>
      </c>
      <c r="AE17" s="77">
        <v>565484</v>
      </c>
      <c r="AF17" s="37">
        <f t="shared" si="15"/>
        <v>0</v>
      </c>
      <c r="AG17" s="77">
        <v>49787</v>
      </c>
      <c r="AH17" s="37">
        <f>(+AG17-+AG16)*48</f>
        <v>0</v>
      </c>
      <c r="AI17" s="77">
        <v>439939</v>
      </c>
      <c r="AJ17" s="37">
        <f t="shared" si="17"/>
        <v>4656</v>
      </c>
      <c r="AK17" s="77">
        <v>102770</v>
      </c>
      <c r="AL17" s="37">
        <f t="shared" si="18"/>
        <v>0</v>
      </c>
      <c r="AM17" s="77">
        <v>601625</v>
      </c>
      <c r="AN17" s="37">
        <f t="shared" si="19"/>
        <v>3312</v>
      </c>
      <c r="AO17" s="77">
        <v>987780</v>
      </c>
      <c r="AP17" s="37">
        <f t="shared" si="20"/>
        <v>3984</v>
      </c>
      <c r="AQ17" s="77">
        <v>88721</v>
      </c>
      <c r="AR17" s="37">
        <f t="shared" si="21"/>
        <v>0</v>
      </c>
      <c r="AS17" s="77">
        <v>2453</v>
      </c>
      <c r="AT17" s="37">
        <f t="shared" si="22"/>
        <v>0</v>
      </c>
      <c r="AU17" s="77">
        <v>939</v>
      </c>
      <c r="AV17" s="37">
        <f t="shared" si="23"/>
        <v>0</v>
      </c>
      <c r="AW17" s="77">
        <v>3110</v>
      </c>
      <c r="AX17" s="37">
        <f t="shared" si="24"/>
        <v>0</v>
      </c>
      <c r="AY17" s="77">
        <v>343506</v>
      </c>
      <c r="AZ17" s="37">
        <f t="shared" si="25"/>
        <v>4944</v>
      </c>
      <c r="BA17" s="76">
        <v>161101</v>
      </c>
      <c r="BB17" s="37">
        <f t="shared" si="26"/>
        <v>0</v>
      </c>
      <c r="BC17" s="77">
        <v>232260</v>
      </c>
      <c r="BD17" s="37">
        <f t="shared" si="27"/>
        <v>3456</v>
      </c>
      <c r="BE17" s="77">
        <v>5349</v>
      </c>
      <c r="BF17" s="37">
        <f t="shared" si="28"/>
        <v>0</v>
      </c>
      <c r="BH17" s="105">
        <f t="shared" si="1"/>
        <v>89287.200000000026</v>
      </c>
      <c r="BI17" s="105">
        <f t="shared" si="2"/>
        <v>53808</v>
      </c>
    </row>
    <row r="18" spans="1:61" s="35" customFormat="1" ht="39.950000000000003" customHeight="1">
      <c r="A18" s="192">
        <v>44661</v>
      </c>
      <c r="B18" s="34"/>
      <c r="C18" s="77">
        <v>6817800</v>
      </c>
      <c r="D18" s="37">
        <f t="shared" si="3"/>
        <v>83952</v>
      </c>
      <c r="E18" s="104">
        <f t="shared" si="4"/>
        <v>50371.199999999997</v>
      </c>
      <c r="F18" s="103">
        <f t="shared" si="5"/>
        <v>33580.800000000003</v>
      </c>
      <c r="G18" s="77">
        <v>293611</v>
      </c>
      <c r="H18" s="37">
        <f t="shared" si="6"/>
        <v>1584</v>
      </c>
      <c r="I18" s="77">
        <v>179488</v>
      </c>
      <c r="J18" s="37">
        <f t="shared" si="7"/>
        <v>8160</v>
      </c>
      <c r="K18" s="77">
        <v>268442</v>
      </c>
      <c r="L18" s="37">
        <f t="shared" si="0"/>
        <v>576</v>
      </c>
      <c r="M18" s="77">
        <v>25315</v>
      </c>
      <c r="N18" s="37">
        <f t="shared" si="8"/>
        <v>0</v>
      </c>
      <c r="O18" s="77">
        <v>322451</v>
      </c>
      <c r="P18" s="37">
        <f t="shared" si="9"/>
        <v>6864</v>
      </c>
      <c r="Q18" s="77">
        <v>473307</v>
      </c>
      <c r="R18" s="37">
        <f t="shared" si="10"/>
        <v>4176</v>
      </c>
      <c r="S18" s="77">
        <v>758936</v>
      </c>
      <c r="T18" s="37">
        <f t="shared" si="11"/>
        <v>6480</v>
      </c>
      <c r="U18" s="196">
        <v>4390.5</v>
      </c>
      <c r="V18" s="103">
        <f t="shared" si="30"/>
        <v>909.59999999999127</v>
      </c>
      <c r="W18" s="77">
        <v>84407</v>
      </c>
      <c r="X18" s="37">
        <f t="shared" si="12"/>
        <v>288</v>
      </c>
      <c r="Y18" s="77">
        <v>1518181</v>
      </c>
      <c r="Z18" s="37">
        <f t="shared" si="13"/>
        <v>0</v>
      </c>
      <c r="AA18" s="77">
        <v>13886</v>
      </c>
      <c r="AB18" s="37">
        <f t="shared" si="14"/>
        <v>0</v>
      </c>
      <c r="AC18" s="77">
        <v>494794</v>
      </c>
      <c r="AD18" s="37">
        <f t="shared" si="15"/>
        <v>7440</v>
      </c>
      <c r="AE18" s="77">
        <v>565687</v>
      </c>
      <c r="AF18" s="37">
        <f t="shared" si="15"/>
        <v>9744</v>
      </c>
      <c r="AG18" s="77">
        <v>49787</v>
      </c>
      <c r="AH18" s="37">
        <f>(+AG18-+AG17)*48</f>
        <v>0</v>
      </c>
      <c r="AI18" s="77">
        <v>440045</v>
      </c>
      <c r="AJ18" s="37">
        <f t="shared" si="17"/>
        <v>5088</v>
      </c>
      <c r="AK18" s="77">
        <v>102770</v>
      </c>
      <c r="AL18" s="37">
        <f t="shared" si="18"/>
        <v>0</v>
      </c>
      <c r="AM18" s="77">
        <v>601733</v>
      </c>
      <c r="AN18" s="37">
        <f t="shared" si="19"/>
        <v>5184</v>
      </c>
      <c r="AO18" s="77">
        <v>987967</v>
      </c>
      <c r="AP18" s="37">
        <f t="shared" si="20"/>
        <v>8976</v>
      </c>
      <c r="AQ18" s="77">
        <v>88721</v>
      </c>
      <c r="AR18" s="37">
        <f t="shared" si="21"/>
        <v>0</v>
      </c>
      <c r="AS18" s="77">
        <v>2453</v>
      </c>
      <c r="AT18" s="37">
        <f t="shared" si="22"/>
        <v>0</v>
      </c>
      <c r="AU18" s="77">
        <v>939</v>
      </c>
      <c r="AV18" s="37">
        <f t="shared" si="23"/>
        <v>0</v>
      </c>
      <c r="AW18" s="77">
        <v>3110</v>
      </c>
      <c r="AX18" s="37">
        <f t="shared" si="24"/>
        <v>0</v>
      </c>
      <c r="AY18" s="77">
        <v>343611</v>
      </c>
      <c r="AZ18" s="37">
        <f t="shared" si="25"/>
        <v>5040</v>
      </c>
      <c r="BA18" s="76">
        <v>161101</v>
      </c>
      <c r="BB18" s="37">
        <f t="shared" si="26"/>
        <v>0</v>
      </c>
      <c r="BC18" s="77">
        <v>232331</v>
      </c>
      <c r="BD18" s="37">
        <f t="shared" si="27"/>
        <v>3408</v>
      </c>
      <c r="BE18" s="77">
        <v>5349</v>
      </c>
      <c r="BF18" s="37">
        <f t="shared" si="28"/>
        <v>0</v>
      </c>
      <c r="BH18" s="105">
        <f t="shared" si="1"/>
        <v>101680.79999999999</v>
      </c>
      <c r="BI18" s="105">
        <f t="shared" si="2"/>
        <v>56188.800000000003</v>
      </c>
    </row>
    <row r="19" spans="1:61" s="35" customFormat="1" ht="39.950000000000003" customHeight="1">
      <c r="A19" s="192">
        <v>44662</v>
      </c>
      <c r="B19" s="34"/>
      <c r="C19" s="77">
        <v>6819876</v>
      </c>
      <c r="D19" s="37">
        <f t="shared" si="3"/>
        <v>99648</v>
      </c>
      <c r="E19" s="104">
        <f t="shared" si="4"/>
        <v>59788.799999999996</v>
      </c>
      <c r="F19" s="103">
        <f t="shared" si="5"/>
        <v>39859.200000000004</v>
      </c>
      <c r="G19" s="77">
        <v>293638</v>
      </c>
      <c r="H19" s="37">
        <f t="shared" si="6"/>
        <v>1296</v>
      </c>
      <c r="I19" s="77">
        <v>179661</v>
      </c>
      <c r="J19" s="37">
        <f t="shared" si="7"/>
        <v>8304</v>
      </c>
      <c r="K19" s="77">
        <v>268454</v>
      </c>
      <c r="L19" s="37">
        <f t="shared" si="0"/>
        <v>576</v>
      </c>
      <c r="M19" s="77">
        <v>25315</v>
      </c>
      <c r="N19" s="37">
        <f t="shared" si="8"/>
        <v>0</v>
      </c>
      <c r="O19" s="77">
        <v>322595</v>
      </c>
      <c r="P19" s="37">
        <f t="shared" si="9"/>
        <v>6912</v>
      </c>
      <c r="Q19" s="77">
        <v>473407</v>
      </c>
      <c r="R19" s="37">
        <f t="shared" si="10"/>
        <v>4800</v>
      </c>
      <c r="S19" s="77">
        <v>759056</v>
      </c>
      <c r="T19" s="37">
        <f t="shared" si="11"/>
        <v>5760</v>
      </c>
      <c r="U19" s="196">
        <v>4410.0559999999996</v>
      </c>
      <c r="V19" s="103">
        <f t="shared" si="30"/>
        <v>938.68799999998009</v>
      </c>
      <c r="W19" s="77">
        <v>84411</v>
      </c>
      <c r="X19" s="37">
        <f t="shared" si="12"/>
        <v>192</v>
      </c>
      <c r="Y19" s="77">
        <v>1518181</v>
      </c>
      <c r="Z19" s="37">
        <f t="shared" si="13"/>
        <v>0</v>
      </c>
      <c r="AA19" s="77">
        <v>13886</v>
      </c>
      <c r="AB19" s="37">
        <f t="shared" si="14"/>
        <v>0</v>
      </c>
      <c r="AC19" s="77">
        <v>494953</v>
      </c>
      <c r="AD19" s="37">
        <f t="shared" si="15"/>
        <v>7632</v>
      </c>
      <c r="AE19" s="77">
        <v>565837</v>
      </c>
      <c r="AF19" s="37">
        <f t="shared" si="15"/>
        <v>7200</v>
      </c>
      <c r="AG19" s="77">
        <v>49787</v>
      </c>
      <c r="AH19" s="37">
        <f>(+AG19-+AG18)*48</f>
        <v>0</v>
      </c>
      <c r="AI19" s="77">
        <v>440165</v>
      </c>
      <c r="AJ19" s="37">
        <f t="shared" si="17"/>
        <v>5760</v>
      </c>
      <c r="AK19" s="77">
        <v>102770</v>
      </c>
      <c r="AL19" s="37">
        <f t="shared" si="18"/>
        <v>0</v>
      </c>
      <c r="AM19" s="77">
        <v>601847</v>
      </c>
      <c r="AN19" s="37">
        <f t="shared" si="19"/>
        <v>5472</v>
      </c>
      <c r="AO19" s="77">
        <v>987143</v>
      </c>
      <c r="AP19" s="37">
        <f t="shared" si="20"/>
        <v>-39552</v>
      </c>
      <c r="AQ19" s="77">
        <v>88721</v>
      </c>
      <c r="AR19" s="37">
        <f t="shared" si="21"/>
        <v>0</v>
      </c>
      <c r="AS19" s="77">
        <v>2453</v>
      </c>
      <c r="AT19" s="37">
        <f t="shared" si="22"/>
        <v>0</v>
      </c>
      <c r="AU19" s="77">
        <v>939</v>
      </c>
      <c r="AV19" s="37">
        <f t="shared" si="23"/>
        <v>0</v>
      </c>
      <c r="AW19" s="77">
        <v>3110</v>
      </c>
      <c r="AX19" s="37">
        <f t="shared" si="24"/>
        <v>0</v>
      </c>
      <c r="AY19" s="77">
        <v>343714</v>
      </c>
      <c r="AZ19" s="37">
        <f t="shared" si="25"/>
        <v>4944</v>
      </c>
      <c r="BA19" s="76">
        <v>161101</v>
      </c>
      <c r="BB19" s="37">
        <f t="shared" si="26"/>
        <v>0</v>
      </c>
      <c r="BC19" s="77">
        <v>232403</v>
      </c>
      <c r="BD19" s="37">
        <f t="shared" si="27"/>
        <v>3456</v>
      </c>
      <c r="BE19" s="77">
        <v>5349</v>
      </c>
      <c r="BF19" s="37">
        <f t="shared" si="28"/>
        <v>0</v>
      </c>
      <c r="BH19" s="166">
        <f t="shared" si="1"/>
        <v>109159.48799999997</v>
      </c>
      <c r="BI19" s="166">
        <f t="shared" si="2"/>
        <v>14179.200000000004</v>
      </c>
    </row>
    <row r="20" spans="1:61" s="35" customFormat="1" ht="39.950000000000003" customHeight="1">
      <c r="A20" s="192">
        <v>44663</v>
      </c>
      <c r="B20" s="34"/>
      <c r="C20" s="77">
        <v>6821940</v>
      </c>
      <c r="D20" s="37">
        <f t="shared" si="3"/>
        <v>99072</v>
      </c>
      <c r="E20" s="104">
        <f t="shared" si="4"/>
        <v>59443.199999999997</v>
      </c>
      <c r="F20" s="103">
        <f t="shared" si="5"/>
        <v>39628.800000000003</v>
      </c>
      <c r="G20" s="77">
        <v>293668</v>
      </c>
      <c r="H20" s="37">
        <f t="shared" si="6"/>
        <v>1440</v>
      </c>
      <c r="I20" s="77">
        <v>179836</v>
      </c>
      <c r="J20" s="37">
        <f t="shared" si="7"/>
        <v>8400</v>
      </c>
      <c r="K20" s="77">
        <v>268465</v>
      </c>
      <c r="L20" s="37">
        <f t="shared" si="0"/>
        <v>528</v>
      </c>
      <c r="M20" s="77">
        <v>25315</v>
      </c>
      <c r="N20" s="37">
        <f t="shared" si="8"/>
        <v>0</v>
      </c>
      <c r="O20" s="77">
        <v>322726</v>
      </c>
      <c r="P20" s="37">
        <f t="shared" si="9"/>
        <v>6288</v>
      </c>
      <c r="Q20" s="77">
        <v>473459</v>
      </c>
      <c r="R20" s="37">
        <f t="shared" si="10"/>
        <v>2496</v>
      </c>
      <c r="S20" s="77">
        <v>759184</v>
      </c>
      <c r="T20" s="37">
        <f t="shared" si="11"/>
        <v>6144</v>
      </c>
      <c r="U20" s="196">
        <v>4411.03</v>
      </c>
      <c r="V20" s="103">
        <f t="shared" si="30"/>
        <v>46.752000000007683</v>
      </c>
      <c r="W20" s="77">
        <v>84411</v>
      </c>
      <c r="X20" s="37">
        <f t="shared" si="12"/>
        <v>0</v>
      </c>
      <c r="Y20" s="77">
        <v>1518181</v>
      </c>
      <c r="Z20" s="37">
        <f t="shared" si="13"/>
        <v>0</v>
      </c>
      <c r="AA20" s="77">
        <v>13886</v>
      </c>
      <c r="AB20" s="37">
        <f t="shared" si="14"/>
        <v>0</v>
      </c>
      <c r="AC20" s="76">
        <v>495108</v>
      </c>
      <c r="AD20" s="37">
        <f t="shared" si="15"/>
        <v>7440</v>
      </c>
      <c r="AE20" s="76">
        <v>565986</v>
      </c>
      <c r="AF20" s="37">
        <f t="shared" si="15"/>
        <v>7152</v>
      </c>
      <c r="AG20" s="77">
        <v>49787</v>
      </c>
      <c r="AH20" s="37">
        <f t="shared" si="16"/>
        <v>0</v>
      </c>
      <c r="AI20" s="76">
        <v>440258</v>
      </c>
      <c r="AJ20" s="37">
        <f t="shared" si="17"/>
        <v>4464</v>
      </c>
      <c r="AK20" s="77">
        <v>102770</v>
      </c>
      <c r="AL20" s="37">
        <f t="shared" si="18"/>
        <v>0</v>
      </c>
      <c r="AM20" s="77">
        <v>601980</v>
      </c>
      <c r="AN20" s="37">
        <f t="shared" si="19"/>
        <v>6384</v>
      </c>
      <c r="AO20" s="77">
        <v>987378</v>
      </c>
      <c r="AP20" s="37">
        <f t="shared" si="20"/>
        <v>11280</v>
      </c>
      <c r="AQ20" s="77">
        <v>88721</v>
      </c>
      <c r="AR20" s="37">
        <f t="shared" si="21"/>
        <v>0</v>
      </c>
      <c r="AS20" s="77">
        <v>2453</v>
      </c>
      <c r="AT20" s="37">
        <f t="shared" si="22"/>
        <v>0</v>
      </c>
      <c r="AU20" s="77">
        <v>939</v>
      </c>
      <c r="AV20" s="37">
        <f t="shared" si="23"/>
        <v>0</v>
      </c>
      <c r="AW20" s="77">
        <v>3110</v>
      </c>
      <c r="AX20" s="37">
        <f t="shared" si="24"/>
        <v>0</v>
      </c>
      <c r="AY20" s="77">
        <v>343826</v>
      </c>
      <c r="AZ20" s="37">
        <f t="shared" si="25"/>
        <v>5376</v>
      </c>
      <c r="BA20" s="76">
        <v>161101</v>
      </c>
      <c r="BB20" s="37">
        <f t="shared" si="26"/>
        <v>0</v>
      </c>
      <c r="BC20" s="77">
        <v>232478</v>
      </c>
      <c r="BD20" s="37">
        <f t="shared" si="27"/>
        <v>3600</v>
      </c>
      <c r="BE20" s="77">
        <v>5349</v>
      </c>
      <c r="BF20" s="37">
        <f t="shared" si="28"/>
        <v>0</v>
      </c>
      <c r="BH20" s="166">
        <f t="shared" si="1"/>
        <v>103841.952</v>
      </c>
      <c r="BI20" s="166">
        <f t="shared" si="2"/>
        <v>66268.800000000003</v>
      </c>
    </row>
    <row r="21" spans="1:61" s="35" customFormat="1" ht="39.950000000000003" customHeight="1">
      <c r="A21" s="192">
        <v>44664</v>
      </c>
      <c r="B21" s="34"/>
      <c r="C21" s="77">
        <v>6823738</v>
      </c>
      <c r="D21" s="37">
        <f t="shared" si="3"/>
        <v>86304</v>
      </c>
      <c r="E21" s="104">
        <f t="shared" si="4"/>
        <v>51782.400000000001</v>
      </c>
      <c r="F21" s="103">
        <f t="shared" si="5"/>
        <v>34521.599999999999</v>
      </c>
      <c r="G21" s="77">
        <v>293708</v>
      </c>
      <c r="H21" s="37">
        <f t="shared" si="6"/>
        <v>1920</v>
      </c>
      <c r="I21" s="77">
        <v>180013</v>
      </c>
      <c r="J21" s="37">
        <f t="shared" si="7"/>
        <v>8496</v>
      </c>
      <c r="K21" s="77">
        <v>268479</v>
      </c>
      <c r="L21" s="37">
        <f t="shared" si="0"/>
        <v>672</v>
      </c>
      <c r="M21" s="77">
        <v>25315</v>
      </c>
      <c r="N21" s="37">
        <f t="shared" si="8"/>
        <v>0</v>
      </c>
      <c r="O21" s="77">
        <v>322855</v>
      </c>
      <c r="P21" s="37">
        <f t="shared" si="9"/>
        <v>6192</v>
      </c>
      <c r="Q21" s="77">
        <v>473517</v>
      </c>
      <c r="R21" s="37">
        <f t="shared" si="10"/>
        <v>2784</v>
      </c>
      <c r="S21" s="77">
        <v>759304</v>
      </c>
      <c r="T21" s="37">
        <f t="shared" si="11"/>
        <v>5760</v>
      </c>
      <c r="U21" s="196">
        <v>4411.03</v>
      </c>
      <c r="V21" s="103">
        <f t="shared" si="30"/>
        <v>0</v>
      </c>
      <c r="W21" s="77">
        <v>84411</v>
      </c>
      <c r="X21" s="37">
        <f t="shared" si="12"/>
        <v>0</v>
      </c>
      <c r="Y21" s="77">
        <v>1518181</v>
      </c>
      <c r="Z21" s="37">
        <f t="shared" si="13"/>
        <v>0</v>
      </c>
      <c r="AA21" s="77">
        <v>13886</v>
      </c>
      <c r="AB21" s="37">
        <f t="shared" si="14"/>
        <v>0</v>
      </c>
      <c r="AC21" s="77">
        <v>495262</v>
      </c>
      <c r="AD21" s="37">
        <f t="shared" si="15"/>
        <v>7392</v>
      </c>
      <c r="AE21" s="77">
        <v>566136</v>
      </c>
      <c r="AF21" s="37">
        <f t="shared" si="15"/>
        <v>7200</v>
      </c>
      <c r="AG21" s="77">
        <v>49787</v>
      </c>
      <c r="AH21" s="37">
        <f t="shared" si="16"/>
        <v>0</v>
      </c>
      <c r="AI21" s="77">
        <v>440350</v>
      </c>
      <c r="AJ21" s="37">
        <f t="shared" si="17"/>
        <v>4416</v>
      </c>
      <c r="AK21" s="77">
        <v>102770</v>
      </c>
      <c r="AL21" s="37">
        <f t="shared" si="18"/>
        <v>0</v>
      </c>
      <c r="AM21" s="76">
        <v>602111</v>
      </c>
      <c r="AN21" s="37">
        <f t="shared" si="19"/>
        <v>6288</v>
      </c>
      <c r="AO21" s="76">
        <v>987612</v>
      </c>
      <c r="AP21" s="37">
        <f t="shared" si="20"/>
        <v>11232</v>
      </c>
      <c r="AQ21" s="77">
        <v>88721</v>
      </c>
      <c r="AR21" s="37">
        <f t="shared" si="21"/>
        <v>0</v>
      </c>
      <c r="AS21" s="77">
        <v>2453</v>
      </c>
      <c r="AT21" s="37">
        <f t="shared" si="22"/>
        <v>0</v>
      </c>
      <c r="AU21" s="77">
        <v>939</v>
      </c>
      <c r="AV21" s="37">
        <f t="shared" si="23"/>
        <v>0</v>
      </c>
      <c r="AW21" s="77">
        <v>3110</v>
      </c>
      <c r="AX21" s="37">
        <f t="shared" si="24"/>
        <v>0</v>
      </c>
      <c r="AY21" s="77">
        <v>343934</v>
      </c>
      <c r="AZ21" s="37">
        <f t="shared" si="25"/>
        <v>5184</v>
      </c>
      <c r="BA21" s="76">
        <v>161101</v>
      </c>
      <c r="BB21" s="37">
        <f t="shared" si="26"/>
        <v>0</v>
      </c>
      <c r="BC21" s="77">
        <v>232549</v>
      </c>
      <c r="BD21" s="37">
        <f t="shared" si="27"/>
        <v>3408</v>
      </c>
      <c r="BE21" s="77">
        <v>5349</v>
      </c>
      <c r="BF21" s="37">
        <f t="shared" si="28"/>
        <v>0</v>
      </c>
      <c r="BH21" s="166">
        <f t="shared" si="1"/>
        <v>96614.399999999994</v>
      </c>
      <c r="BI21" s="166">
        <f t="shared" si="2"/>
        <v>60633.599999999999</v>
      </c>
    </row>
    <row r="22" spans="1:61" s="35" customFormat="1" ht="39.950000000000003" customHeight="1">
      <c r="A22" s="192">
        <v>44665</v>
      </c>
      <c r="B22" s="34"/>
      <c r="C22" s="77">
        <v>6825705</v>
      </c>
      <c r="D22" s="37">
        <f t="shared" si="3"/>
        <v>94416</v>
      </c>
      <c r="E22" s="104">
        <f t="shared" si="4"/>
        <v>56649.599999999999</v>
      </c>
      <c r="F22" s="103">
        <f t="shared" si="5"/>
        <v>37766.400000000001</v>
      </c>
      <c r="G22" s="77">
        <v>293736</v>
      </c>
      <c r="H22" s="37">
        <f t="shared" si="6"/>
        <v>1344</v>
      </c>
      <c r="I22" s="77">
        <v>180192</v>
      </c>
      <c r="J22" s="37">
        <f t="shared" si="7"/>
        <v>8592</v>
      </c>
      <c r="K22" s="77">
        <v>268491</v>
      </c>
      <c r="L22" s="37">
        <f t="shared" si="0"/>
        <v>576</v>
      </c>
      <c r="M22" s="77">
        <v>25315</v>
      </c>
      <c r="N22" s="37">
        <f t="shared" si="8"/>
        <v>0</v>
      </c>
      <c r="O22" s="77">
        <v>322969</v>
      </c>
      <c r="P22" s="37">
        <f t="shared" si="9"/>
        <v>5472</v>
      </c>
      <c r="Q22" s="77">
        <v>473586</v>
      </c>
      <c r="R22" s="37">
        <f t="shared" si="10"/>
        <v>3312</v>
      </c>
      <c r="S22" s="77">
        <v>759424</v>
      </c>
      <c r="T22" s="37">
        <f t="shared" si="11"/>
        <v>5760</v>
      </c>
      <c r="U22" s="196">
        <v>4412.652</v>
      </c>
      <c r="V22" s="103">
        <f t="shared" si="30"/>
        <v>77.856000000014319</v>
      </c>
      <c r="W22" s="77">
        <v>84418</v>
      </c>
      <c r="X22" s="37">
        <f t="shared" si="12"/>
        <v>336</v>
      </c>
      <c r="Y22" s="77">
        <v>1518181</v>
      </c>
      <c r="Z22" s="37">
        <f t="shared" si="13"/>
        <v>0</v>
      </c>
      <c r="AA22" s="77">
        <v>13886</v>
      </c>
      <c r="AB22" s="37">
        <f t="shared" si="14"/>
        <v>0</v>
      </c>
      <c r="AC22" s="77">
        <v>495411</v>
      </c>
      <c r="AD22" s="37">
        <f t="shared" si="15"/>
        <v>7152</v>
      </c>
      <c r="AE22" s="77">
        <v>566283</v>
      </c>
      <c r="AF22" s="37">
        <f t="shared" si="15"/>
        <v>7056</v>
      </c>
      <c r="AG22" s="77">
        <v>49787</v>
      </c>
      <c r="AH22" s="37">
        <f t="shared" si="16"/>
        <v>0</v>
      </c>
      <c r="AI22" s="77">
        <v>440446</v>
      </c>
      <c r="AJ22" s="37">
        <f t="shared" si="17"/>
        <v>4608</v>
      </c>
      <c r="AK22" s="77">
        <v>102770</v>
      </c>
      <c r="AL22" s="37">
        <f t="shared" si="18"/>
        <v>0</v>
      </c>
      <c r="AM22" s="77">
        <v>602240</v>
      </c>
      <c r="AN22" s="37">
        <f t="shared" si="19"/>
        <v>6192</v>
      </c>
      <c r="AO22" s="77">
        <v>987810</v>
      </c>
      <c r="AP22" s="37">
        <f t="shared" si="20"/>
        <v>9504</v>
      </c>
      <c r="AQ22" s="77">
        <v>88721</v>
      </c>
      <c r="AR22" s="37">
        <f t="shared" si="21"/>
        <v>0</v>
      </c>
      <c r="AS22" s="77">
        <v>2453</v>
      </c>
      <c r="AT22" s="37">
        <f t="shared" si="22"/>
        <v>0</v>
      </c>
      <c r="AU22" s="77">
        <v>939</v>
      </c>
      <c r="AV22" s="37">
        <f t="shared" si="23"/>
        <v>0</v>
      </c>
      <c r="AW22" s="77">
        <v>3110</v>
      </c>
      <c r="AX22" s="37">
        <f t="shared" si="24"/>
        <v>0</v>
      </c>
      <c r="AY22" s="77">
        <v>344037</v>
      </c>
      <c r="AZ22" s="37">
        <f t="shared" si="25"/>
        <v>4944</v>
      </c>
      <c r="BA22" s="76">
        <v>161101</v>
      </c>
      <c r="BB22" s="37">
        <f>(+BA23-+BA21)*48</f>
        <v>0</v>
      </c>
      <c r="BC22" s="77">
        <v>232618</v>
      </c>
      <c r="BD22" s="37">
        <f t="shared" si="27"/>
        <v>3312</v>
      </c>
      <c r="BE22" s="77">
        <v>5349</v>
      </c>
      <c r="BF22" s="37">
        <f t="shared" si="28"/>
        <v>0</v>
      </c>
      <c r="BH22" s="166">
        <f t="shared" si="1"/>
        <v>100935.45600000002</v>
      </c>
      <c r="BI22" s="166">
        <f t="shared" si="2"/>
        <v>61718.400000000001</v>
      </c>
    </row>
    <row r="23" spans="1:61" s="35" customFormat="1" ht="39.950000000000003" customHeight="1">
      <c r="A23" s="192">
        <v>44666</v>
      </c>
      <c r="B23" s="34"/>
      <c r="C23" s="77">
        <v>6827902</v>
      </c>
      <c r="D23" s="37">
        <f t="shared" si="3"/>
        <v>105456</v>
      </c>
      <c r="E23" s="104">
        <f t="shared" si="4"/>
        <v>63273.599999999999</v>
      </c>
      <c r="F23" s="103">
        <f t="shared" si="5"/>
        <v>42182.400000000001</v>
      </c>
      <c r="G23" s="77">
        <v>293764</v>
      </c>
      <c r="H23" s="37">
        <f t="shared" si="6"/>
        <v>1344</v>
      </c>
      <c r="I23" s="77">
        <v>180369</v>
      </c>
      <c r="J23" s="37">
        <f t="shared" si="7"/>
        <v>8496</v>
      </c>
      <c r="K23" s="77">
        <v>268509</v>
      </c>
      <c r="L23" s="37">
        <f t="shared" si="0"/>
        <v>864</v>
      </c>
      <c r="M23" s="77">
        <v>25315</v>
      </c>
      <c r="N23" s="37">
        <f t="shared" si="8"/>
        <v>0</v>
      </c>
      <c r="O23" s="77">
        <v>323104</v>
      </c>
      <c r="P23" s="37">
        <f t="shared" si="9"/>
        <v>6480</v>
      </c>
      <c r="Q23" s="77">
        <v>473664</v>
      </c>
      <c r="R23" s="37">
        <f t="shared" si="10"/>
        <v>3744</v>
      </c>
      <c r="S23" s="77">
        <v>759553</v>
      </c>
      <c r="T23" s="37">
        <f t="shared" si="11"/>
        <v>6192</v>
      </c>
      <c r="U23" s="196">
        <v>4432</v>
      </c>
      <c r="V23" s="103">
        <f t="shared" si="30"/>
        <v>928.7039999999979</v>
      </c>
      <c r="W23" s="77">
        <v>84423</v>
      </c>
      <c r="X23" s="37">
        <f t="shared" si="12"/>
        <v>240</v>
      </c>
      <c r="Y23" s="77">
        <v>1518181</v>
      </c>
      <c r="Z23" s="37">
        <f t="shared" si="13"/>
        <v>0</v>
      </c>
      <c r="AA23" s="77">
        <v>13886</v>
      </c>
      <c r="AB23" s="37">
        <f t="shared" si="14"/>
        <v>0</v>
      </c>
      <c r="AC23" s="77">
        <v>495565</v>
      </c>
      <c r="AD23" s="37">
        <f t="shared" si="15"/>
        <v>7392</v>
      </c>
      <c r="AE23" s="77">
        <v>566433</v>
      </c>
      <c r="AF23" s="37">
        <f t="shared" si="15"/>
        <v>7200</v>
      </c>
      <c r="AG23" s="77">
        <v>49787</v>
      </c>
      <c r="AH23" s="37">
        <f t="shared" si="16"/>
        <v>0</v>
      </c>
      <c r="AI23" s="77">
        <v>440511</v>
      </c>
      <c r="AJ23" s="37">
        <f t="shared" si="17"/>
        <v>3120</v>
      </c>
      <c r="AK23" s="77">
        <v>102770</v>
      </c>
      <c r="AL23" s="37">
        <f t="shared" si="18"/>
        <v>0</v>
      </c>
      <c r="AM23" s="77">
        <v>602361</v>
      </c>
      <c r="AN23" s="37">
        <f t="shared" si="19"/>
        <v>5808</v>
      </c>
      <c r="AO23" s="77">
        <v>987989</v>
      </c>
      <c r="AP23" s="37">
        <f t="shared" si="20"/>
        <v>8592</v>
      </c>
      <c r="AQ23" s="77">
        <v>88721</v>
      </c>
      <c r="AR23" s="37">
        <f t="shared" si="21"/>
        <v>0</v>
      </c>
      <c r="AS23" s="77">
        <v>2453</v>
      </c>
      <c r="AT23" s="37">
        <f t="shared" si="22"/>
        <v>0</v>
      </c>
      <c r="AU23" s="77">
        <v>939</v>
      </c>
      <c r="AV23" s="37">
        <f t="shared" si="23"/>
        <v>0</v>
      </c>
      <c r="AW23" s="77">
        <v>3110</v>
      </c>
      <c r="AX23" s="37">
        <f t="shared" si="24"/>
        <v>0</v>
      </c>
      <c r="AY23" s="77">
        <v>344143</v>
      </c>
      <c r="AZ23" s="37">
        <f t="shared" si="25"/>
        <v>5088</v>
      </c>
      <c r="BA23" s="77">
        <v>161101</v>
      </c>
      <c r="BB23" s="103">
        <f t="shared" ref="BB23:BB25" si="31">(+BA23-+BA22)*48</f>
        <v>0</v>
      </c>
      <c r="BC23" s="77">
        <v>232688</v>
      </c>
      <c r="BD23" s="37">
        <f t="shared" si="27"/>
        <v>3360</v>
      </c>
      <c r="BE23" s="77">
        <v>5349</v>
      </c>
      <c r="BF23" s="37">
        <f t="shared" si="28"/>
        <v>0</v>
      </c>
      <c r="BH23" s="105">
        <f t="shared" si="1"/>
        <v>109274.304</v>
      </c>
      <c r="BI23" s="105">
        <f t="shared" si="2"/>
        <v>65030.400000000001</v>
      </c>
    </row>
    <row r="24" spans="1:61" s="35" customFormat="1" ht="39.950000000000003" customHeight="1">
      <c r="A24" s="192">
        <v>44667</v>
      </c>
      <c r="B24" s="34"/>
      <c r="C24" s="77">
        <v>6829778</v>
      </c>
      <c r="D24" s="103">
        <f t="shared" si="3"/>
        <v>90048</v>
      </c>
      <c r="E24" s="104">
        <f t="shared" si="4"/>
        <v>54028.799999999996</v>
      </c>
      <c r="F24" s="103">
        <f t="shared" si="5"/>
        <v>36019.200000000004</v>
      </c>
      <c r="G24" s="77">
        <v>293789</v>
      </c>
      <c r="H24" s="103">
        <f t="shared" si="6"/>
        <v>1200</v>
      </c>
      <c r="I24" s="77">
        <v>180541</v>
      </c>
      <c r="J24" s="103">
        <f t="shared" si="7"/>
        <v>8256</v>
      </c>
      <c r="K24" s="77">
        <v>268522</v>
      </c>
      <c r="L24" s="103">
        <f t="shared" si="0"/>
        <v>624</v>
      </c>
      <c r="M24" s="77">
        <v>25315</v>
      </c>
      <c r="N24" s="37">
        <f t="shared" si="8"/>
        <v>0</v>
      </c>
      <c r="O24" s="77">
        <v>323272</v>
      </c>
      <c r="P24" s="103">
        <f t="shared" si="9"/>
        <v>8064</v>
      </c>
      <c r="Q24" s="77">
        <v>473764</v>
      </c>
      <c r="R24" s="103">
        <f t="shared" si="10"/>
        <v>4800</v>
      </c>
      <c r="S24" s="77">
        <v>759682</v>
      </c>
      <c r="T24" s="103">
        <f t="shared" si="11"/>
        <v>6192</v>
      </c>
      <c r="U24" s="196">
        <v>4451</v>
      </c>
      <c r="V24" s="103">
        <f t="shared" si="30"/>
        <v>912</v>
      </c>
      <c r="W24" s="77">
        <v>84428</v>
      </c>
      <c r="X24" s="103">
        <f t="shared" si="12"/>
        <v>240</v>
      </c>
      <c r="Y24" s="77">
        <v>1518181</v>
      </c>
      <c r="Z24" s="103">
        <f t="shared" si="13"/>
        <v>0</v>
      </c>
      <c r="AA24" s="77">
        <v>13886</v>
      </c>
      <c r="AB24" s="103">
        <f t="shared" si="14"/>
        <v>0</v>
      </c>
      <c r="AC24" s="77">
        <v>495730</v>
      </c>
      <c r="AD24" s="103">
        <f t="shared" si="15"/>
        <v>7920</v>
      </c>
      <c r="AE24" s="77">
        <v>566586</v>
      </c>
      <c r="AF24" s="103">
        <f t="shared" si="15"/>
        <v>7344</v>
      </c>
      <c r="AG24" s="77">
        <v>49787</v>
      </c>
      <c r="AH24" s="103">
        <f t="shared" si="16"/>
        <v>0</v>
      </c>
      <c r="AI24" s="77">
        <v>440663</v>
      </c>
      <c r="AJ24" s="103">
        <f t="shared" si="17"/>
        <v>7296</v>
      </c>
      <c r="AK24" s="77">
        <v>102770</v>
      </c>
      <c r="AL24" s="103">
        <f t="shared" si="18"/>
        <v>0</v>
      </c>
      <c r="AM24" s="77">
        <v>602486</v>
      </c>
      <c r="AN24" s="103">
        <f t="shared" si="19"/>
        <v>6000</v>
      </c>
      <c r="AO24" s="77">
        <v>988217</v>
      </c>
      <c r="AP24" s="103">
        <f t="shared" si="20"/>
        <v>10944</v>
      </c>
      <c r="AQ24" s="77">
        <v>88721</v>
      </c>
      <c r="AR24" s="103">
        <f t="shared" si="21"/>
        <v>0</v>
      </c>
      <c r="AS24" s="77">
        <v>2453</v>
      </c>
      <c r="AT24" s="103">
        <f t="shared" si="22"/>
        <v>0</v>
      </c>
      <c r="AU24" s="77">
        <v>939</v>
      </c>
      <c r="AV24" s="103">
        <f t="shared" si="23"/>
        <v>0</v>
      </c>
      <c r="AW24" s="77">
        <v>3110</v>
      </c>
      <c r="AX24" s="103">
        <f t="shared" si="24"/>
        <v>0</v>
      </c>
      <c r="AY24" s="77">
        <v>344248</v>
      </c>
      <c r="AZ24" s="103">
        <f t="shared" si="25"/>
        <v>5040</v>
      </c>
      <c r="BA24" s="77">
        <v>161101</v>
      </c>
      <c r="BB24" s="103">
        <f t="shared" si="31"/>
        <v>0</v>
      </c>
      <c r="BC24" s="77">
        <v>232757</v>
      </c>
      <c r="BD24" s="103">
        <f t="shared" si="27"/>
        <v>3312</v>
      </c>
      <c r="BE24" s="77">
        <v>5349</v>
      </c>
      <c r="BF24" s="103">
        <f t="shared" si="28"/>
        <v>0</v>
      </c>
      <c r="BH24" s="105">
        <f t="shared" si="1"/>
        <v>106876.79999999999</v>
      </c>
      <c r="BI24" s="105">
        <f t="shared" si="2"/>
        <v>61315.200000000004</v>
      </c>
    </row>
    <row r="25" spans="1:61" s="35" customFormat="1" ht="39.950000000000003" customHeight="1">
      <c r="A25" s="192">
        <v>44668</v>
      </c>
      <c r="B25" s="34"/>
      <c r="C25" s="77">
        <v>6831876</v>
      </c>
      <c r="D25" s="103">
        <f t="shared" si="3"/>
        <v>100704</v>
      </c>
      <c r="E25" s="104">
        <f t="shared" si="4"/>
        <v>60422.399999999994</v>
      </c>
      <c r="F25" s="103">
        <f t="shared" si="5"/>
        <v>40281.600000000006</v>
      </c>
      <c r="G25" s="77">
        <v>293815</v>
      </c>
      <c r="H25" s="103">
        <f t="shared" si="6"/>
        <v>1248</v>
      </c>
      <c r="I25" s="77">
        <v>180713</v>
      </c>
      <c r="J25" s="103">
        <f t="shared" si="7"/>
        <v>8256</v>
      </c>
      <c r="K25" s="77">
        <v>268535</v>
      </c>
      <c r="L25" s="103">
        <f t="shared" si="0"/>
        <v>624</v>
      </c>
      <c r="M25" s="77">
        <v>25315</v>
      </c>
      <c r="N25" s="37">
        <f t="shared" si="8"/>
        <v>0</v>
      </c>
      <c r="O25" s="77">
        <v>323418</v>
      </c>
      <c r="P25" s="103">
        <f t="shared" si="9"/>
        <v>7008</v>
      </c>
      <c r="Q25" s="77">
        <v>473857</v>
      </c>
      <c r="R25" s="103">
        <f t="shared" si="10"/>
        <v>4464</v>
      </c>
      <c r="S25" s="77">
        <v>759834</v>
      </c>
      <c r="T25" s="103">
        <f t="shared" si="11"/>
        <v>7296</v>
      </c>
      <c r="U25" s="196">
        <v>4468.74</v>
      </c>
      <c r="V25" s="103">
        <f t="shared" si="30"/>
        <v>851.51999999998952</v>
      </c>
      <c r="W25" s="77">
        <v>84433</v>
      </c>
      <c r="X25" s="103">
        <f t="shared" si="12"/>
        <v>240</v>
      </c>
      <c r="Y25" s="77">
        <v>1518181</v>
      </c>
      <c r="Z25" s="103">
        <f t="shared" si="13"/>
        <v>0</v>
      </c>
      <c r="AA25" s="77">
        <v>13886</v>
      </c>
      <c r="AB25" s="103">
        <f t="shared" si="14"/>
        <v>0</v>
      </c>
      <c r="AC25" s="77">
        <v>495910</v>
      </c>
      <c r="AD25" s="103">
        <f t="shared" si="15"/>
        <v>8640</v>
      </c>
      <c r="AE25" s="77">
        <v>566734</v>
      </c>
      <c r="AF25" s="103">
        <f t="shared" si="15"/>
        <v>7104</v>
      </c>
      <c r="AG25" s="77">
        <v>49787</v>
      </c>
      <c r="AH25" s="103">
        <f t="shared" si="16"/>
        <v>0</v>
      </c>
      <c r="AI25" s="77">
        <v>440773</v>
      </c>
      <c r="AJ25" s="103">
        <f t="shared" si="17"/>
        <v>5280</v>
      </c>
      <c r="AK25" s="77">
        <v>102770</v>
      </c>
      <c r="AL25" s="103">
        <f t="shared" si="18"/>
        <v>0</v>
      </c>
      <c r="AM25" s="77">
        <v>602617</v>
      </c>
      <c r="AN25" s="103">
        <f t="shared" si="19"/>
        <v>6288</v>
      </c>
      <c r="AO25" s="77">
        <v>988449</v>
      </c>
      <c r="AP25" s="103">
        <f t="shared" si="20"/>
        <v>11136</v>
      </c>
      <c r="AQ25" s="77">
        <v>88721</v>
      </c>
      <c r="AR25" s="103">
        <f t="shared" si="21"/>
        <v>0</v>
      </c>
      <c r="AS25" s="77">
        <v>2453</v>
      </c>
      <c r="AT25" s="103">
        <f t="shared" si="22"/>
        <v>0</v>
      </c>
      <c r="AU25" s="77">
        <v>939</v>
      </c>
      <c r="AV25" s="103">
        <f t="shared" si="23"/>
        <v>0</v>
      </c>
      <c r="AW25" s="77">
        <v>3110</v>
      </c>
      <c r="AX25" s="103">
        <f t="shared" si="24"/>
        <v>0</v>
      </c>
      <c r="AY25" s="77">
        <v>344354</v>
      </c>
      <c r="AZ25" s="103">
        <f t="shared" si="25"/>
        <v>5088</v>
      </c>
      <c r="BA25" s="77">
        <v>161101</v>
      </c>
      <c r="BB25" s="103">
        <f t="shared" si="31"/>
        <v>0</v>
      </c>
      <c r="BC25" s="77">
        <v>232827</v>
      </c>
      <c r="BD25" s="103">
        <f t="shared" si="27"/>
        <v>3360</v>
      </c>
      <c r="BE25" s="77">
        <v>5349</v>
      </c>
      <c r="BF25" s="103">
        <f t="shared" si="28"/>
        <v>0</v>
      </c>
      <c r="BH25" s="105">
        <f t="shared" si="1"/>
        <v>111433.91999999998</v>
      </c>
      <c r="BI25" s="105">
        <f t="shared" si="2"/>
        <v>66153.600000000006</v>
      </c>
    </row>
    <row r="26" spans="1:61" s="35" customFormat="1" ht="39.950000000000003" customHeight="1">
      <c r="A26" s="192">
        <v>44669</v>
      </c>
      <c r="B26" s="34"/>
      <c r="C26" s="77">
        <v>6833977</v>
      </c>
      <c r="D26" s="103">
        <f t="shared" si="3"/>
        <v>100848</v>
      </c>
      <c r="E26" s="104">
        <f t="shared" si="4"/>
        <v>60508.799999999996</v>
      </c>
      <c r="F26" s="103">
        <f t="shared" si="5"/>
        <v>40339.200000000004</v>
      </c>
      <c r="G26" s="77">
        <v>293834</v>
      </c>
      <c r="H26" s="103">
        <f t="shared" si="6"/>
        <v>912</v>
      </c>
      <c r="I26" s="77">
        <v>180884</v>
      </c>
      <c r="J26" s="103">
        <f t="shared" si="7"/>
        <v>8208</v>
      </c>
      <c r="K26" s="77">
        <v>268549</v>
      </c>
      <c r="L26" s="103">
        <f t="shared" si="0"/>
        <v>672</v>
      </c>
      <c r="M26" s="77">
        <v>25315</v>
      </c>
      <c r="N26" s="37">
        <f t="shared" si="8"/>
        <v>0</v>
      </c>
      <c r="O26" s="77">
        <v>323573</v>
      </c>
      <c r="P26" s="103">
        <f t="shared" si="9"/>
        <v>7440</v>
      </c>
      <c r="Q26" s="77">
        <v>473950</v>
      </c>
      <c r="R26" s="103">
        <f t="shared" si="10"/>
        <v>4464</v>
      </c>
      <c r="S26" s="77">
        <v>759959</v>
      </c>
      <c r="T26" s="103">
        <f t="shared" si="11"/>
        <v>6000</v>
      </c>
      <c r="U26" s="196">
        <v>4488.5360000000001</v>
      </c>
      <c r="V26" s="103">
        <f t="shared" si="30"/>
        <v>950.20800000001327</v>
      </c>
      <c r="W26" s="77">
        <v>84435</v>
      </c>
      <c r="X26" s="103">
        <f t="shared" si="12"/>
        <v>96</v>
      </c>
      <c r="Y26" s="77">
        <v>1518181</v>
      </c>
      <c r="Z26" s="103">
        <f t="shared" si="13"/>
        <v>0</v>
      </c>
      <c r="AA26" s="77">
        <v>13886</v>
      </c>
      <c r="AB26" s="103">
        <f t="shared" si="14"/>
        <v>0</v>
      </c>
      <c r="AC26" s="77">
        <v>496080</v>
      </c>
      <c r="AD26" s="103">
        <f t="shared" si="15"/>
        <v>8160</v>
      </c>
      <c r="AE26" s="77">
        <v>566909</v>
      </c>
      <c r="AF26" s="103">
        <f t="shared" si="15"/>
        <v>8400</v>
      </c>
      <c r="AG26" s="77">
        <v>49787</v>
      </c>
      <c r="AH26" s="103">
        <f t="shared" si="16"/>
        <v>0</v>
      </c>
      <c r="AI26" s="77">
        <v>440883</v>
      </c>
      <c r="AJ26" s="103">
        <f t="shared" si="17"/>
        <v>5280</v>
      </c>
      <c r="AK26" s="77">
        <v>102770</v>
      </c>
      <c r="AL26" s="103">
        <f t="shared" si="18"/>
        <v>0</v>
      </c>
      <c r="AM26" s="77">
        <v>602742</v>
      </c>
      <c r="AN26" s="103">
        <f t="shared" si="19"/>
        <v>6000</v>
      </c>
      <c r="AO26" s="77">
        <v>988663</v>
      </c>
      <c r="AP26" s="103">
        <f t="shared" si="20"/>
        <v>10272</v>
      </c>
      <c r="AQ26" s="77">
        <v>88721</v>
      </c>
      <c r="AR26" s="103">
        <f t="shared" si="21"/>
        <v>0</v>
      </c>
      <c r="AS26" s="77">
        <v>2453</v>
      </c>
      <c r="AT26" s="103">
        <f t="shared" si="22"/>
        <v>0</v>
      </c>
      <c r="AU26" s="77">
        <v>939</v>
      </c>
      <c r="AV26" s="103">
        <f t="shared" si="23"/>
        <v>0</v>
      </c>
      <c r="AW26" s="77">
        <v>3110</v>
      </c>
      <c r="AX26" s="103">
        <f t="shared" si="24"/>
        <v>0</v>
      </c>
      <c r="AY26" s="77">
        <v>344457</v>
      </c>
      <c r="AZ26" s="103">
        <f>(+AY26-+AY25)*48</f>
        <v>4944</v>
      </c>
      <c r="BA26" s="77">
        <v>161101</v>
      </c>
      <c r="BB26" s="103">
        <f>(+BA26-+BA25)*48</f>
        <v>0</v>
      </c>
      <c r="BC26" s="77">
        <v>232896</v>
      </c>
      <c r="BD26" s="103">
        <f t="shared" si="27"/>
        <v>3312</v>
      </c>
      <c r="BE26" s="77">
        <v>5349</v>
      </c>
      <c r="BF26" s="103">
        <f t="shared" si="28"/>
        <v>0</v>
      </c>
      <c r="BH26" s="105">
        <f t="shared" si="1"/>
        <v>111091.008</v>
      </c>
      <c r="BI26" s="105">
        <f t="shared" si="2"/>
        <v>64867.200000000004</v>
      </c>
    </row>
    <row r="27" spans="1:61" s="35" customFormat="1" ht="39.950000000000003" customHeight="1">
      <c r="A27" s="192">
        <v>44670</v>
      </c>
      <c r="B27" s="34"/>
      <c r="C27" s="77">
        <v>6835977</v>
      </c>
      <c r="D27" s="103">
        <f t="shared" si="3"/>
        <v>96000</v>
      </c>
      <c r="E27" s="104">
        <f t="shared" si="4"/>
        <v>57600</v>
      </c>
      <c r="F27" s="103">
        <f t="shared" si="5"/>
        <v>38400</v>
      </c>
      <c r="G27" s="77">
        <v>293855</v>
      </c>
      <c r="H27" s="103">
        <f t="shared" si="6"/>
        <v>1008</v>
      </c>
      <c r="I27" s="77">
        <v>181048</v>
      </c>
      <c r="J27" s="103">
        <f t="shared" si="7"/>
        <v>7872</v>
      </c>
      <c r="K27" s="77">
        <v>268562</v>
      </c>
      <c r="L27" s="103">
        <f t="shared" si="0"/>
        <v>624</v>
      </c>
      <c r="M27" s="77">
        <v>25315</v>
      </c>
      <c r="N27" s="37">
        <f t="shared" si="8"/>
        <v>0</v>
      </c>
      <c r="O27" s="77">
        <v>323729</v>
      </c>
      <c r="P27" s="103">
        <f t="shared" si="9"/>
        <v>7488</v>
      </c>
      <c r="Q27" s="77">
        <v>474035</v>
      </c>
      <c r="R27" s="103">
        <f t="shared" si="10"/>
        <v>4080</v>
      </c>
      <c r="S27" s="77">
        <v>760075</v>
      </c>
      <c r="T27" s="103">
        <f t="shared" si="11"/>
        <v>5568</v>
      </c>
      <c r="U27" s="77">
        <v>4504.8230000000003</v>
      </c>
      <c r="V27" s="103">
        <f t="shared" si="30"/>
        <v>781.77600000001257</v>
      </c>
      <c r="W27" s="77">
        <v>84435</v>
      </c>
      <c r="X27" s="103">
        <f t="shared" si="12"/>
        <v>0</v>
      </c>
      <c r="Y27" s="77">
        <v>1518181</v>
      </c>
      <c r="Z27" s="103">
        <f t="shared" si="13"/>
        <v>0</v>
      </c>
      <c r="AA27" s="77">
        <v>13886</v>
      </c>
      <c r="AB27" s="103">
        <f t="shared" si="14"/>
        <v>0</v>
      </c>
      <c r="AC27" s="77">
        <v>496250</v>
      </c>
      <c r="AD27" s="103">
        <f t="shared" si="15"/>
        <v>8160</v>
      </c>
      <c r="AE27" s="77">
        <v>567067</v>
      </c>
      <c r="AF27" s="103">
        <f t="shared" si="15"/>
        <v>7584</v>
      </c>
      <c r="AG27" s="77">
        <v>49787</v>
      </c>
      <c r="AH27" s="103">
        <f t="shared" si="16"/>
        <v>0</v>
      </c>
      <c r="AI27" s="77">
        <v>440991</v>
      </c>
      <c r="AJ27" s="103">
        <f t="shared" si="17"/>
        <v>5184</v>
      </c>
      <c r="AK27" s="77">
        <v>102770</v>
      </c>
      <c r="AL27" s="103">
        <f t="shared" si="18"/>
        <v>0</v>
      </c>
      <c r="AM27" s="77">
        <v>602875</v>
      </c>
      <c r="AN27" s="103">
        <f t="shared" si="19"/>
        <v>6384</v>
      </c>
      <c r="AO27" s="77">
        <v>988888</v>
      </c>
      <c r="AP27" s="103">
        <f t="shared" si="20"/>
        <v>10800</v>
      </c>
      <c r="AQ27" s="77">
        <v>88721</v>
      </c>
      <c r="AR27" s="103">
        <f t="shared" si="21"/>
        <v>0</v>
      </c>
      <c r="AS27" s="77">
        <v>2453</v>
      </c>
      <c r="AT27" s="103">
        <f t="shared" si="22"/>
        <v>0</v>
      </c>
      <c r="AU27" s="77">
        <v>939</v>
      </c>
      <c r="AV27" s="103">
        <f t="shared" si="23"/>
        <v>0</v>
      </c>
      <c r="AW27" s="77">
        <v>3110</v>
      </c>
      <c r="AX27" s="103">
        <f t="shared" si="24"/>
        <v>0</v>
      </c>
      <c r="AY27" s="77">
        <v>344564</v>
      </c>
      <c r="AZ27" s="103">
        <f t="shared" ref="AZ27:AZ37" si="32">(+AY27-+AY26)*48</f>
        <v>5136</v>
      </c>
      <c r="BA27" s="77">
        <v>161101</v>
      </c>
      <c r="BB27" s="103">
        <f>(+BA27-+BA26)*48</f>
        <v>0</v>
      </c>
      <c r="BC27" s="77">
        <v>232961</v>
      </c>
      <c r="BD27" s="103">
        <f t="shared" si="27"/>
        <v>3120</v>
      </c>
      <c r="BE27" s="77">
        <v>5349</v>
      </c>
      <c r="BF27" s="103">
        <f t="shared" si="28"/>
        <v>0</v>
      </c>
      <c r="BH27" s="105">
        <f t="shared" si="1"/>
        <v>105949.77600000001</v>
      </c>
      <c r="BI27" s="105">
        <f t="shared" si="2"/>
        <v>63840</v>
      </c>
    </row>
    <row r="28" spans="1:61" s="35" customFormat="1" ht="39.950000000000003" customHeight="1">
      <c r="A28" s="192">
        <v>44671</v>
      </c>
      <c r="B28" s="34"/>
      <c r="C28" s="77">
        <v>6838059</v>
      </c>
      <c r="D28" s="103">
        <f t="shared" si="3"/>
        <v>99936</v>
      </c>
      <c r="E28" s="104">
        <f t="shared" si="4"/>
        <v>59961.599999999999</v>
      </c>
      <c r="F28" s="103">
        <f t="shared" si="5"/>
        <v>39974.400000000001</v>
      </c>
      <c r="G28" s="77">
        <v>293879</v>
      </c>
      <c r="H28" s="103">
        <f t="shared" si="6"/>
        <v>1152</v>
      </c>
      <c r="I28" s="77">
        <v>181220</v>
      </c>
      <c r="J28" s="103">
        <f t="shared" si="7"/>
        <v>8256</v>
      </c>
      <c r="K28" s="77">
        <v>268571</v>
      </c>
      <c r="L28" s="103">
        <f t="shared" si="0"/>
        <v>432</v>
      </c>
      <c r="M28" s="77">
        <v>25315</v>
      </c>
      <c r="N28" s="37">
        <f t="shared" si="8"/>
        <v>0</v>
      </c>
      <c r="O28" s="77">
        <v>323871</v>
      </c>
      <c r="P28" s="103">
        <f t="shared" si="9"/>
        <v>6816</v>
      </c>
      <c r="Q28" s="77">
        <v>474099</v>
      </c>
      <c r="R28" s="103">
        <f t="shared" si="10"/>
        <v>3072</v>
      </c>
      <c r="S28" s="76">
        <v>760202</v>
      </c>
      <c r="T28" s="103">
        <f t="shared" si="11"/>
        <v>6096</v>
      </c>
      <c r="U28" s="76">
        <v>4504.8230000000003</v>
      </c>
      <c r="V28" s="103">
        <f t="shared" si="30"/>
        <v>0</v>
      </c>
      <c r="W28" s="77">
        <v>84439</v>
      </c>
      <c r="X28" s="103">
        <f t="shared" si="12"/>
        <v>192</v>
      </c>
      <c r="Y28" s="77">
        <v>1518181</v>
      </c>
      <c r="Z28" s="103">
        <f t="shared" si="13"/>
        <v>0</v>
      </c>
      <c r="AA28" s="77">
        <v>13886</v>
      </c>
      <c r="AB28" s="103">
        <f t="shared" si="14"/>
        <v>0</v>
      </c>
      <c r="AC28" s="77">
        <v>496432</v>
      </c>
      <c r="AD28" s="103">
        <f t="shared" si="15"/>
        <v>8736</v>
      </c>
      <c r="AE28" s="77">
        <v>567232</v>
      </c>
      <c r="AF28" s="103">
        <f t="shared" si="15"/>
        <v>7920</v>
      </c>
      <c r="AG28" s="77">
        <v>49787</v>
      </c>
      <c r="AH28" s="103">
        <f t="shared" si="16"/>
        <v>0</v>
      </c>
      <c r="AI28" s="77">
        <v>441096</v>
      </c>
      <c r="AJ28" s="103">
        <f t="shared" si="17"/>
        <v>5040</v>
      </c>
      <c r="AK28" s="77">
        <v>102770</v>
      </c>
      <c r="AL28" s="103">
        <f t="shared" si="18"/>
        <v>0</v>
      </c>
      <c r="AM28" s="77">
        <v>603009</v>
      </c>
      <c r="AN28" s="103">
        <f t="shared" si="19"/>
        <v>6432</v>
      </c>
      <c r="AO28" s="77">
        <v>989101</v>
      </c>
      <c r="AP28" s="103">
        <f t="shared" si="20"/>
        <v>10224</v>
      </c>
      <c r="AQ28" s="77">
        <v>88721</v>
      </c>
      <c r="AR28" s="103">
        <f t="shared" si="21"/>
        <v>0</v>
      </c>
      <c r="AS28" s="77">
        <v>2453</v>
      </c>
      <c r="AT28" s="103">
        <f t="shared" si="22"/>
        <v>0</v>
      </c>
      <c r="AU28" s="77">
        <v>939</v>
      </c>
      <c r="AV28" s="103">
        <f t="shared" si="23"/>
        <v>0</v>
      </c>
      <c r="AW28" s="77">
        <v>3110</v>
      </c>
      <c r="AX28" s="103">
        <f t="shared" si="24"/>
        <v>0</v>
      </c>
      <c r="AY28" s="77">
        <v>344670</v>
      </c>
      <c r="AZ28" s="103">
        <f t="shared" si="32"/>
        <v>5088</v>
      </c>
      <c r="BA28" s="77">
        <v>161101</v>
      </c>
      <c r="BB28" s="103">
        <f t="shared" ref="BB28:BB37" si="33">(+BA28-+BA27)*48</f>
        <v>0</v>
      </c>
      <c r="BC28" s="77">
        <v>233031</v>
      </c>
      <c r="BD28" s="103">
        <f t="shared" si="27"/>
        <v>3360</v>
      </c>
      <c r="BE28" s="77">
        <v>5349</v>
      </c>
      <c r="BF28" s="103">
        <f t="shared" si="28"/>
        <v>0</v>
      </c>
      <c r="BH28" s="105">
        <f t="shared" si="1"/>
        <v>107673.60000000001</v>
      </c>
      <c r="BI28" s="105">
        <f t="shared" si="2"/>
        <v>65078.400000000001</v>
      </c>
    </row>
    <row r="29" spans="1:61" s="35" customFormat="1" ht="39.950000000000003" customHeight="1">
      <c r="A29" s="192">
        <v>44672</v>
      </c>
      <c r="B29" s="34"/>
      <c r="C29" s="77">
        <v>6840082</v>
      </c>
      <c r="D29" s="103">
        <f t="shared" si="3"/>
        <v>97104</v>
      </c>
      <c r="E29" s="104">
        <f t="shared" si="4"/>
        <v>58262.400000000001</v>
      </c>
      <c r="F29" s="103">
        <f t="shared" si="5"/>
        <v>38841.599999999999</v>
      </c>
      <c r="G29" s="77">
        <v>293900</v>
      </c>
      <c r="H29" s="103">
        <f t="shared" si="6"/>
        <v>1008</v>
      </c>
      <c r="I29" s="77">
        <v>181396</v>
      </c>
      <c r="J29" s="103">
        <f t="shared" si="7"/>
        <v>8448</v>
      </c>
      <c r="K29" s="77">
        <v>268582</v>
      </c>
      <c r="L29" s="103">
        <f t="shared" si="0"/>
        <v>528</v>
      </c>
      <c r="M29" s="77">
        <v>25315</v>
      </c>
      <c r="N29" s="37">
        <f t="shared" si="8"/>
        <v>0</v>
      </c>
      <c r="O29" s="77">
        <v>324011</v>
      </c>
      <c r="P29" s="103">
        <f t="shared" si="9"/>
        <v>6720</v>
      </c>
      <c r="Q29" s="77">
        <v>474157</v>
      </c>
      <c r="R29" s="103">
        <f t="shared" si="10"/>
        <v>2784</v>
      </c>
      <c r="S29" s="77">
        <v>760333</v>
      </c>
      <c r="T29" s="103">
        <f t="shared" si="11"/>
        <v>6288</v>
      </c>
      <c r="U29" s="77">
        <v>4504.8230000000003</v>
      </c>
      <c r="V29" s="103">
        <f t="shared" si="30"/>
        <v>0</v>
      </c>
      <c r="W29" s="77">
        <v>84443</v>
      </c>
      <c r="X29" s="103">
        <f t="shared" si="12"/>
        <v>192</v>
      </c>
      <c r="Y29" s="77">
        <v>1518181</v>
      </c>
      <c r="Z29" s="103">
        <f t="shared" si="13"/>
        <v>0</v>
      </c>
      <c r="AA29" s="77">
        <v>13886</v>
      </c>
      <c r="AB29" s="103">
        <f t="shared" si="14"/>
        <v>0</v>
      </c>
      <c r="AC29" s="77">
        <v>496610</v>
      </c>
      <c r="AD29" s="103">
        <f t="shared" si="15"/>
        <v>8544</v>
      </c>
      <c r="AE29" s="77">
        <v>567393</v>
      </c>
      <c r="AF29" s="103">
        <f t="shared" si="15"/>
        <v>7728</v>
      </c>
      <c r="AG29" s="77">
        <v>49787</v>
      </c>
      <c r="AH29" s="103">
        <f t="shared" si="16"/>
        <v>0</v>
      </c>
      <c r="AI29" s="77">
        <v>441187</v>
      </c>
      <c r="AJ29" s="103">
        <f t="shared" si="17"/>
        <v>4368</v>
      </c>
      <c r="AK29" s="77">
        <v>102770</v>
      </c>
      <c r="AL29" s="103">
        <f t="shared" si="18"/>
        <v>0</v>
      </c>
      <c r="AM29" s="77">
        <v>603142</v>
      </c>
      <c r="AN29" s="103">
        <f t="shared" si="19"/>
        <v>6384</v>
      </c>
      <c r="AO29" s="77">
        <v>989313</v>
      </c>
      <c r="AP29" s="103">
        <f t="shared" si="20"/>
        <v>10176</v>
      </c>
      <c r="AQ29" s="77">
        <v>88721</v>
      </c>
      <c r="AR29" s="103">
        <f t="shared" si="21"/>
        <v>0</v>
      </c>
      <c r="AS29" s="77">
        <v>2453</v>
      </c>
      <c r="AT29" s="103">
        <f t="shared" si="22"/>
        <v>0</v>
      </c>
      <c r="AU29" s="77">
        <v>939</v>
      </c>
      <c r="AV29" s="103">
        <f t="shared" si="23"/>
        <v>0</v>
      </c>
      <c r="AW29" s="77">
        <v>3110</v>
      </c>
      <c r="AX29" s="103">
        <f t="shared" si="24"/>
        <v>0</v>
      </c>
      <c r="AY29" s="77">
        <v>344780</v>
      </c>
      <c r="AZ29" s="103">
        <f t="shared" si="32"/>
        <v>5280</v>
      </c>
      <c r="BA29" s="77">
        <v>161101</v>
      </c>
      <c r="BB29" s="103">
        <f t="shared" si="33"/>
        <v>0</v>
      </c>
      <c r="BC29" s="77">
        <v>233101</v>
      </c>
      <c r="BD29" s="103">
        <f t="shared" si="27"/>
        <v>3360</v>
      </c>
      <c r="BE29" s="77">
        <v>5349</v>
      </c>
      <c r="BF29" s="103">
        <f t="shared" si="28"/>
        <v>0</v>
      </c>
      <c r="BH29" s="105">
        <f t="shared" si="1"/>
        <v>104870.39999999999</v>
      </c>
      <c r="BI29" s="105">
        <f t="shared" si="2"/>
        <v>64041.599999999999</v>
      </c>
    </row>
    <row r="30" spans="1:61" s="35" customFormat="1" ht="39.950000000000003" customHeight="1">
      <c r="A30" s="192">
        <v>44673</v>
      </c>
      <c r="B30" s="34"/>
      <c r="C30" s="77">
        <v>6842264</v>
      </c>
      <c r="D30" s="103">
        <f t="shared" si="3"/>
        <v>104736</v>
      </c>
      <c r="E30" s="104">
        <f t="shared" si="4"/>
        <v>62841.599999999999</v>
      </c>
      <c r="F30" s="103">
        <f t="shared" si="5"/>
        <v>41894.400000000001</v>
      </c>
      <c r="G30" s="77">
        <v>293939</v>
      </c>
      <c r="H30" s="103">
        <f t="shared" si="6"/>
        <v>1872</v>
      </c>
      <c r="I30" s="77">
        <v>181574</v>
      </c>
      <c r="J30" s="103">
        <f t="shared" si="7"/>
        <v>8544</v>
      </c>
      <c r="K30" s="77">
        <v>268590</v>
      </c>
      <c r="L30" s="103">
        <f t="shared" si="0"/>
        <v>384</v>
      </c>
      <c r="M30" s="77">
        <v>25315</v>
      </c>
      <c r="N30" s="37">
        <f t="shared" si="8"/>
        <v>0</v>
      </c>
      <c r="O30" s="77">
        <v>324189</v>
      </c>
      <c r="P30" s="103">
        <f t="shared" si="9"/>
        <v>8544</v>
      </c>
      <c r="Q30" s="77">
        <v>474229</v>
      </c>
      <c r="R30" s="103">
        <f t="shared" si="10"/>
        <v>3456</v>
      </c>
      <c r="S30" s="77">
        <v>760471</v>
      </c>
      <c r="T30" s="103">
        <f t="shared" si="11"/>
        <v>6624</v>
      </c>
      <c r="U30" s="77">
        <v>4524.4269999999997</v>
      </c>
      <c r="V30" s="103">
        <f t="shared" si="30"/>
        <v>940.99199999996927</v>
      </c>
      <c r="W30" s="77">
        <v>84452</v>
      </c>
      <c r="X30" s="103">
        <f t="shared" si="12"/>
        <v>432</v>
      </c>
      <c r="Y30" s="77">
        <v>1518181</v>
      </c>
      <c r="Z30" s="103">
        <f t="shared" si="13"/>
        <v>0</v>
      </c>
      <c r="AA30" s="77">
        <v>13886</v>
      </c>
      <c r="AB30" s="103">
        <f t="shared" si="14"/>
        <v>0</v>
      </c>
      <c r="AC30" s="77">
        <v>496779</v>
      </c>
      <c r="AD30" s="103">
        <f t="shared" si="15"/>
        <v>8112</v>
      </c>
      <c r="AE30" s="77">
        <v>567530</v>
      </c>
      <c r="AF30" s="103">
        <f t="shared" si="15"/>
        <v>6576</v>
      </c>
      <c r="AG30" s="77">
        <v>49787</v>
      </c>
      <c r="AH30" s="103">
        <f t="shared" si="16"/>
        <v>0</v>
      </c>
      <c r="AI30" s="77">
        <v>441250</v>
      </c>
      <c r="AJ30" s="103">
        <f t="shared" si="17"/>
        <v>3024</v>
      </c>
      <c r="AK30" s="77">
        <v>102770</v>
      </c>
      <c r="AL30" s="103">
        <f t="shared" si="18"/>
        <v>0</v>
      </c>
      <c r="AM30" s="77">
        <v>603261</v>
      </c>
      <c r="AN30" s="103">
        <f t="shared" si="19"/>
        <v>5712</v>
      </c>
      <c r="AO30" s="77">
        <v>989530</v>
      </c>
      <c r="AP30" s="103">
        <f t="shared" si="20"/>
        <v>10416</v>
      </c>
      <c r="AQ30" s="77">
        <v>88721</v>
      </c>
      <c r="AR30" s="103">
        <f t="shared" si="21"/>
        <v>0</v>
      </c>
      <c r="AS30" s="77">
        <v>2453</v>
      </c>
      <c r="AT30" s="103">
        <f t="shared" si="22"/>
        <v>0</v>
      </c>
      <c r="AU30" s="77">
        <v>939</v>
      </c>
      <c r="AV30" s="103">
        <f t="shared" si="23"/>
        <v>0</v>
      </c>
      <c r="AW30" s="77">
        <v>3110</v>
      </c>
      <c r="AX30" s="103">
        <f t="shared" si="24"/>
        <v>0</v>
      </c>
      <c r="AY30" s="77">
        <v>344887</v>
      </c>
      <c r="AZ30" s="103">
        <f t="shared" si="32"/>
        <v>5136</v>
      </c>
      <c r="BA30" s="77">
        <v>161101</v>
      </c>
      <c r="BB30" s="103">
        <f t="shared" si="33"/>
        <v>0</v>
      </c>
      <c r="BC30" s="77">
        <v>233172</v>
      </c>
      <c r="BD30" s="103">
        <f t="shared" si="27"/>
        <v>3408</v>
      </c>
      <c r="BE30" s="77">
        <v>5349</v>
      </c>
      <c r="BF30" s="103">
        <f t="shared" si="28"/>
        <v>0</v>
      </c>
      <c r="BH30" s="105">
        <f t="shared" si="1"/>
        <v>111350.59199999998</v>
      </c>
      <c r="BI30" s="105">
        <f t="shared" si="2"/>
        <v>66566.399999999994</v>
      </c>
    </row>
    <row r="31" spans="1:61" s="35" customFormat="1" ht="39.950000000000003" customHeight="1">
      <c r="A31" s="192">
        <v>44674</v>
      </c>
      <c r="B31" s="34"/>
      <c r="C31" s="77">
        <v>6844264</v>
      </c>
      <c r="D31" s="103">
        <f t="shared" si="3"/>
        <v>96000</v>
      </c>
      <c r="E31" s="104">
        <f t="shared" si="4"/>
        <v>57600</v>
      </c>
      <c r="F31" s="103">
        <f t="shared" si="5"/>
        <v>38400</v>
      </c>
      <c r="G31" s="77">
        <v>293975</v>
      </c>
      <c r="H31" s="103">
        <f t="shared" si="6"/>
        <v>1728</v>
      </c>
      <c r="I31" s="77">
        <v>181749</v>
      </c>
      <c r="J31" s="103">
        <f t="shared" si="7"/>
        <v>8400</v>
      </c>
      <c r="K31" s="77">
        <v>268609</v>
      </c>
      <c r="L31" s="103">
        <f t="shared" si="0"/>
        <v>912</v>
      </c>
      <c r="M31" s="77">
        <v>25315</v>
      </c>
      <c r="N31" s="37">
        <f t="shared" si="8"/>
        <v>0</v>
      </c>
      <c r="O31" s="77">
        <v>324388</v>
      </c>
      <c r="P31" s="103">
        <f t="shared" si="9"/>
        <v>9552</v>
      </c>
      <c r="Q31" s="77">
        <v>474320</v>
      </c>
      <c r="R31" s="103">
        <f t="shared" si="10"/>
        <v>4368</v>
      </c>
      <c r="S31" s="77">
        <v>760597</v>
      </c>
      <c r="T31" s="103">
        <f t="shared" si="11"/>
        <v>6048</v>
      </c>
      <c r="U31" s="77">
        <v>4543.1260000000002</v>
      </c>
      <c r="V31" s="103">
        <f t="shared" si="30"/>
        <v>897.55200000002515</v>
      </c>
      <c r="W31" s="77">
        <v>84467</v>
      </c>
      <c r="X31" s="103">
        <f t="shared" si="12"/>
        <v>720</v>
      </c>
      <c r="Y31" s="77">
        <v>1518181</v>
      </c>
      <c r="Z31" s="103">
        <f t="shared" si="13"/>
        <v>0</v>
      </c>
      <c r="AA31" s="77">
        <v>13886</v>
      </c>
      <c r="AB31" s="103">
        <f t="shared" si="14"/>
        <v>0</v>
      </c>
      <c r="AC31" s="77">
        <v>496930</v>
      </c>
      <c r="AD31" s="103">
        <f t="shared" si="15"/>
        <v>7248</v>
      </c>
      <c r="AE31" s="77">
        <v>567671</v>
      </c>
      <c r="AF31" s="103">
        <f t="shared" si="15"/>
        <v>6768</v>
      </c>
      <c r="AG31" s="77">
        <v>49787</v>
      </c>
      <c r="AH31" s="103">
        <f t="shared" si="16"/>
        <v>0</v>
      </c>
      <c r="AI31" s="77">
        <v>441374</v>
      </c>
      <c r="AJ31" s="103">
        <f t="shared" si="17"/>
        <v>5952</v>
      </c>
      <c r="AK31" s="77">
        <v>102770</v>
      </c>
      <c r="AL31" s="103">
        <f t="shared" si="18"/>
        <v>0</v>
      </c>
      <c r="AM31" s="77">
        <v>603399</v>
      </c>
      <c r="AN31" s="103">
        <f t="shared" si="19"/>
        <v>6624</v>
      </c>
      <c r="AO31" s="77">
        <v>989768</v>
      </c>
      <c r="AP31" s="103">
        <f t="shared" si="20"/>
        <v>11424</v>
      </c>
      <c r="AQ31" s="77">
        <v>88721</v>
      </c>
      <c r="AR31" s="103">
        <f t="shared" si="21"/>
        <v>0</v>
      </c>
      <c r="AS31" s="77">
        <v>2453</v>
      </c>
      <c r="AT31" s="103">
        <f t="shared" si="22"/>
        <v>0</v>
      </c>
      <c r="AU31" s="77">
        <v>939</v>
      </c>
      <c r="AV31" s="103">
        <f t="shared" si="23"/>
        <v>0</v>
      </c>
      <c r="AW31" s="77">
        <v>3110</v>
      </c>
      <c r="AX31" s="103">
        <f t="shared" si="24"/>
        <v>0</v>
      </c>
      <c r="AY31" s="77">
        <v>344994</v>
      </c>
      <c r="AZ31" s="103">
        <f t="shared" si="32"/>
        <v>5136</v>
      </c>
      <c r="BA31" s="77">
        <v>161101</v>
      </c>
      <c r="BB31" s="103">
        <f t="shared" si="33"/>
        <v>0</v>
      </c>
      <c r="BC31" s="77">
        <v>233242</v>
      </c>
      <c r="BD31" s="103">
        <f t="shared" si="27"/>
        <v>3360</v>
      </c>
      <c r="BE31" s="77">
        <v>5349</v>
      </c>
      <c r="BF31" s="103">
        <f t="shared" si="28"/>
        <v>0</v>
      </c>
      <c r="BH31" s="105">
        <f t="shared" si="1"/>
        <v>110193.55200000003</v>
      </c>
      <c r="BI31" s="105">
        <f t="shared" si="2"/>
        <v>64944</v>
      </c>
    </row>
    <row r="32" spans="1:61" s="35" customFormat="1" ht="39.950000000000003" customHeight="1">
      <c r="A32" s="192">
        <v>44675</v>
      </c>
      <c r="B32" s="34"/>
      <c r="C32" s="77">
        <v>6846383</v>
      </c>
      <c r="D32" s="103">
        <f t="shared" si="3"/>
        <v>101712</v>
      </c>
      <c r="E32" s="104">
        <f t="shared" si="4"/>
        <v>61027.199999999997</v>
      </c>
      <c r="F32" s="103">
        <f t="shared" si="5"/>
        <v>40684.800000000003</v>
      </c>
      <c r="G32" s="77">
        <v>294016</v>
      </c>
      <c r="H32" s="37">
        <f t="shared" si="6"/>
        <v>1968</v>
      </c>
      <c r="I32" s="77">
        <v>181925</v>
      </c>
      <c r="J32" s="37">
        <f t="shared" si="7"/>
        <v>8448</v>
      </c>
      <c r="K32" s="77">
        <v>268632</v>
      </c>
      <c r="L32" s="37">
        <f t="shared" si="0"/>
        <v>1104</v>
      </c>
      <c r="M32" s="77">
        <v>25315</v>
      </c>
      <c r="N32" s="37">
        <f t="shared" si="8"/>
        <v>0</v>
      </c>
      <c r="O32" s="77">
        <v>324589</v>
      </c>
      <c r="P32" s="37">
        <f t="shared" si="9"/>
        <v>9648</v>
      </c>
      <c r="Q32" s="77">
        <v>474395</v>
      </c>
      <c r="R32" s="103">
        <f t="shared" si="10"/>
        <v>3600</v>
      </c>
      <c r="S32" s="77">
        <v>760728</v>
      </c>
      <c r="T32" s="103">
        <f t="shared" si="11"/>
        <v>6288</v>
      </c>
      <c r="U32" s="77">
        <v>4566.2340000000004</v>
      </c>
      <c r="V32" s="103">
        <f t="shared" si="30"/>
        <v>1109.1840000000084</v>
      </c>
      <c r="W32" s="77">
        <v>84481</v>
      </c>
      <c r="X32" s="103">
        <f t="shared" si="12"/>
        <v>672</v>
      </c>
      <c r="Y32" s="77">
        <v>1518181</v>
      </c>
      <c r="Z32" s="103">
        <f t="shared" si="13"/>
        <v>0</v>
      </c>
      <c r="AA32" s="77">
        <v>13886</v>
      </c>
      <c r="AB32" s="103">
        <f t="shared" si="14"/>
        <v>0</v>
      </c>
      <c r="AC32" s="77">
        <v>497080</v>
      </c>
      <c r="AD32" s="103">
        <f t="shared" si="15"/>
        <v>7200</v>
      </c>
      <c r="AE32" s="77">
        <v>567808</v>
      </c>
      <c r="AF32" s="103">
        <f t="shared" si="15"/>
        <v>6576</v>
      </c>
      <c r="AG32" s="77">
        <v>49787</v>
      </c>
      <c r="AH32" s="103">
        <f t="shared" si="16"/>
        <v>0</v>
      </c>
      <c r="AI32" s="77">
        <v>441483</v>
      </c>
      <c r="AJ32" s="103">
        <f t="shared" si="17"/>
        <v>5232</v>
      </c>
      <c r="AK32" s="77">
        <v>102770</v>
      </c>
      <c r="AL32" s="103">
        <f t="shared" si="18"/>
        <v>0</v>
      </c>
      <c r="AM32" s="77">
        <v>603524</v>
      </c>
      <c r="AN32" s="103">
        <f t="shared" si="19"/>
        <v>6000</v>
      </c>
      <c r="AO32" s="77">
        <v>989988</v>
      </c>
      <c r="AP32" s="103">
        <f t="shared" si="20"/>
        <v>10560</v>
      </c>
      <c r="AQ32" s="77">
        <v>88721</v>
      </c>
      <c r="AR32" s="103">
        <f t="shared" si="21"/>
        <v>0</v>
      </c>
      <c r="AS32" s="77">
        <v>2453</v>
      </c>
      <c r="AT32" s="103">
        <f t="shared" si="22"/>
        <v>0</v>
      </c>
      <c r="AU32" s="77">
        <v>939</v>
      </c>
      <c r="AV32" s="103">
        <f t="shared" si="23"/>
        <v>0</v>
      </c>
      <c r="AW32" s="77">
        <v>3110</v>
      </c>
      <c r="AX32" s="103">
        <f t="shared" si="24"/>
        <v>0</v>
      </c>
      <c r="AY32" s="77">
        <v>345095</v>
      </c>
      <c r="AZ32" s="103">
        <f t="shared" si="32"/>
        <v>4848</v>
      </c>
      <c r="BA32" s="77">
        <v>161101</v>
      </c>
      <c r="BB32" s="103">
        <f t="shared" si="33"/>
        <v>0</v>
      </c>
      <c r="BC32" s="77">
        <v>233307</v>
      </c>
      <c r="BD32" s="103">
        <f t="shared" si="27"/>
        <v>3120</v>
      </c>
      <c r="BE32" s="77">
        <v>5349</v>
      </c>
      <c r="BF32" s="103">
        <f t="shared" si="28"/>
        <v>0</v>
      </c>
      <c r="BH32" s="105">
        <f t="shared" si="1"/>
        <v>112872.38400000001</v>
      </c>
      <c r="BI32" s="105">
        <f t="shared" si="2"/>
        <v>65212.800000000003</v>
      </c>
    </row>
    <row r="33" spans="1:61" s="35" customFormat="1" ht="39.950000000000003" customHeight="1">
      <c r="A33" s="192">
        <v>44676</v>
      </c>
      <c r="B33" s="34"/>
      <c r="C33" s="77">
        <v>6848366</v>
      </c>
      <c r="D33" s="103">
        <f t="shared" si="3"/>
        <v>95184</v>
      </c>
      <c r="E33" s="104">
        <f t="shared" si="4"/>
        <v>57110.400000000001</v>
      </c>
      <c r="F33" s="103">
        <f t="shared" si="5"/>
        <v>38073.599999999999</v>
      </c>
      <c r="G33" s="77">
        <v>294049</v>
      </c>
      <c r="H33" s="37">
        <f t="shared" si="6"/>
        <v>1584</v>
      </c>
      <c r="I33" s="77">
        <v>182096</v>
      </c>
      <c r="J33" s="37">
        <f t="shared" si="7"/>
        <v>8208</v>
      </c>
      <c r="K33" s="77">
        <v>268651</v>
      </c>
      <c r="L33" s="37">
        <f t="shared" si="0"/>
        <v>912</v>
      </c>
      <c r="M33" s="77">
        <v>25315</v>
      </c>
      <c r="N33" s="37">
        <f t="shared" si="8"/>
        <v>0</v>
      </c>
      <c r="O33" s="77">
        <v>324790</v>
      </c>
      <c r="P33" s="37">
        <f t="shared" si="9"/>
        <v>9648</v>
      </c>
      <c r="Q33" s="77">
        <v>474478</v>
      </c>
      <c r="R33" s="103">
        <f t="shared" si="10"/>
        <v>3984</v>
      </c>
      <c r="S33" s="77">
        <v>760844</v>
      </c>
      <c r="T33" s="103">
        <f t="shared" si="11"/>
        <v>5568</v>
      </c>
      <c r="U33" s="82">
        <v>4583.5950000000003</v>
      </c>
      <c r="V33" s="103">
        <f t="shared" si="30"/>
        <v>833.32799999999406</v>
      </c>
      <c r="W33" s="77">
        <v>84493</v>
      </c>
      <c r="X33" s="103">
        <f t="shared" si="12"/>
        <v>576</v>
      </c>
      <c r="Y33" s="77">
        <v>1518181</v>
      </c>
      <c r="Z33" s="103">
        <f t="shared" si="13"/>
        <v>0</v>
      </c>
      <c r="AA33" s="77">
        <v>13886</v>
      </c>
      <c r="AB33" s="103">
        <f t="shared" si="14"/>
        <v>0</v>
      </c>
      <c r="AC33" s="77">
        <v>497226</v>
      </c>
      <c r="AD33" s="103">
        <f t="shared" si="15"/>
        <v>7008</v>
      </c>
      <c r="AE33" s="77">
        <v>567929</v>
      </c>
      <c r="AF33" s="103">
        <f t="shared" si="15"/>
        <v>5808</v>
      </c>
      <c r="AG33" s="77">
        <v>49787</v>
      </c>
      <c r="AH33" s="103">
        <f t="shared" si="16"/>
        <v>0</v>
      </c>
      <c r="AI33" s="77">
        <v>441585</v>
      </c>
      <c r="AJ33" s="103">
        <f t="shared" si="17"/>
        <v>4896</v>
      </c>
      <c r="AK33" s="77">
        <v>102770</v>
      </c>
      <c r="AL33" s="103">
        <f t="shared" si="18"/>
        <v>0</v>
      </c>
      <c r="AM33" s="77">
        <v>603652</v>
      </c>
      <c r="AN33" s="103">
        <f t="shared" si="19"/>
        <v>6144</v>
      </c>
      <c r="AO33" s="77">
        <v>990213</v>
      </c>
      <c r="AP33" s="103">
        <f t="shared" si="20"/>
        <v>10800</v>
      </c>
      <c r="AQ33" s="77">
        <v>88721</v>
      </c>
      <c r="AR33" s="103">
        <f t="shared" si="21"/>
        <v>0</v>
      </c>
      <c r="AS33" s="77">
        <v>2453</v>
      </c>
      <c r="AT33" s="103">
        <f t="shared" si="22"/>
        <v>0</v>
      </c>
      <c r="AU33" s="77">
        <v>939</v>
      </c>
      <c r="AV33" s="103">
        <f t="shared" si="23"/>
        <v>0</v>
      </c>
      <c r="AW33" s="77">
        <v>3110</v>
      </c>
      <c r="AX33" s="103">
        <f>(+AW34-+AW32)*48</f>
        <v>0</v>
      </c>
      <c r="AY33" s="77">
        <v>345192</v>
      </c>
      <c r="AZ33" s="103">
        <f t="shared" si="32"/>
        <v>4656</v>
      </c>
      <c r="BA33" s="77">
        <v>161101</v>
      </c>
      <c r="BB33" s="103">
        <f t="shared" si="33"/>
        <v>0</v>
      </c>
      <c r="BC33" s="77">
        <v>233374</v>
      </c>
      <c r="BD33" s="103">
        <f t="shared" si="27"/>
        <v>3216</v>
      </c>
      <c r="BE33" s="77">
        <v>5349</v>
      </c>
      <c r="BF33" s="103">
        <f t="shared" si="28"/>
        <v>0</v>
      </c>
      <c r="BH33" s="105">
        <f t="shared" si="1"/>
        <v>106135.72799999999</v>
      </c>
      <c r="BI33" s="105">
        <f t="shared" si="2"/>
        <v>62889.599999999999</v>
      </c>
    </row>
    <row r="34" spans="1:61" s="35" customFormat="1" ht="39.950000000000003" customHeight="1">
      <c r="A34" s="192">
        <v>44677</v>
      </c>
      <c r="B34" s="34"/>
      <c r="C34" s="77">
        <v>6850459</v>
      </c>
      <c r="D34" s="103">
        <f t="shared" si="3"/>
        <v>100464</v>
      </c>
      <c r="E34" s="104">
        <f t="shared" si="4"/>
        <v>60278.399999999994</v>
      </c>
      <c r="F34" s="103">
        <f t="shared" si="5"/>
        <v>40185.600000000006</v>
      </c>
      <c r="G34" s="77">
        <v>294082</v>
      </c>
      <c r="H34" s="103">
        <f t="shared" si="6"/>
        <v>1584</v>
      </c>
      <c r="I34" s="77">
        <v>182267</v>
      </c>
      <c r="J34" s="37">
        <f t="shared" si="7"/>
        <v>8208</v>
      </c>
      <c r="K34" s="77">
        <v>268667</v>
      </c>
      <c r="L34" s="103">
        <f t="shared" si="0"/>
        <v>768</v>
      </c>
      <c r="M34" s="77">
        <v>25315</v>
      </c>
      <c r="N34" s="37">
        <f t="shared" si="8"/>
        <v>0</v>
      </c>
      <c r="O34" s="77">
        <v>324958</v>
      </c>
      <c r="P34" s="37">
        <f t="shared" si="9"/>
        <v>8064</v>
      </c>
      <c r="Q34" s="77">
        <v>474558</v>
      </c>
      <c r="R34" s="103">
        <f t="shared" si="10"/>
        <v>3840</v>
      </c>
      <c r="S34" s="77">
        <v>760970</v>
      </c>
      <c r="T34" s="103">
        <f t="shared" si="11"/>
        <v>6048</v>
      </c>
      <c r="U34" s="82">
        <v>4602</v>
      </c>
      <c r="V34" s="103">
        <f t="shared" si="30"/>
        <v>883.43999999998778</v>
      </c>
      <c r="W34" s="77">
        <v>84497</v>
      </c>
      <c r="X34" s="103">
        <f t="shared" si="12"/>
        <v>192</v>
      </c>
      <c r="Y34" s="77">
        <v>1518181</v>
      </c>
      <c r="Z34" s="103">
        <f t="shared" si="13"/>
        <v>0</v>
      </c>
      <c r="AA34" s="77">
        <v>13886</v>
      </c>
      <c r="AB34" s="103">
        <f t="shared" si="14"/>
        <v>0</v>
      </c>
      <c r="AC34" s="77">
        <v>497373</v>
      </c>
      <c r="AD34" s="103">
        <f t="shared" si="15"/>
        <v>7056</v>
      </c>
      <c r="AE34" s="77">
        <v>568062</v>
      </c>
      <c r="AF34" s="103">
        <f t="shared" si="15"/>
        <v>6384</v>
      </c>
      <c r="AG34" s="77">
        <v>49787</v>
      </c>
      <c r="AH34" s="103">
        <f t="shared" si="16"/>
        <v>0</v>
      </c>
      <c r="AI34" s="77">
        <v>441676</v>
      </c>
      <c r="AJ34" s="103">
        <f t="shared" si="17"/>
        <v>4368</v>
      </c>
      <c r="AK34" s="77">
        <v>102770</v>
      </c>
      <c r="AL34" s="103">
        <f t="shared" si="18"/>
        <v>0</v>
      </c>
      <c r="AM34" s="77">
        <v>603779</v>
      </c>
      <c r="AN34" s="103">
        <f t="shared" si="19"/>
        <v>6096</v>
      </c>
      <c r="AO34" s="77">
        <v>990436</v>
      </c>
      <c r="AP34" s="103">
        <f t="shared" si="20"/>
        <v>10704</v>
      </c>
      <c r="AQ34" s="77">
        <v>88721</v>
      </c>
      <c r="AR34" s="103">
        <f t="shared" si="21"/>
        <v>0</v>
      </c>
      <c r="AS34" s="77">
        <v>2453</v>
      </c>
      <c r="AT34" s="103">
        <f>(+AS34-+AS33)*48</f>
        <v>0</v>
      </c>
      <c r="AU34" s="77">
        <v>939</v>
      </c>
      <c r="AV34" s="103">
        <f t="shared" si="23"/>
        <v>0</v>
      </c>
      <c r="AW34" s="77">
        <v>3110</v>
      </c>
      <c r="AX34" s="103">
        <v>0</v>
      </c>
      <c r="AY34" s="77">
        <v>345294</v>
      </c>
      <c r="AZ34" s="103">
        <f t="shared" si="32"/>
        <v>4896</v>
      </c>
      <c r="BA34" s="77">
        <v>161101</v>
      </c>
      <c r="BB34" s="103">
        <f t="shared" si="33"/>
        <v>0</v>
      </c>
      <c r="BC34" s="77">
        <v>233445</v>
      </c>
      <c r="BD34" s="103">
        <f t="shared" si="27"/>
        <v>3408</v>
      </c>
      <c r="BE34" s="77">
        <v>5349</v>
      </c>
      <c r="BF34" s="103">
        <f t="shared" si="28"/>
        <v>0</v>
      </c>
      <c r="BH34" s="105">
        <f t="shared" si="1"/>
        <v>107673.83999999998</v>
      </c>
      <c r="BI34" s="105">
        <f t="shared" si="2"/>
        <v>65289.600000000006</v>
      </c>
    </row>
    <row r="35" spans="1:61" s="35" customFormat="1" ht="39.950000000000003" customHeight="1">
      <c r="A35" s="192">
        <v>44678</v>
      </c>
      <c r="B35" s="34"/>
      <c r="C35" s="77">
        <v>6852490</v>
      </c>
      <c r="D35" s="103">
        <f t="shared" si="3"/>
        <v>97488</v>
      </c>
      <c r="E35" s="104">
        <f t="shared" si="4"/>
        <v>58492.799999999996</v>
      </c>
      <c r="F35" s="103">
        <f t="shared" si="5"/>
        <v>38995.200000000004</v>
      </c>
      <c r="G35" s="77">
        <v>294118</v>
      </c>
      <c r="H35" s="103">
        <f t="shared" si="6"/>
        <v>1728</v>
      </c>
      <c r="I35" s="77">
        <v>182427</v>
      </c>
      <c r="J35" s="37">
        <f t="shared" si="7"/>
        <v>7680</v>
      </c>
      <c r="K35" s="77">
        <v>268680</v>
      </c>
      <c r="L35" s="103">
        <f t="shared" si="0"/>
        <v>624</v>
      </c>
      <c r="M35" s="77">
        <v>25315</v>
      </c>
      <c r="N35" s="37">
        <f t="shared" si="8"/>
        <v>0</v>
      </c>
      <c r="O35" s="77">
        <v>325151</v>
      </c>
      <c r="P35" s="37">
        <f t="shared" si="9"/>
        <v>9264</v>
      </c>
      <c r="Q35" s="77">
        <v>474631</v>
      </c>
      <c r="R35" s="103">
        <f t="shared" si="10"/>
        <v>3504</v>
      </c>
      <c r="S35" s="77">
        <v>761084</v>
      </c>
      <c r="T35" s="103">
        <f t="shared" si="11"/>
        <v>5472</v>
      </c>
      <c r="U35" s="82">
        <v>4620</v>
      </c>
      <c r="V35" s="103">
        <f t="shared" si="30"/>
        <v>864</v>
      </c>
      <c r="W35" s="77">
        <v>84510</v>
      </c>
      <c r="X35" s="103">
        <f t="shared" si="12"/>
        <v>624</v>
      </c>
      <c r="Y35" s="77">
        <v>1518181</v>
      </c>
      <c r="Z35" s="103">
        <f>(+Y35-+Y34)*48</f>
        <v>0</v>
      </c>
      <c r="AA35" s="77">
        <v>13886</v>
      </c>
      <c r="AB35" s="103">
        <f t="shared" si="14"/>
        <v>0</v>
      </c>
      <c r="AC35" s="77">
        <v>497519</v>
      </c>
      <c r="AD35" s="103">
        <f t="shared" si="15"/>
        <v>7008</v>
      </c>
      <c r="AE35" s="77">
        <v>568197</v>
      </c>
      <c r="AF35" s="103">
        <f t="shared" si="15"/>
        <v>6480</v>
      </c>
      <c r="AG35" s="77">
        <v>49787</v>
      </c>
      <c r="AH35" s="103">
        <f t="shared" si="16"/>
        <v>0</v>
      </c>
      <c r="AI35" s="77">
        <v>441760</v>
      </c>
      <c r="AJ35" s="103">
        <f t="shared" si="17"/>
        <v>4032</v>
      </c>
      <c r="AK35" s="77">
        <v>102770</v>
      </c>
      <c r="AL35" s="103">
        <f t="shared" si="18"/>
        <v>0</v>
      </c>
      <c r="AM35" s="77">
        <v>603903</v>
      </c>
      <c r="AN35" s="103">
        <f t="shared" si="19"/>
        <v>5952</v>
      </c>
      <c r="AO35" s="77">
        <v>990656</v>
      </c>
      <c r="AP35" s="103">
        <f t="shared" si="20"/>
        <v>10560</v>
      </c>
      <c r="AQ35" s="77">
        <v>88721</v>
      </c>
      <c r="AR35" s="103">
        <f t="shared" si="21"/>
        <v>0</v>
      </c>
      <c r="AS35" s="77">
        <v>2453</v>
      </c>
      <c r="AT35" s="103">
        <f>(+AS35-+AS34)*48</f>
        <v>0</v>
      </c>
      <c r="AU35" s="77">
        <v>939</v>
      </c>
      <c r="AV35" s="103">
        <f t="shared" si="23"/>
        <v>0</v>
      </c>
      <c r="AW35" s="77">
        <v>3110</v>
      </c>
      <c r="AX35" s="103">
        <f t="shared" ref="AX35:AX37" si="34">(+AW35-+AW34)*48</f>
        <v>0</v>
      </c>
      <c r="AY35" s="77">
        <v>345395</v>
      </c>
      <c r="AZ35" s="103">
        <f t="shared" si="32"/>
        <v>4848</v>
      </c>
      <c r="BA35" s="77">
        <v>161101</v>
      </c>
      <c r="BB35" s="103">
        <f t="shared" si="33"/>
        <v>0</v>
      </c>
      <c r="BC35" s="77">
        <v>233514</v>
      </c>
      <c r="BD35" s="103">
        <f t="shared" si="27"/>
        <v>3312</v>
      </c>
      <c r="BE35" s="77">
        <v>5349</v>
      </c>
      <c r="BF35" s="103">
        <f t="shared" si="28"/>
        <v>0</v>
      </c>
      <c r="BH35" s="105">
        <f t="shared" si="1"/>
        <v>105772.79999999999</v>
      </c>
      <c r="BI35" s="105">
        <f t="shared" si="2"/>
        <v>63667.200000000004</v>
      </c>
    </row>
    <row r="36" spans="1:61" s="35" customFormat="1" ht="39.950000000000003" customHeight="1">
      <c r="A36" s="192">
        <v>44679</v>
      </c>
      <c r="B36" s="34"/>
      <c r="C36" s="77">
        <v>6854468</v>
      </c>
      <c r="D36" s="103">
        <f t="shared" si="3"/>
        <v>94944</v>
      </c>
      <c r="E36" s="104">
        <f t="shared" si="4"/>
        <v>56966.400000000001</v>
      </c>
      <c r="F36" s="103">
        <f t="shared" si="5"/>
        <v>37977.599999999999</v>
      </c>
      <c r="G36" s="77">
        <v>294150</v>
      </c>
      <c r="H36" s="103">
        <f t="shared" si="6"/>
        <v>1536</v>
      </c>
      <c r="I36" s="77">
        <v>182660</v>
      </c>
      <c r="J36" s="37">
        <f t="shared" si="7"/>
        <v>11184</v>
      </c>
      <c r="K36" s="77">
        <v>268692</v>
      </c>
      <c r="L36" s="103">
        <f t="shared" si="0"/>
        <v>576</v>
      </c>
      <c r="M36" s="77">
        <v>25315</v>
      </c>
      <c r="N36" s="37">
        <f t="shared" si="8"/>
        <v>0</v>
      </c>
      <c r="O36" s="77">
        <v>325324</v>
      </c>
      <c r="P36" s="37">
        <f t="shared" si="9"/>
        <v>8304</v>
      </c>
      <c r="Q36" s="77">
        <v>474697</v>
      </c>
      <c r="R36" s="103">
        <f t="shared" si="10"/>
        <v>3168</v>
      </c>
      <c r="S36" s="77">
        <v>761213</v>
      </c>
      <c r="T36" s="103">
        <f t="shared" si="11"/>
        <v>6192</v>
      </c>
      <c r="U36" s="82">
        <v>4636</v>
      </c>
      <c r="V36" s="103">
        <f t="shared" si="30"/>
        <v>768</v>
      </c>
      <c r="W36" s="77">
        <v>84530</v>
      </c>
      <c r="X36" s="103">
        <f t="shared" si="12"/>
        <v>960</v>
      </c>
      <c r="Y36" s="77">
        <v>1518181</v>
      </c>
      <c r="Z36" s="103">
        <f>(+Y36-+Y35)*48</f>
        <v>0</v>
      </c>
      <c r="AA36" s="77">
        <v>13886</v>
      </c>
      <c r="AB36" s="103">
        <f t="shared" si="14"/>
        <v>0</v>
      </c>
      <c r="AC36" s="77">
        <v>497663</v>
      </c>
      <c r="AD36" s="103">
        <f t="shared" si="15"/>
        <v>6912</v>
      </c>
      <c r="AE36" s="77">
        <v>568331</v>
      </c>
      <c r="AF36" s="103">
        <f t="shared" si="15"/>
        <v>6432</v>
      </c>
      <c r="AG36" s="77">
        <v>49787</v>
      </c>
      <c r="AH36" s="103">
        <f t="shared" si="16"/>
        <v>0</v>
      </c>
      <c r="AI36" s="77">
        <v>441850</v>
      </c>
      <c r="AJ36" s="103">
        <f t="shared" si="17"/>
        <v>4320</v>
      </c>
      <c r="AK36" s="77">
        <v>102770</v>
      </c>
      <c r="AL36" s="103">
        <f t="shared" si="18"/>
        <v>0</v>
      </c>
      <c r="AM36" s="77">
        <v>604027</v>
      </c>
      <c r="AN36" s="103">
        <f t="shared" si="19"/>
        <v>5952</v>
      </c>
      <c r="AO36" s="77">
        <v>990877</v>
      </c>
      <c r="AP36" s="103">
        <f t="shared" si="20"/>
        <v>10608</v>
      </c>
      <c r="AQ36" s="77">
        <v>88721</v>
      </c>
      <c r="AR36" s="103">
        <f t="shared" si="21"/>
        <v>0</v>
      </c>
      <c r="AS36" s="77">
        <v>2453</v>
      </c>
      <c r="AT36" s="103">
        <f>(+AS36-+AS35)*48</f>
        <v>0</v>
      </c>
      <c r="AU36" s="77">
        <v>939</v>
      </c>
      <c r="AV36" s="103">
        <f t="shared" si="23"/>
        <v>0</v>
      </c>
      <c r="AW36" s="77">
        <v>3110</v>
      </c>
      <c r="AX36" s="103">
        <f t="shared" si="34"/>
        <v>0</v>
      </c>
      <c r="AY36" s="77">
        <v>345494</v>
      </c>
      <c r="AZ36" s="103">
        <f t="shared" si="32"/>
        <v>4752</v>
      </c>
      <c r="BA36" s="77">
        <v>161101</v>
      </c>
      <c r="BB36" s="103">
        <f t="shared" si="33"/>
        <v>0</v>
      </c>
      <c r="BC36" s="77">
        <v>233591</v>
      </c>
      <c r="BD36" s="103">
        <f t="shared" si="27"/>
        <v>3696</v>
      </c>
      <c r="BE36" s="77">
        <v>5349</v>
      </c>
      <c r="BF36" s="103">
        <f t="shared" si="28"/>
        <v>0</v>
      </c>
      <c r="BH36" s="105">
        <f t="shared" si="1"/>
        <v>107318.39999999999</v>
      </c>
      <c r="BI36" s="105">
        <f t="shared" si="2"/>
        <v>62985.599999999999</v>
      </c>
    </row>
    <row r="37" spans="1:61" s="35" customFormat="1" ht="39.950000000000003" customHeight="1">
      <c r="A37" s="192">
        <v>44680</v>
      </c>
      <c r="B37" s="34"/>
      <c r="C37" s="77">
        <v>6856442</v>
      </c>
      <c r="D37" s="103">
        <f t="shared" si="3"/>
        <v>94752</v>
      </c>
      <c r="E37" s="104">
        <f t="shared" si="4"/>
        <v>56851.199999999997</v>
      </c>
      <c r="F37" s="103">
        <f t="shared" si="5"/>
        <v>37900.800000000003</v>
      </c>
      <c r="G37" s="77">
        <v>294184</v>
      </c>
      <c r="H37" s="103">
        <f t="shared" si="6"/>
        <v>1632</v>
      </c>
      <c r="I37" s="77">
        <v>182766</v>
      </c>
      <c r="J37" s="37">
        <f t="shared" si="7"/>
        <v>5088</v>
      </c>
      <c r="K37" s="77">
        <v>268706</v>
      </c>
      <c r="L37" s="103">
        <f t="shared" si="0"/>
        <v>672</v>
      </c>
      <c r="M37" s="77">
        <v>25315</v>
      </c>
      <c r="N37" s="37">
        <f t="shared" si="8"/>
        <v>0</v>
      </c>
      <c r="O37" s="77">
        <v>325509</v>
      </c>
      <c r="P37" s="37">
        <f t="shared" si="9"/>
        <v>8880</v>
      </c>
      <c r="Q37" s="77">
        <v>474767</v>
      </c>
      <c r="R37" s="103">
        <f t="shared" si="10"/>
        <v>3360</v>
      </c>
      <c r="S37" s="77">
        <v>761345</v>
      </c>
      <c r="T37" s="103">
        <f t="shared" si="11"/>
        <v>6336</v>
      </c>
      <c r="U37" s="82">
        <v>4657</v>
      </c>
      <c r="V37" s="103">
        <f t="shared" si="30"/>
        <v>1008</v>
      </c>
      <c r="W37" s="77">
        <v>84541</v>
      </c>
      <c r="X37" s="103">
        <f t="shared" si="12"/>
        <v>528</v>
      </c>
      <c r="Y37" s="77">
        <v>1518181</v>
      </c>
      <c r="Z37" s="103">
        <f>(+Y37-+Y36)*48</f>
        <v>0</v>
      </c>
      <c r="AA37" s="77">
        <v>13886</v>
      </c>
      <c r="AB37" s="103">
        <f t="shared" si="14"/>
        <v>0</v>
      </c>
      <c r="AC37" s="77">
        <v>497803</v>
      </c>
      <c r="AD37" s="103">
        <f t="shared" ref="AD37" si="35">(+AC37-+AC36)*48</f>
        <v>6720</v>
      </c>
      <c r="AE37" s="77">
        <v>568465</v>
      </c>
      <c r="AF37" s="103">
        <f t="shared" ref="AF37" si="36">(+AE37-+AE36)*48</f>
        <v>6432</v>
      </c>
      <c r="AG37" s="77">
        <v>49787</v>
      </c>
      <c r="AH37" s="103">
        <f>(+AG37-+AG36)*48</f>
        <v>0</v>
      </c>
      <c r="AI37" s="77">
        <v>441931</v>
      </c>
      <c r="AJ37" s="103">
        <f t="shared" si="17"/>
        <v>3888</v>
      </c>
      <c r="AK37" s="77">
        <v>102770</v>
      </c>
      <c r="AL37" s="103">
        <f t="shared" si="18"/>
        <v>0</v>
      </c>
      <c r="AM37" s="77">
        <v>604150</v>
      </c>
      <c r="AN37" s="103">
        <f t="shared" si="19"/>
        <v>5904</v>
      </c>
      <c r="AO37" s="77">
        <v>991098</v>
      </c>
      <c r="AP37" s="103">
        <f t="shared" si="20"/>
        <v>10608</v>
      </c>
      <c r="AQ37" s="77">
        <v>88721</v>
      </c>
      <c r="AR37" s="103">
        <f t="shared" si="21"/>
        <v>0</v>
      </c>
      <c r="AS37" s="77">
        <v>2453</v>
      </c>
      <c r="AT37" s="103">
        <f>(+AS37-+AS36)*48</f>
        <v>0</v>
      </c>
      <c r="AU37" s="77">
        <v>939</v>
      </c>
      <c r="AV37" s="103">
        <f t="shared" si="23"/>
        <v>0</v>
      </c>
      <c r="AW37" s="77">
        <v>3110</v>
      </c>
      <c r="AX37" s="103">
        <f t="shared" si="34"/>
        <v>0</v>
      </c>
      <c r="AY37" s="77">
        <v>345597</v>
      </c>
      <c r="AZ37" s="103">
        <f t="shared" si="32"/>
        <v>4944</v>
      </c>
      <c r="BA37" s="77">
        <v>161101</v>
      </c>
      <c r="BB37" s="103">
        <f t="shared" si="33"/>
        <v>0</v>
      </c>
      <c r="BC37" s="77">
        <v>233671</v>
      </c>
      <c r="BD37" s="103">
        <f t="shared" si="27"/>
        <v>3840</v>
      </c>
      <c r="BE37" s="77">
        <v>5349</v>
      </c>
      <c r="BF37" s="103">
        <f t="shared" si="28"/>
        <v>0</v>
      </c>
      <c r="BH37" s="105">
        <f t="shared" si="1"/>
        <v>101395.2</v>
      </c>
      <c r="BI37" s="105">
        <f t="shared" si="2"/>
        <v>63196.800000000003</v>
      </c>
    </row>
    <row r="38" spans="1:61" s="35" customFormat="1" ht="39.950000000000003" customHeight="1">
      <c r="A38" s="192">
        <v>44681</v>
      </c>
      <c r="B38" s="34"/>
      <c r="C38" s="77">
        <v>6858484</v>
      </c>
      <c r="D38" s="103">
        <f>(+C38-+C36)*48</f>
        <v>192768</v>
      </c>
      <c r="E38" s="104">
        <f t="shared" si="4"/>
        <v>115660.8</v>
      </c>
      <c r="F38" s="103">
        <f t="shared" si="5"/>
        <v>77107.199999999997</v>
      </c>
      <c r="G38" s="77">
        <v>294219</v>
      </c>
      <c r="H38" s="103">
        <f>(+G38-+G36)*48</f>
        <v>3312</v>
      </c>
      <c r="I38" s="77">
        <v>182948</v>
      </c>
      <c r="J38" s="37">
        <f>(+I38-+I36)*48</f>
        <v>13824</v>
      </c>
      <c r="K38" s="77">
        <v>268727</v>
      </c>
      <c r="L38" s="103">
        <f>(+K38-+K36)*48</f>
        <v>1680</v>
      </c>
      <c r="M38" s="77">
        <v>25315</v>
      </c>
      <c r="N38" s="37">
        <f>(+M38-+M36)*48</f>
        <v>0</v>
      </c>
      <c r="O38" s="77">
        <v>325687</v>
      </c>
      <c r="P38" s="37">
        <f>(+O38-+O36)*48</f>
        <v>17424</v>
      </c>
      <c r="Q38" s="77">
        <v>474858</v>
      </c>
      <c r="R38" s="103">
        <f>(+Q38-+Q36)*48</f>
        <v>7728</v>
      </c>
      <c r="S38" s="77">
        <v>761469</v>
      </c>
      <c r="T38" s="103">
        <f>(+S38-+S36)*48</f>
        <v>12288</v>
      </c>
      <c r="U38" s="82">
        <v>4672</v>
      </c>
      <c r="V38" s="103">
        <f>(+U38-+U36)*48</f>
        <v>1728</v>
      </c>
      <c r="W38" s="77">
        <v>84553</v>
      </c>
      <c r="X38" s="103">
        <f>(+W38-+W36)*48</f>
        <v>1104</v>
      </c>
      <c r="Y38" s="77">
        <v>1518181</v>
      </c>
      <c r="Z38" s="103">
        <f>(+Y38-+Y36)*48</f>
        <v>0</v>
      </c>
      <c r="AA38" s="77">
        <v>13886</v>
      </c>
      <c r="AB38" s="103">
        <f>(+AA38-+AA36)*48</f>
        <v>0</v>
      </c>
      <c r="AC38" s="77">
        <v>497949</v>
      </c>
      <c r="AD38" s="103">
        <f>(+AC38-+AC36)*48</f>
        <v>13728</v>
      </c>
      <c r="AE38" s="77">
        <v>568597</v>
      </c>
      <c r="AF38" s="103">
        <f>(+AE38-+AE36)*48</f>
        <v>12768</v>
      </c>
      <c r="AG38" s="77">
        <v>49787</v>
      </c>
      <c r="AH38" s="103">
        <f>(+AG38-+AG36)*48</f>
        <v>0</v>
      </c>
      <c r="AI38" s="77">
        <v>442026</v>
      </c>
      <c r="AJ38" s="103">
        <f>(+AI38-+AI36)*48</f>
        <v>8448</v>
      </c>
      <c r="AK38" s="77">
        <v>102770</v>
      </c>
      <c r="AL38" s="103">
        <f>(+AK38-+AK36)*48</f>
        <v>0</v>
      </c>
      <c r="AM38" s="77">
        <v>604297</v>
      </c>
      <c r="AN38" s="103">
        <f>(+AM38-+AM36)*48</f>
        <v>12960</v>
      </c>
      <c r="AO38" s="77">
        <v>991326</v>
      </c>
      <c r="AP38" s="103">
        <f>(+AO38-+AO36)*48</f>
        <v>21552</v>
      </c>
      <c r="AQ38" s="77">
        <v>88721</v>
      </c>
      <c r="AR38" s="103">
        <f>(+AQ38-+AQ36)*48</f>
        <v>0</v>
      </c>
      <c r="AS38" s="77">
        <v>2453</v>
      </c>
      <c r="AT38" s="103">
        <f t="shared" ref="AT38" si="37">(+AS38-+AS36)*48</f>
        <v>0</v>
      </c>
      <c r="AU38" s="77">
        <v>939</v>
      </c>
      <c r="AV38" s="103">
        <f>(+AU38-+AU36)*48</f>
        <v>0</v>
      </c>
      <c r="AW38" s="77">
        <v>3110</v>
      </c>
      <c r="AX38" s="103">
        <f>(+AW38-+AW36)*48</f>
        <v>0</v>
      </c>
      <c r="AY38" s="77">
        <v>345700</v>
      </c>
      <c r="AZ38" s="103">
        <f>(+AY38-+AY36)*48</f>
        <v>9888</v>
      </c>
      <c r="BA38" s="77">
        <v>161101</v>
      </c>
      <c r="BB38" s="103">
        <f>(+BA38-+BA36)*48</f>
        <v>0</v>
      </c>
      <c r="BC38" s="77">
        <v>233748</v>
      </c>
      <c r="BD38" s="103">
        <f>(+BC38-+BC36)*48</f>
        <v>7536</v>
      </c>
      <c r="BE38" s="77">
        <v>5349</v>
      </c>
      <c r="BF38" s="103">
        <f>(+BE38-+BE36)*48</f>
        <v>0</v>
      </c>
      <c r="BH38" s="105">
        <f t="shared" si="1"/>
        <v>209692.79999999999</v>
      </c>
      <c r="BI38" s="105">
        <f t="shared" si="2"/>
        <v>129043.2</v>
      </c>
    </row>
    <row r="39" spans="1:61" s="35" customFormat="1" ht="39.950000000000003" customHeight="1">
      <c r="A39" s="18"/>
      <c r="AD39" s="29"/>
      <c r="AE39" s="78"/>
      <c r="AG39" s="78"/>
      <c r="AI39" s="78"/>
      <c r="AK39" s="78"/>
      <c r="AM39" s="78"/>
      <c r="AO39" s="78"/>
      <c r="AQ39" s="78"/>
      <c r="AS39" s="78"/>
      <c r="AU39" s="78"/>
      <c r="AW39" s="78"/>
      <c r="AY39" s="78"/>
      <c r="BA39" s="78"/>
      <c r="BC39" s="78"/>
      <c r="BE39" s="78"/>
      <c r="BH39" s="22"/>
      <c r="BI39" s="22"/>
    </row>
    <row r="40" spans="1:61" s="35" customFormat="1" ht="39.950000000000003" customHeight="1">
      <c r="A40" s="18"/>
      <c r="AD40" s="29"/>
      <c r="AE40" s="78"/>
      <c r="AG40" s="78"/>
      <c r="AI40" s="78"/>
      <c r="AK40" s="78"/>
      <c r="AM40" s="78"/>
      <c r="AO40" s="78"/>
      <c r="AQ40" s="78"/>
      <c r="AS40" s="78"/>
      <c r="AU40" s="78"/>
      <c r="AW40" s="78"/>
      <c r="AY40" s="78"/>
      <c r="BA40" s="78"/>
      <c r="BC40" s="78"/>
      <c r="BE40" s="78"/>
      <c r="BH40" s="29"/>
      <c r="BI40" s="29"/>
    </row>
    <row r="41" spans="1:61" s="35" customFormat="1" ht="39.950000000000003" customHeight="1">
      <c r="A41" s="36"/>
      <c r="AD41" s="29"/>
      <c r="AE41" s="78"/>
      <c r="AG41" s="78"/>
      <c r="AI41" s="78"/>
      <c r="AK41" s="78"/>
      <c r="AM41" s="78"/>
      <c r="AO41" s="78"/>
      <c r="AQ41" s="78"/>
      <c r="AS41" s="78"/>
      <c r="AU41" s="78"/>
      <c r="AW41" s="78"/>
      <c r="AY41" s="78"/>
      <c r="BA41" s="78"/>
      <c r="BC41" s="78"/>
      <c r="BE41" s="78"/>
      <c r="BH41" s="29"/>
      <c r="BI41" s="29"/>
    </row>
    <row r="42" spans="1:61" s="35" customFormat="1" ht="2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ht="21">
      <c r="A47" s="11"/>
      <c r="BH47" s="29"/>
      <c r="BI47" s="29"/>
    </row>
    <row r="48" spans="1:6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71" t="s">
        <v>197</v>
      </c>
      <c r="C1" s="271"/>
      <c r="D1" s="271" t="s">
        <v>197</v>
      </c>
      <c r="E1" s="271"/>
      <c r="F1" s="271" t="s">
        <v>197</v>
      </c>
      <c r="G1" s="271"/>
      <c r="H1" s="271" t="s">
        <v>198</v>
      </c>
      <c r="I1" s="271"/>
      <c r="J1" s="268"/>
      <c r="K1" s="268"/>
      <c r="L1" s="271" t="s">
        <v>199</v>
      </c>
      <c r="M1" s="271"/>
      <c r="N1" s="271" t="s">
        <v>199</v>
      </c>
      <c r="O1" s="271"/>
      <c r="P1" s="271" t="s">
        <v>199</v>
      </c>
      <c r="Q1" s="271"/>
      <c r="R1" s="271" t="s">
        <v>199</v>
      </c>
      <c r="S1" s="271"/>
      <c r="T1" s="271" t="s">
        <v>200</v>
      </c>
      <c r="U1" s="271"/>
      <c r="V1" s="279" t="s">
        <v>200</v>
      </c>
      <c r="W1" s="279"/>
      <c r="X1" s="271" t="s">
        <v>200</v>
      </c>
      <c r="Y1" s="271"/>
      <c r="Z1" s="271" t="s">
        <v>200</v>
      </c>
      <c r="AA1" s="271"/>
      <c r="AB1" s="268"/>
      <c r="AC1" s="268"/>
      <c r="AD1" s="271" t="s">
        <v>200</v>
      </c>
      <c r="AE1" s="271"/>
      <c r="AF1" s="271" t="s">
        <v>200</v>
      </c>
      <c r="AG1" s="271"/>
      <c r="AH1" s="271" t="s">
        <v>201</v>
      </c>
      <c r="AI1" s="271"/>
      <c r="AJ1" s="271" t="s">
        <v>201</v>
      </c>
      <c r="AK1" s="271"/>
      <c r="AL1" s="280" t="s">
        <v>201</v>
      </c>
      <c r="AM1" s="280"/>
      <c r="AN1" s="271" t="s">
        <v>201</v>
      </c>
      <c r="AO1" s="271"/>
      <c r="AP1" s="268" t="s">
        <v>201</v>
      </c>
      <c r="AQ1" s="268"/>
      <c r="AR1" s="280" t="s">
        <v>201</v>
      </c>
      <c r="AS1" s="280"/>
      <c r="AT1" s="271" t="s">
        <v>201</v>
      </c>
      <c r="AU1" s="271"/>
      <c r="AV1" s="268"/>
      <c r="AW1" s="268"/>
      <c r="AX1" s="271" t="s">
        <v>201</v>
      </c>
      <c r="AY1" s="271"/>
      <c r="AZ1" s="271" t="s">
        <v>201</v>
      </c>
      <c r="BA1" s="271"/>
      <c r="BB1" s="271" t="s">
        <v>201</v>
      </c>
      <c r="BC1" s="271"/>
      <c r="BD1" s="271" t="s">
        <v>202</v>
      </c>
      <c r="BE1" s="271"/>
      <c r="BF1" s="271" t="s">
        <v>202</v>
      </c>
      <c r="BG1" s="271"/>
      <c r="BH1" s="271" t="s">
        <v>202</v>
      </c>
      <c r="BI1" s="271"/>
      <c r="BJ1" s="271" t="s">
        <v>202</v>
      </c>
      <c r="BK1" s="271"/>
      <c r="BL1" s="271" t="s">
        <v>202</v>
      </c>
      <c r="BM1" s="271"/>
      <c r="BN1" s="271" t="s">
        <v>202</v>
      </c>
      <c r="BO1" s="271"/>
      <c r="BP1" s="271" t="s">
        <v>202</v>
      </c>
      <c r="BQ1" s="271"/>
      <c r="BR1" s="271" t="s">
        <v>202</v>
      </c>
      <c r="BS1" s="271"/>
      <c r="BT1" s="271" t="s">
        <v>202</v>
      </c>
      <c r="BU1" s="271"/>
      <c r="BV1" s="271" t="s">
        <v>202</v>
      </c>
      <c r="BW1" s="271"/>
      <c r="BX1" s="271" t="s">
        <v>202</v>
      </c>
      <c r="BY1" s="271"/>
      <c r="BZ1" s="271" t="s">
        <v>203</v>
      </c>
      <c r="CA1" s="271"/>
      <c r="CB1" s="279" t="s">
        <v>203</v>
      </c>
      <c r="CC1" s="279"/>
      <c r="CD1" s="271" t="s">
        <v>203</v>
      </c>
      <c r="CE1" s="271"/>
      <c r="CF1" s="271" t="s">
        <v>203</v>
      </c>
      <c r="CG1" s="271"/>
      <c r="CH1" s="271" t="s">
        <v>204</v>
      </c>
      <c r="CI1" s="271"/>
      <c r="CJ1" s="271" t="s">
        <v>204</v>
      </c>
      <c r="CK1" s="271"/>
      <c r="CL1" s="271" t="s">
        <v>204</v>
      </c>
      <c r="CM1" s="271"/>
      <c r="CN1" s="271" t="s">
        <v>205</v>
      </c>
      <c r="CO1" s="271"/>
      <c r="CP1" s="271" t="s">
        <v>205</v>
      </c>
      <c r="CQ1" s="271"/>
      <c r="CR1" s="279" t="s">
        <v>205</v>
      </c>
      <c r="CS1" s="279"/>
      <c r="CT1" s="271" t="s">
        <v>205</v>
      </c>
      <c r="CU1" s="271"/>
      <c r="CV1" s="271" t="s">
        <v>205</v>
      </c>
      <c r="CW1" s="271"/>
      <c r="CX1" s="271" t="s">
        <v>205</v>
      </c>
      <c r="CY1" s="271"/>
      <c r="CZ1" s="271" t="s">
        <v>205</v>
      </c>
      <c r="DA1" s="271"/>
      <c r="DB1" s="271" t="s">
        <v>205</v>
      </c>
      <c r="DC1" s="271"/>
      <c r="DD1" s="271" t="s">
        <v>205</v>
      </c>
      <c r="DE1" s="271"/>
      <c r="DF1" s="271" t="s">
        <v>205</v>
      </c>
      <c r="DG1" s="271"/>
      <c r="DH1" s="271" t="s">
        <v>205</v>
      </c>
      <c r="DI1" s="271"/>
      <c r="DJ1" s="268" t="s">
        <v>205</v>
      </c>
      <c r="DK1" s="268"/>
      <c r="DL1" s="271" t="s">
        <v>206</v>
      </c>
      <c r="DM1" s="271"/>
      <c r="DN1" s="271" t="s">
        <v>206</v>
      </c>
      <c r="DO1" s="271"/>
      <c r="DP1" s="271" t="s">
        <v>206</v>
      </c>
      <c r="DQ1" s="271"/>
      <c r="DR1" s="271" t="s">
        <v>206</v>
      </c>
      <c r="DS1" s="271"/>
      <c r="DT1" s="271" t="s">
        <v>206</v>
      </c>
      <c r="DU1" s="271"/>
      <c r="DV1" s="271" t="s">
        <v>206</v>
      </c>
      <c r="DW1" s="271"/>
      <c r="DX1" s="271" t="s">
        <v>207</v>
      </c>
      <c r="DY1" s="271"/>
      <c r="DZ1" s="271" t="s">
        <v>207</v>
      </c>
      <c r="EA1" s="271"/>
      <c r="EB1" s="271" t="s">
        <v>207</v>
      </c>
      <c r="EC1" s="271"/>
      <c r="ED1" s="271" t="s">
        <v>207</v>
      </c>
      <c r="EE1" s="271"/>
      <c r="EF1" s="271" t="s">
        <v>207</v>
      </c>
      <c r="EG1" s="271"/>
      <c r="EH1" s="271" t="s">
        <v>207</v>
      </c>
      <c r="EI1" s="271"/>
      <c r="EJ1" s="271" t="s">
        <v>207</v>
      </c>
      <c r="EK1" s="271"/>
      <c r="EL1" s="271" t="s">
        <v>208</v>
      </c>
      <c r="EM1" s="271"/>
      <c r="EN1" s="271" t="s">
        <v>208</v>
      </c>
      <c r="EO1" s="271"/>
      <c r="EP1" s="271" t="s">
        <v>208</v>
      </c>
      <c r="EQ1" s="271"/>
      <c r="ER1" s="271" t="s">
        <v>209</v>
      </c>
      <c r="ES1" s="271"/>
      <c r="ET1" s="271" t="s">
        <v>209</v>
      </c>
      <c r="EU1" s="271"/>
      <c r="EV1" s="271" t="s">
        <v>209</v>
      </c>
      <c r="EW1" s="271"/>
      <c r="EX1" s="271" t="s">
        <v>210</v>
      </c>
      <c r="EY1" s="271"/>
      <c r="EZ1" s="271" t="s">
        <v>211</v>
      </c>
      <c r="FA1" s="271"/>
      <c r="FB1" s="271" t="s">
        <v>211</v>
      </c>
      <c r="FC1" s="271"/>
      <c r="FD1" s="271" t="s">
        <v>211</v>
      </c>
      <c r="FE1" s="271"/>
      <c r="FF1" s="271" t="s">
        <v>212</v>
      </c>
      <c r="FG1" s="271"/>
      <c r="FH1" s="271" t="s">
        <v>212</v>
      </c>
      <c r="FI1" s="271"/>
      <c r="FJ1" s="271" t="s">
        <v>212</v>
      </c>
      <c r="FK1" s="271"/>
      <c r="FL1" s="268" t="s">
        <v>212</v>
      </c>
      <c r="FM1" s="268"/>
    </row>
    <row r="2" spans="1:169" s="23" customFormat="1" ht="49.5" customHeight="1">
      <c r="B2" s="271" t="s">
        <v>213</v>
      </c>
      <c r="C2" s="271"/>
      <c r="D2" s="271" t="s">
        <v>214</v>
      </c>
      <c r="E2" s="271"/>
      <c r="F2" s="271" t="s">
        <v>213</v>
      </c>
      <c r="G2" s="271"/>
      <c r="H2" s="271" t="s">
        <v>214</v>
      </c>
      <c r="I2" s="271"/>
      <c r="J2" s="271" t="s">
        <v>214</v>
      </c>
      <c r="K2" s="271"/>
      <c r="L2" s="271" t="s">
        <v>213</v>
      </c>
      <c r="M2" s="271"/>
      <c r="N2" s="271" t="s">
        <v>213</v>
      </c>
      <c r="O2" s="271"/>
      <c r="P2" s="271" t="s">
        <v>214</v>
      </c>
      <c r="Q2" s="271"/>
      <c r="R2" s="271" t="s">
        <v>214</v>
      </c>
      <c r="S2" s="271"/>
      <c r="T2" s="271" t="s">
        <v>213</v>
      </c>
      <c r="U2" s="271"/>
      <c r="V2" s="271" t="s">
        <v>214</v>
      </c>
      <c r="W2" s="271"/>
      <c r="X2" s="271" t="s">
        <v>214</v>
      </c>
      <c r="Y2" s="271"/>
      <c r="Z2" s="271" t="s">
        <v>214</v>
      </c>
      <c r="AA2" s="271"/>
      <c r="AB2" s="268" t="s">
        <v>214</v>
      </c>
      <c r="AC2" s="268"/>
      <c r="AD2" s="271" t="s">
        <v>213</v>
      </c>
      <c r="AE2" s="271"/>
      <c r="AF2" s="271" t="s">
        <v>214</v>
      </c>
      <c r="AG2" s="271"/>
      <c r="AH2" s="271" t="s">
        <v>214</v>
      </c>
      <c r="AI2" s="271"/>
      <c r="AJ2" s="271" t="s">
        <v>214</v>
      </c>
      <c r="AK2" s="271"/>
      <c r="AL2" s="271" t="s">
        <v>214</v>
      </c>
      <c r="AM2" s="271"/>
      <c r="AN2" s="271" t="s">
        <v>214</v>
      </c>
      <c r="AO2" s="271"/>
      <c r="AP2" s="268" t="s">
        <v>214</v>
      </c>
      <c r="AQ2" s="268"/>
      <c r="AR2" s="271" t="s">
        <v>214</v>
      </c>
      <c r="AS2" s="271"/>
      <c r="AT2" s="271" t="s">
        <v>214</v>
      </c>
      <c r="AU2" s="271"/>
      <c r="AV2" s="268" t="s">
        <v>214</v>
      </c>
      <c r="AW2" s="268"/>
      <c r="AX2" s="271" t="s">
        <v>214</v>
      </c>
      <c r="AY2" s="271"/>
      <c r="AZ2" s="271" t="s">
        <v>214</v>
      </c>
      <c r="BA2" s="271"/>
      <c r="BB2" s="271" t="s">
        <v>214</v>
      </c>
      <c r="BC2" s="271"/>
      <c r="BD2" s="271" t="s">
        <v>213</v>
      </c>
      <c r="BE2" s="271"/>
      <c r="BF2" s="271" t="s">
        <v>215</v>
      </c>
      <c r="BG2" s="271"/>
      <c r="BH2" s="271" t="s">
        <v>214</v>
      </c>
      <c r="BI2" s="271"/>
      <c r="BJ2" s="271" t="s">
        <v>214</v>
      </c>
      <c r="BK2" s="271"/>
      <c r="BL2" s="271" t="s">
        <v>214</v>
      </c>
      <c r="BM2" s="271"/>
      <c r="BN2" s="271" t="s">
        <v>214</v>
      </c>
      <c r="BO2" s="271"/>
      <c r="BP2" s="271" t="s">
        <v>214</v>
      </c>
      <c r="BQ2" s="271"/>
      <c r="BR2" s="271" t="s">
        <v>214</v>
      </c>
      <c r="BS2" s="271"/>
      <c r="BT2" s="271" t="s">
        <v>214</v>
      </c>
      <c r="BU2" s="271"/>
      <c r="BV2" s="271" t="s">
        <v>214</v>
      </c>
      <c r="BW2" s="271"/>
      <c r="BX2" s="271" t="s">
        <v>214</v>
      </c>
      <c r="BY2" s="271"/>
      <c r="BZ2" s="271" t="s">
        <v>213</v>
      </c>
      <c r="CA2" s="271"/>
      <c r="CB2" s="271" t="s">
        <v>213</v>
      </c>
      <c r="CC2" s="271"/>
      <c r="CD2" s="271" t="s">
        <v>213</v>
      </c>
      <c r="CE2" s="271"/>
      <c r="CF2" s="271" t="s">
        <v>213</v>
      </c>
      <c r="CG2" s="271"/>
      <c r="CH2" s="271" t="s">
        <v>214</v>
      </c>
      <c r="CI2" s="271"/>
      <c r="CJ2" s="271" t="s">
        <v>214</v>
      </c>
      <c r="CK2" s="271"/>
      <c r="CL2" s="271" t="s">
        <v>214</v>
      </c>
      <c r="CM2" s="271"/>
      <c r="CN2" s="271" t="s">
        <v>213</v>
      </c>
      <c r="CO2" s="271"/>
      <c r="CP2" s="271" t="s">
        <v>214</v>
      </c>
      <c r="CQ2" s="271"/>
      <c r="CR2" s="271" t="s">
        <v>214</v>
      </c>
      <c r="CS2" s="271"/>
      <c r="CT2" s="271" t="s">
        <v>214</v>
      </c>
      <c r="CU2" s="271"/>
      <c r="CV2" s="271" t="s">
        <v>214</v>
      </c>
      <c r="CW2" s="271"/>
      <c r="CX2" s="271" t="s">
        <v>214</v>
      </c>
      <c r="CY2" s="271"/>
      <c r="CZ2" s="271" t="s">
        <v>214</v>
      </c>
      <c r="DA2" s="271"/>
      <c r="DB2" s="271" t="s">
        <v>213</v>
      </c>
      <c r="DC2" s="271"/>
      <c r="DD2" s="271" t="s">
        <v>214</v>
      </c>
      <c r="DE2" s="271"/>
      <c r="DF2" s="271" t="s">
        <v>214</v>
      </c>
      <c r="DG2" s="271"/>
      <c r="DH2" s="271" t="s">
        <v>214</v>
      </c>
      <c r="DI2" s="271"/>
      <c r="DJ2" s="268" t="s">
        <v>214</v>
      </c>
      <c r="DK2" s="268"/>
      <c r="DL2" s="271" t="s">
        <v>214</v>
      </c>
      <c r="DM2" s="271"/>
      <c r="DN2" s="271" t="s">
        <v>214</v>
      </c>
      <c r="DO2" s="271"/>
      <c r="DP2" s="271" t="s">
        <v>214</v>
      </c>
      <c r="DQ2" s="271"/>
      <c r="DR2" s="271" t="s">
        <v>214</v>
      </c>
      <c r="DS2" s="271"/>
      <c r="DT2" s="271" t="s">
        <v>214</v>
      </c>
      <c r="DU2" s="271"/>
      <c r="DV2" s="271" t="s">
        <v>214</v>
      </c>
      <c r="DW2" s="271"/>
      <c r="DX2" s="271" t="s">
        <v>214</v>
      </c>
      <c r="DY2" s="271"/>
      <c r="DZ2" s="271" t="s">
        <v>214</v>
      </c>
      <c r="EA2" s="271"/>
      <c r="EB2" s="271" t="s">
        <v>214</v>
      </c>
      <c r="EC2" s="271"/>
      <c r="ED2" s="271" t="s">
        <v>214</v>
      </c>
      <c r="EE2" s="271"/>
      <c r="EF2" s="271" t="s">
        <v>214</v>
      </c>
      <c r="EG2" s="271"/>
      <c r="EH2" s="271" t="s">
        <v>214</v>
      </c>
      <c r="EI2" s="271"/>
      <c r="EJ2" s="271" t="s">
        <v>214</v>
      </c>
      <c r="EK2" s="271"/>
      <c r="EL2" s="271" t="s">
        <v>214</v>
      </c>
      <c r="EM2" s="271"/>
      <c r="EN2" s="271" t="s">
        <v>214</v>
      </c>
      <c r="EO2" s="271"/>
      <c r="EP2" s="271" t="s">
        <v>214</v>
      </c>
      <c r="EQ2" s="271"/>
      <c r="ER2" s="271" t="s">
        <v>214</v>
      </c>
      <c r="ES2" s="271"/>
      <c r="ET2" s="271" t="s">
        <v>214</v>
      </c>
      <c r="EU2" s="271"/>
      <c r="EV2" s="271" t="s">
        <v>214</v>
      </c>
      <c r="EW2" s="271"/>
      <c r="EX2" s="271" t="s">
        <v>214</v>
      </c>
      <c r="EY2" s="271"/>
      <c r="EZ2" s="271" t="s">
        <v>214</v>
      </c>
      <c r="FA2" s="271"/>
      <c r="FB2" s="271" t="s">
        <v>214</v>
      </c>
      <c r="FC2" s="271"/>
      <c r="FD2" s="271" t="s">
        <v>214</v>
      </c>
      <c r="FE2" s="271"/>
      <c r="FF2" s="271" t="s">
        <v>214</v>
      </c>
      <c r="FG2" s="271"/>
      <c r="FH2" s="271" t="s">
        <v>214</v>
      </c>
      <c r="FI2" s="271"/>
      <c r="FJ2" s="271" t="s">
        <v>214</v>
      </c>
      <c r="FK2" s="271"/>
      <c r="FL2" s="268" t="s">
        <v>214</v>
      </c>
      <c r="FM2" s="268"/>
    </row>
    <row r="3" spans="1:169" s="23" customFormat="1" ht="49.5" customHeight="1">
      <c r="B3" s="220" t="s">
        <v>67</v>
      </c>
      <c r="C3" s="221"/>
      <c r="D3" s="220" t="s">
        <v>216</v>
      </c>
      <c r="E3" s="221"/>
      <c r="F3" s="220"/>
      <c r="G3" s="221"/>
      <c r="H3" s="220" t="s">
        <v>216</v>
      </c>
      <c r="I3" s="221"/>
      <c r="J3" s="220" t="s">
        <v>216</v>
      </c>
      <c r="K3" s="221"/>
      <c r="L3" s="220"/>
      <c r="M3" s="221"/>
      <c r="N3" s="220"/>
      <c r="O3" s="221"/>
      <c r="P3" s="220" t="s">
        <v>216</v>
      </c>
      <c r="Q3" s="221"/>
      <c r="R3" s="220" t="s">
        <v>216</v>
      </c>
      <c r="S3" s="221"/>
      <c r="T3" s="220"/>
      <c r="U3" s="221"/>
      <c r="V3" s="220" t="s">
        <v>217</v>
      </c>
      <c r="W3" s="221"/>
      <c r="X3" s="220" t="s">
        <v>217</v>
      </c>
      <c r="Y3" s="221"/>
      <c r="Z3" s="220" t="s">
        <v>217</v>
      </c>
      <c r="AA3" s="221"/>
      <c r="AB3" s="277" t="s">
        <v>217</v>
      </c>
      <c r="AC3" s="278"/>
      <c r="AD3" s="220"/>
      <c r="AE3" s="221"/>
      <c r="AF3" s="220" t="s">
        <v>217</v>
      </c>
      <c r="AG3" s="221"/>
      <c r="AH3" s="220" t="s">
        <v>216</v>
      </c>
      <c r="AI3" s="221"/>
      <c r="AJ3" s="220" t="s">
        <v>216</v>
      </c>
      <c r="AK3" s="221"/>
      <c r="AL3" s="220" t="s">
        <v>216</v>
      </c>
      <c r="AM3" s="221"/>
      <c r="AN3" s="220" t="s">
        <v>216</v>
      </c>
      <c r="AO3" s="221"/>
      <c r="AP3" s="277" t="s">
        <v>216</v>
      </c>
      <c r="AQ3" s="278"/>
      <c r="AR3" s="220" t="s">
        <v>216</v>
      </c>
      <c r="AS3" s="221"/>
      <c r="AT3" s="220" t="s">
        <v>216</v>
      </c>
      <c r="AU3" s="221"/>
      <c r="AV3" s="277" t="s">
        <v>216</v>
      </c>
      <c r="AW3" s="278"/>
      <c r="AX3" s="220" t="s">
        <v>216</v>
      </c>
      <c r="AY3" s="221"/>
      <c r="AZ3" s="220" t="s">
        <v>216</v>
      </c>
      <c r="BA3" s="221"/>
      <c r="BB3" s="220" t="s">
        <v>216</v>
      </c>
      <c r="BC3" s="221"/>
      <c r="BD3" s="220"/>
      <c r="BE3" s="221"/>
      <c r="BF3" s="220"/>
      <c r="BG3" s="221"/>
      <c r="BH3" s="220" t="s">
        <v>216</v>
      </c>
      <c r="BI3" s="221"/>
      <c r="BJ3" s="220" t="s">
        <v>216</v>
      </c>
      <c r="BK3" s="221"/>
      <c r="BL3" s="220" t="s">
        <v>216</v>
      </c>
      <c r="BM3" s="221"/>
      <c r="BN3" s="220" t="s">
        <v>216</v>
      </c>
      <c r="BO3" s="221"/>
      <c r="BP3" s="220" t="s">
        <v>216</v>
      </c>
      <c r="BQ3" s="221"/>
      <c r="BR3" s="220" t="s">
        <v>216</v>
      </c>
      <c r="BS3" s="221"/>
      <c r="BT3" s="220" t="s">
        <v>216</v>
      </c>
      <c r="BU3" s="221"/>
      <c r="BV3" s="220" t="s">
        <v>216</v>
      </c>
      <c r="BW3" s="221"/>
      <c r="BX3" s="220" t="s">
        <v>216</v>
      </c>
      <c r="BY3" s="221"/>
      <c r="BZ3" s="220" t="s">
        <v>66</v>
      </c>
      <c r="CA3" s="221"/>
      <c r="CB3" s="220" t="s">
        <v>66</v>
      </c>
      <c r="CC3" s="221"/>
      <c r="CD3" s="220" t="s">
        <v>66</v>
      </c>
      <c r="CE3" s="221"/>
      <c r="CF3" s="111"/>
      <c r="CG3" s="111"/>
      <c r="CH3" s="220" t="s">
        <v>67</v>
      </c>
      <c r="CI3" s="221"/>
      <c r="CJ3" s="220" t="s">
        <v>67</v>
      </c>
      <c r="CK3" s="221"/>
      <c r="CL3" s="220" t="s">
        <v>216</v>
      </c>
      <c r="CM3" s="221"/>
      <c r="CN3" s="220"/>
      <c r="CO3" s="221"/>
      <c r="CP3" s="220" t="s">
        <v>216</v>
      </c>
      <c r="CQ3" s="221"/>
      <c r="CR3" s="220" t="s">
        <v>216</v>
      </c>
      <c r="CS3" s="221"/>
      <c r="CT3" s="220" t="s">
        <v>216</v>
      </c>
      <c r="CU3" s="221"/>
      <c r="CV3" s="220" t="s">
        <v>216</v>
      </c>
      <c r="CW3" s="221"/>
      <c r="CX3" s="220" t="s">
        <v>216</v>
      </c>
      <c r="CY3" s="221"/>
      <c r="CZ3" s="220" t="s">
        <v>216</v>
      </c>
      <c r="DA3" s="221"/>
      <c r="DB3" s="220" t="s">
        <v>216</v>
      </c>
      <c r="DC3" s="221"/>
      <c r="DD3" s="220" t="s">
        <v>216</v>
      </c>
      <c r="DE3" s="221"/>
      <c r="DF3" s="220" t="s">
        <v>216</v>
      </c>
      <c r="DG3" s="221"/>
      <c r="DH3" s="220" t="s">
        <v>216</v>
      </c>
      <c r="DI3" s="221"/>
      <c r="DJ3" s="277" t="s">
        <v>216</v>
      </c>
      <c r="DK3" s="278"/>
      <c r="DL3" s="220" t="s">
        <v>65</v>
      </c>
      <c r="DM3" s="221"/>
      <c r="DN3" s="220" t="s">
        <v>65</v>
      </c>
      <c r="DO3" s="221"/>
      <c r="DP3" s="220" t="s">
        <v>65</v>
      </c>
      <c r="DQ3" s="221"/>
      <c r="DR3" s="220" t="s">
        <v>65</v>
      </c>
      <c r="DS3" s="221"/>
      <c r="DT3" s="220" t="s">
        <v>65</v>
      </c>
      <c r="DU3" s="221"/>
      <c r="DV3" s="220" t="s">
        <v>218</v>
      </c>
      <c r="DW3" s="221"/>
      <c r="DX3" s="220" t="s">
        <v>65</v>
      </c>
      <c r="DY3" s="221"/>
      <c r="DZ3" s="220" t="s">
        <v>217</v>
      </c>
      <c r="EA3" s="221"/>
      <c r="EB3" s="220" t="s">
        <v>65</v>
      </c>
      <c r="EC3" s="221"/>
      <c r="ED3" s="220" t="s">
        <v>65</v>
      </c>
      <c r="EE3" s="221"/>
      <c r="EF3" s="220" t="s">
        <v>65</v>
      </c>
      <c r="EG3" s="221"/>
      <c r="EH3" s="220" t="s">
        <v>65</v>
      </c>
      <c r="EI3" s="221"/>
      <c r="EJ3" s="220" t="s">
        <v>65</v>
      </c>
      <c r="EK3" s="221"/>
      <c r="EL3" s="220" t="s">
        <v>67</v>
      </c>
      <c r="EM3" s="221"/>
      <c r="EN3" s="220" t="s">
        <v>67</v>
      </c>
      <c r="EO3" s="221"/>
      <c r="EP3" s="220" t="s">
        <v>67</v>
      </c>
      <c r="EQ3" s="221"/>
      <c r="ER3" s="220" t="s">
        <v>67</v>
      </c>
      <c r="ES3" s="221"/>
      <c r="ET3" s="220" t="s">
        <v>67</v>
      </c>
      <c r="EU3" s="221"/>
      <c r="EV3" s="220" t="s">
        <v>67</v>
      </c>
      <c r="EW3" s="221"/>
      <c r="EX3" s="220" t="s">
        <v>67</v>
      </c>
      <c r="EY3" s="221"/>
      <c r="EZ3" s="220" t="s">
        <v>67</v>
      </c>
      <c r="FA3" s="221"/>
      <c r="FB3" s="220" t="s">
        <v>67</v>
      </c>
      <c r="FC3" s="221"/>
      <c r="FD3" s="220" t="s">
        <v>67</v>
      </c>
      <c r="FE3" s="221"/>
      <c r="FF3" s="220" t="s">
        <v>67</v>
      </c>
      <c r="FG3" s="221"/>
      <c r="FH3" s="220" t="s">
        <v>67</v>
      </c>
      <c r="FI3" s="221"/>
      <c r="FJ3" s="220" t="s">
        <v>67</v>
      </c>
      <c r="FK3" s="221"/>
      <c r="FL3" s="277" t="s">
        <v>216</v>
      </c>
      <c r="FM3" s="278"/>
    </row>
    <row r="4" spans="1:169" s="23" customFormat="1" ht="30" customHeight="1">
      <c r="B4" s="220" t="s">
        <v>219</v>
      </c>
      <c r="C4" s="221"/>
      <c r="D4" s="220" t="s">
        <v>219</v>
      </c>
      <c r="E4" s="221"/>
      <c r="F4" s="109"/>
      <c r="G4" s="110"/>
      <c r="H4" s="220" t="s">
        <v>219</v>
      </c>
      <c r="I4" s="221"/>
      <c r="J4" s="220" t="s">
        <v>220</v>
      </c>
      <c r="K4" s="221"/>
      <c r="L4" s="109"/>
      <c r="M4" s="110"/>
      <c r="N4" s="220"/>
      <c r="O4" s="221"/>
      <c r="P4" s="220" t="s">
        <v>221</v>
      </c>
      <c r="Q4" s="221"/>
      <c r="R4" s="220" t="s">
        <v>221</v>
      </c>
      <c r="S4" s="221"/>
      <c r="T4" s="109"/>
      <c r="U4" s="110"/>
      <c r="V4" s="220" t="s">
        <v>221</v>
      </c>
      <c r="W4" s="221"/>
      <c r="X4" s="220" t="s">
        <v>221</v>
      </c>
      <c r="Y4" s="221"/>
      <c r="Z4" s="220" t="s">
        <v>221</v>
      </c>
      <c r="AA4" s="221"/>
      <c r="AB4" s="277" t="s">
        <v>221</v>
      </c>
      <c r="AC4" s="278"/>
      <c r="AD4" s="109"/>
      <c r="AE4" s="110"/>
      <c r="AF4" s="220" t="s">
        <v>221</v>
      </c>
      <c r="AG4" s="221"/>
      <c r="AH4" s="220" t="s">
        <v>221</v>
      </c>
      <c r="AI4" s="221"/>
      <c r="AJ4" s="220" t="s">
        <v>219</v>
      </c>
      <c r="AK4" s="221"/>
      <c r="AL4" s="220" t="s">
        <v>219</v>
      </c>
      <c r="AM4" s="221"/>
      <c r="AN4" s="220" t="s">
        <v>219</v>
      </c>
      <c r="AO4" s="221"/>
      <c r="AP4" s="277" t="s">
        <v>220</v>
      </c>
      <c r="AQ4" s="278"/>
      <c r="AR4" s="220" t="s">
        <v>219</v>
      </c>
      <c r="AS4" s="221"/>
      <c r="AT4" s="220" t="s">
        <v>219</v>
      </c>
      <c r="AU4" s="221"/>
      <c r="AV4" s="277" t="s">
        <v>219</v>
      </c>
      <c r="AW4" s="278"/>
      <c r="AX4" s="220" t="s">
        <v>221</v>
      </c>
      <c r="AY4" s="221"/>
      <c r="AZ4" s="220" t="s">
        <v>219</v>
      </c>
      <c r="BA4" s="221"/>
      <c r="BB4" s="220" t="s">
        <v>219</v>
      </c>
      <c r="BC4" s="221"/>
      <c r="BD4" s="109"/>
      <c r="BE4" s="110"/>
      <c r="BF4" s="109"/>
      <c r="BG4" s="110"/>
      <c r="BH4" s="220" t="s">
        <v>220</v>
      </c>
      <c r="BI4" s="221"/>
      <c r="BJ4" s="220" t="s">
        <v>221</v>
      </c>
      <c r="BK4" s="221"/>
      <c r="BL4" s="220" t="s">
        <v>219</v>
      </c>
      <c r="BM4" s="221"/>
      <c r="BN4" s="220" t="s">
        <v>219</v>
      </c>
      <c r="BO4" s="221"/>
      <c r="BP4" s="220" t="s">
        <v>219</v>
      </c>
      <c r="BQ4" s="221"/>
      <c r="BR4" s="220" t="s">
        <v>219</v>
      </c>
      <c r="BS4" s="221"/>
      <c r="BT4" s="220" t="s">
        <v>219</v>
      </c>
      <c r="BU4" s="221"/>
      <c r="BV4" s="220" t="s">
        <v>219</v>
      </c>
      <c r="BW4" s="221"/>
      <c r="BX4" s="220" t="s">
        <v>219</v>
      </c>
      <c r="BY4" s="221"/>
      <c r="BZ4" s="220" t="s">
        <v>221</v>
      </c>
      <c r="CA4" s="221"/>
      <c r="CB4" s="220" t="s">
        <v>221</v>
      </c>
      <c r="CC4" s="221"/>
      <c r="CD4" s="220" t="s">
        <v>221</v>
      </c>
      <c r="CE4" s="221"/>
      <c r="CF4" s="220" t="s">
        <v>219</v>
      </c>
      <c r="CG4" s="221"/>
      <c r="CH4" s="220" t="s">
        <v>219</v>
      </c>
      <c r="CI4" s="221"/>
      <c r="CJ4" s="220" t="s">
        <v>219</v>
      </c>
      <c r="CK4" s="221"/>
      <c r="CL4" s="220" t="s">
        <v>219</v>
      </c>
      <c r="CM4" s="221"/>
      <c r="CN4" s="109"/>
      <c r="CO4" s="110"/>
      <c r="CP4" s="220" t="s">
        <v>220</v>
      </c>
      <c r="CQ4" s="221"/>
      <c r="CR4" s="220" t="s">
        <v>222</v>
      </c>
      <c r="CS4" s="221"/>
      <c r="CT4" s="220" t="s">
        <v>220</v>
      </c>
      <c r="CU4" s="221"/>
      <c r="CV4" s="220" t="s">
        <v>221</v>
      </c>
      <c r="CW4" s="221"/>
      <c r="CX4" s="220" t="s">
        <v>219</v>
      </c>
      <c r="CY4" s="221"/>
      <c r="CZ4" s="220" t="s">
        <v>219</v>
      </c>
      <c r="DA4" s="221"/>
      <c r="DB4" s="109"/>
      <c r="DC4" s="110"/>
      <c r="DD4" s="220" t="s">
        <v>220</v>
      </c>
      <c r="DE4" s="221"/>
      <c r="DF4" s="220" t="s">
        <v>221</v>
      </c>
      <c r="DG4" s="221"/>
      <c r="DH4" s="220" t="s">
        <v>221</v>
      </c>
      <c r="DI4" s="221"/>
      <c r="DJ4" s="277" t="s">
        <v>220</v>
      </c>
      <c r="DK4" s="278"/>
      <c r="DL4" s="220" t="s">
        <v>219</v>
      </c>
      <c r="DM4" s="221"/>
      <c r="DN4" s="220" t="s">
        <v>219</v>
      </c>
      <c r="DO4" s="221"/>
      <c r="DP4" s="220" t="s">
        <v>219</v>
      </c>
      <c r="DQ4" s="221"/>
      <c r="DR4" s="220" t="s">
        <v>219</v>
      </c>
      <c r="DS4" s="221"/>
      <c r="DT4" s="220" t="s">
        <v>221</v>
      </c>
      <c r="DU4" s="221"/>
      <c r="DV4" s="220" t="s">
        <v>221</v>
      </c>
      <c r="DW4" s="221"/>
      <c r="DX4" s="220" t="s">
        <v>223</v>
      </c>
      <c r="DY4" s="221"/>
      <c r="DZ4" s="220" t="s">
        <v>224</v>
      </c>
      <c r="EA4" s="221"/>
      <c r="EB4" s="220" t="s">
        <v>223</v>
      </c>
      <c r="EC4" s="221"/>
      <c r="ED4" s="220" t="s">
        <v>219</v>
      </c>
      <c r="EE4" s="221"/>
      <c r="EF4" s="220" t="s">
        <v>219</v>
      </c>
      <c r="EG4" s="221"/>
      <c r="EH4" s="220" t="s">
        <v>221</v>
      </c>
      <c r="EI4" s="221"/>
      <c r="EJ4" s="220" t="s">
        <v>221</v>
      </c>
      <c r="EK4" s="221"/>
      <c r="EL4" s="220" t="s">
        <v>219</v>
      </c>
      <c r="EM4" s="221"/>
      <c r="EN4" s="220" t="s">
        <v>219</v>
      </c>
      <c r="EO4" s="221"/>
      <c r="EP4" s="220" t="s">
        <v>219</v>
      </c>
      <c r="EQ4" s="221"/>
      <c r="ER4" s="220" t="s">
        <v>219</v>
      </c>
      <c r="ES4" s="221"/>
      <c r="ET4" s="220" t="s">
        <v>219</v>
      </c>
      <c r="EU4" s="221"/>
      <c r="EV4" s="220" t="s">
        <v>219</v>
      </c>
      <c r="EW4" s="221"/>
      <c r="EX4" s="220" t="s">
        <v>219</v>
      </c>
      <c r="EY4" s="221"/>
      <c r="EZ4" s="220" t="s">
        <v>221</v>
      </c>
      <c r="FA4" s="221"/>
      <c r="FB4" s="220" t="s">
        <v>219</v>
      </c>
      <c r="FC4" s="221"/>
      <c r="FD4" s="220" t="s">
        <v>219</v>
      </c>
      <c r="FE4" s="221"/>
      <c r="FF4" s="220" t="s">
        <v>223</v>
      </c>
      <c r="FG4" s="221"/>
      <c r="FH4" s="220" t="s">
        <v>219</v>
      </c>
      <c r="FI4" s="221"/>
      <c r="FJ4" s="220" t="s">
        <v>223</v>
      </c>
      <c r="FK4" s="221"/>
      <c r="FL4" s="277" t="s">
        <v>219</v>
      </c>
      <c r="FM4" s="278"/>
    </row>
    <row r="5" spans="1:169" s="84" customFormat="1" ht="138.75" customHeight="1">
      <c r="B5" s="274" t="s">
        <v>78</v>
      </c>
      <c r="C5" s="274"/>
      <c r="D5" s="274" t="s">
        <v>225</v>
      </c>
      <c r="E5" s="274"/>
      <c r="F5" s="274" t="s">
        <v>79</v>
      </c>
      <c r="G5" s="274"/>
      <c r="H5" s="274" t="s">
        <v>226</v>
      </c>
      <c r="I5" s="274"/>
      <c r="J5" s="274" t="s">
        <v>227</v>
      </c>
      <c r="K5" s="274"/>
      <c r="L5" s="274" t="s">
        <v>78</v>
      </c>
      <c r="M5" s="274"/>
      <c r="N5" s="274" t="s">
        <v>80</v>
      </c>
      <c r="O5" s="274"/>
      <c r="P5" s="274" t="s">
        <v>228</v>
      </c>
      <c r="Q5" s="274"/>
      <c r="R5" s="274" t="s">
        <v>228</v>
      </c>
      <c r="S5" s="274"/>
      <c r="T5" s="274" t="s">
        <v>68</v>
      </c>
      <c r="U5" s="274"/>
      <c r="V5" s="274" t="s">
        <v>229</v>
      </c>
      <c r="W5" s="274"/>
      <c r="X5" s="274" t="s">
        <v>230</v>
      </c>
      <c r="Y5" s="274"/>
      <c r="Z5" s="274" t="s">
        <v>231</v>
      </c>
      <c r="AA5" s="274"/>
      <c r="AB5" s="275" t="s">
        <v>228</v>
      </c>
      <c r="AC5" s="275"/>
      <c r="AD5" s="274" t="s">
        <v>69</v>
      </c>
      <c r="AE5" s="274"/>
      <c r="AF5" s="274" t="s">
        <v>232</v>
      </c>
      <c r="AG5" s="274"/>
      <c r="AH5" s="274" t="s">
        <v>233</v>
      </c>
      <c r="AI5" s="274"/>
      <c r="AJ5" s="274" t="s">
        <v>234</v>
      </c>
      <c r="AK5" s="274"/>
      <c r="AL5" s="274" t="s">
        <v>226</v>
      </c>
      <c r="AM5" s="274"/>
      <c r="AN5" s="274" t="s">
        <v>235</v>
      </c>
      <c r="AO5" s="274"/>
      <c r="AP5" s="275" t="s">
        <v>236</v>
      </c>
      <c r="AQ5" s="275"/>
      <c r="AR5" s="274" t="s">
        <v>237</v>
      </c>
      <c r="AS5" s="274"/>
      <c r="AT5" s="274" t="s">
        <v>238</v>
      </c>
      <c r="AU5" s="274"/>
      <c r="AV5" s="275" t="s">
        <v>239</v>
      </c>
      <c r="AW5" s="275"/>
      <c r="AX5" s="274" t="s">
        <v>228</v>
      </c>
      <c r="AY5" s="274"/>
      <c r="AZ5" s="274" t="s">
        <v>226</v>
      </c>
      <c r="BA5" s="274"/>
      <c r="BB5" s="274" t="s">
        <v>240</v>
      </c>
      <c r="BC5" s="274"/>
      <c r="BD5" s="274" t="s">
        <v>71</v>
      </c>
      <c r="BE5" s="274"/>
      <c r="BF5" s="274" t="s">
        <v>72</v>
      </c>
      <c r="BG5" s="274"/>
      <c r="BH5" s="274" t="s">
        <v>241</v>
      </c>
      <c r="BI5" s="274"/>
      <c r="BJ5" s="274" t="s">
        <v>242</v>
      </c>
      <c r="BK5" s="274"/>
      <c r="BL5" s="274" t="s">
        <v>243</v>
      </c>
      <c r="BM5" s="274"/>
      <c r="BN5" s="274" t="s">
        <v>244</v>
      </c>
      <c r="BO5" s="274"/>
      <c r="BP5" s="274" t="s">
        <v>245</v>
      </c>
      <c r="BQ5" s="274"/>
      <c r="BR5" s="274" t="s">
        <v>246</v>
      </c>
      <c r="BS5" s="274"/>
      <c r="BT5" s="274" t="s">
        <v>247</v>
      </c>
      <c r="BU5" s="274"/>
      <c r="BV5" s="274" t="s">
        <v>248</v>
      </c>
      <c r="BW5" s="274"/>
      <c r="BX5" s="274" t="s">
        <v>246</v>
      </c>
      <c r="BY5" s="274"/>
      <c r="BZ5" s="274" t="s">
        <v>74</v>
      </c>
      <c r="CA5" s="274"/>
      <c r="CB5" s="274" t="s">
        <v>75</v>
      </c>
      <c r="CC5" s="274"/>
      <c r="CD5" s="274" t="s">
        <v>76</v>
      </c>
      <c r="CE5" s="274"/>
      <c r="CF5" s="274" t="s">
        <v>77</v>
      </c>
      <c r="CG5" s="274"/>
      <c r="CH5" s="274" t="s">
        <v>249</v>
      </c>
      <c r="CI5" s="274"/>
      <c r="CJ5" s="274" t="s">
        <v>249</v>
      </c>
      <c r="CK5" s="274"/>
      <c r="CL5" s="274" t="s">
        <v>250</v>
      </c>
      <c r="CM5" s="274"/>
      <c r="CN5" s="274" t="s">
        <v>70</v>
      </c>
      <c r="CO5" s="274"/>
      <c r="CP5" s="276" t="s">
        <v>251</v>
      </c>
      <c r="CQ5" s="276"/>
      <c r="CR5" s="276" t="s">
        <v>222</v>
      </c>
      <c r="CS5" s="276"/>
      <c r="CT5" s="276" t="s">
        <v>252</v>
      </c>
      <c r="CU5" s="276"/>
      <c r="CV5" s="276" t="s">
        <v>253</v>
      </c>
      <c r="CW5" s="276"/>
      <c r="CX5" s="276" t="s">
        <v>254</v>
      </c>
      <c r="CY5" s="276"/>
      <c r="CZ5" s="276" t="s">
        <v>255</v>
      </c>
      <c r="DA5" s="276"/>
      <c r="DB5" s="274" t="s">
        <v>73</v>
      </c>
      <c r="DC5" s="274"/>
      <c r="DD5" s="274" t="s">
        <v>256</v>
      </c>
      <c r="DE5" s="274"/>
      <c r="DF5" s="274" t="s">
        <v>257</v>
      </c>
      <c r="DG5" s="274"/>
      <c r="DH5" s="274" t="s">
        <v>258</v>
      </c>
      <c r="DI5" s="274"/>
      <c r="DJ5" s="275" t="s">
        <v>256</v>
      </c>
      <c r="DK5" s="275"/>
      <c r="DL5" s="274" t="s">
        <v>259</v>
      </c>
      <c r="DM5" s="274"/>
      <c r="DN5" s="274" t="s">
        <v>259</v>
      </c>
      <c r="DO5" s="274"/>
      <c r="DP5" s="274" t="s">
        <v>260</v>
      </c>
      <c r="DQ5" s="274"/>
      <c r="DR5" s="274" t="s">
        <v>260</v>
      </c>
      <c r="DS5" s="274"/>
      <c r="DT5" s="274" t="s">
        <v>232</v>
      </c>
      <c r="DU5" s="274"/>
      <c r="DV5" s="274" t="s">
        <v>261</v>
      </c>
      <c r="DW5" s="274"/>
      <c r="DX5" s="276" t="s">
        <v>262</v>
      </c>
      <c r="DY5" s="276"/>
      <c r="DZ5" s="274" t="s">
        <v>226</v>
      </c>
      <c r="EA5" s="274"/>
      <c r="EB5" s="276" t="s">
        <v>263</v>
      </c>
      <c r="EC5" s="276"/>
      <c r="ED5" s="276" t="s">
        <v>264</v>
      </c>
      <c r="EE5" s="276"/>
      <c r="EF5" s="276" t="s">
        <v>265</v>
      </c>
      <c r="EG5" s="276"/>
      <c r="EH5" s="276" t="s">
        <v>228</v>
      </c>
      <c r="EI5" s="276"/>
      <c r="EJ5" s="276" t="s">
        <v>266</v>
      </c>
      <c r="EK5" s="276"/>
      <c r="EL5" s="274" t="s">
        <v>267</v>
      </c>
      <c r="EM5" s="274"/>
      <c r="EN5" s="274" t="s">
        <v>268</v>
      </c>
      <c r="EO5" s="274"/>
      <c r="EP5" s="274" t="s">
        <v>269</v>
      </c>
      <c r="EQ5" s="274"/>
      <c r="ER5" s="274" t="s">
        <v>270</v>
      </c>
      <c r="ES5" s="274"/>
      <c r="ET5" s="274" t="s">
        <v>268</v>
      </c>
      <c r="EU5" s="274"/>
      <c r="EV5" s="274" t="s">
        <v>269</v>
      </c>
      <c r="EW5" s="274"/>
      <c r="EX5" s="274" t="s">
        <v>271</v>
      </c>
      <c r="EY5" s="274"/>
      <c r="EZ5" s="274" t="s">
        <v>266</v>
      </c>
      <c r="FA5" s="274"/>
      <c r="FB5" s="274" t="s">
        <v>272</v>
      </c>
      <c r="FC5" s="274"/>
      <c r="FD5" s="274" t="s">
        <v>273</v>
      </c>
      <c r="FE5" s="274"/>
      <c r="FF5" s="274" t="s">
        <v>274</v>
      </c>
      <c r="FG5" s="274"/>
      <c r="FH5" s="274" t="s">
        <v>275</v>
      </c>
      <c r="FI5" s="274"/>
      <c r="FJ5" s="274" t="s">
        <v>276</v>
      </c>
      <c r="FK5" s="274"/>
      <c r="FL5" s="275" t="s">
        <v>277</v>
      </c>
      <c r="FM5" s="275"/>
    </row>
    <row r="6" spans="1:169" s="23" customFormat="1" ht="30" customHeight="1">
      <c r="B6" s="271">
        <v>5065544</v>
      </c>
      <c r="C6" s="271"/>
      <c r="D6" s="220"/>
      <c r="E6" s="221"/>
      <c r="F6" s="271">
        <v>5065541</v>
      </c>
      <c r="G6" s="271"/>
      <c r="H6" s="220"/>
      <c r="I6" s="221"/>
      <c r="J6" s="220"/>
      <c r="K6" s="221"/>
      <c r="L6" s="271">
        <v>5065542</v>
      </c>
      <c r="M6" s="271"/>
      <c r="N6" s="271">
        <v>5065540</v>
      </c>
      <c r="O6" s="271"/>
      <c r="P6" s="220"/>
      <c r="Q6" s="221"/>
      <c r="R6" s="220"/>
      <c r="S6" s="221"/>
      <c r="T6" s="271">
        <v>5065546</v>
      </c>
      <c r="U6" s="271"/>
      <c r="V6" s="220"/>
      <c r="W6" s="221"/>
      <c r="X6" s="220"/>
      <c r="Y6" s="221"/>
      <c r="Z6" s="220"/>
      <c r="AA6" s="221"/>
      <c r="AB6" s="220"/>
      <c r="AC6" s="221"/>
      <c r="AD6" s="271">
        <v>5065547</v>
      </c>
      <c r="AE6" s="271"/>
      <c r="AF6" s="220"/>
      <c r="AG6" s="221"/>
      <c r="AH6" s="272"/>
      <c r="AI6" s="273"/>
      <c r="AJ6" s="272"/>
      <c r="AK6" s="273"/>
      <c r="AL6" s="272"/>
      <c r="AM6" s="273"/>
      <c r="AN6" s="272"/>
      <c r="AO6" s="273"/>
      <c r="AP6" s="272"/>
      <c r="AQ6" s="273"/>
      <c r="AR6" s="272"/>
      <c r="AS6" s="273"/>
      <c r="AT6" s="272"/>
      <c r="AU6" s="273"/>
      <c r="AV6" s="272"/>
      <c r="AW6" s="273"/>
      <c r="AX6" s="272"/>
      <c r="AY6" s="273"/>
      <c r="AZ6" s="272"/>
      <c r="BA6" s="273"/>
      <c r="BB6" s="272"/>
      <c r="BC6" s="273"/>
      <c r="BD6" s="271">
        <v>5065548</v>
      </c>
      <c r="BE6" s="271"/>
      <c r="BF6" s="271">
        <v>5465545</v>
      </c>
      <c r="BG6" s="271"/>
      <c r="BH6" s="220"/>
      <c r="BI6" s="221"/>
      <c r="BJ6" s="220"/>
      <c r="BK6" s="221"/>
      <c r="BL6" s="220"/>
      <c r="BM6" s="221"/>
      <c r="BN6" s="220"/>
      <c r="BO6" s="221"/>
      <c r="BP6" s="220"/>
      <c r="BQ6" s="221"/>
      <c r="BR6" s="220"/>
      <c r="BS6" s="221"/>
      <c r="BT6" s="220"/>
      <c r="BU6" s="221"/>
      <c r="BV6" s="220"/>
      <c r="BW6" s="221"/>
      <c r="BX6" s="220"/>
      <c r="BY6" s="221"/>
      <c r="BZ6" s="271">
        <v>5018351</v>
      </c>
      <c r="CA6" s="271"/>
      <c r="CB6" s="271">
        <v>5018354</v>
      </c>
      <c r="CC6" s="271"/>
      <c r="CD6" s="271">
        <v>5018350</v>
      </c>
      <c r="CE6" s="271"/>
      <c r="CF6" s="271">
        <v>5065543</v>
      </c>
      <c r="CG6" s="271"/>
      <c r="CH6" s="220"/>
      <c r="CI6" s="221"/>
      <c r="CJ6" s="220"/>
      <c r="CK6" s="221"/>
      <c r="CL6" s="220"/>
      <c r="CM6" s="221"/>
      <c r="CN6" s="271">
        <v>5008272</v>
      </c>
      <c r="CO6" s="271"/>
      <c r="CP6" s="220"/>
      <c r="CQ6" s="221"/>
      <c r="CR6" s="220"/>
      <c r="CS6" s="221"/>
      <c r="CT6" s="220"/>
      <c r="CU6" s="221"/>
      <c r="CV6" s="220"/>
      <c r="CW6" s="221"/>
      <c r="CX6" s="220"/>
      <c r="CY6" s="221"/>
      <c r="CZ6" s="220"/>
      <c r="DA6" s="221"/>
      <c r="DB6" s="271">
        <v>5008273</v>
      </c>
      <c r="DC6" s="271"/>
      <c r="DD6" s="220"/>
      <c r="DE6" s="221"/>
      <c r="DF6" s="220"/>
      <c r="DG6" s="221"/>
      <c r="DH6" s="220"/>
      <c r="DI6" s="221"/>
      <c r="DJ6" s="220"/>
      <c r="DK6" s="221"/>
      <c r="DL6" s="220"/>
      <c r="DM6" s="221"/>
      <c r="DN6" s="220"/>
      <c r="DO6" s="221"/>
      <c r="DP6" s="220"/>
      <c r="DQ6" s="221"/>
      <c r="DR6" s="220"/>
      <c r="DS6" s="221"/>
      <c r="DT6" s="220"/>
      <c r="DU6" s="221"/>
      <c r="DV6" s="220"/>
      <c r="DW6" s="221"/>
      <c r="DX6" s="220"/>
      <c r="DY6" s="221"/>
      <c r="DZ6" s="220"/>
      <c r="EA6" s="221"/>
      <c r="EB6" s="220"/>
      <c r="EC6" s="221"/>
      <c r="ED6" s="220"/>
      <c r="EE6" s="221"/>
      <c r="EF6" s="220"/>
      <c r="EG6" s="221"/>
      <c r="EH6" s="220"/>
      <c r="EI6" s="221"/>
      <c r="EJ6" s="220"/>
      <c r="EK6" s="221"/>
      <c r="EL6" s="220"/>
      <c r="EM6" s="221"/>
      <c r="EN6" s="220"/>
      <c r="EO6" s="221"/>
      <c r="EP6" s="220"/>
      <c r="EQ6" s="221"/>
      <c r="ER6" s="220"/>
      <c r="ES6" s="221"/>
      <c r="ET6" s="220"/>
      <c r="EU6" s="221"/>
      <c r="EV6" s="220"/>
      <c r="EW6" s="221"/>
      <c r="EX6" s="220"/>
      <c r="EY6" s="221"/>
      <c r="EZ6" s="220"/>
      <c r="FA6" s="221"/>
      <c r="FB6" s="220"/>
      <c r="FC6" s="221"/>
      <c r="FD6" s="220"/>
      <c r="FE6" s="221"/>
      <c r="FF6" s="220"/>
      <c r="FG6" s="221"/>
      <c r="FH6" s="220"/>
      <c r="FI6" s="221"/>
      <c r="FJ6" s="220"/>
      <c r="FK6" s="221"/>
      <c r="FL6" s="220"/>
      <c r="FM6" s="221"/>
    </row>
    <row r="7" spans="1:169" s="23" customFormat="1" ht="30" customHeight="1">
      <c r="B7" s="259" t="s">
        <v>92</v>
      </c>
      <c r="C7" s="259"/>
      <c r="D7" s="259" t="s">
        <v>92</v>
      </c>
      <c r="E7" s="259"/>
      <c r="F7" s="257" t="s">
        <v>93</v>
      </c>
      <c r="G7" s="257"/>
      <c r="H7" s="258" t="s">
        <v>94</v>
      </c>
      <c r="I7" s="258"/>
      <c r="J7" s="258" t="s">
        <v>94</v>
      </c>
      <c r="K7" s="258"/>
      <c r="L7" s="258" t="s">
        <v>94</v>
      </c>
      <c r="M7" s="258"/>
      <c r="N7" s="260" t="s">
        <v>95</v>
      </c>
      <c r="O7" s="260"/>
      <c r="P7" s="260" t="s">
        <v>95</v>
      </c>
      <c r="Q7" s="260"/>
      <c r="R7" s="260" t="s">
        <v>95</v>
      </c>
      <c r="S7" s="260"/>
      <c r="T7" s="261" t="s">
        <v>82</v>
      </c>
      <c r="U7" s="261"/>
      <c r="V7" s="261" t="s">
        <v>82</v>
      </c>
      <c r="W7" s="261"/>
      <c r="X7" s="261" t="s">
        <v>82</v>
      </c>
      <c r="Y7" s="261"/>
      <c r="Z7" s="261" t="s">
        <v>82</v>
      </c>
      <c r="AA7" s="261"/>
      <c r="AB7" s="261" t="s">
        <v>82</v>
      </c>
      <c r="AC7" s="261"/>
      <c r="AD7" s="263" t="s">
        <v>83</v>
      </c>
      <c r="AE7" s="263"/>
      <c r="AF7" s="263" t="s">
        <v>83</v>
      </c>
      <c r="AG7" s="263"/>
      <c r="AH7" s="270" t="s">
        <v>85</v>
      </c>
      <c r="AI7" s="270"/>
      <c r="AJ7" s="270" t="s">
        <v>85</v>
      </c>
      <c r="AK7" s="270"/>
      <c r="AL7" s="270" t="s">
        <v>85</v>
      </c>
      <c r="AM7" s="270"/>
      <c r="AN7" s="270" t="s">
        <v>85</v>
      </c>
      <c r="AO7" s="270"/>
      <c r="AP7" s="270" t="s">
        <v>85</v>
      </c>
      <c r="AQ7" s="270"/>
      <c r="AR7" s="270" t="s">
        <v>85</v>
      </c>
      <c r="AS7" s="270"/>
      <c r="AT7" s="270" t="s">
        <v>85</v>
      </c>
      <c r="AU7" s="270"/>
      <c r="AV7" s="270" t="s">
        <v>85</v>
      </c>
      <c r="AW7" s="270"/>
      <c r="AX7" s="270" t="s">
        <v>85</v>
      </c>
      <c r="AY7" s="270"/>
      <c r="AZ7" s="270" t="s">
        <v>85</v>
      </c>
      <c r="BA7" s="270"/>
      <c r="BB7" s="270" t="s">
        <v>85</v>
      </c>
      <c r="BC7" s="270"/>
      <c r="BD7" s="270" t="s">
        <v>85</v>
      </c>
      <c r="BE7" s="270"/>
      <c r="BF7" s="265" t="s">
        <v>86</v>
      </c>
      <c r="BG7" s="265"/>
      <c r="BH7" s="265" t="s">
        <v>86</v>
      </c>
      <c r="BI7" s="265"/>
      <c r="BJ7" s="265" t="s">
        <v>86</v>
      </c>
      <c r="BK7" s="265"/>
      <c r="BL7" s="265" t="s">
        <v>86</v>
      </c>
      <c r="BM7" s="265"/>
      <c r="BN7" s="265" t="s">
        <v>86</v>
      </c>
      <c r="BO7" s="265"/>
      <c r="BP7" s="265" t="s">
        <v>86</v>
      </c>
      <c r="BQ7" s="265"/>
      <c r="BR7" s="265" t="s">
        <v>86</v>
      </c>
      <c r="BS7" s="265"/>
      <c r="BT7" s="265" t="s">
        <v>86</v>
      </c>
      <c r="BU7" s="265"/>
      <c r="BV7" s="265" t="s">
        <v>86</v>
      </c>
      <c r="BW7" s="265"/>
      <c r="BX7" s="265" t="s">
        <v>86</v>
      </c>
      <c r="BY7" s="265"/>
      <c r="BZ7" s="266" t="s">
        <v>88</v>
      </c>
      <c r="CA7" s="266"/>
      <c r="CB7" s="267" t="s">
        <v>89</v>
      </c>
      <c r="CC7" s="267"/>
      <c r="CD7" s="268" t="s">
        <v>90</v>
      </c>
      <c r="CE7" s="268"/>
      <c r="CF7" s="269" t="s">
        <v>91</v>
      </c>
      <c r="CG7" s="269"/>
      <c r="CH7" s="269" t="s">
        <v>91</v>
      </c>
      <c r="CI7" s="269"/>
      <c r="CJ7" s="269" t="s">
        <v>91</v>
      </c>
      <c r="CK7" s="269"/>
      <c r="CL7" s="269" t="s">
        <v>91</v>
      </c>
      <c r="CM7" s="269"/>
      <c r="CN7" s="264" t="s">
        <v>84</v>
      </c>
      <c r="CO7" s="264"/>
      <c r="CP7" s="264" t="s">
        <v>84</v>
      </c>
      <c r="CQ7" s="264"/>
      <c r="CR7" s="264" t="s">
        <v>84</v>
      </c>
      <c r="CS7" s="264"/>
      <c r="CT7" s="264" t="s">
        <v>84</v>
      </c>
      <c r="CU7" s="264"/>
      <c r="CV7" s="264" t="s">
        <v>84</v>
      </c>
      <c r="CW7" s="264"/>
      <c r="CX7" s="264" t="s">
        <v>84</v>
      </c>
      <c r="CY7" s="264"/>
      <c r="CZ7" s="264" t="s">
        <v>84</v>
      </c>
      <c r="DA7" s="264"/>
      <c r="DB7" s="262" t="s">
        <v>87</v>
      </c>
      <c r="DC7" s="262"/>
      <c r="DD7" s="262" t="s">
        <v>87</v>
      </c>
      <c r="DE7" s="262"/>
      <c r="DF7" s="262" t="s">
        <v>87</v>
      </c>
      <c r="DG7" s="262"/>
      <c r="DH7" s="262" t="s">
        <v>87</v>
      </c>
      <c r="DI7" s="262"/>
      <c r="DJ7" s="262" t="s">
        <v>87</v>
      </c>
      <c r="DK7" s="262"/>
      <c r="DL7" s="263" t="s">
        <v>83</v>
      </c>
      <c r="DM7" s="263"/>
      <c r="DN7" s="263" t="s">
        <v>83</v>
      </c>
      <c r="DO7" s="263"/>
      <c r="DP7" s="263" t="s">
        <v>83</v>
      </c>
      <c r="DQ7" s="263"/>
      <c r="DR7" s="263" t="s">
        <v>83</v>
      </c>
      <c r="DS7" s="263"/>
      <c r="DT7" s="263" t="s">
        <v>83</v>
      </c>
      <c r="DU7" s="263"/>
      <c r="DV7" s="263" t="s">
        <v>83</v>
      </c>
      <c r="DW7" s="263"/>
      <c r="DX7" s="261" t="s">
        <v>82</v>
      </c>
      <c r="DY7" s="261"/>
      <c r="DZ7" s="261" t="s">
        <v>82</v>
      </c>
      <c r="EA7" s="261"/>
      <c r="EB7" s="261" t="s">
        <v>82</v>
      </c>
      <c r="EC7" s="261"/>
      <c r="ED7" s="261" t="s">
        <v>82</v>
      </c>
      <c r="EE7" s="261"/>
      <c r="EF7" s="261" t="s">
        <v>82</v>
      </c>
      <c r="EG7" s="261"/>
      <c r="EH7" s="261" t="s">
        <v>82</v>
      </c>
      <c r="EI7" s="261"/>
      <c r="EJ7" s="261" t="s">
        <v>82</v>
      </c>
      <c r="EK7" s="261"/>
      <c r="EL7" s="258" t="s">
        <v>94</v>
      </c>
      <c r="EM7" s="258"/>
      <c r="EN7" s="258" t="s">
        <v>94</v>
      </c>
      <c r="EO7" s="258"/>
      <c r="EP7" s="258" t="s">
        <v>94</v>
      </c>
      <c r="EQ7" s="258"/>
      <c r="ER7" s="259" t="s">
        <v>92</v>
      </c>
      <c r="ES7" s="259"/>
      <c r="ET7" s="259" t="s">
        <v>92</v>
      </c>
      <c r="EU7" s="259"/>
      <c r="EV7" s="259" t="s">
        <v>92</v>
      </c>
      <c r="EW7" s="259"/>
      <c r="EX7" s="257" t="s">
        <v>93</v>
      </c>
      <c r="EY7" s="257"/>
      <c r="EZ7" s="260" t="s">
        <v>95</v>
      </c>
      <c r="FA7" s="260"/>
      <c r="FB7" s="260" t="s">
        <v>95</v>
      </c>
      <c r="FC7" s="260"/>
      <c r="FD7" s="260" t="s">
        <v>95</v>
      </c>
      <c r="FE7" s="260"/>
      <c r="FF7" s="257" t="s">
        <v>93</v>
      </c>
      <c r="FG7" s="257"/>
      <c r="FH7" s="257" t="s">
        <v>93</v>
      </c>
      <c r="FI7" s="257"/>
      <c r="FJ7" s="257" t="s">
        <v>93</v>
      </c>
      <c r="FK7" s="257"/>
      <c r="FL7" s="257" t="s">
        <v>93</v>
      </c>
      <c r="FM7" s="257"/>
    </row>
    <row r="8" spans="1:169" s="23" customFormat="1" ht="30" customHeight="1">
      <c r="B8" s="256"/>
      <c r="C8" s="256"/>
      <c r="D8" s="254" t="s">
        <v>278</v>
      </c>
      <c r="E8" s="255"/>
      <c r="F8" s="256"/>
      <c r="G8" s="256"/>
      <c r="H8" s="254" t="s">
        <v>279</v>
      </c>
      <c r="I8" s="255"/>
      <c r="J8" s="254" t="s">
        <v>280</v>
      </c>
      <c r="K8" s="255"/>
      <c r="L8" s="256"/>
      <c r="M8" s="256"/>
      <c r="N8" s="256"/>
      <c r="O8" s="256"/>
      <c r="P8" s="254" t="s">
        <v>281</v>
      </c>
      <c r="Q8" s="255"/>
      <c r="R8" s="254" t="s">
        <v>282</v>
      </c>
      <c r="S8" s="255"/>
      <c r="T8" s="256"/>
      <c r="U8" s="256"/>
      <c r="V8" s="254" t="s">
        <v>283</v>
      </c>
      <c r="W8" s="255"/>
      <c r="X8" s="254" t="s">
        <v>284</v>
      </c>
      <c r="Y8" s="255"/>
      <c r="Z8" s="254" t="s">
        <v>285</v>
      </c>
      <c r="AA8" s="255"/>
      <c r="AB8" s="254" t="s">
        <v>286</v>
      </c>
      <c r="AC8" s="255"/>
      <c r="AD8" s="256"/>
      <c r="AE8" s="256"/>
      <c r="AF8" s="254" t="s">
        <v>287</v>
      </c>
      <c r="AG8" s="255"/>
      <c r="AH8" s="254" t="s">
        <v>288</v>
      </c>
      <c r="AI8" s="255"/>
      <c r="AJ8" s="254" t="s">
        <v>289</v>
      </c>
      <c r="AK8" s="255"/>
      <c r="AL8" s="254" t="s">
        <v>290</v>
      </c>
      <c r="AM8" s="255"/>
      <c r="AN8" s="254" t="s">
        <v>291</v>
      </c>
      <c r="AO8" s="255"/>
      <c r="AP8" s="254" t="s">
        <v>292</v>
      </c>
      <c r="AQ8" s="255"/>
      <c r="AR8" s="254" t="s">
        <v>293</v>
      </c>
      <c r="AS8" s="255"/>
      <c r="AT8" s="254" t="s">
        <v>294</v>
      </c>
      <c r="AU8" s="255"/>
      <c r="AV8" s="254" t="s">
        <v>295</v>
      </c>
      <c r="AW8" s="255"/>
      <c r="AX8" s="254" t="s">
        <v>296</v>
      </c>
      <c r="AY8" s="255"/>
      <c r="AZ8" s="254" t="s">
        <v>297</v>
      </c>
      <c r="BA8" s="255"/>
      <c r="BB8" s="254" t="s">
        <v>298</v>
      </c>
      <c r="BC8" s="255"/>
      <c r="BD8" s="254"/>
      <c r="BE8" s="255"/>
      <c r="BF8" s="256"/>
      <c r="BG8" s="256"/>
      <c r="BH8" s="254" t="s">
        <v>299</v>
      </c>
      <c r="BI8" s="255"/>
      <c r="BJ8" s="254" t="s">
        <v>300</v>
      </c>
      <c r="BK8" s="255"/>
      <c r="BL8" s="254" t="s">
        <v>301</v>
      </c>
      <c r="BM8" s="255"/>
      <c r="BN8" s="254" t="s">
        <v>302</v>
      </c>
      <c r="BO8" s="255"/>
      <c r="BP8" s="254" t="s">
        <v>303</v>
      </c>
      <c r="BQ8" s="255"/>
      <c r="BR8" s="254" t="s">
        <v>304</v>
      </c>
      <c r="BS8" s="255"/>
      <c r="BT8" s="254" t="s">
        <v>305</v>
      </c>
      <c r="BU8" s="255"/>
      <c r="BV8" s="254" t="s">
        <v>306</v>
      </c>
      <c r="BW8" s="255"/>
      <c r="BX8" s="254" t="s">
        <v>307</v>
      </c>
      <c r="BY8" s="255"/>
      <c r="BZ8" s="256"/>
      <c r="CA8" s="256"/>
      <c r="CB8" s="256"/>
      <c r="CC8" s="256"/>
      <c r="CD8" s="256"/>
      <c r="CE8" s="256"/>
      <c r="CF8" s="256"/>
      <c r="CG8" s="256"/>
      <c r="CH8" s="254" t="s">
        <v>308</v>
      </c>
      <c r="CI8" s="255"/>
      <c r="CJ8" s="254" t="s">
        <v>309</v>
      </c>
      <c r="CK8" s="255"/>
      <c r="CL8" s="254" t="s">
        <v>310</v>
      </c>
      <c r="CM8" s="255"/>
      <c r="CN8" s="256"/>
      <c r="CO8" s="256"/>
      <c r="CP8" s="254" t="s">
        <v>311</v>
      </c>
      <c r="CQ8" s="255"/>
      <c r="CR8" s="254" t="s">
        <v>312</v>
      </c>
      <c r="CS8" s="255"/>
      <c r="CT8" s="254" t="s">
        <v>313</v>
      </c>
      <c r="CU8" s="255"/>
      <c r="CV8" s="254" t="s">
        <v>314</v>
      </c>
      <c r="CW8" s="255"/>
      <c r="CX8" s="254" t="s">
        <v>315</v>
      </c>
      <c r="CY8" s="255"/>
      <c r="CZ8" s="254" t="s">
        <v>316</v>
      </c>
      <c r="DA8" s="255"/>
      <c r="DB8" s="256"/>
      <c r="DC8" s="256"/>
      <c r="DD8" s="254" t="s">
        <v>317</v>
      </c>
      <c r="DE8" s="255"/>
      <c r="DF8" s="254" t="s">
        <v>318</v>
      </c>
      <c r="DG8" s="255"/>
      <c r="DH8" s="254" t="s">
        <v>319</v>
      </c>
      <c r="DI8" s="255"/>
      <c r="DJ8" s="254" t="s">
        <v>320</v>
      </c>
      <c r="DK8" s="255"/>
      <c r="DL8" s="254" t="s">
        <v>321</v>
      </c>
      <c r="DM8" s="255"/>
      <c r="DN8" s="254" t="s">
        <v>322</v>
      </c>
      <c r="DO8" s="255"/>
      <c r="DP8" s="254" t="s">
        <v>323</v>
      </c>
      <c r="DQ8" s="255"/>
      <c r="DR8" s="254" t="s">
        <v>324</v>
      </c>
      <c r="DS8" s="255"/>
      <c r="DT8" s="254" t="s">
        <v>325</v>
      </c>
      <c r="DU8" s="255"/>
      <c r="DV8" s="254" t="s">
        <v>326</v>
      </c>
      <c r="DW8" s="255"/>
      <c r="DX8" s="254" t="s">
        <v>327</v>
      </c>
      <c r="DY8" s="255"/>
      <c r="DZ8" s="254" t="s">
        <v>328</v>
      </c>
      <c r="EA8" s="255"/>
      <c r="EB8" s="254" t="s">
        <v>329</v>
      </c>
      <c r="EC8" s="255"/>
      <c r="ED8" s="254" t="s">
        <v>330</v>
      </c>
      <c r="EE8" s="255"/>
      <c r="EF8" s="254" t="s">
        <v>331</v>
      </c>
      <c r="EG8" s="255"/>
      <c r="EH8" s="254" t="s">
        <v>332</v>
      </c>
      <c r="EI8" s="255"/>
      <c r="EJ8" s="254" t="s">
        <v>333</v>
      </c>
      <c r="EK8" s="255"/>
      <c r="EL8" s="254" t="s">
        <v>334</v>
      </c>
      <c r="EM8" s="255"/>
      <c r="EN8" s="254" t="s">
        <v>335</v>
      </c>
      <c r="EO8" s="255"/>
      <c r="EP8" s="254" t="s">
        <v>336</v>
      </c>
      <c r="EQ8" s="255"/>
      <c r="ER8" s="254" t="s">
        <v>337</v>
      </c>
      <c r="ES8" s="255"/>
      <c r="ET8" s="254" t="s">
        <v>338</v>
      </c>
      <c r="EU8" s="255"/>
      <c r="EV8" s="254" t="s">
        <v>339</v>
      </c>
      <c r="EW8" s="255"/>
      <c r="EX8" s="254" t="s">
        <v>340</v>
      </c>
      <c r="EY8" s="255"/>
      <c r="EZ8" s="254" t="s">
        <v>341</v>
      </c>
      <c r="FA8" s="255"/>
      <c r="FB8" s="254" t="s">
        <v>342</v>
      </c>
      <c r="FC8" s="255"/>
      <c r="FD8" s="254" t="s">
        <v>343</v>
      </c>
      <c r="FE8" s="255"/>
      <c r="FF8" s="254" t="s">
        <v>344</v>
      </c>
      <c r="FG8" s="255"/>
      <c r="FH8" s="254" t="s">
        <v>345</v>
      </c>
      <c r="FI8" s="255"/>
      <c r="FJ8" s="254" t="s">
        <v>346</v>
      </c>
      <c r="FK8" s="255"/>
      <c r="FL8" s="254" t="s">
        <v>347</v>
      </c>
      <c r="FM8" s="255"/>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82" t="s">
        <v>348</v>
      </c>
      <c r="D2" s="282"/>
      <c r="E2" s="282" t="s">
        <v>349</v>
      </c>
      <c r="F2" s="282"/>
      <c r="G2" s="282" t="s">
        <v>350</v>
      </c>
      <c r="H2" s="282"/>
      <c r="I2" s="282" t="s">
        <v>351</v>
      </c>
      <c r="J2" s="282"/>
      <c r="K2" s="282" t="s">
        <v>352</v>
      </c>
      <c r="L2" s="282"/>
      <c r="M2" s="282" t="s">
        <v>353</v>
      </c>
      <c r="N2" s="282"/>
      <c r="O2" s="282" t="s">
        <v>354</v>
      </c>
      <c r="P2" s="282"/>
      <c r="Q2" s="282" t="s">
        <v>355</v>
      </c>
      <c r="R2" s="282"/>
      <c r="S2" s="282" t="s">
        <v>356</v>
      </c>
      <c r="T2" s="282"/>
      <c r="V2" s="282" t="s">
        <v>357</v>
      </c>
      <c r="W2" s="282"/>
      <c r="X2" s="282" t="s">
        <v>358</v>
      </c>
      <c r="Y2" s="282"/>
      <c r="Z2" s="282" t="s">
        <v>359</v>
      </c>
      <c r="AA2" s="282"/>
      <c r="AB2" s="282" t="s">
        <v>360</v>
      </c>
      <c r="AC2" s="282"/>
      <c r="AD2" s="282" t="s">
        <v>361</v>
      </c>
      <c r="AE2" s="282"/>
      <c r="AF2" s="282" t="s">
        <v>362</v>
      </c>
      <c r="AG2" s="282"/>
      <c r="AH2" s="282" t="s">
        <v>363</v>
      </c>
      <c r="AI2" s="282"/>
      <c r="AJ2" s="282" t="s">
        <v>364</v>
      </c>
      <c r="AK2" s="282"/>
      <c r="AL2" s="282" t="s">
        <v>365</v>
      </c>
      <c r="AM2" s="282"/>
      <c r="AO2" s="282" t="s">
        <v>366</v>
      </c>
      <c r="AP2" s="282"/>
      <c r="AQ2" s="282" t="s">
        <v>367</v>
      </c>
      <c r="AR2" s="282"/>
      <c r="AS2" s="282" t="s">
        <v>368</v>
      </c>
      <c r="AT2" s="282"/>
      <c r="AU2" s="282" t="s">
        <v>369</v>
      </c>
      <c r="AV2" s="282"/>
      <c r="AW2" s="282" t="s">
        <v>370</v>
      </c>
      <c r="AX2" s="282"/>
      <c r="AY2" s="282" t="s">
        <v>371</v>
      </c>
      <c r="AZ2" s="282"/>
      <c r="BA2" s="282" t="s">
        <v>372</v>
      </c>
      <c r="BB2" s="282"/>
      <c r="BC2" s="282" t="s">
        <v>373</v>
      </c>
      <c r="BD2" s="282"/>
      <c r="BE2" s="282" t="s">
        <v>374</v>
      </c>
      <c r="BF2" s="282"/>
      <c r="BH2" s="282" t="s">
        <v>104</v>
      </c>
      <c r="BI2" s="282"/>
      <c r="BJ2" s="282" t="s">
        <v>375</v>
      </c>
      <c r="BK2" s="282"/>
      <c r="BL2" s="282" t="s">
        <v>376</v>
      </c>
      <c r="BM2" s="282"/>
      <c r="BN2" s="282" t="s">
        <v>377</v>
      </c>
      <c r="BO2" s="282"/>
      <c r="BP2" s="282" t="s">
        <v>378</v>
      </c>
      <c r="BQ2" s="282"/>
      <c r="BR2" s="282" t="s">
        <v>379</v>
      </c>
      <c r="BS2" s="282"/>
      <c r="BT2" s="282" t="s">
        <v>380</v>
      </c>
      <c r="BU2" s="282"/>
      <c r="BV2" s="282" t="s">
        <v>381</v>
      </c>
      <c r="BW2" s="282"/>
      <c r="BX2" s="282" t="s">
        <v>382</v>
      </c>
      <c r="BY2" s="282"/>
      <c r="BZ2" s="282" t="s">
        <v>383</v>
      </c>
      <c r="CA2" s="282"/>
      <c r="CB2" s="282" t="s">
        <v>384</v>
      </c>
      <c r="CC2" s="282"/>
      <c r="CD2" s="282" t="s">
        <v>385</v>
      </c>
      <c r="CE2" s="282"/>
      <c r="CF2" s="282" t="s">
        <v>386</v>
      </c>
      <c r="CG2" s="282"/>
      <c r="CH2" s="282" t="s">
        <v>387</v>
      </c>
      <c r="CI2" s="282"/>
      <c r="CJ2" s="282" t="s">
        <v>388</v>
      </c>
      <c r="CK2" s="282"/>
      <c r="CL2" s="282" t="s">
        <v>389</v>
      </c>
      <c r="CM2" s="282"/>
      <c r="CN2" s="282" t="s">
        <v>390</v>
      </c>
      <c r="CO2" s="282"/>
      <c r="CP2" s="282" t="s">
        <v>391</v>
      </c>
      <c r="CQ2" s="282"/>
      <c r="CR2" s="282" t="s">
        <v>392</v>
      </c>
      <c r="CS2" s="282"/>
    </row>
    <row r="3" spans="1:97" s="54" customFormat="1" ht="49.5" customHeight="1">
      <c r="A3" s="113"/>
      <c r="B3" s="68"/>
      <c r="C3" s="281"/>
      <c r="D3" s="281"/>
      <c r="E3" s="284" t="s">
        <v>111</v>
      </c>
      <c r="F3" s="284"/>
      <c r="G3" s="281"/>
      <c r="H3" s="281"/>
      <c r="I3" s="285" t="s">
        <v>113</v>
      </c>
      <c r="J3" s="285"/>
      <c r="K3" s="281"/>
      <c r="L3" s="281"/>
      <c r="M3" s="281"/>
      <c r="N3" s="281"/>
      <c r="O3" s="281"/>
      <c r="P3" s="281"/>
      <c r="Q3" s="283" t="s">
        <v>114</v>
      </c>
      <c r="R3" s="283"/>
      <c r="S3" s="281"/>
      <c r="T3" s="281"/>
      <c r="U3" s="53"/>
      <c r="V3" s="283" t="s">
        <v>109</v>
      </c>
      <c r="W3" s="283"/>
      <c r="X3" s="281"/>
      <c r="Y3" s="281"/>
      <c r="Z3" s="281"/>
      <c r="AA3" s="281"/>
      <c r="AB3" s="281"/>
      <c r="AC3" s="281"/>
      <c r="AD3" s="281"/>
      <c r="AE3" s="281"/>
      <c r="AF3" s="281"/>
      <c r="AG3" s="281"/>
      <c r="AH3" s="281"/>
      <c r="AI3" s="281"/>
      <c r="AJ3" s="281"/>
      <c r="AK3" s="281"/>
      <c r="AL3" s="281"/>
      <c r="AM3" s="281"/>
      <c r="AN3" s="53"/>
      <c r="AO3" s="284" t="s">
        <v>112</v>
      </c>
      <c r="AP3" s="284"/>
      <c r="AQ3" s="281"/>
      <c r="AR3" s="281"/>
      <c r="AS3" s="281"/>
      <c r="AT3" s="281"/>
      <c r="AU3" s="281"/>
      <c r="AV3" s="281"/>
      <c r="AW3" s="281"/>
      <c r="AX3" s="281"/>
      <c r="AY3" s="281"/>
      <c r="AZ3" s="281"/>
      <c r="BA3" s="281"/>
      <c r="BB3" s="281"/>
      <c r="BC3" s="281"/>
      <c r="BD3" s="281"/>
      <c r="BE3" s="281"/>
      <c r="BF3" s="281"/>
      <c r="BG3" s="53"/>
      <c r="BH3" s="284" t="s">
        <v>110</v>
      </c>
      <c r="BI3" s="284"/>
      <c r="BJ3" s="281"/>
      <c r="BK3" s="281"/>
      <c r="BL3" s="281"/>
      <c r="BM3" s="281"/>
      <c r="BN3" s="281"/>
      <c r="BO3" s="281"/>
      <c r="BP3" s="281"/>
      <c r="BQ3" s="281"/>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2022-09-28T08:28:32Z</dcterms:modified>
  <cp:category/>
  <cp:contentStatus/>
</cp:coreProperties>
</file>