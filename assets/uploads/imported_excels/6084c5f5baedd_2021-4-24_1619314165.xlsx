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370" windowHeight="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5" l="1"/>
  <c r="F28" i="3" l="1"/>
  <c r="F29" i="3" s="1"/>
  <c r="F30" i="3" s="1"/>
  <c r="F31" i="3" s="1"/>
  <c r="F32" i="3" s="1"/>
  <c r="F33" i="3" s="1"/>
  <c r="U8" i="2" l="1"/>
  <c r="R8" i="2"/>
  <c r="S8" i="2" s="1"/>
  <c r="Q8" i="2"/>
  <c r="O8" i="2"/>
  <c r="M8" i="2"/>
  <c r="K8" i="2"/>
  <c r="I8" i="2"/>
  <c r="G8" i="2"/>
  <c r="E8" i="2"/>
  <c r="C8" i="2"/>
  <c r="I8" i="3"/>
  <c r="G8" i="3"/>
  <c r="E8" i="3"/>
  <c r="C8" i="3"/>
  <c r="J8" i="3" s="1"/>
  <c r="K8" i="3" s="1"/>
  <c r="W8" i="4"/>
  <c r="S8" i="4"/>
  <c r="Z8" i="4" s="1"/>
  <c r="AA8" i="4" s="1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T8" i="1" s="1"/>
  <c r="U8" i="1" s="1"/>
  <c r="Y8" i="4" l="1"/>
  <c r="C4" i="5" l="1"/>
  <c r="U34" i="4" l="1"/>
  <c r="B34" i="4"/>
  <c r="N28" i="1" l="1"/>
  <c r="N29" i="1" s="1"/>
  <c r="N30" i="1" s="1"/>
  <c r="N31" i="1" s="1"/>
  <c r="N32" i="1" s="1"/>
  <c r="K28" i="1"/>
  <c r="K29" i="1" s="1"/>
  <c r="K30" i="1" s="1"/>
  <c r="K31" i="1" s="1"/>
  <c r="K32" i="1" s="1"/>
  <c r="I4" i="1"/>
  <c r="E28" i="1"/>
  <c r="E29" i="1" s="1"/>
  <c r="E30" i="1" s="1"/>
  <c r="E31" i="1" s="1"/>
  <c r="E32" i="1" s="1"/>
  <c r="B28" i="5"/>
  <c r="B29" i="5" s="1"/>
  <c r="B30" i="5" s="1"/>
  <c r="B31" i="5" s="1"/>
  <c r="B32" i="5" s="1"/>
  <c r="V28" i="4"/>
  <c r="V29" i="4" s="1"/>
  <c r="V30" i="4" s="1"/>
  <c r="V31" i="4" s="1"/>
  <c r="V32" i="4" s="1"/>
  <c r="R28" i="4"/>
  <c r="R29" i="4" s="1"/>
  <c r="R30" i="4" s="1"/>
  <c r="R31" i="4" s="1"/>
  <c r="R32" i="4" s="1"/>
  <c r="P28" i="4"/>
  <c r="P29" i="4" s="1"/>
  <c r="P30" i="4" s="1"/>
  <c r="P31" i="4" s="1"/>
  <c r="P32" i="4" s="1"/>
  <c r="N28" i="4"/>
  <c r="N29" i="4" s="1"/>
  <c r="N30" i="4" s="1"/>
  <c r="N31" i="4" s="1"/>
  <c r="N32" i="4" s="1"/>
  <c r="L28" i="4"/>
  <c r="L29" i="4" s="1"/>
  <c r="L30" i="4" s="1"/>
  <c r="L31" i="4" s="1"/>
  <c r="L32" i="4" s="1"/>
  <c r="J28" i="4"/>
  <c r="J29" i="4" s="1"/>
  <c r="J30" i="4" s="1"/>
  <c r="J31" i="4" s="1"/>
  <c r="J32" i="4" s="1"/>
  <c r="J33" i="4" s="1"/>
  <c r="G28" i="4"/>
  <c r="G29" i="4" s="1"/>
  <c r="G30" i="4" s="1"/>
  <c r="G31" i="4" s="1"/>
  <c r="G32" i="4" s="1"/>
  <c r="E28" i="4"/>
  <c r="E29" i="4" s="1"/>
  <c r="E30" i="4" s="1"/>
  <c r="E31" i="4" s="1"/>
  <c r="E32" i="4" s="1"/>
  <c r="H27" i="3"/>
  <c r="H28" i="3" s="1"/>
  <c r="H29" i="3" s="1"/>
  <c r="H30" i="3" s="1"/>
  <c r="H31" i="3" s="1"/>
  <c r="H32" i="3" s="1"/>
  <c r="D28" i="3"/>
  <c r="D29" i="3" s="1"/>
  <c r="D30" i="3" s="1"/>
  <c r="D31" i="3" s="1"/>
  <c r="D32" i="3" s="1"/>
  <c r="B28" i="3"/>
  <c r="B29" i="3" s="1"/>
  <c r="B30" i="3" s="1"/>
  <c r="B31" i="3" s="1"/>
  <c r="B32" i="3" s="1"/>
  <c r="B28" i="2"/>
  <c r="B29" i="2" s="1"/>
  <c r="B30" i="2" s="1"/>
  <c r="B31" i="2" s="1"/>
  <c r="B32" i="2" s="1"/>
  <c r="B33" i="2" s="1"/>
  <c r="D28" i="2"/>
  <c r="D29" i="2" s="1"/>
  <c r="D30" i="2" s="1"/>
  <c r="D31" i="2" s="1"/>
  <c r="D32" i="2" s="1"/>
  <c r="D33" i="2" s="1"/>
  <c r="F28" i="2"/>
  <c r="F29" i="2" s="1"/>
  <c r="F30" i="2" s="1"/>
  <c r="F31" i="2" s="1"/>
  <c r="F32" i="2" s="1"/>
  <c r="F33" i="2" s="1"/>
  <c r="H28" i="2"/>
  <c r="H29" i="2" s="1"/>
  <c r="H30" i="2" s="1"/>
  <c r="H31" i="2" s="1"/>
  <c r="H32" i="2" s="1"/>
  <c r="H33" i="2" s="1"/>
  <c r="J4" i="2"/>
  <c r="J5" i="2" s="1"/>
  <c r="J6" i="2" s="1"/>
  <c r="J7" i="2" s="1"/>
  <c r="J10" i="2" s="1"/>
  <c r="J11" i="2" s="1"/>
  <c r="J12" i="2" s="1"/>
  <c r="J17" i="2" s="1"/>
  <c r="J18" i="2" s="1"/>
  <c r="J19" i="2" s="1"/>
  <c r="J20" i="2" s="1"/>
  <c r="J21" i="2" s="1"/>
  <c r="J22" i="2" s="1"/>
  <c r="J28" i="2" s="1"/>
  <c r="J29" i="2" s="1"/>
  <c r="J30" i="2" s="1"/>
  <c r="J31" i="2" s="1"/>
  <c r="J32" i="2" s="1"/>
  <c r="J33" i="2" s="1"/>
  <c r="P16" i="2"/>
  <c r="P17" i="2" s="1"/>
  <c r="P28" i="2" s="1"/>
  <c r="P29" i="2" s="1"/>
  <c r="P30" i="2" s="1"/>
  <c r="P31" i="2" s="1"/>
  <c r="P32" i="2" s="1"/>
  <c r="P33" i="2" s="1"/>
  <c r="T28" i="2"/>
  <c r="T29" i="2" s="1"/>
  <c r="T30" i="2" s="1"/>
  <c r="T31" i="2" s="1"/>
  <c r="T32" i="2" s="1"/>
  <c r="T33" i="2" s="1"/>
  <c r="L28" i="2"/>
  <c r="L29" i="2" s="1"/>
  <c r="L30" i="2" s="1"/>
  <c r="L31" i="2" s="1"/>
  <c r="L32" i="2" s="1"/>
  <c r="L33" i="2" s="1"/>
  <c r="N28" i="2"/>
  <c r="N29" i="2" s="1"/>
  <c r="N30" i="2" s="1"/>
  <c r="N31" i="2" s="1"/>
  <c r="N32" i="2" s="1"/>
  <c r="N33" i="2" s="1"/>
  <c r="C4" i="1" l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9" i="2" s="1"/>
  <c r="R10" i="2" s="1"/>
  <c r="R11" i="2" s="1"/>
  <c r="R12" i="2" s="1"/>
  <c r="R16" i="2" s="1"/>
  <c r="R17" i="2" s="1"/>
  <c r="R19" i="2" s="1"/>
  <c r="R20" i="2" s="1"/>
  <c r="R21" i="2" s="1"/>
  <c r="R22" i="2" s="1"/>
  <c r="R25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R33" i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I10" i="1" l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28" i="1"/>
  <c r="B29" i="1" s="1"/>
  <c r="B30" i="1" s="1"/>
  <c r="B31" i="1" s="1"/>
  <c r="B32" i="1" s="1"/>
  <c r="C11" i="1"/>
  <c r="H28" i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W25" i="4"/>
  <c r="F25" i="4"/>
  <c r="T30" i="8" l="1"/>
  <c r="J31" i="1"/>
  <c r="H33" i="1"/>
  <c r="I33" i="1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M34" i="1" l="1"/>
  <c r="G34" i="2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X34" i="4"/>
  <c r="AA34" i="4" l="1"/>
  <c r="D30" i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C28" i="4"/>
  <c r="D28" i="4" l="1"/>
  <c r="Q27" i="8" s="1"/>
  <c r="E27" i="9" s="1"/>
  <c r="C29" i="4"/>
  <c r="D29" i="4" l="1"/>
  <c r="Q28" i="8" s="1"/>
  <c r="E28" i="9" s="1"/>
  <c r="C30" i="4"/>
  <c r="C31" i="4" l="1"/>
  <c r="D30" i="4"/>
  <c r="Q29" i="8" s="1"/>
  <c r="E29" i="9" s="1"/>
  <c r="D31" i="4" l="1"/>
  <c r="C32" i="4"/>
  <c r="D32" i="4" l="1"/>
  <c r="C33" i="4"/>
  <c r="D33" i="4" l="1"/>
  <c r="D34" i="4" s="1"/>
  <c r="J26" i="11"/>
  <c r="K26" i="11" s="1"/>
  <c r="C7" i="11" l="1"/>
  <c r="D7" i="11" s="1"/>
  <c r="C5" i="11"/>
  <c r="D5" i="11" s="1"/>
  <c r="C6" i="11"/>
  <c r="D6" i="11" s="1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<sst xmlns="http://schemas.openxmlformats.org/spreadsheetml/2006/main" count="447" uniqueCount="144">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</sst>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H10" sqref="H10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5">
        <v>0</v>
      </c>
      <c r="G5" s="47">
        <f>Gas!C6*0.9147</f>
        <v>2009.5958999999998</v>
      </c>
      <c r="H5" s="15">
        <v>0</v>
      </c>
      <c r="I5" s="47">
        <v>0</v>
      </c>
      <c r="J5" s="48">
        <v>0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5">
        <v>0</v>
      </c>
      <c r="G6" s="47">
        <f>Gas!C7*0.9147</f>
        <v>2364.4994999999999</v>
      </c>
      <c r="H6" s="15">
        <v>0</v>
      </c>
      <c r="I6" s="47">
        <v>0</v>
      </c>
      <c r="J6" s="48">
        <v>0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5">
        <v>0</v>
      </c>
      <c r="G7" s="47">
        <f>Gas!C8*0.9147</f>
        <v>2071.7954999999997</v>
      </c>
      <c r="H7" s="15">
        <v>0</v>
      </c>
      <c r="I7" s="47">
        <v>0</v>
      </c>
      <c r="J7" s="48">
        <v>0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5">
        <v>0</v>
      </c>
      <c r="G8" s="47">
        <f>Gas!C9*0.9147</f>
        <v>1940.9933999999998</v>
      </c>
      <c r="H8" s="15">
        <v>0</v>
      </c>
      <c r="I8" s="47">
        <v>0</v>
      </c>
      <c r="J8" s="48">
        <v>0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52074.496287999995</v>
      </c>
      <c r="F9" s="15">
        <v>0</v>
      </c>
      <c r="G9" s="47">
        <f>Gas!C10*0.9147</f>
        <v>1865.9879999999998</v>
      </c>
      <c r="H9" s="15">
        <v>0</v>
      </c>
      <c r="I9" s="47">
        <v>0</v>
      </c>
      <c r="J9" s="48">
        <v>0</v>
      </c>
      <c r="K9" s="47">
        <f>ELECT.!B10</f>
        <v>148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48628.162691999998</v>
      </c>
      <c r="F10" s="15">
        <v>0</v>
      </c>
      <c r="G10" s="47">
        <f>Gas!C11*0.9147</f>
        <v>1976.6667</v>
      </c>
      <c r="H10" s="15">
        <v>0</v>
      </c>
      <c r="I10" s="47">
        <v>0</v>
      </c>
      <c r="J10" s="48">
        <v>0</v>
      </c>
      <c r="K10" s="47">
        <f>ELECT.!B11</f>
        <v>144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67860.505827999994</v>
      </c>
      <c r="F11" s="15">
        <v>0</v>
      </c>
      <c r="G11" s="47">
        <f>Gas!C12*0.9147</f>
        <v>1992.2166</v>
      </c>
      <c r="H11" s="15">
        <v>0</v>
      </c>
      <c r="I11" s="47">
        <v>0</v>
      </c>
      <c r="J11" s="48">
        <v>0</v>
      </c>
      <c r="K11" s="47">
        <f>ELECT.!B12</f>
        <v>141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83131.751216000004</v>
      </c>
      <c r="F12" s="15">
        <v>0</v>
      </c>
      <c r="G12" s="47">
        <f>Gas!C13*0.9147</f>
        <v>2600.4920999999999</v>
      </c>
      <c r="H12" s="15">
        <v>0</v>
      </c>
      <c r="I12" s="47">
        <v>0</v>
      </c>
      <c r="J12" s="48">
        <v>0</v>
      </c>
      <c r="K12" s="47">
        <f>ELECT.!B13</f>
        <v>138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11254.241144000003</v>
      </c>
      <c r="F13" s="15">
        <v>0</v>
      </c>
      <c r="G13" s="47">
        <f>Gas!C14*0.9147</f>
        <v>2040.6957</v>
      </c>
      <c r="H13" s="15">
        <v>0</v>
      </c>
      <c r="I13" s="47">
        <v>0</v>
      </c>
      <c r="J13" s="48">
        <v>0</v>
      </c>
      <c r="K13" s="47">
        <f>ELECT.!B14</f>
        <v>123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47979.679640000002</v>
      </c>
      <c r="F14" s="15">
        <v>0</v>
      </c>
      <c r="G14" s="47">
        <f>Gas!C15*0.9147</f>
        <v>1922.6994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35168.672008000001</v>
      </c>
      <c r="F15" s="15">
        <v>0</v>
      </c>
      <c r="G15" s="47">
        <f>Gas!C16*0.9147</f>
        <v>2216.3181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50385.902364000001</v>
      </c>
      <c r="F16" s="15">
        <v>0</v>
      </c>
      <c r="G16" s="47">
        <f>Gas!C17*0.9147</f>
        <v>2229.1239</v>
      </c>
      <c r="H16" s="15">
        <v>0</v>
      </c>
      <c r="I16" s="47">
        <v>0</v>
      </c>
      <c r="J16" s="48">
        <v>0</v>
      </c>
      <c r="K16" s="47">
        <f>ELECT.!B17</f>
        <v>122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48474.947163999997</v>
      </c>
      <c r="F17" s="15">
        <v>0</v>
      </c>
      <c r="G17" s="47">
        <f>Gas!C18*0.9147</f>
        <v>2070.8807999999999</v>
      </c>
      <c r="H17" s="15">
        <v>0</v>
      </c>
      <c r="I17" s="47">
        <v>0</v>
      </c>
      <c r="J17" s="48">
        <v>0</v>
      </c>
      <c r="K17" s="47">
        <f>ELECT.!B18</f>
        <v>120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49560.202912000001</v>
      </c>
      <c r="F18" s="15">
        <v>0</v>
      </c>
      <c r="G18" s="47">
        <f>Gas!C19*0.9147</f>
        <v>1919.9552999999999</v>
      </c>
      <c r="H18" s="15">
        <v>0</v>
      </c>
      <c r="I18" s="47">
        <v>0</v>
      </c>
      <c r="J18" s="48">
        <v>0</v>
      </c>
      <c r="K18" s="47">
        <f>ELECT.!B19</f>
        <v>119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41785.367852000003</v>
      </c>
      <c r="F19" s="15">
        <v>0</v>
      </c>
      <c r="G19" s="47">
        <f>Gas!C20*0.9147</f>
        <v>1325.4003</v>
      </c>
      <c r="H19" s="15">
        <v>0</v>
      </c>
      <c r="I19" s="47">
        <v>0</v>
      </c>
      <c r="J19" s="48">
        <v>0</v>
      </c>
      <c r="K19" s="47">
        <f>ELECT.!B20</f>
        <v>118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63684.196924000003</v>
      </c>
      <c r="F20" s="15">
        <v>0</v>
      </c>
      <c r="G20" s="47">
        <f>Gas!C21*0.9147</f>
        <v>1834.8881999999999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59970.325100000002</v>
      </c>
      <c r="F21" s="15">
        <v>0</v>
      </c>
      <c r="G21" s="47">
        <f>Gas!C22*0.9147</f>
        <v>1489.1315999999999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64156.108544000002</v>
      </c>
      <c r="F22" s="15">
        <v>0</v>
      </c>
      <c r="G22" s="47">
        <f>Gas!C23*0.9147</f>
        <v>1829.3999999999999</v>
      </c>
      <c r="H22" s="15">
        <v>0</v>
      </c>
      <c r="I22" s="47">
        <v>0</v>
      </c>
      <c r="J22" s="48">
        <v>0</v>
      </c>
      <c r="K22" s="47">
        <f>ELECT.!B23</f>
        <v>100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48297.70364</v>
      </c>
      <c r="F23" s="15">
        <v>0</v>
      </c>
      <c r="G23" s="47">
        <f>Gas!C24*0.9147</f>
        <v>1663.8392999999999</v>
      </c>
      <c r="H23" s="15">
        <v>0</v>
      </c>
      <c r="I23" s="47">
        <v>0</v>
      </c>
      <c r="J23" s="48">
        <v>0</v>
      </c>
      <c r="K23" s="47">
        <f>ELECT.!B24</f>
        <v>90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71888.250375999996</v>
      </c>
      <c r="F24" s="15">
        <v>0</v>
      </c>
      <c r="G24" s="47">
        <f>Gas!C25*0.9147</f>
        <v>1931.8463999999999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59817.774164000009</v>
      </c>
      <c r="F25" s="15">
        <v>0</v>
      </c>
      <c r="G25" s="47">
        <f>Gas!C26*0.9147</f>
        <v>1918.1259</v>
      </c>
      <c r="H25" s="15">
        <v>0</v>
      </c>
      <c r="I25" s="47">
        <v>0</v>
      </c>
      <c r="J25" s="48">
        <v>0</v>
      </c>
      <c r="K25" s="47">
        <f>ELECT.!B26</f>
        <v>65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44992.235251999999</v>
      </c>
      <c r="F26" s="15">
        <v>0</v>
      </c>
      <c r="G26" s="47">
        <f>Gas!C27*0.9147</f>
        <v>1688.5362</v>
      </c>
      <c r="H26" s="15">
        <v>0</v>
      </c>
      <c r="I26" s="47">
        <v>0</v>
      </c>
      <c r="J26" s="48">
        <v>0</v>
      </c>
      <c r="K26" s="47">
        <f>ELECT.!B27</f>
        <v>18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500</v>
      </c>
      <c r="F9" s="47">
        <f>Water!E10</f>
        <v>375.3</v>
      </c>
      <c r="G9" s="47">
        <f>Water!G10</f>
        <v>375.3</v>
      </c>
      <c r="H9" s="47">
        <f>Water!I10</f>
        <v>4.05</v>
      </c>
      <c r="I9" s="47">
        <f>ELECT.!F10</f>
        <v>8764</v>
      </c>
      <c r="J9" s="47">
        <f>ELECT.!H10</f>
        <v>46300</v>
      </c>
      <c r="K9" s="47">
        <f>ELECT.!K10</f>
        <v>6002</v>
      </c>
      <c r="L9" s="47">
        <f>ELECT.!M10</f>
        <v>4933</v>
      </c>
      <c r="M9" s="47">
        <f>ELECT.!O10</f>
        <v>2946</v>
      </c>
      <c r="N9" s="47">
        <f>ELECT.!Q10</f>
        <v>9787</v>
      </c>
      <c r="O9" s="47">
        <f>ELECT.!S10</f>
        <v>9006</v>
      </c>
      <c r="P9" s="47">
        <f>ELECT.!W10*2</f>
        <v>20526</v>
      </c>
      <c r="Q9" s="47">
        <f>ELECT.!D10</f>
        <v>480</v>
      </c>
      <c r="R9" s="48">
        <f>BTU!C10</f>
        <v>6.3559999999997672</v>
      </c>
      <c r="S9" s="48">
        <f>BTU!F10</f>
        <v>1.7309999999997672</v>
      </c>
      <c r="T9" s="48">
        <f>BTU!I10</f>
        <v>6</v>
      </c>
      <c r="U9" s="48">
        <f>BTU!O10</f>
        <v>1.5409999999997126</v>
      </c>
      <c r="V9" s="48">
        <f>BTU!L10</f>
        <v>1.6300000000010186</v>
      </c>
      <c r="W9" s="48">
        <f>BTU!R10</f>
        <v>1.5300000000006548</v>
      </c>
      <c r="X9" s="45">
        <f>ELECT.!B10</f>
        <v>148</v>
      </c>
      <c r="Y9" s="45">
        <f t="shared" si="0"/>
        <v>1864</v>
      </c>
      <c r="Z9">
        <f>'Mall, Citadel, Rotana'!C10+'Mall, Citadel, Rotana'!E10+'Mall, Citadel, Rotana'!G10+'Mall, Citadel, Rotana'!I10</f>
        <v>1408</v>
      </c>
      <c r="AA9">
        <f>'Mall, Citadel, Rotana'!K10+'Mall, Citadel, Rotana'!M10</f>
        <v>640</v>
      </c>
      <c r="AB9">
        <f>'Mall, Citadel, Rotana'!O10</f>
        <v>115</v>
      </c>
      <c r="AC9">
        <f>'Mall, Citadel, Rotana'!Q10+'Mall, Citadel, Rotana'!S10</f>
        <v>150</v>
      </c>
      <c r="AD9" s="45">
        <f t="shared" si="1"/>
        <v>39.79701</v>
      </c>
      <c r="AE9" s="45">
        <f t="shared" si="2"/>
        <v>262.15298999999999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550</v>
      </c>
      <c r="F10" s="47">
        <f>Water!E11</f>
        <v>321.3</v>
      </c>
      <c r="G10" s="47">
        <f>Water!G11</f>
        <v>356.4</v>
      </c>
      <c r="H10" s="47">
        <f>Water!I11</f>
        <v>4.59</v>
      </c>
      <c r="I10" s="47">
        <f>ELECT.!F11</f>
        <v>7221</v>
      </c>
      <c r="J10" s="47">
        <f>ELECT.!H11</f>
        <v>44359</v>
      </c>
      <c r="K10" s="47">
        <f>ELECT.!K11</f>
        <v>5428</v>
      </c>
      <c r="L10" s="47">
        <f>ELECT.!M11</f>
        <v>4453</v>
      </c>
      <c r="M10" s="47">
        <f>ELECT.!O11</f>
        <v>2628</v>
      </c>
      <c r="N10" s="47">
        <f>ELECT.!Q11</f>
        <v>9136</v>
      </c>
      <c r="O10" s="47">
        <f>ELECT.!S11</f>
        <v>8657</v>
      </c>
      <c r="P10" s="47">
        <f>ELECT.!W11*2</f>
        <v>20306</v>
      </c>
      <c r="Q10" s="47">
        <f>ELECT.!D11</f>
        <v>640</v>
      </c>
      <c r="R10" s="48">
        <f>BTU!C11</f>
        <v>6.5750000000007276</v>
      </c>
      <c r="S10" s="48">
        <f>BTU!F11</f>
        <v>1.8120000000003529</v>
      </c>
      <c r="T10" s="48">
        <f>BTU!I11</f>
        <v>7</v>
      </c>
      <c r="U10" s="48">
        <f>BTU!O11</f>
        <v>1.9600000000000364</v>
      </c>
      <c r="V10" s="48">
        <f>BTU!L11</f>
        <v>1.680000000000291</v>
      </c>
      <c r="W10" s="48">
        <f>BTU!R11</f>
        <v>1.0670000000000073</v>
      </c>
      <c r="X10" s="45">
        <f>ELECT.!B11</f>
        <v>144</v>
      </c>
      <c r="Y10" s="45">
        <f t="shared" si="0"/>
        <v>972</v>
      </c>
      <c r="Z10">
        <f>'Mall, Citadel, Rotana'!C11+'Mall, Citadel, Rotana'!E11+'Mall, Citadel, Rotana'!G11+'Mall, Citadel, Rotana'!I11</f>
        <v>1419</v>
      </c>
      <c r="AA10">
        <f>'Mall, Citadel, Rotana'!K11+'Mall, Citadel, Rotana'!M11</f>
        <v>640</v>
      </c>
      <c r="AB10">
        <f>'Mall, Citadel, Rotana'!O11</f>
        <v>127</v>
      </c>
      <c r="AC10">
        <f>'Mall, Citadel, Rotana'!Q11+'Mall, Citadel, Rotana'!S11</f>
        <v>180</v>
      </c>
      <c r="AD10" s="45">
        <f t="shared" si="1"/>
        <v>46.315837999999999</v>
      </c>
      <c r="AE10" s="45">
        <f t="shared" si="2"/>
        <v>305.09416199999998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1660</v>
      </c>
      <c r="F11" s="47">
        <f>Water!E12</f>
        <v>369.9</v>
      </c>
      <c r="G11" s="47">
        <f>Water!G12</f>
        <v>194.4</v>
      </c>
      <c r="H11" s="47">
        <f>Water!I12</f>
        <v>2.5379999999999998</v>
      </c>
      <c r="I11" s="47">
        <f>ELECT.!F12</f>
        <v>10215</v>
      </c>
      <c r="J11" s="47">
        <f>ELECT.!H12</f>
        <v>60635</v>
      </c>
      <c r="K11" s="47">
        <f>ELECT.!K12</f>
        <v>6841</v>
      </c>
      <c r="L11" s="47">
        <f>ELECT.!M12</f>
        <v>6803</v>
      </c>
      <c r="M11" s="47">
        <f>ELECT.!O12</f>
        <v>3216</v>
      </c>
      <c r="N11" s="47">
        <f>ELECT.!Q12</f>
        <v>11893</v>
      </c>
      <c r="O11" s="47">
        <f>ELECT.!S12</f>
        <v>12357</v>
      </c>
      <c r="P11" s="47">
        <f>ELECT.!W12*2</f>
        <v>28210</v>
      </c>
      <c r="Q11" s="47">
        <f>ELECT.!D12</f>
        <v>320</v>
      </c>
      <c r="R11" s="48">
        <f>BTU!C12</f>
        <v>5.5180000000000291</v>
      </c>
      <c r="S11" s="48">
        <f>BTU!F12</f>
        <v>0.91399999999975989</v>
      </c>
      <c r="T11" s="48">
        <f>BTU!I12</f>
        <v>5</v>
      </c>
      <c r="U11" s="48">
        <f>BTU!O12</f>
        <v>1.5530000000003383</v>
      </c>
      <c r="V11" s="48">
        <f>BTU!L12</f>
        <v>1.1999999999989086</v>
      </c>
      <c r="W11" s="48">
        <f>BTU!R12</f>
        <v>1.0429999999996653</v>
      </c>
      <c r="X11" s="45">
        <f>ELECT.!B12</f>
        <v>141</v>
      </c>
      <c r="Y11" s="45">
        <f t="shared" si="0"/>
        <v>1530</v>
      </c>
      <c r="Z11">
        <f>'Mall, Citadel, Rotana'!C12+'Mall, Citadel, Rotana'!E12+'Mall, Citadel, Rotana'!G12+'Mall, Citadel, Rotana'!I12</f>
        <v>1392</v>
      </c>
      <c r="AA11">
        <f>'Mall, Citadel, Rotana'!K12+'Mall, Citadel, Rotana'!M12</f>
        <v>480</v>
      </c>
      <c r="AB11">
        <f>'Mall, Citadel, Rotana'!O12</f>
        <v>82</v>
      </c>
      <c r="AC11">
        <f>'Mall, Citadel, Rotana'!Q12+'Mall, Citadel, Rotana'!S12</f>
        <v>169</v>
      </c>
      <c r="AD11" s="45">
        <f t="shared" si="1"/>
        <v>192.88429160000001</v>
      </c>
      <c r="AE11" s="45">
        <f t="shared" si="2"/>
        <v>1270.5777083999999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1660</v>
      </c>
      <c r="F12" s="47">
        <f>Water!E13</f>
        <v>318.60000000000002</v>
      </c>
      <c r="G12" s="47">
        <f>Water!G13</f>
        <v>251.1</v>
      </c>
      <c r="H12" s="47">
        <f>Water!I13</f>
        <v>3.294</v>
      </c>
      <c r="I12" s="47">
        <f>ELECT.!F13</f>
        <v>5041</v>
      </c>
      <c r="J12" s="47">
        <f>ELECT.!H13</f>
        <v>82666</v>
      </c>
      <c r="K12" s="47">
        <f>ELECT.!K13</f>
        <v>4501</v>
      </c>
      <c r="L12" s="47">
        <f>ELECT.!M13</f>
        <v>3452</v>
      </c>
      <c r="M12" s="47">
        <f>ELECT.!O13</f>
        <v>1478</v>
      </c>
      <c r="N12" s="47">
        <f>ELECT.!Q13</f>
        <v>6911</v>
      </c>
      <c r="O12" s="47">
        <f>ELECT.!S13</f>
        <v>7800</v>
      </c>
      <c r="P12" s="47">
        <f>ELECT.!W13*2</f>
        <v>17524</v>
      </c>
      <c r="Q12" s="47">
        <f>ELECT.!D13</f>
        <v>320</v>
      </c>
      <c r="R12" s="48">
        <f>BTU!C13</f>
        <v>5.6970000000001164</v>
      </c>
      <c r="S12" s="48">
        <f>BTU!F13</f>
        <v>1.0149999999998727</v>
      </c>
      <c r="T12" s="48">
        <f>BTU!I13</f>
        <v>7</v>
      </c>
      <c r="U12" s="48">
        <f>BTU!O13</f>
        <v>1.612999999999829</v>
      </c>
      <c r="V12" s="48">
        <f>BTU!L13</f>
        <v>1.569999999999709</v>
      </c>
      <c r="W12" s="48">
        <f>BTU!R13</f>
        <v>1.319999999999709</v>
      </c>
      <c r="X12" s="45">
        <f>ELECT.!B13</f>
        <v>138</v>
      </c>
      <c r="Y12" s="45">
        <f t="shared" si="0"/>
        <v>46041</v>
      </c>
      <c r="Z12">
        <f>'Mall, Citadel, Rotana'!C13+'Mall, Citadel, Rotana'!E13+'Mall, Citadel, Rotana'!G13+'Mall, Citadel, Rotana'!I13</f>
        <v>1024</v>
      </c>
      <c r="AA12">
        <f>'Mall, Citadel, Rotana'!K13+'Mall, Citadel, Rotana'!M13</f>
        <v>1440</v>
      </c>
      <c r="AB12">
        <f>'Mall, Citadel, Rotana'!O13</f>
        <v>116</v>
      </c>
      <c r="AC12">
        <f>'Mall, Citadel, Rotana'!Q13+'Mall, Citadel, Rotana'!S13</f>
        <v>10</v>
      </c>
      <c r="AD12" s="45">
        <f t="shared" si="1"/>
        <v>192.78465079999998</v>
      </c>
      <c r="AE12" s="45">
        <f t="shared" si="2"/>
        <v>1269.9213491999999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480</v>
      </c>
      <c r="F13" s="47">
        <f>Water!E14</f>
        <v>324</v>
      </c>
      <c r="G13" s="47">
        <f>Water!G14</f>
        <v>213.3</v>
      </c>
      <c r="H13" s="47">
        <f>Water!I14</f>
        <v>3.4020000000000001</v>
      </c>
      <c r="I13" s="47">
        <f>ELECT.!F14</f>
        <v>6965</v>
      </c>
      <c r="J13" s="47">
        <f>ELECT.!H14</f>
        <v>6005</v>
      </c>
      <c r="K13" s="47">
        <f>ELECT.!K14</f>
        <v>6344</v>
      </c>
      <c r="L13" s="47">
        <f>ELECT.!M14</f>
        <v>4827</v>
      </c>
      <c r="M13" s="47">
        <f>ELECT.!O14</f>
        <v>1964</v>
      </c>
      <c r="N13" s="47">
        <f>ELECT.!Q14</f>
        <v>9255</v>
      </c>
      <c r="O13" s="47">
        <f>ELECT.!S14</f>
        <v>10912</v>
      </c>
      <c r="P13" s="47">
        <f>ELECT.!W14*2</f>
        <v>23454</v>
      </c>
      <c r="Q13" s="47">
        <f>ELECT.!D14</f>
        <v>480</v>
      </c>
      <c r="R13" s="48">
        <f>BTU!C14</f>
        <v>3.9200000000018917</v>
      </c>
      <c r="S13" s="48">
        <f>BTU!F14</f>
        <v>0.9070000000001528</v>
      </c>
      <c r="T13" s="48">
        <f>BTU!I14</f>
        <v>4</v>
      </c>
      <c r="U13" s="48">
        <f>BTU!O14</f>
        <v>1.3020000000001346</v>
      </c>
      <c r="V13" s="48">
        <f>BTU!L14</f>
        <v>1.1900000000005093</v>
      </c>
      <c r="W13" s="48">
        <f>BTU!R14</f>
        <v>3.999999999996362E-2</v>
      </c>
      <c r="X13" s="45">
        <f>ELECT.!B14</f>
        <v>123</v>
      </c>
      <c r="Y13" s="45">
        <f t="shared" si="0"/>
        <v>-43786</v>
      </c>
      <c r="Z13">
        <f>'Mall, Citadel, Rotana'!C14+'Mall, Citadel, Rotana'!E14+'Mall, Citadel, Rotana'!G14+'Mall, Citadel, Rotana'!I14</f>
        <v>1527</v>
      </c>
      <c r="AA13">
        <f>'Mall, Citadel, Rotana'!K14+'Mall, Citadel, Rotana'!M14</f>
        <v>800</v>
      </c>
      <c r="AB13">
        <f>'Mall, Citadel, Rotana'!O14</f>
        <v>140</v>
      </c>
      <c r="AC13">
        <f>'Mall, Citadel, Rotana'!Q14+'Mall, Citadel, Rotana'!S14</f>
        <v>95</v>
      </c>
      <c r="AD13" s="45">
        <f t="shared" si="1"/>
        <v>37.246416400000001</v>
      </c>
      <c r="AE13" s="45">
        <f t="shared" si="2"/>
        <v>245.35158360000003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140</v>
      </c>
      <c r="F14" s="47">
        <f>Water!E15</f>
        <v>359.1</v>
      </c>
      <c r="G14" s="47">
        <f>Water!G15</f>
        <v>256.5</v>
      </c>
      <c r="H14" s="47">
        <f>Water!I15</f>
        <v>4.6710000000000003</v>
      </c>
      <c r="I14" s="47">
        <f>ELECT.!F15</f>
        <v>5806</v>
      </c>
      <c r="J14" s="47">
        <f>ELECT.!H15</f>
        <v>43536</v>
      </c>
      <c r="K14" s="47">
        <f>ELECT.!K15</f>
        <v>5340</v>
      </c>
      <c r="L14" s="47">
        <f>ELECT.!M15</f>
        <v>4176</v>
      </c>
      <c r="M14" s="47">
        <f>ELECT.!O15</f>
        <v>1508</v>
      </c>
      <c r="N14" s="47">
        <f>ELECT.!Q15</f>
        <v>8171</v>
      </c>
      <c r="O14" s="47">
        <f>ELECT.!S15</f>
        <v>8628</v>
      </c>
      <c r="P14" s="47">
        <f>ELECT.!W15*2</f>
        <v>20382</v>
      </c>
      <c r="Q14" s="47">
        <f>ELECT.!D15</f>
        <v>480</v>
      </c>
      <c r="R14" s="48">
        <f>BTU!C15</f>
        <v>5.3179999999993015</v>
      </c>
      <c r="S14" s="48">
        <f>BTU!F15</f>
        <v>1.7069999999998799</v>
      </c>
      <c r="T14" s="48">
        <f>BTU!I15</f>
        <v>6</v>
      </c>
      <c r="U14" s="48">
        <f>BTU!O15</f>
        <v>1.6279999999997017</v>
      </c>
      <c r="V14" s="48">
        <f>BTU!L15</f>
        <v>1.430000000000291</v>
      </c>
      <c r="W14" s="48">
        <f>BTU!R15</f>
        <v>0</v>
      </c>
      <c r="X14" s="45">
        <f>ELECT.!B15</f>
        <v>0</v>
      </c>
      <c r="Y14" s="45">
        <f t="shared" si="0"/>
        <v>1137</v>
      </c>
      <c r="Z14">
        <f>'Mall, Citadel, Rotana'!C15+'Mall, Citadel, Rotana'!E15+'Mall, Citadel, Rotana'!G15+'Mall, Citadel, Rotana'!I15</f>
        <v>1232</v>
      </c>
      <c r="AA14">
        <f>'Mall, Citadel, Rotana'!K15+'Mall, Citadel, Rotana'!M15</f>
        <v>-640</v>
      </c>
      <c r="AB14">
        <f>'Mall, Citadel, Rotana'!O15</f>
        <v>135</v>
      </c>
      <c r="AC14">
        <f>'Mall, Citadel, Rotana'!Q15+'Mall, Citadel, Rotana'!S15</f>
        <v>89</v>
      </c>
      <c r="AD14" s="45">
        <f t="shared" si="1"/>
        <v>-7.7328377999999987</v>
      </c>
      <c r="AE14" s="45">
        <f t="shared" si="2"/>
        <v>-50.938162199999994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160</v>
      </c>
      <c r="F15" s="47">
        <f>Water!E16</f>
        <v>299.7</v>
      </c>
      <c r="G15" s="47">
        <f>Water!G16</f>
        <v>194.4</v>
      </c>
      <c r="H15" s="47">
        <f>Water!I16</f>
        <v>3.294</v>
      </c>
      <c r="I15" s="47">
        <f>ELECT.!F16</f>
        <v>4477</v>
      </c>
      <c r="J15" s="47">
        <f>ELECT.!H16</f>
        <v>32920</v>
      </c>
      <c r="K15" s="47">
        <f>ELECT.!K16</f>
        <v>3761</v>
      </c>
      <c r="L15" s="47">
        <f>ELECT.!M16</f>
        <v>2905</v>
      </c>
      <c r="M15" s="47">
        <f>ELECT.!O16</f>
        <v>1452</v>
      </c>
      <c r="N15" s="47">
        <f>ELECT.!Q16</f>
        <v>6407</v>
      </c>
      <c r="O15" s="47">
        <f>ELECT.!S16</f>
        <v>6894</v>
      </c>
      <c r="P15" s="47">
        <f>ELECT.!W16*2</f>
        <v>15068</v>
      </c>
      <c r="Q15" s="47">
        <f>ELECT.!D16</f>
        <v>320</v>
      </c>
      <c r="R15" s="48">
        <f>BTU!C16</f>
        <v>3.6610000000000582</v>
      </c>
      <c r="S15" s="48">
        <f>BTU!F16</f>
        <v>0.91000000000030923</v>
      </c>
      <c r="T15" s="48">
        <f>BTU!I16</f>
        <v>5</v>
      </c>
      <c r="U15" s="48">
        <f>BTU!O16</f>
        <v>1.0590000000001965</v>
      </c>
      <c r="V15" s="48">
        <f>BTU!L16</f>
        <v>1.2600000000002183</v>
      </c>
      <c r="W15" s="48">
        <f>BTU!R16</f>
        <v>0</v>
      </c>
      <c r="X15" s="45">
        <f>ELECT.!B16</f>
        <v>0</v>
      </c>
      <c r="Y15" s="45">
        <f t="shared" si="0"/>
        <v>910</v>
      </c>
      <c r="Z15">
        <f>'Mall, Citadel, Rotana'!C16+'Mall, Citadel, Rotana'!E16+'Mall, Citadel, Rotana'!G16+'Mall, Citadel, Rotana'!I16</f>
        <v>1194</v>
      </c>
      <c r="AA15">
        <f>'Mall, Citadel, Rotana'!K16+'Mall, Citadel, Rotana'!M16</f>
        <v>480</v>
      </c>
      <c r="AB15">
        <f>'Mall, Citadel, Rotana'!O16</f>
        <v>115</v>
      </c>
      <c r="AC15">
        <f>'Mall, Citadel, Rotana'!Q16+'Mall, Citadel, Rotana'!S16</f>
        <v>0</v>
      </c>
      <c r="AD15" s="45">
        <f t="shared" si="1"/>
        <v>-4.9153492000000014</v>
      </c>
      <c r="AE15" s="45">
        <f t="shared" si="2"/>
        <v>-32.378650800000003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700</v>
      </c>
      <c r="F16" s="47">
        <f>Water!E17</f>
        <v>383.4</v>
      </c>
      <c r="G16" s="47">
        <f>Water!G17</f>
        <v>218.7</v>
      </c>
      <c r="H16" s="47">
        <f>Water!I17</f>
        <v>4.077</v>
      </c>
      <c r="I16" s="47">
        <f>ELECT.!F17</f>
        <v>7560</v>
      </c>
      <c r="J16" s="47">
        <f>ELECT.!H17</f>
        <v>45419</v>
      </c>
      <c r="K16" s="47">
        <f>ELECT.!K17</f>
        <v>4915</v>
      </c>
      <c r="L16" s="47">
        <f>ELECT.!M17</f>
        <v>5206</v>
      </c>
      <c r="M16" s="47">
        <f>ELECT.!O17</f>
        <v>2194</v>
      </c>
      <c r="N16" s="47">
        <f>ELECT.!Q17</f>
        <v>8834</v>
      </c>
      <c r="O16" s="47">
        <f>ELECT.!S17</f>
        <v>9291</v>
      </c>
      <c r="P16" s="47">
        <f>ELECT.!W17*2</f>
        <v>21230</v>
      </c>
      <c r="Q16" s="47">
        <f>ELECT.!D17</f>
        <v>320</v>
      </c>
      <c r="R16" s="48">
        <f>BTU!C17</f>
        <v>4.2740000000012515</v>
      </c>
      <c r="S16" s="48">
        <f>BTU!F17</f>
        <v>0.97399999999970532</v>
      </c>
      <c r="T16" s="48">
        <f>BTU!I17</f>
        <v>5</v>
      </c>
      <c r="U16" s="48">
        <f>BTU!O17</f>
        <v>1.1280000000001564</v>
      </c>
      <c r="V16" s="48">
        <f>BTU!L17</f>
        <v>1.4899999999997817</v>
      </c>
      <c r="W16" s="48">
        <f>BTU!R17</f>
        <v>0.28999999999996362</v>
      </c>
      <c r="X16" s="45">
        <f>ELECT.!B17</f>
        <v>122</v>
      </c>
      <c r="Y16" s="45">
        <f t="shared" si="0"/>
        <v>1309</v>
      </c>
      <c r="Z16">
        <f>'Mall, Citadel, Rotana'!C17+'Mall, Citadel, Rotana'!E17+'Mall, Citadel, Rotana'!G17+'Mall, Citadel, Rotana'!I17</f>
        <v>1200</v>
      </c>
      <c r="AA16">
        <f>'Mall, Citadel, Rotana'!K17+'Mall, Citadel, Rotana'!M17</f>
        <v>640</v>
      </c>
      <c r="AB16">
        <f>'Mall, Citadel, Rotana'!O17</f>
        <v>119</v>
      </c>
      <c r="AC16">
        <f>'Mall, Citadel, Rotana'!Q17+'Mall, Citadel, Rotana'!S17</f>
        <v>0</v>
      </c>
      <c r="AD16" s="45">
        <f t="shared" si="1"/>
        <v>66.153451399999994</v>
      </c>
      <c r="AE16" s="45">
        <f t="shared" si="2"/>
        <v>435.76954860000001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750</v>
      </c>
      <c r="F17" s="47">
        <f>Water!E18</f>
        <v>399.6</v>
      </c>
      <c r="G17" s="47">
        <f>Water!G18</f>
        <v>261.89999999999998</v>
      </c>
      <c r="H17" s="47">
        <f>Water!I18</f>
        <v>4.05</v>
      </c>
      <c r="I17" s="47">
        <f>ELECT.!F18</f>
        <v>6838</v>
      </c>
      <c r="J17" s="47">
        <f>ELECT.!H18</f>
        <v>44230</v>
      </c>
      <c r="K17" s="47">
        <f>ELECT.!K18</f>
        <v>4648</v>
      </c>
      <c r="L17" s="47">
        <f>ELECT.!M18</f>
        <v>4193</v>
      </c>
      <c r="M17" s="47">
        <f>ELECT.!O18</f>
        <v>2496</v>
      </c>
      <c r="N17" s="47">
        <f>ELECT.!Q18</f>
        <v>9095</v>
      </c>
      <c r="O17" s="47">
        <f>ELECT.!S18</f>
        <v>8929</v>
      </c>
      <c r="P17" s="47">
        <f>ELECT.!W18*2</f>
        <v>20492</v>
      </c>
      <c r="Q17" s="47">
        <f>ELECT.!D18</f>
        <v>480</v>
      </c>
      <c r="R17" s="48">
        <f>BTU!C18</f>
        <v>4.5209999999970023</v>
      </c>
      <c r="S17" s="48">
        <f>BTU!F18</f>
        <v>1.0970000000002074</v>
      </c>
      <c r="T17" s="48">
        <f>BTU!I18</f>
        <v>6</v>
      </c>
      <c r="U17" s="48">
        <f>BTU!O18</f>
        <v>1.1759999999999309</v>
      </c>
      <c r="V17" s="48">
        <f>BTU!L18</f>
        <v>0.78999999999905413</v>
      </c>
      <c r="W17" s="48">
        <f>BTU!R18</f>
        <v>0</v>
      </c>
      <c r="X17" s="45">
        <f>ELECT.!B18</f>
        <v>120</v>
      </c>
      <c r="Y17" s="45">
        <f t="shared" si="0"/>
        <v>1215</v>
      </c>
      <c r="Z17">
        <f>'Mall, Citadel, Rotana'!C18+'Mall, Citadel, Rotana'!E18+'Mall, Citadel, Rotana'!G18+'Mall, Citadel, Rotana'!I18</f>
        <v>1032</v>
      </c>
      <c r="AA17">
        <f>'Mall, Citadel, Rotana'!K18+'Mall, Citadel, Rotana'!M18</f>
        <v>480</v>
      </c>
      <c r="AB17">
        <f>'Mall, Citadel, Rotana'!O18</f>
        <v>96</v>
      </c>
      <c r="AC17">
        <f>'Mall, Citadel, Rotana'!Q18+'Mall, Citadel, Rotana'!S18</f>
        <v>369</v>
      </c>
      <c r="AD17" s="45">
        <f t="shared" si="1"/>
        <v>72.747010000000003</v>
      </c>
      <c r="AE17" s="45">
        <f t="shared" si="2"/>
        <v>479.20299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690</v>
      </c>
      <c r="F18" s="47">
        <f>Water!E19</f>
        <v>351</v>
      </c>
      <c r="G18" s="47">
        <f>Water!G19</f>
        <v>243</v>
      </c>
      <c r="H18" s="47">
        <f>Water!I19</f>
        <v>3.1320000000000001</v>
      </c>
      <c r="I18" s="47">
        <f>ELECT.!F19</f>
        <v>7749</v>
      </c>
      <c r="J18" s="47">
        <f>ELECT.!H19</f>
        <v>44136</v>
      </c>
      <c r="K18" s="47">
        <f>ELECT.!K19</f>
        <v>4198</v>
      </c>
      <c r="L18" s="47">
        <f>ELECT.!M19</f>
        <v>5287</v>
      </c>
      <c r="M18" s="47">
        <f>ELECT.!O19</f>
        <v>2282</v>
      </c>
      <c r="N18" s="47">
        <f>ELECT.!Q19</f>
        <v>9817</v>
      </c>
      <c r="O18" s="47">
        <f>ELECT.!S19</f>
        <v>8746</v>
      </c>
      <c r="P18" s="47">
        <f>ELECT.!W19*2</f>
        <v>20222</v>
      </c>
      <c r="Q18" s="47">
        <f>ELECT.!D19</f>
        <v>480</v>
      </c>
      <c r="R18" s="48">
        <f>BTU!C19</f>
        <v>5.5860000000029686</v>
      </c>
      <c r="S18" s="48">
        <f>BTU!F19</f>
        <v>0.78600000000005821</v>
      </c>
      <c r="T18" s="48">
        <f>BTU!I19</f>
        <v>6</v>
      </c>
      <c r="U18" s="48">
        <f>BTU!O19</f>
        <v>1.3359999999997854</v>
      </c>
      <c r="V18" s="48">
        <f>BTU!L19</f>
        <v>1.1900000000005093</v>
      </c>
      <c r="W18" s="48">
        <f>BTU!R19</f>
        <v>0</v>
      </c>
      <c r="X18" s="45">
        <f>ELECT.!B19</f>
        <v>119</v>
      </c>
      <c r="Y18" s="45">
        <f t="shared" si="0"/>
        <v>1333</v>
      </c>
      <c r="Z18">
        <f>'Mall, Citadel, Rotana'!C19+'Mall, Citadel, Rotana'!E19+'Mall, Citadel, Rotana'!G19+'Mall, Citadel, Rotana'!I19</f>
        <v>1032</v>
      </c>
      <c r="AA18">
        <f>'Mall, Citadel, Rotana'!K19+'Mall, Citadel, Rotana'!M19</f>
        <v>480</v>
      </c>
      <c r="AB18">
        <f>'Mall, Citadel, Rotana'!O19</f>
        <v>79</v>
      </c>
      <c r="AC18">
        <f>'Mall, Citadel, Rotana'!Q19+'Mall, Citadel, Rotana'!S19</f>
        <v>101</v>
      </c>
      <c r="AD18" s="45">
        <f t="shared" si="1"/>
        <v>64.960002400000008</v>
      </c>
      <c r="AE18" s="45">
        <f t="shared" si="2"/>
        <v>427.90799760000004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650</v>
      </c>
      <c r="F19" s="47">
        <f>Water!E20</f>
        <v>318.60000000000002</v>
      </c>
      <c r="G19" s="47">
        <f>Water!G20</f>
        <v>245.7</v>
      </c>
      <c r="H19" s="47">
        <f>Water!I20</f>
        <v>3.4830000000000001</v>
      </c>
      <c r="I19" s="47">
        <f>ELECT.!F20</f>
        <v>7057</v>
      </c>
      <c r="J19" s="47">
        <f>ELECT.!H20</f>
        <v>37145</v>
      </c>
      <c r="K19" s="47">
        <f>ELECT.!K20</f>
        <v>4401</v>
      </c>
      <c r="L19" s="47">
        <f>ELECT.!M20</f>
        <v>4865</v>
      </c>
      <c r="M19" s="47">
        <f>ELECT.!O20</f>
        <v>2070</v>
      </c>
      <c r="N19" s="47">
        <f>ELECT.!Q20</f>
        <v>8911</v>
      </c>
      <c r="O19" s="47">
        <f>ELECT.!S20</f>
        <v>6717</v>
      </c>
      <c r="P19" s="47">
        <f>ELECT.!W20*2</f>
        <v>16336</v>
      </c>
      <c r="Q19" s="47">
        <f>ELECT.!D20</f>
        <v>480</v>
      </c>
      <c r="R19" s="48">
        <f>BTU!C20</f>
        <v>6.6790000000000873</v>
      </c>
      <c r="S19" s="48">
        <f>BTU!F20</f>
        <v>1.4859999999998763</v>
      </c>
      <c r="T19" s="48">
        <f>BTU!I20</f>
        <v>8</v>
      </c>
      <c r="U19" s="48">
        <f>BTU!O20</f>
        <v>1.61200000000008</v>
      </c>
      <c r="V19" s="48">
        <f>BTU!L20</f>
        <v>1.8700000000008004</v>
      </c>
      <c r="W19" s="48">
        <f>BTU!R20</f>
        <v>0</v>
      </c>
      <c r="X19" s="45">
        <f>ELECT.!B20</f>
        <v>118</v>
      </c>
      <c r="Y19" s="45">
        <f t="shared" si="0"/>
        <v>902</v>
      </c>
      <c r="Z19">
        <f>'Mall, Citadel, Rotana'!C20+'Mall, Citadel, Rotana'!E20+'Mall, Citadel, Rotana'!G20+'Mall, Citadel, Rotana'!I20</f>
        <v>1207</v>
      </c>
      <c r="AA19">
        <f>'Mall, Citadel, Rotana'!K20+'Mall, Citadel, Rotana'!M20</f>
        <v>480</v>
      </c>
      <c r="AB19">
        <f>'Mall, Citadel, Rotana'!O20</f>
        <v>105</v>
      </c>
      <c r="AC19">
        <f>'Mall, Citadel, Rotana'!Q20+'Mall, Citadel, Rotana'!S20</f>
        <v>96</v>
      </c>
      <c r="AD19" s="45">
        <f t="shared" si="1"/>
        <v>59.641740600000006</v>
      </c>
      <c r="AE19" s="45">
        <f t="shared" si="2"/>
        <v>392.8752594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630</v>
      </c>
      <c r="F20" s="47">
        <f>Water!E21</f>
        <v>364.5</v>
      </c>
      <c r="G20" s="47">
        <f>Water!G21</f>
        <v>297</v>
      </c>
      <c r="H20" s="47">
        <f>Water!I21</f>
        <v>4.266</v>
      </c>
      <c r="I20" s="47">
        <f>ELECT.!F21</f>
        <v>11227</v>
      </c>
      <c r="J20" s="47">
        <f>ELECT.!H21</f>
        <v>55283</v>
      </c>
      <c r="K20" s="47">
        <f>ELECT.!K21</f>
        <v>6891</v>
      </c>
      <c r="L20" s="47">
        <f>ELECT.!M21</f>
        <v>7250</v>
      </c>
      <c r="M20" s="47">
        <f>ELECT.!O21</f>
        <v>3804</v>
      </c>
      <c r="N20" s="47">
        <f>ELECT.!Q21</f>
        <v>13443</v>
      </c>
      <c r="O20" s="47">
        <f>ELECT.!S21</f>
        <v>9627</v>
      </c>
      <c r="P20" s="47">
        <f>ELECT.!W21*2</f>
        <v>24034</v>
      </c>
      <c r="Q20" s="47">
        <f>ELECT.!D21</f>
        <v>480</v>
      </c>
      <c r="R20" s="48">
        <f>BTU!C21</f>
        <v>6.5729999999966822</v>
      </c>
      <c r="S20" s="48">
        <f>BTU!F21</f>
        <v>2.0059999999998581</v>
      </c>
      <c r="T20" s="48">
        <f>BTU!I21</f>
        <v>7</v>
      </c>
      <c r="U20" s="48">
        <f>BTU!O21</f>
        <v>1.4679999999998472</v>
      </c>
      <c r="V20" s="48">
        <f>BTU!L21</f>
        <v>1.2199999999993452</v>
      </c>
      <c r="W20" s="48">
        <f>BTU!R21</f>
        <v>1.8500000000003638</v>
      </c>
      <c r="X20" s="45">
        <f>ELECT.!B21</f>
        <v>0</v>
      </c>
      <c r="Y20" s="45">
        <f t="shared" si="0"/>
        <v>1461</v>
      </c>
      <c r="Z20">
        <f>'Mall, Citadel, Rotana'!C21+'Mall, Citadel, Rotana'!E21+'Mall, Citadel, Rotana'!G21+'Mall, Citadel, Rotana'!I21</f>
        <v>1206</v>
      </c>
      <c r="AA20">
        <f>'Mall, Citadel, Rotana'!K21+'Mall, Citadel, Rotana'!M21</f>
        <v>480</v>
      </c>
      <c r="AB20">
        <f>'Mall, Citadel, Rotana'!O21</f>
        <v>132</v>
      </c>
      <c r="AC20">
        <f>'Mall, Citadel, Rotana'!Q21+'Mall, Citadel, Rotana'!S21</f>
        <v>158</v>
      </c>
      <c r="AD20" s="45">
        <f t="shared" si="1"/>
        <v>56.902541200000002</v>
      </c>
      <c r="AE20" s="45">
        <f t="shared" si="2"/>
        <v>374.83145880000006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1110</v>
      </c>
      <c r="F21" s="47">
        <f>Water!E22</f>
        <v>396.9</v>
      </c>
      <c r="G21" s="47">
        <f>Water!G22</f>
        <v>324</v>
      </c>
      <c r="H21" s="47">
        <f>Water!I22</f>
        <v>3.4830000000000001</v>
      </c>
      <c r="I21" s="47">
        <f>ELECT.!F22</f>
        <v>12078</v>
      </c>
      <c r="J21" s="47">
        <f>ELECT.!H22</f>
        <v>51003</v>
      </c>
      <c r="K21" s="47">
        <f>ELECT.!K22</f>
        <v>6036</v>
      </c>
      <c r="L21" s="47">
        <f>ELECT.!M22</f>
        <v>6717</v>
      </c>
      <c r="M21" s="47">
        <f>ELECT.!O22</f>
        <v>5180</v>
      </c>
      <c r="N21" s="47">
        <f>ELECT.!Q22</f>
        <v>12866</v>
      </c>
      <c r="O21" s="47">
        <f>ELECT.!S22</f>
        <v>9153</v>
      </c>
      <c r="P21" s="47">
        <f>ELECT.!W22*2</f>
        <v>21772</v>
      </c>
      <c r="Q21" s="47">
        <f>ELECT.!D22</f>
        <v>640</v>
      </c>
      <c r="R21" s="48">
        <f>BTU!C22</f>
        <v>10.416000000001077</v>
      </c>
      <c r="S21" s="48">
        <f>BTU!F22</f>
        <v>2.0340000000001055</v>
      </c>
      <c r="T21" s="48">
        <f>BTU!I22</f>
        <v>9</v>
      </c>
      <c r="U21" s="48">
        <f>BTU!O22</f>
        <v>1.8900000000003274</v>
      </c>
      <c r="V21" s="48">
        <f>BTU!L22</f>
        <v>1.6900000000005093</v>
      </c>
      <c r="W21" s="48">
        <f>BTU!R22</f>
        <v>3.8900000000003274</v>
      </c>
      <c r="X21" s="45">
        <f>ELECT.!B22</f>
        <v>0</v>
      </c>
      <c r="Y21" s="45">
        <f t="shared" si="0"/>
        <v>1357</v>
      </c>
      <c r="Z21">
        <f>'Mall, Citadel, Rotana'!C22+'Mall, Citadel, Rotana'!E22+'Mall, Citadel, Rotana'!G22+'Mall, Citadel, Rotana'!I22</f>
        <v>1382</v>
      </c>
      <c r="AA21">
        <f>'Mall, Citadel, Rotana'!K22+'Mall, Citadel, Rotana'!M22</f>
        <v>640</v>
      </c>
      <c r="AB21">
        <f>'Mall, Citadel, Rotana'!O22</f>
        <v>117</v>
      </c>
      <c r="AC21">
        <f>'Mall, Citadel, Rotana'!Q22+'Mall, Citadel, Rotana'!S22</f>
        <v>147</v>
      </c>
      <c r="AD21" s="45">
        <f t="shared" si="1"/>
        <v>120.26974060000001</v>
      </c>
      <c r="AE21" s="45">
        <f t="shared" si="2"/>
        <v>792.24725940000008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830</v>
      </c>
      <c r="F22" s="47">
        <f>Water!E23</f>
        <v>340.2</v>
      </c>
      <c r="G22" s="47">
        <f>Water!G23</f>
        <v>286.2</v>
      </c>
      <c r="H22" s="47">
        <f>Water!I23</f>
        <v>3.645</v>
      </c>
      <c r="I22" s="47">
        <f>ELECT.!F23</f>
        <v>17900</v>
      </c>
      <c r="J22" s="47">
        <f>ELECT.!H23</f>
        <v>49516</v>
      </c>
      <c r="K22" s="47">
        <f>ELECT.!K23</f>
        <v>5840</v>
      </c>
      <c r="L22" s="47">
        <f>ELECT.!M23</f>
        <v>6261</v>
      </c>
      <c r="M22" s="47">
        <f>ELECT.!O23</f>
        <v>11460</v>
      </c>
      <c r="N22" s="47">
        <f>ELECT.!Q23</f>
        <v>11012</v>
      </c>
      <c r="O22" s="47">
        <f>ELECT.!S23</f>
        <v>9190</v>
      </c>
      <c r="P22" s="47">
        <f>ELECT.!W23*2</f>
        <v>22326</v>
      </c>
      <c r="Q22" s="47">
        <f>ELECT.!D23</f>
        <v>640</v>
      </c>
      <c r="R22" s="48">
        <f>BTU!C23</f>
        <v>7.7970000000022992</v>
      </c>
      <c r="S22" s="48">
        <f>BTU!F23</f>
        <v>2.1390000000001237</v>
      </c>
      <c r="T22" s="48">
        <f>BTU!I23</f>
        <v>9</v>
      </c>
      <c r="U22" s="48">
        <f>BTU!O23</f>
        <v>1.2409999999999854</v>
      </c>
      <c r="V22" s="48">
        <f>BTU!L23</f>
        <v>1.3799999999991996</v>
      </c>
      <c r="W22" s="48">
        <f>BTU!R23</f>
        <v>1.8999999999996362</v>
      </c>
      <c r="X22" s="45">
        <f>ELECT.!B23</f>
        <v>100</v>
      </c>
      <c r="Y22" s="45">
        <f t="shared" si="0"/>
        <v>1327</v>
      </c>
      <c r="Z22">
        <f>'Mall, Citadel, Rotana'!C23+'Mall, Citadel, Rotana'!E23+'Mall, Citadel, Rotana'!G23+'Mall, Citadel, Rotana'!I23</f>
        <v>1220</v>
      </c>
      <c r="AA22">
        <f>'Mall, Citadel, Rotana'!K23+'Mall, Citadel, Rotana'!M23</f>
        <v>800</v>
      </c>
      <c r="AB22">
        <f>'Mall, Citadel, Rotana'!O23</f>
        <v>117</v>
      </c>
      <c r="AC22">
        <f>'Mall, Citadel, Rotana'!Q23+'Mall, Citadel, Rotana'!S23</f>
        <v>147</v>
      </c>
      <c r="AD22" s="45">
        <f t="shared" si="1"/>
        <v>83.344389000000007</v>
      </c>
      <c r="AE22" s="45">
        <f t="shared" si="2"/>
        <v>549.01061100000004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500</v>
      </c>
      <c r="F23" s="47">
        <f>Water!E24</f>
        <v>383.4</v>
      </c>
      <c r="G23" s="47">
        <f>Water!G24</f>
        <v>310.5</v>
      </c>
      <c r="H23" s="47">
        <f>Water!I24</f>
        <v>3.7530000000000001</v>
      </c>
      <c r="I23" s="47">
        <f>ELECT.!F24</f>
        <v>13497</v>
      </c>
      <c r="J23" s="47">
        <f>ELECT.!H24</f>
        <v>37263</v>
      </c>
      <c r="K23" s="47">
        <f>ELECT.!K24</f>
        <v>4832</v>
      </c>
      <c r="L23" s="47">
        <f>ELECT.!M24</f>
        <v>4846</v>
      </c>
      <c r="M23" s="47">
        <f>ELECT.!O24</f>
        <v>8498</v>
      </c>
      <c r="N23" s="47">
        <f>ELECT.!Q24</f>
        <v>7787</v>
      </c>
      <c r="O23" s="47">
        <f>ELECT.!S24</f>
        <v>6934</v>
      </c>
      <c r="P23" s="47">
        <f>ELECT.!W24*2</f>
        <v>16876</v>
      </c>
      <c r="Q23" s="47">
        <f>ELECT.!D24</f>
        <v>480</v>
      </c>
      <c r="R23" s="48">
        <f>BTU!C24</f>
        <v>3.771999999997206</v>
      </c>
      <c r="S23" s="48">
        <f>BTU!F24</f>
        <v>1.1149999999997817</v>
      </c>
      <c r="T23" s="48">
        <f>BTU!I24</f>
        <v>5</v>
      </c>
      <c r="U23" s="48">
        <f>BTU!O24</f>
        <v>0.67799999999988358</v>
      </c>
      <c r="V23" s="48">
        <f>BTU!L24</f>
        <v>0.62000000000080036</v>
      </c>
      <c r="W23" s="48">
        <f>BTU!R24</f>
        <v>0.57999999999992724</v>
      </c>
      <c r="X23" s="45">
        <f>ELECT.!B24</f>
        <v>90</v>
      </c>
      <c r="Y23" s="45">
        <f t="shared" si="0"/>
        <v>987</v>
      </c>
      <c r="Z23">
        <f>'Mall, Citadel, Rotana'!C24+'Mall, Citadel, Rotana'!E24+'Mall, Citadel, Rotana'!G24+'Mall, Citadel, Rotana'!I24</f>
        <v>1170</v>
      </c>
      <c r="AA23">
        <f>'Mall, Citadel, Rotana'!K24+'Mall, Citadel, Rotana'!M24</f>
        <v>320</v>
      </c>
      <c r="AB23">
        <f>'Mall, Citadel, Rotana'!O24</f>
        <v>109</v>
      </c>
      <c r="AC23">
        <f>'Mall, Citadel, Rotana'!Q24+'Mall, Citadel, Rotana'!S24</f>
        <v>149</v>
      </c>
      <c r="AD23" s="45">
        <f t="shared" si="1"/>
        <v>39.8361546</v>
      </c>
      <c r="AE23" s="45">
        <f t="shared" si="2"/>
        <v>262.41084540000003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920</v>
      </c>
      <c r="F24" s="47">
        <f>Water!E25</f>
        <v>375.3</v>
      </c>
      <c r="G24" s="47">
        <f>Water!G25</f>
        <v>10100</v>
      </c>
      <c r="H24" s="47">
        <f>Water!I25</f>
        <v>3.726</v>
      </c>
      <c r="I24" s="47">
        <f>ELECT.!F25</f>
        <v>19312</v>
      </c>
      <c r="J24" s="47">
        <f>ELECT.!H25</f>
        <v>55301</v>
      </c>
      <c r="K24" s="47">
        <f>ELECT.!K25</f>
        <v>7164</v>
      </c>
      <c r="L24" s="47">
        <f>ELECT.!M25</f>
        <v>6995</v>
      </c>
      <c r="M24" s="47">
        <f>ELECT.!O25</f>
        <v>12112</v>
      </c>
      <c r="N24" s="47">
        <f>ELECT.!Q25</f>
        <v>10990</v>
      </c>
      <c r="O24" s="47">
        <f>ELECT.!S25</f>
        <v>10508</v>
      </c>
      <c r="P24" s="47">
        <f>ELECT.!W25*2</f>
        <v>25306</v>
      </c>
      <c r="Q24" s="47">
        <f>ELECT.!D25</f>
        <v>320</v>
      </c>
      <c r="R24" s="48">
        <f>BTU!C25</f>
        <v>5.9089999999996508</v>
      </c>
      <c r="S24" s="48">
        <f>BTU!F25</f>
        <v>2.0599999999999454</v>
      </c>
      <c r="T24" s="48">
        <f>BTU!I25</f>
        <v>8</v>
      </c>
      <c r="U24" s="48">
        <f>BTU!O25</f>
        <v>1.2319999999999709</v>
      </c>
      <c r="V24" s="48">
        <f>BTU!L25</f>
        <v>1.0900000000001455</v>
      </c>
      <c r="W24" s="48">
        <f>BTU!R25</f>
        <v>1.1400000000003274</v>
      </c>
      <c r="X24" s="45">
        <f>ELECT.!B25</f>
        <v>0</v>
      </c>
      <c r="Y24" s="45">
        <f t="shared" si="0"/>
        <v>1538</v>
      </c>
      <c r="Z24">
        <f>'Mall, Citadel, Rotana'!C25+'Mall, Citadel, Rotana'!E25+'Mall, Citadel, Rotana'!G25+'Mall, Citadel, Rotana'!I25</f>
        <v>1057</v>
      </c>
      <c r="AA24">
        <f>'Mall, Citadel, Rotana'!K25+'Mall, Citadel, Rotana'!M25</f>
        <v>480</v>
      </c>
      <c r="AB24">
        <f>'Mall, Citadel, Rotana'!O25</f>
        <v>11</v>
      </c>
      <c r="AC24">
        <f>'Mall, Citadel, Rotana'!Q25+'Mall, Citadel, Rotana'!S25</f>
        <v>87</v>
      </c>
      <c r="AD24" s="45">
        <f t="shared" si="1"/>
        <v>95.1957132</v>
      </c>
      <c r="AE24" s="45">
        <f t="shared" si="2"/>
        <v>627.0782868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690</v>
      </c>
      <c r="F25" s="47">
        <f>Water!E26</f>
        <v>383.4</v>
      </c>
      <c r="G25" s="47">
        <f>Water!G26</f>
        <v>243</v>
      </c>
      <c r="H25" s="47">
        <f>Water!I26</f>
        <v>3.4289999999999998</v>
      </c>
      <c r="I25" s="47">
        <f>ELECT.!F26</f>
        <v>16000</v>
      </c>
      <c r="J25" s="47">
        <f>ELECT.!H26</f>
        <v>46319</v>
      </c>
      <c r="K25" s="47">
        <f>ELECT.!K26</f>
        <v>5496</v>
      </c>
      <c r="L25" s="47">
        <f>ELECT.!M26</f>
        <v>5630</v>
      </c>
      <c r="M25" s="47">
        <f>ELECT.!O26</f>
        <v>10134</v>
      </c>
      <c r="N25" s="47">
        <f>ELECT.!Q26</f>
        <v>9163</v>
      </c>
      <c r="O25" s="47">
        <f>ELECT.!S26</f>
        <v>8581</v>
      </c>
      <c r="P25" s="47">
        <f>ELECT.!W26*2</f>
        <v>21890</v>
      </c>
      <c r="Q25" s="47">
        <f>ELECT.!D26</f>
        <v>480</v>
      </c>
      <c r="R25" s="48">
        <f>BTU!C26</f>
        <v>5.2410000000018044</v>
      </c>
      <c r="S25" s="48">
        <f>BTU!F26</f>
        <v>1.3880000000003747</v>
      </c>
      <c r="T25" s="48">
        <f>BTU!I26</f>
        <v>7</v>
      </c>
      <c r="U25" s="48">
        <f>BTU!O26</f>
        <v>0.98599999999987631</v>
      </c>
      <c r="V25" s="48">
        <f>BTU!L26</f>
        <v>0</v>
      </c>
      <c r="W25" s="48">
        <f>BTU!R26</f>
        <v>0.9499999999998181</v>
      </c>
      <c r="X25" s="45">
        <f>ELECT.!B26</f>
        <v>65</v>
      </c>
      <c r="Y25" s="45">
        <f t="shared" si="0"/>
        <v>1425</v>
      </c>
      <c r="Z25">
        <f>'Mall, Citadel, Rotana'!C26+'Mall, Citadel, Rotana'!E26+'Mall, Citadel, Rotana'!G26+'Mall, Citadel, Rotana'!I26</f>
        <v>1046</v>
      </c>
      <c r="AA25">
        <f>'Mall, Citadel, Rotana'!K26+'Mall, Citadel, Rotana'!M26</f>
        <v>480</v>
      </c>
      <c r="AB25">
        <f>'Mall, Citadel, Rotana'!O26</f>
        <v>3</v>
      </c>
      <c r="AC25">
        <f>'Mall, Citadel, Rotana'!Q26+'Mall, Citadel, Rotana'!S26</f>
        <v>84</v>
      </c>
      <c r="AD25" s="45">
        <f t="shared" si="1"/>
        <v>64.920857800000007</v>
      </c>
      <c r="AE25" s="45">
        <f t="shared" si="2"/>
        <v>427.6501422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11698</v>
      </c>
      <c r="J26" s="47">
        <f>ELECT.!H27</f>
        <v>35511</v>
      </c>
      <c r="K26" s="47">
        <f>ELECT.!K27</f>
        <v>4342</v>
      </c>
      <c r="L26" s="47">
        <f>ELECT.!M27</f>
        <v>4005</v>
      </c>
      <c r="M26" s="47">
        <f>ELECT.!O27</f>
        <v>7578</v>
      </c>
      <c r="N26" s="47">
        <f>ELECT.!Q27</f>
        <v>7276</v>
      </c>
      <c r="O26" s="47">
        <f>ELECT.!S27</f>
        <v>6789</v>
      </c>
      <c r="P26" s="47">
        <f>ELECT.!W27*2</f>
        <v>18414</v>
      </c>
      <c r="Q26" s="47">
        <f>ELECT.!D27</f>
        <v>480</v>
      </c>
      <c r="R26" s="48">
        <f>BTU!C27</f>
        <v>7.6159999999981665</v>
      </c>
      <c r="S26" s="48">
        <f>BTU!F27</f>
        <v>1.3969999999999345</v>
      </c>
      <c r="T26" s="48">
        <f>BTU!I27</f>
        <v>10</v>
      </c>
      <c r="U26" s="48">
        <f>BTU!O27</f>
        <v>1.7319999999999709</v>
      </c>
      <c r="V26" s="48" t="str">
        <f>BTU!L27</f>
        <v>0</v>
      </c>
      <c r="W26" s="48">
        <f>BTU!R27</f>
        <v>0.27999999999974534</v>
      </c>
      <c r="X26" s="45">
        <f>ELECT.!B27</f>
        <v>18</v>
      </c>
      <c r="Y26" s="45">
        <f t="shared" si="0"/>
        <v>-1195</v>
      </c>
      <c r="Z26">
        <f>'Mall, Citadel, Rotana'!C27+'Mall, Citadel, Rotana'!E27+'Mall, Citadel, Rotana'!G27+'Mall, Citadel, Rotana'!I27</f>
        <v>1044</v>
      </c>
      <c r="AA26">
        <f>'Mall, Citadel, Rotana'!K27+'Mall, Citadel, Rotana'!M27</f>
        <v>480</v>
      </c>
      <c r="AB26">
        <f>'Mall, Citadel, Rotana'!O27</f>
        <v>9</v>
      </c>
      <c r="AC26">
        <f>'Mall, Citadel, Rotana'!Q27+'Mall, Citadel, Rotana'!S27</f>
        <v>77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 t="str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workbookViewId="0">
      <selection activeCell="V27" sqref="V2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D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v>45083</v>
      </c>
      <c r="C10" s="16">
        <f t="shared" si="0"/>
        <v>800</v>
      </c>
      <c r="D10" s="42">
        <v>39415</v>
      </c>
      <c r="E10" s="16">
        <f t="shared" si="1"/>
        <v>480</v>
      </c>
      <c r="F10" s="42">
        <v>20248</v>
      </c>
      <c r="G10" s="16">
        <f t="shared" si="2"/>
        <v>80</v>
      </c>
      <c r="H10" s="42">
        <v>240100</v>
      </c>
      <c r="I10" s="16">
        <f t="shared" si="3"/>
        <v>48</v>
      </c>
      <c r="J10" s="42">
        <f t="shared" si="4"/>
        <v>303517</v>
      </c>
      <c r="K10" s="16">
        <f t="shared" si="5"/>
        <v>0</v>
      </c>
      <c r="L10" s="42">
        <v>24807</v>
      </c>
      <c r="M10" s="16">
        <f t="shared" si="6"/>
        <v>640</v>
      </c>
      <c r="N10" s="42">
        <v>213822</v>
      </c>
      <c r="O10" s="16">
        <f t="shared" si="7"/>
        <v>115</v>
      </c>
      <c r="P10" s="42">
        <v>99071</v>
      </c>
      <c r="Q10" s="16">
        <f>P10-P9</f>
        <v>150</v>
      </c>
      <c r="R10" s="1">
        <f t="shared" si="9"/>
        <v>55047</v>
      </c>
      <c r="S10" s="16">
        <f>R10-R9</f>
        <v>0</v>
      </c>
      <c r="T10" s="42">
        <v>3592</v>
      </c>
      <c r="U10" s="16">
        <f t="shared" si="11"/>
        <v>160</v>
      </c>
    </row>
    <row r="11" spans="1:24" ht="13.5" thickBot="1" x14ac:dyDescent="0.25">
      <c r="A11" s="10">
        <v>44294</v>
      </c>
      <c r="B11" s="42">
        <v>45088</v>
      </c>
      <c r="C11" s="16">
        <f t="shared" si="0"/>
        <v>800</v>
      </c>
      <c r="D11" s="42">
        <v>39418</v>
      </c>
      <c r="E11" s="16">
        <f t="shared" si="1"/>
        <v>480</v>
      </c>
      <c r="F11" s="42">
        <v>20252</v>
      </c>
      <c r="G11" s="16">
        <f t="shared" si="2"/>
        <v>80</v>
      </c>
      <c r="H11" s="42">
        <v>240159</v>
      </c>
      <c r="I11" s="16">
        <f t="shared" si="3"/>
        <v>59</v>
      </c>
      <c r="J11" s="42">
        <f t="shared" si="4"/>
        <v>303517</v>
      </c>
      <c r="K11" s="16">
        <f t="shared" si="5"/>
        <v>0</v>
      </c>
      <c r="L11" s="42">
        <v>24811</v>
      </c>
      <c r="M11" s="16">
        <f t="shared" si="6"/>
        <v>640</v>
      </c>
      <c r="N11" s="42">
        <v>213949</v>
      </c>
      <c r="O11" s="16">
        <f t="shared" si="7"/>
        <v>127</v>
      </c>
      <c r="P11" s="42">
        <v>99251</v>
      </c>
      <c r="Q11" s="16">
        <f t="shared" si="8"/>
        <v>180</v>
      </c>
      <c r="R11" s="1">
        <f t="shared" si="9"/>
        <v>55047</v>
      </c>
      <c r="S11" s="16">
        <f t="shared" si="10"/>
        <v>0</v>
      </c>
      <c r="T11" s="42">
        <v>3594</v>
      </c>
      <c r="U11" s="16">
        <f t="shared" si="11"/>
        <v>320</v>
      </c>
    </row>
    <row r="12" spans="1:24" ht="13.5" thickBot="1" x14ac:dyDescent="0.25">
      <c r="A12" s="10">
        <v>44295</v>
      </c>
      <c r="B12" s="42">
        <v>45093</v>
      </c>
      <c r="C12" s="16">
        <f t="shared" si="0"/>
        <v>800</v>
      </c>
      <c r="D12" s="42">
        <v>39421</v>
      </c>
      <c r="E12" s="16">
        <f t="shared" si="1"/>
        <v>480</v>
      </c>
      <c r="F12" s="42">
        <v>20255</v>
      </c>
      <c r="G12" s="16">
        <f t="shared" si="2"/>
        <v>60</v>
      </c>
      <c r="H12" s="42">
        <v>240211</v>
      </c>
      <c r="I12" s="16">
        <f t="shared" si="3"/>
        <v>52</v>
      </c>
      <c r="J12" s="42">
        <f t="shared" si="4"/>
        <v>303517</v>
      </c>
      <c r="K12" s="16">
        <f t="shared" si="5"/>
        <v>0</v>
      </c>
      <c r="L12" s="42">
        <v>24814</v>
      </c>
      <c r="M12" s="16">
        <f t="shared" si="6"/>
        <v>480</v>
      </c>
      <c r="N12" s="42">
        <v>214031</v>
      </c>
      <c r="O12" s="16">
        <f t="shared" si="7"/>
        <v>82</v>
      </c>
      <c r="P12" s="42">
        <v>99420</v>
      </c>
      <c r="Q12" s="16">
        <f t="shared" si="8"/>
        <v>169</v>
      </c>
      <c r="R12" s="1">
        <f t="shared" si="9"/>
        <v>55047</v>
      </c>
      <c r="S12" s="16">
        <f t="shared" si="10"/>
        <v>0</v>
      </c>
      <c r="T12" s="42">
        <v>3595</v>
      </c>
      <c r="U12" s="16">
        <f t="shared" si="11"/>
        <v>160</v>
      </c>
    </row>
    <row r="13" spans="1:24" ht="13.5" thickBot="1" x14ac:dyDescent="0.25">
      <c r="A13" s="10">
        <v>44296</v>
      </c>
      <c r="B13" s="42">
        <v>45097</v>
      </c>
      <c r="C13" s="16">
        <f t="shared" si="0"/>
        <v>640</v>
      </c>
      <c r="D13" s="42">
        <v>39423</v>
      </c>
      <c r="E13" s="16">
        <f t="shared" si="1"/>
        <v>320</v>
      </c>
      <c r="F13" s="42">
        <v>20257</v>
      </c>
      <c r="G13" s="16">
        <f t="shared" si="2"/>
        <v>40</v>
      </c>
      <c r="H13" s="42">
        <v>240235</v>
      </c>
      <c r="I13" s="16">
        <f t="shared" si="3"/>
        <v>24</v>
      </c>
      <c r="J13" s="42">
        <v>303517</v>
      </c>
      <c r="K13" s="16">
        <f t="shared" si="5"/>
        <v>0</v>
      </c>
      <c r="L13" s="42">
        <v>24823</v>
      </c>
      <c r="M13" s="16">
        <f t="shared" si="6"/>
        <v>1440</v>
      </c>
      <c r="N13" s="42">
        <v>214147</v>
      </c>
      <c r="O13" s="16">
        <f t="shared" si="7"/>
        <v>116</v>
      </c>
      <c r="P13" s="42">
        <v>99430</v>
      </c>
      <c r="Q13" s="16">
        <f t="shared" si="8"/>
        <v>10</v>
      </c>
      <c r="R13" s="1">
        <v>55047</v>
      </c>
      <c r="S13" s="16">
        <f t="shared" si="10"/>
        <v>0</v>
      </c>
      <c r="T13" s="42">
        <v>3596</v>
      </c>
      <c r="U13" s="16">
        <f t="shared" si="11"/>
        <v>160</v>
      </c>
    </row>
    <row r="14" spans="1:24" ht="13.5" thickBot="1" x14ac:dyDescent="0.25">
      <c r="A14" s="10">
        <v>44297</v>
      </c>
      <c r="B14" s="42">
        <v>45102</v>
      </c>
      <c r="C14" s="16">
        <f t="shared" si="0"/>
        <v>800</v>
      </c>
      <c r="D14" s="42">
        <v>39426</v>
      </c>
      <c r="E14" s="16">
        <f t="shared" si="1"/>
        <v>480</v>
      </c>
      <c r="F14" s="42">
        <v>20268</v>
      </c>
      <c r="G14" s="16">
        <f t="shared" si="2"/>
        <v>220</v>
      </c>
      <c r="H14" s="42">
        <v>240262</v>
      </c>
      <c r="I14" s="16">
        <f t="shared" si="3"/>
        <v>27</v>
      </c>
      <c r="J14" s="42">
        <v>303517</v>
      </c>
      <c r="K14" s="16">
        <f t="shared" si="5"/>
        <v>0</v>
      </c>
      <c r="L14" s="42">
        <v>24828</v>
      </c>
      <c r="M14" s="16">
        <f t="shared" si="6"/>
        <v>800</v>
      </c>
      <c r="N14" s="42">
        <v>214287</v>
      </c>
      <c r="O14" s="16">
        <f t="shared" si="7"/>
        <v>140</v>
      </c>
      <c r="P14" s="42">
        <v>99525</v>
      </c>
      <c r="Q14" s="16">
        <f t="shared" si="8"/>
        <v>95</v>
      </c>
      <c r="R14" s="1">
        <v>55047</v>
      </c>
      <c r="S14" s="16">
        <f t="shared" si="10"/>
        <v>0</v>
      </c>
      <c r="T14" s="42">
        <v>3598</v>
      </c>
      <c r="U14" s="16">
        <f>(T14-T13)*800/5</f>
        <v>320</v>
      </c>
    </row>
    <row r="15" spans="1:24" ht="13.5" thickBot="1" x14ac:dyDescent="0.25">
      <c r="A15" s="10">
        <v>44298</v>
      </c>
      <c r="B15" s="42">
        <v>45107</v>
      </c>
      <c r="C15" s="16">
        <f t="shared" si="0"/>
        <v>800</v>
      </c>
      <c r="D15" s="42">
        <v>39429</v>
      </c>
      <c r="E15" s="16">
        <f t="shared" si="1"/>
        <v>480</v>
      </c>
      <c r="F15" s="42">
        <v>20264</v>
      </c>
      <c r="G15" s="16">
        <f t="shared" si="2"/>
        <v>-80</v>
      </c>
      <c r="H15" s="42">
        <v>240294</v>
      </c>
      <c r="I15" s="16">
        <f t="shared" si="3"/>
        <v>32</v>
      </c>
      <c r="J15" s="42">
        <v>303517</v>
      </c>
      <c r="K15" s="16">
        <f t="shared" si="5"/>
        <v>0</v>
      </c>
      <c r="L15" s="42">
        <v>24824</v>
      </c>
      <c r="M15" s="16">
        <f t="shared" si="6"/>
        <v>-640</v>
      </c>
      <c r="N15" s="42">
        <v>214422</v>
      </c>
      <c r="O15" s="16">
        <f t="shared" si="7"/>
        <v>135</v>
      </c>
      <c r="P15" s="42">
        <v>99614</v>
      </c>
      <c r="Q15" s="16">
        <f t="shared" si="8"/>
        <v>89</v>
      </c>
      <c r="R15" s="1">
        <v>55047</v>
      </c>
      <c r="S15" s="16">
        <f t="shared" si="10"/>
        <v>0</v>
      </c>
      <c r="T15" s="42">
        <v>3599</v>
      </c>
      <c r="U15" s="16">
        <f t="shared" ref="U15" si="13">(T15-T14)*800/5</f>
        <v>160</v>
      </c>
      <c r="X15" t="s">
        <v>13</v>
      </c>
    </row>
    <row r="16" spans="1:24" ht="13.5" thickBot="1" x14ac:dyDescent="0.25">
      <c r="A16" s="10">
        <v>44299</v>
      </c>
      <c r="B16" s="42">
        <v>45112</v>
      </c>
      <c r="C16" s="16">
        <f t="shared" si="0"/>
        <v>800</v>
      </c>
      <c r="D16" s="42">
        <v>39431</v>
      </c>
      <c r="E16" s="16">
        <f t="shared" si="1"/>
        <v>320</v>
      </c>
      <c r="F16" s="42">
        <v>20267</v>
      </c>
      <c r="G16" s="16">
        <f t="shared" si="2"/>
        <v>60</v>
      </c>
      <c r="H16" s="42">
        <v>240308</v>
      </c>
      <c r="I16" s="16">
        <f t="shared" si="3"/>
        <v>14</v>
      </c>
      <c r="J16" s="42">
        <v>303517</v>
      </c>
      <c r="K16" s="16">
        <f t="shared" si="5"/>
        <v>0</v>
      </c>
      <c r="L16" s="42">
        <v>24827</v>
      </c>
      <c r="M16" s="16">
        <f t="shared" si="6"/>
        <v>480</v>
      </c>
      <c r="N16" s="42">
        <v>214537</v>
      </c>
      <c r="O16" s="16">
        <f t="shared" si="7"/>
        <v>115</v>
      </c>
      <c r="P16" s="42">
        <f t="shared" si="4"/>
        <v>99614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v>3601</v>
      </c>
      <c r="U16" s="16">
        <f t="shared" si="11"/>
        <v>320</v>
      </c>
      <c r="W16" t="s">
        <v>13</v>
      </c>
    </row>
    <row r="17" spans="1:23" ht="13.5" thickBot="1" x14ac:dyDescent="0.25">
      <c r="A17" s="10">
        <v>44300</v>
      </c>
      <c r="B17" s="42">
        <v>45116</v>
      </c>
      <c r="C17" s="16">
        <f t="shared" si="0"/>
        <v>640</v>
      </c>
      <c r="D17" s="42">
        <v>39434</v>
      </c>
      <c r="E17" s="16">
        <f t="shared" si="1"/>
        <v>480</v>
      </c>
      <c r="F17" s="42">
        <v>20270</v>
      </c>
      <c r="G17" s="16">
        <f t="shared" si="2"/>
        <v>60</v>
      </c>
      <c r="H17" s="42">
        <v>240328</v>
      </c>
      <c r="I17" s="16">
        <f t="shared" si="3"/>
        <v>20</v>
      </c>
      <c r="J17" s="42">
        <f t="shared" si="4"/>
        <v>303517</v>
      </c>
      <c r="K17" s="16">
        <f t="shared" si="5"/>
        <v>0</v>
      </c>
      <c r="L17" s="42">
        <v>24831</v>
      </c>
      <c r="M17" s="16">
        <f t="shared" si="6"/>
        <v>640</v>
      </c>
      <c r="N17" s="42">
        <v>214656</v>
      </c>
      <c r="O17" s="16">
        <f t="shared" si="7"/>
        <v>119</v>
      </c>
      <c r="P17" s="42">
        <f t="shared" si="4"/>
        <v>99614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v>3602</v>
      </c>
      <c r="U17" s="16">
        <f t="shared" si="11"/>
        <v>160</v>
      </c>
    </row>
    <row r="18" spans="1:23" ht="13.5" thickBot="1" x14ac:dyDescent="0.25">
      <c r="A18" s="10">
        <v>44301</v>
      </c>
      <c r="B18" s="42">
        <v>45120</v>
      </c>
      <c r="C18" s="16">
        <f t="shared" si="0"/>
        <v>640</v>
      </c>
      <c r="D18" s="42">
        <v>39436</v>
      </c>
      <c r="E18" s="16">
        <f t="shared" si="1"/>
        <v>320</v>
      </c>
      <c r="F18" s="42">
        <v>20273</v>
      </c>
      <c r="G18" s="16">
        <f t="shared" si="2"/>
        <v>60</v>
      </c>
      <c r="H18" s="42">
        <v>240340</v>
      </c>
      <c r="I18" s="16">
        <f t="shared" si="3"/>
        <v>12</v>
      </c>
      <c r="J18" s="42">
        <f t="shared" si="4"/>
        <v>303517</v>
      </c>
      <c r="K18" s="16">
        <f t="shared" si="5"/>
        <v>0</v>
      </c>
      <c r="L18" s="42">
        <v>24834</v>
      </c>
      <c r="M18" s="16">
        <f t="shared" si="6"/>
        <v>480</v>
      </c>
      <c r="N18" s="42">
        <v>214752</v>
      </c>
      <c r="O18" s="16">
        <f t="shared" si="7"/>
        <v>96</v>
      </c>
      <c r="P18" s="42">
        <v>99983</v>
      </c>
      <c r="Q18" s="16">
        <f t="shared" si="8"/>
        <v>369</v>
      </c>
      <c r="R18" s="1">
        <v>55047</v>
      </c>
      <c r="S18" s="16">
        <f t="shared" si="10"/>
        <v>0</v>
      </c>
      <c r="T18" s="42">
        <v>3603</v>
      </c>
      <c r="U18" s="16">
        <f t="shared" si="11"/>
        <v>160</v>
      </c>
    </row>
    <row r="19" spans="1:23" ht="13.5" thickBot="1" x14ac:dyDescent="0.25">
      <c r="A19" s="10">
        <v>44302</v>
      </c>
      <c r="B19" s="42">
        <v>45124</v>
      </c>
      <c r="C19" s="16">
        <f t="shared" si="0"/>
        <v>640</v>
      </c>
      <c r="D19" s="42">
        <v>39438</v>
      </c>
      <c r="E19" s="16">
        <f t="shared" si="1"/>
        <v>320</v>
      </c>
      <c r="F19" s="42">
        <v>20276</v>
      </c>
      <c r="G19" s="16">
        <f t="shared" si="2"/>
        <v>60</v>
      </c>
      <c r="H19" s="42">
        <v>240352</v>
      </c>
      <c r="I19" s="16">
        <f t="shared" si="3"/>
        <v>12</v>
      </c>
      <c r="J19" s="42">
        <f t="shared" si="4"/>
        <v>303517</v>
      </c>
      <c r="K19" s="16">
        <f t="shared" si="5"/>
        <v>0</v>
      </c>
      <c r="L19" s="42">
        <v>24837</v>
      </c>
      <c r="M19" s="16">
        <f t="shared" si="6"/>
        <v>480</v>
      </c>
      <c r="N19" s="42">
        <v>214831</v>
      </c>
      <c r="O19" s="16">
        <f t="shared" si="7"/>
        <v>79</v>
      </c>
      <c r="P19" s="42">
        <v>100084</v>
      </c>
      <c r="Q19" s="16">
        <f t="shared" si="8"/>
        <v>101</v>
      </c>
      <c r="R19" s="1">
        <f t="shared" si="9"/>
        <v>55047</v>
      </c>
      <c r="S19" s="16">
        <f t="shared" si="10"/>
        <v>0</v>
      </c>
      <c r="T19" s="42">
        <v>3604</v>
      </c>
      <c r="U19" s="16">
        <f t="shared" si="11"/>
        <v>160</v>
      </c>
      <c r="W19" t="s">
        <v>13</v>
      </c>
    </row>
    <row r="20" spans="1:23" ht="13.5" thickBot="1" x14ac:dyDescent="0.25">
      <c r="A20" s="10">
        <v>44303</v>
      </c>
      <c r="B20" s="42">
        <v>45128</v>
      </c>
      <c r="C20" s="16">
        <f t="shared" si="0"/>
        <v>640</v>
      </c>
      <c r="D20" s="42">
        <v>39441</v>
      </c>
      <c r="E20" s="16">
        <f t="shared" si="1"/>
        <v>480</v>
      </c>
      <c r="F20" s="42">
        <v>20279</v>
      </c>
      <c r="G20" s="16">
        <f t="shared" si="2"/>
        <v>60</v>
      </c>
      <c r="H20" s="42">
        <v>240379</v>
      </c>
      <c r="I20" s="16">
        <f t="shared" si="3"/>
        <v>27</v>
      </c>
      <c r="J20" s="42">
        <f t="shared" si="4"/>
        <v>303517</v>
      </c>
      <c r="K20" s="16">
        <v>0</v>
      </c>
      <c r="L20" s="42">
        <v>24840</v>
      </c>
      <c r="M20" s="16">
        <f t="shared" si="6"/>
        <v>480</v>
      </c>
      <c r="N20" s="42">
        <v>214936</v>
      </c>
      <c r="O20" s="16">
        <f t="shared" si="7"/>
        <v>105</v>
      </c>
      <c r="P20" s="42">
        <v>100180</v>
      </c>
      <c r="Q20" s="16">
        <f t="shared" si="8"/>
        <v>96</v>
      </c>
      <c r="R20" s="1">
        <f t="shared" si="9"/>
        <v>55047</v>
      </c>
      <c r="S20" s="16">
        <f t="shared" si="10"/>
        <v>0</v>
      </c>
      <c r="T20" s="42">
        <v>3605</v>
      </c>
      <c r="U20" s="16">
        <f t="shared" si="11"/>
        <v>160</v>
      </c>
    </row>
    <row r="21" spans="1:23" ht="13.5" thickBot="1" x14ac:dyDescent="0.25">
      <c r="A21" s="10">
        <v>44304</v>
      </c>
      <c r="B21" s="42">
        <v>45133</v>
      </c>
      <c r="C21" s="16">
        <f t="shared" si="0"/>
        <v>800</v>
      </c>
      <c r="D21" s="42">
        <v>39443</v>
      </c>
      <c r="E21" s="16">
        <f t="shared" si="1"/>
        <v>320</v>
      </c>
      <c r="F21" s="42">
        <v>20282</v>
      </c>
      <c r="G21" s="16">
        <f t="shared" si="2"/>
        <v>60</v>
      </c>
      <c r="H21" s="42">
        <v>240405</v>
      </c>
      <c r="I21" s="16">
        <f t="shared" si="3"/>
        <v>26</v>
      </c>
      <c r="J21" s="42">
        <f t="shared" si="4"/>
        <v>303517</v>
      </c>
      <c r="K21" s="16">
        <f t="shared" si="5"/>
        <v>0</v>
      </c>
      <c r="L21" s="42">
        <v>24843</v>
      </c>
      <c r="M21" s="16">
        <f t="shared" si="6"/>
        <v>480</v>
      </c>
      <c r="N21" s="42">
        <v>215068</v>
      </c>
      <c r="O21" s="16">
        <f t="shared" si="7"/>
        <v>132</v>
      </c>
      <c r="P21" s="42">
        <v>100338</v>
      </c>
      <c r="Q21" s="16">
        <f t="shared" si="8"/>
        <v>158</v>
      </c>
      <c r="R21" s="1">
        <f t="shared" si="9"/>
        <v>55047</v>
      </c>
      <c r="S21" s="16">
        <f t="shared" si="10"/>
        <v>0</v>
      </c>
      <c r="T21" s="42">
        <v>3606</v>
      </c>
      <c r="U21" s="16">
        <f t="shared" si="11"/>
        <v>160</v>
      </c>
    </row>
    <row r="22" spans="1:23" ht="13.5" thickBot="1" x14ac:dyDescent="0.25">
      <c r="A22" s="10">
        <v>44305</v>
      </c>
      <c r="B22" s="42">
        <v>45138</v>
      </c>
      <c r="C22" s="16">
        <f t="shared" si="0"/>
        <v>800</v>
      </c>
      <c r="D22" s="42">
        <v>39446</v>
      </c>
      <c r="E22" s="16">
        <f t="shared" si="1"/>
        <v>480</v>
      </c>
      <c r="F22" s="42">
        <v>20285</v>
      </c>
      <c r="G22" s="16">
        <f t="shared" si="2"/>
        <v>60</v>
      </c>
      <c r="H22" s="42">
        <v>240447</v>
      </c>
      <c r="I22" s="16">
        <f t="shared" si="3"/>
        <v>42</v>
      </c>
      <c r="J22" s="42">
        <f t="shared" si="4"/>
        <v>303517</v>
      </c>
      <c r="K22" s="16">
        <f t="shared" si="5"/>
        <v>0</v>
      </c>
      <c r="L22" s="42">
        <v>24847</v>
      </c>
      <c r="M22" s="16">
        <f t="shared" si="6"/>
        <v>640</v>
      </c>
      <c r="N22" s="42">
        <v>215185</v>
      </c>
      <c r="O22" s="16">
        <f t="shared" si="7"/>
        <v>117</v>
      </c>
      <c r="P22" s="42">
        <v>100485</v>
      </c>
      <c r="Q22" s="16">
        <f t="shared" si="8"/>
        <v>147</v>
      </c>
      <c r="R22" s="1">
        <f t="shared" si="9"/>
        <v>55047</v>
      </c>
      <c r="S22" s="16">
        <f t="shared" si="10"/>
        <v>0</v>
      </c>
      <c r="T22" s="42">
        <v>3608</v>
      </c>
      <c r="U22" s="16">
        <f t="shared" si="11"/>
        <v>320</v>
      </c>
    </row>
    <row r="23" spans="1:23" ht="13.5" thickBot="1" x14ac:dyDescent="0.25">
      <c r="A23" s="10">
        <v>44306</v>
      </c>
      <c r="B23" s="42">
        <v>45142</v>
      </c>
      <c r="C23" s="16">
        <f t="shared" si="0"/>
        <v>640</v>
      </c>
      <c r="D23" s="42">
        <v>39449</v>
      </c>
      <c r="E23" s="16">
        <f t="shared" si="1"/>
        <v>480</v>
      </c>
      <c r="F23" s="42">
        <v>20288</v>
      </c>
      <c r="G23" s="16">
        <f t="shared" si="2"/>
        <v>60</v>
      </c>
      <c r="H23" s="42">
        <v>240487</v>
      </c>
      <c r="I23" s="16">
        <f t="shared" si="3"/>
        <v>40</v>
      </c>
      <c r="J23" s="42">
        <v>303517</v>
      </c>
      <c r="K23" s="16">
        <f t="shared" si="5"/>
        <v>0</v>
      </c>
      <c r="L23" s="42">
        <v>24852</v>
      </c>
      <c r="M23" s="16">
        <f t="shared" si="6"/>
        <v>800</v>
      </c>
      <c r="N23" s="42">
        <v>215302</v>
      </c>
      <c r="O23" s="16">
        <f t="shared" si="7"/>
        <v>117</v>
      </c>
      <c r="P23" s="42">
        <v>100632</v>
      </c>
      <c r="Q23" s="16">
        <f t="shared" si="8"/>
        <v>147</v>
      </c>
      <c r="R23" s="1">
        <v>55047</v>
      </c>
      <c r="S23" s="16">
        <f t="shared" si="10"/>
        <v>0</v>
      </c>
      <c r="T23" s="42">
        <v>3609</v>
      </c>
      <c r="U23" s="16">
        <f t="shared" si="11"/>
        <v>160</v>
      </c>
    </row>
    <row r="24" spans="1:23" s="156" customFormat="1" ht="13.5" thickBot="1" x14ac:dyDescent="0.25">
      <c r="A24" s="10">
        <v>44307</v>
      </c>
      <c r="B24" s="42">
        <v>45147</v>
      </c>
      <c r="C24" s="16">
        <f t="shared" si="0"/>
        <v>800</v>
      </c>
      <c r="D24" s="42">
        <v>39451</v>
      </c>
      <c r="E24" s="16">
        <f t="shared" si="1"/>
        <v>320</v>
      </c>
      <c r="F24" s="42">
        <v>20290</v>
      </c>
      <c r="G24" s="16">
        <f t="shared" si="2"/>
        <v>40</v>
      </c>
      <c r="H24" s="42">
        <v>240497</v>
      </c>
      <c r="I24" s="16">
        <f t="shared" si="3"/>
        <v>10</v>
      </c>
      <c r="J24" s="42">
        <v>303517</v>
      </c>
      <c r="K24" s="16">
        <f t="shared" si="5"/>
        <v>0</v>
      </c>
      <c r="L24" s="42">
        <v>24854</v>
      </c>
      <c r="M24" s="16">
        <f t="shared" si="6"/>
        <v>320</v>
      </c>
      <c r="N24" s="42">
        <v>215411</v>
      </c>
      <c r="O24" s="16">
        <f t="shared" si="7"/>
        <v>109</v>
      </c>
      <c r="P24" s="42">
        <v>100781</v>
      </c>
      <c r="Q24" s="16">
        <f t="shared" si="8"/>
        <v>149</v>
      </c>
      <c r="R24" s="1">
        <v>55047</v>
      </c>
      <c r="S24" s="16">
        <f t="shared" si="10"/>
        <v>0</v>
      </c>
      <c r="T24" s="42">
        <v>3610</v>
      </c>
      <c r="U24" s="16">
        <f t="shared" si="11"/>
        <v>160</v>
      </c>
    </row>
    <row r="25" spans="1:23" ht="13.5" thickBot="1" x14ac:dyDescent="0.25">
      <c r="A25" s="10">
        <v>44308</v>
      </c>
      <c r="B25" s="42">
        <v>45151</v>
      </c>
      <c r="C25" s="16">
        <f t="shared" si="0"/>
        <v>640</v>
      </c>
      <c r="D25" s="42">
        <v>39453</v>
      </c>
      <c r="E25" s="16">
        <f t="shared" si="1"/>
        <v>320</v>
      </c>
      <c r="F25" s="42">
        <v>20293</v>
      </c>
      <c r="G25" s="16">
        <f t="shared" si="2"/>
        <v>60</v>
      </c>
      <c r="H25" s="42">
        <v>240534</v>
      </c>
      <c r="I25" s="16">
        <f t="shared" si="3"/>
        <v>37</v>
      </c>
      <c r="J25" s="42">
        <v>303517</v>
      </c>
      <c r="K25" s="16">
        <f t="shared" si="5"/>
        <v>0</v>
      </c>
      <c r="L25" s="42">
        <v>24857</v>
      </c>
      <c r="M25" s="16">
        <f t="shared" si="6"/>
        <v>480</v>
      </c>
      <c r="N25" s="42">
        <v>215422</v>
      </c>
      <c r="O25" s="16">
        <f t="shared" si="7"/>
        <v>11</v>
      </c>
      <c r="P25" s="42">
        <v>100868</v>
      </c>
      <c r="Q25" s="16">
        <f t="shared" si="8"/>
        <v>87</v>
      </c>
      <c r="R25" s="1">
        <f t="shared" si="9"/>
        <v>55047</v>
      </c>
      <c r="S25" s="16">
        <f t="shared" si="10"/>
        <v>0</v>
      </c>
      <c r="T25" s="42">
        <v>3611</v>
      </c>
      <c r="U25" s="16">
        <f t="shared" si="11"/>
        <v>160</v>
      </c>
      <c r="V25" t="s">
        <v>13</v>
      </c>
    </row>
    <row r="26" spans="1:23" ht="12.75" customHeight="1" thickBot="1" x14ac:dyDescent="0.25">
      <c r="A26" s="10">
        <v>44309</v>
      </c>
      <c r="B26" s="42">
        <v>45155</v>
      </c>
      <c r="C26" s="16">
        <f t="shared" si="0"/>
        <v>640</v>
      </c>
      <c r="D26" s="42">
        <v>39455</v>
      </c>
      <c r="E26" s="16">
        <f t="shared" si="1"/>
        <v>320</v>
      </c>
      <c r="F26" s="42">
        <v>20296</v>
      </c>
      <c r="G26" s="16">
        <f t="shared" si="2"/>
        <v>60</v>
      </c>
      <c r="H26" s="42">
        <v>240560</v>
      </c>
      <c r="I26" s="16">
        <f t="shared" si="3"/>
        <v>26</v>
      </c>
      <c r="J26" s="42">
        <v>303517</v>
      </c>
      <c r="K26" s="16">
        <f t="shared" si="5"/>
        <v>0</v>
      </c>
      <c r="L26" s="42">
        <v>24860</v>
      </c>
      <c r="M26" s="16">
        <f t="shared" si="6"/>
        <v>480</v>
      </c>
      <c r="N26" s="42">
        <v>215425</v>
      </c>
      <c r="O26" s="16">
        <f t="shared" si="7"/>
        <v>3</v>
      </c>
      <c r="P26" s="42">
        <v>100952</v>
      </c>
      <c r="Q26" s="16">
        <f t="shared" si="8"/>
        <v>84</v>
      </c>
      <c r="R26" s="1">
        <v>55047</v>
      </c>
      <c r="S26" s="16">
        <f t="shared" si="10"/>
        <v>0</v>
      </c>
      <c r="T26" s="42">
        <v>3613</v>
      </c>
      <c r="U26" s="16">
        <f t="shared" si="11"/>
        <v>320</v>
      </c>
      <c r="W26" t="s">
        <v>13</v>
      </c>
    </row>
    <row r="27" spans="1:23" ht="13.5" thickBot="1" x14ac:dyDescent="0.25">
      <c r="A27" s="10">
        <v>44310</v>
      </c>
      <c r="B27" s="42">
        <v>45159</v>
      </c>
      <c r="C27" s="16">
        <f t="shared" si="0"/>
        <v>640</v>
      </c>
      <c r="D27" s="42">
        <v>39457</v>
      </c>
      <c r="E27" s="16">
        <f t="shared" si="1"/>
        <v>320</v>
      </c>
      <c r="F27" s="42">
        <v>20299</v>
      </c>
      <c r="G27" s="16">
        <f t="shared" si="2"/>
        <v>60</v>
      </c>
      <c r="H27" s="42">
        <v>240584</v>
      </c>
      <c r="I27" s="16">
        <f t="shared" si="3"/>
        <v>24</v>
      </c>
      <c r="J27" s="42">
        <v>303517</v>
      </c>
      <c r="K27" s="16">
        <f t="shared" si="5"/>
        <v>0</v>
      </c>
      <c r="L27" s="42">
        <v>24863</v>
      </c>
      <c r="M27" s="16">
        <f t="shared" si="6"/>
        <v>480</v>
      </c>
      <c r="N27" s="42">
        <v>215434</v>
      </c>
      <c r="O27" s="16">
        <f t="shared" si="7"/>
        <v>9</v>
      </c>
      <c r="P27" s="42">
        <v>101029</v>
      </c>
      <c r="Q27" s="16">
        <f t="shared" si="8"/>
        <v>77</v>
      </c>
      <c r="R27" s="1">
        <v>55047</v>
      </c>
      <c r="S27" s="16">
        <f t="shared" si="10"/>
        <v>0</v>
      </c>
      <c r="T27" s="42">
        <v>3615</v>
      </c>
      <c r="U27" s="16">
        <f t="shared" si="11"/>
        <v>320</v>
      </c>
    </row>
    <row r="28" spans="1:23" ht="13.5" thickBot="1" x14ac:dyDescent="0.25">
      <c r="A28" s="10">
        <v>44311</v>
      </c>
      <c r="B28" s="42">
        <f t="shared" ref="B27:B33" si="14">B27</f>
        <v>45159</v>
      </c>
      <c r="C28" s="16">
        <f t="shared" si="0"/>
        <v>0</v>
      </c>
      <c r="D28" s="42">
        <f t="shared" si="4"/>
        <v>39457</v>
      </c>
      <c r="E28" s="16">
        <f t="shared" si="1"/>
        <v>0</v>
      </c>
      <c r="F28" s="42">
        <f t="shared" si="4"/>
        <v>20299</v>
      </c>
      <c r="G28" s="16">
        <f t="shared" si="2"/>
        <v>0</v>
      </c>
      <c r="H28" s="42">
        <f t="shared" si="4"/>
        <v>240584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24863</v>
      </c>
      <c r="M28" s="16">
        <f t="shared" si="6"/>
        <v>0</v>
      </c>
      <c r="N28" s="42">
        <f t="shared" si="4"/>
        <v>215434</v>
      </c>
      <c r="O28" s="16">
        <f t="shared" si="7"/>
        <v>0</v>
      </c>
      <c r="P28" s="42">
        <f t="shared" si="4"/>
        <v>101029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3615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4"/>
        <v>45159</v>
      </c>
      <c r="C29" s="16">
        <f t="shared" si="0"/>
        <v>0</v>
      </c>
      <c r="D29" s="42">
        <f t="shared" si="4"/>
        <v>39457</v>
      </c>
      <c r="E29" s="16">
        <f t="shared" si="1"/>
        <v>0</v>
      </c>
      <c r="F29" s="42">
        <f t="shared" si="4"/>
        <v>20299</v>
      </c>
      <c r="G29" s="16">
        <f t="shared" si="2"/>
        <v>0</v>
      </c>
      <c r="H29" s="42">
        <f t="shared" si="4"/>
        <v>240584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24863</v>
      </c>
      <c r="M29" s="16">
        <f t="shared" si="6"/>
        <v>0</v>
      </c>
      <c r="N29" s="42">
        <f t="shared" si="4"/>
        <v>215434</v>
      </c>
      <c r="O29" s="16">
        <f t="shared" si="7"/>
        <v>0</v>
      </c>
      <c r="P29" s="42">
        <f t="shared" si="4"/>
        <v>101029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3615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4"/>
        <v>45159</v>
      </c>
      <c r="C30" s="16">
        <f t="shared" si="0"/>
        <v>0</v>
      </c>
      <c r="D30" s="42">
        <f t="shared" si="4"/>
        <v>39457</v>
      </c>
      <c r="E30" s="16">
        <f t="shared" si="1"/>
        <v>0</v>
      </c>
      <c r="F30" s="42">
        <f t="shared" si="4"/>
        <v>20299</v>
      </c>
      <c r="G30" s="16">
        <f t="shared" si="2"/>
        <v>0</v>
      </c>
      <c r="H30" s="42">
        <f t="shared" si="4"/>
        <v>240584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24863</v>
      </c>
      <c r="M30" s="16">
        <f t="shared" si="6"/>
        <v>0</v>
      </c>
      <c r="N30" s="42">
        <f t="shared" si="4"/>
        <v>215434</v>
      </c>
      <c r="O30" s="16">
        <f t="shared" si="7"/>
        <v>0</v>
      </c>
      <c r="P30" s="42">
        <f t="shared" si="4"/>
        <v>101029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3615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4"/>
        <v>45159</v>
      </c>
      <c r="C31" s="16">
        <f t="shared" si="0"/>
        <v>0</v>
      </c>
      <c r="D31" s="42">
        <f t="shared" si="4"/>
        <v>39457</v>
      </c>
      <c r="E31" s="16">
        <f t="shared" si="1"/>
        <v>0</v>
      </c>
      <c r="F31" s="42">
        <f t="shared" si="4"/>
        <v>20299</v>
      </c>
      <c r="G31" s="16">
        <f t="shared" si="2"/>
        <v>0</v>
      </c>
      <c r="H31" s="42">
        <f t="shared" si="4"/>
        <v>240584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24863</v>
      </c>
      <c r="M31" s="16">
        <f t="shared" si="6"/>
        <v>0</v>
      </c>
      <c r="N31" s="42">
        <f t="shared" si="4"/>
        <v>215434</v>
      </c>
      <c r="O31" s="16">
        <f t="shared" si="7"/>
        <v>0</v>
      </c>
      <c r="P31" s="42">
        <f t="shared" si="4"/>
        <v>101029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3615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4"/>
        <v>45159</v>
      </c>
      <c r="C32" s="16">
        <f t="shared" si="0"/>
        <v>0</v>
      </c>
      <c r="D32" s="42">
        <f t="shared" si="4"/>
        <v>39457</v>
      </c>
      <c r="E32" s="16">
        <f t="shared" si="1"/>
        <v>0</v>
      </c>
      <c r="F32" s="42">
        <f t="shared" si="4"/>
        <v>20299</v>
      </c>
      <c r="G32" s="16">
        <f t="shared" si="2"/>
        <v>0</v>
      </c>
      <c r="H32" s="42">
        <f t="shared" si="4"/>
        <v>240584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24863</v>
      </c>
      <c r="M32" s="16">
        <f t="shared" si="6"/>
        <v>0</v>
      </c>
      <c r="N32" s="42">
        <f t="shared" si="4"/>
        <v>215434</v>
      </c>
      <c r="O32" s="16">
        <f t="shared" si="7"/>
        <v>0</v>
      </c>
      <c r="P32" s="42">
        <f t="shared" si="4"/>
        <v>101029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3615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4"/>
        <v>45159</v>
      </c>
      <c r="C33" s="16">
        <f t="shared" si="0"/>
        <v>0</v>
      </c>
      <c r="D33" s="42">
        <f t="shared" si="4"/>
        <v>39457</v>
      </c>
      <c r="E33" s="16">
        <f t="shared" si="1"/>
        <v>0</v>
      </c>
      <c r="F33" s="42">
        <f t="shared" si="4"/>
        <v>20299</v>
      </c>
      <c r="G33" s="16">
        <f t="shared" si="2"/>
        <v>0</v>
      </c>
      <c r="H33" s="42">
        <f t="shared" si="4"/>
        <v>240584</v>
      </c>
      <c r="I33" s="16">
        <f t="shared" si="3"/>
        <v>0</v>
      </c>
      <c r="J33" s="42">
        <f t="shared" ref="J33" si="15">J32</f>
        <v>303517</v>
      </c>
      <c r="K33" s="16">
        <f t="shared" si="5"/>
        <v>0</v>
      </c>
      <c r="L33" s="42">
        <f t="shared" ref="L33" si="16">L32</f>
        <v>24863</v>
      </c>
      <c r="M33" s="16">
        <f t="shared" si="6"/>
        <v>0</v>
      </c>
      <c r="N33" s="42">
        <f>N32</f>
        <v>215434</v>
      </c>
      <c r="O33" s="16">
        <f t="shared" si="7"/>
        <v>0</v>
      </c>
      <c r="P33" s="42">
        <f t="shared" ref="P33" si="17">P32</f>
        <v>101029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8">T32</f>
        <v>3615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19200</v>
      </c>
      <c r="D34" s="13"/>
      <c r="E34" s="11">
        <f>SUM(E3:E33)</f>
        <v>10240</v>
      </c>
      <c r="F34" s="13"/>
      <c r="G34" s="11">
        <f>SUM(G3:G33)</f>
        <v>1560</v>
      </c>
      <c r="H34" s="13"/>
      <c r="I34" s="11">
        <f>SUM(I3:I33)</f>
        <v>735</v>
      </c>
      <c r="J34" s="13"/>
      <c r="K34" s="11">
        <f>SUM(K3:K33)</f>
        <v>0</v>
      </c>
      <c r="L34" s="13"/>
      <c r="M34" s="11">
        <f>SUM(M3:M33)</f>
        <v>13600</v>
      </c>
      <c r="N34" s="43"/>
      <c r="O34" s="11">
        <f>SUM(O3:O33)</f>
        <v>2530</v>
      </c>
      <c r="P34" s="13"/>
      <c r="Q34" s="11">
        <f>SUM(Q3:Q33)</f>
        <v>2739</v>
      </c>
      <c r="R34" s="1"/>
      <c r="S34" s="11">
        <f>SUM(S3:S33)</f>
        <v>0</v>
      </c>
      <c r="T34" s="1"/>
      <c r="U34" s="11">
        <f>SUM(U3:U33)</f>
        <v>5280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0" zoomScale="110" zoomScaleNormal="110" workbookViewId="0">
      <selection activeCell="K26" sqref="K2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v>408045</v>
      </c>
      <c r="C10" s="49">
        <f>(IF((B10-B9)&lt;0,"0",(B10-B9)))*10</f>
        <v>500</v>
      </c>
      <c r="D10" s="3">
        <v>3869400</v>
      </c>
      <c r="E10" s="49">
        <f t="shared" si="1"/>
        <v>375.3</v>
      </c>
      <c r="F10" s="3">
        <v>2611900</v>
      </c>
      <c r="G10" s="49">
        <f t="shared" si="4"/>
        <v>375.3</v>
      </c>
      <c r="H10" s="3">
        <v>727240</v>
      </c>
      <c r="I10" s="54">
        <f t="shared" si="5"/>
        <v>4.05</v>
      </c>
      <c r="J10" s="23">
        <f t="shared" si="2"/>
        <v>1254.6499999999999</v>
      </c>
      <c r="K10" s="24">
        <f t="shared" si="3"/>
        <v>7352.2489999999998</v>
      </c>
    </row>
    <row r="11" spans="1:14" ht="16.5" thickBot="1" x14ac:dyDescent="0.3">
      <c r="A11" s="10">
        <v>44294</v>
      </c>
      <c r="B11" s="3">
        <v>408100</v>
      </c>
      <c r="C11" s="49">
        <f t="shared" si="6"/>
        <v>550</v>
      </c>
      <c r="D11" s="3">
        <v>3881300</v>
      </c>
      <c r="E11" s="49">
        <f t="shared" si="1"/>
        <v>321.3</v>
      </c>
      <c r="F11" s="3">
        <v>2625100</v>
      </c>
      <c r="G11" s="49">
        <f t="shared" si="4"/>
        <v>356.4</v>
      </c>
      <c r="H11" s="3">
        <v>727410</v>
      </c>
      <c r="I11" s="54">
        <f t="shared" si="5"/>
        <v>4.59</v>
      </c>
      <c r="J11" s="23">
        <f t="shared" si="2"/>
        <v>1232.2899999999997</v>
      </c>
      <c r="K11" s="24">
        <f t="shared" si="3"/>
        <v>7221.219399999999</v>
      </c>
      <c r="N11" t="s">
        <v>13</v>
      </c>
    </row>
    <row r="12" spans="1:14" ht="16.5" thickBot="1" x14ac:dyDescent="0.3">
      <c r="A12" s="10">
        <v>44295</v>
      </c>
      <c r="B12" s="3">
        <v>408266</v>
      </c>
      <c r="C12" s="49">
        <f t="shared" si="6"/>
        <v>1660</v>
      </c>
      <c r="D12" s="3">
        <v>3895000</v>
      </c>
      <c r="E12" s="49">
        <f t="shared" si="1"/>
        <v>369.9</v>
      </c>
      <c r="F12" s="3">
        <v>2632300</v>
      </c>
      <c r="G12" s="49">
        <f t="shared" si="4"/>
        <v>194.4</v>
      </c>
      <c r="H12" s="3">
        <v>727504</v>
      </c>
      <c r="I12" s="54">
        <f t="shared" si="5"/>
        <v>2.5379999999999998</v>
      </c>
      <c r="J12" s="23">
        <f t="shared" si="2"/>
        <v>2226.8380000000002</v>
      </c>
      <c r="K12" s="24">
        <f t="shared" si="3"/>
        <v>13049.270680000001</v>
      </c>
    </row>
    <row r="13" spans="1:14" ht="16.5" thickBot="1" x14ac:dyDescent="0.3">
      <c r="A13" s="10">
        <v>44296</v>
      </c>
      <c r="B13" s="3">
        <v>408432</v>
      </c>
      <c r="C13" s="49">
        <f t="shared" si="6"/>
        <v>1660</v>
      </c>
      <c r="D13" s="3">
        <v>3906800</v>
      </c>
      <c r="E13" s="49">
        <f t="shared" si="1"/>
        <v>318.60000000000002</v>
      </c>
      <c r="F13" s="3">
        <v>2641600</v>
      </c>
      <c r="G13" s="49">
        <f t="shared" si="4"/>
        <v>251.1</v>
      </c>
      <c r="H13" s="3">
        <v>727626</v>
      </c>
      <c r="I13" s="54">
        <f t="shared" si="5"/>
        <v>3.294</v>
      </c>
      <c r="J13" s="23">
        <f t="shared" si="2"/>
        <v>2232.9939999999997</v>
      </c>
      <c r="K13" s="24">
        <f t="shared" si="3"/>
        <v>13085.34484</v>
      </c>
    </row>
    <row r="14" spans="1:14" ht="16.5" thickBot="1" x14ac:dyDescent="0.3">
      <c r="A14" s="10">
        <v>44297</v>
      </c>
      <c r="B14" s="3">
        <v>408480</v>
      </c>
      <c r="C14" s="49">
        <f t="shared" si="6"/>
        <v>480</v>
      </c>
      <c r="D14" s="3">
        <v>3918800</v>
      </c>
      <c r="E14" s="49">
        <f t="shared" si="1"/>
        <v>324</v>
      </c>
      <c r="F14" s="3">
        <v>2649500</v>
      </c>
      <c r="G14" s="49">
        <f t="shared" si="4"/>
        <v>213.3</v>
      </c>
      <c r="H14" s="3">
        <v>727752</v>
      </c>
      <c r="I14" s="54">
        <f t="shared" si="5"/>
        <v>3.4020000000000001</v>
      </c>
      <c r="J14" s="23">
        <f t="shared" si="2"/>
        <v>1020.702</v>
      </c>
      <c r="K14" s="24">
        <f t="shared" si="3"/>
        <v>5981.3137200000001</v>
      </c>
    </row>
    <row r="15" spans="1:14" ht="16.5" thickBot="1" x14ac:dyDescent="0.3">
      <c r="A15" s="10">
        <v>44298</v>
      </c>
      <c r="B15" s="3">
        <v>408494</v>
      </c>
      <c r="C15" s="49">
        <f t="shared" si="6"/>
        <v>140</v>
      </c>
      <c r="D15" s="3">
        <v>3932100</v>
      </c>
      <c r="E15" s="49">
        <f t="shared" si="1"/>
        <v>359.1</v>
      </c>
      <c r="F15" s="3">
        <v>2659000</v>
      </c>
      <c r="G15" s="49">
        <f t="shared" si="4"/>
        <v>256.5</v>
      </c>
      <c r="H15" s="3">
        <v>727925</v>
      </c>
      <c r="I15" s="54">
        <f t="shared" si="5"/>
        <v>4.6710000000000003</v>
      </c>
      <c r="J15" s="23">
        <f t="shared" si="2"/>
        <v>760.27100000000007</v>
      </c>
      <c r="K15" s="24">
        <f t="shared" si="3"/>
        <v>4455.1880600000004</v>
      </c>
    </row>
    <row r="16" spans="1:14" ht="16.5" thickBot="1" x14ac:dyDescent="0.3">
      <c r="A16" s="10">
        <v>44299</v>
      </c>
      <c r="B16" s="3">
        <v>408510</v>
      </c>
      <c r="C16" s="49">
        <f t="shared" si="6"/>
        <v>160</v>
      </c>
      <c r="D16" s="3">
        <v>3943200</v>
      </c>
      <c r="E16" s="49">
        <f t="shared" si="1"/>
        <v>299.7</v>
      </c>
      <c r="F16" s="3">
        <v>2666200</v>
      </c>
      <c r="G16" s="49">
        <f t="shared" si="4"/>
        <v>194.4</v>
      </c>
      <c r="H16" s="3">
        <v>728047</v>
      </c>
      <c r="I16" s="54">
        <f t="shared" si="5"/>
        <v>3.294</v>
      </c>
      <c r="J16" s="23">
        <f t="shared" si="2"/>
        <v>657.39400000000001</v>
      </c>
      <c r="K16" s="24">
        <f t="shared" si="3"/>
        <v>3852.3288400000001</v>
      </c>
    </row>
    <row r="17" spans="1:25" ht="16.5" thickBot="1" x14ac:dyDescent="0.3">
      <c r="A17" s="10">
        <v>44300</v>
      </c>
      <c r="B17" s="3">
        <v>408580</v>
      </c>
      <c r="C17" s="49">
        <f t="shared" si="6"/>
        <v>700</v>
      </c>
      <c r="D17" s="3">
        <v>3957400</v>
      </c>
      <c r="E17" s="49">
        <f t="shared" si="1"/>
        <v>383.4</v>
      </c>
      <c r="F17" s="3">
        <v>2674300</v>
      </c>
      <c r="G17" s="49">
        <f t="shared" si="4"/>
        <v>218.7</v>
      </c>
      <c r="H17" s="3">
        <v>728198</v>
      </c>
      <c r="I17" s="54">
        <f t="shared" si="5"/>
        <v>4.077</v>
      </c>
      <c r="J17" s="23">
        <f t="shared" si="2"/>
        <v>1306.1770000000001</v>
      </c>
      <c r="K17" s="24">
        <f t="shared" si="3"/>
        <v>7654.1972200000009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v>408655</v>
      </c>
      <c r="C18" s="49">
        <f t="shared" si="6"/>
        <v>750</v>
      </c>
      <c r="D18" s="3">
        <v>3972200</v>
      </c>
      <c r="E18" s="49">
        <f t="shared" si="1"/>
        <v>399.6</v>
      </c>
      <c r="F18" s="3">
        <v>2684000</v>
      </c>
      <c r="G18" s="49">
        <f t="shared" si="4"/>
        <v>261.89999999999998</v>
      </c>
      <c r="H18" s="3">
        <v>728348</v>
      </c>
      <c r="I18" s="54">
        <f t="shared" si="5"/>
        <v>4.05</v>
      </c>
      <c r="J18" s="23">
        <f t="shared" si="2"/>
        <v>1415.55</v>
      </c>
      <c r="K18" s="24">
        <f t="shared" si="3"/>
        <v>8295.1229999999996</v>
      </c>
      <c r="Q18" t="s">
        <v>44</v>
      </c>
    </row>
    <row r="19" spans="1:25" ht="16.5" thickBot="1" x14ac:dyDescent="0.3">
      <c r="A19" s="10">
        <v>44302</v>
      </c>
      <c r="B19" s="3">
        <v>408724</v>
      </c>
      <c r="C19" s="49">
        <f t="shared" si="6"/>
        <v>690</v>
      </c>
      <c r="D19" s="3">
        <v>3985200</v>
      </c>
      <c r="E19" s="49">
        <f t="shared" si="1"/>
        <v>351</v>
      </c>
      <c r="F19" s="3">
        <v>2693000</v>
      </c>
      <c r="G19" s="49">
        <f t="shared" si="4"/>
        <v>243</v>
      </c>
      <c r="H19" s="3">
        <v>728464</v>
      </c>
      <c r="I19" s="54">
        <f t="shared" si="5"/>
        <v>3.1320000000000001</v>
      </c>
      <c r="J19" s="23">
        <f t="shared" si="2"/>
        <v>1287.1320000000001</v>
      </c>
      <c r="K19" s="24">
        <f t="shared" si="3"/>
        <v>7542.5935200000004</v>
      </c>
      <c r="Q19" t="s">
        <v>13</v>
      </c>
    </row>
    <row r="20" spans="1:25" ht="16.5" thickBot="1" x14ac:dyDescent="0.3">
      <c r="A20" s="10">
        <v>44303</v>
      </c>
      <c r="B20" s="3">
        <v>408789</v>
      </c>
      <c r="C20" s="49">
        <f t="shared" si="6"/>
        <v>650</v>
      </c>
      <c r="D20" s="3">
        <v>3997000</v>
      </c>
      <c r="E20" s="49">
        <f t="shared" si="1"/>
        <v>318.60000000000002</v>
      </c>
      <c r="F20" s="3">
        <v>2702100</v>
      </c>
      <c r="G20" s="49">
        <f t="shared" si="4"/>
        <v>245.7</v>
      </c>
      <c r="H20" s="3">
        <v>728593</v>
      </c>
      <c r="I20" s="54">
        <f t="shared" si="5"/>
        <v>3.4830000000000001</v>
      </c>
      <c r="J20" s="23">
        <f t="shared" si="2"/>
        <v>1217.7829999999999</v>
      </c>
      <c r="K20" s="24">
        <f t="shared" si="3"/>
        <v>7136.20838</v>
      </c>
    </row>
    <row r="21" spans="1:25" ht="16.5" thickBot="1" x14ac:dyDescent="0.3">
      <c r="A21" s="10">
        <v>44304</v>
      </c>
      <c r="B21" s="3">
        <v>408852</v>
      </c>
      <c r="C21" s="49">
        <f t="shared" si="6"/>
        <v>630</v>
      </c>
      <c r="D21" s="3">
        <v>4010500</v>
      </c>
      <c r="E21" s="49">
        <f t="shared" si="1"/>
        <v>364.5</v>
      </c>
      <c r="F21" s="3">
        <v>2713100</v>
      </c>
      <c r="G21" s="49">
        <f t="shared" si="4"/>
        <v>297</v>
      </c>
      <c r="H21" s="3">
        <v>728751</v>
      </c>
      <c r="I21" s="54">
        <f t="shared" si="5"/>
        <v>4.266</v>
      </c>
      <c r="J21" s="23">
        <f t="shared" si="2"/>
        <v>1295.7660000000001</v>
      </c>
      <c r="K21" s="24">
        <f t="shared" si="3"/>
        <v>7593.1887600000009</v>
      </c>
    </row>
    <row r="22" spans="1:25" ht="16.5" thickBot="1" x14ac:dyDescent="0.3">
      <c r="A22" s="10">
        <v>44305</v>
      </c>
      <c r="B22" s="3">
        <v>408963</v>
      </c>
      <c r="C22" s="49">
        <f t="shared" si="6"/>
        <v>1110</v>
      </c>
      <c r="D22" s="3">
        <v>4025200</v>
      </c>
      <c r="E22" s="49">
        <f t="shared" si="1"/>
        <v>396.9</v>
      </c>
      <c r="F22" s="3">
        <v>2725100</v>
      </c>
      <c r="G22" s="49">
        <f t="shared" si="4"/>
        <v>324</v>
      </c>
      <c r="H22" s="3">
        <v>728880</v>
      </c>
      <c r="I22" s="54">
        <f t="shared" si="5"/>
        <v>3.4830000000000001</v>
      </c>
      <c r="J22" s="23">
        <f t="shared" si="2"/>
        <v>1834.383</v>
      </c>
      <c r="K22" s="24">
        <f t="shared" si="3"/>
        <v>10749.484380000002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v>409046</v>
      </c>
      <c r="C23" s="49">
        <f t="shared" si="6"/>
        <v>830</v>
      </c>
      <c r="D23" s="3">
        <v>4037800</v>
      </c>
      <c r="E23" s="49">
        <f t="shared" si="1"/>
        <v>340.2</v>
      </c>
      <c r="F23" s="3">
        <v>2735700</v>
      </c>
      <c r="G23" s="49">
        <f t="shared" si="4"/>
        <v>286.2</v>
      </c>
      <c r="H23" s="3">
        <v>729015</v>
      </c>
      <c r="I23" s="54">
        <f t="shared" si="5"/>
        <v>3.645</v>
      </c>
      <c r="J23" s="23">
        <f t="shared" si="2"/>
        <v>1460.0450000000001</v>
      </c>
      <c r="K23" s="24">
        <f t="shared" si="3"/>
        <v>8555.8637000000017</v>
      </c>
      <c r="Q23" t="s">
        <v>13</v>
      </c>
    </row>
    <row r="24" spans="1:25" ht="16.5" thickBot="1" x14ac:dyDescent="0.3">
      <c r="A24" s="10">
        <v>44307</v>
      </c>
      <c r="B24" s="3">
        <v>409096</v>
      </c>
      <c r="C24" s="49">
        <f t="shared" si="6"/>
        <v>500</v>
      </c>
      <c r="D24" s="3">
        <v>4052000</v>
      </c>
      <c r="E24" s="49">
        <f t="shared" si="1"/>
        <v>383.4</v>
      </c>
      <c r="F24" s="3">
        <v>2747200</v>
      </c>
      <c r="G24" s="49">
        <f t="shared" si="4"/>
        <v>310.5</v>
      </c>
      <c r="H24" s="3">
        <v>729154</v>
      </c>
      <c r="I24" s="54">
        <f t="shared" si="5"/>
        <v>3.7530000000000001</v>
      </c>
      <c r="J24" s="23">
        <f t="shared" si="2"/>
        <v>1197.653</v>
      </c>
      <c r="K24" s="24">
        <f t="shared" si="3"/>
        <v>7018.2465800000009</v>
      </c>
    </row>
    <row r="25" spans="1:25" ht="17.25" customHeight="1" thickBot="1" x14ac:dyDescent="0.4">
      <c r="A25" s="10">
        <v>44308</v>
      </c>
      <c r="B25" s="3">
        <v>409188</v>
      </c>
      <c r="C25" s="49">
        <f t="shared" si="6"/>
        <v>920</v>
      </c>
      <c r="D25" s="3">
        <v>4065900</v>
      </c>
      <c r="E25" s="49">
        <f t="shared" si="1"/>
        <v>375.3</v>
      </c>
      <c r="F25" s="3">
        <v>2757300</v>
      </c>
      <c r="G25" s="49">
        <f>F25-F24</f>
        <v>10100</v>
      </c>
      <c r="H25" s="3">
        <v>729292</v>
      </c>
      <c r="I25" s="54">
        <f t="shared" si="5"/>
        <v>3.726</v>
      </c>
      <c r="J25" s="23">
        <f t="shared" si="2"/>
        <v>11399.026</v>
      </c>
      <c r="K25" s="24">
        <f t="shared" si="3"/>
        <v>66798.292360000007</v>
      </c>
      <c r="Y25" s="65"/>
    </row>
    <row r="26" spans="1:25" ht="16.5" thickBot="1" x14ac:dyDescent="0.3">
      <c r="A26" s="10">
        <v>44309</v>
      </c>
      <c r="B26" s="3">
        <v>409257</v>
      </c>
      <c r="C26" s="49">
        <f t="shared" si="6"/>
        <v>690</v>
      </c>
      <c r="D26" s="3">
        <v>4080100</v>
      </c>
      <c r="E26" s="49">
        <f t="shared" si="1"/>
        <v>383.4</v>
      </c>
      <c r="F26" s="3">
        <v>2766300</v>
      </c>
      <c r="G26" s="49">
        <f t="shared" si="4"/>
        <v>243</v>
      </c>
      <c r="H26" s="3">
        <v>729419</v>
      </c>
      <c r="I26" s="54">
        <f t="shared" si="5"/>
        <v>3.4289999999999998</v>
      </c>
      <c r="J26" s="23">
        <f t="shared" si="2"/>
        <v>1319.8290000000002</v>
      </c>
      <c r="K26" s="24">
        <f t="shared" si="3"/>
        <v>7734.1979400000018</v>
      </c>
      <c r="L26" t="s">
        <v>13</v>
      </c>
    </row>
    <row r="27" spans="1:25" ht="16.5" thickBot="1" x14ac:dyDescent="0.3">
      <c r="A27" s="10">
        <v>44310</v>
      </c>
      <c r="B27" s="3">
        <v>409257</v>
      </c>
      <c r="C27" s="49">
        <f t="shared" si="6"/>
        <v>0</v>
      </c>
      <c r="D27" s="3">
        <v>4080100</v>
      </c>
      <c r="E27" s="49">
        <f t="shared" si="1"/>
        <v>0</v>
      </c>
      <c r="F27" s="3">
        <v>2766300</v>
      </c>
      <c r="G27" s="49">
        <f t="shared" si="4"/>
        <v>0</v>
      </c>
      <c r="H27" s="3">
        <f t="shared" ref="H27:H33" si="7">H26</f>
        <v>729419</v>
      </c>
      <c r="I27" s="54">
        <f t="shared" si="5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ref="B27:B33" si="8">B27</f>
        <v>409257</v>
      </c>
      <c r="C28" s="49">
        <f t="shared" si="6"/>
        <v>0</v>
      </c>
      <c r="D28" s="3">
        <f t="shared" ref="D27:D33" si="9">D27</f>
        <v>4080100</v>
      </c>
      <c r="E28" s="49">
        <f t="shared" si="1"/>
        <v>0</v>
      </c>
      <c r="F28" s="3">
        <f t="shared" ref="F27:F33" si="10">F27</f>
        <v>2766300</v>
      </c>
      <c r="G28" s="49">
        <f t="shared" si="4"/>
        <v>0</v>
      </c>
      <c r="H28" s="3">
        <f t="shared" si="7"/>
        <v>729419</v>
      </c>
      <c r="I28" s="54">
        <f t="shared" si="5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8"/>
        <v>409257</v>
      </c>
      <c r="C29" s="49">
        <f t="shared" si="6"/>
        <v>0</v>
      </c>
      <c r="D29" s="3">
        <f t="shared" si="9"/>
        <v>4080100</v>
      </c>
      <c r="E29" s="49">
        <f t="shared" si="1"/>
        <v>0</v>
      </c>
      <c r="F29" s="3">
        <f t="shared" si="10"/>
        <v>2766300</v>
      </c>
      <c r="G29" s="49">
        <f t="shared" si="4"/>
        <v>0</v>
      </c>
      <c r="H29" s="3">
        <f t="shared" si="7"/>
        <v>729419</v>
      </c>
      <c r="I29" s="54">
        <f t="shared" si="5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8"/>
        <v>409257</v>
      </c>
      <c r="C30" s="49">
        <f t="shared" si="6"/>
        <v>0</v>
      </c>
      <c r="D30" s="3">
        <f t="shared" si="9"/>
        <v>4080100</v>
      </c>
      <c r="E30" s="49">
        <f t="shared" si="1"/>
        <v>0</v>
      </c>
      <c r="F30" s="3">
        <f t="shared" si="10"/>
        <v>2766300</v>
      </c>
      <c r="G30" s="49">
        <f t="shared" si="4"/>
        <v>0</v>
      </c>
      <c r="H30" s="3">
        <f t="shared" si="7"/>
        <v>729419</v>
      </c>
      <c r="I30" s="54">
        <f t="shared" si="5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8"/>
        <v>409257</v>
      </c>
      <c r="C31" s="49">
        <f t="shared" si="6"/>
        <v>0</v>
      </c>
      <c r="D31" s="3">
        <f t="shared" si="9"/>
        <v>4080100</v>
      </c>
      <c r="E31" s="49">
        <f t="shared" si="1"/>
        <v>0</v>
      </c>
      <c r="F31" s="3">
        <f t="shared" si="10"/>
        <v>2766300</v>
      </c>
      <c r="G31" s="49">
        <f t="shared" si="4"/>
        <v>0</v>
      </c>
      <c r="H31" s="3">
        <f t="shared" si="7"/>
        <v>729419</v>
      </c>
      <c r="I31" s="54">
        <f t="shared" si="5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8"/>
        <v>409257</v>
      </c>
      <c r="C32" s="49">
        <f t="shared" si="6"/>
        <v>0</v>
      </c>
      <c r="D32" s="3">
        <f t="shared" si="9"/>
        <v>4080100</v>
      </c>
      <c r="E32" s="49">
        <f t="shared" si="1"/>
        <v>0</v>
      </c>
      <c r="F32" s="3">
        <f t="shared" si="10"/>
        <v>2766300</v>
      </c>
      <c r="G32" s="49">
        <f t="shared" si="4"/>
        <v>0</v>
      </c>
      <c r="H32" s="3">
        <f t="shared" si="7"/>
        <v>729419</v>
      </c>
      <c r="I32" s="54">
        <f t="shared" si="5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8"/>
        <v>409257</v>
      </c>
      <c r="C33" s="49">
        <f t="shared" si="6"/>
        <v>0</v>
      </c>
      <c r="D33" s="3">
        <f t="shared" si="9"/>
        <v>4080100</v>
      </c>
      <c r="E33" s="49">
        <f t="shared" si="1"/>
        <v>0</v>
      </c>
      <c r="F33" s="3">
        <f t="shared" si="10"/>
        <v>2766300</v>
      </c>
      <c r="G33" s="49">
        <f t="shared" si="4"/>
        <v>0</v>
      </c>
      <c r="H33" s="3">
        <f t="shared" si="7"/>
        <v>729419</v>
      </c>
      <c r="I33" s="54">
        <f t="shared" si="5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18140</v>
      </c>
      <c r="D34" s="3"/>
      <c r="E34" s="66">
        <f>SUM(E3:E33)</f>
        <v>8432.1</v>
      </c>
      <c r="F34" s="3"/>
      <c r="G34" s="66">
        <f>SUM(G3:G33)</f>
        <v>16277.6</v>
      </c>
      <c r="H34" s="3"/>
      <c r="I34" s="66">
        <f>SUM(I3:I33)</f>
        <v>91.664999999999992</v>
      </c>
      <c r="J34" s="66">
        <f>SUM(J3:J33)</f>
        <v>42941.364999999998</v>
      </c>
      <c r="K34" s="66">
        <f>SUM(K3:K33)</f>
        <v>251636.3989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A16" zoomScale="120" zoomScaleNormal="120" zoomScaleSheetLayoutView="110" workbookViewId="0">
      <selection activeCell="B27" sqref="B27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49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49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49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49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49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>
        <v>148</v>
      </c>
      <c r="C10" s="49">
        <v>18087</v>
      </c>
      <c r="D10" s="49">
        <f t="shared" si="3"/>
        <v>480</v>
      </c>
      <c r="E10" s="140">
        <v>25497734</v>
      </c>
      <c r="F10" s="49">
        <f t="shared" si="4"/>
        <v>8764</v>
      </c>
      <c r="G10" s="144">
        <v>80184655</v>
      </c>
      <c r="H10" s="49">
        <f t="shared" si="5"/>
        <v>46300</v>
      </c>
      <c r="I10" s="141">
        <f t="shared" si="6"/>
        <v>55064</v>
      </c>
      <c r="J10" s="140">
        <v>7791612</v>
      </c>
      <c r="K10" s="49">
        <f t="shared" si="7"/>
        <v>6002</v>
      </c>
      <c r="L10" s="142">
        <v>7816413</v>
      </c>
      <c r="M10" s="49">
        <f t="shared" si="8"/>
        <v>4933</v>
      </c>
      <c r="N10" s="140">
        <v>5019536</v>
      </c>
      <c r="O10" s="49">
        <f t="shared" si="15"/>
        <v>2946</v>
      </c>
      <c r="P10" s="142">
        <v>2962621</v>
      </c>
      <c r="Q10" s="49">
        <f t="shared" si="9"/>
        <v>9787</v>
      </c>
      <c r="R10" s="140">
        <v>17057209</v>
      </c>
      <c r="S10" s="49">
        <f t="shared" si="10"/>
        <v>9006</v>
      </c>
      <c r="T10" s="140">
        <v>0</v>
      </c>
      <c r="U10" s="143"/>
      <c r="V10" s="140">
        <v>4658423</v>
      </c>
      <c r="W10" s="49">
        <f t="shared" si="11"/>
        <v>10263</v>
      </c>
      <c r="X10" s="28">
        <f t="shared" si="12"/>
        <v>42937</v>
      </c>
      <c r="Y10" s="35">
        <f t="shared" si="13"/>
        <v>12127</v>
      </c>
      <c r="Z10" s="27">
        <f t="shared" si="14"/>
        <v>6520.2101327999999</v>
      </c>
      <c r="AA10" s="27">
        <f t="shared" si="16"/>
        <v>26191.802811199999</v>
      </c>
    </row>
    <row r="11" spans="1:27" ht="16.5" thickBot="1" x14ac:dyDescent="0.25">
      <c r="A11" s="10">
        <v>44294</v>
      </c>
      <c r="B11" s="49">
        <v>144</v>
      </c>
      <c r="C11" s="49">
        <v>18091</v>
      </c>
      <c r="D11" s="49">
        <f t="shared" si="3"/>
        <v>640</v>
      </c>
      <c r="E11" s="140">
        <v>25504955</v>
      </c>
      <c r="F11" s="49">
        <f t="shared" si="4"/>
        <v>7221</v>
      </c>
      <c r="G11" s="144">
        <v>80229014</v>
      </c>
      <c r="H11" s="49">
        <f t="shared" si="5"/>
        <v>44359</v>
      </c>
      <c r="I11" s="141">
        <f t="shared" si="6"/>
        <v>51580</v>
      </c>
      <c r="J11" s="140">
        <v>7797040</v>
      </c>
      <c r="K11" s="49">
        <f t="shared" si="7"/>
        <v>5428</v>
      </c>
      <c r="L11" s="142">
        <v>7820866</v>
      </c>
      <c r="M11" s="49">
        <f t="shared" si="8"/>
        <v>4453</v>
      </c>
      <c r="N11" s="140">
        <v>5020850</v>
      </c>
      <c r="O11" s="49">
        <f t="shared" si="15"/>
        <v>2628</v>
      </c>
      <c r="P11" s="142">
        <v>2971757</v>
      </c>
      <c r="Q11" s="49">
        <f t="shared" si="9"/>
        <v>9136</v>
      </c>
      <c r="R11" s="140">
        <v>17065866</v>
      </c>
      <c r="S11" s="49">
        <f t="shared" si="10"/>
        <v>8657</v>
      </c>
      <c r="T11" s="140">
        <v>0</v>
      </c>
      <c r="U11" s="143"/>
      <c r="V11" s="140">
        <v>4668576</v>
      </c>
      <c r="W11" s="49">
        <f t="shared" si="11"/>
        <v>10153</v>
      </c>
      <c r="X11" s="28">
        <f t="shared" si="12"/>
        <v>40455</v>
      </c>
      <c r="Y11" s="35">
        <f t="shared" si="13"/>
        <v>11125</v>
      </c>
      <c r="Z11" s="27">
        <f t="shared" si="14"/>
        <v>6268.5236640000003</v>
      </c>
      <c r="AA11" s="27">
        <f t="shared" si="16"/>
        <v>25047.419009599998</v>
      </c>
    </row>
    <row r="12" spans="1:27" ht="16.5" thickBot="1" x14ac:dyDescent="0.25">
      <c r="A12" s="10">
        <v>44295</v>
      </c>
      <c r="B12" s="49">
        <v>141</v>
      </c>
      <c r="C12" s="49">
        <v>18093</v>
      </c>
      <c r="D12" s="49">
        <f t="shared" si="3"/>
        <v>320</v>
      </c>
      <c r="E12" s="140">
        <v>25515170</v>
      </c>
      <c r="F12" s="49">
        <f t="shared" si="4"/>
        <v>10215</v>
      </c>
      <c r="G12" s="144">
        <v>80289649</v>
      </c>
      <c r="H12" s="49">
        <f t="shared" si="5"/>
        <v>60635</v>
      </c>
      <c r="I12" s="141">
        <f t="shared" si="6"/>
        <v>70850</v>
      </c>
      <c r="J12" s="140">
        <v>7803881</v>
      </c>
      <c r="K12" s="49">
        <f t="shared" si="7"/>
        <v>6841</v>
      </c>
      <c r="L12" s="142">
        <v>7827669</v>
      </c>
      <c r="M12" s="49">
        <f t="shared" si="8"/>
        <v>6803</v>
      </c>
      <c r="N12" s="140">
        <v>5022458</v>
      </c>
      <c r="O12" s="49">
        <f t="shared" si="15"/>
        <v>3216</v>
      </c>
      <c r="P12" s="142">
        <v>2983650</v>
      </c>
      <c r="Q12" s="49">
        <f t="shared" si="9"/>
        <v>11893</v>
      </c>
      <c r="R12" s="140">
        <v>17078223</v>
      </c>
      <c r="S12" s="49">
        <f t="shared" si="10"/>
        <v>12357</v>
      </c>
      <c r="T12" s="140">
        <v>0</v>
      </c>
      <c r="U12" s="143"/>
      <c r="V12" s="140">
        <v>4682681</v>
      </c>
      <c r="W12" s="49">
        <f t="shared" si="11"/>
        <v>14105</v>
      </c>
      <c r="X12" s="28">
        <f t="shared" si="12"/>
        <v>55215</v>
      </c>
      <c r="Y12" s="35">
        <f t="shared" si="13"/>
        <v>15635</v>
      </c>
      <c r="Z12" s="27">
        <f t="shared" si="14"/>
        <v>8610.0293344000002</v>
      </c>
      <c r="AA12" s="27">
        <f t="shared" si="16"/>
        <v>28632.895428800002</v>
      </c>
    </row>
    <row r="13" spans="1:27" ht="16.5" thickBot="1" x14ac:dyDescent="0.25">
      <c r="A13" s="10">
        <v>44296</v>
      </c>
      <c r="B13" s="49">
        <v>138</v>
      </c>
      <c r="C13" s="49">
        <v>18095</v>
      </c>
      <c r="D13" s="49">
        <f t="shared" si="3"/>
        <v>320</v>
      </c>
      <c r="E13" s="140">
        <v>25520211</v>
      </c>
      <c r="F13" s="49">
        <f t="shared" si="4"/>
        <v>5041</v>
      </c>
      <c r="G13" s="144">
        <v>80372315</v>
      </c>
      <c r="H13" s="49">
        <f t="shared" si="5"/>
        <v>82666</v>
      </c>
      <c r="I13" s="141">
        <f t="shared" si="6"/>
        <v>87707</v>
      </c>
      <c r="J13" s="140">
        <v>7808382</v>
      </c>
      <c r="K13" s="49">
        <f t="shared" si="7"/>
        <v>4501</v>
      </c>
      <c r="L13" s="142">
        <v>7831121</v>
      </c>
      <c r="M13" s="49">
        <f t="shared" si="8"/>
        <v>3452</v>
      </c>
      <c r="N13" s="140">
        <v>5023197</v>
      </c>
      <c r="O13" s="49">
        <f t="shared" si="15"/>
        <v>1478</v>
      </c>
      <c r="P13" s="142">
        <v>2990561</v>
      </c>
      <c r="Q13" s="49">
        <f t="shared" si="9"/>
        <v>6911</v>
      </c>
      <c r="R13" s="140">
        <v>17086023</v>
      </c>
      <c r="S13" s="49">
        <f>IF((R13-R12)&lt;0,"0",(R13-R12))</f>
        <v>7800</v>
      </c>
      <c r="T13" s="140">
        <v>0</v>
      </c>
      <c r="U13" s="143"/>
      <c r="V13" s="140">
        <v>4691443</v>
      </c>
      <c r="W13" s="49">
        <f t="shared" si="11"/>
        <v>8762</v>
      </c>
      <c r="X13" s="28">
        <f t="shared" si="12"/>
        <v>32904</v>
      </c>
      <c r="Y13" s="35">
        <f t="shared" si="13"/>
        <v>54803</v>
      </c>
      <c r="Z13" s="27">
        <f t="shared" si="14"/>
        <v>5234.3078943999999</v>
      </c>
      <c r="AA13" s="27">
        <f t="shared" si="16"/>
        <v>26633.071025600002</v>
      </c>
    </row>
    <row r="14" spans="1:27" ht="16.5" thickBot="1" x14ac:dyDescent="0.25">
      <c r="A14" s="10">
        <v>44297</v>
      </c>
      <c r="B14" s="49">
        <v>123</v>
      </c>
      <c r="C14" s="49">
        <v>18098</v>
      </c>
      <c r="D14" s="49">
        <f t="shared" si="3"/>
        <v>480</v>
      </c>
      <c r="E14" s="140">
        <v>25527176</v>
      </c>
      <c r="F14" s="49">
        <f>IF((E14-E13)&lt;0,"0",(E14-E13))</f>
        <v>6965</v>
      </c>
      <c r="G14" s="144">
        <v>80378320</v>
      </c>
      <c r="H14" s="49">
        <f t="shared" si="5"/>
        <v>6005</v>
      </c>
      <c r="I14" s="141">
        <f t="shared" si="6"/>
        <v>12970</v>
      </c>
      <c r="J14" s="140">
        <v>7814726</v>
      </c>
      <c r="K14" s="49">
        <f t="shared" si="7"/>
        <v>6344</v>
      </c>
      <c r="L14" s="142">
        <v>7835948</v>
      </c>
      <c r="M14" s="49">
        <f t="shared" si="8"/>
        <v>4827</v>
      </c>
      <c r="N14" s="140">
        <v>5024179</v>
      </c>
      <c r="O14" s="49">
        <f t="shared" si="15"/>
        <v>1964</v>
      </c>
      <c r="P14" s="142">
        <v>2999816</v>
      </c>
      <c r="Q14" s="49">
        <f t="shared" si="9"/>
        <v>9255</v>
      </c>
      <c r="R14" s="140">
        <v>17096935</v>
      </c>
      <c r="S14" s="49">
        <f>IF((R14-R13)&lt;0,"0",(R14-R13))</f>
        <v>10912</v>
      </c>
      <c r="T14" s="140">
        <v>0</v>
      </c>
      <c r="U14" s="143"/>
      <c r="V14" s="140">
        <v>4703170</v>
      </c>
      <c r="W14" s="49">
        <f t="shared" si="11"/>
        <v>11727</v>
      </c>
      <c r="X14" s="28">
        <f t="shared" si="12"/>
        <v>45029</v>
      </c>
      <c r="Y14" s="35">
        <f t="shared" si="13"/>
        <v>-32059</v>
      </c>
      <c r="Z14" s="27">
        <f t="shared" si="14"/>
        <v>7118.9816048000002</v>
      </c>
      <c r="AA14" s="27">
        <f t="shared" si="16"/>
        <v>27231.842497599999</v>
      </c>
    </row>
    <row r="15" spans="1:27" ht="16.5" thickBot="1" x14ac:dyDescent="0.25">
      <c r="A15" s="10">
        <v>44298</v>
      </c>
      <c r="B15" s="49"/>
      <c r="C15" s="49">
        <v>18101</v>
      </c>
      <c r="D15" s="49">
        <f t="shared" si="3"/>
        <v>480</v>
      </c>
      <c r="E15" s="140">
        <v>25532982</v>
      </c>
      <c r="F15" s="49">
        <f>IF((E15-E14)&lt;0,"0",(E15-E14))</f>
        <v>5806</v>
      </c>
      <c r="G15" s="144">
        <v>80421856</v>
      </c>
      <c r="H15" s="49">
        <f t="shared" si="5"/>
        <v>43536</v>
      </c>
      <c r="I15" s="141">
        <f t="shared" si="6"/>
        <v>49342</v>
      </c>
      <c r="J15" s="140">
        <v>7820066</v>
      </c>
      <c r="K15" s="49">
        <f t="shared" si="7"/>
        <v>5340</v>
      </c>
      <c r="L15" s="142">
        <v>7840124</v>
      </c>
      <c r="M15" s="49">
        <f t="shared" si="8"/>
        <v>4176</v>
      </c>
      <c r="N15" s="140">
        <v>5024933</v>
      </c>
      <c r="O15" s="49">
        <f t="shared" si="15"/>
        <v>1508</v>
      </c>
      <c r="P15" s="142">
        <v>3007987</v>
      </c>
      <c r="Q15" s="49">
        <f t="shared" si="9"/>
        <v>8171</v>
      </c>
      <c r="R15" s="140">
        <v>17105563</v>
      </c>
      <c r="S15" s="49">
        <f>IF((R15-R14)&lt;0,"0",(R15-R14))</f>
        <v>8628</v>
      </c>
      <c r="T15" s="140">
        <v>0</v>
      </c>
      <c r="U15" s="143"/>
      <c r="V15" s="140">
        <v>4713361</v>
      </c>
      <c r="W15" s="49">
        <f t="shared" si="11"/>
        <v>10191</v>
      </c>
      <c r="X15" s="28">
        <f t="shared" si="12"/>
        <v>38014</v>
      </c>
      <c r="Y15" s="35">
        <f t="shared" si="13"/>
        <v>11328</v>
      </c>
      <c r="Z15" s="27">
        <f t="shared" si="14"/>
        <v>5968.8668207999999</v>
      </c>
      <c r="AA15" s="27">
        <f t="shared" si="16"/>
        <v>26932.185654399997</v>
      </c>
    </row>
    <row r="16" spans="1:27" ht="16.5" thickBot="1" x14ac:dyDescent="0.25">
      <c r="A16" s="10">
        <v>44299</v>
      </c>
      <c r="B16" s="49"/>
      <c r="C16" s="49">
        <v>18103</v>
      </c>
      <c r="D16" s="49">
        <f t="shared" si="3"/>
        <v>320</v>
      </c>
      <c r="E16" s="140">
        <v>25537459</v>
      </c>
      <c r="F16" s="49">
        <f>IF((E16-E15)&lt;0,"0",(E16-E15))</f>
        <v>4477</v>
      </c>
      <c r="G16" s="144">
        <v>80454776</v>
      </c>
      <c r="H16" s="49">
        <f t="shared" si="5"/>
        <v>32920</v>
      </c>
      <c r="I16" s="141">
        <f t="shared" si="6"/>
        <v>37397</v>
      </c>
      <c r="J16" s="140">
        <v>7823827</v>
      </c>
      <c r="K16" s="49">
        <f t="shared" si="7"/>
        <v>3761</v>
      </c>
      <c r="L16" s="142">
        <v>7843029</v>
      </c>
      <c r="M16" s="49">
        <f t="shared" si="8"/>
        <v>2905</v>
      </c>
      <c r="N16" s="140">
        <v>5025659</v>
      </c>
      <c r="O16" s="49">
        <f t="shared" si="15"/>
        <v>1452</v>
      </c>
      <c r="P16" s="142">
        <v>3014394</v>
      </c>
      <c r="Q16" s="49">
        <f t="shared" si="9"/>
        <v>6407</v>
      </c>
      <c r="R16" s="140">
        <v>17112457</v>
      </c>
      <c r="S16" s="49">
        <f t="shared" si="10"/>
        <v>6894</v>
      </c>
      <c r="T16" s="140">
        <v>0</v>
      </c>
      <c r="U16" s="143"/>
      <c r="V16" s="140">
        <v>4720895</v>
      </c>
      <c r="W16" s="49">
        <f t="shared" si="11"/>
        <v>7534</v>
      </c>
      <c r="X16" s="28">
        <f t="shared" si="12"/>
        <v>28953</v>
      </c>
      <c r="Y16" s="35">
        <f t="shared" si="13"/>
        <v>8444</v>
      </c>
      <c r="Z16" s="27">
        <f t="shared" si="14"/>
        <v>4639.6266175999999</v>
      </c>
      <c r="AA16" s="27">
        <f t="shared" si="16"/>
        <v>22961.782937600001</v>
      </c>
    </row>
    <row r="17" spans="1:27" s="154" customFormat="1" ht="16.5" thickBot="1" x14ac:dyDescent="0.25">
      <c r="A17" s="10">
        <v>44300</v>
      </c>
      <c r="B17" s="149">
        <v>122</v>
      </c>
      <c r="C17" s="49">
        <v>18105</v>
      </c>
      <c r="D17" s="49">
        <f t="shared" si="3"/>
        <v>320</v>
      </c>
      <c r="E17" s="140">
        <v>25545019</v>
      </c>
      <c r="F17" s="149">
        <f t="shared" si="4"/>
        <v>7560</v>
      </c>
      <c r="G17" s="144">
        <v>80500195</v>
      </c>
      <c r="H17" s="49">
        <f t="shared" si="5"/>
        <v>45419</v>
      </c>
      <c r="I17" s="151">
        <f t="shared" si="6"/>
        <v>52979</v>
      </c>
      <c r="J17" s="140">
        <v>7828742</v>
      </c>
      <c r="K17" s="149">
        <f t="shared" si="7"/>
        <v>4915</v>
      </c>
      <c r="L17" s="142">
        <v>7848235</v>
      </c>
      <c r="M17" s="149">
        <f t="shared" si="8"/>
        <v>5206</v>
      </c>
      <c r="N17" s="140">
        <v>5026756</v>
      </c>
      <c r="O17" s="149">
        <f t="shared" si="15"/>
        <v>2194</v>
      </c>
      <c r="P17" s="142">
        <v>3023228</v>
      </c>
      <c r="Q17" s="149">
        <f t="shared" si="9"/>
        <v>8834</v>
      </c>
      <c r="R17" s="140">
        <v>17121748</v>
      </c>
      <c r="S17" s="149">
        <f t="shared" si="10"/>
        <v>9291</v>
      </c>
      <c r="T17" s="150">
        <v>0</v>
      </c>
      <c r="U17" s="143"/>
      <c r="V17" s="140">
        <v>4731510</v>
      </c>
      <c r="W17" s="149">
        <f t="shared" si="11"/>
        <v>10615</v>
      </c>
      <c r="X17" s="28">
        <f t="shared" si="12"/>
        <v>41055</v>
      </c>
      <c r="Y17" s="152">
        <f t="shared" si="13"/>
        <v>11924</v>
      </c>
      <c r="Z17" s="153">
        <f t="shared" si="14"/>
        <v>6427.9902752000007</v>
      </c>
      <c r="AA17" s="153">
        <f t="shared" si="16"/>
        <v>24155.465318400002</v>
      </c>
    </row>
    <row r="18" spans="1:27" s="154" customFormat="1" ht="16.5" thickBot="1" x14ac:dyDescent="0.25">
      <c r="A18" s="10">
        <v>44301</v>
      </c>
      <c r="B18" s="149">
        <v>120</v>
      </c>
      <c r="C18" s="49">
        <v>18108</v>
      </c>
      <c r="D18" s="49">
        <f t="shared" si="3"/>
        <v>480</v>
      </c>
      <c r="E18" s="140">
        <v>25551857</v>
      </c>
      <c r="F18" s="149">
        <f t="shared" si="4"/>
        <v>6838</v>
      </c>
      <c r="G18" s="144">
        <v>80544425</v>
      </c>
      <c r="H18" s="49">
        <f t="shared" si="5"/>
        <v>44230</v>
      </c>
      <c r="I18" s="151">
        <f t="shared" si="6"/>
        <v>51068</v>
      </c>
      <c r="J18" s="140">
        <v>7833390</v>
      </c>
      <c r="K18" s="149">
        <f t="shared" si="7"/>
        <v>4648</v>
      </c>
      <c r="L18" s="142">
        <v>7852428</v>
      </c>
      <c r="M18" s="149">
        <f t="shared" si="8"/>
        <v>4193</v>
      </c>
      <c r="N18" s="140">
        <v>5028004</v>
      </c>
      <c r="O18" s="149">
        <f t="shared" si="15"/>
        <v>2496</v>
      </c>
      <c r="P18" s="142">
        <v>3032323</v>
      </c>
      <c r="Q18" s="149">
        <f t="shared" si="9"/>
        <v>9095</v>
      </c>
      <c r="R18" s="140">
        <v>17130677</v>
      </c>
      <c r="S18" s="149">
        <f t="shared" si="10"/>
        <v>8929</v>
      </c>
      <c r="T18" s="150">
        <v>0</v>
      </c>
      <c r="U18" s="143"/>
      <c r="V18" s="140">
        <v>4741756</v>
      </c>
      <c r="W18" s="149">
        <f t="shared" si="11"/>
        <v>10246</v>
      </c>
      <c r="X18" s="28">
        <f t="shared" si="12"/>
        <v>39607</v>
      </c>
      <c r="Y18" s="152">
        <f t="shared" si="13"/>
        <v>11461</v>
      </c>
      <c r="Z18" s="153">
        <f t="shared" si="14"/>
        <v>6332.0698480000001</v>
      </c>
      <c r="AA18" s="153">
        <f t="shared" si="16"/>
        <v>23368.553561600002</v>
      </c>
    </row>
    <row r="19" spans="1:27" s="154" customFormat="1" ht="16.5" thickBot="1" x14ac:dyDescent="0.25">
      <c r="A19" s="10">
        <v>44302</v>
      </c>
      <c r="B19" s="149">
        <v>119</v>
      </c>
      <c r="C19" s="49">
        <v>18111</v>
      </c>
      <c r="D19" s="49">
        <f>IF((C19-C18)&lt;0,"0",(C19-C18))*160</f>
        <v>480</v>
      </c>
      <c r="E19" s="140">
        <v>25559606</v>
      </c>
      <c r="F19" s="149">
        <f t="shared" si="4"/>
        <v>7749</v>
      </c>
      <c r="G19" s="144">
        <v>80588561</v>
      </c>
      <c r="H19" s="49">
        <f t="shared" si="5"/>
        <v>44136</v>
      </c>
      <c r="I19" s="151">
        <f t="shared" si="6"/>
        <v>51885</v>
      </c>
      <c r="J19" s="140">
        <v>7837588</v>
      </c>
      <c r="K19" s="149">
        <f t="shared" si="7"/>
        <v>4198</v>
      </c>
      <c r="L19" s="142">
        <v>7857715</v>
      </c>
      <c r="M19" s="149">
        <f t="shared" si="8"/>
        <v>5287</v>
      </c>
      <c r="N19" s="140">
        <v>5029145</v>
      </c>
      <c r="O19" s="149">
        <f t="shared" si="15"/>
        <v>2282</v>
      </c>
      <c r="P19" s="142">
        <v>3042140</v>
      </c>
      <c r="Q19" s="149">
        <f t="shared" si="9"/>
        <v>9817</v>
      </c>
      <c r="R19" s="140">
        <v>17139423</v>
      </c>
      <c r="S19" s="149">
        <f t="shared" si="10"/>
        <v>8746</v>
      </c>
      <c r="T19" s="150">
        <v>0</v>
      </c>
      <c r="U19" s="143"/>
      <c r="V19" s="140">
        <v>4751867</v>
      </c>
      <c r="W19" s="149">
        <f t="shared" si="11"/>
        <v>10111</v>
      </c>
      <c r="X19" s="28">
        <f t="shared" si="12"/>
        <v>40441</v>
      </c>
      <c r="Y19" s="152">
        <f t="shared" si="13"/>
        <v>11444</v>
      </c>
      <c r="Z19" s="153">
        <f t="shared" si="14"/>
        <v>6328.4285584000008</v>
      </c>
      <c r="AA19" s="153">
        <f t="shared" si="16"/>
        <v>23728.115299199999</v>
      </c>
    </row>
    <row r="20" spans="1:27" s="154" customFormat="1" ht="16.5" thickBot="1" x14ac:dyDescent="0.25">
      <c r="A20" s="10">
        <v>44303</v>
      </c>
      <c r="B20" s="149">
        <v>118</v>
      </c>
      <c r="C20" s="49">
        <v>18114</v>
      </c>
      <c r="D20" s="49">
        <f>IF((C20-C19)&lt;0,"0",(C20-C19))*160</f>
        <v>480</v>
      </c>
      <c r="E20" s="140">
        <v>25566663</v>
      </c>
      <c r="F20" s="149">
        <f t="shared" si="4"/>
        <v>7057</v>
      </c>
      <c r="G20" s="144">
        <v>80625706</v>
      </c>
      <c r="H20" s="49">
        <f t="shared" si="5"/>
        <v>37145</v>
      </c>
      <c r="I20" s="151">
        <f t="shared" si="6"/>
        <v>44202</v>
      </c>
      <c r="J20" s="140">
        <v>7841989</v>
      </c>
      <c r="K20" s="149">
        <f t="shared" si="7"/>
        <v>4401</v>
      </c>
      <c r="L20" s="142">
        <v>7862580</v>
      </c>
      <c r="M20" s="149">
        <f t="shared" si="8"/>
        <v>4865</v>
      </c>
      <c r="N20" s="140">
        <v>5030180</v>
      </c>
      <c r="O20" s="149">
        <f t="shared" si="15"/>
        <v>2070</v>
      </c>
      <c r="P20" s="142">
        <v>3051051</v>
      </c>
      <c r="Q20" s="149">
        <f t="shared" si="9"/>
        <v>8911</v>
      </c>
      <c r="R20" s="140">
        <v>17146140</v>
      </c>
      <c r="S20" s="149">
        <f t="shared" si="10"/>
        <v>6717</v>
      </c>
      <c r="T20" s="150">
        <v>0</v>
      </c>
      <c r="U20" s="143"/>
      <c r="V20" s="140">
        <v>4760035</v>
      </c>
      <c r="W20" s="149">
        <f t="shared" si="11"/>
        <v>8168</v>
      </c>
      <c r="X20" s="28">
        <f t="shared" si="12"/>
        <v>35132</v>
      </c>
      <c r="Y20" s="152">
        <f t="shared" si="13"/>
        <v>9070</v>
      </c>
      <c r="Z20" s="153">
        <f t="shared" si="14"/>
        <v>5202.5131599999995</v>
      </c>
      <c r="AA20" s="153">
        <f t="shared" si="16"/>
        <v>24291.001841599998</v>
      </c>
    </row>
    <row r="21" spans="1:27" s="154" customFormat="1" ht="16.5" thickBot="1" x14ac:dyDescent="0.25">
      <c r="A21" s="10">
        <v>44304</v>
      </c>
      <c r="B21" s="149"/>
      <c r="C21" s="49">
        <v>18117</v>
      </c>
      <c r="D21" s="49">
        <f>IF((C21-C20)&lt;0,"0",(C21-C20))*160</f>
        <v>480</v>
      </c>
      <c r="E21" s="140">
        <v>25577890</v>
      </c>
      <c r="F21" s="149">
        <f t="shared" si="4"/>
        <v>11227</v>
      </c>
      <c r="G21" s="144">
        <v>80680989</v>
      </c>
      <c r="H21" s="49">
        <f t="shared" si="5"/>
        <v>55283</v>
      </c>
      <c r="I21" s="151">
        <f t="shared" si="6"/>
        <v>66510</v>
      </c>
      <c r="J21" s="140">
        <v>7848880</v>
      </c>
      <c r="K21" s="149">
        <f t="shared" si="7"/>
        <v>6891</v>
      </c>
      <c r="L21" s="142">
        <v>7869830</v>
      </c>
      <c r="M21" s="149">
        <f t="shared" si="8"/>
        <v>7250</v>
      </c>
      <c r="N21" s="140">
        <v>5032082</v>
      </c>
      <c r="O21" s="149">
        <f t="shared" si="15"/>
        <v>3804</v>
      </c>
      <c r="P21" s="142">
        <v>3064494</v>
      </c>
      <c r="Q21" s="149">
        <f t="shared" si="9"/>
        <v>13443</v>
      </c>
      <c r="R21" s="140">
        <v>17155767</v>
      </c>
      <c r="S21" s="149">
        <f t="shared" si="10"/>
        <v>9627</v>
      </c>
      <c r="T21" s="150">
        <v>0</v>
      </c>
      <c r="U21" s="143"/>
      <c r="V21" s="140">
        <v>4772052</v>
      </c>
      <c r="W21" s="149">
        <f t="shared" si="11"/>
        <v>12017</v>
      </c>
      <c r="X21" s="28">
        <f t="shared" si="12"/>
        <v>53032</v>
      </c>
      <c r="Y21" s="152">
        <f t="shared" si="13"/>
        <v>13478</v>
      </c>
      <c r="Z21" s="153">
        <f t="shared" si="14"/>
        <v>7750.1414848000004</v>
      </c>
      <c r="AA21" s="153">
        <f t="shared" si="16"/>
        <v>25613.153051200003</v>
      </c>
    </row>
    <row r="22" spans="1:27" ht="16.5" thickBot="1" x14ac:dyDescent="0.25">
      <c r="A22" s="10">
        <v>44305</v>
      </c>
      <c r="B22" s="49"/>
      <c r="C22" s="49">
        <v>18121</v>
      </c>
      <c r="D22" s="49">
        <f t="shared" si="3"/>
        <v>640</v>
      </c>
      <c r="E22" s="140">
        <v>25589968</v>
      </c>
      <c r="F22" s="49">
        <f t="shared" si="4"/>
        <v>12078</v>
      </c>
      <c r="G22" s="144">
        <v>80731992</v>
      </c>
      <c r="H22" s="49">
        <f t="shared" si="5"/>
        <v>51003</v>
      </c>
      <c r="I22" s="141">
        <f t="shared" si="6"/>
        <v>63081</v>
      </c>
      <c r="J22" s="140">
        <v>7854916</v>
      </c>
      <c r="K22" s="49">
        <f t="shared" si="7"/>
        <v>6036</v>
      </c>
      <c r="L22" s="142">
        <v>7876547</v>
      </c>
      <c r="M22" s="49">
        <f t="shared" si="8"/>
        <v>6717</v>
      </c>
      <c r="N22" s="140">
        <v>5034672</v>
      </c>
      <c r="O22" s="49">
        <f t="shared" si="15"/>
        <v>5180</v>
      </c>
      <c r="P22" s="142">
        <v>3077360</v>
      </c>
      <c r="Q22" s="49">
        <f t="shared" si="9"/>
        <v>12866</v>
      </c>
      <c r="R22" s="140">
        <v>17164920</v>
      </c>
      <c r="S22" s="49">
        <f t="shared" si="10"/>
        <v>9153</v>
      </c>
      <c r="T22" s="140">
        <v>0</v>
      </c>
      <c r="U22" s="143"/>
      <c r="V22" s="140">
        <v>4782938</v>
      </c>
      <c r="W22" s="49">
        <f t="shared" si="11"/>
        <v>10886</v>
      </c>
      <c r="X22" s="28">
        <f t="shared" si="12"/>
        <v>50838</v>
      </c>
      <c r="Y22" s="35">
        <f t="shared" si="13"/>
        <v>12243</v>
      </c>
      <c r="Z22" s="27">
        <f t="shared" si="14"/>
        <v>7476.2532207999993</v>
      </c>
      <c r="AA22" s="27">
        <f t="shared" si="16"/>
        <v>26757.336424000001</v>
      </c>
    </row>
    <row r="23" spans="1:27" ht="16.5" thickBot="1" x14ac:dyDescent="0.25">
      <c r="A23" s="10">
        <v>44306</v>
      </c>
      <c r="B23" s="49">
        <v>100</v>
      </c>
      <c r="C23" s="49">
        <v>18125</v>
      </c>
      <c r="D23" s="49">
        <f t="shared" si="3"/>
        <v>640</v>
      </c>
      <c r="E23" s="140">
        <v>25607868</v>
      </c>
      <c r="F23" s="49">
        <f t="shared" si="4"/>
        <v>17900</v>
      </c>
      <c r="G23" s="144">
        <v>80781508</v>
      </c>
      <c r="H23" s="49">
        <f t="shared" si="5"/>
        <v>49516</v>
      </c>
      <c r="I23" s="141">
        <f t="shared" si="6"/>
        <v>67416</v>
      </c>
      <c r="J23" s="140">
        <v>7860756</v>
      </c>
      <c r="K23" s="49">
        <f t="shared" si="7"/>
        <v>5840</v>
      </c>
      <c r="L23" s="142">
        <v>7882808</v>
      </c>
      <c r="M23" s="49">
        <f t="shared" si="8"/>
        <v>6261</v>
      </c>
      <c r="N23" s="140">
        <v>5040402</v>
      </c>
      <c r="O23" s="49">
        <f t="shared" si="15"/>
        <v>11460</v>
      </c>
      <c r="P23" s="142">
        <v>3088372</v>
      </c>
      <c r="Q23" s="49">
        <f t="shared" si="9"/>
        <v>11012</v>
      </c>
      <c r="R23" s="140">
        <v>17174110</v>
      </c>
      <c r="S23" s="49">
        <f t="shared" si="10"/>
        <v>9190</v>
      </c>
      <c r="T23" s="140">
        <v>0</v>
      </c>
      <c r="U23" s="143"/>
      <c r="V23" s="140">
        <v>4794101</v>
      </c>
      <c r="W23" s="49">
        <f t="shared" si="11"/>
        <v>11163</v>
      </c>
      <c r="X23" s="28">
        <f t="shared" si="12"/>
        <v>54926</v>
      </c>
      <c r="Y23" s="35">
        <f t="shared" si="13"/>
        <v>12490</v>
      </c>
      <c r="Z23" s="27">
        <f t="shared" si="14"/>
        <v>8193.2089616000012</v>
      </c>
      <c r="AA23" s="27">
        <f t="shared" si="16"/>
        <v>28622.1168272</v>
      </c>
    </row>
    <row r="24" spans="1:27" ht="16.5" thickBot="1" x14ac:dyDescent="0.25">
      <c r="A24" s="10">
        <v>44307</v>
      </c>
      <c r="B24" s="49">
        <v>90</v>
      </c>
      <c r="C24" s="49">
        <v>18128</v>
      </c>
      <c r="D24" s="49">
        <f t="shared" si="3"/>
        <v>480</v>
      </c>
      <c r="E24" s="140">
        <v>25621365</v>
      </c>
      <c r="F24" s="49">
        <f t="shared" si="4"/>
        <v>13497</v>
      </c>
      <c r="G24" s="144">
        <v>80818771</v>
      </c>
      <c r="H24" s="49">
        <f t="shared" si="5"/>
        <v>37263</v>
      </c>
      <c r="I24" s="141">
        <f t="shared" si="6"/>
        <v>50760</v>
      </c>
      <c r="J24" s="140">
        <v>7865588</v>
      </c>
      <c r="K24" s="49">
        <f t="shared" si="7"/>
        <v>4832</v>
      </c>
      <c r="L24" s="142">
        <v>7887654</v>
      </c>
      <c r="M24" s="49">
        <f t="shared" si="8"/>
        <v>4846</v>
      </c>
      <c r="N24" s="140">
        <v>5044651</v>
      </c>
      <c r="O24" s="49">
        <f t="shared" si="15"/>
        <v>8498</v>
      </c>
      <c r="P24" s="142">
        <v>3096159</v>
      </c>
      <c r="Q24" s="49">
        <f t="shared" si="9"/>
        <v>7787</v>
      </c>
      <c r="R24" s="140">
        <v>17181044</v>
      </c>
      <c r="S24" s="49">
        <f t="shared" si="10"/>
        <v>6934</v>
      </c>
      <c r="T24" s="140">
        <v>0</v>
      </c>
      <c r="U24" s="143"/>
      <c r="V24" s="140">
        <v>4802539</v>
      </c>
      <c r="W24" s="49">
        <f t="shared" si="11"/>
        <v>8438</v>
      </c>
      <c r="X24" s="28">
        <f t="shared" si="12"/>
        <v>41335</v>
      </c>
      <c r="Y24" s="35">
        <f t="shared" si="13"/>
        <v>9425</v>
      </c>
      <c r="Z24" s="27">
        <f t="shared" si="14"/>
        <v>6088.5649344000003</v>
      </c>
      <c r="AA24" s="27">
        <f t="shared" si="16"/>
        <v>29508.168601600002</v>
      </c>
    </row>
    <row r="25" spans="1:27" ht="16.5" thickBot="1" x14ac:dyDescent="0.25">
      <c r="A25" s="10">
        <v>44308</v>
      </c>
      <c r="B25" s="49"/>
      <c r="C25" s="49">
        <v>18130</v>
      </c>
      <c r="D25" s="49">
        <f t="shared" si="3"/>
        <v>320</v>
      </c>
      <c r="E25" s="140">
        <v>25640677</v>
      </c>
      <c r="F25" s="49">
        <f t="shared" si="4"/>
        <v>19312</v>
      </c>
      <c r="G25" s="144">
        <v>80874072</v>
      </c>
      <c r="H25" s="49">
        <f t="shared" si="5"/>
        <v>55301</v>
      </c>
      <c r="I25" s="141">
        <f t="shared" si="6"/>
        <v>74613</v>
      </c>
      <c r="J25" s="140">
        <v>7872752</v>
      </c>
      <c r="K25" s="49">
        <f t="shared" si="7"/>
        <v>7164</v>
      </c>
      <c r="L25" s="142">
        <v>7894649</v>
      </c>
      <c r="M25" s="49">
        <f t="shared" si="8"/>
        <v>6995</v>
      </c>
      <c r="N25" s="140">
        <v>5050707</v>
      </c>
      <c r="O25" s="49">
        <f t="shared" si="15"/>
        <v>12112</v>
      </c>
      <c r="P25" s="142">
        <v>3107149</v>
      </c>
      <c r="Q25" s="49">
        <f t="shared" si="9"/>
        <v>10990</v>
      </c>
      <c r="R25" s="140">
        <v>17191552</v>
      </c>
      <c r="S25" s="49">
        <f t="shared" si="10"/>
        <v>10508</v>
      </c>
      <c r="T25" s="140">
        <v>0</v>
      </c>
      <c r="U25" s="143"/>
      <c r="V25" s="140">
        <v>4815192</v>
      </c>
      <c r="W25" s="49">
        <f t="shared" si="11"/>
        <v>12653</v>
      </c>
      <c r="X25" s="28">
        <f t="shared" si="12"/>
        <v>60422</v>
      </c>
      <c r="Y25" s="35">
        <f t="shared" si="13"/>
        <v>14191</v>
      </c>
      <c r="Z25" s="27">
        <f t="shared" si="14"/>
        <v>8965.9570832000009</v>
      </c>
      <c r="AA25" s="27">
        <f t="shared" si="16"/>
        <v>30723.984199999999</v>
      </c>
    </row>
    <row r="26" spans="1:27" ht="16.5" thickBot="1" x14ac:dyDescent="0.25">
      <c r="A26" s="10">
        <v>44309</v>
      </c>
      <c r="B26" s="49">
        <v>65</v>
      </c>
      <c r="C26" s="49">
        <v>18133</v>
      </c>
      <c r="D26" s="49">
        <f t="shared" si="3"/>
        <v>480</v>
      </c>
      <c r="E26" s="140">
        <v>25656677</v>
      </c>
      <c r="F26" s="49">
        <f t="shared" si="4"/>
        <v>16000</v>
      </c>
      <c r="G26" s="144">
        <v>80920391</v>
      </c>
      <c r="H26" s="49">
        <f t="shared" si="5"/>
        <v>46319</v>
      </c>
      <c r="I26" s="141">
        <f t="shared" si="6"/>
        <v>62319</v>
      </c>
      <c r="J26" s="140">
        <v>7878248</v>
      </c>
      <c r="K26" s="49">
        <f t="shared" si="7"/>
        <v>5496</v>
      </c>
      <c r="L26" s="142">
        <v>7900279</v>
      </c>
      <c r="M26" s="49">
        <f t="shared" si="8"/>
        <v>5630</v>
      </c>
      <c r="N26" s="140">
        <v>5055774</v>
      </c>
      <c r="O26" s="49">
        <f t="shared" si="15"/>
        <v>10134</v>
      </c>
      <c r="P26" s="142">
        <v>3116312</v>
      </c>
      <c r="Q26" s="49">
        <f t="shared" si="9"/>
        <v>9163</v>
      </c>
      <c r="R26" s="140">
        <v>17200133</v>
      </c>
      <c r="S26" s="49">
        <f t="shared" si="10"/>
        <v>8581</v>
      </c>
      <c r="T26" s="140">
        <v>0</v>
      </c>
      <c r="U26" s="143"/>
      <c r="V26" s="140">
        <v>4826137</v>
      </c>
      <c r="W26" s="49">
        <f t="shared" si="11"/>
        <v>10945</v>
      </c>
      <c r="X26" s="28">
        <f t="shared" si="12"/>
        <v>49949</v>
      </c>
      <c r="Y26" s="35">
        <f t="shared" si="13"/>
        <v>12370</v>
      </c>
      <c r="Z26" s="27">
        <f t="shared" si="14"/>
        <v>7532.8450912000008</v>
      </c>
      <c r="AA26" s="27">
        <f t="shared" si="16"/>
        <v>30780.576070400002</v>
      </c>
    </row>
    <row r="27" spans="1:27" ht="16.5" thickBot="1" x14ac:dyDescent="0.25">
      <c r="A27" s="10">
        <v>44310</v>
      </c>
      <c r="B27" s="49">
        <v>18</v>
      </c>
      <c r="C27" s="49">
        <v>18136</v>
      </c>
      <c r="D27" s="49">
        <f t="shared" si="3"/>
        <v>480</v>
      </c>
      <c r="E27" s="140">
        <v>25668375</v>
      </c>
      <c r="F27" s="49">
        <f t="shared" si="4"/>
        <v>11698</v>
      </c>
      <c r="G27" s="144">
        <v>80955902</v>
      </c>
      <c r="H27" s="49">
        <f t="shared" si="5"/>
        <v>35511</v>
      </c>
      <c r="I27" s="141">
        <f t="shared" si="6"/>
        <v>47209</v>
      </c>
      <c r="J27" s="140">
        <v>7882590</v>
      </c>
      <c r="K27" s="49">
        <f t="shared" si="7"/>
        <v>4342</v>
      </c>
      <c r="L27" s="142">
        <v>7904284</v>
      </c>
      <c r="M27" s="49">
        <f t="shared" si="8"/>
        <v>4005</v>
      </c>
      <c r="N27" s="140">
        <v>5059563</v>
      </c>
      <c r="O27" s="49">
        <f t="shared" si="15"/>
        <v>7578</v>
      </c>
      <c r="P27" s="142">
        <v>3123588</v>
      </c>
      <c r="Q27" s="49">
        <f t="shared" si="9"/>
        <v>7276</v>
      </c>
      <c r="R27" s="140">
        <v>17206922</v>
      </c>
      <c r="S27" s="49">
        <f t="shared" si="10"/>
        <v>6789</v>
      </c>
      <c r="T27" s="140">
        <v>0</v>
      </c>
      <c r="U27" s="143"/>
      <c r="V27" s="140">
        <v>4835344</v>
      </c>
      <c r="W27" s="49">
        <f t="shared" si="11"/>
        <v>9207</v>
      </c>
      <c r="X27" s="28">
        <f t="shared" si="12"/>
        <v>39197</v>
      </c>
      <c r="Y27" s="35">
        <f t="shared" si="13"/>
        <v>8012</v>
      </c>
      <c r="Z27" s="27">
        <f t="shared" si="14"/>
        <v>6032.8562112</v>
      </c>
      <c r="AA27" s="27">
        <f t="shared" si="16"/>
        <v>28620.223320000001</v>
      </c>
    </row>
    <row r="28" spans="1:27" ht="16.5" thickBot="1" x14ac:dyDescent="0.25">
      <c r="A28" s="10">
        <v>44311</v>
      </c>
      <c r="B28" s="49"/>
      <c r="C28" s="49">
        <f t="shared" ref="C27:C33" si="17">C27</f>
        <v>18136</v>
      </c>
      <c r="D28" s="49">
        <f t="shared" si="3"/>
        <v>0</v>
      </c>
      <c r="E28" s="140">
        <f t="shared" ref="E27:E33" si="18">E27</f>
        <v>25668375</v>
      </c>
      <c r="F28" s="49">
        <f t="shared" si="4"/>
        <v>0</v>
      </c>
      <c r="G28" s="144">
        <f t="shared" ref="G27:G33" si="19">G27</f>
        <v>80955902</v>
      </c>
      <c r="H28" s="49">
        <f t="shared" si="5"/>
        <v>0</v>
      </c>
      <c r="I28" s="141">
        <f t="shared" si="6"/>
        <v>0</v>
      </c>
      <c r="J28" s="140">
        <f t="shared" ref="J27:J33" si="20">J27</f>
        <v>7882590</v>
      </c>
      <c r="K28" s="49">
        <f t="shared" si="7"/>
        <v>0</v>
      </c>
      <c r="L28" s="142">
        <f t="shared" ref="L27:L33" si="21">L27</f>
        <v>7904284</v>
      </c>
      <c r="M28" s="49">
        <f t="shared" si="8"/>
        <v>0</v>
      </c>
      <c r="N28" s="140">
        <f t="shared" ref="N27:N33" si="22">N27</f>
        <v>5059563</v>
      </c>
      <c r="O28" s="49">
        <f t="shared" si="15"/>
        <v>0</v>
      </c>
      <c r="P28" s="142">
        <f t="shared" ref="P27:P33" si="23">P27</f>
        <v>3123588</v>
      </c>
      <c r="Q28" s="49">
        <f t="shared" si="9"/>
        <v>0</v>
      </c>
      <c r="R28" s="140">
        <f t="shared" ref="R27:R33" si="24">R27</f>
        <v>17206922</v>
      </c>
      <c r="S28" s="49">
        <f t="shared" si="10"/>
        <v>0</v>
      </c>
      <c r="T28" s="140">
        <v>0</v>
      </c>
      <c r="U28" s="143"/>
      <c r="V28" s="140">
        <f t="shared" ref="V27:V33" si="25">V27</f>
        <v>4835344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16"/>
        <v>22531.6583856</v>
      </c>
    </row>
    <row r="29" spans="1:27" ht="16.5" thickBot="1" x14ac:dyDescent="0.25">
      <c r="A29" s="10">
        <v>44312</v>
      </c>
      <c r="B29" s="49"/>
      <c r="C29" s="49">
        <f t="shared" si="17"/>
        <v>18136</v>
      </c>
      <c r="D29" s="49">
        <f t="shared" si="3"/>
        <v>0</v>
      </c>
      <c r="E29" s="140">
        <f t="shared" si="18"/>
        <v>25668375</v>
      </c>
      <c r="F29" s="49">
        <f t="shared" si="4"/>
        <v>0</v>
      </c>
      <c r="G29" s="144">
        <f t="shared" si="19"/>
        <v>80955902</v>
      </c>
      <c r="H29" s="49">
        <f t="shared" si="5"/>
        <v>0</v>
      </c>
      <c r="I29" s="141">
        <f t="shared" si="6"/>
        <v>0</v>
      </c>
      <c r="J29" s="140">
        <f t="shared" si="20"/>
        <v>7882590</v>
      </c>
      <c r="K29" s="49">
        <f t="shared" si="7"/>
        <v>0</v>
      </c>
      <c r="L29" s="142">
        <f t="shared" si="21"/>
        <v>7904284</v>
      </c>
      <c r="M29" s="49">
        <f t="shared" si="8"/>
        <v>0</v>
      </c>
      <c r="N29" s="140">
        <f t="shared" si="22"/>
        <v>5059563</v>
      </c>
      <c r="O29" s="49">
        <f t="shared" si="15"/>
        <v>0</v>
      </c>
      <c r="P29" s="142">
        <f t="shared" si="23"/>
        <v>3123588</v>
      </c>
      <c r="Q29" s="49">
        <f t="shared" si="9"/>
        <v>0</v>
      </c>
      <c r="R29" s="140">
        <f t="shared" si="24"/>
        <v>17206922</v>
      </c>
      <c r="S29" s="49">
        <f t="shared" si="10"/>
        <v>0</v>
      </c>
      <c r="T29" s="140">
        <v>0</v>
      </c>
      <c r="U29" s="143"/>
      <c r="V29" s="140">
        <f t="shared" si="25"/>
        <v>4835344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16"/>
        <v>13565.701302400001</v>
      </c>
    </row>
    <row r="30" spans="1:27" ht="16.5" thickBot="1" x14ac:dyDescent="0.25">
      <c r="A30" s="10">
        <v>44313</v>
      </c>
      <c r="B30" s="49"/>
      <c r="C30" s="49">
        <f t="shared" si="17"/>
        <v>18136</v>
      </c>
      <c r="D30" s="49">
        <f t="shared" si="3"/>
        <v>0</v>
      </c>
      <c r="E30" s="140">
        <f t="shared" si="18"/>
        <v>25668375</v>
      </c>
      <c r="F30" s="49">
        <f t="shared" si="4"/>
        <v>0</v>
      </c>
      <c r="G30" s="144">
        <f t="shared" si="19"/>
        <v>80955902</v>
      </c>
      <c r="H30" s="49">
        <f t="shared" si="5"/>
        <v>0</v>
      </c>
      <c r="I30" s="141">
        <f t="shared" si="6"/>
        <v>0</v>
      </c>
      <c r="J30" s="140">
        <f t="shared" si="20"/>
        <v>7882590</v>
      </c>
      <c r="K30" s="49">
        <f t="shared" si="7"/>
        <v>0</v>
      </c>
      <c r="L30" s="142">
        <f t="shared" si="21"/>
        <v>7904284</v>
      </c>
      <c r="M30" s="49">
        <f t="shared" si="8"/>
        <v>0</v>
      </c>
      <c r="N30" s="140">
        <f t="shared" si="22"/>
        <v>5059563</v>
      </c>
      <c r="O30" s="49">
        <f t="shared" si="15"/>
        <v>0</v>
      </c>
      <c r="P30" s="142">
        <f t="shared" si="23"/>
        <v>3123588</v>
      </c>
      <c r="Q30" s="49">
        <f t="shared" si="9"/>
        <v>0</v>
      </c>
      <c r="R30" s="140">
        <f t="shared" si="24"/>
        <v>17206922</v>
      </c>
      <c r="S30" s="49">
        <f t="shared" si="10"/>
        <v>0</v>
      </c>
      <c r="T30" s="140">
        <v>0</v>
      </c>
      <c r="U30" s="143"/>
      <c r="V30" s="140">
        <f t="shared" si="25"/>
        <v>4835344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16"/>
        <v>6032.8562112</v>
      </c>
    </row>
    <row r="31" spans="1:27" ht="16.5" thickBot="1" x14ac:dyDescent="0.25">
      <c r="A31" s="10">
        <v>44314</v>
      </c>
      <c r="B31" s="49"/>
      <c r="C31" s="49">
        <f t="shared" si="17"/>
        <v>18136</v>
      </c>
      <c r="D31" s="49">
        <f t="shared" si="3"/>
        <v>0</v>
      </c>
      <c r="E31" s="140">
        <f t="shared" si="18"/>
        <v>25668375</v>
      </c>
      <c r="F31" s="49">
        <f t="shared" si="4"/>
        <v>0</v>
      </c>
      <c r="G31" s="144">
        <f t="shared" si="19"/>
        <v>80955902</v>
      </c>
      <c r="H31" s="49">
        <f t="shared" si="5"/>
        <v>0</v>
      </c>
      <c r="I31" s="28">
        <f>F31+H31</f>
        <v>0</v>
      </c>
      <c r="J31" s="140">
        <f t="shared" si="20"/>
        <v>7882590</v>
      </c>
      <c r="K31" s="49">
        <f t="shared" si="7"/>
        <v>0</v>
      </c>
      <c r="L31" s="142">
        <f t="shared" si="21"/>
        <v>7904284</v>
      </c>
      <c r="M31" s="49">
        <f t="shared" si="8"/>
        <v>0</v>
      </c>
      <c r="N31" s="140">
        <f t="shared" si="22"/>
        <v>5059563</v>
      </c>
      <c r="O31" s="49">
        <f t="shared" si="15"/>
        <v>0</v>
      </c>
      <c r="P31" s="142">
        <f t="shared" si="23"/>
        <v>3123588</v>
      </c>
      <c r="Q31" s="49">
        <f t="shared" si="9"/>
        <v>0</v>
      </c>
      <c r="R31" s="140">
        <f t="shared" si="24"/>
        <v>17206922</v>
      </c>
      <c r="S31" s="49">
        <f t="shared" si="10"/>
        <v>0</v>
      </c>
      <c r="T31" s="140">
        <v>0</v>
      </c>
      <c r="U31" s="29"/>
      <c r="V31" s="140">
        <f t="shared" si="25"/>
        <v>4835344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16"/>
        <v>0</v>
      </c>
    </row>
    <row r="32" spans="1:27" ht="16.5" thickBot="1" x14ac:dyDescent="0.25">
      <c r="A32" s="10">
        <v>44315</v>
      </c>
      <c r="B32" s="49"/>
      <c r="C32" s="49">
        <f t="shared" si="17"/>
        <v>18136</v>
      </c>
      <c r="D32" s="49">
        <f t="shared" si="3"/>
        <v>0</v>
      </c>
      <c r="E32" s="140">
        <f t="shared" si="18"/>
        <v>25668375</v>
      </c>
      <c r="F32" s="49">
        <f t="shared" si="4"/>
        <v>0</v>
      </c>
      <c r="G32" s="144">
        <f t="shared" si="19"/>
        <v>80955902</v>
      </c>
      <c r="H32" s="49">
        <f t="shared" si="5"/>
        <v>0</v>
      </c>
      <c r="I32" s="28">
        <f t="shared" ref="I32:I33" si="26">F32+H32</f>
        <v>0</v>
      </c>
      <c r="J32" s="140">
        <f t="shared" si="20"/>
        <v>7882590</v>
      </c>
      <c r="K32" s="49">
        <f t="shared" si="7"/>
        <v>0</v>
      </c>
      <c r="L32" s="142">
        <f t="shared" si="21"/>
        <v>7904284</v>
      </c>
      <c r="M32" s="49">
        <f t="shared" si="8"/>
        <v>0</v>
      </c>
      <c r="N32" s="140">
        <f t="shared" si="22"/>
        <v>5059563</v>
      </c>
      <c r="O32" s="49">
        <f t="shared" si="15"/>
        <v>0</v>
      </c>
      <c r="P32" s="142">
        <f t="shared" si="23"/>
        <v>3123588</v>
      </c>
      <c r="Q32" s="49">
        <f t="shared" si="9"/>
        <v>0</v>
      </c>
      <c r="R32" s="140">
        <f t="shared" si="24"/>
        <v>17206922</v>
      </c>
      <c r="S32" s="49">
        <f t="shared" si="10"/>
        <v>0</v>
      </c>
      <c r="T32" s="140">
        <v>0</v>
      </c>
      <c r="U32" s="29"/>
      <c r="V32" s="140">
        <f t="shared" si="25"/>
        <v>4835344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16"/>
        <v>0</v>
      </c>
    </row>
    <row r="33" spans="1:28" ht="16.5" thickBot="1" x14ac:dyDescent="0.25">
      <c r="A33" s="10">
        <v>44316</v>
      </c>
      <c r="B33" s="49"/>
      <c r="C33" s="49">
        <f t="shared" si="17"/>
        <v>18136</v>
      </c>
      <c r="D33" s="49">
        <f t="shared" si="3"/>
        <v>0</v>
      </c>
      <c r="E33" s="140">
        <f t="shared" si="18"/>
        <v>25668375</v>
      </c>
      <c r="F33" s="49">
        <f t="shared" si="4"/>
        <v>0</v>
      </c>
      <c r="G33" s="144">
        <f t="shared" si="19"/>
        <v>80955902</v>
      </c>
      <c r="H33" s="49">
        <f t="shared" si="5"/>
        <v>0</v>
      </c>
      <c r="I33" s="28">
        <f t="shared" si="26"/>
        <v>0</v>
      </c>
      <c r="J33" s="140">
        <f t="shared" si="20"/>
        <v>7882590</v>
      </c>
      <c r="K33" s="49">
        <f t="shared" si="7"/>
        <v>0</v>
      </c>
      <c r="L33" s="142">
        <f t="shared" si="21"/>
        <v>7904284</v>
      </c>
      <c r="M33" s="49">
        <f t="shared" si="8"/>
        <v>0</v>
      </c>
      <c r="N33" s="140">
        <f t="shared" si="22"/>
        <v>5059563</v>
      </c>
      <c r="O33" s="49">
        <f t="shared" si="15"/>
        <v>0</v>
      </c>
      <c r="P33" s="142">
        <f t="shared" si="23"/>
        <v>3123588</v>
      </c>
      <c r="Q33" s="49">
        <f t="shared" si="9"/>
        <v>0</v>
      </c>
      <c r="R33" s="140">
        <f t="shared" si="24"/>
        <v>17206922</v>
      </c>
      <c r="S33" s="49">
        <f t="shared" si="10"/>
        <v>0</v>
      </c>
      <c r="T33" s="140">
        <v>0</v>
      </c>
      <c r="U33" s="29"/>
      <c r="V33" s="140">
        <f t="shared" si="25"/>
        <v>4835344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16"/>
        <v>0</v>
      </c>
    </row>
    <row r="34" spans="1:28" ht="16.5" thickBot="1" x14ac:dyDescent="0.25">
      <c r="A34" s="6" t="s">
        <v>24</v>
      </c>
      <c r="B34" s="162">
        <f>SUM(B2:B33)</f>
        <v>2577</v>
      </c>
      <c r="C34" s="162"/>
      <c r="D34" s="162">
        <f>SUM(D2:D33)</f>
        <v>11040</v>
      </c>
      <c r="E34" s="162">
        <v>0</v>
      </c>
      <c r="F34" s="162">
        <f>SUM(F2:F33)</f>
        <v>234836</v>
      </c>
      <c r="G34" s="162">
        <v>0</v>
      </c>
      <c r="H34" s="162">
        <f>SUM(H2:H33)</f>
        <v>1118277</v>
      </c>
      <c r="I34" s="162">
        <f t="shared" ref="I34:X34" si="27">SUM(I5:I33)</f>
        <v>8985611</v>
      </c>
      <c r="J34" s="162">
        <v>0</v>
      </c>
      <c r="K34" s="162">
        <f>SUM(K2:K33)</f>
        <v>130355</v>
      </c>
      <c r="L34" s="162">
        <v>0</v>
      </c>
      <c r="M34" s="162">
        <f>SUM(M2:M33)</f>
        <v>129449</v>
      </c>
      <c r="N34" s="162">
        <v>0</v>
      </c>
      <c r="O34" s="162">
        <f>SUM(O2:O33)</f>
        <v>101456</v>
      </c>
      <c r="P34" s="162">
        <v>0</v>
      </c>
      <c r="Q34" s="162">
        <f>SUM(Q2:Q33)</f>
        <v>230194</v>
      </c>
      <c r="R34" s="162">
        <v>0</v>
      </c>
      <c r="S34" s="162">
        <f>SUM(S2:S33)</f>
        <v>221014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256775</v>
      </c>
      <c r="X34" s="162">
        <f t="shared" si="27"/>
        <v>998297</v>
      </c>
      <c r="Y34" s="162">
        <f>SUM(Y2:Y33)</f>
        <v>8007164</v>
      </c>
      <c r="Z34" s="162">
        <f>SUM(Z2:Z33)</f>
        <v>163978.95989280002</v>
      </c>
      <c r="AA34" s="162">
        <f>SUM(AA2:AA33)</f>
        <v>667366.60103359981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3" zoomScale="80" zoomScaleNormal="55" zoomScaleSheetLayoutView="80" workbookViewId="0">
      <selection activeCell="F25" sqref="F2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v>17268362</v>
      </c>
      <c r="C10" s="55">
        <f t="shared" si="0"/>
        <v>2040</v>
      </c>
    </row>
    <row r="11" spans="1:9" ht="24" thickBot="1" x14ac:dyDescent="0.4">
      <c r="A11" s="10">
        <v>44294</v>
      </c>
      <c r="B11" s="157">
        <v>17270523</v>
      </c>
      <c r="C11" s="55">
        <f t="shared" si="0"/>
        <v>2161</v>
      </c>
    </row>
    <row r="12" spans="1:9" ht="24" thickBot="1" x14ac:dyDescent="0.4">
      <c r="A12" s="10">
        <v>44295</v>
      </c>
      <c r="B12" s="157">
        <v>17272701</v>
      </c>
      <c r="C12" s="55">
        <f t="shared" si="0"/>
        <v>2178</v>
      </c>
    </row>
    <row r="13" spans="1:9" ht="24" thickBot="1" x14ac:dyDescent="0.4">
      <c r="A13" s="10">
        <v>44296</v>
      </c>
      <c r="B13" s="157">
        <v>17275544</v>
      </c>
      <c r="C13" s="55">
        <f t="shared" si="0"/>
        <v>2843</v>
      </c>
    </row>
    <row r="14" spans="1:9" ht="24" thickBot="1" x14ac:dyDescent="0.4">
      <c r="A14" s="10">
        <v>44297</v>
      </c>
      <c r="B14" s="157">
        <v>17277775</v>
      </c>
      <c r="C14" s="55">
        <f t="shared" si="0"/>
        <v>2231</v>
      </c>
    </row>
    <row r="15" spans="1:9" ht="24" thickBot="1" x14ac:dyDescent="0.4">
      <c r="A15" s="10">
        <v>44298</v>
      </c>
      <c r="B15" s="157">
        <v>17279877</v>
      </c>
      <c r="C15" s="55">
        <f t="shared" si="0"/>
        <v>2102</v>
      </c>
      <c r="I15" t="s">
        <v>13</v>
      </c>
    </row>
    <row r="16" spans="1:9" ht="26.25" customHeight="1" thickBot="1" x14ac:dyDescent="0.4">
      <c r="A16" s="10">
        <v>44299</v>
      </c>
      <c r="B16" s="157">
        <v>17282300</v>
      </c>
      <c r="C16" s="55">
        <f t="shared" si="0"/>
        <v>2423</v>
      </c>
    </row>
    <row r="17" spans="1:9" ht="25.5" customHeight="1" thickBot="1" x14ac:dyDescent="0.4">
      <c r="A17" s="10">
        <v>44300</v>
      </c>
      <c r="B17" s="157">
        <v>17284737</v>
      </c>
      <c r="C17" s="55">
        <f t="shared" si="0"/>
        <v>2437</v>
      </c>
      <c r="F17" s="155"/>
    </row>
    <row r="18" spans="1:9" ht="24" thickBot="1" x14ac:dyDescent="0.4">
      <c r="A18" s="10">
        <v>44301</v>
      </c>
      <c r="B18" s="157">
        <v>17287001</v>
      </c>
      <c r="C18" s="55">
        <f t="shared" si="0"/>
        <v>2264</v>
      </c>
    </row>
    <row r="19" spans="1:9" ht="24" thickBot="1" x14ac:dyDescent="0.4">
      <c r="A19" s="10">
        <v>44302</v>
      </c>
      <c r="B19" s="157">
        <v>17289100</v>
      </c>
      <c r="C19" s="55">
        <f t="shared" si="0"/>
        <v>2099</v>
      </c>
    </row>
    <row r="20" spans="1:9" ht="24" thickBot="1" x14ac:dyDescent="0.4">
      <c r="A20" s="10">
        <v>44303</v>
      </c>
      <c r="B20" s="157">
        <v>17290549</v>
      </c>
      <c r="C20" s="55">
        <f t="shared" si="0"/>
        <v>1449</v>
      </c>
    </row>
    <row r="21" spans="1:9" ht="24" thickBot="1" x14ac:dyDescent="0.4">
      <c r="A21" s="10">
        <v>44304</v>
      </c>
      <c r="B21" s="157">
        <v>17292555</v>
      </c>
      <c r="C21" s="55">
        <f t="shared" si="0"/>
        <v>2006</v>
      </c>
    </row>
    <row r="22" spans="1:9" ht="24" thickBot="1" x14ac:dyDescent="0.4">
      <c r="A22" s="10">
        <v>44305</v>
      </c>
      <c r="B22" s="157">
        <v>17294183</v>
      </c>
      <c r="C22" s="55">
        <f t="shared" si="0"/>
        <v>1628</v>
      </c>
    </row>
    <row r="23" spans="1:9" ht="24" thickBot="1" x14ac:dyDescent="0.4">
      <c r="A23" s="10">
        <v>44306</v>
      </c>
      <c r="B23" s="157">
        <v>17296183</v>
      </c>
      <c r="C23" s="55">
        <f t="shared" si="0"/>
        <v>2000</v>
      </c>
      <c r="F23" t="s">
        <v>13</v>
      </c>
    </row>
    <row r="24" spans="1:9" ht="24" thickBot="1" x14ac:dyDescent="0.4">
      <c r="A24" s="10">
        <v>44307</v>
      </c>
      <c r="B24" s="157">
        <v>17298002</v>
      </c>
      <c r="C24" s="55">
        <f t="shared" si="0"/>
        <v>1819</v>
      </c>
      <c r="E24" t="s">
        <v>13</v>
      </c>
    </row>
    <row r="25" spans="1:9" ht="24" thickBot="1" x14ac:dyDescent="0.4">
      <c r="A25" s="10">
        <v>44308</v>
      </c>
      <c r="B25" s="157">
        <f>17300114</f>
        <v>17300114</v>
      </c>
      <c r="C25" s="55">
        <f t="shared" si="0"/>
        <v>2112</v>
      </c>
    </row>
    <row r="26" spans="1:9" ht="24" thickBot="1" x14ac:dyDescent="0.4">
      <c r="A26" s="10">
        <v>44309</v>
      </c>
      <c r="B26" s="157">
        <v>17302211</v>
      </c>
      <c r="C26" s="55">
        <f t="shared" si="0"/>
        <v>2097</v>
      </c>
    </row>
    <row r="27" spans="1:9" ht="24" thickBot="1" x14ac:dyDescent="0.4">
      <c r="A27" s="10">
        <v>44310</v>
      </c>
      <c r="B27" s="157">
        <v>17304057</v>
      </c>
      <c r="C27" s="55">
        <f t="shared" si="0"/>
        <v>1846</v>
      </c>
    </row>
    <row r="28" spans="1:9" ht="24" thickBot="1" x14ac:dyDescent="0.4">
      <c r="A28" s="10">
        <v>44311</v>
      </c>
      <c r="B28" s="157">
        <f t="shared" ref="B27:B32" si="1">B27</f>
        <v>17304057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17304057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17304057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17304057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17304057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17304057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53596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topLeftCell="A22" zoomScale="98" zoomScaleNormal="98" workbookViewId="0">
      <pane xSplit="1" topLeftCell="I1" activePane="topRight" state="frozen"/>
      <selection pane="topRight" activeCell="O39" sqref="O39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44290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44291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44292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44293</v>
      </c>
      <c r="B10" s="1">
        <v>20313.669999999998</v>
      </c>
      <c r="C10" s="54">
        <f t="shared" si="7"/>
        <v>6.3559999999997672</v>
      </c>
      <c r="D10" s="38">
        <f t="shared" si="8"/>
        <v>12076.399999999558</v>
      </c>
      <c r="E10" s="1">
        <v>3518.3519999999999</v>
      </c>
      <c r="F10" s="54">
        <f t="shared" si="9"/>
        <v>1.7309999999997672</v>
      </c>
      <c r="G10" s="38">
        <f t="shared" si="10"/>
        <v>3288.8999999995576</v>
      </c>
      <c r="H10" s="1">
        <v>2763</v>
      </c>
      <c r="I10" s="54">
        <f t="shared" si="11"/>
        <v>6</v>
      </c>
      <c r="J10" s="38">
        <f t="shared" si="12"/>
        <v>11399.999999999998</v>
      </c>
      <c r="K10" s="7">
        <v>13321.86</v>
      </c>
      <c r="L10" s="54">
        <f t="shared" si="13"/>
        <v>1.6300000000010186</v>
      </c>
      <c r="M10" s="38">
        <f t="shared" si="14"/>
        <v>3097.0000000019354</v>
      </c>
      <c r="N10" s="7">
        <v>2981.2869999999998</v>
      </c>
      <c r="O10" s="54">
        <f t="shared" si="15"/>
        <v>1.5409999999997126</v>
      </c>
      <c r="P10" s="38">
        <f t="shared" si="19"/>
        <v>2927.8999999994539</v>
      </c>
      <c r="Q10" s="7">
        <v>4729.18</v>
      </c>
      <c r="R10" s="54">
        <f t="shared" si="16"/>
        <v>1.5300000000006548</v>
      </c>
      <c r="S10" s="38">
        <f t="shared" si="17"/>
        <v>2907.0000000012437</v>
      </c>
      <c r="T10" s="8">
        <f t="shared" si="20"/>
        <v>18.78800000000092</v>
      </c>
      <c r="U10" s="40">
        <f t="shared" si="18"/>
        <v>35697.200000001751</v>
      </c>
    </row>
    <row r="11" spans="1:25" ht="16.5" thickBot="1" x14ac:dyDescent="0.25">
      <c r="A11" s="10">
        <v>44294</v>
      </c>
      <c r="B11" s="1">
        <v>20320.244999999999</v>
      </c>
      <c r="C11" s="54">
        <f t="shared" si="7"/>
        <v>6.5750000000007276</v>
      </c>
      <c r="D11" s="38">
        <f t="shared" si="8"/>
        <v>12492.500000001382</v>
      </c>
      <c r="E11" s="1">
        <v>3520.1640000000002</v>
      </c>
      <c r="F11" s="54">
        <f t="shared" si="9"/>
        <v>1.8120000000003529</v>
      </c>
      <c r="G11" s="38">
        <f t="shared" si="10"/>
        <v>3442.80000000067</v>
      </c>
      <c r="H11" s="1">
        <v>2770</v>
      </c>
      <c r="I11" s="54">
        <f t="shared" si="11"/>
        <v>7</v>
      </c>
      <c r="J11" s="38">
        <f t="shared" si="12"/>
        <v>13299.999999999998</v>
      </c>
      <c r="K11" s="7">
        <v>13323.54</v>
      </c>
      <c r="L11" s="54">
        <f t="shared" si="13"/>
        <v>1.680000000000291</v>
      </c>
      <c r="M11" s="38">
        <f t="shared" si="14"/>
        <v>3192.0000000005525</v>
      </c>
      <c r="N11" s="7">
        <v>2983.2469999999998</v>
      </c>
      <c r="O11" s="54">
        <f t="shared" si="15"/>
        <v>1.9600000000000364</v>
      </c>
      <c r="P11" s="38">
        <f t="shared" si="19"/>
        <v>3724.0000000000691</v>
      </c>
      <c r="Q11" s="7">
        <v>4730.2470000000003</v>
      </c>
      <c r="R11" s="54">
        <f t="shared" si="16"/>
        <v>1.0670000000000073</v>
      </c>
      <c r="S11" s="38">
        <f t="shared" si="17"/>
        <v>2027.3000000000136</v>
      </c>
      <c r="T11" s="8">
        <f t="shared" si="20"/>
        <v>20.094000000001415</v>
      </c>
      <c r="U11" s="40">
        <f t="shared" si="18"/>
        <v>38178.600000002691</v>
      </c>
    </row>
    <row r="12" spans="1:25" ht="16.5" thickBot="1" x14ac:dyDescent="0.25">
      <c r="A12" s="10">
        <v>44295</v>
      </c>
      <c r="B12" s="1">
        <v>20325.762999999999</v>
      </c>
      <c r="C12" s="54">
        <f t="shared" si="7"/>
        <v>5.5180000000000291</v>
      </c>
      <c r="D12" s="38">
        <f t="shared" si="8"/>
        <v>10484.200000000055</v>
      </c>
      <c r="E12" s="1">
        <v>3521.078</v>
      </c>
      <c r="F12" s="54">
        <f t="shared" si="9"/>
        <v>0.91399999999975989</v>
      </c>
      <c r="G12" s="38">
        <f t="shared" si="10"/>
        <v>1736.5999999995436</v>
      </c>
      <c r="H12" s="1">
        <v>2775</v>
      </c>
      <c r="I12" s="54">
        <f t="shared" si="11"/>
        <v>5</v>
      </c>
      <c r="J12" s="38">
        <f t="shared" si="12"/>
        <v>9500</v>
      </c>
      <c r="K12" s="7">
        <v>13324.74</v>
      </c>
      <c r="L12" s="54">
        <f t="shared" si="13"/>
        <v>1.1999999999989086</v>
      </c>
      <c r="M12" s="38">
        <f t="shared" si="14"/>
        <v>2279.9999999979264</v>
      </c>
      <c r="N12" s="7">
        <v>2984.8</v>
      </c>
      <c r="O12" s="54">
        <f t="shared" si="15"/>
        <v>1.5530000000003383</v>
      </c>
      <c r="P12" s="38">
        <f t="shared" si="19"/>
        <v>2950.7000000006424</v>
      </c>
      <c r="Q12" s="7">
        <v>4731.29</v>
      </c>
      <c r="R12" s="54">
        <f t="shared" si="16"/>
        <v>1.0429999999996653</v>
      </c>
      <c r="S12" s="38">
        <f t="shared" si="17"/>
        <v>1981.6999999993641</v>
      </c>
      <c r="T12" s="8">
        <f t="shared" si="20"/>
        <v>15.227999999998701</v>
      </c>
      <c r="U12" s="40">
        <f t="shared" si="18"/>
        <v>28933.199999997531</v>
      </c>
    </row>
    <row r="13" spans="1:25" ht="16.5" thickBot="1" x14ac:dyDescent="0.25">
      <c r="A13" s="10">
        <v>44296</v>
      </c>
      <c r="B13" s="1">
        <v>20331.46</v>
      </c>
      <c r="C13" s="54">
        <f t="shared" si="7"/>
        <v>5.6970000000001164</v>
      </c>
      <c r="D13" s="38">
        <f t="shared" si="8"/>
        <v>10824.300000000221</v>
      </c>
      <c r="E13" s="1">
        <v>3522.0929999999998</v>
      </c>
      <c r="F13" s="54">
        <f t="shared" si="9"/>
        <v>1.0149999999998727</v>
      </c>
      <c r="G13" s="38">
        <f t="shared" si="10"/>
        <v>1928.4999999997581</v>
      </c>
      <c r="H13" s="1">
        <v>2782</v>
      </c>
      <c r="I13" s="54">
        <f t="shared" si="11"/>
        <v>7</v>
      </c>
      <c r="J13" s="38">
        <f t="shared" si="12"/>
        <v>13299.999999999998</v>
      </c>
      <c r="K13" s="7">
        <v>13326.31</v>
      </c>
      <c r="L13" s="54">
        <f t="shared" si="13"/>
        <v>1.569999999999709</v>
      </c>
      <c r="M13" s="38">
        <f t="shared" si="14"/>
        <v>2982.9999999994466</v>
      </c>
      <c r="N13" s="7">
        <v>2986.413</v>
      </c>
      <c r="O13" s="54">
        <f t="shared" si="15"/>
        <v>1.612999999999829</v>
      </c>
      <c r="P13" s="38">
        <f t="shared" si="19"/>
        <v>3064.6999999996751</v>
      </c>
      <c r="Q13" s="7">
        <v>4732.6099999999997</v>
      </c>
      <c r="R13" s="54">
        <f t="shared" si="16"/>
        <v>1.319999999999709</v>
      </c>
      <c r="S13" s="38">
        <f t="shared" si="17"/>
        <v>2507.999999999447</v>
      </c>
      <c r="T13" s="8">
        <f t="shared" si="20"/>
        <v>18.214999999999236</v>
      </c>
      <c r="U13" s="40">
        <f t="shared" si="18"/>
        <v>34608.499999998552</v>
      </c>
    </row>
    <row r="14" spans="1:25" ht="16.5" thickBot="1" x14ac:dyDescent="0.25">
      <c r="A14" s="10">
        <v>44297</v>
      </c>
      <c r="B14" s="1">
        <v>20335.38</v>
      </c>
      <c r="C14" s="54">
        <f t="shared" si="7"/>
        <v>3.9200000000018917</v>
      </c>
      <c r="D14" s="38">
        <f t="shared" si="8"/>
        <v>7448.0000000035943</v>
      </c>
      <c r="E14" s="1">
        <v>3523</v>
      </c>
      <c r="F14" s="54">
        <f t="shared" si="9"/>
        <v>0.9070000000001528</v>
      </c>
      <c r="G14" s="38">
        <f t="shared" si="10"/>
        <v>1723.3000000002903</v>
      </c>
      <c r="H14" s="1">
        <v>2786</v>
      </c>
      <c r="I14" s="54">
        <f t="shared" si="11"/>
        <v>4</v>
      </c>
      <c r="J14" s="38">
        <f t="shared" si="12"/>
        <v>7600</v>
      </c>
      <c r="K14" s="7">
        <v>13327.5</v>
      </c>
      <c r="L14" s="54">
        <f t="shared" si="13"/>
        <v>1.1900000000005093</v>
      </c>
      <c r="M14" s="38">
        <f t="shared" si="14"/>
        <v>2261.0000000009677</v>
      </c>
      <c r="N14" s="7">
        <v>2987.7150000000001</v>
      </c>
      <c r="O14" s="54">
        <f t="shared" si="15"/>
        <v>1.3020000000001346</v>
      </c>
      <c r="P14" s="38">
        <f t="shared" si="19"/>
        <v>2473.8000000002557</v>
      </c>
      <c r="Q14" s="7">
        <v>4732.6499999999996</v>
      </c>
      <c r="R14" s="54">
        <f t="shared" si="16"/>
        <v>3.999999999996362E-2</v>
      </c>
      <c r="S14" s="38">
        <f t="shared" si="17"/>
        <v>75.999999999930878</v>
      </c>
      <c r="T14" s="8">
        <f t="shared" si="20"/>
        <v>11.359000000002652</v>
      </c>
      <c r="U14" s="40">
        <f t="shared" si="18"/>
        <v>21582.100000005037</v>
      </c>
    </row>
    <row r="15" spans="1:25" ht="16.5" thickBot="1" x14ac:dyDescent="0.25">
      <c r="A15" s="10">
        <v>44298</v>
      </c>
      <c r="B15" s="1">
        <v>20340.698</v>
      </c>
      <c r="C15" s="54">
        <f t="shared" si="7"/>
        <v>5.3179999999993015</v>
      </c>
      <c r="D15" s="38">
        <f t="shared" si="8"/>
        <v>10104.199999998671</v>
      </c>
      <c r="E15" s="1">
        <v>3524.7069999999999</v>
      </c>
      <c r="F15" s="54">
        <f t="shared" si="9"/>
        <v>1.7069999999998799</v>
      </c>
      <c r="G15" s="38">
        <f t="shared" si="10"/>
        <v>3243.2999999997719</v>
      </c>
      <c r="H15" s="1">
        <v>2792</v>
      </c>
      <c r="I15" s="54">
        <f t="shared" si="11"/>
        <v>6</v>
      </c>
      <c r="J15" s="38">
        <f t="shared" si="12"/>
        <v>11399.999999999998</v>
      </c>
      <c r="K15" s="7">
        <v>13328.93</v>
      </c>
      <c r="L15" s="54">
        <f t="shared" si="13"/>
        <v>1.430000000000291</v>
      </c>
      <c r="M15" s="38">
        <f t="shared" si="14"/>
        <v>2717.000000000553</v>
      </c>
      <c r="N15" s="7">
        <v>2989.3429999999998</v>
      </c>
      <c r="O15" s="54">
        <f t="shared" si="15"/>
        <v>1.6279999999997017</v>
      </c>
      <c r="P15" s="38">
        <f t="shared" si="19"/>
        <v>3093.1999999994327</v>
      </c>
      <c r="Q15" s="7">
        <v>4732.6499999999996</v>
      </c>
      <c r="R15" s="54">
        <f t="shared" si="16"/>
        <v>0</v>
      </c>
      <c r="S15" s="38">
        <f t="shared" si="17"/>
        <v>0</v>
      </c>
      <c r="T15" s="8">
        <f t="shared" si="20"/>
        <v>16.082999999999174</v>
      </c>
      <c r="U15" s="40">
        <f t="shared" si="18"/>
        <v>30557.699999998429</v>
      </c>
      <c r="W15" t="s">
        <v>13</v>
      </c>
    </row>
    <row r="16" spans="1:25" ht="16.5" thickBot="1" x14ac:dyDescent="0.25">
      <c r="A16" s="10">
        <v>44299</v>
      </c>
      <c r="B16" s="1">
        <v>20344.359</v>
      </c>
      <c r="C16" s="54">
        <f t="shared" si="7"/>
        <v>3.6610000000000582</v>
      </c>
      <c r="D16" s="38">
        <f t="shared" si="8"/>
        <v>6955.9000000001097</v>
      </c>
      <c r="E16" s="1">
        <v>3525.6170000000002</v>
      </c>
      <c r="F16" s="54">
        <f t="shared" si="9"/>
        <v>0.91000000000030923</v>
      </c>
      <c r="G16" s="38">
        <f t="shared" si="10"/>
        <v>1729.0000000005873</v>
      </c>
      <c r="H16" s="1">
        <v>2797</v>
      </c>
      <c r="I16" s="54">
        <f t="shared" si="11"/>
        <v>5</v>
      </c>
      <c r="J16" s="38">
        <f t="shared" si="12"/>
        <v>9500</v>
      </c>
      <c r="K16" s="7">
        <v>13330.19</v>
      </c>
      <c r="L16" s="54">
        <f t="shared" si="13"/>
        <v>1.2600000000002183</v>
      </c>
      <c r="M16" s="38">
        <f t="shared" si="14"/>
        <v>2394.0000000004143</v>
      </c>
      <c r="N16" s="7">
        <v>2990.402</v>
      </c>
      <c r="O16" s="54">
        <f t="shared" si="15"/>
        <v>1.0590000000001965</v>
      </c>
      <c r="P16" s="38">
        <f t="shared" si="19"/>
        <v>2012.1000000003733</v>
      </c>
      <c r="Q16" s="7">
        <v>4732.6499999999996</v>
      </c>
      <c r="R16" s="54">
        <f t="shared" si="16"/>
        <v>0</v>
      </c>
      <c r="S16" s="38">
        <f t="shared" si="17"/>
        <v>0</v>
      </c>
      <c r="T16" s="8">
        <f t="shared" si="20"/>
        <v>11.890000000000782</v>
      </c>
      <c r="U16" s="40">
        <f t="shared" si="18"/>
        <v>22591.000000001484</v>
      </c>
      <c r="Y16" t="s">
        <v>13</v>
      </c>
    </row>
    <row r="17" spans="1:24" ht="16.5" thickBot="1" x14ac:dyDescent="0.25">
      <c r="A17" s="10">
        <v>44300</v>
      </c>
      <c r="B17" s="1">
        <v>20348.633000000002</v>
      </c>
      <c r="C17" s="54">
        <f>IF((B17-B16)&lt;0,"0",(B17-B16))</f>
        <v>4.2740000000012515</v>
      </c>
      <c r="D17" s="38">
        <f t="shared" si="8"/>
        <v>8120.6000000023778</v>
      </c>
      <c r="E17" s="1">
        <v>3526.5909999999999</v>
      </c>
      <c r="F17" s="54">
        <f t="shared" si="9"/>
        <v>0.97399999999970532</v>
      </c>
      <c r="G17" s="38">
        <f t="shared" si="10"/>
        <v>1850.5999999994401</v>
      </c>
      <c r="H17" s="1">
        <v>2802</v>
      </c>
      <c r="I17" s="54">
        <f t="shared" si="11"/>
        <v>5</v>
      </c>
      <c r="J17" s="38">
        <f t="shared" si="12"/>
        <v>9500</v>
      </c>
      <c r="K17" s="7">
        <v>13331.68</v>
      </c>
      <c r="L17" s="54">
        <f t="shared" si="13"/>
        <v>1.4899999999997817</v>
      </c>
      <c r="M17" s="38">
        <f t="shared" si="14"/>
        <v>2830.9999999995853</v>
      </c>
      <c r="N17" s="7">
        <v>2991.53</v>
      </c>
      <c r="O17" s="54">
        <f t="shared" si="15"/>
        <v>1.1280000000001564</v>
      </c>
      <c r="P17" s="38">
        <f t="shared" si="19"/>
        <v>2143.2000000002972</v>
      </c>
      <c r="Q17" s="7">
        <v>4732.9399999999996</v>
      </c>
      <c r="R17" s="54">
        <f t="shared" si="16"/>
        <v>0.28999999999996362</v>
      </c>
      <c r="S17" s="38">
        <f t="shared" si="17"/>
        <v>550.99999999993088</v>
      </c>
      <c r="T17" s="8">
        <f t="shared" si="20"/>
        <v>13.156000000000859</v>
      </c>
      <c r="U17" s="40">
        <f t="shared" si="18"/>
        <v>24996.400000001628</v>
      </c>
    </row>
    <row r="18" spans="1:24" ht="16.5" thickBot="1" x14ac:dyDescent="0.25">
      <c r="A18" s="10">
        <v>44301</v>
      </c>
      <c r="B18" s="1">
        <v>20353.153999999999</v>
      </c>
      <c r="C18" s="54">
        <f>IF((B18-B17)&lt;0,"0",(B18-B17))</f>
        <v>4.5209999999970023</v>
      </c>
      <c r="D18" s="38">
        <f t="shared" si="8"/>
        <v>8589.8999999943026</v>
      </c>
      <c r="E18" s="1">
        <v>3527.6880000000001</v>
      </c>
      <c r="F18" s="54">
        <f t="shared" si="9"/>
        <v>1.0970000000002074</v>
      </c>
      <c r="G18" s="38">
        <f t="shared" si="10"/>
        <v>2084.3000000003935</v>
      </c>
      <c r="H18" s="1">
        <v>2808</v>
      </c>
      <c r="I18" s="54">
        <f t="shared" si="11"/>
        <v>6</v>
      </c>
      <c r="J18" s="38">
        <f t="shared" si="12"/>
        <v>11399.999999999998</v>
      </c>
      <c r="K18" s="7">
        <v>13332.47</v>
      </c>
      <c r="L18" s="54">
        <f t="shared" si="13"/>
        <v>0.78999999999905413</v>
      </c>
      <c r="M18" s="38">
        <f t="shared" si="14"/>
        <v>1500.9999999982026</v>
      </c>
      <c r="N18" s="7">
        <v>2992.7060000000001</v>
      </c>
      <c r="O18" s="54">
        <f t="shared" si="15"/>
        <v>1.1759999999999309</v>
      </c>
      <c r="P18" s="38">
        <f t="shared" si="19"/>
        <v>2234.3999999998687</v>
      </c>
      <c r="Q18" s="7">
        <v>4732.9399999999996</v>
      </c>
      <c r="R18" s="54">
        <f t="shared" si="16"/>
        <v>0</v>
      </c>
      <c r="S18" s="38">
        <f t="shared" si="17"/>
        <v>0</v>
      </c>
      <c r="T18" s="8">
        <f t="shared" si="20"/>
        <v>13.583999999996195</v>
      </c>
      <c r="U18" s="40">
        <f t="shared" si="18"/>
        <v>25809.59999999277</v>
      </c>
    </row>
    <row r="19" spans="1:24" ht="16.5" thickBot="1" x14ac:dyDescent="0.25">
      <c r="A19" s="10">
        <v>44302</v>
      </c>
      <c r="B19" s="1">
        <v>20358.740000000002</v>
      </c>
      <c r="C19" s="54">
        <f>IF((B19-B18)&lt;0,"0",(B19-B18))</f>
        <v>5.5860000000029686</v>
      </c>
      <c r="D19" s="38">
        <f t="shared" si="8"/>
        <v>10613.40000000564</v>
      </c>
      <c r="E19" s="1">
        <v>3528.4740000000002</v>
      </c>
      <c r="F19" s="54">
        <f t="shared" si="9"/>
        <v>0.78600000000005821</v>
      </c>
      <c r="G19" s="38">
        <f t="shared" si="10"/>
        <v>1493.4000000001104</v>
      </c>
      <c r="H19" s="1">
        <v>2814</v>
      </c>
      <c r="I19" s="54">
        <f t="shared" si="11"/>
        <v>6</v>
      </c>
      <c r="J19" s="38">
        <f t="shared" si="12"/>
        <v>11399.999999999998</v>
      </c>
      <c r="K19" s="7">
        <v>13333.66</v>
      </c>
      <c r="L19" s="54">
        <f t="shared" si="13"/>
        <v>1.1900000000005093</v>
      </c>
      <c r="M19" s="38">
        <f t="shared" si="14"/>
        <v>2261.0000000009677</v>
      </c>
      <c r="N19" s="7">
        <v>2994.0419999999999</v>
      </c>
      <c r="O19" s="54">
        <f t="shared" si="15"/>
        <v>1.3359999999997854</v>
      </c>
      <c r="P19" s="38">
        <f t="shared" si="19"/>
        <v>2538.3999999995922</v>
      </c>
      <c r="Q19" s="7">
        <v>4732.9399999999996</v>
      </c>
      <c r="R19" s="54">
        <f t="shared" si="16"/>
        <v>0</v>
      </c>
      <c r="S19" s="38">
        <f t="shared" si="17"/>
        <v>0</v>
      </c>
      <c r="T19" s="8">
        <f t="shared" si="20"/>
        <v>14.898000000003321</v>
      </c>
      <c r="U19" s="40">
        <f t="shared" si="18"/>
        <v>28306.200000006309</v>
      </c>
    </row>
    <row r="20" spans="1:24" ht="16.5" thickBot="1" x14ac:dyDescent="0.25">
      <c r="A20" s="10">
        <v>44303</v>
      </c>
      <c r="B20" s="1">
        <v>20365.419000000002</v>
      </c>
      <c r="C20" s="54">
        <f t="shared" si="7"/>
        <v>6.6790000000000873</v>
      </c>
      <c r="D20" s="38">
        <f t="shared" si="8"/>
        <v>12690.100000000164</v>
      </c>
      <c r="E20" s="1">
        <v>3529.96</v>
      </c>
      <c r="F20" s="54">
        <f t="shared" si="9"/>
        <v>1.4859999999998763</v>
      </c>
      <c r="G20" s="38">
        <f t="shared" si="10"/>
        <v>2823.399999999765</v>
      </c>
      <c r="H20" s="1">
        <v>2822</v>
      </c>
      <c r="I20" s="54">
        <f t="shared" si="11"/>
        <v>8</v>
      </c>
      <c r="J20" s="38">
        <f t="shared" si="12"/>
        <v>15200</v>
      </c>
      <c r="K20" s="7">
        <v>13335.53</v>
      </c>
      <c r="L20" s="54">
        <f t="shared" si="13"/>
        <v>1.8700000000008004</v>
      </c>
      <c r="M20" s="38">
        <f t="shared" si="14"/>
        <v>3553.0000000015207</v>
      </c>
      <c r="N20" s="7">
        <v>2995.654</v>
      </c>
      <c r="O20" s="54">
        <f t="shared" si="15"/>
        <v>1.61200000000008</v>
      </c>
      <c r="P20" s="38">
        <f t="shared" si="19"/>
        <v>3062.8000000001521</v>
      </c>
      <c r="Q20" s="7">
        <v>4732.9399999999996</v>
      </c>
      <c r="R20" s="54">
        <v>0</v>
      </c>
      <c r="S20" s="38">
        <f t="shared" si="17"/>
        <v>0</v>
      </c>
      <c r="T20" s="8">
        <f t="shared" si="20"/>
        <v>19.647000000000844</v>
      </c>
      <c r="U20" s="40">
        <f t="shared" si="18"/>
        <v>37329.300000001604</v>
      </c>
      <c r="X20" t="s">
        <v>13</v>
      </c>
    </row>
    <row r="21" spans="1:24" ht="16.5" thickBot="1" x14ac:dyDescent="0.25">
      <c r="A21" s="10">
        <v>44304</v>
      </c>
      <c r="B21" s="1">
        <v>20371.991999999998</v>
      </c>
      <c r="C21" s="54">
        <f t="shared" si="7"/>
        <v>6.5729999999966822</v>
      </c>
      <c r="D21" s="38">
        <f t="shared" si="8"/>
        <v>12488.699999993696</v>
      </c>
      <c r="E21" s="1">
        <v>3531.9659999999999</v>
      </c>
      <c r="F21" s="54">
        <f t="shared" si="9"/>
        <v>2.0059999999998581</v>
      </c>
      <c r="G21" s="38">
        <f t="shared" si="10"/>
        <v>3811.3999999997304</v>
      </c>
      <c r="H21" s="1">
        <v>2829</v>
      </c>
      <c r="I21" s="54">
        <f t="shared" si="11"/>
        <v>7</v>
      </c>
      <c r="J21" s="38">
        <f t="shared" si="12"/>
        <v>13299.999999999998</v>
      </c>
      <c r="K21" s="7">
        <v>13336.75</v>
      </c>
      <c r="L21" s="54">
        <f t="shared" si="13"/>
        <v>1.2199999999993452</v>
      </c>
      <c r="M21" s="38">
        <f t="shared" si="14"/>
        <v>2317.9999999987558</v>
      </c>
      <c r="N21" s="7">
        <v>2997.1219999999998</v>
      </c>
      <c r="O21" s="54">
        <f t="shared" si="15"/>
        <v>1.4679999999998472</v>
      </c>
      <c r="P21" s="38">
        <f t="shared" si="19"/>
        <v>2789.1999999997097</v>
      </c>
      <c r="Q21" s="7">
        <v>4734.79</v>
      </c>
      <c r="R21" s="54">
        <f t="shared" si="16"/>
        <v>1.8500000000003638</v>
      </c>
      <c r="S21" s="38">
        <f t="shared" si="17"/>
        <v>3515.0000000006912</v>
      </c>
      <c r="T21" s="8">
        <f t="shared" si="20"/>
        <v>20.116999999996096</v>
      </c>
      <c r="U21" s="40">
        <f t="shared" si="18"/>
        <v>38222.299999992581</v>
      </c>
    </row>
    <row r="22" spans="1:24" ht="16.5" thickBot="1" x14ac:dyDescent="0.25">
      <c r="A22" s="10">
        <v>44305</v>
      </c>
      <c r="B22" s="1">
        <v>20382.407999999999</v>
      </c>
      <c r="C22" s="54">
        <f t="shared" si="7"/>
        <v>10.416000000001077</v>
      </c>
      <c r="D22" s="38">
        <f t="shared" si="8"/>
        <v>19790.400000002046</v>
      </c>
      <c r="E22" s="1">
        <v>3534</v>
      </c>
      <c r="F22" s="54">
        <f t="shared" si="9"/>
        <v>2.0340000000001055</v>
      </c>
      <c r="G22" s="38">
        <f t="shared" si="10"/>
        <v>3864.6000000002</v>
      </c>
      <c r="H22" s="1">
        <v>2838</v>
      </c>
      <c r="I22" s="54">
        <f t="shared" si="11"/>
        <v>9</v>
      </c>
      <c r="J22" s="38">
        <f t="shared" si="12"/>
        <v>17099.999999999996</v>
      </c>
      <c r="K22" s="7">
        <v>13338.44</v>
      </c>
      <c r="L22" s="54">
        <f t="shared" si="13"/>
        <v>1.6900000000005093</v>
      </c>
      <c r="M22" s="38">
        <f t="shared" si="14"/>
        <v>3211.0000000009677</v>
      </c>
      <c r="N22" s="7">
        <v>2999.0120000000002</v>
      </c>
      <c r="O22" s="54">
        <f t="shared" si="15"/>
        <v>1.8900000000003274</v>
      </c>
      <c r="P22" s="38">
        <f t="shared" si="19"/>
        <v>3591.0000000006221</v>
      </c>
      <c r="Q22" s="7">
        <v>4738.68</v>
      </c>
      <c r="R22" s="54">
        <f t="shared" si="16"/>
        <v>3.8900000000003274</v>
      </c>
      <c r="S22" s="38">
        <f t="shared" si="17"/>
        <v>7391.0000000006221</v>
      </c>
      <c r="T22" s="8">
        <f t="shared" si="20"/>
        <v>28.920000000002346</v>
      </c>
      <c r="U22" s="40">
        <f t="shared" si="18"/>
        <v>54948.000000004453</v>
      </c>
    </row>
    <row r="23" spans="1:24" ht="16.5" thickBot="1" x14ac:dyDescent="0.25">
      <c r="A23" s="10">
        <v>44306</v>
      </c>
      <c r="B23" s="1">
        <v>20390.205000000002</v>
      </c>
      <c r="C23" s="54">
        <f t="shared" si="7"/>
        <v>7.7970000000022992</v>
      </c>
      <c r="D23" s="38">
        <f t="shared" si="8"/>
        <v>14814.300000004367</v>
      </c>
      <c r="E23" s="1">
        <v>3536.1390000000001</v>
      </c>
      <c r="F23" s="54">
        <f t="shared" si="9"/>
        <v>2.1390000000001237</v>
      </c>
      <c r="G23" s="38">
        <f t="shared" si="10"/>
        <v>4064.100000000235</v>
      </c>
      <c r="H23" s="1">
        <v>2847</v>
      </c>
      <c r="I23" s="54">
        <f t="shared" si="11"/>
        <v>9</v>
      </c>
      <c r="J23" s="38">
        <f t="shared" si="12"/>
        <v>17099.999999999996</v>
      </c>
      <c r="K23" s="7">
        <v>13339.82</v>
      </c>
      <c r="L23" s="54">
        <f t="shared" si="13"/>
        <v>1.3799999999991996</v>
      </c>
      <c r="M23" s="38">
        <f t="shared" si="14"/>
        <v>2621.9999999984793</v>
      </c>
      <c r="N23" s="7">
        <v>3000.2530000000002</v>
      </c>
      <c r="O23" s="54">
        <f t="shared" si="15"/>
        <v>1.2409999999999854</v>
      </c>
      <c r="P23" s="38">
        <f t="shared" si="19"/>
        <v>2357.8999999999724</v>
      </c>
      <c r="Q23" s="7">
        <v>4740.58</v>
      </c>
      <c r="R23" s="54">
        <f t="shared" si="16"/>
        <v>1.8999999999996362</v>
      </c>
      <c r="S23" s="38">
        <f t="shared" si="17"/>
        <v>3609.9999999993083</v>
      </c>
      <c r="T23" s="8">
        <f t="shared" si="20"/>
        <v>23.457000000001244</v>
      </c>
      <c r="U23" s="40">
        <f t="shared" si="18"/>
        <v>44568.30000000236</v>
      </c>
    </row>
    <row r="24" spans="1:24" ht="16.5" thickBot="1" x14ac:dyDescent="0.25">
      <c r="A24" s="10">
        <v>44307</v>
      </c>
      <c r="B24" s="1">
        <v>20393.976999999999</v>
      </c>
      <c r="C24" s="54">
        <f t="shared" si="7"/>
        <v>3.771999999997206</v>
      </c>
      <c r="D24" s="38">
        <f t="shared" si="8"/>
        <v>7166.7999999946906</v>
      </c>
      <c r="E24" s="1">
        <v>3537.2539999999999</v>
      </c>
      <c r="F24" s="54">
        <f t="shared" si="9"/>
        <v>1.1149999999997817</v>
      </c>
      <c r="G24" s="38">
        <f t="shared" si="10"/>
        <v>2118.4999999995853</v>
      </c>
      <c r="H24" s="1">
        <v>2852</v>
      </c>
      <c r="I24" s="54">
        <f t="shared" si="11"/>
        <v>5</v>
      </c>
      <c r="J24" s="38">
        <f t="shared" si="12"/>
        <v>9500</v>
      </c>
      <c r="K24" s="7">
        <v>13340.44</v>
      </c>
      <c r="L24" s="54">
        <f t="shared" si="13"/>
        <v>0.62000000000080036</v>
      </c>
      <c r="M24" s="38">
        <f t="shared" si="14"/>
        <v>1178.0000000015207</v>
      </c>
      <c r="N24" s="7">
        <v>3000.931</v>
      </c>
      <c r="O24" s="54">
        <f t="shared" si="15"/>
        <v>0.67799999999988358</v>
      </c>
      <c r="P24" s="38">
        <f t="shared" si="19"/>
        <v>1288.1999999997788</v>
      </c>
      <c r="Q24" s="7">
        <v>4741.16</v>
      </c>
      <c r="R24" s="54">
        <f t="shared" si="16"/>
        <v>0.57999999999992724</v>
      </c>
      <c r="S24" s="38">
        <f t="shared" si="17"/>
        <v>1101.9999999998618</v>
      </c>
      <c r="T24" s="8">
        <f t="shared" si="20"/>
        <v>11.764999999997599</v>
      </c>
      <c r="U24" s="40">
        <f t="shared" si="18"/>
        <v>22353.499999995438</v>
      </c>
    </row>
    <row r="25" spans="1:24" ht="16.5" thickBot="1" x14ac:dyDescent="0.25">
      <c r="A25" s="10">
        <v>44308</v>
      </c>
      <c r="B25" s="1">
        <v>20399.885999999999</v>
      </c>
      <c r="C25" s="54">
        <f t="shared" si="7"/>
        <v>5.9089999999996508</v>
      </c>
      <c r="D25" s="38">
        <f t="shared" si="8"/>
        <v>11227.099999999336</v>
      </c>
      <c r="E25" s="1">
        <v>3539.3139999999999</v>
      </c>
      <c r="F25" s="54">
        <f t="shared" si="9"/>
        <v>2.0599999999999454</v>
      </c>
      <c r="G25" s="38">
        <f t="shared" si="10"/>
        <v>3913.9999999998963</v>
      </c>
      <c r="H25" s="1">
        <v>2860</v>
      </c>
      <c r="I25" s="54">
        <f t="shared" si="11"/>
        <v>8</v>
      </c>
      <c r="J25" s="38">
        <f t="shared" si="12"/>
        <v>15200</v>
      </c>
      <c r="K25" s="7">
        <v>13341.53</v>
      </c>
      <c r="L25" s="54">
        <f t="shared" si="13"/>
        <v>1.0900000000001455</v>
      </c>
      <c r="M25" s="38">
        <f t="shared" si="14"/>
        <v>2071.0000000002765</v>
      </c>
      <c r="N25" s="7">
        <v>3002.163</v>
      </c>
      <c r="O25" s="54">
        <f t="shared" si="15"/>
        <v>1.2319999999999709</v>
      </c>
      <c r="P25" s="38">
        <f t="shared" si="19"/>
        <v>2340.7999999999447</v>
      </c>
      <c r="Q25" s="7">
        <v>4742.3</v>
      </c>
      <c r="R25" s="54">
        <f t="shared" si="16"/>
        <v>1.1400000000003274</v>
      </c>
      <c r="S25" s="38">
        <f t="shared" si="17"/>
        <v>2166.0000000006221</v>
      </c>
      <c r="T25" s="8">
        <f t="shared" si="20"/>
        <v>19.43100000000004</v>
      </c>
      <c r="U25" s="40">
        <f t="shared" si="18"/>
        <v>36918.900000000074</v>
      </c>
    </row>
    <row r="26" spans="1:24" ht="16.5" thickBot="1" x14ac:dyDescent="0.25">
      <c r="A26" s="10">
        <v>44309</v>
      </c>
      <c r="B26" s="1">
        <v>20405.127</v>
      </c>
      <c r="C26" s="54">
        <f t="shared" si="7"/>
        <v>5.2410000000018044</v>
      </c>
      <c r="D26" s="38">
        <f t="shared" si="8"/>
        <v>9957.9000000034284</v>
      </c>
      <c r="E26" s="1">
        <v>3540.7020000000002</v>
      </c>
      <c r="F26" s="54">
        <f t="shared" si="9"/>
        <v>1.3880000000003747</v>
      </c>
      <c r="G26" s="38">
        <f t="shared" si="10"/>
        <v>2637.200000000712</v>
      </c>
      <c r="H26" s="1">
        <v>2867</v>
      </c>
      <c r="I26" s="54">
        <f t="shared" si="11"/>
        <v>7</v>
      </c>
      <c r="J26" s="38">
        <f t="shared" si="12"/>
        <v>13299.999999999998</v>
      </c>
      <c r="K26" s="7">
        <v>13341.53</v>
      </c>
      <c r="L26" s="54">
        <f t="shared" si="13"/>
        <v>0</v>
      </c>
      <c r="M26" s="38">
        <f t="shared" si="14"/>
        <v>0</v>
      </c>
      <c r="N26" s="7">
        <v>3003.1489999999999</v>
      </c>
      <c r="O26" s="54">
        <f t="shared" si="15"/>
        <v>0.98599999999987631</v>
      </c>
      <c r="P26" s="38">
        <f t="shared" si="19"/>
        <v>1873.3999999997648</v>
      </c>
      <c r="Q26" s="7">
        <v>4743.25</v>
      </c>
      <c r="R26" s="54">
        <f t="shared" si="16"/>
        <v>0.9499999999998181</v>
      </c>
      <c r="S26" s="38">
        <f t="shared" si="17"/>
        <v>1804.9999999996542</v>
      </c>
      <c r="T26" s="8">
        <f t="shared" si="20"/>
        <v>15.565000000001874</v>
      </c>
      <c r="U26" s="40">
        <f t="shared" si="18"/>
        <v>29573.500000003558</v>
      </c>
      <c r="V26" t="s">
        <v>13</v>
      </c>
    </row>
    <row r="27" spans="1:24" ht="16.5" thickBot="1" x14ac:dyDescent="0.25">
      <c r="A27" s="10">
        <v>44310</v>
      </c>
      <c r="B27" s="1">
        <v>20412.742999999999</v>
      </c>
      <c r="C27" s="54">
        <f t="shared" si="7"/>
        <v>7.6159999999981665</v>
      </c>
      <c r="D27" s="38">
        <f t="shared" si="8"/>
        <v>14470.399999996516</v>
      </c>
      <c r="E27" s="1">
        <v>3542.0990000000002</v>
      </c>
      <c r="F27" s="54">
        <f t="shared" si="9"/>
        <v>1.3969999999999345</v>
      </c>
      <c r="G27" s="38">
        <f t="shared" si="10"/>
        <v>2654.2999999998751</v>
      </c>
      <c r="H27" s="1">
        <v>2877</v>
      </c>
      <c r="I27" s="54">
        <f t="shared" si="11"/>
        <v>10</v>
      </c>
      <c r="J27" s="38">
        <f t="shared" si="12"/>
        <v>19000</v>
      </c>
      <c r="K27" s="7">
        <v>13341</v>
      </c>
      <c r="L27" s="54" t="str">
        <f t="shared" si="13"/>
        <v>0</v>
      </c>
      <c r="M27" s="38">
        <f t="shared" si="14"/>
        <v>0</v>
      </c>
      <c r="N27" s="7">
        <v>3004.8809999999999</v>
      </c>
      <c r="O27" s="54">
        <f t="shared" si="15"/>
        <v>1.7319999999999709</v>
      </c>
      <c r="P27" s="38">
        <f t="shared" si="19"/>
        <v>3290.7999999999442</v>
      </c>
      <c r="Q27" s="7">
        <v>4743.53</v>
      </c>
      <c r="R27" s="54">
        <f t="shared" si="16"/>
        <v>0.27999999999974534</v>
      </c>
      <c r="S27" s="38">
        <f t="shared" si="17"/>
        <v>531.99999999951604</v>
      </c>
      <c r="T27" s="8">
        <f t="shared" si="20"/>
        <v>21.024999999997817</v>
      </c>
      <c r="U27" s="40">
        <f t="shared" si="18"/>
        <v>39947.499999995845</v>
      </c>
      <c r="V27" t="s">
        <v>13</v>
      </c>
    </row>
    <row r="28" spans="1:24" ht="16.5" thickBot="1" x14ac:dyDescent="0.25">
      <c r="A28" s="10">
        <v>44311</v>
      </c>
      <c r="B28" s="1">
        <f t="shared" ref="B27:B33" si="22">B27</f>
        <v>20412.742999999999</v>
      </c>
      <c r="C28" s="54">
        <f t="shared" si="7"/>
        <v>0</v>
      </c>
      <c r="D28" s="38">
        <f t="shared" si="8"/>
        <v>0</v>
      </c>
      <c r="E28" s="1">
        <f t="shared" ref="E27:E33" si="23">E27</f>
        <v>3542.0990000000002</v>
      </c>
      <c r="F28" s="54">
        <f t="shared" si="9"/>
        <v>0</v>
      </c>
      <c r="G28" s="38">
        <f t="shared" si="10"/>
        <v>0</v>
      </c>
      <c r="H28" s="1">
        <f t="shared" ref="H27:H33" si="24">H27</f>
        <v>2877</v>
      </c>
      <c r="I28" s="54">
        <f t="shared" si="11"/>
        <v>0</v>
      </c>
      <c r="J28" s="38">
        <f t="shared" si="12"/>
        <v>0</v>
      </c>
      <c r="K28" s="7">
        <f t="shared" ref="K27:K33" si="25">K27</f>
        <v>13341</v>
      </c>
      <c r="L28" s="54">
        <f t="shared" si="13"/>
        <v>0</v>
      </c>
      <c r="M28" s="38">
        <f t="shared" si="14"/>
        <v>0</v>
      </c>
      <c r="N28" s="7">
        <f t="shared" ref="N27:N32" si="26">N27</f>
        <v>3004.8809999999999</v>
      </c>
      <c r="O28" s="54">
        <f t="shared" si="15"/>
        <v>0</v>
      </c>
      <c r="P28" s="38">
        <f t="shared" si="19"/>
        <v>0</v>
      </c>
      <c r="Q28" s="7">
        <v>4730.2470000000003</v>
      </c>
      <c r="R28" s="54" t="str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2"/>
        <v>20412.742999999999</v>
      </c>
      <c r="C29" s="54">
        <f t="shared" si="7"/>
        <v>0</v>
      </c>
      <c r="D29" s="38">
        <f t="shared" si="8"/>
        <v>0</v>
      </c>
      <c r="E29" s="1">
        <f t="shared" si="23"/>
        <v>3542.0990000000002</v>
      </c>
      <c r="F29" s="54">
        <f t="shared" si="9"/>
        <v>0</v>
      </c>
      <c r="G29" s="38">
        <f t="shared" si="10"/>
        <v>0</v>
      </c>
      <c r="H29" s="1">
        <f t="shared" si="24"/>
        <v>2877</v>
      </c>
      <c r="I29" s="54">
        <f t="shared" si="11"/>
        <v>0</v>
      </c>
      <c r="J29" s="38">
        <f t="shared" si="12"/>
        <v>0</v>
      </c>
      <c r="K29" s="7">
        <f t="shared" si="25"/>
        <v>13341</v>
      </c>
      <c r="L29" s="54">
        <f t="shared" si="13"/>
        <v>0</v>
      </c>
      <c r="M29" s="38">
        <f t="shared" si="14"/>
        <v>0</v>
      </c>
      <c r="N29" s="7">
        <f t="shared" si="26"/>
        <v>3004.8809999999999</v>
      </c>
      <c r="O29" s="54">
        <f t="shared" si="15"/>
        <v>0</v>
      </c>
      <c r="P29" s="38">
        <f t="shared" si="19"/>
        <v>0</v>
      </c>
      <c r="Q29" s="7">
        <v>4730.2470000000003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22"/>
        <v>20412.742999999999</v>
      </c>
      <c r="C30" s="54">
        <f t="shared" si="7"/>
        <v>0</v>
      </c>
      <c r="D30" s="38">
        <f t="shared" si="8"/>
        <v>0</v>
      </c>
      <c r="E30" s="1">
        <f t="shared" si="23"/>
        <v>3542.0990000000002</v>
      </c>
      <c r="F30" s="54">
        <f t="shared" si="9"/>
        <v>0</v>
      </c>
      <c r="G30" s="38">
        <f t="shared" si="10"/>
        <v>0</v>
      </c>
      <c r="H30" s="1">
        <f t="shared" si="24"/>
        <v>2877</v>
      </c>
      <c r="I30" s="54">
        <f t="shared" si="11"/>
        <v>0</v>
      </c>
      <c r="J30" s="38">
        <f t="shared" si="12"/>
        <v>0</v>
      </c>
      <c r="K30" s="7">
        <f t="shared" si="25"/>
        <v>13341</v>
      </c>
      <c r="L30" s="54">
        <f t="shared" si="13"/>
        <v>0</v>
      </c>
      <c r="M30" s="38">
        <f t="shared" si="14"/>
        <v>0</v>
      </c>
      <c r="N30" s="7">
        <f t="shared" si="26"/>
        <v>3004.8809999999999</v>
      </c>
      <c r="O30" s="54">
        <f t="shared" si="15"/>
        <v>0</v>
      </c>
      <c r="P30" s="38">
        <f t="shared" si="19"/>
        <v>0</v>
      </c>
      <c r="Q30" s="7">
        <v>4730.2470000000003</v>
      </c>
      <c r="R30" s="54">
        <f t="shared" si="16"/>
        <v>0</v>
      </c>
      <c r="S30" s="38">
        <f t="shared" si="17"/>
        <v>0</v>
      </c>
      <c r="T30" s="8">
        <f t="shared" si="20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22"/>
        <v>20412.742999999999</v>
      </c>
      <c r="C31" s="54">
        <f t="shared" si="7"/>
        <v>0</v>
      </c>
      <c r="D31" s="38">
        <f t="shared" si="8"/>
        <v>0</v>
      </c>
      <c r="E31" s="1">
        <f t="shared" si="23"/>
        <v>3542.0990000000002</v>
      </c>
      <c r="F31" s="54">
        <f t="shared" si="9"/>
        <v>0</v>
      </c>
      <c r="G31" s="38">
        <f t="shared" si="10"/>
        <v>0</v>
      </c>
      <c r="H31" s="1">
        <f t="shared" si="24"/>
        <v>2877</v>
      </c>
      <c r="I31" s="54">
        <f t="shared" si="11"/>
        <v>0</v>
      </c>
      <c r="J31" s="38">
        <f t="shared" si="12"/>
        <v>0</v>
      </c>
      <c r="K31" s="7">
        <f t="shared" si="25"/>
        <v>13341</v>
      </c>
      <c r="L31" s="54">
        <f t="shared" si="13"/>
        <v>0</v>
      </c>
      <c r="M31" s="38">
        <f t="shared" si="14"/>
        <v>0</v>
      </c>
      <c r="N31" s="7">
        <f t="shared" si="26"/>
        <v>3004.8809999999999</v>
      </c>
      <c r="O31" s="54">
        <f t="shared" si="15"/>
        <v>0</v>
      </c>
      <c r="P31" s="38">
        <f t="shared" si="19"/>
        <v>0</v>
      </c>
      <c r="Q31" s="7">
        <v>4730.2470000000003</v>
      </c>
      <c r="R31" s="54">
        <f t="shared" si="16"/>
        <v>0</v>
      </c>
      <c r="S31" s="38">
        <f t="shared" si="17"/>
        <v>0</v>
      </c>
      <c r="T31" s="8">
        <f t="shared" si="20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22"/>
        <v>20412.742999999999</v>
      </c>
      <c r="C32" s="54">
        <f t="shared" si="7"/>
        <v>0</v>
      </c>
      <c r="D32" s="38">
        <f t="shared" si="8"/>
        <v>0</v>
      </c>
      <c r="E32" s="1">
        <f t="shared" si="23"/>
        <v>3542.0990000000002</v>
      </c>
      <c r="F32" s="54">
        <f t="shared" si="9"/>
        <v>0</v>
      </c>
      <c r="G32" s="38">
        <f t="shared" si="10"/>
        <v>0</v>
      </c>
      <c r="H32" s="1">
        <f t="shared" si="24"/>
        <v>2877</v>
      </c>
      <c r="I32" s="54">
        <f t="shared" si="11"/>
        <v>0</v>
      </c>
      <c r="J32" s="38">
        <f t="shared" si="12"/>
        <v>0</v>
      </c>
      <c r="K32" s="7">
        <f t="shared" si="25"/>
        <v>13341</v>
      </c>
      <c r="L32" s="54">
        <f t="shared" si="13"/>
        <v>0</v>
      </c>
      <c r="M32" s="38">
        <f t="shared" si="14"/>
        <v>0</v>
      </c>
      <c r="N32" s="7">
        <f t="shared" si="26"/>
        <v>3004.8809999999999</v>
      </c>
      <c r="O32" s="54">
        <f t="shared" si="15"/>
        <v>0</v>
      </c>
      <c r="P32" s="38">
        <f t="shared" si="19"/>
        <v>0</v>
      </c>
      <c r="Q32" s="7">
        <v>4730.2470000000003</v>
      </c>
      <c r="R32" s="54">
        <f t="shared" si="16"/>
        <v>0</v>
      </c>
      <c r="S32" s="38">
        <f t="shared" si="17"/>
        <v>0</v>
      </c>
      <c r="T32" s="8">
        <f t="shared" si="20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22"/>
        <v>20412.742999999999</v>
      </c>
      <c r="C33" s="54">
        <f t="shared" si="7"/>
        <v>0</v>
      </c>
      <c r="D33" s="38">
        <f t="shared" si="8"/>
        <v>0</v>
      </c>
      <c r="E33" s="1">
        <f t="shared" si="23"/>
        <v>3542.0990000000002</v>
      </c>
      <c r="F33" s="54">
        <f t="shared" si="9"/>
        <v>0</v>
      </c>
      <c r="G33" s="38">
        <f t="shared" si="10"/>
        <v>0</v>
      </c>
      <c r="H33" s="1">
        <f t="shared" si="24"/>
        <v>2877</v>
      </c>
      <c r="I33" s="54">
        <f t="shared" si="11"/>
        <v>0</v>
      </c>
      <c r="J33" s="38">
        <f t="shared" si="12"/>
        <v>0</v>
      </c>
      <c r="K33" s="7">
        <f t="shared" si="25"/>
        <v>13341</v>
      </c>
      <c r="L33" s="54">
        <f t="shared" si="13"/>
        <v>0</v>
      </c>
      <c r="M33" s="38">
        <f t="shared" si="14"/>
        <v>0</v>
      </c>
      <c r="N33" s="7">
        <f t="shared" ref="N33" si="27">N32</f>
        <v>3004.8809999999999</v>
      </c>
      <c r="O33" s="54">
        <f t="shared" si="15"/>
        <v>0</v>
      </c>
      <c r="P33" s="38">
        <f t="shared" si="19"/>
        <v>0</v>
      </c>
      <c r="Q33" s="7">
        <v>4730.2470000000003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259203.6999999978</v>
      </c>
      <c r="E34" s="162">
        <v>0</v>
      </c>
      <c r="F34" s="162">
        <f>SUM(F2:F33)</f>
        <v>32.759000000000015</v>
      </c>
      <c r="G34" s="162">
        <f>SUM(G2:G33)</f>
        <v>62242.100000000028</v>
      </c>
      <c r="H34" s="162"/>
      <c r="I34" s="162">
        <f>SUM(I2:I33)</f>
        <v>155</v>
      </c>
      <c r="J34" s="162">
        <f>SUM(J2:J33)</f>
        <v>294500</v>
      </c>
      <c r="K34" s="162"/>
      <c r="L34" s="162">
        <f>SUM(L2:L33)</f>
        <v>23.780000000000655</v>
      </c>
      <c r="M34" s="162">
        <f>SUM(M2:M33)</f>
        <v>45182.000000001244</v>
      </c>
      <c r="N34" s="162"/>
      <c r="O34" s="162">
        <f>SUM(O2:O33)</f>
        <v>33.865999999999985</v>
      </c>
      <c r="P34" s="162">
        <f>SUM(P2:P33)</f>
        <v>63974.299999999705</v>
      </c>
      <c r="Q34" s="162"/>
      <c r="R34" s="162">
        <v>0</v>
      </c>
      <c r="S34" s="162">
        <f>SUM(S2:S33)</f>
        <v>37078.499999998887</v>
      </c>
      <c r="T34" s="162">
        <f>SUM(T2:T33)</f>
        <v>388.46999999999935</v>
      </c>
      <c r="U34" s="162">
        <f>SUM(U2:U33)</f>
        <v>738092.99999999872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358725</v>
      </c>
      <c r="D2" s="110">
        <f>C2*1.27</f>
        <v>455580.75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25668375</v>
      </c>
      <c r="K3" s="105">
        <f>J3-I3</f>
        <v>234836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80955902</v>
      </c>
      <c r="K4" s="105">
        <f>J4-I4</f>
        <v>1118267</v>
      </c>
    </row>
    <row r="5" spans="1:11" ht="13.5" thickBot="1" x14ac:dyDescent="0.25">
      <c r="A5" s="108"/>
      <c r="B5" s="114" t="s">
        <v>28</v>
      </c>
      <c r="C5" s="118">
        <f>(K10+K12)*0.842284+K26</f>
        <v>629759.92701600003</v>
      </c>
      <c r="D5" s="118">
        <f t="shared" ref="D5:D11" si="0">C5*1.27</f>
        <v>799795.10731032002</v>
      </c>
      <c r="E5" s="119"/>
      <c r="F5" s="108"/>
      <c r="G5" s="108"/>
      <c r="H5" s="114" t="s">
        <v>24</v>
      </c>
      <c r="I5" s="120"/>
      <c r="J5" s="120"/>
      <c r="K5" s="145">
        <f>K3+K4</f>
        <v>1353103</v>
      </c>
    </row>
    <row r="6" spans="1:11" ht="13.5" thickBot="1" x14ac:dyDescent="0.25">
      <c r="A6" s="108"/>
      <c r="B6" s="114" t="s">
        <v>100</v>
      </c>
      <c r="C6" s="118">
        <f>(K10+K12+K26)*0.1488</f>
        <v>110947.36319999999</v>
      </c>
      <c r="D6" s="118">
        <f t="shared" si="0"/>
        <v>140903.15126399999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7882590</v>
      </c>
      <c r="K6" s="105">
        <f>J6-I6</f>
        <v>130355</v>
      </c>
    </row>
    <row r="7" spans="1:11" ht="13.5" thickBot="1" x14ac:dyDescent="0.25">
      <c r="A7" s="108"/>
      <c r="B7" s="114" t="s">
        <v>102</v>
      </c>
      <c r="C7" s="118">
        <f>(K6+K7)-(C8+C9+C10+C11+K26)</f>
        <v>197180</v>
      </c>
      <c r="D7" s="118">
        <f t="shared" si="0"/>
        <v>250418.6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7904284</v>
      </c>
      <c r="K7" s="105">
        <f>J7-I7</f>
        <v>129449</v>
      </c>
    </row>
    <row r="8" spans="1:11" ht="13.5" thickBot="1" x14ac:dyDescent="0.25">
      <c r="A8" s="108"/>
      <c r="B8" s="114" t="s">
        <v>104</v>
      </c>
      <c r="C8" s="118">
        <f>K21+K22+K23+K24</f>
        <v>26935</v>
      </c>
      <c r="D8" s="118">
        <f t="shared" si="0"/>
        <v>34207.449999999997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5059563</v>
      </c>
      <c r="K8" s="105">
        <f>(J8-I8)*2</f>
        <v>101456</v>
      </c>
    </row>
    <row r="9" spans="1:11" ht="13.5" thickBot="1" x14ac:dyDescent="0.25">
      <c r="A9" s="108"/>
      <c r="B9" s="114" t="s">
        <v>138</v>
      </c>
      <c r="C9" s="118">
        <f>K25+K16+K17</f>
        <v>8130</v>
      </c>
      <c r="D9" s="118">
        <f t="shared" si="0"/>
        <v>10325.1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3123588</v>
      </c>
      <c r="K9" s="105">
        <f>J9-I9</f>
        <v>230194</v>
      </c>
    </row>
    <row r="10" spans="1:11" ht="13.5" thickBot="1" x14ac:dyDescent="0.25">
      <c r="A10" s="108"/>
      <c r="B10" s="114" t="s">
        <v>107</v>
      </c>
      <c r="C10" s="118">
        <f>K18</f>
        <v>13600</v>
      </c>
      <c r="D10" s="118">
        <f t="shared" si="0"/>
        <v>17272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17206922</v>
      </c>
      <c r="K10" s="105">
        <f>J10-I10</f>
        <v>221014</v>
      </c>
    </row>
    <row r="11" spans="1:11" ht="13.5" thickBot="1" x14ac:dyDescent="0.25">
      <c r="A11" s="108"/>
      <c r="B11" s="114" t="s">
        <v>109</v>
      </c>
      <c r="C11" s="118">
        <f>K19+K20</f>
        <v>2919</v>
      </c>
      <c r="D11" s="118">
        <f t="shared" si="0"/>
        <v>3707.13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4835344</v>
      </c>
      <c r="K12" s="105">
        <f>(J12-I12)*2</f>
        <v>513560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1326028</v>
      </c>
    </row>
    <row r="14" spans="1:11" ht="13.5" thickBot="1" x14ac:dyDescent="0.25">
      <c r="A14" s="108"/>
      <c r="B14" s="114" t="s">
        <v>43</v>
      </c>
      <c r="C14" s="118">
        <f>K29</f>
        <v>18140</v>
      </c>
      <c r="D14" s="126">
        <f t="shared" ref="D14:D22" si="1">C14*10.03</f>
        <v>181944.19999999998</v>
      </c>
      <c r="E14" s="127"/>
      <c r="F14" s="108"/>
      <c r="G14" s="108"/>
      <c r="H14" s="114" t="s">
        <v>115</v>
      </c>
      <c r="I14" s="123"/>
      <c r="J14" s="124"/>
      <c r="K14" s="106">
        <f>K5-K13</f>
        <v>27075</v>
      </c>
    </row>
    <row r="15" spans="1:11" ht="13.5" thickBot="1" x14ac:dyDescent="0.25">
      <c r="A15" s="108"/>
      <c r="B15" s="114" t="s">
        <v>116</v>
      </c>
      <c r="C15" s="128">
        <f>K30</f>
        <v>91.664999999999992</v>
      </c>
      <c r="D15" s="126">
        <f t="shared" si="1"/>
        <v>919.39994999999988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1611.6945529999998</v>
      </c>
      <c r="D16" s="126">
        <f t="shared" si="1"/>
        <v>16165.296366589997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3615</v>
      </c>
      <c r="K16" s="107">
        <f>(J16-I16)*160</f>
        <v>5600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24863</v>
      </c>
      <c r="K18" s="107">
        <f>(J18-I18)*160</f>
        <v>13600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101029</v>
      </c>
      <c r="K19" s="107">
        <f>J19-I19</f>
        <v>2919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45159</v>
      </c>
      <c r="K21" s="107">
        <f>(J21-I21)*120</f>
        <v>14400</v>
      </c>
    </row>
    <row r="22" spans="1:11" ht="13.5" thickBot="1" x14ac:dyDescent="0.25">
      <c r="A22" s="108"/>
      <c r="B22" s="114" t="s">
        <v>120</v>
      </c>
      <c r="C22" s="126">
        <f>C14-(C15+C16+C17+C18+C19+C20+C21)</f>
        <v>10616.640447</v>
      </c>
      <c r="D22" s="126">
        <f t="shared" si="1"/>
        <v>106484.90368341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39457</v>
      </c>
      <c r="K22" s="107">
        <f>(J22-I22)*160</f>
        <v>10240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20299</v>
      </c>
      <c r="K23" s="107">
        <f>(J23-I23)*20</f>
        <v>1560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240584</v>
      </c>
      <c r="K24" s="107">
        <f>J24-I24</f>
        <v>735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215434</v>
      </c>
      <c r="K25" s="107">
        <f>J25-I25</f>
        <v>2530</v>
      </c>
    </row>
    <row r="26" spans="1:11" ht="13.5" thickBot="1" x14ac:dyDescent="0.25">
      <c r="A26" s="108"/>
      <c r="B26" s="114" t="s">
        <v>43</v>
      </c>
      <c r="C26" s="132">
        <f>K35</f>
        <v>53596</v>
      </c>
      <c r="D26" s="118">
        <f>C26*3.65</f>
        <v>195625.4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18136</v>
      </c>
      <c r="K26" s="107">
        <f>(J26-I26)*160</f>
        <v>11040</v>
      </c>
    </row>
    <row r="27" spans="1:11" ht="13.5" thickBot="1" x14ac:dyDescent="0.25">
      <c r="A27" s="108"/>
      <c r="B27" s="109" t="s">
        <v>125</v>
      </c>
      <c r="C27" s="132">
        <f>C26</f>
        <v>53596</v>
      </c>
      <c r="D27" s="118">
        <f>C27*3.65</f>
        <v>195625.4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409257</v>
      </c>
      <c r="K29" s="107">
        <f>(J29-I29)*10</f>
        <v>18140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729419</v>
      </c>
      <c r="K30" s="107">
        <f>(J30-I30)*0.027</f>
        <v>91.664999999999992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4080100</v>
      </c>
      <c r="K31" s="107">
        <f>(J31-I31)*0.027</f>
        <v>8432.1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2766300</v>
      </c>
      <c r="K32" s="107">
        <f>(J32-I32)*0.027</f>
        <v>8410.5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17304057</v>
      </c>
      <c r="K35" s="138">
        <f>J35-I35</f>
        <v>53596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8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8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83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83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9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9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8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8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83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83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9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9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8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8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83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83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9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9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8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8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83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83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9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9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8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8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83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83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9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9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8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8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83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83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9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9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8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8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83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83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9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9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8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8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83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83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9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9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8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8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83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83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9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9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8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8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83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83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9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9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8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8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83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83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9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9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8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8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83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83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9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9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8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8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83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83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9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9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8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8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83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83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9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9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8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8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83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83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8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8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83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83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8">
        <v>23</v>
      </c>
      <c r="D49" s="71" t="s">
        <v>84</v>
      </c>
      <c r="E49" s="88"/>
      <c r="F49" s="88"/>
      <c r="G49" s="73">
        <f t="shared" si="0"/>
        <v>0</v>
      </c>
      <c r="H49" s="74"/>
      <c r="J49" s="178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83"/>
      <c r="D50" s="71" t="s">
        <v>83</v>
      </c>
      <c r="E50" s="88"/>
      <c r="F50" s="88"/>
      <c r="G50" s="73">
        <f t="shared" si="0"/>
        <v>0</v>
      </c>
      <c r="H50" s="74"/>
      <c r="J50" s="183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84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84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85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85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6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86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8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8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9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9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8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8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9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9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8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8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9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9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8">
        <v>28</v>
      </c>
      <c r="D62" s="173" t="s">
        <v>87</v>
      </c>
      <c r="E62" s="72"/>
      <c r="F62" s="72"/>
      <c r="G62" s="73"/>
      <c r="H62" s="175" t="s">
        <v>88</v>
      </c>
      <c r="I62" s="78"/>
      <c r="J62" s="178">
        <v>28</v>
      </c>
      <c r="K62" s="173" t="s">
        <v>87</v>
      </c>
      <c r="L62" s="72"/>
      <c r="M62" s="72"/>
      <c r="N62" s="73"/>
      <c r="O62" s="175" t="s">
        <v>88</v>
      </c>
    </row>
    <row r="63" spans="1:15" ht="15" x14ac:dyDescent="0.2">
      <c r="A63" s="78"/>
      <c r="B63" s="67"/>
      <c r="C63" s="179"/>
      <c r="D63" s="174"/>
      <c r="E63" s="72"/>
      <c r="F63" s="72"/>
      <c r="G63" s="73"/>
      <c r="H63" s="176"/>
      <c r="I63" s="78"/>
      <c r="J63" s="179"/>
      <c r="K63" s="174"/>
      <c r="L63" s="72"/>
      <c r="M63" s="72"/>
      <c r="N63" s="73"/>
      <c r="O63" s="176"/>
    </row>
    <row r="64" spans="1:15" x14ac:dyDescent="0.2">
      <c r="A64" s="78"/>
      <c r="B64" s="67"/>
      <c r="C64" s="177" t="s">
        <v>89</v>
      </c>
      <c r="D64" s="177"/>
      <c r="E64" s="177"/>
      <c r="F64" s="177"/>
      <c r="G64" s="93">
        <f>SUM(G2:G63)</f>
        <v>36510</v>
      </c>
      <c r="H64" s="94"/>
      <c r="I64" s="78"/>
      <c r="J64" s="177" t="s">
        <v>89</v>
      </c>
      <c r="K64" s="177"/>
      <c r="L64" s="177"/>
      <c r="M64" s="177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0">
        <v>44228</v>
      </c>
      <c r="C69" s="181"/>
      <c r="D69" s="181"/>
      <c r="E69" s="182"/>
      <c r="F69" s="97"/>
      <c r="G69" s="180">
        <v>44256</v>
      </c>
      <c r="H69" s="181"/>
      <c r="I69" s="181"/>
      <c r="J69" s="182"/>
      <c r="K69" s="97"/>
      <c r="L69" s="170" t="s">
        <v>26</v>
      </c>
      <c r="M69" s="171"/>
      <c r="N69" s="171"/>
      <c r="O69" s="172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2018-07-02T08:24:59Z</cp:lastPrinted>
  <dcterms:created xsi:type="dcterms:W3CDTF">2017-07-31T14:40:49Z</dcterms:created>
  <dcterms:modified xsi:type="dcterms:W3CDTF">2021-04-25T01:22:56Z</dcterms:modified>
</cp:coreProperties>
</file>