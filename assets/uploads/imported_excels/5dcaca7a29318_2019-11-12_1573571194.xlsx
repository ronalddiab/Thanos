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AK15" i="7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 s="1"/>
  <c r="AC23" i="7"/>
  <c r="Q18" i="9" s="1"/>
  <c r="X22" i="7"/>
  <c r="L17" i="9"/>
  <c r="AK20" i="7"/>
  <c r="AH22" i="7"/>
  <c r="R28" i="9"/>
  <c r="G28" i="5" s="1"/>
  <c r="F20" i="9"/>
  <c r="N23" i="9"/>
  <c r="N28" i="9"/>
  <c r="T20" i="7"/>
  <c r="T21" i="7"/>
  <c r="AI21" i="7" s="1"/>
  <c r="F22" i="9"/>
  <c r="AR22" i="7"/>
  <c r="F25" i="9"/>
  <c r="AN20" i="7"/>
  <c r="AG19" i="7"/>
  <c r="I27" i="9"/>
  <c r="Q30" i="9"/>
  <c r="AW25" i="7"/>
  <c r="AJ35" i="7"/>
  <c r="AO31" i="7"/>
  <c r="AH21" i="7"/>
  <c r="AI31" i="7"/>
  <c r="N19" i="9"/>
  <c r="AO24" i="7"/>
  <c r="AL21" i="7"/>
  <c r="M23" i="9"/>
  <c r="R19" i="9"/>
  <c r="G19" i="5" s="1"/>
  <c r="K26" i="9"/>
  <c r="AJ30" i="7"/>
  <c r="I15" i="9"/>
  <c r="AN27" i="7"/>
  <c r="AM7" i="7"/>
  <c r="R22" i="9"/>
  <c r="G22" i="5" s="1"/>
  <c r="R29" i="9"/>
  <c r="G29" i="5" s="1"/>
  <c r="L29" i="9"/>
  <c r="AL19" i="7"/>
  <c r="F14" i="9"/>
  <c r="AM22" i="7"/>
  <c r="F19" i="9"/>
  <c r="AN36" i="7"/>
  <c r="AN25" i="7"/>
  <c r="F31" i="9"/>
  <c r="I29" i="9"/>
  <c r="AO29" i="7"/>
  <c r="AN21" i="7"/>
  <c r="AP10" i="7"/>
  <c r="N12" i="9"/>
  <c r="P17" i="9"/>
  <c r="R10" i="9"/>
  <c r="G10" i="5" s="1"/>
  <c r="AW15" i="7"/>
  <c r="J22" i="9"/>
  <c r="K20" i="9"/>
  <c r="AP13" i="7"/>
  <c r="AN11" i="7"/>
  <c r="AP35" i="7"/>
  <c r="I17" i="9"/>
  <c r="AO19" i="7"/>
  <c r="K14" i="9"/>
  <c r="AR20" i="7"/>
  <c r="AK19" i="7"/>
  <c r="AQ21" i="7"/>
  <c r="N15" i="9"/>
  <c r="F15" i="9"/>
  <c r="R17" i="9"/>
  <c r="G17" i="5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F27" i="9"/>
  <c r="M28" i="9"/>
  <c r="AJ33" i="7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P23" i="9"/>
  <c r="AI35" i="7"/>
  <c r="P25" i="9"/>
  <c r="AR9" i="7"/>
  <c r="AM8" i="7"/>
  <c r="R7" i="9"/>
  <c r="G7" i="5" s="1"/>
  <c r="AL11" i="7"/>
  <c r="AL14" i="7"/>
  <c r="G12" i="9"/>
  <c r="AJ15" i="7"/>
  <c r="R11" i="9"/>
  <c r="G11" i="5" s="1"/>
  <c r="P9" i="9"/>
  <c r="J10" i="9"/>
  <c r="R6" i="9"/>
  <c r="G6" i="5" s="1"/>
  <c r="AW19" i="7"/>
  <c r="L11" i="9"/>
  <c r="J5" i="9"/>
  <c r="G4" i="9"/>
  <c r="F4" i="9"/>
  <c r="AQ19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J13" i="9" l="1"/>
  <c r="G13" i="9"/>
  <c r="AG18" i="7"/>
  <c r="K12" i="9"/>
  <c r="AK17" i="7"/>
  <c r="AG15" i="7"/>
  <c r="F11" i="9"/>
  <c r="K11" i="9"/>
  <c r="M10" i="9"/>
  <c r="M11" i="9"/>
  <c r="Q11" i="9"/>
  <c r="Q10" i="9"/>
  <c r="AH15" i="7"/>
  <c r="AN14" i="7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S26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14" i="7" l="1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<sst xmlns="http://schemas.openxmlformats.org/spreadsheetml/2006/main" count="127" uniqueCount="49">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</sst>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69010</v>
      </c>
      <c r="F9" s="11">
        <v>5.0000000000000001E-3</v>
      </c>
      <c r="G9" s="12">
        <f>Submetering!R9</f>
        <v>833.16874099999984</v>
      </c>
      <c r="H9" s="11">
        <v>0.52800000000000002</v>
      </c>
      <c r="I9" s="12">
        <f>Hotel!B14</f>
        <v>260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82160</v>
      </c>
      <c r="F10" s="11">
        <v>5.0000000000000001E-3</v>
      </c>
      <c r="G10" s="12">
        <f>Submetering!R10</f>
        <v>1016.0040439999999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72530</v>
      </c>
      <c r="F11" s="11">
        <v>5.0000000000000001E-3</v>
      </c>
      <c r="G11" s="12">
        <f>Submetering!R11</f>
        <v>664.71799599999997</v>
      </c>
      <c r="H11" s="11">
        <v>0.52800000000000002</v>
      </c>
      <c r="I11" s="12">
        <f>Hotel!B16</f>
        <v>146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73430</v>
      </c>
      <c r="F12" s="11">
        <v>5.0000000000000001E-3</v>
      </c>
      <c r="G12" s="12">
        <f>Submetering!R12</f>
        <v>908.49840000000006</v>
      </c>
      <c r="H12" s="11">
        <v>0.52800000000000002</v>
      </c>
      <c r="I12" s="12">
        <f>Hotel!B17</f>
        <v>190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12000</v>
      </c>
      <c r="F9" s="4">
        <f>Hotel!R14</f>
        <v>7400</v>
      </c>
      <c r="G9" s="4">
        <f>Hotel!S14</f>
        <v>90</v>
      </c>
      <c r="H9" s="4">
        <f>Hotel!T14</f>
        <v>1040</v>
      </c>
      <c r="I9" s="4">
        <f>Hotel!U14</f>
        <v>4930</v>
      </c>
      <c r="J9" s="4">
        <f>Hotel!V14</f>
        <v>4210</v>
      </c>
      <c r="K9" s="4">
        <f>Hotel!W14</f>
        <v>2200</v>
      </c>
      <c r="L9" s="4">
        <f>Hotel!X14</f>
        <v>5290</v>
      </c>
      <c r="M9" s="4">
        <f>Hotel!Y14</f>
        <v>2470</v>
      </c>
      <c r="N9" s="4">
        <f>Hotel!Z14</f>
        <v>3690</v>
      </c>
      <c r="O9" s="4">
        <f>Hotel!AA14</f>
        <v>4200</v>
      </c>
      <c r="P9" s="4">
        <f>Hotel!AB14</f>
        <v>6500</v>
      </c>
      <c r="Q9" s="4">
        <f>Hotel!AC14</f>
        <v>14990</v>
      </c>
      <c r="R9" s="4">
        <f>Hotel!AV14*0.00378541*100</f>
        <v>833.16874099999984</v>
      </c>
      <c r="S9" s="4">
        <f>Hotel!B14</f>
        <v>260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7950</v>
      </c>
      <c r="F10" s="4">
        <f>Hotel!R15</f>
        <v>11260</v>
      </c>
      <c r="G10" s="4">
        <f>Hotel!S15</f>
        <v>90</v>
      </c>
      <c r="H10" s="4">
        <f>Hotel!T15</f>
        <v>2080</v>
      </c>
      <c r="I10" s="4">
        <f>Hotel!U15</f>
        <v>7020</v>
      </c>
      <c r="J10" s="4">
        <f>Hotel!V15</f>
        <v>5580</v>
      </c>
      <c r="K10" s="4">
        <f>Hotel!W15</f>
        <v>5190</v>
      </c>
      <c r="L10" s="4">
        <f>Hotel!X15</f>
        <v>4430</v>
      </c>
      <c r="M10" s="4">
        <f>Hotel!Y15</f>
        <v>9770</v>
      </c>
      <c r="N10" s="4">
        <f>Hotel!Z15</f>
        <v>2350</v>
      </c>
      <c r="O10" s="4">
        <f>Hotel!AA15</f>
        <v>3760</v>
      </c>
      <c r="P10" s="4">
        <f>Hotel!AB15</f>
        <v>8510</v>
      </c>
      <c r="Q10" s="4">
        <f>Hotel!AC15</f>
        <v>14170</v>
      </c>
      <c r="R10" s="4">
        <f>Hotel!AV15*0.00378541*100</f>
        <v>1016.0040439999999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10570</v>
      </c>
      <c r="F11" s="4">
        <f>Hotel!R16</f>
        <v>7960</v>
      </c>
      <c r="G11" s="4">
        <f>Hotel!S16</f>
        <v>90</v>
      </c>
      <c r="H11" s="4">
        <f>Hotel!T16</f>
        <v>1560</v>
      </c>
      <c r="I11" s="4">
        <f>Hotel!U16</f>
        <v>5690</v>
      </c>
      <c r="J11" s="4">
        <f>Hotel!V16</f>
        <v>4710</v>
      </c>
      <c r="K11" s="4">
        <f>Hotel!W16</f>
        <v>3120</v>
      </c>
      <c r="L11" s="4">
        <f>Hotel!X16</f>
        <v>4920</v>
      </c>
      <c r="M11" s="4">
        <f>Hotel!Y16</f>
        <v>5720</v>
      </c>
      <c r="N11" s="4">
        <f>Hotel!Z16</f>
        <v>2860</v>
      </c>
      <c r="O11" s="4">
        <f>Hotel!AA16</f>
        <v>3730</v>
      </c>
      <c r="P11" s="4">
        <f>Hotel!AB16</f>
        <v>7440</v>
      </c>
      <c r="Q11" s="4">
        <f>Hotel!AC16</f>
        <v>14160</v>
      </c>
      <c r="R11" s="4">
        <f>Hotel!AV16*0.00378541*100</f>
        <v>664.71799599999997</v>
      </c>
      <c r="S11" s="4">
        <f>Hotel!B16</f>
        <v>146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5870</v>
      </c>
      <c r="F12" s="4">
        <f>Hotel!R17</f>
        <v>13080</v>
      </c>
      <c r="G12" s="4">
        <f>Hotel!S17</f>
        <v>100</v>
      </c>
      <c r="H12" s="4">
        <f>Hotel!T17</f>
        <v>1540</v>
      </c>
      <c r="I12" s="4">
        <f>Hotel!U17</f>
        <v>5770</v>
      </c>
      <c r="J12" s="4">
        <f>Hotel!V17</f>
        <v>4730</v>
      </c>
      <c r="K12" s="4">
        <f>Hotel!W17</f>
        <v>3600</v>
      </c>
      <c r="L12" s="4">
        <f>Hotel!X17</f>
        <v>4960</v>
      </c>
      <c r="M12" s="4">
        <f>Hotel!Y17</f>
        <v>5650</v>
      </c>
      <c r="N12" s="4">
        <f>Hotel!Z17</f>
        <v>2810</v>
      </c>
      <c r="O12" s="4">
        <f>Hotel!AA17</f>
        <v>3490</v>
      </c>
      <c r="P12" s="4">
        <f>Hotel!AB17</f>
        <v>7590</v>
      </c>
      <c r="Q12" s="4">
        <f>Hotel!AC17</f>
        <v>14240</v>
      </c>
      <c r="R12" s="4">
        <f>Hotel!AV17*0.00378541*100</f>
        <v>908.49840000000006</v>
      </c>
      <c r="S12" s="4">
        <f>Hotel!B17</f>
        <v>190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K17" sqref="K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>
        <v>260</v>
      </c>
      <c r="C14" s="24">
        <v>5843980</v>
      </c>
      <c r="D14" s="24">
        <v>11937660</v>
      </c>
      <c r="E14" s="24">
        <v>1416150</v>
      </c>
      <c r="F14" s="24">
        <v>2564010</v>
      </c>
      <c r="G14" s="24">
        <v>7757010</v>
      </c>
      <c r="H14" s="24">
        <v>3636110</v>
      </c>
      <c r="I14" s="24">
        <v>3651120</v>
      </c>
      <c r="J14" s="24">
        <v>4109980</v>
      </c>
      <c r="K14" s="24">
        <v>6707230</v>
      </c>
      <c r="L14" s="24">
        <v>2364970</v>
      </c>
      <c r="M14" s="24">
        <v>6227880</v>
      </c>
      <c r="N14" s="24">
        <v>8439980</v>
      </c>
      <c r="O14" s="24">
        <v>10938810</v>
      </c>
      <c r="Q14" s="37">
        <f t="shared" si="16"/>
        <v>12000</v>
      </c>
      <c r="R14" s="37">
        <f t="shared" si="17"/>
        <v>7400</v>
      </c>
      <c r="S14" s="37">
        <f t="shared" si="15"/>
        <v>90</v>
      </c>
      <c r="T14" s="37">
        <f t="shared" si="18"/>
        <v>1040</v>
      </c>
      <c r="U14" s="37">
        <f t="shared" si="19"/>
        <v>4930</v>
      </c>
      <c r="V14" s="37">
        <f t="shared" si="20"/>
        <v>4210</v>
      </c>
      <c r="W14" s="37">
        <f t="shared" si="21"/>
        <v>2200</v>
      </c>
      <c r="X14" s="37">
        <f t="shared" si="22"/>
        <v>5290</v>
      </c>
      <c r="Y14" s="37">
        <f t="shared" si="23"/>
        <v>2470</v>
      </c>
      <c r="Z14" s="37">
        <f t="shared" si="24"/>
        <v>3690</v>
      </c>
      <c r="AA14" s="37">
        <f t="shared" si="25"/>
        <v>4200</v>
      </c>
      <c r="AB14" s="37">
        <f t="shared" si="26"/>
        <v>6500</v>
      </c>
      <c r="AC14" s="37">
        <f t="shared" si="27"/>
        <v>14990</v>
      </c>
      <c r="AD14" s="35">
        <f t="shared" si="28"/>
        <v>69010</v>
      </c>
      <c r="AF14" s="20">
        <f t="shared" si="1"/>
        <v>60</v>
      </c>
      <c r="AG14" s="20">
        <f t="shared" si="2"/>
        <v>37</v>
      </c>
      <c r="AH14" s="20">
        <f t="shared" si="3"/>
        <v>0.45</v>
      </c>
      <c r="AI14" s="20">
        <f t="shared" si="4"/>
        <v>5.2</v>
      </c>
      <c r="AJ14" s="20">
        <f t="shared" si="5"/>
        <v>24.650000000000002</v>
      </c>
      <c r="AK14" s="20">
        <f t="shared" si="6"/>
        <v>21.05</v>
      </c>
      <c r="AL14" s="20">
        <f t="shared" si="7"/>
        <v>11</v>
      </c>
      <c r="AM14" s="20">
        <f t="shared" si="8"/>
        <v>26.45</v>
      </c>
      <c r="AN14" s="20">
        <f t="shared" si="9"/>
        <v>12.35</v>
      </c>
      <c r="AO14" s="20">
        <f t="shared" si="10"/>
        <v>18.45</v>
      </c>
      <c r="AP14" s="20">
        <f t="shared" si="11"/>
        <v>21</v>
      </c>
      <c r="AQ14" s="20">
        <f t="shared" si="12"/>
        <v>32.5</v>
      </c>
      <c r="AR14" s="20">
        <f t="shared" si="13"/>
        <v>74.95</v>
      </c>
      <c r="AS14" s="35">
        <f t="shared" si="29"/>
        <v>345.05</v>
      </c>
      <c r="AU14" s="47">
        <v>622817</v>
      </c>
      <c r="AV14" s="37">
        <f t="shared" si="31"/>
        <v>2201</v>
      </c>
      <c r="AW14" s="35">
        <f t="shared" si="30"/>
        <v>4.4020000000000001</v>
      </c>
    </row>
    <row r="15" spans="1:49" x14ac:dyDescent="0.25">
      <c r="A15" s="23">
        <v>43778</v>
      </c>
      <c r="B15" s="40">
        <v>142</v>
      </c>
      <c r="C15" s="24">
        <v>5851930</v>
      </c>
      <c r="D15" s="24">
        <v>11948920</v>
      </c>
      <c r="E15" s="24">
        <v>1416240</v>
      </c>
      <c r="F15" s="24">
        <v>2566090</v>
      </c>
      <c r="G15" s="24">
        <v>7764030</v>
      </c>
      <c r="H15" s="24">
        <v>3641690</v>
      </c>
      <c r="I15" s="24">
        <v>3656310</v>
      </c>
      <c r="J15" s="24">
        <v>4114410</v>
      </c>
      <c r="K15" s="24">
        <v>6717000</v>
      </c>
      <c r="L15" s="24">
        <v>2367320</v>
      </c>
      <c r="M15" s="24">
        <v>6231640</v>
      </c>
      <c r="N15" s="24">
        <v>8448490</v>
      </c>
      <c r="O15" s="24">
        <v>10952980</v>
      </c>
      <c r="Q15" s="37">
        <f t="shared" si="16"/>
        <v>7950</v>
      </c>
      <c r="R15" s="37">
        <f t="shared" si="17"/>
        <v>11260</v>
      </c>
      <c r="S15" s="37">
        <f t="shared" si="15"/>
        <v>90</v>
      </c>
      <c r="T15" s="37">
        <f t="shared" si="18"/>
        <v>2080</v>
      </c>
      <c r="U15" s="37">
        <f t="shared" si="19"/>
        <v>7020</v>
      </c>
      <c r="V15" s="37">
        <f t="shared" si="20"/>
        <v>5580</v>
      </c>
      <c r="W15" s="37">
        <f t="shared" si="21"/>
        <v>5190</v>
      </c>
      <c r="X15" s="37">
        <f t="shared" si="22"/>
        <v>4430</v>
      </c>
      <c r="Y15" s="37">
        <f t="shared" si="23"/>
        <v>9770</v>
      </c>
      <c r="Z15" s="37">
        <f t="shared" si="24"/>
        <v>2350</v>
      </c>
      <c r="AA15" s="37">
        <f t="shared" si="25"/>
        <v>3760</v>
      </c>
      <c r="AB15" s="37">
        <f t="shared" si="26"/>
        <v>8510</v>
      </c>
      <c r="AC15" s="37">
        <f t="shared" si="27"/>
        <v>14170</v>
      </c>
      <c r="AD15" s="35">
        <f t="shared" si="28"/>
        <v>82160</v>
      </c>
      <c r="AF15" s="20">
        <f t="shared" si="1"/>
        <v>39.75</v>
      </c>
      <c r="AG15" s="20">
        <f t="shared" si="2"/>
        <v>56.300000000000004</v>
      </c>
      <c r="AH15" s="20">
        <f t="shared" si="3"/>
        <v>0.45</v>
      </c>
      <c r="AI15" s="20">
        <f t="shared" si="4"/>
        <v>10.4</v>
      </c>
      <c r="AJ15" s="20">
        <f t="shared" si="5"/>
        <v>35.1</v>
      </c>
      <c r="AK15" s="20">
        <f t="shared" si="6"/>
        <v>27.900000000000002</v>
      </c>
      <c r="AL15" s="20">
        <f t="shared" si="7"/>
        <v>25.95</v>
      </c>
      <c r="AM15" s="20">
        <f t="shared" si="8"/>
        <v>22.150000000000002</v>
      </c>
      <c r="AN15" s="20">
        <f t="shared" si="9"/>
        <v>48.85</v>
      </c>
      <c r="AO15" s="20">
        <f t="shared" si="10"/>
        <v>11.75</v>
      </c>
      <c r="AP15" s="20">
        <f t="shared" si="11"/>
        <v>18.8</v>
      </c>
      <c r="AQ15" s="20">
        <f t="shared" si="12"/>
        <v>42.550000000000004</v>
      </c>
      <c r="AR15" s="20">
        <f t="shared" si="13"/>
        <v>70.850000000000009</v>
      </c>
      <c r="AS15" s="35">
        <f t="shared" si="29"/>
        <v>410.80000000000007</v>
      </c>
      <c r="AU15" s="47">
        <v>625501</v>
      </c>
      <c r="AV15" s="37">
        <f t="shared" si="31"/>
        <v>2684</v>
      </c>
      <c r="AW15" s="35">
        <f t="shared" si="30"/>
        <v>5.3680000000000003</v>
      </c>
    </row>
    <row r="16" spans="1:49" x14ac:dyDescent="0.25">
      <c r="A16" s="23">
        <v>43779</v>
      </c>
      <c r="B16" s="40">
        <v>146</v>
      </c>
      <c r="C16" s="24">
        <v>5862500</v>
      </c>
      <c r="D16" s="24">
        <v>11956880</v>
      </c>
      <c r="E16" s="24">
        <v>1416330</v>
      </c>
      <c r="F16" s="24">
        <v>2567650</v>
      </c>
      <c r="G16" s="24">
        <v>7769720</v>
      </c>
      <c r="H16" s="24">
        <v>3646400</v>
      </c>
      <c r="I16" s="24">
        <v>3659430</v>
      </c>
      <c r="J16" s="24">
        <v>4119330</v>
      </c>
      <c r="K16" s="24">
        <v>6722720</v>
      </c>
      <c r="L16" s="24">
        <v>2370180</v>
      </c>
      <c r="M16" s="24">
        <v>6235370</v>
      </c>
      <c r="N16" s="24">
        <v>8455930</v>
      </c>
      <c r="O16" s="24">
        <v>10967140</v>
      </c>
      <c r="Q16" s="37">
        <f t="shared" si="16"/>
        <v>10570</v>
      </c>
      <c r="R16" s="37">
        <f t="shared" si="17"/>
        <v>7960</v>
      </c>
      <c r="S16" s="37">
        <f t="shared" si="15"/>
        <v>90</v>
      </c>
      <c r="T16" s="37">
        <f t="shared" si="18"/>
        <v>1560</v>
      </c>
      <c r="U16" s="37">
        <f t="shared" si="19"/>
        <v>5690</v>
      </c>
      <c r="V16" s="37">
        <f t="shared" si="20"/>
        <v>4710</v>
      </c>
      <c r="W16" s="37">
        <f t="shared" si="21"/>
        <v>3120</v>
      </c>
      <c r="X16" s="37">
        <f t="shared" si="22"/>
        <v>4920</v>
      </c>
      <c r="Y16" s="37">
        <f t="shared" si="23"/>
        <v>5720</v>
      </c>
      <c r="Z16" s="37">
        <f t="shared" si="24"/>
        <v>2860</v>
      </c>
      <c r="AA16" s="37">
        <f t="shared" si="25"/>
        <v>3730</v>
      </c>
      <c r="AB16" s="37">
        <f t="shared" si="26"/>
        <v>7440</v>
      </c>
      <c r="AC16" s="37">
        <f t="shared" si="27"/>
        <v>14160</v>
      </c>
      <c r="AD16" s="35">
        <f t="shared" si="28"/>
        <v>72530</v>
      </c>
      <c r="AF16" s="20">
        <f t="shared" si="1"/>
        <v>52.85</v>
      </c>
      <c r="AG16" s="20">
        <f t="shared" si="2"/>
        <v>39.800000000000004</v>
      </c>
      <c r="AH16" s="20">
        <f t="shared" si="3"/>
        <v>0.45</v>
      </c>
      <c r="AI16" s="20">
        <f t="shared" si="4"/>
        <v>7.8</v>
      </c>
      <c r="AJ16" s="20">
        <f t="shared" si="5"/>
        <v>28.45</v>
      </c>
      <c r="AK16" s="20">
        <f t="shared" si="6"/>
        <v>23.55</v>
      </c>
      <c r="AL16" s="20">
        <f t="shared" si="7"/>
        <v>15.6</v>
      </c>
      <c r="AM16" s="20">
        <f t="shared" si="8"/>
        <v>24.6</v>
      </c>
      <c r="AN16" s="20">
        <f t="shared" si="9"/>
        <v>28.6</v>
      </c>
      <c r="AO16" s="20">
        <f t="shared" si="10"/>
        <v>14.3</v>
      </c>
      <c r="AP16" s="20">
        <f t="shared" si="11"/>
        <v>18.650000000000002</v>
      </c>
      <c r="AQ16" s="20">
        <f t="shared" si="12"/>
        <v>37.200000000000003</v>
      </c>
      <c r="AR16" s="20">
        <f t="shared" si="13"/>
        <v>70.8</v>
      </c>
      <c r="AS16" s="35">
        <f t="shared" si="29"/>
        <v>362.65000000000003</v>
      </c>
      <c r="AU16" s="47">
        <v>627257</v>
      </c>
      <c r="AV16" s="37">
        <f t="shared" si="31"/>
        <v>1756</v>
      </c>
      <c r="AW16" s="35">
        <f t="shared" si="30"/>
        <v>3.512</v>
      </c>
    </row>
    <row r="17" spans="1:49" x14ac:dyDescent="0.25">
      <c r="A17" s="23">
        <v>43780</v>
      </c>
      <c r="B17" s="40">
        <v>190</v>
      </c>
      <c r="C17" s="24">
        <v>5868370</v>
      </c>
      <c r="D17" s="24">
        <v>11969960</v>
      </c>
      <c r="E17" s="24">
        <v>1416430</v>
      </c>
      <c r="F17" s="24">
        <v>2569190</v>
      </c>
      <c r="G17" s="24">
        <v>7775490</v>
      </c>
      <c r="H17" s="24">
        <v>3651130</v>
      </c>
      <c r="I17" s="24">
        <v>3663030</v>
      </c>
      <c r="J17" s="24">
        <v>4124290</v>
      </c>
      <c r="K17" s="24">
        <v>6728370</v>
      </c>
      <c r="L17" s="24">
        <v>2372990</v>
      </c>
      <c r="M17" s="24">
        <v>6238860</v>
      </c>
      <c r="N17" s="24">
        <v>8463520</v>
      </c>
      <c r="O17" s="24">
        <v>10981380</v>
      </c>
      <c r="Q17" s="37">
        <f t="shared" si="16"/>
        <v>5870</v>
      </c>
      <c r="R17" s="37">
        <f t="shared" si="17"/>
        <v>13080</v>
      </c>
      <c r="S17" s="37">
        <f t="shared" si="15"/>
        <v>100</v>
      </c>
      <c r="T17" s="37">
        <f t="shared" si="18"/>
        <v>1540</v>
      </c>
      <c r="U17" s="37">
        <f t="shared" si="19"/>
        <v>5770</v>
      </c>
      <c r="V17" s="37">
        <f t="shared" si="20"/>
        <v>4730</v>
      </c>
      <c r="W17" s="37">
        <f t="shared" si="21"/>
        <v>3600</v>
      </c>
      <c r="X17" s="37">
        <f t="shared" si="22"/>
        <v>4960</v>
      </c>
      <c r="Y17" s="37">
        <f t="shared" si="23"/>
        <v>5650</v>
      </c>
      <c r="Z17" s="37">
        <f t="shared" si="24"/>
        <v>2810</v>
      </c>
      <c r="AA17" s="37">
        <f t="shared" si="25"/>
        <v>3490</v>
      </c>
      <c r="AB17" s="37">
        <f t="shared" si="26"/>
        <v>7590</v>
      </c>
      <c r="AC17" s="37">
        <f t="shared" si="27"/>
        <v>14240</v>
      </c>
      <c r="AD17" s="35">
        <f t="shared" si="28"/>
        <v>73430</v>
      </c>
      <c r="AF17" s="20">
        <f t="shared" si="1"/>
        <v>29.35</v>
      </c>
      <c r="AG17" s="20">
        <f t="shared" si="2"/>
        <v>65.400000000000006</v>
      </c>
      <c r="AH17" s="20">
        <f t="shared" si="3"/>
        <v>0.5</v>
      </c>
      <c r="AI17" s="20">
        <f t="shared" si="4"/>
        <v>7.7</v>
      </c>
      <c r="AJ17" s="20">
        <f t="shared" si="5"/>
        <v>28.85</v>
      </c>
      <c r="AK17" s="20">
        <f t="shared" si="6"/>
        <v>23.650000000000002</v>
      </c>
      <c r="AL17" s="20">
        <f t="shared" si="7"/>
        <v>18</v>
      </c>
      <c r="AM17" s="20">
        <f t="shared" si="8"/>
        <v>24.8</v>
      </c>
      <c r="AN17" s="20">
        <f t="shared" si="9"/>
        <v>28.25</v>
      </c>
      <c r="AO17" s="20">
        <f t="shared" si="10"/>
        <v>14.05</v>
      </c>
      <c r="AP17" s="20">
        <f t="shared" si="11"/>
        <v>17.45</v>
      </c>
      <c r="AQ17" s="20">
        <f t="shared" si="12"/>
        <v>37.950000000000003</v>
      </c>
      <c r="AR17" s="20">
        <f t="shared" si="13"/>
        <v>71.2</v>
      </c>
      <c r="AS17" s="35">
        <f t="shared" si="29"/>
        <v>367.15000000000003</v>
      </c>
      <c r="AU17" s="47">
        <v>629657</v>
      </c>
      <c r="AV17" s="37">
        <f t="shared" si="31"/>
        <v>2400</v>
      </c>
      <c r="AW17" s="35">
        <f t="shared" si="30"/>
        <v>4.8</v>
      </c>
    </row>
    <row r="18" spans="1:49" x14ac:dyDescent="0.25">
      <c r="A18" s="23">
        <v>43781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6"/>
        <v>0</v>
      </c>
      <c r="R18" s="37" t="str">
        <f t="shared" si="17"/>
        <v>0</v>
      </c>
      <c r="S18" s="37" t="str">
        <f t="shared" si="15"/>
        <v>0</v>
      </c>
      <c r="T18" s="37" t="str">
        <f t="shared" si="18"/>
        <v>0</v>
      </c>
      <c r="U18" s="37" t="str">
        <f t="shared" si="19"/>
        <v>0</v>
      </c>
      <c r="V18" s="37" t="str">
        <f t="shared" si="20"/>
        <v>0</v>
      </c>
      <c r="W18" s="37" t="str">
        <f t="shared" si="21"/>
        <v>0</v>
      </c>
      <c r="X18" s="37" t="str">
        <f t="shared" si="22"/>
        <v>0</v>
      </c>
      <c r="Y18" s="37" t="str">
        <f t="shared" si="23"/>
        <v>0</v>
      </c>
      <c r="Z18" s="37" t="str">
        <f t="shared" si="24"/>
        <v>0</v>
      </c>
      <c r="AA18" s="37" t="str">
        <f t="shared" si="25"/>
        <v>0</v>
      </c>
      <c r="AB18" s="37" t="str">
        <f t="shared" si="26"/>
        <v>0</v>
      </c>
      <c r="AC18" s="37" t="str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 t="str">
        <f t="shared" si="31"/>
        <v>0</v>
      </c>
      <c r="AW18" s="35">
        <f t="shared" si="30"/>
        <v>0</v>
      </c>
    </row>
    <row r="19" spans="1:49" x14ac:dyDescent="0.25">
      <c r="A19" s="23">
        <v>43782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43783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43784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43785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101030</v>
      </c>
      <c r="R38" s="30">
        <f t="shared" si="35"/>
        <v>106290</v>
      </c>
      <c r="S38" s="30">
        <f t="shared" si="35"/>
        <v>970</v>
      </c>
      <c r="T38" s="30">
        <f t="shared" si="35"/>
        <v>17080</v>
      </c>
      <c r="U38" s="30">
        <f t="shared" si="35"/>
        <v>62730</v>
      </c>
      <c r="V38" s="30">
        <f t="shared" si="35"/>
        <v>51830</v>
      </c>
      <c r="W38" s="30">
        <f t="shared" si="35"/>
        <v>37970</v>
      </c>
      <c r="X38" s="30">
        <f t="shared" si="35"/>
        <v>53520</v>
      </c>
      <c r="Y38" s="30">
        <f t="shared" si="35"/>
        <v>66340</v>
      </c>
      <c r="Z38" s="30">
        <f t="shared" si="35"/>
        <v>31710</v>
      </c>
      <c r="AA38" s="30">
        <f t="shared" si="35"/>
        <v>40120</v>
      </c>
      <c r="AB38" s="30">
        <f t="shared" si="35"/>
        <v>85710</v>
      </c>
      <c r="AC38" s="30">
        <f t="shared" si="35"/>
        <v>156100</v>
      </c>
      <c r="AD38" s="35">
        <f t="shared" si="35"/>
        <v>811400</v>
      </c>
      <c r="AF38" s="35">
        <f t="shared" ref="AF38:AS38" si="36">SUM(AF7:AF34)</f>
        <v>505.15000000000009</v>
      </c>
      <c r="AG38" s="35">
        <f t="shared" si="36"/>
        <v>531.45000000000005</v>
      </c>
      <c r="AH38" s="35">
        <f t="shared" si="36"/>
        <v>4.8500000000000005</v>
      </c>
      <c r="AI38" s="35">
        <f t="shared" si="36"/>
        <v>85.4</v>
      </c>
      <c r="AJ38" s="35">
        <f t="shared" si="36"/>
        <v>313.64999999999998</v>
      </c>
      <c r="AK38" s="35">
        <f t="shared" si="36"/>
        <v>259.15000000000003</v>
      </c>
      <c r="AL38" s="35">
        <f t="shared" si="36"/>
        <v>189.85</v>
      </c>
      <c r="AM38" s="35">
        <f t="shared" si="36"/>
        <v>267.59999999999997</v>
      </c>
      <c r="AN38" s="35">
        <f t="shared" si="36"/>
        <v>331.70000000000005</v>
      </c>
      <c r="AO38" s="35">
        <f t="shared" si="36"/>
        <v>158.55000000000001</v>
      </c>
      <c r="AP38" s="35">
        <f t="shared" si="36"/>
        <v>200.60000000000002</v>
      </c>
      <c r="AQ38" s="35">
        <f t="shared" si="36"/>
        <v>428.55</v>
      </c>
      <c r="AR38" s="35">
        <f t="shared" si="36"/>
        <v>780.50000000000011</v>
      </c>
      <c r="AS38" s="35">
        <f t="shared" si="36"/>
        <v>4057.0000000000009</v>
      </c>
      <c r="AU38" s="48"/>
      <c r="AV38" s="35">
        <f>SUM(AV7:AV34)</f>
        <v>22183</v>
      </c>
      <c r="AW38" s="35">
        <f>SUM(AW7:AW34)</f>
        <v>37.683999999999997</v>
      </c>
    </row>
    <row r="39" spans="1:49" x14ac:dyDescent="0.25">
      <c r="D39">
        <v>5.0000000000000001E-3</v>
      </c>
      <c r="AV39" s="36">
        <f>AV38*0.00378541*1000</f>
        <v>83971.750029999996</v>
      </c>
    </row>
    <row r="40" spans="1:49" x14ac:dyDescent="0.25">
      <c r="D40">
        <v>2E-3</v>
      </c>
      <c r="AV40">
        <f>AV39/31</f>
        <v>2708.76613</v>
      </c>
    </row>
    <row r="41" spans="1:49" x14ac:dyDescent="0.25">
      <c r="AV41">
        <f>AV38*0.00378541</f>
        <v>83.971750029999995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2019-11-12T15:05:25Z</dcterms:modified>
</cp:coreProperties>
</file>