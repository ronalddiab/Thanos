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0BF3AFDE-5E67-433B-93FA-EBA1E34A6EC0}" xr6:coauthVersionLast="36" xr6:coauthVersionMax="47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<sst xmlns="http://schemas.openxmlformats.org/spreadsheetml/2006/main" count="201" uniqueCount="128">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</sst>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-237009.99999999997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0.14000000000000001</v>
      </c>
      <c r="G2" s="107">
        <v>5872</v>
      </c>
      <c r="H2" s="48">
        <v>0.45</v>
      </c>
      <c r="I2" s="65">
        <v>320</v>
      </c>
      <c r="J2" s="76">
        <v>0.4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0.14000000000000001</v>
      </c>
      <c r="G3" s="107">
        <v>5616</v>
      </c>
      <c r="H3" s="48">
        <v>0.45</v>
      </c>
      <c r="I3" s="65">
        <v>269</v>
      </c>
      <c r="J3" s="76">
        <v>0.4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0.14000000000000001</v>
      </c>
      <c r="G4" s="107">
        <v>6176</v>
      </c>
      <c r="H4" s="48">
        <v>0.45</v>
      </c>
      <c r="I4" s="65">
        <v>435</v>
      </c>
      <c r="J4" s="76">
        <v>0.4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0.14000000000000001</v>
      </c>
      <c r="G5" s="107">
        <v>6476</v>
      </c>
      <c r="H5" s="48">
        <v>0.45</v>
      </c>
      <c r="I5" s="65">
        <v>400</v>
      </c>
      <c r="J5" s="76">
        <v>0.4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/>
      <c r="F6" s="48">
        <v>0.14000000000000001</v>
      </c>
      <c r="G6" s="107"/>
      <c r="H6" s="48">
        <v>0.45</v>
      </c>
      <c r="I6" s="65"/>
      <c r="J6" s="76">
        <v>0.4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/>
      <c r="F7" s="48">
        <v>0.14000000000000001</v>
      </c>
      <c r="G7" s="107"/>
      <c r="H7" s="48">
        <v>0.45</v>
      </c>
      <c r="I7" s="65"/>
      <c r="J7" s="76">
        <v>0.4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/>
      <c r="F8" s="48">
        <v>0.14000000000000001</v>
      </c>
      <c r="G8" s="107"/>
      <c r="H8" s="48">
        <v>0.45</v>
      </c>
      <c r="I8" s="65"/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88289.999999999956</v>
      </c>
      <c r="F33" s="104">
        <v>0</v>
      </c>
      <c r="G33" s="101">
        <f>SUM(G2:G32)</f>
        <v>24140</v>
      </c>
      <c r="H33" s="102">
        <v>0</v>
      </c>
      <c r="I33" s="103">
        <f>SUM(I2:I32)</f>
        <v>1424</v>
      </c>
      <c r="J33" s="104">
        <v>0</v>
      </c>
      <c r="K33" s="105">
        <v>0</v>
      </c>
      <c r="L33" s="102">
        <v>0</v>
      </c>
      <c r="M33" s="106">
        <f t="shared" ref="M33:O33" si="1">SUM(M2:M32)</f>
        <v>99</v>
      </c>
      <c r="N33" s="106">
        <f t="shared" si="1"/>
        <v>235</v>
      </c>
      <c r="O33" s="106">
        <f t="shared" si="1"/>
        <v>687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/>
      <c r="W8" s="71"/>
      <c r="X8" s="71"/>
      <c r="Y8" s="17"/>
    </row>
    <row r="9" spans="1:25" ht="21" customHeight="1" x14ac:dyDescent="0.25">
      <c r="A9" s="8">
        <v>44414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99</v>
      </c>
      <c r="W35" s="78">
        <f>SUM(W4:W34)</f>
        <v>235</v>
      </c>
      <c r="X35" s="78">
        <f>SUM(X4:X34)</f>
        <v>687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0</v>
      </c>
      <c r="C8" s="4">
        <f>('Kwh Reading'!T9-'Kwh Reading'!T8)*1000</f>
        <v>-436860</v>
      </c>
      <c r="D8" s="2">
        <f>('Kwh Reading'!F9-'Kwh Reading'!F8)*1000000</f>
        <v>-2465700</v>
      </c>
      <c r="E8" s="2">
        <f>('Kwh Reading'!C9-'Kwh Reading'!C8)*1000</f>
        <v>-237990</v>
      </c>
      <c r="F8" s="2">
        <f>('Kwh Reading'!J9-'Kwh Reading'!J8)*1000</f>
        <v>-325200</v>
      </c>
      <c r="G8" s="2">
        <f>('Kwh Reading'!K9-'Kwh Reading'!K8)*1000</f>
        <v>-350650</v>
      </c>
      <c r="H8" s="2">
        <f>('Kwh Reading'!L9-'Kwh Reading'!L8)*1000</f>
        <v>-240850</v>
      </c>
      <c r="I8" s="2">
        <f>('Kwh Reading'!R9-'Kwh Reading'!R8)*1000</f>
        <v>-167480</v>
      </c>
      <c r="J8" s="2">
        <f>('Kwh Reading'!S9-'Kwh Reading'!S8)*1000</f>
        <v>-119480</v>
      </c>
      <c r="K8" s="2">
        <f>('Kwh Reading'!I9-'Kwh Reading'!I8)*1000</f>
        <v>-247500</v>
      </c>
      <c r="L8" s="2">
        <f>('Kwh Reading'!B9-'Kwh Reading'!B8)*1000</f>
        <v>-1028900.0000000001</v>
      </c>
      <c r="M8" s="2">
        <f>('Kwh Reading'!M9-'Kwh Reading'!M8)*1000</f>
        <v>-545110</v>
      </c>
      <c r="N8" s="2">
        <f>('Kwh Reading'!H9-'Kwh Reading'!H8)*1000</f>
        <v>-637560</v>
      </c>
      <c r="O8" s="2">
        <f>('Kwh Reading'!P9-'Kwh Reading'!P8)*1000</f>
        <v>-654690</v>
      </c>
      <c r="P8" s="2">
        <f>('Kwh Reading'!G9-'Kwh Reading'!G8)*1000</f>
        <v>-775520</v>
      </c>
      <c r="Q8" s="2">
        <f>('Kwh Reading'!Q9-'Kwh Reading'!Q8)*1000</f>
        <v>-486070</v>
      </c>
      <c r="R8" s="2">
        <f>('Kwh Reading'!N9-'Kwh Reading'!N8)*1000</f>
        <v>-497580</v>
      </c>
      <c r="S8" s="2">
        <f>'Kwh Reading'!E9-'Kwh Reading'!E8</f>
        <v>-8295948.1299999999</v>
      </c>
      <c r="T8" s="2">
        <f>'Kwh Reading'!D9-'Kwh Reading'!D8</f>
        <v>-7564005.6799999997</v>
      </c>
      <c r="U8" s="27">
        <f>('Kwh Reading'!O9-'Kwh Reading'!O8)*1000</f>
        <v>-159400</v>
      </c>
      <c r="V8" s="16">
        <f t="shared" si="0"/>
        <v>25236493.809999999</v>
      </c>
    </row>
    <row r="9" spans="1:22" x14ac:dyDescent="0.25">
      <c r="A9" s="3">
        <f>'Kwh Reading'!A9</f>
        <v>44414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44415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44416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44417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44418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44419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44420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92340.000000000611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-237009.99999999997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</v>
      </c>
      <c r="K35" s="75">
        <f t="shared" si="6"/>
        <v>-246180</v>
      </c>
      <c r="L35" s="75">
        <f t="shared" si="6"/>
        <v>-1023100</v>
      </c>
      <c r="M35" s="75">
        <f t="shared" si="6"/>
        <v>-542350</v>
      </c>
      <c r="N35" s="75">
        <f t="shared" si="6"/>
        <v>-635870.00000000012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25266689.099999998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0</v>
      </c>
      <c r="C7" s="1">
        <f>'Kwh Consumption'!C8</f>
        <v>-436860</v>
      </c>
      <c r="D7" s="1">
        <f>'Kwh Consumption'!D8</f>
        <v>-2465700</v>
      </c>
      <c r="E7" s="1">
        <f>'Kwh Consumption'!E8</f>
        <v>-237990</v>
      </c>
      <c r="F7" s="1">
        <f>('Kwh Consumption'!F8+'Kwh Consumption'!G8+'Kwh Consumption'!H8)</f>
        <v>-916700</v>
      </c>
      <c r="G7" s="16">
        <f>('Kwh Consumption'!I8+'Kwh Consumption'!J8)</f>
        <v>-286960</v>
      </c>
      <c r="H7" s="1">
        <f>('Kwh Consumption'!K8+'Kwh Consumption'!L8)</f>
        <v>-1276400</v>
      </c>
      <c r="I7" s="1">
        <f>('Kwh Consumption'!M8+'Kwh Consumption'!N8+'Kwh Consumption'!O8+'Kwh Consumption'!P8+'Kwh Consumption'!Q8+'Kwh Consumption'!R8)</f>
        <v>-3596530</v>
      </c>
      <c r="J7" s="1">
        <f>('Kwh Consumption'!S8+'Kwh Consumption'!T8)</f>
        <v>-15859953.809999999</v>
      </c>
      <c r="K7" s="1">
        <f>'Kwh Consumption'!U8</f>
        <v>-159400</v>
      </c>
      <c r="L7" s="32">
        <f t="shared" si="0"/>
        <v>25236493.809999999</v>
      </c>
    </row>
    <row r="8" spans="1:12" x14ac:dyDescent="0.25">
      <c r="A8" s="14">
        <f>'Kwh Reading'!A9</f>
        <v>44414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44415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44416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44417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44418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44419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44420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88289.999999999956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-237009.99999999997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-15839639.099999998</v>
      </c>
      <c r="K34" s="75">
        <f t="shared" si="1"/>
        <v>-158490</v>
      </c>
      <c r="L34" s="75">
        <f t="shared" si="1"/>
        <v>25262639.099999998</v>
      </c>
      <c r="M34" s="84">
        <f>C34+D34+E34+F34+G34+H34+I34+J34+K34+L34</f>
        <v>88290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-60891.600000000006</v>
      </c>
      <c r="D36" s="75">
        <f>D34*B36</f>
        <v>-343840.00000000006</v>
      </c>
      <c r="E36" s="75">
        <f>E34*B36</f>
        <v>-33181.4</v>
      </c>
      <c r="F36" s="75">
        <f>F34*B36</f>
        <v>-127943.20000000001</v>
      </c>
      <c r="G36" s="75">
        <f>G34*B36</f>
        <v>-40003.600000000006</v>
      </c>
      <c r="H36" s="75">
        <f>H34*B36</f>
        <v>-177699.20000000001</v>
      </c>
      <c r="I36" s="75">
        <f>I34*B36</f>
        <v>-501111.80000000005</v>
      </c>
      <c r="J36" s="75">
        <f>J34*B36</f>
        <v>-2217549.4739999999</v>
      </c>
      <c r="K36" s="75">
        <f>K34*B36</f>
        <v>-22188.600000000002</v>
      </c>
      <c r="L36" s="75">
        <f>L34*B36</f>
        <v>3536769.4739999999</v>
      </c>
      <c r="M36" s="84">
        <f>C36+D36+E36+F36+G36+H36+I36+J36+K36+L36</f>
        <v>12360.599999999627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62.999999999998415</v>
      </c>
      <c r="E3" s="1">
        <f>'Kwh Consumption'!D4*' Kwh area wise $ '!B3</f>
        <v>349.99999999999261</v>
      </c>
      <c r="F3" s="1">
        <f>'Kwh Consumption'!E4*' Kwh area wise $ '!B3</f>
        <v>33.600000000001273</v>
      </c>
      <c r="G3" s="1">
        <f>('Kwh Consumption'!F4+'Kwh Consumption'!G4+'Kwh Consumption'!H4)*' Kwh area wise $ '!B3</f>
        <v>118.99999999999922</v>
      </c>
      <c r="H3" s="16">
        <f>('Kwh Consumption'!I4+'Kwh Consumption'!J4)*' Kwh area wise $ '!B3</f>
        <v>47.600000000000485</v>
      </c>
      <c r="I3" s="1">
        <f>('Kwh Consumption'!K4+'Kwh Consumption'!L4)*' Kwh area wise $ '!B3</f>
        <v>244.99999999999605</v>
      </c>
      <c r="J3" s="1">
        <f>('Kwh Consumption'!M4+'Kwh Consumption'!N4+'Kwh Consumption'!O4+'Kwh Consumption'!P4+'Kwh Consumption'!Q4+'Kwh Consumption'!R4)*' Kwh area wise $ '!B3</f>
        <v>586.59999999999172</v>
      </c>
      <c r="K3" s="1">
        <f>('Kwh Consumption'!S4+'Kwh Consumption'!T4)*' Kwh area wise $ '!B3</f>
        <v>756.53620000001047</v>
      </c>
      <c r="L3" s="1">
        <f>'Kwh Consumption'!U4*' Kwh area wise $ '!B3</f>
        <v>29.399999999997139</v>
      </c>
      <c r="M3" s="1">
        <f>'Kwh Consumption'!V4*' Kwh area wise $ '!B3</f>
        <v>1342.0638000000129</v>
      </c>
    </row>
    <row r="4" spans="1:13" x14ac:dyDescent="0.25">
      <c r="A4" s="14">
        <f>'Kwh Reading'!A5</f>
        <v>44410</v>
      </c>
      <c r="B4" s="11">
        <f>TOTAL!F3</f>
        <v>0.14000000000000001</v>
      </c>
      <c r="C4" s="11">
        <f>'Kwh Consumption'!B5*' Kwh area wise $ '!B4</f>
        <v>2902.200000000003</v>
      </c>
      <c r="D4" s="1">
        <f>'Kwh Consumption'!C5*' Kwh area wise $ '!B4</f>
        <v>64.400000000005093</v>
      </c>
      <c r="E4" s="1">
        <f>'Kwh Consumption'!D5*' Kwh area wise $ '!B4</f>
        <v>336.00000000002518</v>
      </c>
      <c r="F4" s="1">
        <f>'Kwh Consumption'!E5*' Kwh area wise $ '!B4</f>
        <v>35</v>
      </c>
      <c r="G4" s="1">
        <f>('Kwh Consumption'!F5+'Kwh Consumption'!G5+'Kwh Consumption'!H5)*' Kwh area wise $ '!B4</f>
        <v>83.999999999999218</v>
      </c>
      <c r="H4" s="16">
        <f>('Kwh Consumption'!I5+'Kwh Consumption'!J5)*' Kwh area wise $ '!B4</f>
        <v>40.599999999998893</v>
      </c>
      <c r="I4" s="1">
        <f>('Kwh Consumption'!K5+'Kwh Consumption'!L5)*' Kwh area wise $ '!B4</f>
        <v>240.80000000001181</v>
      </c>
      <c r="J4" s="1">
        <f>('Kwh Consumption'!M5+'Kwh Consumption'!N5+'Kwh Consumption'!O5+'Kwh Consumption'!P5+'Kwh Consumption'!Q5+'Kwh Consumption'!R5)*' Kwh area wise $ '!B4</f>
        <v>571.19999999999777</v>
      </c>
      <c r="K4" s="1">
        <f>('Kwh Consumption'!S5+'Kwh Consumption'!T5)*' Kwh area wise $ '!B4</f>
        <v>670.85060000013561</v>
      </c>
      <c r="L4" s="1">
        <f>'Kwh Consumption'!U5*' Kwh area wise $ '!B4</f>
        <v>35</v>
      </c>
      <c r="M4" s="1">
        <f>'Kwh Consumption'!V5*' Kwh area wise $ '!B4</f>
        <v>824.3493999998293</v>
      </c>
    </row>
    <row r="5" spans="1:13" x14ac:dyDescent="0.25">
      <c r="A5" s="14">
        <f>'Kwh Reading'!A6</f>
        <v>44411</v>
      </c>
      <c r="B5" s="11">
        <f>TOTAL!F4</f>
        <v>0.14000000000000001</v>
      </c>
      <c r="C5" s="11">
        <f>'Kwh Consumption'!B6*' Kwh area wise $ '!B5</f>
        <v>3171.0000000001082</v>
      </c>
      <c r="D5" s="1">
        <f>'Kwh Consumption'!C6*' Kwh area wise $ '!B5</f>
        <v>68.599999999993315</v>
      </c>
      <c r="E5" s="1">
        <f>'Kwh Consumption'!D6*' Kwh area wise $ '!B5</f>
        <v>321.99999999999562</v>
      </c>
      <c r="F5" s="1">
        <f>'Kwh Consumption'!E6*' Kwh area wise $ '!B5</f>
        <v>37.80000000000144</v>
      </c>
      <c r="G5" s="1">
        <f>('Kwh Consumption'!F6+'Kwh Consumption'!G6+'Kwh Consumption'!H6)*' Kwh area wise $ '!B5</f>
        <v>89.600000000002083</v>
      </c>
      <c r="H5" s="16">
        <f>('Kwh Consumption'!I6+'Kwh Consumption'!J6)*' Kwh area wise $ '!B5</f>
        <v>42.000000000001599</v>
      </c>
      <c r="I5" s="1">
        <f>('Kwh Consumption'!K6+'Kwh Consumption'!L6)*' Kwh area wise $ '!B5</f>
        <v>254.79999999999907</v>
      </c>
      <c r="J5" s="1">
        <f>('Kwh Consumption'!M6+'Kwh Consumption'!N6+'Kwh Consumption'!O6+'Kwh Consumption'!P6+'Kwh Consumption'!Q6+'Kwh Consumption'!R6)*' Kwh area wise $ '!B5</f>
        <v>599.19999999999629</v>
      </c>
      <c r="K5" s="1">
        <f>('Kwh Consumption'!S6+'Kwh Consumption'!T6)*' Kwh area wise $ '!B5</f>
        <v>676.7837999998593</v>
      </c>
      <c r="L5" s="1">
        <f>'Kwh Consumption'!U6*' Kwh area wise $ '!B5</f>
        <v>28.000000000002391</v>
      </c>
      <c r="M5" s="1">
        <f>'Kwh Consumption'!V6*' Kwh area wise $ '!B5</f>
        <v>1052.2162000002572</v>
      </c>
    </row>
    <row r="6" spans="1:13" x14ac:dyDescent="0.25">
      <c r="A6" s="14">
        <f>'Kwh Reading'!A7</f>
        <v>44412</v>
      </c>
      <c r="B6" s="11">
        <f>TOTAL!F5</f>
        <v>0.14000000000000001</v>
      </c>
      <c r="C6" s="11">
        <f>'Kwh Consumption'!B7*' Kwh area wise $ '!B6</f>
        <v>3281.5999999999758</v>
      </c>
      <c r="D6" s="1">
        <f>'Kwh Consumption'!C7*' Kwh area wise $ '!B6</f>
        <v>72.800000000005411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102.1999999999946</v>
      </c>
      <c r="H6" s="16">
        <f>('Kwh Consumption'!I7+'Kwh Consumption'!J7)*' Kwh area wise $ '!B6</f>
        <v>40.599999999998893</v>
      </c>
      <c r="I6" s="1">
        <f>('Kwh Consumption'!K7+'Kwh Consumption'!L7)*' Kwh area wise $ '!B6</f>
        <v>256.20000000000175</v>
      </c>
      <c r="J6" s="1">
        <f>('Kwh Consumption'!M7+'Kwh Consumption'!N7+'Kwh Consumption'!O7+'Kwh Consumption'!P7+'Kwh Consumption'!Q7+'Kwh Consumption'!R7)*' Kwh area wise $ '!B6</f>
        <v>645.40000000000202</v>
      </c>
      <c r="K6" s="1">
        <f>('Kwh Consumption'!S7+'Kwh Consumption'!T7)*' Kwh area wise $ '!B6</f>
        <v>739.8887999999896</v>
      </c>
      <c r="L6" s="1">
        <f>'Kwh Consumption'!U7*' Kwh area wise $ '!B6</f>
        <v>35</v>
      </c>
      <c r="M6" s="1">
        <f>'Kwh Consumption'!V7*' Kwh area wise $ '!B6</f>
        <v>1008.7111999999912</v>
      </c>
    </row>
    <row r="7" spans="1:13" x14ac:dyDescent="0.25">
      <c r="A7" s="14">
        <f>'Kwh Reading'!A8</f>
        <v>44413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-61160.400000000009</v>
      </c>
      <c r="E7" s="1">
        <f>'Kwh Consumption'!D8*' Kwh area wise $ '!B7</f>
        <v>-345198.00000000006</v>
      </c>
      <c r="F7" s="1">
        <f>'Kwh Consumption'!E8*' Kwh area wise $ '!B7</f>
        <v>-33318.600000000006</v>
      </c>
      <c r="G7" s="1">
        <f>('Kwh Consumption'!F8+'Kwh Consumption'!G8+'Kwh Consumption'!H8)*' Kwh area wise $ '!B7</f>
        <v>-128338.00000000001</v>
      </c>
      <c r="H7" s="16">
        <f>('Kwh Consumption'!I8+'Kwh Consumption'!J8)*' Kwh area wise $ '!B7</f>
        <v>-40174.400000000001</v>
      </c>
      <c r="I7" s="1">
        <f>('Kwh Consumption'!K8+'Kwh Consumption'!L8)*' Kwh area wise $ '!B7</f>
        <v>-178696.00000000003</v>
      </c>
      <c r="J7" s="1">
        <f>('Kwh Consumption'!M8+'Kwh Consumption'!N8+'Kwh Consumption'!O8+'Kwh Consumption'!P8+'Kwh Consumption'!Q8+'Kwh Consumption'!R8)*' Kwh area wise $ '!B7</f>
        <v>-503514.20000000007</v>
      </c>
      <c r="K7" s="1">
        <f>('Kwh Consumption'!S8+'Kwh Consumption'!T8)*' Kwh area wise $ '!B7</f>
        <v>-2220393.5334000001</v>
      </c>
      <c r="L7" s="1">
        <f>'Kwh Consumption'!U8*' Kwh area wise $ '!B7</f>
        <v>-22316.000000000004</v>
      </c>
      <c r="M7" s="1">
        <f>'Kwh Consumption'!V8*' Kwh area wise $ '!B7</f>
        <v>3533109.1334000002</v>
      </c>
    </row>
    <row r="8" spans="1:13" x14ac:dyDescent="0.25">
      <c r="A8" s="14">
        <f>'Kwh Reading'!A9</f>
        <v>44414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44415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44416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44417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44418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44419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44420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44421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44422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12927.600000000089</v>
      </c>
      <c r="D34" s="75">
        <f t="shared" si="0"/>
        <v>-60891.600000000006</v>
      </c>
      <c r="E34" s="75">
        <f t="shared" si="0"/>
        <v>-343840.00000000006</v>
      </c>
      <c r="F34" s="75">
        <f t="shared" si="0"/>
        <v>-33181.4</v>
      </c>
      <c r="G34" s="75">
        <f t="shared" si="0"/>
        <v>-127943.20000000003</v>
      </c>
      <c r="H34" s="75">
        <f t="shared" si="0"/>
        <v>-40003.599999999999</v>
      </c>
      <c r="I34" s="75">
        <f t="shared" si="0"/>
        <v>-177699.20000000001</v>
      </c>
      <c r="J34" s="75">
        <f t="shared" si="0"/>
        <v>-501111.8000000001</v>
      </c>
      <c r="K34" s="75">
        <f t="shared" si="0"/>
        <v>-2217549.4739999999</v>
      </c>
      <c r="L34" s="75">
        <f t="shared" si="0"/>
        <v>-22188.600000000006</v>
      </c>
      <c r="M34" s="75">
        <f>SUM(M3:M33)</f>
        <v>3537336.4740000004</v>
      </c>
      <c r="N34" s="84">
        <f>D34+E34+F34+G34+H34+I34+J34+K34+L34+M34</f>
        <v>12927.600000000093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7" sqref="R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44415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44416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44417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44418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44419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44420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44421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0</v>
      </c>
      <c r="C8" s="66">
        <f>('Water Reading'!B8-'Water Reading'!B7)+('Water Reading'!C8-'Water Reading'!C7)</f>
        <v>-311240</v>
      </c>
      <c r="D8" s="67" t="e">
        <f t="shared" si="2"/>
        <v>#DIV/0!</v>
      </c>
      <c r="E8" s="88">
        <f>'Water Reading'!H8-'Water Reading'!H7</f>
        <v>-54445</v>
      </c>
      <c r="F8" s="89">
        <f t="shared" si="3"/>
        <v>0.17492931499807224</v>
      </c>
      <c r="G8" s="93">
        <f>('Water Reading'!D8-'Water Reading'!D7)-('Water Reading'!R8-'Water Reading'!R7)-('Water Reading'!Q8-'Water Reading'!Q7)</f>
        <v>-207488</v>
      </c>
      <c r="H8" s="89">
        <f t="shared" si="4"/>
        <v>0.66664953090862356</v>
      </c>
      <c r="I8" s="90">
        <f>'Water Reading'!P8-'Water Reading'!P7</f>
        <v>-27323</v>
      </c>
      <c r="J8" s="68">
        <f t="shared" si="5"/>
        <v>8.7787559439660712E-2</v>
      </c>
      <c r="K8" s="91">
        <f>('Water Reading'!I8-'Water Reading'!I7)-('Water Reading'!P8-'Water Reading'!P7)</f>
        <v>-37222</v>
      </c>
      <c r="L8" s="68">
        <f t="shared" si="6"/>
        <v>0.11959259735252538</v>
      </c>
      <c r="M8" s="90">
        <f>'Water Reading'!R8-'Water Reading'!R7</f>
        <v>-6423</v>
      </c>
      <c r="N8" s="92">
        <f t="shared" si="7"/>
        <v>2.0636807608276572E-2</v>
      </c>
      <c r="O8" s="90">
        <f>'Water Reading'!Q8-'Water Reading'!Q7</f>
        <v>-799</v>
      </c>
      <c r="P8" s="99">
        <f t="shared" si="8"/>
        <v>2.5671507518313843E-3</v>
      </c>
      <c r="Q8" s="91">
        <f>'Water Reading'!F8-'Water Reading'!F7</f>
        <v>-66959</v>
      </c>
      <c r="R8" s="100">
        <f t="shared" si="9"/>
        <v>0.2151362292764426</v>
      </c>
      <c r="S8" s="90">
        <f>'Water Reading'!E8-'Water Reading'!E7</f>
        <v>-249917</v>
      </c>
      <c r="T8" s="100">
        <f t="shared" si="10"/>
        <v>0.80297198303559958</v>
      </c>
      <c r="U8" s="90">
        <f>'Water Reading'!G8-'Water Reading'!G7</f>
        <v>-112258</v>
      </c>
      <c r="V8" s="100">
        <f t="shared" si="11"/>
        <v>0.36067986120035983</v>
      </c>
      <c r="W8" s="90">
        <f>'Water Reading'!J8-'Water Reading'!J7</f>
        <v>-20708</v>
      </c>
      <c r="X8" s="100">
        <f t="shared" si="12"/>
        <v>6.6533864541832674E-2</v>
      </c>
      <c r="Y8" s="66">
        <f t="shared" si="0"/>
        <v>-783542</v>
      </c>
      <c r="Z8" s="67" t="e">
        <f t="shared" si="1"/>
        <v>#DIV/0!</v>
      </c>
    </row>
    <row r="9" spans="1:26" x14ac:dyDescent="0.25">
      <c r="A9" s="8">
        <f>'Water Reading'!A8</f>
        <v>44414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44415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44416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44417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44418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44419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44420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1573</v>
      </c>
      <c r="C35" s="75">
        <f>SUM(C4:C34)</f>
        <v>-309074</v>
      </c>
      <c r="D35" s="96">
        <f>C35/B35</f>
        <v>-196.48696757787667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-497.20788302606485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2021-08-05T07:06:55Z</dcterms:modified>
  <cp:category/>
  <cp:contentStatus/>
</cp:coreProperties>
</file>