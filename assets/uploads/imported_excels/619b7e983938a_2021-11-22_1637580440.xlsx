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F23" i="3"/>
  <c r="F22" i="3"/>
  <c r="E22" i="3"/>
  <c r="E21" i="3"/>
  <c r="F21" i="3" l="1"/>
  <c r="E20" i="3"/>
  <c r="F20" i="3" l="1"/>
  <c r="E19" i="3"/>
  <c r="F19" i="3" l="1"/>
  <c r="E18" i="3"/>
  <c r="E17" i="3" l="1"/>
  <c r="F18" i="3"/>
  <c r="F17" i="3" l="1"/>
  <c r="E16" i="3"/>
  <c r="F16" i="3" l="1"/>
  <c r="F15" i="3"/>
  <c r="E15" i="3"/>
  <c r="E14" i="3"/>
  <c r="F14" i="3" l="1"/>
  <c r="E13" i="3"/>
  <c r="F13" i="3" l="1"/>
  <c r="E12" i="3"/>
  <c r="F12" i="3" l="1"/>
  <c r="E11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11" i="3" l="1"/>
  <c r="E10" i="3"/>
  <c r="F10" i="3" l="1"/>
  <c r="E9" i="3"/>
  <c r="F9" i="3" l="1"/>
  <c r="F8" i="3"/>
  <c r="E8" i="3"/>
  <c r="E7" i="3"/>
  <c r="F7" i="3" l="1"/>
  <c r="E6" i="3"/>
  <c r="F6" i="3" l="1"/>
  <c r="E5" i="3"/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E21" i="1"/>
  <c r="G21" i="1"/>
  <c r="I21" i="1"/>
  <c r="K21" i="1"/>
  <c r="M21" i="1"/>
  <c r="N21" i="1"/>
  <c r="E22" i="1"/>
  <c r="G22" i="1"/>
  <c r="I22" i="1"/>
  <c r="K22" i="1"/>
  <c r="M22" i="1"/>
  <c r="N22" i="1"/>
  <c r="E23" i="1"/>
  <c r="G23" i="1"/>
  <c r="I23" i="1"/>
  <c r="K23" i="1"/>
  <c r="M23" i="1"/>
  <c r="N23" i="1"/>
  <c r="E24" i="1"/>
  <c r="G24" i="1"/>
  <c r="I24" i="1"/>
  <c r="K24" i="1"/>
  <c r="M24" i="1"/>
  <c r="N24" i="1"/>
  <c r="E25" i="1"/>
  <c r="G25" i="1"/>
  <c r="I25" i="1"/>
  <c r="K25" i="1"/>
  <c r="M25" i="1"/>
  <c r="N25" i="1"/>
  <c r="E26" i="1"/>
  <c r="G26" i="1"/>
  <c r="I26" i="1"/>
  <c r="K26" i="1"/>
  <c r="M26" i="1"/>
  <c r="N26" i="1"/>
  <c r="E27" i="1"/>
  <c r="G27" i="1"/>
  <c r="I27" i="1"/>
  <c r="K27" i="1"/>
  <c r="M27" i="1"/>
  <c r="N27" i="1"/>
  <c r="E28" i="1"/>
  <c r="G28" i="1"/>
  <c r="I28" i="1"/>
  <c r="K28" i="1"/>
  <c r="M28" i="1"/>
  <c r="N28" i="1"/>
  <c r="E29" i="1"/>
  <c r="G29" i="1"/>
  <c r="I29" i="1"/>
  <c r="K29" i="1"/>
  <c r="M29" i="1"/>
  <c r="N29" i="1"/>
  <c r="E30" i="1"/>
  <c r="G30" i="1"/>
  <c r="I30" i="1"/>
  <c r="K30" i="1"/>
  <c r="M30" i="1"/>
  <c r="N30" i="1"/>
  <c r="E31" i="1"/>
  <c r="G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BG20" i="3" s="1"/>
  <c r="EQ28" i="4"/>
  <c r="BC20" i="3" s="1"/>
  <c r="EO28" i="4"/>
  <c r="BF20" i="3" s="1"/>
  <c r="EM28" i="4"/>
  <c r="EK28" i="4"/>
  <c r="EI28" i="4"/>
  <c r="EG28" i="4"/>
  <c r="BA20" i="3" s="1"/>
  <c r="ED28" i="4"/>
  <c r="AZ20" i="3" s="1"/>
  <c r="EB28" i="4"/>
  <c r="AY20" i="3" s="1"/>
  <c r="DZ28" i="4"/>
  <c r="DX28" i="4"/>
  <c r="DV28" i="4"/>
  <c r="DT28" i="4"/>
  <c r="AU20" i="3" s="1"/>
  <c r="DQ28" i="4"/>
  <c r="AT20" i="3" s="1"/>
  <c r="DO28" i="4"/>
  <c r="AR20" i="3" s="1"/>
  <c r="DM28" i="4"/>
  <c r="DK28" i="4"/>
  <c r="DI28" i="4"/>
  <c r="DG28" i="4"/>
  <c r="AN20" i="3" s="1"/>
  <c r="DE28" i="4"/>
  <c r="AO20" i="3" s="1"/>
  <c r="DC28" i="4"/>
  <c r="AL20" i="3" s="1"/>
  <c r="DA28" i="4"/>
  <c r="CY28" i="4"/>
  <c r="CW28" i="4"/>
  <c r="CT28" i="4"/>
  <c r="AC20" i="3" s="1"/>
  <c r="CQ28" i="4"/>
  <c r="AB20" i="3" s="1"/>
  <c r="CN28" i="4"/>
  <c r="AA20" i="3" s="1"/>
  <c r="CK28" i="4"/>
  <c r="CI28" i="4"/>
  <c r="CG28" i="4"/>
  <c r="CE28" i="4"/>
  <c r="AG20" i="3" s="1"/>
  <c r="CC28" i="4"/>
  <c r="AF20" i="3" s="1"/>
  <c r="CA28" i="4"/>
  <c r="AE20" i="3" s="1"/>
  <c r="BY28" i="4"/>
  <c r="BV28" i="4"/>
  <c r="BS28" i="4"/>
  <c r="BF28" i="4"/>
  <c r="Y20" i="3" s="1"/>
  <c r="BC28" i="4"/>
  <c r="X20" i="3" s="1"/>
  <c r="AZ28" i="4"/>
  <c r="W20" i="3" s="1"/>
  <c r="AV28" i="4"/>
  <c r="AS28" i="4"/>
  <c r="AP28" i="4"/>
  <c r="AM28" i="4"/>
  <c r="S20" i="3" s="1"/>
  <c r="AJ28" i="4"/>
  <c r="R20" i="3" s="1"/>
  <c r="AG28" i="4"/>
  <c r="Q20" i="3" s="1"/>
  <c r="AD28" i="4"/>
  <c r="AA28" i="4"/>
  <c r="X28" i="4"/>
  <c r="U28" i="4"/>
  <c r="M20" i="3" s="1"/>
  <c r="R28" i="4"/>
  <c r="L20" i="3" s="1"/>
  <c r="Q28" i="4"/>
  <c r="O28" i="4"/>
  <c r="M28" i="4"/>
  <c r="K28" i="4"/>
  <c r="I28" i="4"/>
  <c r="H28" i="4"/>
  <c r="F28" i="4"/>
  <c r="H20" i="3" s="1"/>
  <c r="E28" i="4"/>
  <c r="C28" i="4"/>
  <c r="B28" i="4"/>
  <c r="FB27" i="4"/>
  <c r="BK19" i="3" s="1"/>
  <c r="EZ27" i="4"/>
  <c r="BI19" i="3" s="1"/>
  <c r="EX27" i="4"/>
  <c r="EV27" i="4"/>
  <c r="ET27" i="4"/>
  <c r="EQ27" i="4"/>
  <c r="EO27" i="4"/>
  <c r="BF19" i="3" s="1"/>
  <c r="EM27" i="4"/>
  <c r="BE19" i="3" s="1"/>
  <c r="EK27" i="4"/>
  <c r="EI27" i="4"/>
  <c r="EG27" i="4"/>
  <c r="ED27" i="4"/>
  <c r="EB27" i="4"/>
  <c r="AY19" i="3" s="1"/>
  <c r="DZ27" i="4"/>
  <c r="AX19" i="3" s="1"/>
  <c r="DX27" i="4"/>
  <c r="DV27" i="4"/>
  <c r="DT27" i="4"/>
  <c r="DQ27" i="4"/>
  <c r="DO27" i="4"/>
  <c r="AR19" i="3" s="1"/>
  <c r="DM27" i="4"/>
  <c r="AS19" i="3" s="1"/>
  <c r="DK27" i="4"/>
  <c r="DI27" i="4"/>
  <c r="DG27" i="4"/>
  <c r="DE27" i="4"/>
  <c r="DC27" i="4"/>
  <c r="AL19" i="3" s="1"/>
  <c r="DA27" i="4"/>
  <c r="AM19" i="3" s="1"/>
  <c r="CY27" i="4"/>
  <c r="CW27" i="4"/>
  <c r="CT27" i="4"/>
  <c r="CQ27" i="4"/>
  <c r="CN27" i="4"/>
  <c r="AA19" i="3" s="1"/>
  <c r="CK27" i="4"/>
  <c r="Z19" i="3" s="1"/>
  <c r="CI27" i="4"/>
  <c r="CG27" i="4"/>
  <c r="CE27" i="4"/>
  <c r="CC27" i="4"/>
  <c r="CA27" i="4"/>
  <c r="AE19" i="3" s="1"/>
  <c r="BY27" i="4"/>
  <c r="AD19" i="3" s="1"/>
  <c r="BV27" i="4"/>
  <c r="BS27" i="4"/>
  <c r="BF27" i="4"/>
  <c r="BC27" i="4"/>
  <c r="AZ27" i="4"/>
  <c r="W19" i="3" s="1"/>
  <c r="AV27" i="4"/>
  <c r="V19" i="3" s="1"/>
  <c r="AS27" i="4"/>
  <c r="AP27" i="4"/>
  <c r="AM27" i="4"/>
  <c r="AJ27" i="4"/>
  <c r="AG27" i="4"/>
  <c r="Q19" i="3" s="1"/>
  <c r="AD27" i="4"/>
  <c r="P19" i="3" s="1"/>
  <c r="AA27" i="4"/>
  <c r="X27" i="4"/>
  <c r="U27" i="4"/>
  <c r="R27" i="4"/>
  <c r="Q27" i="4"/>
  <c r="O27" i="4"/>
  <c r="K19" i="3" s="1"/>
  <c r="M27" i="4"/>
  <c r="K27" i="4"/>
  <c r="I27" i="4"/>
  <c r="H27" i="4"/>
  <c r="F27" i="4"/>
  <c r="H19" i="3" s="1"/>
  <c r="E27" i="4"/>
  <c r="C27" i="4"/>
  <c r="B27" i="4"/>
  <c r="FB26" i="4"/>
  <c r="EZ26" i="4"/>
  <c r="EX26" i="4"/>
  <c r="EV26" i="4"/>
  <c r="BH18" i="3" s="1"/>
  <c r="ET26" i="4"/>
  <c r="EQ26" i="4"/>
  <c r="EO26" i="4"/>
  <c r="EM26" i="4"/>
  <c r="EK26" i="4"/>
  <c r="EI26" i="4"/>
  <c r="BB18" i="3" s="1"/>
  <c r="EG26" i="4"/>
  <c r="ED26" i="4"/>
  <c r="EB26" i="4"/>
  <c r="DZ26" i="4"/>
  <c r="DX26" i="4"/>
  <c r="DV26" i="4"/>
  <c r="DT26" i="4"/>
  <c r="DQ26" i="4"/>
  <c r="DO26" i="4"/>
  <c r="DM26" i="4"/>
  <c r="DK26" i="4"/>
  <c r="DI26" i="4"/>
  <c r="AQ18" i="3" s="1"/>
  <c r="DG26" i="4"/>
  <c r="DE26" i="4"/>
  <c r="DC26" i="4"/>
  <c r="DA26" i="4"/>
  <c r="CY26" i="4"/>
  <c r="CW26" i="4"/>
  <c r="AK18" i="3" s="1"/>
  <c r="CT26" i="4"/>
  <c r="CQ26" i="4"/>
  <c r="CN26" i="4"/>
  <c r="CK26" i="4"/>
  <c r="CI26" i="4"/>
  <c r="CG26" i="4"/>
  <c r="AH18" i="3" s="1"/>
  <c r="CE26" i="4"/>
  <c r="CC26" i="4"/>
  <c r="CA26" i="4"/>
  <c r="BY26" i="4"/>
  <c r="BV26" i="4"/>
  <c r="BS26" i="4"/>
  <c r="BF26" i="4"/>
  <c r="BC26" i="4"/>
  <c r="AZ26" i="4"/>
  <c r="AV26" i="4"/>
  <c r="AS26" i="4"/>
  <c r="AP26" i="4"/>
  <c r="T18" i="3" s="1"/>
  <c r="AM26" i="4"/>
  <c r="AJ26" i="4"/>
  <c r="AG26" i="4"/>
  <c r="AD26" i="4"/>
  <c r="AA26" i="4"/>
  <c r="X26" i="4"/>
  <c r="N18" i="3" s="1"/>
  <c r="U26" i="4"/>
  <c r="M18" i="3" s="1"/>
  <c r="R26" i="4"/>
  <c r="Q26" i="4"/>
  <c r="O26" i="4"/>
  <c r="M26" i="4"/>
  <c r="K26" i="4"/>
  <c r="I26" i="4"/>
  <c r="H26" i="4"/>
  <c r="F26" i="4"/>
  <c r="E26" i="4"/>
  <c r="C26" i="4"/>
  <c r="B26" i="4"/>
  <c r="FB25" i="4"/>
  <c r="BK17" i="3" s="1"/>
  <c r="EZ25" i="4"/>
  <c r="EX25" i="4"/>
  <c r="EV25" i="4"/>
  <c r="ET25" i="4"/>
  <c r="EQ25" i="4"/>
  <c r="EO25" i="4"/>
  <c r="BF17" i="3" s="1"/>
  <c r="EM25" i="4"/>
  <c r="EK25" i="4"/>
  <c r="EI25" i="4"/>
  <c r="EG25" i="4"/>
  <c r="ED25" i="4"/>
  <c r="EB25" i="4"/>
  <c r="AY17" i="3" s="1"/>
  <c r="DZ25" i="4"/>
  <c r="DX25" i="4"/>
  <c r="DV25" i="4"/>
  <c r="DT25" i="4"/>
  <c r="DQ25" i="4"/>
  <c r="DO25" i="4"/>
  <c r="AR17" i="3" s="1"/>
  <c r="DM25" i="4"/>
  <c r="DK25" i="4"/>
  <c r="DI25" i="4"/>
  <c r="DG25" i="4"/>
  <c r="DE25" i="4"/>
  <c r="DC25" i="4"/>
  <c r="AL17" i="3" s="1"/>
  <c r="DA25" i="4"/>
  <c r="CY25" i="4"/>
  <c r="CW25" i="4"/>
  <c r="CT25" i="4"/>
  <c r="CQ25" i="4"/>
  <c r="CN25" i="4"/>
  <c r="AA17" i="3" s="1"/>
  <c r="CK25" i="4"/>
  <c r="CI25" i="4"/>
  <c r="CG25" i="4"/>
  <c r="CE25" i="4"/>
  <c r="CC25" i="4"/>
  <c r="CA25" i="4"/>
  <c r="AE17" i="3" s="1"/>
  <c r="BY25" i="4"/>
  <c r="BV25" i="4"/>
  <c r="BS25" i="4"/>
  <c r="BF25" i="4"/>
  <c r="BC25" i="4"/>
  <c r="AZ25" i="4"/>
  <c r="W17" i="3" s="1"/>
  <c r="AV25" i="4"/>
  <c r="AS25" i="4"/>
  <c r="AP25" i="4"/>
  <c r="AM25" i="4"/>
  <c r="AJ25" i="4"/>
  <c r="AG25" i="4"/>
  <c r="Q17" i="3" s="1"/>
  <c r="AD25" i="4"/>
  <c r="AA25" i="4"/>
  <c r="X25" i="4"/>
  <c r="U25" i="4"/>
  <c r="R25" i="4"/>
  <c r="Q25" i="4"/>
  <c r="O25" i="4"/>
  <c r="M25" i="4"/>
  <c r="K25" i="4"/>
  <c r="I25" i="4"/>
  <c r="H25" i="4"/>
  <c r="F25" i="4"/>
  <c r="H17" i="3" s="1"/>
  <c r="E25" i="4"/>
  <c r="C25" i="4"/>
  <c r="B25" i="4"/>
  <c r="FB24" i="4"/>
  <c r="EZ24" i="4"/>
  <c r="EX24" i="4"/>
  <c r="BJ16" i="3" s="1"/>
  <c r="EV24" i="4"/>
  <c r="ET24" i="4"/>
  <c r="EQ24" i="4"/>
  <c r="EO24" i="4"/>
  <c r="EM24" i="4"/>
  <c r="EK24" i="4"/>
  <c r="BD16" i="3" s="1"/>
  <c r="EI24" i="4"/>
  <c r="EG24" i="4"/>
  <c r="ED24" i="4"/>
  <c r="EB24" i="4"/>
  <c r="DZ24" i="4"/>
  <c r="DX24" i="4"/>
  <c r="AW16" i="3" s="1"/>
  <c r="DV24" i="4"/>
  <c r="DT24" i="4"/>
  <c r="DQ24" i="4"/>
  <c r="DO24" i="4"/>
  <c r="DM24" i="4"/>
  <c r="DK24" i="4"/>
  <c r="AP16" i="3" s="1"/>
  <c r="DI24" i="4"/>
  <c r="DG24" i="4"/>
  <c r="DE24" i="4"/>
  <c r="DC24" i="4"/>
  <c r="DA24" i="4"/>
  <c r="CY24" i="4"/>
  <c r="AJ16" i="3" s="1"/>
  <c r="CW24" i="4"/>
  <c r="CT24" i="4"/>
  <c r="CQ24" i="4"/>
  <c r="CN24" i="4"/>
  <c r="CK24" i="4"/>
  <c r="CI24" i="4"/>
  <c r="AI16" i="3" s="1"/>
  <c r="CG24" i="4"/>
  <c r="CE24" i="4"/>
  <c r="CC24" i="4"/>
  <c r="CA24" i="4"/>
  <c r="BY24" i="4"/>
  <c r="BV24" i="4"/>
  <c r="BS24" i="4"/>
  <c r="BF24" i="4"/>
  <c r="BC24" i="4"/>
  <c r="AZ24" i="4"/>
  <c r="AV24" i="4"/>
  <c r="AS24" i="4"/>
  <c r="U16" i="3" s="1"/>
  <c r="AP24" i="4"/>
  <c r="AM24" i="4"/>
  <c r="AJ24" i="4"/>
  <c r="AG24" i="4"/>
  <c r="AD24" i="4"/>
  <c r="AA24" i="4"/>
  <c r="O16" i="3" s="1"/>
  <c r="X24" i="4"/>
  <c r="U24" i="4"/>
  <c r="R24" i="4"/>
  <c r="Q24" i="4"/>
  <c r="O24" i="4"/>
  <c r="M24" i="4"/>
  <c r="K24" i="4"/>
  <c r="I24" i="4"/>
  <c r="H24" i="4"/>
  <c r="F24" i="4"/>
  <c r="E24" i="4"/>
  <c r="C24" i="4"/>
  <c r="G16" i="3" s="1"/>
  <c r="I16" i="1" s="1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K20" i="3" l="1"/>
  <c r="I20" i="3"/>
  <c r="K20" i="1" s="1"/>
  <c r="J20" i="3"/>
  <c r="N20" i="3"/>
  <c r="T20" i="3"/>
  <c r="AH20" i="3"/>
  <c r="AK20" i="3"/>
  <c r="AQ20" i="3"/>
  <c r="BB20" i="3"/>
  <c r="BH20" i="3"/>
  <c r="E20" i="1"/>
  <c r="G20" i="3"/>
  <c r="I20" i="1" s="1"/>
  <c r="O20" i="3"/>
  <c r="U20" i="3"/>
  <c r="AI20" i="3"/>
  <c r="AJ20" i="3"/>
  <c r="AP20" i="3"/>
  <c r="AW20" i="3"/>
  <c r="BD20" i="3"/>
  <c r="BJ20" i="3"/>
  <c r="K20" i="3"/>
  <c r="P20" i="3"/>
  <c r="V20" i="3"/>
  <c r="AD20" i="3"/>
  <c r="Z20" i="3"/>
  <c r="G20" i="1" s="1"/>
  <c r="AM20" i="3"/>
  <c r="AS20" i="3"/>
  <c r="AX20" i="3"/>
  <c r="BE20" i="3"/>
  <c r="BI20" i="3"/>
  <c r="K18" i="3"/>
  <c r="P18" i="3"/>
  <c r="V18" i="3"/>
  <c r="AD18" i="3"/>
  <c r="Z18" i="3"/>
  <c r="AM18" i="3"/>
  <c r="AS18" i="3"/>
  <c r="AX18" i="3"/>
  <c r="BE18" i="3"/>
  <c r="BI18" i="3"/>
  <c r="L19" i="3"/>
  <c r="R19" i="3"/>
  <c r="X19" i="3"/>
  <c r="AF19" i="3"/>
  <c r="AB19" i="3"/>
  <c r="G19" i="1" s="1"/>
  <c r="AO19" i="3"/>
  <c r="AT19" i="3"/>
  <c r="AZ19" i="3"/>
  <c r="BC19" i="3"/>
  <c r="M19" i="3"/>
  <c r="S19" i="3"/>
  <c r="Y19" i="3"/>
  <c r="AG19" i="3"/>
  <c r="AC19" i="3"/>
  <c r="AN19" i="3"/>
  <c r="AU19" i="3"/>
  <c r="BA19" i="3"/>
  <c r="BG19" i="3"/>
  <c r="I19" i="3"/>
  <c r="K19" i="1" s="1"/>
  <c r="J19" i="3"/>
  <c r="N19" i="3"/>
  <c r="T19" i="3"/>
  <c r="AH19" i="3"/>
  <c r="AK19" i="3"/>
  <c r="AQ19" i="3"/>
  <c r="BB19" i="3"/>
  <c r="BH19" i="3"/>
  <c r="S18" i="3"/>
  <c r="Y18" i="3"/>
  <c r="AG18" i="3"/>
  <c r="AC18" i="3"/>
  <c r="AN18" i="3"/>
  <c r="AU18" i="3"/>
  <c r="BA18" i="3"/>
  <c r="BG18" i="3"/>
  <c r="G19" i="3"/>
  <c r="I19" i="1" s="1"/>
  <c r="O19" i="3"/>
  <c r="U19" i="3"/>
  <c r="AI19" i="3"/>
  <c r="AJ19" i="3"/>
  <c r="AP19" i="3"/>
  <c r="AW19" i="3"/>
  <c r="BD19" i="3"/>
  <c r="BJ19" i="3"/>
  <c r="I18" i="3"/>
  <c r="K18" i="1" s="1"/>
  <c r="J18" i="3"/>
  <c r="G18" i="3"/>
  <c r="I18" i="1" s="1"/>
  <c r="O18" i="3"/>
  <c r="U18" i="3"/>
  <c r="AI18" i="3"/>
  <c r="AJ18" i="3"/>
  <c r="AP18" i="3"/>
  <c r="AW18" i="3"/>
  <c r="BD18" i="3"/>
  <c r="BJ18" i="3"/>
  <c r="H18" i="3"/>
  <c r="Q18" i="3"/>
  <c r="W18" i="3"/>
  <c r="AE18" i="3"/>
  <c r="AA18" i="3"/>
  <c r="AL18" i="3"/>
  <c r="AR18" i="3"/>
  <c r="AY18" i="3"/>
  <c r="BF18" i="3"/>
  <c r="BK18" i="3"/>
  <c r="L18" i="3"/>
  <c r="R18" i="3"/>
  <c r="X18" i="3"/>
  <c r="AF18" i="3"/>
  <c r="AB18" i="3"/>
  <c r="AO18" i="3"/>
  <c r="AT18" i="3"/>
  <c r="AZ18" i="3"/>
  <c r="BC18" i="3"/>
  <c r="K17" i="3"/>
  <c r="P17" i="3"/>
  <c r="V17" i="3"/>
  <c r="AD17" i="3"/>
  <c r="Z17" i="3"/>
  <c r="AM17" i="3"/>
  <c r="AS17" i="3"/>
  <c r="AX17" i="3"/>
  <c r="BE17" i="3"/>
  <c r="BI17" i="3"/>
  <c r="L17" i="3"/>
  <c r="R17" i="3"/>
  <c r="X17" i="3"/>
  <c r="AF17" i="3"/>
  <c r="AB17" i="3"/>
  <c r="AO17" i="3"/>
  <c r="AT17" i="3"/>
  <c r="AZ17" i="3"/>
  <c r="BC17" i="3"/>
  <c r="M17" i="3"/>
  <c r="S17" i="3"/>
  <c r="Y17" i="3"/>
  <c r="AG17" i="3"/>
  <c r="AC17" i="3"/>
  <c r="AN17" i="3"/>
  <c r="AU17" i="3"/>
  <c r="BA17" i="3"/>
  <c r="BG17" i="3"/>
  <c r="I17" i="3"/>
  <c r="K17" i="1" s="1"/>
  <c r="J17" i="3"/>
  <c r="N17" i="3"/>
  <c r="T17" i="3"/>
  <c r="AH17" i="3"/>
  <c r="AK17" i="3"/>
  <c r="AQ17" i="3"/>
  <c r="BB17" i="3"/>
  <c r="BH17" i="3"/>
  <c r="M16" i="3"/>
  <c r="S16" i="3"/>
  <c r="Y16" i="3"/>
  <c r="AC16" i="3"/>
  <c r="AN16" i="3"/>
  <c r="AU16" i="3"/>
  <c r="BA16" i="3"/>
  <c r="BG16" i="3"/>
  <c r="G17" i="3"/>
  <c r="I17" i="1" s="1"/>
  <c r="O17" i="3"/>
  <c r="U17" i="3"/>
  <c r="AI17" i="3"/>
  <c r="AJ17" i="3"/>
  <c r="AP17" i="3"/>
  <c r="AW17" i="3"/>
  <c r="BD17" i="3"/>
  <c r="BJ17" i="3"/>
  <c r="I16" i="3"/>
  <c r="K16" i="1" s="1"/>
  <c r="J16" i="3"/>
  <c r="N16" i="3"/>
  <c r="T16" i="3"/>
  <c r="AH16" i="3"/>
  <c r="AK16" i="3"/>
  <c r="AQ16" i="3"/>
  <c r="BB16" i="3"/>
  <c r="BH16" i="3"/>
  <c r="AG16" i="3"/>
  <c r="K16" i="3"/>
  <c r="P16" i="3"/>
  <c r="V16" i="3"/>
  <c r="AD16" i="3"/>
  <c r="Z16" i="3"/>
  <c r="AM16" i="3"/>
  <c r="AS16" i="3"/>
  <c r="AX16" i="3"/>
  <c r="BE16" i="3"/>
  <c r="BI16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H16" i="3"/>
  <c r="Q16" i="3"/>
  <c r="W16" i="3"/>
  <c r="AE16" i="3"/>
  <c r="AA16" i="3"/>
  <c r="AL16" i="3"/>
  <c r="AR16" i="3"/>
  <c r="AY16" i="3"/>
  <c r="BF16" i="3"/>
  <c r="BK16" i="3"/>
  <c r="H14" i="3"/>
  <c r="L14" i="3"/>
  <c r="AE14" i="3"/>
  <c r="AH14" i="3"/>
  <c r="G15" i="3"/>
  <c r="I15" i="1" s="1"/>
  <c r="K15" i="3"/>
  <c r="AK15" i="3"/>
  <c r="AL15" i="3"/>
  <c r="AQ15" i="3"/>
  <c r="AR15" i="3"/>
  <c r="AY15" i="3"/>
  <c r="BB15" i="3"/>
  <c r="BF15" i="3"/>
  <c r="BH15" i="3"/>
  <c r="BK15" i="3"/>
  <c r="L16" i="3"/>
  <c r="R16" i="3"/>
  <c r="X16" i="3"/>
  <c r="AF16" i="3"/>
  <c r="AB16" i="3"/>
  <c r="AO16" i="3"/>
  <c r="AT16" i="3"/>
  <c r="AZ16" i="3"/>
  <c r="BC16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M14" i="3"/>
  <c r="O14" i="3"/>
  <c r="Q14" i="3"/>
  <c r="S14" i="3"/>
  <c r="U14" i="3"/>
  <c r="W14" i="3"/>
  <c r="Y14" i="3"/>
  <c r="AF14" i="3"/>
  <c r="AI14" i="3"/>
  <c r="I15" i="3"/>
  <c r="K15" i="1" s="1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G14" i="3"/>
  <c r="I14" i="1" s="1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I14" i="3"/>
  <c r="K14" i="1" s="1"/>
  <c r="J14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G13" i="3"/>
  <c r="I13" i="1" s="1"/>
  <c r="K13" i="3"/>
  <c r="AK13" i="3"/>
  <c r="AL13" i="3"/>
  <c r="AQ13" i="3"/>
  <c r="AR13" i="3"/>
  <c r="AY13" i="3"/>
  <c r="BB13" i="3"/>
  <c r="BF13" i="3"/>
  <c r="BH13" i="3"/>
  <c r="BK13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I13" i="3"/>
  <c r="K13" i="1" s="1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2" i="3"/>
  <c r="I12" i="1" s="1"/>
  <c r="K12" i="3"/>
  <c r="AK12" i="3"/>
  <c r="AL12" i="3"/>
  <c r="AQ12" i="3"/>
  <c r="AR12" i="3"/>
  <c r="AY12" i="3"/>
  <c r="H13" i="3"/>
  <c r="L13" i="3"/>
  <c r="AE13" i="3"/>
  <c r="AH13" i="3"/>
  <c r="AA13" i="3"/>
  <c r="AC13" i="3"/>
  <c r="AM13" i="3"/>
  <c r="AN13" i="3"/>
  <c r="AS13" i="3"/>
  <c r="AU13" i="3"/>
  <c r="AX13" i="3"/>
  <c r="BA13" i="3"/>
  <c r="BE13" i="3"/>
  <c r="BG13" i="3"/>
  <c r="BI13" i="3"/>
  <c r="I12" i="3"/>
  <c r="K12" i="1" s="1"/>
  <c r="J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I5" i="3"/>
  <c r="K5" i="1" s="1"/>
  <c r="BB12" i="3"/>
  <c r="BF12" i="3"/>
  <c r="BH12" i="3"/>
  <c r="BK12" i="3"/>
  <c r="AD12" i="3"/>
  <c r="AG12" i="3"/>
  <c r="Z12" i="3"/>
  <c r="AB12" i="3"/>
  <c r="L11" i="3"/>
  <c r="AH11" i="3"/>
  <c r="I6" i="3"/>
  <c r="K6" i="1" s="1"/>
  <c r="I8" i="3"/>
  <c r="K8" i="1" s="1"/>
  <c r="I10" i="3"/>
  <c r="K10" i="1" s="1"/>
  <c r="M11" i="3"/>
  <c r="O11" i="3"/>
  <c r="Q11" i="3"/>
  <c r="S11" i="3"/>
  <c r="U11" i="3"/>
  <c r="W11" i="3"/>
  <c r="Y11" i="3"/>
  <c r="AF11" i="3"/>
  <c r="AI11" i="3"/>
  <c r="G11" i="3"/>
  <c r="I11" i="1" s="1"/>
  <c r="AK11" i="3"/>
  <c r="AQ11" i="3"/>
  <c r="BF11" i="3"/>
  <c r="BH11" i="3"/>
  <c r="I4" i="3"/>
  <c r="AD11" i="3"/>
  <c r="AG11" i="3"/>
  <c r="Z11" i="3"/>
  <c r="AB11" i="3"/>
  <c r="K11" i="3"/>
  <c r="AL11" i="3"/>
  <c r="AR11" i="3"/>
  <c r="AY11" i="3"/>
  <c r="BB11" i="3"/>
  <c r="BK11" i="3"/>
  <c r="I7" i="3"/>
  <c r="K7" i="1" s="1"/>
  <c r="I9" i="3"/>
  <c r="I11" i="3"/>
  <c r="K11" i="1" s="1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AE11" i="3"/>
  <c r="I2" i="3"/>
  <c r="I3" i="3"/>
  <c r="K3" i="1" s="1"/>
  <c r="AA11" i="3"/>
  <c r="AC11" i="3"/>
  <c r="AM11" i="3"/>
  <c r="AN11" i="3"/>
  <c r="AS11" i="3"/>
  <c r="AU11" i="3"/>
  <c r="AX11" i="3"/>
  <c r="BA11" i="3"/>
  <c r="BE11" i="3"/>
  <c r="BG11" i="3"/>
  <c r="BI11" i="3"/>
  <c r="M7" i="3"/>
  <c r="O7" i="3"/>
  <c r="Q7" i="3"/>
  <c r="S7" i="3"/>
  <c r="U7" i="3"/>
  <c r="W7" i="3"/>
  <c r="Y7" i="3"/>
  <c r="AF7" i="3"/>
  <c r="AI7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I9" i="1" s="1"/>
  <c r="K9" i="1"/>
  <c r="K9" i="3"/>
  <c r="H10" i="3"/>
  <c r="L10" i="3"/>
  <c r="AE10" i="3"/>
  <c r="AH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AD10" i="3"/>
  <c r="AG10" i="3"/>
  <c r="Z10" i="3"/>
  <c r="AB10" i="3"/>
  <c r="AK9" i="3"/>
  <c r="AL9" i="3"/>
  <c r="AQ9" i="3"/>
  <c r="AR9" i="3"/>
  <c r="AY9" i="3"/>
  <c r="BB9" i="3"/>
  <c r="BF9" i="3"/>
  <c r="BH9" i="3"/>
  <c r="BK9" i="3"/>
  <c r="P4" i="3"/>
  <c r="AD9" i="3"/>
  <c r="AG9" i="3"/>
  <c r="Z9" i="3"/>
  <c r="AB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T4" i="3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K4" i="1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K6" i="3"/>
  <c r="AK6" i="3"/>
  <c r="AL6" i="3"/>
  <c r="AQ6" i="3"/>
  <c r="AR6" i="3"/>
  <c r="AY6" i="3"/>
  <c r="BB6" i="3"/>
  <c r="BF6" i="3"/>
  <c r="BH6" i="3"/>
  <c r="BK6" i="3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G18" i="1" l="1"/>
  <c r="E18" i="1"/>
  <c r="E19" i="1"/>
  <c r="G17" i="1"/>
  <c r="G16" i="1"/>
  <c r="E16" i="1"/>
  <c r="E17" i="1"/>
  <c r="E15" i="1"/>
  <c r="G13" i="1"/>
  <c r="G15" i="1"/>
  <c r="G14" i="1"/>
  <c r="E14" i="1"/>
  <c r="E13" i="1"/>
  <c r="G11" i="1"/>
  <c r="G12" i="1"/>
  <c r="E12" i="1"/>
  <c r="E11" i="1"/>
  <c r="G6" i="1"/>
  <c r="E10" i="1"/>
  <c r="E9" i="1"/>
  <c r="G10" i="1"/>
  <c r="E7" i="1"/>
  <c r="G9" i="1"/>
  <c r="E8" i="1"/>
  <c r="G8" i="1"/>
  <c r="G7" i="1"/>
  <c r="E6" i="1"/>
  <c r="E3" i="1"/>
  <c r="E4" i="1"/>
  <c r="G3" i="1"/>
  <c r="G4" i="1"/>
  <c r="E5" i="1"/>
  <c r="G5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G2" i="1" l="1"/>
  <c r="E2" i="1"/>
  <c r="DY13" i="4" l="1"/>
  <c r="DY12" i="4"/>
  <c r="EY24" i="4" l="1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CS24" i="4" l="1"/>
  <c r="CR24" i="4"/>
  <c r="CO24" i="4"/>
  <c r="CP24" i="4"/>
  <c r="CL24" i="4"/>
  <c r="CM24" i="4"/>
  <c r="BW24" i="4"/>
  <c r="BX24" i="4"/>
  <c r="BG24" i="4"/>
  <c r="BH24" i="4"/>
  <c r="BF44" i="4" s="1"/>
  <c r="BE24" i="4"/>
  <c r="BC44" i="4" s="1"/>
  <c r="BD24" i="4"/>
  <c r="BB24" i="4"/>
  <c r="AZ44" i="4" s="1"/>
  <c r="BA24" i="4"/>
  <c r="AX24" i="4"/>
  <c r="AW24" i="4"/>
  <c r="AU24" i="4"/>
  <c r="AT24" i="4"/>
  <c r="AR24" i="4"/>
  <c r="AQ24" i="4"/>
  <c r="AN24" i="4"/>
  <c r="AO24" i="4"/>
  <c r="AL24" i="4"/>
  <c r="AK24" i="4"/>
  <c r="AI24" i="4"/>
  <c r="AH24" i="4"/>
  <c r="AE24" i="4"/>
  <c r="AF24" i="4"/>
  <c r="AC24" i="4"/>
  <c r="AB24" i="4"/>
  <c r="Z24" i="4"/>
  <c r="Y24" i="4"/>
  <c r="V24" i="4"/>
  <c r="W2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EY25" i="4" l="1"/>
  <c r="FC25" i="4" l="1"/>
  <c r="FA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CS25" i="4" l="1"/>
  <c r="CR25" i="4"/>
  <c r="CP25" i="4"/>
  <c r="CO25" i="4"/>
  <c r="CM25" i="4"/>
  <c r="CL25" i="4"/>
  <c r="BX25" i="4"/>
  <c r="BW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V25" i="4"/>
  <c r="W25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X26" i="4"/>
  <c r="BW26" i="4"/>
  <c r="BG26" i="4"/>
  <c r="BH26" i="4"/>
  <c r="BD26" i="4"/>
  <c r="BE26" i="4"/>
  <c r="BB26" i="4"/>
  <c r="BA26" i="4"/>
  <c r="AW26" i="4"/>
  <c r="AX26" i="4"/>
  <c r="AT26" i="4"/>
  <c r="AU26" i="4"/>
  <c r="AQ26" i="4"/>
  <c r="AR26" i="4"/>
  <c r="AO26" i="4"/>
  <c r="AN26" i="4"/>
  <c r="AK26" i="4"/>
  <c r="AL26" i="4"/>
  <c r="AI26" i="4"/>
  <c r="AH26" i="4"/>
  <c r="AE26" i="4"/>
  <c r="AF26" i="4"/>
  <c r="AB26" i="4"/>
  <c r="AC26" i="4"/>
  <c r="Z26" i="4"/>
  <c r="Y26" i="4"/>
  <c r="W26" i="4"/>
  <c r="V26" i="4"/>
  <c r="FC27" i="4" l="1"/>
  <c r="EY27" i="4" l="1"/>
  <c r="EY28" i="4"/>
  <c r="FC28" i="4" l="1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G48" i="4" s="1"/>
  <c r="CF27" i="4"/>
  <c r="CE48" i="4" s="1"/>
  <c r="CD27" i="4"/>
  <c r="CB27" i="4"/>
  <c r="CA48" i="4" s="1"/>
  <c r="BZ27" i="4"/>
  <c r="BT27" i="4"/>
  <c r="S27" i="4"/>
  <c r="R48" i="4" s="1"/>
  <c r="R49" i="4" s="1"/>
  <c r="P27" i="4"/>
  <c r="O48" i="4" s="1"/>
  <c r="O49" i="4" s="1"/>
  <c r="N27" i="4"/>
  <c r="L27" i="4"/>
  <c r="K48" i="4" s="1"/>
  <c r="K49" i="4" s="1"/>
  <c r="J27" i="4"/>
  <c r="G27" i="4"/>
  <c r="D27" i="4"/>
  <c r="C48" i="4" s="1"/>
  <c r="C49" i="4" s="1"/>
  <c r="CC48" i="4" l="1"/>
  <c r="BS48" i="4"/>
  <c r="CT48" i="4"/>
  <c r="CT49" i="4" s="1"/>
  <c r="F48" i="4"/>
  <c r="F49" i="4" s="1"/>
  <c r="I48" i="4"/>
  <c r="I49" i="4" s="1"/>
  <c r="CI48" i="4"/>
  <c r="BY48" i="4"/>
  <c r="CR27" i="4"/>
  <c r="CS27" i="4"/>
  <c r="CS28" i="4"/>
  <c r="CR28" i="4"/>
  <c r="CP27" i="4"/>
  <c r="CO27" i="4"/>
  <c r="CP28" i="4"/>
  <c r="CO28" i="4"/>
  <c r="CM27" i="4"/>
  <c r="CL27" i="4"/>
  <c r="CM28" i="4"/>
  <c r="CL28" i="4"/>
  <c r="BW27" i="4"/>
  <c r="BX27" i="4"/>
  <c r="BX28" i="4"/>
  <c r="BW28" i="4"/>
  <c r="BH27" i="4"/>
  <c r="BG27" i="4"/>
  <c r="BH28" i="4"/>
  <c r="BG28" i="4"/>
  <c r="BD27" i="4"/>
  <c r="BE27" i="4"/>
  <c r="BE28" i="4"/>
  <c r="BD28" i="4"/>
  <c r="BA27" i="4"/>
  <c r="BB27" i="4"/>
  <c r="BB28" i="4"/>
  <c r="BA28" i="4"/>
  <c r="AW27" i="4"/>
  <c r="AX27" i="4"/>
  <c r="AX28" i="4"/>
  <c r="AW28" i="4"/>
  <c r="AU28" i="4"/>
  <c r="AT28" i="4"/>
  <c r="AU27" i="4"/>
  <c r="AS47" i="4" s="1"/>
  <c r="AT27" i="4"/>
  <c r="AR27" i="4"/>
  <c r="AQ27" i="4"/>
  <c r="AQ28" i="4"/>
  <c r="AR28" i="4"/>
  <c r="AO27" i="4"/>
  <c r="AM47" i="4" s="1"/>
  <c r="AN27" i="4"/>
  <c r="AO28" i="4"/>
  <c r="AN28" i="4"/>
  <c r="AL27" i="4"/>
  <c r="AK27" i="4"/>
  <c r="AL28" i="4"/>
  <c r="AK28" i="4"/>
  <c r="AH27" i="4"/>
  <c r="AI27" i="4"/>
  <c r="AI28" i="4"/>
  <c r="AH28" i="4"/>
  <c r="AF27" i="4"/>
  <c r="AE27" i="4"/>
  <c r="AE28" i="4"/>
  <c r="AF28" i="4"/>
  <c r="AC27" i="4"/>
  <c r="AB27" i="4"/>
  <c r="AC28" i="4"/>
  <c r="AB28" i="4"/>
  <c r="Z27" i="4"/>
  <c r="Y27" i="4"/>
  <c r="Z28" i="4"/>
  <c r="Y28" i="4"/>
  <c r="V27" i="4"/>
  <c r="W27" i="4"/>
  <c r="W28" i="4"/>
  <c r="V28" i="4"/>
  <c r="AS48" i="4" l="1"/>
  <c r="CN48" i="4"/>
  <c r="CK47" i="4"/>
  <c r="CQ47" i="4"/>
  <c r="CQ48" i="4"/>
  <c r="CQ49" i="4" s="1"/>
  <c r="CN47" i="4"/>
  <c r="CN49" i="4" s="1"/>
  <c r="CK48" i="4"/>
  <c r="BF48" i="4"/>
  <c r="BF49" i="4" s="1"/>
  <c r="BC48" i="4"/>
  <c r="BC49" i="4" s="1"/>
  <c r="AZ48" i="4"/>
  <c r="AA48" i="4"/>
  <c r="AJ47" i="4"/>
  <c r="AG47" i="4"/>
  <c r="AS49" i="4"/>
  <c r="AV47" i="4"/>
  <c r="AV48" i="4"/>
  <c r="AP48" i="4"/>
  <c r="AP47" i="4"/>
  <c r="AP49" i="4" s="1"/>
  <c r="AM48" i="4"/>
  <c r="AM49" i="4" s="1"/>
  <c r="AJ48" i="4"/>
  <c r="AG48" i="4"/>
  <c r="AD48" i="4"/>
  <c r="AD47" i="4"/>
  <c r="AA47" i="4"/>
  <c r="AA49" i="4" s="1"/>
  <c r="X48" i="4"/>
  <c r="X47" i="4"/>
  <c r="X49" i="4" s="1"/>
  <c r="U47" i="4"/>
  <c r="U48" i="4"/>
  <c r="CK49" i="4" l="1"/>
  <c r="AJ49" i="4"/>
  <c r="AA50" i="4"/>
  <c r="AG49" i="4"/>
  <c r="AZ49" i="4"/>
  <c r="BC51" i="4"/>
  <c r="AV49" i="4"/>
  <c r="AD49" i="4"/>
  <c r="AM50" i="4"/>
  <c r="AV50" i="4" s="1"/>
  <c r="U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<sst xmlns="http://schemas.openxmlformats.org/spreadsheetml/2006/main" count="410" uniqueCount="203">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</sst>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B18">
            <v>0.89</v>
          </cell>
          <cell r="E18">
            <v>899272</v>
          </cell>
          <cell r="F18">
            <v>501</v>
          </cell>
          <cell r="G18">
            <v>489</v>
          </cell>
          <cell r="H18">
            <v>76949</v>
          </cell>
          <cell r="I18">
            <v>431</v>
          </cell>
          <cell r="J18">
            <v>336</v>
          </cell>
          <cell r="K18">
            <v>164625</v>
          </cell>
          <cell r="L18">
            <v>0</v>
          </cell>
          <cell r="N18">
            <v>812753</v>
          </cell>
          <cell r="O18">
            <v>118</v>
          </cell>
          <cell r="Q18">
            <v>185508</v>
          </cell>
          <cell r="R18">
            <v>0</v>
          </cell>
          <cell r="S18">
            <v>49596.480000000003</v>
          </cell>
          <cell r="T18">
            <v>124.69000000000233</v>
          </cell>
          <cell r="U18">
            <v>82</v>
          </cell>
          <cell r="V18">
            <v>3418</v>
          </cell>
          <cell r="W18">
            <v>19</v>
          </cell>
          <cell r="AC18">
            <v>7105470.959999999</v>
          </cell>
          <cell r="AD18">
            <v>2289.8399999989197</v>
          </cell>
          <cell r="AF18">
            <v>13611052.559999999</v>
          </cell>
          <cell r="AG18">
            <v>4628.3999999985099</v>
          </cell>
          <cell r="AI18">
            <v>13581869.280000001</v>
          </cell>
          <cell r="AJ18">
            <v>11644.080000001937</v>
          </cell>
          <cell r="AL18">
            <v>16585603.439999998</v>
          </cell>
          <cell r="AM18">
            <v>1023.1199999991804</v>
          </cell>
          <cell r="AO18">
            <v>16929615.359999999</v>
          </cell>
          <cell r="AP18">
            <v>633.35999999940395</v>
          </cell>
          <cell r="AR18">
            <v>15310260</v>
          </cell>
          <cell r="AS18">
            <v>5602.8000000007451</v>
          </cell>
          <cell r="AU18">
            <v>13036936.08</v>
          </cell>
          <cell r="AV18">
            <v>4384.7999999988824</v>
          </cell>
          <cell r="AX18">
            <v>12538481.76</v>
          </cell>
          <cell r="AY18">
            <v>4189.9199999999255</v>
          </cell>
          <cell r="BA18">
            <v>9991107.8399999999</v>
          </cell>
          <cell r="BB18">
            <v>3069.359999999404</v>
          </cell>
          <cell r="BD18">
            <v>15491157.359999999</v>
          </cell>
          <cell r="BE18">
            <v>5748.9599999990314</v>
          </cell>
          <cell r="BK18">
            <v>67386100</v>
          </cell>
          <cell r="BL18">
            <v>66600</v>
          </cell>
          <cell r="BN18">
            <v>69881400</v>
          </cell>
          <cell r="BO18">
            <v>0</v>
          </cell>
          <cell r="BQ18">
            <v>64331900</v>
          </cell>
          <cell r="BR18">
            <v>0</v>
          </cell>
          <cell r="BT18">
            <v>7500090</v>
          </cell>
          <cell r="BU18">
            <v>6960</v>
          </cell>
          <cell r="BW18">
            <v>0.74</v>
          </cell>
          <cell r="BX18">
            <v>-0.14000000000000001</v>
          </cell>
          <cell r="BZ18">
            <v>56477</v>
          </cell>
          <cell r="CA18">
            <v>20</v>
          </cell>
          <cell r="CB18">
            <v>47999</v>
          </cell>
          <cell r="CC18">
            <v>18</v>
          </cell>
          <cell r="CD18">
            <v>16554</v>
          </cell>
          <cell r="CE18">
            <v>4</v>
          </cell>
          <cell r="CF18">
            <v>21740</v>
          </cell>
          <cell r="CG18">
            <v>13</v>
          </cell>
          <cell r="CH18">
            <v>23633</v>
          </cell>
          <cell r="CI18">
            <v>12</v>
          </cell>
          <cell r="CJ18">
            <v>52622</v>
          </cell>
          <cell r="CK18">
            <v>26</v>
          </cell>
          <cell r="CL18">
            <v>231134</v>
          </cell>
          <cell r="CM18">
            <v>109</v>
          </cell>
          <cell r="CO18">
            <v>176831</v>
          </cell>
          <cell r="CP18">
            <v>101</v>
          </cell>
          <cell r="CR18">
            <v>311087</v>
          </cell>
          <cell r="CS18">
            <v>290</v>
          </cell>
          <cell r="CU18">
            <v>612878</v>
          </cell>
          <cell r="CV18">
            <v>232</v>
          </cell>
          <cell r="CX18">
            <v>6121</v>
          </cell>
          <cell r="CY18">
            <v>8</v>
          </cell>
          <cell r="CZ18">
            <v>3647</v>
          </cell>
          <cell r="DA18">
            <v>5</v>
          </cell>
          <cell r="DB18">
            <v>26275</v>
          </cell>
          <cell r="DC18">
            <v>16</v>
          </cell>
          <cell r="DD18">
            <v>27018</v>
          </cell>
          <cell r="DE18">
            <v>16</v>
          </cell>
          <cell r="DF18">
            <v>18383</v>
          </cell>
          <cell r="DG18">
            <v>8</v>
          </cell>
          <cell r="DH18">
            <v>21485</v>
          </cell>
          <cell r="DI18">
            <v>9</v>
          </cell>
          <cell r="DJ18">
            <v>2999</v>
          </cell>
          <cell r="DK18">
            <v>8</v>
          </cell>
          <cell r="DL18">
            <v>6284</v>
          </cell>
          <cell r="DM18">
            <v>13</v>
          </cell>
          <cell r="DN18">
            <v>1669</v>
          </cell>
          <cell r="DO18">
            <v>3</v>
          </cell>
          <cell r="DP18">
            <v>3349</v>
          </cell>
          <cell r="DQ18">
            <v>8</v>
          </cell>
          <cell r="DR18">
            <v>26153</v>
          </cell>
          <cell r="DS18">
            <v>2</v>
          </cell>
          <cell r="DU18">
            <v>2846.7</v>
          </cell>
          <cell r="DV18">
            <v>8.0999999999999091</v>
          </cell>
          <cell r="DW18">
            <v>7998.2</v>
          </cell>
          <cell r="DX18">
            <v>7.0999999999994543</v>
          </cell>
          <cell r="DY18">
            <v>2144.8000000000002</v>
          </cell>
          <cell r="DZ18">
            <v>7.4000000000000909</v>
          </cell>
          <cell r="EA18">
            <v>2222.1999999999998</v>
          </cell>
          <cell r="EB18">
            <v>8.8999999999996362</v>
          </cell>
          <cell r="EC18">
            <v>853826</v>
          </cell>
          <cell r="ED18">
            <v>620</v>
          </cell>
          <cell r="EG18">
            <v>171815.6</v>
          </cell>
          <cell r="EH18">
            <v>154</v>
          </cell>
          <cell r="EJ18">
            <v>10311600</v>
          </cell>
          <cell r="EK18">
            <v>3300</v>
          </cell>
          <cell r="EL18">
            <v>818870</v>
          </cell>
          <cell r="EM18">
            <v>390</v>
          </cell>
          <cell r="EN18">
            <v>6355400</v>
          </cell>
          <cell r="EO18">
            <v>2400</v>
          </cell>
          <cell r="EP18">
            <v>2235600</v>
          </cell>
          <cell r="EQ18">
            <v>500</v>
          </cell>
          <cell r="ER18">
            <v>973790</v>
          </cell>
          <cell r="ES18">
            <v>770</v>
          </cell>
          <cell r="ET18">
            <v>14206400</v>
          </cell>
          <cell r="EU18">
            <v>4200</v>
          </cell>
          <cell r="EW18">
            <v>37061</v>
          </cell>
          <cell r="EX18">
            <v>16</v>
          </cell>
          <cell r="EY18">
            <v>32037</v>
          </cell>
          <cell r="EZ18">
            <v>13</v>
          </cell>
          <cell r="FA18">
            <v>3193</v>
          </cell>
          <cell r="FB18">
            <v>12</v>
          </cell>
          <cell r="FC18">
            <v>53599</v>
          </cell>
          <cell r="FD18">
            <v>18</v>
          </cell>
          <cell r="FE18">
            <v>36803</v>
          </cell>
          <cell r="FF18">
            <v>35</v>
          </cell>
        </row>
        <row r="19">
          <cell r="B19">
            <v>0.84</v>
          </cell>
          <cell r="E19">
            <v>900032</v>
          </cell>
          <cell r="F19">
            <v>760</v>
          </cell>
          <cell r="G19">
            <v>518</v>
          </cell>
          <cell r="H19">
            <v>77381</v>
          </cell>
          <cell r="I19">
            <v>432</v>
          </cell>
          <cell r="J19">
            <v>375</v>
          </cell>
          <cell r="K19">
            <v>164625</v>
          </cell>
          <cell r="L19">
            <v>0</v>
          </cell>
          <cell r="N19">
            <v>812933</v>
          </cell>
          <cell r="O19">
            <v>180</v>
          </cell>
          <cell r="Q19">
            <v>185665</v>
          </cell>
          <cell r="R19">
            <v>157</v>
          </cell>
          <cell r="S19">
            <v>49713.93</v>
          </cell>
          <cell r="T19">
            <v>117.44999999999709</v>
          </cell>
          <cell r="U19">
            <v>80</v>
          </cell>
          <cell r="V19">
            <v>3435</v>
          </cell>
          <cell r="W19">
            <v>17</v>
          </cell>
          <cell r="AC19">
            <v>7107760.7999999998</v>
          </cell>
          <cell r="AD19">
            <v>2289.8400000007823</v>
          </cell>
          <cell r="AF19">
            <v>13615680.959999999</v>
          </cell>
          <cell r="AG19">
            <v>4628.4000000003725</v>
          </cell>
          <cell r="AI19">
            <v>13592587.68</v>
          </cell>
          <cell r="AJ19">
            <v>10718.39999999851</v>
          </cell>
          <cell r="AL19">
            <v>16586431.68</v>
          </cell>
          <cell r="AM19">
            <v>828.24000000208616</v>
          </cell>
          <cell r="AO19">
            <v>16930248.719999999</v>
          </cell>
          <cell r="AP19">
            <v>633.35999999940395</v>
          </cell>
          <cell r="AR19">
            <v>15316155.119999999</v>
          </cell>
          <cell r="AS19">
            <v>5895.1199999991804</v>
          </cell>
          <cell r="AU19">
            <v>13041710.640000001</v>
          </cell>
          <cell r="AV19">
            <v>4774.5600000005215</v>
          </cell>
          <cell r="AX19">
            <v>12542817.84</v>
          </cell>
          <cell r="AY19">
            <v>4336.0800000000745</v>
          </cell>
          <cell r="BA19">
            <v>9994810.5599999987</v>
          </cell>
          <cell r="BB19">
            <v>3702.7199999988079</v>
          </cell>
          <cell r="BD19">
            <v>15496906.319999998</v>
          </cell>
          <cell r="BE19">
            <v>5748.9599999990314</v>
          </cell>
          <cell r="BK19">
            <v>67447600</v>
          </cell>
          <cell r="BL19">
            <v>61500</v>
          </cell>
          <cell r="BN19">
            <v>69881400</v>
          </cell>
          <cell r="BO19">
            <v>0</v>
          </cell>
          <cell r="BQ19">
            <v>64331900</v>
          </cell>
          <cell r="BR19">
            <v>0</v>
          </cell>
          <cell r="BT19">
            <v>7507270</v>
          </cell>
          <cell r="BU19">
            <v>7180</v>
          </cell>
          <cell r="BW19">
            <v>0.69</v>
          </cell>
          <cell r="BX19">
            <v>5.0000000000000044E-2</v>
          </cell>
          <cell r="BZ19">
            <v>56497</v>
          </cell>
          <cell r="CA19">
            <v>20</v>
          </cell>
          <cell r="CB19">
            <v>48019</v>
          </cell>
          <cell r="CC19">
            <v>20</v>
          </cell>
          <cell r="CD19">
            <v>16560</v>
          </cell>
          <cell r="CE19">
            <v>6</v>
          </cell>
          <cell r="CF19">
            <v>21751</v>
          </cell>
          <cell r="CG19">
            <v>11</v>
          </cell>
          <cell r="CH19">
            <v>23651</v>
          </cell>
          <cell r="CI19">
            <v>18</v>
          </cell>
          <cell r="CJ19">
            <v>52648</v>
          </cell>
          <cell r="CK19">
            <v>26</v>
          </cell>
          <cell r="CL19">
            <v>231239</v>
          </cell>
          <cell r="CM19">
            <v>105</v>
          </cell>
          <cell r="CO19">
            <v>176930</v>
          </cell>
          <cell r="CP19">
            <v>99</v>
          </cell>
          <cell r="CR19">
            <v>311305</v>
          </cell>
          <cell r="CS19">
            <v>218</v>
          </cell>
          <cell r="CU19">
            <v>613118</v>
          </cell>
          <cell r="CV19">
            <v>240</v>
          </cell>
          <cell r="CX19">
            <v>6131</v>
          </cell>
          <cell r="CY19">
            <v>10</v>
          </cell>
          <cell r="CZ19">
            <v>3656</v>
          </cell>
          <cell r="DA19">
            <v>9</v>
          </cell>
          <cell r="DB19">
            <v>26292</v>
          </cell>
          <cell r="DC19">
            <v>17</v>
          </cell>
          <cell r="DD19">
            <v>27035</v>
          </cell>
          <cell r="DE19">
            <v>17</v>
          </cell>
          <cell r="DF19">
            <v>18391</v>
          </cell>
          <cell r="DG19">
            <v>8</v>
          </cell>
          <cell r="DH19">
            <v>21494</v>
          </cell>
          <cell r="DI19">
            <v>9</v>
          </cell>
          <cell r="DJ19">
            <v>3008</v>
          </cell>
          <cell r="DK19">
            <v>9</v>
          </cell>
          <cell r="DL19">
            <v>6292</v>
          </cell>
          <cell r="DM19">
            <v>8</v>
          </cell>
          <cell r="DN19">
            <v>1674</v>
          </cell>
          <cell r="DO19">
            <v>5</v>
          </cell>
          <cell r="DP19">
            <v>3358</v>
          </cell>
          <cell r="DQ19">
            <v>9</v>
          </cell>
          <cell r="DR19">
            <v>26161</v>
          </cell>
          <cell r="DS19">
            <v>8</v>
          </cell>
          <cell r="DU19">
            <v>2854.9</v>
          </cell>
          <cell r="DV19">
            <v>8.2000000000002728</v>
          </cell>
          <cell r="DW19">
            <v>8005.4</v>
          </cell>
          <cell r="DX19">
            <v>7.1999999999998181</v>
          </cell>
          <cell r="DY19">
            <v>2152</v>
          </cell>
          <cell r="DZ19">
            <v>7.1999999999998181</v>
          </cell>
          <cell r="EA19">
            <v>2231.1</v>
          </cell>
          <cell r="EB19">
            <v>8.9000000000000909</v>
          </cell>
          <cell r="EC19">
            <v>854444</v>
          </cell>
          <cell r="ED19">
            <v>618</v>
          </cell>
          <cell r="EG19">
            <v>171971.5</v>
          </cell>
          <cell r="EH19">
            <v>155.89999999999418</v>
          </cell>
          <cell r="EJ19">
            <v>10314500</v>
          </cell>
          <cell r="EK19">
            <v>2900</v>
          </cell>
          <cell r="EL19">
            <v>819250</v>
          </cell>
          <cell r="EM19">
            <v>380</v>
          </cell>
          <cell r="EN19">
            <v>6357400</v>
          </cell>
          <cell r="EO19">
            <v>2000</v>
          </cell>
          <cell r="EP19">
            <v>2236100</v>
          </cell>
          <cell r="EQ19">
            <v>500</v>
          </cell>
          <cell r="ER19">
            <v>974580</v>
          </cell>
          <cell r="ES19">
            <v>790</v>
          </cell>
          <cell r="ET19">
            <v>14209800</v>
          </cell>
          <cell r="EU19">
            <v>3400</v>
          </cell>
          <cell r="EW19">
            <v>37075</v>
          </cell>
          <cell r="EX19">
            <v>14</v>
          </cell>
          <cell r="EY19">
            <v>32050</v>
          </cell>
          <cell r="EZ19">
            <v>13</v>
          </cell>
          <cell r="FA19">
            <v>3206</v>
          </cell>
          <cell r="FB19">
            <v>13</v>
          </cell>
          <cell r="FC19">
            <v>53618</v>
          </cell>
          <cell r="FD19">
            <v>19</v>
          </cell>
          <cell r="FE19">
            <v>36835</v>
          </cell>
          <cell r="FF19">
            <v>32</v>
          </cell>
        </row>
        <row r="20">
          <cell r="B20">
            <v>0.86</v>
          </cell>
          <cell r="E20">
            <v>900763</v>
          </cell>
          <cell r="F20">
            <v>731</v>
          </cell>
          <cell r="G20">
            <v>535</v>
          </cell>
          <cell r="H20">
            <v>77813</v>
          </cell>
          <cell r="I20">
            <v>432</v>
          </cell>
          <cell r="J20">
            <v>375</v>
          </cell>
          <cell r="K20">
            <v>164625</v>
          </cell>
          <cell r="L20">
            <v>0</v>
          </cell>
          <cell r="N20">
            <v>813211</v>
          </cell>
          <cell r="O20">
            <v>278</v>
          </cell>
          <cell r="Q20">
            <v>185786</v>
          </cell>
          <cell r="R20">
            <v>121</v>
          </cell>
          <cell r="S20">
            <v>49827.02</v>
          </cell>
          <cell r="T20">
            <v>113.08999999999651</v>
          </cell>
          <cell r="U20">
            <v>84</v>
          </cell>
          <cell r="V20">
            <v>3451</v>
          </cell>
          <cell r="W20">
            <v>16</v>
          </cell>
          <cell r="AC20">
            <v>7110001.9199999999</v>
          </cell>
          <cell r="AD20">
            <v>2241.1200000001118</v>
          </cell>
          <cell r="AF20">
            <v>13620211.919999998</v>
          </cell>
          <cell r="AG20">
            <v>4530.9599999990314</v>
          </cell>
          <cell r="AI20">
            <v>13602818.880000001</v>
          </cell>
          <cell r="AJ20">
            <v>10231.200000001118</v>
          </cell>
          <cell r="AL20">
            <v>16587308.639999999</v>
          </cell>
          <cell r="AM20">
            <v>876.95999999903142</v>
          </cell>
          <cell r="AO20">
            <v>16930882.080000002</v>
          </cell>
          <cell r="AP20">
            <v>633.36000000312924</v>
          </cell>
          <cell r="AR20">
            <v>15322001.52</v>
          </cell>
          <cell r="AS20">
            <v>5846.4000000003725</v>
          </cell>
          <cell r="AU20">
            <v>13046436.48</v>
          </cell>
          <cell r="AV20">
            <v>4725.839999999851</v>
          </cell>
          <cell r="AX20">
            <v>12546861.6</v>
          </cell>
          <cell r="AY20">
            <v>4043.7599999997765</v>
          </cell>
          <cell r="BA20">
            <v>9997879.9199999999</v>
          </cell>
          <cell r="BB20">
            <v>3069.3600000012666</v>
          </cell>
          <cell r="BD20">
            <v>15502606.559999999</v>
          </cell>
          <cell r="BE20">
            <v>5700.2400000002235</v>
          </cell>
          <cell r="BK20">
            <v>67507700</v>
          </cell>
          <cell r="BL20">
            <v>60100</v>
          </cell>
          <cell r="BN20">
            <v>69881400</v>
          </cell>
          <cell r="BO20">
            <v>0</v>
          </cell>
          <cell r="BQ20">
            <v>64331900</v>
          </cell>
          <cell r="BR20">
            <v>0</v>
          </cell>
          <cell r="BT20">
            <v>7514580</v>
          </cell>
          <cell r="BU20">
            <v>7310</v>
          </cell>
          <cell r="BW20">
            <v>0.63</v>
          </cell>
          <cell r="BX20">
            <v>5.9999999999999942E-2</v>
          </cell>
          <cell r="BZ20">
            <v>56516</v>
          </cell>
          <cell r="CA20">
            <v>19</v>
          </cell>
          <cell r="CB20">
            <v>48038</v>
          </cell>
          <cell r="CC20">
            <v>19</v>
          </cell>
          <cell r="CD20">
            <v>16567</v>
          </cell>
          <cell r="CE20">
            <v>7</v>
          </cell>
          <cell r="CF20">
            <v>21762</v>
          </cell>
          <cell r="CG20">
            <v>11</v>
          </cell>
          <cell r="CH20">
            <v>23665</v>
          </cell>
          <cell r="CI20">
            <v>14</v>
          </cell>
          <cell r="CJ20">
            <v>52674</v>
          </cell>
          <cell r="CK20">
            <v>26</v>
          </cell>
          <cell r="CL20">
            <v>231341</v>
          </cell>
          <cell r="CM20">
            <v>102</v>
          </cell>
          <cell r="CO20">
            <v>177030</v>
          </cell>
          <cell r="CP20">
            <v>100</v>
          </cell>
          <cell r="CR20">
            <v>311588</v>
          </cell>
          <cell r="CS20">
            <v>283</v>
          </cell>
          <cell r="CU20">
            <v>613356</v>
          </cell>
          <cell r="CV20">
            <v>238</v>
          </cell>
          <cell r="CX20">
            <v>6140</v>
          </cell>
          <cell r="CY20">
            <v>9</v>
          </cell>
          <cell r="CZ20">
            <v>3666</v>
          </cell>
          <cell r="DA20">
            <v>10</v>
          </cell>
          <cell r="DB20">
            <v>26310</v>
          </cell>
          <cell r="DC20">
            <v>18</v>
          </cell>
          <cell r="DD20">
            <v>27055</v>
          </cell>
          <cell r="DE20">
            <v>20</v>
          </cell>
          <cell r="DF20">
            <v>18401</v>
          </cell>
          <cell r="DG20">
            <v>10</v>
          </cell>
          <cell r="DH20">
            <v>21505</v>
          </cell>
          <cell r="DI20">
            <v>11</v>
          </cell>
          <cell r="DJ20">
            <v>3016</v>
          </cell>
          <cell r="DK20">
            <v>8</v>
          </cell>
          <cell r="DL20">
            <v>6302</v>
          </cell>
          <cell r="DM20">
            <v>10</v>
          </cell>
          <cell r="DN20">
            <v>1678</v>
          </cell>
          <cell r="DO20">
            <v>4</v>
          </cell>
          <cell r="DP20">
            <v>3366</v>
          </cell>
          <cell r="DQ20">
            <v>8</v>
          </cell>
          <cell r="DR20">
            <v>26171</v>
          </cell>
          <cell r="DS20">
            <v>10</v>
          </cell>
          <cell r="DU20">
            <v>2863.4</v>
          </cell>
          <cell r="DV20">
            <v>8.5</v>
          </cell>
          <cell r="DW20">
            <v>8012.7</v>
          </cell>
          <cell r="DX20">
            <v>7.3000000000001819</v>
          </cell>
          <cell r="DY20">
            <v>2159.1999999999998</v>
          </cell>
          <cell r="DZ20">
            <v>7.1999999999998181</v>
          </cell>
          <cell r="EA20">
            <v>2239.8000000000002</v>
          </cell>
          <cell r="EB20">
            <v>8.7000000000002728</v>
          </cell>
          <cell r="EC20">
            <v>855079</v>
          </cell>
          <cell r="ED20">
            <v>635</v>
          </cell>
          <cell r="EG20">
            <v>172124.9</v>
          </cell>
          <cell r="EH20">
            <v>153.39999999999418</v>
          </cell>
          <cell r="EJ20">
            <v>10317300</v>
          </cell>
          <cell r="EK20">
            <v>2800</v>
          </cell>
          <cell r="EL20">
            <v>819620</v>
          </cell>
          <cell r="EM20">
            <v>370</v>
          </cell>
          <cell r="EN20">
            <v>6359100</v>
          </cell>
          <cell r="EO20">
            <v>1700</v>
          </cell>
          <cell r="EP20">
            <v>2236600</v>
          </cell>
          <cell r="EQ20">
            <v>500</v>
          </cell>
          <cell r="ER20">
            <v>975360</v>
          </cell>
          <cell r="ES20">
            <v>780</v>
          </cell>
          <cell r="ET20">
            <v>14212700</v>
          </cell>
          <cell r="EU20">
            <v>2900</v>
          </cell>
          <cell r="EW20">
            <v>37092</v>
          </cell>
          <cell r="EX20">
            <v>17</v>
          </cell>
          <cell r="EY20">
            <v>32063</v>
          </cell>
          <cell r="EZ20">
            <v>13</v>
          </cell>
          <cell r="FA20">
            <v>3219</v>
          </cell>
          <cell r="FB20">
            <v>13</v>
          </cell>
          <cell r="FC20">
            <v>53637</v>
          </cell>
          <cell r="FD20">
            <v>19</v>
          </cell>
          <cell r="FE20">
            <v>36870</v>
          </cell>
          <cell r="FF20">
            <v>35</v>
          </cell>
        </row>
        <row r="21">
          <cell r="B21">
            <v>0.89</v>
          </cell>
          <cell r="E21">
            <v>901470</v>
          </cell>
          <cell r="F21">
            <v>707</v>
          </cell>
          <cell r="G21">
            <v>555</v>
          </cell>
          <cell r="H21">
            <v>78288</v>
          </cell>
          <cell r="I21">
            <v>475</v>
          </cell>
          <cell r="J21">
            <v>407</v>
          </cell>
          <cell r="K21">
            <v>164625</v>
          </cell>
          <cell r="L21">
            <v>0</v>
          </cell>
          <cell r="N21">
            <v>813333</v>
          </cell>
          <cell r="O21">
            <v>122</v>
          </cell>
          <cell r="Q21">
            <v>185871</v>
          </cell>
          <cell r="R21">
            <v>85</v>
          </cell>
          <cell r="S21">
            <v>49949.09</v>
          </cell>
          <cell r="T21">
            <v>122.06999999999971</v>
          </cell>
          <cell r="U21">
            <v>83</v>
          </cell>
          <cell r="V21">
            <v>3471</v>
          </cell>
          <cell r="W21">
            <v>20</v>
          </cell>
          <cell r="AC21">
            <v>7112340.4799999995</v>
          </cell>
          <cell r="AD21">
            <v>2338.5599999995902</v>
          </cell>
          <cell r="AF21">
            <v>13624791.6</v>
          </cell>
          <cell r="AG21">
            <v>4579.6800000015646</v>
          </cell>
          <cell r="AI21">
            <v>13613439.84</v>
          </cell>
          <cell r="AJ21">
            <v>10620.959999999031</v>
          </cell>
          <cell r="AL21">
            <v>16588234.319999998</v>
          </cell>
          <cell r="AM21">
            <v>925.67999999970198</v>
          </cell>
          <cell r="AO21">
            <v>16931564.16</v>
          </cell>
          <cell r="AP21">
            <v>682.07999999821186</v>
          </cell>
          <cell r="AR21">
            <v>15327994.08</v>
          </cell>
          <cell r="AS21">
            <v>5992.5600000005215</v>
          </cell>
          <cell r="AU21">
            <v>13051211.040000001</v>
          </cell>
          <cell r="AV21">
            <v>4774.5600000005215</v>
          </cell>
          <cell r="AX21">
            <v>12551197.68</v>
          </cell>
          <cell r="AY21">
            <v>4336.0800000000745</v>
          </cell>
          <cell r="BA21">
            <v>10001241.6</v>
          </cell>
          <cell r="BB21">
            <v>3361.679999999702</v>
          </cell>
          <cell r="BD21">
            <v>15508599.119999999</v>
          </cell>
          <cell r="BE21">
            <v>5992.5600000005215</v>
          </cell>
          <cell r="BK21">
            <v>67569000</v>
          </cell>
          <cell r="BL21">
            <v>61300</v>
          </cell>
          <cell r="BN21">
            <v>69881400</v>
          </cell>
          <cell r="BO21">
            <v>0</v>
          </cell>
          <cell r="BQ21">
            <v>64331900</v>
          </cell>
          <cell r="BR21">
            <v>0</v>
          </cell>
          <cell r="BT21">
            <v>7521960</v>
          </cell>
          <cell r="BU21">
            <v>7380</v>
          </cell>
          <cell r="BW21">
            <v>0.78</v>
          </cell>
          <cell r="BX21">
            <v>-0.15000000000000002</v>
          </cell>
          <cell r="BZ21">
            <v>56536</v>
          </cell>
          <cell r="CA21">
            <v>20</v>
          </cell>
          <cell r="CB21">
            <v>48059</v>
          </cell>
          <cell r="CC21">
            <v>21</v>
          </cell>
          <cell r="CD21">
            <v>16572</v>
          </cell>
          <cell r="CE21">
            <v>5</v>
          </cell>
          <cell r="CF21">
            <v>21772</v>
          </cell>
          <cell r="CG21">
            <v>10</v>
          </cell>
          <cell r="CH21">
            <v>23683</v>
          </cell>
          <cell r="CI21">
            <v>18</v>
          </cell>
          <cell r="CJ21">
            <v>52701</v>
          </cell>
          <cell r="CK21">
            <v>27</v>
          </cell>
          <cell r="CL21">
            <v>231446</v>
          </cell>
          <cell r="CM21">
            <v>105</v>
          </cell>
          <cell r="CO21">
            <v>177135</v>
          </cell>
          <cell r="CP21">
            <v>105</v>
          </cell>
          <cell r="CR21">
            <v>311878</v>
          </cell>
          <cell r="CS21">
            <v>290</v>
          </cell>
          <cell r="CU21">
            <v>613603</v>
          </cell>
          <cell r="CV21">
            <v>247</v>
          </cell>
          <cell r="CX21">
            <v>6152</v>
          </cell>
          <cell r="CY21">
            <v>12</v>
          </cell>
          <cell r="CZ21">
            <v>3677</v>
          </cell>
          <cell r="DA21">
            <v>11</v>
          </cell>
          <cell r="DB21">
            <v>26331</v>
          </cell>
          <cell r="DC21">
            <v>21</v>
          </cell>
          <cell r="DD21">
            <v>27076</v>
          </cell>
          <cell r="DE21">
            <v>21</v>
          </cell>
          <cell r="DF21">
            <v>18409</v>
          </cell>
          <cell r="DG21">
            <v>8</v>
          </cell>
          <cell r="DH21">
            <v>21514</v>
          </cell>
          <cell r="DI21">
            <v>9</v>
          </cell>
          <cell r="DJ21">
            <v>3028</v>
          </cell>
          <cell r="DK21">
            <v>12</v>
          </cell>
          <cell r="DL21">
            <v>6318</v>
          </cell>
          <cell r="DM21">
            <v>16</v>
          </cell>
          <cell r="DN21">
            <v>1683</v>
          </cell>
          <cell r="DO21">
            <v>5</v>
          </cell>
          <cell r="DP21">
            <v>3375</v>
          </cell>
          <cell r="DQ21">
            <v>9</v>
          </cell>
          <cell r="DR21">
            <v>26177</v>
          </cell>
          <cell r="DS21">
            <v>6</v>
          </cell>
          <cell r="DU21">
            <v>2872.2</v>
          </cell>
          <cell r="DV21">
            <v>8.7999999999997272</v>
          </cell>
          <cell r="DW21">
            <v>8020.4</v>
          </cell>
          <cell r="DX21">
            <v>7.6999999999998181</v>
          </cell>
          <cell r="DY21">
            <v>2166.6</v>
          </cell>
          <cell r="DZ21">
            <v>7.4000000000000909</v>
          </cell>
          <cell r="EA21">
            <v>2249.1</v>
          </cell>
          <cell r="EB21">
            <v>9.2999999999997272</v>
          </cell>
          <cell r="EC21">
            <v>855778</v>
          </cell>
          <cell r="ED21">
            <v>699</v>
          </cell>
          <cell r="EG21">
            <v>172280.2</v>
          </cell>
          <cell r="EH21">
            <v>155.30000000001746</v>
          </cell>
          <cell r="EJ21">
            <v>10320500</v>
          </cell>
          <cell r="EK21">
            <v>3200</v>
          </cell>
          <cell r="EL21">
            <v>819940</v>
          </cell>
          <cell r="EM21">
            <v>320</v>
          </cell>
          <cell r="EN21">
            <v>6360900</v>
          </cell>
          <cell r="EO21">
            <v>1800</v>
          </cell>
          <cell r="EP21">
            <v>2237100</v>
          </cell>
          <cell r="EQ21">
            <v>500</v>
          </cell>
          <cell r="ER21">
            <v>976170</v>
          </cell>
          <cell r="ES21">
            <v>810</v>
          </cell>
          <cell r="ET21">
            <v>14215700</v>
          </cell>
          <cell r="EU21">
            <v>3000</v>
          </cell>
          <cell r="EW21">
            <v>37109</v>
          </cell>
          <cell r="EX21">
            <v>17</v>
          </cell>
          <cell r="EY21">
            <v>32078</v>
          </cell>
          <cell r="EZ21">
            <v>15</v>
          </cell>
          <cell r="FA21">
            <v>3236</v>
          </cell>
          <cell r="FB21">
            <v>17</v>
          </cell>
          <cell r="FC21">
            <v>53655</v>
          </cell>
          <cell r="FD21">
            <v>18</v>
          </cell>
          <cell r="FE21">
            <v>36904</v>
          </cell>
          <cell r="FF21">
            <v>34</v>
          </cell>
        </row>
        <row r="22">
          <cell r="B22">
            <v>0.81</v>
          </cell>
          <cell r="E22">
            <v>902184</v>
          </cell>
          <cell r="F22">
            <v>714</v>
          </cell>
          <cell r="G22">
            <v>616</v>
          </cell>
          <cell r="H22">
            <v>78732</v>
          </cell>
          <cell r="I22">
            <v>444</v>
          </cell>
          <cell r="J22">
            <v>454</v>
          </cell>
          <cell r="K22">
            <v>164625</v>
          </cell>
          <cell r="L22">
            <v>0</v>
          </cell>
          <cell r="N22">
            <v>813652</v>
          </cell>
          <cell r="O22">
            <v>319</v>
          </cell>
          <cell r="Q22">
            <v>185979</v>
          </cell>
          <cell r="R22">
            <v>108</v>
          </cell>
          <cell r="S22">
            <v>50082.7</v>
          </cell>
          <cell r="T22">
            <v>133.61000000000058</v>
          </cell>
          <cell r="U22">
            <v>81</v>
          </cell>
          <cell r="V22">
            <v>3490</v>
          </cell>
          <cell r="W22">
            <v>19</v>
          </cell>
          <cell r="AC22">
            <v>7115361.1200000001</v>
          </cell>
          <cell r="AD22">
            <v>3020.640000000596</v>
          </cell>
          <cell r="AF22">
            <v>13629517.439999999</v>
          </cell>
          <cell r="AG22">
            <v>4725.839999999851</v>
          </cell>
          <cell r="AI22">
            <v>13614414.24</v>
          </cell>
          <cell r="AJ22">
            <v>974.40000000037253</v>
          </cell>
          <cell r="AL22">
            <v>16601340</v>
          </cell>
          <cell r="AM22">
            <v>13105.680000001565</v>
          </cell>
          <cell r="AO22">
            <v>16932051.359999999</v>
          </cell>
          <cell r="AP22">
            <v>487.19999999925494</v>
          </cell>
          <cell r="AR22">
            <v>15334084.08</v>
          </cell>
          <cell r="AS22">
            <v>6090</v>
          </cell>
          <cell r="AU22">
            <v>13055985.6</v>
          </cell>
          <cell r="AV22">
            <v>4774.5599999986589</v>
          </cell>
          <cell r="AX22">
            <v>12555436.319999998</v>
          </cell>
          <cell r="AY22">
            <v>4238.6399999987334</v>
          </cell>
          <cell r="BA22">
            <v>10004846.880000001</v>
          </cell>
          <cell r="BB22">
            <v>3605.2800000011921</v>
          </cell>
          <cell r="BD22">
            <v>15514786.559999999</v>
          </cell>
          <cell r="BE22">
            <v>6187.4399999994785</v>
          </cell>
          <cell r="BK22">
            <v>67571500</v>
          </cell>
          <cell r="BL22">
            <v>2500</v>
          </cell>
          <cell r="BN22">
            <v>69949200</v>
          </cell>
          <cell r="BO22">
            <v>67800</v>
          </cell>
          <cell r="BQ22">
            <v>64331900</v>
          </cell>
          <cell r="BR22">
            <v>0</v>
          </cell>
          <cell r="BT22">
            <v>7528910</v>
          </cell>
          <cell r="BU22">
            <v>6950</v>
          </cell>
          <cell r="BW22">
            <v>0.7</v>
          </cell>
          <cell r="BX22">
            <v>8.0000000000000071E-2</v>
          </cell>
          <cell r="BZ22">
            <v>56556</v>
          </cell>
          <cell r="CA22">
            <v>20</v>
          </cell>
          <cell r="CB22">
            <v>48078</v>
          </cell>
          <cell r="CC22">
            <v>19</v>
          </cell>
          <cell r="CD22">
            <v>16578</v>
          </cell>
          <cell r="CE22">
            <v>6</v>
          </cell>
          <cell r="CF22">
            <v>21781</v>
          </cell>
          <cell r="CG22">
            <v>9</v>
          </cell>
          <cell r="CH22">
            <v>23699</v>
          </cell>
          <cell r="CI22">
            <v>16</v>
          </cell>
          <cell r="CJ22">
            <v>52727</v>
          </cell>
          <cell r="CK22">
            <v>26</v>
          </cell>
          <cell r="CL22">
            <v>231555</v>
          </cell>
          <cell r="CM22">
            <v>109</v>
          </cell>
          <cell r="CO22">
            <v>177237</v>
          </cell>
          <cell r="CP22">
            <v>102</v>
          </cell>
          <cell r="CR22">
            <v>312147</v>
          </cell>
          <cell r="CS22">
            <v>269</v>
          </cell>
          <cell r="CU22">
            <v>613857</v>
          </cell>
          <cell r="CV22">
            <v>254</v>
          </cell>
          <cell r="CX22">
            <v>6162</v>
          </cell>
          <cell r="CY22">
            <v>10</v>
          </cell>
          <cell r="CZ22">
            <v>3687</v>
          </cell>
          <cell r="DA22">
            <v>10</v>
          </cell>
          <cell r="DB22">
            <v>26347</v>
          </cell>
          <cell r="DC22">
            <v>16</v>
          </cell>
          <cell r="DD22">
            <v>27094</v>
          </cell>
          <cell r="DE22">
            <v>18</v>
          </cell>
          <cell r="DF22">
            <v>18417</v>
          </cell>
          <cell r="DG22">
            <v>8</v>
          </cell>
          <cell r="DH22">
            <v>21523</v>
          </cell>
          <cell r="DI22">
            <v>9</v>
          </cell>
          <cell r="DJ22">
            <v>3038</v>
          </cell>
          <cell r="DK22">
            <v>10</v>
          </cell>
          <cell r="DL22">
            <v>6333</v>
          </cell>
          <cell r="DM22">
            <v>15</v>
          </cell>
          <cell r="DN22">
            <v>1688</v>
          </cell>
          <cell r="DO22">
            <v>5</v>
          </cell>
          <cell r="DP22">
            <v>3385</v>
          </cell>
          <cell r="DQ22">
            <v>10</v>
          </cell>
          <cell r="DR22">
            <v>26184</v>
          </cell>
          <cell r="DS22">
            <v>7</v>
          </cell>
          <cell r="DU22">
            <v>2880.9</v>
          </cell>
          <cell r="DV22">
            <v>8.7000000000002728</v>
          </cell>
          <cell r="DW22">
            <v>8028.4</v>
          </cell>
          <cell r="DX22">
            <v>8</v>
          </cell>
          <cell r="DY22">
            <v>2173.8000000000002</v>
          </cell>
          <cell r="DZ22">
            <v>7.2000000000002728</v>
          </cell>
          <cell r="EA22">
            <v>2258.4</v>
          </cell>
          <cell r="EB22">
            <v>9.3000000000001819</v>
          </cell>
          <cell r="EC22">
            <v>856454</v>
          </cell>
          <cell r="ED22">
            <v>676</v>
          </cell>
          <cell r="EG22">
            <v>172432.8</v>
          </cell>
          <cell r="EH22">
            <v>152.59999999997672</v>
          </cell>
          <cell r="EJ22">
            <v>10324200</v>
          </cell>
          <cell r="EK22">
            <v>3700</v>
          </cell>
          <cell r="EL22">
            <v>820240</v>
          </cell>
          <cell r="EM22">
            <v>300</v>
          </cell>
          <cell r="EN22">
            <v>6362900</v>
          </cell>
          <cell r="EO22">
            <v>2000</v>
          </cell>
          <cell r="EP22">
            <v>2237600</v>
          </cell>
          <cell r="EQ22">
            <v>500</v>
          </cell>
          <cell r="ER22">
            <v>976940</v>
          </cell>
          <cell r="ES22">
            <v>770</v>
          </cell>
          <cell r="ET22">
            <v>14219500</v>
          </cell>
          <cell r="EU22">
            <v>3800</v>
          </cell>
          <cell r="EW22">
            <v>37127</v>
          </cell>
          <cell r="EX22">
            <v>18</v>
          </cell>
          <cell r="EY22">
            <v>32092</v>
          </cell>
          <cell r="EZ22">
            <v>14</v>
          </cell>
          <cell r="FA22">
            <v>3253</v>
          </cell>
          <cell r="FB22">
            <v>17</v>
          </cell>
          <cell r="FC22">
            <v>53674</v>
          </cell>
          <cell r="FD22">
            <v>19</v>
          </cell>
          <cell r="FE22">
            <v>36937</v>
          </cell>
          <cell r="FF22">
            <v>33</v>
          </cell>
        </row>
        <row r="23">
          <cell r="B23">
            <v>0.88</v>
          </cell>
          <cell r="E23">
            <v>902836</v>
          </cell>
          <cell r="F23">
            <v>652</v>
          </cell>
          <cell r="G23">
            <v>535</v>
          </cell>
          <cell r="H23">
            <v>79136</v>
          </cell>
          <cell r="I23">
            <v>404</v>
          </cell>
          <cell r="J23">
            <v>386</v>
          </cell>
          <cell r="K23">
            <v>164625</v>
          </cell>
          <cell r="L23">
            <v>0</v>
          </cell>
          <cell r="N23">
            <v>813889</v>
          </cell>
          <cell r="O23">
            <v>237</v>
          </cell>
          <cell r="Q23">
            <v>186128</v>
          </cell>
          <cell r="R23">
            <v>149</v>
          </cell>
          <cell r="S23">
            <v>50211.22</v>
          </cell>
          <cell r="T23">
            <v>128.52000000000407</v>
          </cell>
          <cell r="U23">
            <v>75</v>
          </cell>
          <cell r="V23">
            <v>3512</v>
          </cell>
          <cell r="W23">
            <v>22</v>
          </cell>
          <cell r="AC23">
            <v>7118089.4400000004</v>
          </cell>
          <cell r="AD23">
            <v>2728.320000000298</v>
          </cell>
          <cell r="AF23">
            <v>13634145.84</v>
          </cell>
          <cell r="AG23">
            <v>4628.4000000003725</v>
          </cell>
          <cell r="AI23">
            <v>13615291.199999999</v>
          </cell>
          <cell r="AJ23">
            <v>876.95999999903142</v>
          </cell>
          <cell r="AL23">
            <v>16612448.16</v>
          </cell>
          <cell r="AM23">
            <v>11108.160000000149</v>
          </cell>
          <cell r="AO23">
            <v>16932343.68</v>
          </cell>
          <cell r="AP23">
            <v>292.32000000029802</v>
          </cell>
          <cell r="AR23">
            <v>15339540.719999999</v>
          </cell>
          <cell r="AS23">
            <v>5456.6399999987334</v>
          </cell>
          <cell r="AU23">
            <v>13060467.84</v>
          </cell>
          <cell r="AV23">
            <v>4482.2400000002235</v>
          </cell>
          <cell r="AX23">
            <v>12559382.640000001</v>
          </cell>
          <cell r="AY23">
            <v>3946.3200000021607</v>
          </cell>
          <cell r="BA23">
            <v>10008354.719999999</v>
          </cell>
          <cell r="BB23">
            <v>3507.8399999979883</v>
          </cell>
          <cell r="BD23">
            <v>15520486.799999999</v>
          </cell>
          <cell r="BE23">
            <v>5700.2400000002235</v>
          </cell>
          <cell r="BK23">
            <v>67571500</v>
          </cell>
          <cell r="BL23">
            <v>0</v>
          </cell>
          <cell r="BN23">
            <v>70015900</v>
          </cell>
          <cell r="BO23">
            <v>66700</v>
          </cell>
          <cell r="BQ23">
            <v>64331900</v>
          </cell>
          <cell r="BR23">
            <v>0</v>
          </cell>
          <cell r="BT23">
            <v>7535470</v>
          </cell>
          <cell r="BU23">
            <v>6560</v>
          </cell>
          <cell r="BW23">
            <v>0.64</v>
          </cell>
          <cell r="BX23">
            <v>5.9999999999999942E-2</v>
          </cell>
          <cell r="BZ23">
            <v>56577</v>
          </cell>
          <cell r="CA23">
            <v>21</v>
          </cell>
          <cell r="CB23">
            <v>48097</v>
          </cell>
          <cell r="CC23">
            <v>19</v>
          </cell>
          <cell r="CD23">
            <v>16584</v>
          </cell>
          <cell r="CE23">
            <v>6</v>
          </cell>
          <cell r="CF23">
            <v>21789</v>
          </cell>
          <cell r="CG23">
            <v>8</v>
          </cell>
          <cell r="CH23">
            <v>23716</v>
          </cell>
          <cell r="CI23">
            <v>17</v>
          </cell>
          <cell r="CJ23">
            <v>52752</v>
          </cell>
          <cell r="CK23">
            <v>25</v>
          </cell>
          <cell r="CL23">
            <v>231655</v>
          </cell>
          <cell r="CM23">
            <v>100</v>
          </cell>
          <cell r="CO23">
            <v>177340</v>
          </cell>
          <cell r="CP23">
            <v>103</v>
          </cell>
          <cell r="CR23">
            <v>312377</v>
          </cell>
          <cell r="CS23">
            <v>230</v>
          </cell>
          <cell r="CU23">
            <v>614091</v>
          </cell>
          <cell r="CV23">
            <v>234</v>
          </cell>
          <cell r="CX23">
            <v>6169</v>
          </cell>
          <cell r="CY23">
            <v>7</v>
          </cell>
          <cell r="CZ23">
            <v>3694</v>
          </cell>
          <cell r="DA23">
            <v>7</v>
          </cell>
          <cell r="DB23">
            <v>26364</v>
          </cell>
          <cell r="DC23">
            <v>17</v>
          </cell>
          <cell r="DD23">
            <v>27112</v>
          </cell>
          <cell r="DE23">
            <v>18</v>
          </cell>
          <cell r="DF23">
            <v>18425</v>
          </cell>
          <cell r="DG23">
            <v>8</v>
          </cell>
          <cell r="DH23">
            <v>21532</v>
          </cell>
          <cell r="DI23">
            <v>9</v>
          </cell>
          <cell r="DJ23">
            <v>3047</v>
          </cell>
          <cell r="DK23">
            <v>9</v>
          </cell>
          <cell r="DL23">
            <v>6348</v>
          </cell>
          <cell r="DM23">
            <v>15</v>
          </cell>
          <cell r="DN23">
            <v>1692</v>
          </cell>
          <cell r="DO23">
            <v>4</v>
          </cell>
          <cell r="DP23">
            <v>3392</v>
          </cell>
          <cell r="DQ23">
            <v>7</v>
          </cell>
          <cell r="DR23">
            <v>26192</v>
          </cell>
          <cell r="DS23">
            <v>8</v>
          </cell>
          <cell r="DU23">
            <v>2889.8</v>
          </cell>
          <cell r="DV23">
            <v>8.9000000000000909</v>
          </cell>
          <cell r="DW23">
            <v>8035.6</v>
          </cell>
          <cell r="DX23">
            <v>7.2000000000007276</v>
          </cell>
          <cell r="DY23">
            <v>2181.1</v>
          </cell>
          <cell r="DZ23">
            <v>7.2999999999997272</v>
          </cell>
          <cell r="EA23">
            <v>2267.4</v>
          </cell>
          <cell r="EB23">
            <v>9</v>
          </cell>
          <cell r="EC23">
            <v>857094</v>
          </cell>
          <cell r="ED23">
            <v>640</v>
          </cell>
          <cell r="EG23">
            <v>172586.1</v>
          </cell>
          <cell r="EH23">
            <v>153.30000000001746</v>
          </cell>
          <cell r="EJ23">
            <v>10328400</v>
          </cell>
          <cell r="EK23">
            <v>4200</v>
          </cell>
          <cell r="EL23">
            <v>820570</v>
          </cell>
          <cell r="EM23">
            <v>330</v>
          </cell>
          <cell r="EN23">
            <v>6365100</v>
          </cell>
          <cell r="EO23">
            <v>2200</v>
          </cell>
          <cell r="EP23">
            <v>2238100</v>
          </cell>
          <cell r="EQ23">
            <v>500</v>
          </cell>
          <cell r="ER23">
            <v>977760</v>
          </cell>
          <cell r="ES23">
            <v>820</v>
          </cell>
          <cell r="ET23">
            <v>14223700</v>
          </cell>
          <cell r="EU23">
            <v>4200</v>
          </cell>
          <cell r="EW23">
            <v>37144</v>
          </cell>
          <cell r="EX23">
            <v>17</v>
          </cell>
          <cell r="EY23">
            <v>32104</v>
          </cell>
          <cell r="EZ23">
            <v>12</v>
          </cell>
          <cell r="FA23">
            <v>3267</v>
          </cell>
          <cell r="FB23">
            <v>14</v>
          </cell>
          <cell r="FC23">
            <v>53692</v>
          </cell>
          <cell r="FD23">
            <v>18</v>
          </cell>
          <cell r="FE23">
            <v>36965</v>
          </cell>
          <cell r="FF23">
            <v>28</v>
          </cell>
        </row>
        <row r="24">
          <cell r="B24">
            <v>0.97</v>
          </cell>
          <cell r="E24">
            <v>903574</v>
          </cell>
          <cell r="F24">
            <v>738</v>
          </cell>
          <cell r="G24">
            <v>489</v>
          </cell>
          <cell r="H24">
            <v>79500</v>
          </cell>
          <cell r="I24">
            <v>364</v>
          </cell>
          <cell r="J24">
            <v>363</v>
          </cell>
          <cell r="K24">
            <v>164625</v>
          </cell>
          <cell r="L24">
            <v>0</v>
          </cell>
          <cell r="N24">
            <v>814135</v>
          </cell>
          <cell r="O24">
            <v>246</v>
          </cell>
          <cell r="Q24">
            <v>186229</v>
          </cell>
          <cell r="R24">
            <v>101</v>
          </cell>
          <cell r="S24">
            <v>50325.94</v>
          </cell>
          <cell r="T24">
            <v>114.72000000000116</v>
          </cell>
          <cell r="U24">
            <v>66</v>
          </cell>
          <cell r="V24">
            <v>3528</v>
          </cell>
          <cell r="W24">
            <v>16</v>
          </cell>
          <cell r="AC24">
            <v>7120866.4799999995</v>
          </cell>
          <cell r="AD24">
            <v>2777.0399999991059</v>
          </cell>
          <cell r="AF24">
            <v>13638676.799999999</v>
          </cell>
          <cell r="AG24">
            <v>4530.9599999990314</v>
          </cell>
          <cell r="AI24">
            <v>13616119.439999999</v>
          </cell>
          <cell r="AJ24">
            <v>828.24000000022352</v>
          </cell>
          <cell r="AL24">
            <v>16622581.919999998</v>
          </cell>
          <cell r="AM24">
            <v>10133.759999997914</v>
          </cell>
          <cell r="AO24">
            <v>16932538.560000002</v>
          </cell>
          <cell r="AP24">
            <v>194.88000000268221</v>
          </cell>
          <cell r="AR24">
            <v>15345143.52</v>
          </cell>
          <cell r="AS24">
            <v>5602.8000000007451</v>
          </cell>
          <cell r="AU24">
            <v>13064950.08</v>
          </cell>
          <cell r="AV24">
            <v>4482.2400000002235</v>
          </cell>
          <cell r="AX24">
            <v>12563523.84</v>
          </cell>
          <cell r="AY24">
            <v>4141.1999999992549</v>
          </cell>
          <cell r="BA24">
            <v>10011813.84</v>
          </cell>
          <cell r="BB24">
            <v>3459.1200000010431</v>
          </cell>
          <cell r="BD24">
            <v>15526040.880000001</v>
          </cell>
          <cell r="BE24">
            <v>5554.0800000019372</v>
          </cell>
          <cell r="BK24">
            <v>67571500</v>
          </cell>
          <cell r="BL24">
            <v>0</v>
          </cell>
          <cell r="BN24">
            <v>70074400</v>
          </cell>
          <cell r="BO24">
            <v>58500</v>
          </cell>
          <cell r="BQ24">
            <v>64331900</v>
          </cell>
          <cell r="BR24">
            <v>0</v>
          </cell>
          <cell r="BT24">
            <v>7541810</v>
          </cell>
          <cell r="BU24">
            <v>6340</v>
          </cell>
          <cell r="BW24">
            <v>0.81</v>
          </cell>
          <cell r="BX24">
            <v>-0.17000000000000004</v>
          </cell>
          <cell r="BZ24">
            <v>56596</v>
          </cell>
          <cell r="CA24">
            <v>19</v>
          </cell>
          <cell r="CB24">
            <v>48114</v>
          </cell>
          <cell r="CC24">
            <v>17</v>
          </cell>
          <cell r="CD24">
            <v>16590</v>
          </cell>
          <cell r="CE24">
            <v>6</v>
          </cell>
          <cell r="CF24">
            <v>21798</v>
          </cell>
          <cell r="CG24">
            <v>9</v>
          </cell>
          <cell r="CH24">
            <v>23732</v>
          </cell>
          <cell r="CI24">
            <v>16</v>
          </cell>
          <cell r="CJ24">
            <v>52775</v>
          </cell>
          <cell r="CK24">
            <v>23</v>
          </cell>
          <cell r="CL24">
            <v>231759</v>
          </cell>
          <cell r="CM24">
            <v>104</v>
          </cell>
          <cell r="CO24">
            <v>177441</v>
          </cell>
          <cell r="CP24">
            <v>101</v>
          </cell>
          <cell r="CR24">
            <v>312632</v>
          </cell>
          <cell r="CS24">
            <v>255</v>
          </cell>
          <cell r="CU24">
            <v>614338</v>
          </cell>
          <cell r="CV24">
            <v>247</v>
          </cell>
          <cell r="CX24">
            <v>6174</v>
          </cell>
          <cell r="CY24">
            <v>5</v>
          </cell>
          <cell r="CZ24">
            <v>3699</v>
          </cell>
          <cell r="DA24">
            <v>5</v>
          </cell>
          <cell r="DB24">
            <v>26377</v>
          </cell>
          <cell r="DC24">
            <v>13</v>
          </cell>
          <cell r="DD24">
            <v>27131</v>
          </cell>
          <cell r="DE24">
            <v>19</v>
          </cell>
          <cell r="DF24">
            <v>18434</v>
          </cell>
          <cell r="DG24">
            <v>9</v>
          </cell>
          <cell r="DH24">
            <v>21542</v>
          </cell>
          <cell r="DI24">
            <v>10</v>
          </cell>
          <cell r="DJ24">
            <v>3055</v>
          </cell>
          <cell r="DK24">
            <v>8</v>
          </cell>
          <cell r="DL24">
            <v>6362</v>
          </cell>
          <cell r="DM24">
            <v>14</v>
          </cell>
          <cell r="DN24">
            <v>1696</v>
          </cell>
          <cell r="DO24">
            <v>4</v>
          </cell>
          <cell r="DP24">
            <v>3401</v>
          </cell>
          <cell r="DQ24">
            <v>9</v>
          </cell>
          <cell r="DR24">
            <v>26198</v>
          </cell>
          <cell r="DS24">
            <v>6</v>
          </cell>
          <cell r="DU24">
            <v>2898.2</v>
          </cell>
          <cell r="DV24">
            <v>8.3999999999996362</v>
          </cell>
          <cell r="DW24">
            <v>8042.3</v>
          </cell>
          <cell r="DX24">
            <v>6.6999999999998181</v>
          </cell>
          <cell r="DY24">
            <v>2187.8000000000002</v>
          </cell>
          <cell r="DZ24">
            <v>6.7000000000002728</v>
          </cell>
          <cell r="EA24">
            <v>2275.6</v>
          </cell>
          <cell r="EB24">
            <v>8.1999999999998181</v>
          </cell>
          <cell r="EC24">
            <v>857703</v>
          </cell>
          <cell r="ED24">
            <v>609</v>
          </cell>
          <cell r="EG24">
            <v>172733.8</v>
          </cell>
          <cell r="EH24">
            <v>147.69999999998254</v>
          </cell>
          <cell r="EJ24">
            <v>10331800</v>
          </cell>
          <cell r="EK24">
            <v>3400</v>
          </cell>
          <cell r="EL24">
            <v>820770</v>
          </cell>
          <cell r="EM24">
            <v>200</v>
          </cell>
          <cell r="EN24">
            <v>6366900</v>
          </cell>
          <cell r="EO24">
            <v>1800</v>
          </cell>
          <cell r="EP24">
            <v>2238600</v>
          </cell>
          <cell r="EQ24">
            <v>500</v>
          </cell>
          <cell r="ER24">
            <v>978550</v>
          </cell>
          <cell r="ES24">
            <v>790</v>
          </cell>
          <cell r="ET24">
            <v>14227000</v>
          </cell>
          <cell r="EU24">
            <v>3300</v>
          </cell>
          <cell r="EW24">
            <v>37160</v>
          </cell>
          <cell r="EX24">
            <v>16</v>
          </cell>
          <cell r="EY24">
            <v>32118</v>
          </cell>
          <cell r="EZ24">
            <v>14</v>
          </cell>
          <cell r="FA24">
            <v>3279</v>
          </cell>
          <cell r="FB24">
            <v>12</v>
          </cell>
          <cell r="FC24">
            <v>53709</v>
          </cell>
          <cell r="FD24">
            <v>17</v>
          </cell>
          <cell r="FE24">
            <v>37002</v>
          </cell>
          <cell r="FF24">
            <v>37</v>
          </cell>
        </row>
        <row r="25">
          <cell r="B25">
            <v>0.95</v>
          </cell>
          <cell r="E25">
            <v>904475</v>
          </cell>
          <cell r="F25">
            <v>901</v>
          </cell>
          <cell r="G25">
            <v>507</v>
          </cell>
          <cell r="H25">
            <v>79911</v>
          </cell>
          <cell r="I25">
            <v>411</v>
          </cell>
          <cell r="J25">
            <v>396</v>
          </cell>
          <cell r="K25">
            <v>164625</v>
          </cell>
          <cell r="L25">
            <v>0</v>
          </cell>
          <cell r="N25">
            <v>814384</v>
          </cell>
          <cell r="O25">
            <v>249</v>
          </cell>
          <cell r="Q25">
            <v>186378</v>
          </cell>
          <cell r="R25">
            <v>149</v>
          </cell>
          <cell r="S25">
            <v>50448.2</v>
          </cell>
          <cell r="T25">
            <v>122.25999999999476</v>
          </cell>
          <cell r="U25">
            <v>68</v>
          </cell>
          <cell r="V25">
            <v>3547</v>
          </cell>
          <cell r="W25">
            <v>19</v>
          </cell>
          <cell r="AC25">
            <v>7123740.959999999</v>
          </cell>
          <cell r="AD25">
            <v>2874.4799999995157</v>
          </cell>
          <cell r="AF25">
            <v>13643451.359999999</v>
          </cell>
          <cell r="AG25">
            <v>4774.5600000005215</v>
          </cell>
          <cell r="AI25">
            <v>13617045.119999999</v>
          </cell>
          <cell r="AJ25">
            <v>925.67999999970198</v>
          </cell>
          <cell r="AL25">
            <v>16633933.68</v>
          </cell>
          <cell r="AM25">
            <v>11351.760000001639</v>
          </cell>
          <cell r="AO25">
            <v>16932879.599999998</v>
          </cell>
          <cell r="AP25">
            <v>341.03999999538064</v>
          </cell>
          <cell r="AR25">
            <v>15350941.199999999</v>
          </cell>
          <cell r="AS25">
            <v>5797.679999999702</v>
          </cell>
          <cell r="AU25">
            <v>13069675.919999998</v>
          </cell>
          <cell r="AV25">
            <v>4725.8399999979883</v>
          </cell>
          <cell r="AX25">
            <v>12567859.92</v>
          </cell>
          <cell r="AY25">
            <v>4336.0800000000745</v>
          </cell>
          <cell r="BA25">
            <v>10015175.52</v>
          </cell>
          <cell r="BB25">
            <v>3361.679999999702</v>
          </cell>
          <cell r="BD25">
            <v>15531838.559999999</v>
          </cell>
          <cell r="BE25">
            <v>5797.6799999978393</v>
          </cell>
          <cell r="BK25">
            <v>67571500</v>
          </cell>
          <cell r="BL25">
            <v>0</v>
          </cell>
          <cell r="BN25">
            <v>70137900</v>
          </cell>
          <cell r="BO25">
            <v>63500</v>
          </cell>
          <cell r="BQ25">
            <v>64331900</v>
          </cell>
          <cell r="BR25">
            <v>0</v>
          </cell>
          <cell r="BT25">
            <v>7548350</v>
          </cell>
          <cell r="BU25">
            <v>6540</v>
          </cell>
          <cell r="BW25">
            <v>0.72</v>
          </cell>
          <cell r="BX25">
            <v>9.000000000000008E-2</v>
          </cell>
          <cell r="BZ25">
            <v>56614</v>
          </cell>
          <cell r="CA25">
            <v>18</v>
          </cell>
          <cell r="CB25">
            <v>48131</v>
          </cell>
          <cell r="CC25">
            <v>17</v>
          </cell>
          <cell r="CD25">
            <v>16596</v>
          </cell>
          <cell r="CE25">
            <v>6</v>
          </cell>
          <cell r="CF25">
            <v>21807</v>
          </cell>
          <cell r="CG25">
            <v>9</v>
          </cell>
          <cell r="CH25">
            <v>23748</v>
          </cell>
          <cell r="CI25">
            <v>16</v>
          </cell>
          <cell r="CJ25">
            <v>52799</v>
          </cell>
          <cell r="CK25">
            <v>24</v>
          </cell>
          <cell r="CL25">
            <v>231866</v>
          </cell>
          <cell r="CM25">
            <v>107</v>
          </cell>
          <cell r="CO25">
            <v>177546</v>
          </cell>
          <cell r="CP25">
            <v>105</v>
          </cell>
          <cell r="CR25">
            <v>312898</v>
          </cell>
          <cell r="CS25">
            <v>266</v>
          </cell>
          <cell r="CU25">
            <v>614587</v>
          </cell>
          <cell r="CV25">
            <v>249</v>
          </cell>
          <cell r="CX25">
            <v>6181</v>
          </cell>
          <cell r="CY25">
            <v>7</v>
          </cell>
          <cell r="CZ25">
            <v>3706</v>
          </cell>
          <cell r="DA25">
            <v>7</v>
          </cell>
          <cell r="DB25">
            <v>26391</v>
          </cell>
          <cell r="DC25">
            <v>14</v>
          </cell>
          <cell r="DD25">
            <v>27148</v>
          </cell>
          <cell r="DE25">
            <v>17</v>
          </cell>
          <cell r="DF25">
            <v>18442</v>
          </cell>
          <cell r="DG25">
            <v>8</v>
          </cell>
          <cell r="DH25">
            <v>21550</v>
          </cell>
          <cell r="DI25">
            <v>8</v>
          </cell>
          <cell r="DJ25">
            <v>3065</v>
          </cell>
          <cell r="DK25">
            <v>10</v>
          </cell>
          <cell r="DL25">
            <v>6376</v>
          </cell>
          <cell r="DM25">
            <v>14</v>
          </cell>
          <cell r="DN25">
            <v>1700</v>
          </cell>
          <cell r="DO25">
            <v>4</v>
          </cell>
          <cell r="DP25">
            <v>3409</v>
          </cell>
          <cell r="DQ25">
            <v>8</v>
          </cell>
          <cell r="DR25">
            <v>26198</v>
          </cell>
          <cell r="DS25">
            <v>0</v>
          </cell>
          <cell r="DU25">
            <v>2907.1</v>
          </cell>
          <cell r="DV25">
            <v>8.9000000000000909</v>
          </cell>
          <cell r="DW25">
            <v>8049.5</v>
          </cell>
          <cell r="DX25">
            <v>7.1999999999998181</v>
          </cell>
          <cell r="DY25">
            <v>2194.6</v>
          </cell>
          <cell r="DZ25">
            <v>6.7999999999997272</v>
          </cell>
          <cell r="EA25">
            <v>2284.4</v>
          </cell>
          <cell r="EB25">
            <v>8.8000000000001819</v>
          </cell>
          <cell r="EC25">
            <v>858336</v>
          </cell>
          <cell r="ED25">
            <v>633</v>
          </cell>
          <cell r="EG25">
            <v>172891.4</v>
          </cell>
          <cell r="EH25">
            <v>157.60000000000582</v>
          </cell>
          <cell r="EJ25">
            <v>10335300</v>
          </cell>
          <cell r="EK25">
            <v>3500</v>
          </cell>
          <cell r="EL25">
            <v>820960</v>
          </cell>
          <cell r="EM25">
            <v>190</v>
          </cell>
          <cell r="EN25">
            <v>6368600</v>
          </cell>
          <cell r="EO25">
            <v>1700</v>
          </cell>
          <cell r="EP25">
            <v>2239000</v>
          </cell>
          <cell r="EQ25">
            <v>400</v>
          </cell>
          <cell r="ER25">
            <v>979230</v>
          </cell>
          <cell r="ES25">
            <v>680</v>
          </cell>
          <cell r="ET25">
            <v>14230000</v>
          </cell>
          <cell r="EU25">
            <v>3000</v>
          </cell>
          <cell r="EW25">
            <v>37175</v>
          </cell>
          <cell r="EX25">
            <v>15</v>
          </cell>
          <cell r="EY25">
            <v>32131</v>
          </cell>
          <cell r="EZ25">
            <v>13</v>
          </cell>
          <cell r="FA25">
            <v>3292</v>
          </cell>
          <cell r="FB25">
            <v>13</v>
          </cell>
          <cell r="FC25">
            <v>53726</v>
          </cell>
          <cell r="FD25">
            <v>17</v>
          </cell>
          <cell r="FE25">
            <v>37039</v>
          </cell>
          <cell r="FF25">
            <v>37</v>
          </cell>
        </row>
        <row r="26">
          <cell r="B26">
            <v>0.95</v>
          </cell>
          <cell r="E26">
            <v>905141</v>
          </cell>
          <cell r="F26">
            <v>666</v>
          </cell>
          <cell r="G26">
            <v>487</v>
          </cell>
          <cell r="H26">
            <v>80293</v>
          </cell>
          <cell r="I26">
            <v>382</v>
          </cell>
          <cell r="J26">
            <v>340</v>
          </cell>
          <cell r="K26">
            <v>164625</v>
          </cell>
          <cell r="L26">
            <v>0</v>
          </cell>
          <cell r="N26">
            <v>814599</v>
          </cell>
          <cell r="O26">
            <v>215</v>
          </cell>
          <cell r="Q26">
            <v>186505</v>
          </cell>
          <cell r="R26">
            <v>127</v>
          </cell>
          <cell r="S26">
            <v>50573.13</v>
          </cell>
          <cell r="T26">
            <v>124.93000000000029</v>
          </cell>
          <cell r="U26">
            <v>62</v>
          </cell>
          <cell r="V26">
            <v>3564</v>
          </cell>
          <cell r="W26">
            <v>17</v>
          </cell>
          <cell r="AC26">
            <v>7126566.7199999997</v>
          </cell>
          <cell r="AD26">
            <v>2825.7600000007078</v>
          </cell>
          <cell r="AF26">
            <v>13648031.039999999</v>
          </cell>
          <cell r="AG26">
            <v>4579.679999999702</v>
          </cell>
          <cell r="AI26">
            <v>13617970.799999999</v>
          </cell>
          <cell r="AJ26">
            <v>925.67999999970198</v>
          </cell>
          <cell r="AL26">
            <v>16645480.319999998</v>
          </cell>
          <cell r="AM26">
            <v>11546.639999998733</v>
          </cell>
          <cell r="AO26">
            <v>16933220.639999997</v>
          </cell>
          <cell r="AP26">
            <v>341.03999999910593</v>
          </cell>
          <cell r="AR26">
            <v>15356836.319999998</v>
          </cell>
          <cell r="AS26">
            <v>5895.1199999991804</v>
          </cell>
          <cell r="AU26">
            <v>13074109.439999999</v>
          </cell>
          <cell r="AV26">
            <v>4433.5200000014156</v>
          </cell>
          <cell r="AX26">
            <v>12572147.280000001</v>
          </cell>
          <cell r="AY26">
            <v>4287.3600000012666</v>
          </cell>
          <cell r="BA26">
            <v>10018683.359999999</v>
          </cell>
          <cell r="BB26">
            <v>3507.839999999851</v>
          </cell>
          <cell r="BD26">
            <v>15537538.799999999</v>
          </cell>
          <cell r="BE26">
            <v>5700.2400000002235</v>
          </cell>
          <cell r="BK26">
            <v>67571500</v>
          </cell>
          <cell r="BL26">
            <v>0</v>
          </cell>
          <cell r="BN26">
            <v>70205500</v>
          </cell>
          <cell r="BO26">
            <v>67600</v>
          </cell>
          <cell r="BQ26">
            <v>64331900</v>
          </cell>
          <cell r="BR26">
            <v>0</v>
          </cell>
          <cell r="BT26">
            <v>7554410</v>
          </cell>
          <cell r="BU26">
            <v>6060</v>
          </cell>
          <cell r="BW26">
            <v>0.65</v>
          </cell>
          <cell r="BX26">
            <v>6.9999999999999951E-2</v>
          </cell>
          <cell r="BZ26">
            <v>56634</v>
          </cell>
          <cell r="CA26">
            <v>20</v>
          </cell>
          <cell r="CB26">
            <v>48147</v>
          </cell>
          <cell r="CC26">
            <v>16</v>
          </cell>
          <cell r="CD26">
            <v>16601</v>
          </cell>
          <cell r="CE26">
            <v>5</v>
          </cell>
          <cell r="CF26">
            <v>21817</v>
          </cell>
          <cell r="CG26">
            <v>10</v>
          </cell>
          <cell r="CH26">
            <v>23763</v>
          </cell>
          <cell r="CI26">
            <v>15</v>
          </cell>
          <cell r="CJ26">
            <v>52823</v>
          </cell>
          <cell r="CK26">
            <v>24</v>
          </cell>
          <cell r="CL26">
            <v>231970</v>
          </cell>
          <cell r="CM26">
            <v>104</v>
          </cell>
          <cell r="CO26">
            <v>177648</v>
          </cell>
          <cell r="CP26">
            <v>102</v>
          </cell>
          <cell r="CR26">
            <v>313150</v>
          </cell>
          <cell r="CS26">
            <v>252</v>
          </cell>
          <cell r="CU26">
            <v>614831</v>
          </cell>
          <cell r="CV26">
            <v>244</v>
          </cell>
          <cell r="CX26">
            <v>6189</v>
          </cell>
          <cell r="CY26">
            <v>8</v>
          </cell>
          <cell r="CZ26">
            <v>3715</v>
          </cell>
          <cell r="DA26">
            <v>9</v>
          </cell>
          <cell r="DB26">
            <v>26406</v>
          </cell>
          <cell r="DC26">
            <v>15</v>
          </cell>
          <cell r="DD26">
            <v>27165</v>
          </cell>
          <cell r="DE26">
            <v>17</v>
          </cell>
          <cell r="DF26">
            <v>18450</v>
          </cell>
          <cell r="DG26">
            <v>8</v>
          </cell>
          <cell r="DH26">
            <v>21558</v>
          </cell>
          <cell r="DI26">
            <v>8</v>
          </cell>
          <cell r="DJ26">
            <v>3074</v>
          </cell>
          <cell r="DK26">
            <v>9</v>
          </cell>
          <cell r="DL26">
            <v>6390</v>
          </cell>
          <cell r="DM26">
            <v>14</v>
          </cell>
          <cell r="DN26">
            <v>1704</v>
          </cell>
          <cell r="DO26">
            <v>4</v>
          </cell>
          <cell r="DP26">
            <v>3416</v>
          </cell>
          <cell r="DQ26">
            <v>7</v>
          </cell>
          <cell r="DR26">
            <v>26198</v>
          </cell>
          <cell r="DS26">
            <v>0</v>
          </cell>
          <cell r="DU26">
            <v>2915.6</v>
          </cell>
          <cell r="DV26">
            <v>8.5</v>
          </cell>
          <cell r="DW26">
            <v>8056.8</v>
          </cell>
          <cell r="DX26">
            <v>7.3000000000001819</v>
          </cell>
          <cell r="DY26">
            <v>2201.5</v>
          </cell>
          <cell r="DZ26">
            <v>6.9000000000000909</v>
          </cell>
          <cell r="EA26">
            <v>2293.3000000000002</v>
          </cell>
          <cell r="EB26">
            <v>8.9000000000000909</v>
          </cell>
          <cell r="EC26">
            <v>858937</v>
          </cell>
          <cell r="ED26">
            <v>601</v>
          </cell>
          <cell r="EG26">
            <v>173043.8</v>
          </cell>
          <cell r="EH26">
            <v>152.39999999999418</v>
          </cell>
          <cell r="EJ26">
            <v>10339400</v>
          </cell>
          <cell r="EK26">
            <v>4100</v>
          </cell>
          <cell r="EL26">
            <v>821200</v>
          </cell>
          <cell r="EM26">
            <v>240</v>
          </cell>
          <cell r="EN26">
            <v>6370600</v>
          </cell>
          <cell r="EO26">
            <v>2000</v>
          </cell>
          <cell r="EP26">
            <v>2239500</v>
          </cell>
          <cell r="EQ26">
            <v>500</v>
          </cell>
          <cell r="ER26">
            <v>979990</v>
          </cell>
          <cell r="ES26">
            <v>760</v>
          </cell>
          <cell r="ET26">
            <v>14233800</v>
          </cell>
          <cell r="EU26">
            <v>3800</v>
          </cell>
          <cell r="EW26">
            <v>37189</v>
          </cell>
          <cell r="EX26">
            <v>14</v>
          </cell>
          <cell r="EY26">
            <v>32143</v>
          </cell>
          <cell r="EZ26">
            <v>12</v>
          </cell>
          <cell r="FA26">
            <v>3304</v>
          </cell>
          <cell r="FB26">
            <v>12</v>
          </cell>
          <cell r="FC26">
            <v>53745</v>
          </cell>
          <cell r="FD26">
            <v>19</v>
          </cell>
          <cell r="FE26">
            <v>37071</v>
          </cell>
          <cell r="FF26">
            <v>32</v>
          </cell>
        </row>
        <row r="27">
          <cell r="B27">
            <v>0.95</v>
          </cell>
          <cell r="E27">
            <v>905820</v>
          </cell>
          <cell r="F27">
            <v>679</v>
          </cell>
          <cell r="G27">
            <v>672</v>
          </cell>
          <cell r="H27">
            <v>80695</v>
          </cell>
          <cell r="I27">
            <v>402</v>
          </cell>
          <cell r="J27">
            <v>373</v>
          </cell>
          <cell r="K27">
            <v>164625</v>
          </cell>
          <cell r="L27">
            <v>0</v>
          </cell>
          <cell r="N27">
            <v>814803</v>
          </cell>
          <cell r="O27">
            <v>204</v>
          </cell>
          <cell r="Q27">
            <v>186612</v>
          </cell>
          <cell r="R27">
            <v>107</v>
          </cell>
          <cell r="S27">
            <v>50693.69</v>
          </cell>
          <cell r="T27">
            <v>120.56000000000495</v>
          </cell>
          <cell r="U27">
            <v>74</v>
          </cell>
          <cell r="V27">
            <v>3581</v>
          </cell>
          <cell r="W27">
            <v>17</v>
          </cell>
          <cell r="AC27">
            <v>7129392.4799999995</v>
          </cell>
          <cell r="AD27">
            <v>2825.7599999997765</v>
          </cell>
          <cell r="AF27">
            <v>13652464.559999999</v>
          </cell>
          <cell r="AG27">
            <v>4433.519999999553</v>
          </cell>
          <cell r="AI27">
            <v>13618750.319999998</v>
          </cell>
          <cell r="AJ27">
            <v>779.51999999955297</v>
          </cell>
          <cell r="AL27">
            <v>16656393.6</v>
          </cell>
          <cell r="AM27">
            <v>10913.280000001192</v>
          </cell>
          <cell r="AO27">
            <v>16933512.960000001</v>
          </cell>
          <cell r="AP27">
            <v>292.32000000402331</v>
          </cell>
          <cell r="AR27">
            <v>15362780.16</v>
          </cell>
          <cell r="AS27">
            <v>5943.8400000017136</v>
          </cell>
          <cell r="AU27">
            <v>13078640.4</v>
          </cell>
          <cell r="AV27">
            <v>4530.9600000008941</v>
          </cell>
          <cell r="AX27">
            <v>12576288.48</v>
          </cell>
          <cell r="AY27">
            <v>4141.1999999992549</v>
          </cell>
          <cell r="BA27">
            <v>10022045.040000001</v>
          </cell>
          <cell r="BB27">
            <v>3361.6800000015646</v>
          </cell>
          <cell r="BD27">
            <v>15543044.16</v>
          </cell>
          <cell r="BE27">
            <v>5505.3600000012666</v>
          </cell>
          <cell r="BK27">
            <v>67571500</v>
          </cell>
          <cell r="BL27">
            <v>0</v>
          </cell>
          <cell r="BN27">
            <v>70269600</v>
          </cell>
          <cell r="BO27">
            <v>64100</v>
          </cell>
          <cell r="BQ27">
            <v>64331900</v>
          </cell>
          <cell r="BR27">
            <v>0</v>
          </cell>
          <cell r="BT27">
            <v>7560910</v>
          </cell>
          <cell r="BU27">
            <v>6500</v>
          </cell>
          <cell r="BW27">
            <v>0.8</v>
          </cell>
          <cell r="BX27">
            <v>-0.15000000000000002</v>
          </cell>
          <cell r="BZ27">
            <v>56653</v>
          </cell>
          <cell r="CA27">
            <v>19</v>
          </cell>
          <cell r="CB27">
            <v>48166</v>
          </cell>
          <cell r="CC27">
            <v>19</v>
          </cell>
          <cell r="CD27">
            <v>16606</v>
          </cell>
          <cell r="CE27">
            <v>5</v>
          </cell>
          <cell r="CF27">
            <v>21828</v>
          </cell>
          <cell r="CG27">
            <v>11</v>
          </cell>
          <cell r="CH27">
            <v>23779</v>
          </cell>
          <cell r="CI27">
            <v>16</v>
          </cell>
          <cell r="CJ27">
            <v>52849</v>
          </cell>
          <cell r="CK27">
            <v>26</v>
          </cell>
          <cell r="CL27">
            <v>232073</v>
          </cell>
          <cell r="CM27">
            <v>103</v>
          </cell>
          <cell r="CO27">
            <v>177752</v>
          </cell>
          <cell r="CP27">
            <v>104</v>
          </cell>
          <cell r="CR27">
            <v>313320</v>
          </cell>
          <cell r="CS27">
            <v>170</v>
          </cell>
          <cell r="CU27">
            <v>615073</v>
          </cell>
          <cell r="CV27">
            <v>242</v>
          </cell>
          <cell r="CX27">
            <v>6200</v>
          </cell>
          <cell r="CY27">
            <v>11</v>
          </cell>
          <cell r="CZ27">
            <v>3727</v>
          </cell>
          <cell r="DA27">
            <v>12</v>
          </cell>
          <cell r="DB27">
            <v>26425</v>
          </cell>
          <cell r="DC27">
            <v>19</v>
          </cell>
          <cell r="DD27">
            <v>27182</v>
          </cell>
          <cell r="DE27">
            <v>17</v>
          </cell>
          <cell r="DF27">
            <v>18456</v>
          </cell>
          <cell r="DG27">
            <v>6</v>
          </cell>
          <cell r="DH27">
            <v>21566</v>
          </cell>
          <cell r="DI27">
            <v>8</v>
          </cell>
          <cell r="DJ27">
            <v>3084</v>
          </cell>
          <cell r="DK27">
            <v>10</v>
          </cell>
          <cell r="DL27">
            <v>6404</v>
          </cell>
          <cell r="DM27">
            <v>14</v>
          </cell>
          <cell r="DN27">
            <v>1708</v>
          </cell>
          <cell r="DO27">
            <v>4</v>
          </cell>
          <cell r="DP27">
            <v>3423</v>
          </cell>
          <cell r="DQ27">
            <v>7</v>
          </cell>
          <cell r="DR27">
            <v>26198</v>
          </cell>
          <cell r="DS27">
            <v>0</v>
          </cell>
          <cell r="DU27">
            <v>2924</v>
          </cell>
          <cell r="DV27">
            <v>8.4000000000000909</v>
          </cell>
          <cell r="DW27">
            <v>8064.4</v>
          </cell>
          <cell r="DX27">
            <v>7.5999999999994543</v>
          </cell>
          <cell r="DY27">
            <v>2208.1</v>
          </cell>
          <cell r="DZ27">
            <v>6.5999999999999091</v>
          </cell>
          <cell r="EA27">
            <v>2301.9</v>
          </cell>
          <cell r="EB27">
            <v>8.5999999999999091</v>
          </cell>
          <cell r="EC27">
            <v>859807</v>
          </cell>
          <cell r="ED27">
            <v>870</v>
          </cell>
          <cell r="EG27">
            <v>173198.5</v>
          </cell>
          <cell r="EH27">
            <v>154.70000000001164</v>
          </cell>
          <cell r="EJ27">
            <v>10343500</v>
          </cell>
          <cell r="EK27">
            <v>4100</v>
          </cell>
          <cell r="EL27">
            <v>821430</v>
          </cell>
          <cell r="EM27">
            <v>230</v>
          </cell>
          <cell r="EN27">
            <v>6372600</v>
          </cell>
          <cell r="EO27">
            <v>2000</v>
          </cell>
          <cell r="EP27">
            <v>2240100</v>
          </cell>
          <cell r="EQ27">
            <v>600</v>
          </cell>
          <cell r="ER27">
            <v>980770</v>
          </cell>
          <cell r="ES27">
            <v>780</v>
          </cell>
          <cell r="ET27">
            <v>14237800</v>
          </cell>
          <cell r="EU27">
            <v>4000</v>
          </cell>
          <cell r="EW27">
            <v>37206</v>
          </cell>
          <cell r="EX27">
            <v>17</v>
          </cell>
          <cell r="EY27">
            <v>32155</v>
          </cell>
          <cell r="EZ27">
            <v>12</v>
          </cell>
          <cell r="FA27">
            <v>3317</v>
          </cell>
          <cell r="FB27">
            <v>13</v>
          </cell>
          <cell r="FC27">
            <v>53766</v>
          </cell>
          <cell r="FD27">
            <v>21</v>
          </cell>
          <cell r="FE27">
            <v>37104</v>
          </cell>
          <cell r="FF27">
            <v>33</v>
          </cell>
        </row>
        <row r="28">
          <cell r="B28">
            <v>0.8</v>
          </cell>
          <cell r="E28">
            <v>906534</v>
          </cell>
          <cell r="F28">
            <v>714</v>
          </cell>
          <cell r="G28">
            <v>558</v>
          </cell>
          <cell r="H28">
            <v>81288</v>
          </cell>
          <cell r="I28">
            <v>593</v>
          </cell>
          <cell r="J28">
            <v>415</v>
          </cell>
          <cell r="K28">
            <v>164625</v>
          </cell>
          <cell r="L28">
            <v>0</v>
          </cell>
          <cell r="N28">
            <v>814878</v>
          </cell>
          <cell r="O28">
            <v>75</v>
          </cell>
          <cell r="Q28">
            <v>186713</v>
          </cell>
          <cell r="R28">
            <v>101</v>
          </cell>
          <cell r="S28">
            <v>50805.46</v>
          </cell>
          <cell r="T28">
            <v>111.7699999999968</v>
          </cell>
          <cell r="U28">
            <v>63</v>
          </cell>
          <cell r="V28">
            <v>3598</v>
          </cell>
          <cell r="W28">
            <v>17</v>
          </cell>
          <cell r="AC28">
            <v>7132072.0800000001</v>
          </cell>
          <cell r="AD28">
            <v>2679.6000000005588</v>
          </cell>
          <cell r="AF28">
            <v>13657044.24</v>
          </cell>
          <cell r="AG28">
            <v>4579.6800000015646</v>
          </cell>
          <cell r="AI28">
            <v>13619481.119999999</v>
          </cell>
          <cell r="AJ28">
            <v>730.80000000074506</v>
          </cell>
          <cell r="AL28">
            <v>16666868.4</v>
          </cell>
          <cell r="AM28">
            <v>10474.800000000745</v>
          </cell>
          <cell r="AO28">
            <v>16933854</v>
          </cell>
          <cell r="AP28">
            <v>341.03999999910593</v>
          </cell>
          <cell r="AR28">
            <v>15368724</v>
          </cell>
          <cell r="AS28">
            <v>5943.839999999851</v>
          </cell>
          <cell r="AU28">
            <v>13083317.52</v>
          </cell>
          <cell r="AV28">
            <v>4677.1199999991804</v>
          </cell>
          <cell r="AX28">
            <v>12580527.119999999</v>
          </cell>
          <cell r="AY28">
            <v>4238.6399999987334</v>
          </cell>
          <cell r="BA28">
            <v>10025358</v>
          </cell>
          <cell r="BB28">
            <v>3312.9599999990314</v>
          </cell>
          <cell r="BD28">
            <v>15548988</v>
          </cell>
          <cell r="BE28">
            <v>5943.839999999851</v>
          </cell>
          <cell r="BK28">
            <v>67571500</v>
          </cell>
          <cell r="BL28">
            <v>0</v>
          </cell>
          <cell r="BN28">
            <v>70329300</v>
          </cell>
          <cell r="BO28">
            <v>59700</v>
          </cell>
          <cell r="BQ28">
            <v>64331900</v>
          </cell>
          <cell r="BR28">
            <v>0</v>
          </cell>
          <cell r="BT28">
            <v>7567640</v>
          </cell>
          <cell r="BU28">
            <v>6730</v>
          </cell>
          <cell r="BW28">
            <v>0.74</v>
          </cell>
          <cell r="BX28">
            <v>6.0000000000000053E-2</v>
          </cell>
          <cell r="BZ28">
            <v>56673</v>
          </cell>
          <cell r="CA28">
            <v>20</v>
          </cell>
          <cell r="CB28">
            <v>48186</v>
          </cell>
          <cell r="CC28">
            <v>20</v>
          </cell>
          <cell r="CD28">
            <v>16611</v>
          </cell>
          <cell r="CE28">
            <v>5</v>
          </cell>
          <cell r="CF28">
            <v>21837</v>
          </cell>
          <cell r="CG28">
            <v>9</v>
          </cell>
          <cell r="CH28">
            <v>23788</v>
          </cell>
          <cell r="CI28">
            <v>9</v>
          </cell>
          <cell r="CJ28">
            <v>52875</v>
          </cell>
          <cell r="CK28">
            <v>26</v>
          </cell>
          <cell r="CL28">
            <v>232179</v>
          </cell>
          <cell r="CM28">
            <v>106</v>
          </cell>
          <cell r="CO28">
            <v>177858</v>
          </cell>
          <cell r="CP28">
            <v>106</v>
          </cell>
          <cell r="CR28">
            <v>313491</v>
          </cell>
          <cell r="CS28">
            <v>171</v>
          </cell>
          <cell r="CU28">
            <v>615326</v>
          </cell>
          <cell r="CV28">
            <v>253</v>
          </cell>
          <cell r="CX28">
            <v>6210</v>
          </cell>
          <cell r="CY28">
            <v>10</v>
          </cell>
          <cell r="CZ28">
            <v>3736</v>
          </cell>
          <cell r="DA28">
            <v>9</v>
          </cell>
          <cell r="DB28">
            <v>26446</v>
          </cell>
          <cell r="DC28">
            <v>21</v>
          </cell>
          <cell r="DD28">
            <v>27201</v>
          </cell>
          <cell r="DE28">
            <v>19</v>
          </cell>
          <cell r="DF28">
            <v>18467</v>
          </cell>
          <cell r="DG28">
            <v>11</v>
          </cell>
          <cell r="DH28">
            <v>21575</v>
          </cell>
          <cell r="DI28">
            <v>9</v>
          </cell>
          <cell r="DJ28">
            <v>3093</v>
          </cell>
          <cell r="DK28">
            <v>9</v>
          </cell>
          <cell r="DL28">
            <v>6420</v>
          </cell>
          <cell r="DM28">
            <v>16</v>
          </cell>
          <cell r="DN28">
            <v>1712</v>
          </cell>
          <cell r="DO28">
            <v>4</v>
          </cell>
          <cell r="DP28">
            <v>3431</v>
          </cell>
          <cell r="DQ28">
            <v>8</v>
          </cell>
          <cell r="DR28">
            <v>26198</v>
          </cell>
          <cell r="DS28">
            <v>0</v>
          </cell>
          <cell r="DU28">
            <v>2933.3</v>
          </cell>
          <cell r="DV28">
            <v>9.3000000000001819</v>
          </cell>
          <cell r="DW28">
            <v>8071.9</v>
          </cell>
          <cell r="DX28">
            <v>7.5</v>
          </cell>
          <cell r="DY28">
            <v>2215.1</v>
          </cell>
          <cell r="DZ28">
            <v>7</v>
          </cell>
          <cell r="EA28">
            <v>2310.6999999999998</v>
          </cell>
          <cell r="EB28">
            <v>8.7999999999997272</v>
          </cell>
          <cell r="EC28">
            <v>860231</v>
          </cell>
          <cell r="ED28">
            <v>424</v>
          </cell>
          <cell r="EG28">
            <v>173354.6</v>
          </cell>
          <cell r="EH28">
            <v>156.10000000000582</v>
          </cell>
          <cell r="EJ28">
            <v>10347100</v>
          </cell>
          <cell r="EK28">
            <v>3600</v>
          </cell>
          <cell r="EL28">
            <v>821630</v>
          </cell>
          <cell r="EM28">
            <v>200</v>
          </cell>
          <cell r="EN28">
            <v>6374300</v>
          </cell>
          <cell r="EO28">
            <v>1700</v>
          </cell>
          <cell r="EP28">
            <v>2240500</v>
          </cell>
          <cell r="EQ28">
            <v>400</v>
          </cell>
          <cell r="ER28">
            <v>981460</v>
          </cell>
          <cell r="ES28">
            <v>690</v>
          </cell>
          <cell r="ET28">
            <v>14241000</v>
          </cell>
          <cell r="EU28">
            <v>3200</v>
          </cell>
          <cell r="EW28">
            <v>37221</v>
          </cell>
          <cell r="EX28">
            <v>15</v>
          </cell>
          <cell r="EY28">
            <v>32169</v>
          </cell>
          <cell r="EZ28">
            <v>14</v>
          </cell>
          <cell r="FA28">
            <v>3333</v>
          </cell>
          <cell r="FB28">
            <v>16</v>
          </cell>
          <cell r="FC28">
            <v>53781</v>
          </cell>
          <cell r="FD28">
            <v>15</v>
          </cell>
          <cell r="FE28">
            <v>37135</v>
          </cell>
          <cell r="FF28">
            <v>31</v>
          </cell>
        </row>
        <row r="29">
          <cell r="B29">
            <v>0.85</v>
          </cell>
          <cell r="E29">
            <v>907124</v>
          </cell>
          <cell r="F29">
            <v>590</v>
          </cell>
          <cell r="G29">
            <v>636</v>
          </cell>
          <cell r="H29">
            <v>81558</v>
          </cell>
          <cell r="I29">
            <v>270</v>
          </cell>
          <cell r="J29">
            <v>408</v>
          </cell>
          <cell r="K29">
            <v>164625</v>
          </cell>
          <cell r="L29">
            <v>0</v>
          </cell>
          <cell r="N29">
            <v>815108</v>
          </cell>
          <cell r="O29">
            <v>230</v>
          </cell>
          <cell r="Q29">
            <v>186713</v>
          </cell>
          <cell r="R29">
            <v>0</v>
          </cell>
          <cell r="S29">
            <v>50917.760000000002</v>
          </cell>
          <cell r="T29">
            <v>112.30000000000291</v>
          </cell>
          <cell r="U29">
            <v>63</v>
          </cell>
          <cell r="V29">
            <v>3611</v>
          </cell>
          <cell r="W29">
            <v>13</v>
          </cell>
          <cell r="AC29">
            <v>7134167.04</v>
          </cell>
          <cell r="AD29">
            <v>2094.9599999999627</v>
          </cell>
          <cell r="AF29">
            <v>13661770.08</v>
          </cell>
          <cell r="AG29">
            <v>4725.839999999851</v>
          </cell>
          <cell r="AI29">
            <v>13619870.880000001</v>
          </cell>
          <cell r="AJ29">
            <v>389.76000000163913</v>
          </cell>
          <cell r="AL29">
            <v>16667647.919999998</v>
          </cell>
          <cell r="AM29">
            <v>779.51999999769032</v>
          </cell>
          <cell r="AO29">
            <v>16945936.560000002</v>
          </cell>
          <cell r="AP29">
            <v>12082.560000002384</v>
          </cell>
          <cell r="AR29">
            <v>15374814</v>
          </cell>
          <cell r="AS29">
            <v>6090</v>
          </cell>
          <cell r="AU29">
            <v>13088043.359999999</v>
          </cell>
          <cell r="AV29">
            <v>4725.839999999851</v>
          </cell>
          <cell r="AX29">
            <v>12584911.92</v>
          </cell>
          <cell r="AY29">
            <v>4384.8000000007451</v>
          </cell>
          <cell r="BA29">
            <v>10028817.119999999</v>
          </cell>
          <cell r="BB29">
            <v>3459.1199999991804</v>
          </cell>
          <cell r="BD29">
            <v>15554931.84</v>
          </cell>
          <cell r="BE29">
            <v>5943.839999999851</v>
          </cell>
          <cell r="BK29">
            <v>67571500</v>
          </cell>
          <cell r="BL29">
            <v>0</v>
          </cell>
          <cell r="BN29">
            <v>70331500</v>
          </cell>
          <cell r="BO29">
            <v>2200</v>
          </cell>
          <cell r="BQ29">
            <v>64388600</v>
          </cell>
          <cell r="BR29">
            <v>56700</v>
          </cell>
          <cell r="BT29">
            <v>7574090</v>
          </cell>
          <cell r="BU29">
            <v>6450</v>
          </cell>
          <cell r="BW29">
            <v>0.67</v>
          </cell>
          <cell r="BX29">
            <v>6.9999999999999951E-2</v>
          </cell>
          <cell r="BZ29">
            <v>56693</v>
          </cell>
          <cell r="CA29">
            <v>20</v>
          </cell>
          <cell r="CB29">
            <v>48205</v>
          </cell>
          <cell r="CC29">
            <v>19</v>
          </cell>
          <cell r="CD29">
            <v>16615</v>
          </cell>
          <cell r="CE29">
            <v>4</v>
          </cell>
          <cell r="CF29">
            <v>21846</v>
          </cell>
          <cell r="CG29">
            <v>9</v>
          </cell>
          <cell r="CH29">
            <v>23806</v>
          </cell>
          <cell r="CI29">
            <v>18</v>
          </cell>
          <cell r="CJ29">
            <v>52900</v>
          </cell>
          <cell r="CK29">
            <v>25</v>
          </cell>
          <cell r="CL29">
            <v>232288</v>
          </cell>
          <cell r="CM29">
            <v>109</v>
          </cell>
          <cell r="CO29">
            <v>177992</v>
          </cell>
          <cell r="CP29">
            <v>134</v>
          </cell>
          <cell r="CR29">
            <v>313702</v>
          </cell>
          <cell r="CS29">
            <v>211</v>
          </cell>
          <cell r="CU29">
            <v>615585</v>
          </cell>
          <cell r="CV29">
            <v>259</v>
          </cell>
          <cell r="CX29">
            <v>6218</v>
          </cell>
          <cell r="CY29">
            <v>8</v>
          </cell>
          <cell r="CZ29">
            <v>3743</v>
          </cell>
          <cell r="DA29">
            <v>7</v>
          </cell>
          <cell r="DB29">
            <v>26466</v>
          </cell>
          <cell r="DC29">
            <v>20</v>
          </cell>
          <cell r="DD29">
            <v>27218</v>
          </cell>
          <cell r="DE29">
            <v>17</v>
          </cell>
          <cell r="DF29">
            <v>18470</v>
          </cell>
          <cell r="DG29">
            <v>3</v>
          </cell>
          <cell r="DH29">
            <v>21583</v>
          </cell>
          <cell r="DI29">
            <v>8</v>
          </cell>
          <cell r="DJ29">
            <v>3103</v>
          </cell>
          <cell r="DK29">
            <v>10</v>
          </cell>
          <cell r="DL29">
            <v>6436</v>
          </cell>
          <cell r="DM29">
            <v>16</v>
          </cell>
          <cell r="DN29">
            <v>1717</v>
          </cell>
          <cell r="DO29">
            <v>5</v>
          </cell>
          <cell r="DP29">
            <v>3439</v>
          </cell>
          <cell r="DQ29">
            <v>8</v>
          </cell>
          <cell r="DR29">
            <v>26198</v>
          </cell>
          <cell r="DS29">
            <v>0</v>
          </cell>
          <cell r="DU29">
            <v>2941.8</v>
          </cell>
          <cell r="DV29">
            <v>8.5</v>
          </cell>
          <cell r="DW29">
            <v>8079.4</v>
          </cell>
          <cell r="DX29">
            <v>7.5</v>
          </cell>
          <cell r="DY29">
            <v>2222.1999999999998</v>
          </cell>
          <cell r="DZ29">
            <v>7.0999999999999091</v>
          </cell>
          <cell r="EA29">
            <v>2319.5</v>
          </cell>
          <cell r="EB29">
            <v>8.8000000000001819</v>
          </cell>
          <cell r="EC29">
            <v>860846</v>
          </cell>
          <cell r="ED29">
            <v>615</v>
          </cell>
          <cell r="EG29">
            <v>173479.5</v>
          </cell>
          <cell r="EH29">
            <v>124.89999999999418</v>
          </cell>
          <cell r="EJ29">
            <v>10350600</v>
          </cell>
          <cell r="EK29">
            <v>3500</v>
          </cell>
          <cell r="EL29">
            <v>821850</v>
          </cell>
          <cell r="EM29">
            <v>220</v>
          </cell>
          <cell r="EN29">
            <v>6376000</v>
          </cell>
          <cell r="EO29">
            <v>1700</v>
          </cell>
          <cell r="EP29">
            <v>2240900</v>
          </cell>
          <cell r="EQ29">
            <v>400</v>
          </cell>
          <cell r="ER29">
            <v>982090</v>
          </cell>
          <cell r="ES29">
            <v>630</v>
          </cell>
          <cell r="ET29">
            <v>14244800</v>
          </cell>
          <cell r="EU29">
            <v>3800</v>
          </cell>
          <cell r="EW29">
            <v>37237</v>
          </cell>
          <cell r="EX29">
            <v>16</v>
          </cell>
          <cell r="EY29">
            <v>32182</v>
          </cell>
          <cell r="EZ29">
            <v>13</v>
          </cell>
          <cell r="FA29">
            <v>3350</v>
          </cell>
          <cell r="FB29">
            <v>17</v>
          </cell>
          <cell r="FC29">
            <v>53800</v>
          </cell>
          <cell r="FD29">
            <v>19</v>
          </cell>
          <cell r="FE29">
            <v>37170</v>
          </cell>
          <cell r="FF29">
            <v>35</v>
          </cell>
        </row>
        <row r="30">
          <cell r="B30">
            <v>0.97</v>
          </cell>
          <cell r="E30">
            <v>908352</v>
          </cell>
          <cell r="F30">
            <v>1228</v>
          </cell>
          <cell r="G30">
            <v>449</v>
          </cell>
          <cell r="H30">
            <v>81980</v>
          </cell>
          <cell r="I30">
            <v>422</v>
          </cell>
          <cell r="J30">
            <v>380</v>
          </cell>
          <cell r="K30">
            <v>164625</v>
          </cell>
          <cell r="L30">
            <v>0</v>
          </cell>
          <cell r="N30">
            <v>815201</v>
          </cell>
          <cell r="O30">
            <v>93</v>
          </cell>
          <cell r="Q30">
            <v>186713</v>
          </cell>
          <cell r="R30">
            <v>0</v>
          </cell>
          <cell r="S30">
            <v>51035.66</v>
          </cell>
          <cell r="T30">
            <v>117.90000000000146</v>
          </cell>
          <cell r="U30">
            <v>65</v>
          </cell>
          <cell r="V30">
            <v>3628</v>
          </cell>
          <cell r="W30">
            <v>17</v>
          </cell>
          <cell r="AC30">
            <v>7136115.8399999999</v>
          </cell>
          <cell r="AD30">
            <v>1948.7999999998137</v>
          </cell>
          <cell r="AF30">
            <v>13666203.6</v>
          </cell>
          <cell r="AG30">
            <v>4433.519999999553</v>
          </cell>
          <cell r="AI30">
            <v>13620260.640000001</v>
          </cell>
          <cell r="AJ30">
            <v>389.75999999977648</v>
          </cell>
          <cell r="AL30">
            <v>16668378.719999999</v>
          </cell>
          <cell r="AM30">
            <v>730.80000000074506</v>
          </cell>
          <cell r="AO30">
            <v>16958019.119999997</v>
          </cell>
          <cell r="AP30">
            <v>12082.559999994934</v>
          </cell>
          <cell r="AR30">
            <v>15380124.48</v>
          </cell>
          <cell r="AS30">
            <v>5310.480000000447</v>
          </cell>
          <cell r="AU30">
            <v>13092282</v>
          </cell>
          <cell r="AV30">
            <v>4238.640000000596</v>
          </cell>
          <cell r="AX30">
            <v>12589053.119999999</v>
          </cell>
          <cell r="AY30">
            <v>4141.1999999992549</v>
          </cell>
          <cell r="BA30">
            <v>10031983.92</v>
          </cell>
          <cell r="BB30">
            <v>3166.8000000007451</v>
          </cell>
          <cell r="BD30">
            <v>15560291.039999999</v>
          </cell>
          <cell r="BE30">
            <v>5359.1999999992549</v>
          </cell>
          <cell r="BK30">
            <v>67571500</v>
          </cell>
          <cell r="BL30">
            <v>0</v>
          </cell>
          <cell r="BN30">
            <v>70331500</v>
          </cell>
          <cell r="BO30">
            <v>0</v>
          </cell>
          <cell r="BQ30">
            <v>64448900</v>
          </cell>
          <cell r="BR30">
            <v>60300</v>
          </cell>
          <cell r="BT30">
            <v>7580540</v>
          </cell>
          <cell r="BU30">
            <v>6450</v>
          </cell>
          <cell r="BW30">
            <v>0.6</v>
          </cell>
          <cell r="BX30">
            <v>7.0000000000000062E-2</v>
          </cell>
          <cell r="BZ30">
            <v>56713</v>
          </cell>
          <cell r="CA30">
            <v>20</v>
          </cell>
          <cell r="CB30">
            <v>48224</v>
          </cell>
          <cell r="CC30">
            <v>19</v>
          </cell>
          <cell r="CD30">
            <v>16619</v>
          </cell>
          <cell r="CE30">
            <v>4</v>
          </cell>
          <cell r="CF30">
            <v>21856</v>
          </cell>
          <cell r="CG30">
            <v>10</v>
          </cell>
          <cell r="CH30">
            <v>23815</v>
          </cell>
          <cell r="CI30">
            <v>9</v>
          </cell>
          <cell r="CJ30">
            <v>52925</v>
          </cell>
          <cell r="CK30">
            <v>25</v>
          </cell>
          <cell r="CL30">
            <v>232389</v>
          </cell>
          <cell r="CM30">
            <v>101</v>
          </cell>
          <cell r="CO30">
            <v>178067</v>
          </cell>
          <cell r="CP30">
            <v>75</v>
          </cell>
          <cell r="CR30">
            <v>313921</v>
          </cell>
          <cell r="CS30">
            <v>219</v>
          </cell>
          <cell r="CU30">
            <v>615826</v>
          </cell>
          <cell r="CV30">
            <v>241</v>
          </cell>
          <cell r="CX30">
            <v>6224</v>
          </cell>
          <cell r="CY30">
            <v>6</v>
          </cell>
          <cell r="CZ30">
            <v>3750</v>
          </cell>
          <cell r="DA30">
            <v>7</v>
          </cell>
          <cell r="DB30">
            <v>26483</v>
          </cell>
          <cell r="DC30">
            <v>17</v>
          </cell>
          <cell r="DD30">
            <v>27234</v>
          </cell>
          <cell r="DE30">
            <v>16</v>
          </cell>
          <cell r="DF30">
            <v>18484</v>
          </cell>
          <cell r="DG30">
            <v>14</v>
          </cell>
          <cell r="DH30">
            <v>21591</v>
          </cell>
          <cell r="DI30">
            <v>8</v>
          </cell>
          <cell r="DJ30">
            <v>3111</v>
          </cell>
          <cell r="DK30">
            <v>8</v>
          </cell>
          <cell r="DL30">
            <v>6451</v>
          </cell>
          <cell r="DM30">
            <v>15</v>
          </cell>
          <cell r="DN30">
            <v>1720</v>
          </cell>
          <cell r="DO30">
            <v>3</v>
          </cell>
          <cell r="DP30">
            <v>3446</v>
          </cell>
          <cell r="DQ30">
            <v>7</v>
          </cell>
          <cell r="DR30">
            <v>26204</v>
          </cell>
          <cell r="DS30">
            <v>6</v>
          </cell>
          <cell r="DU30">
            <v>2951.2</v>
          </cell>
          <cell r="DV30">
            <v>9.3999999999996362</v>
          </cell>
          <cell r="DW30">
            <v>8086.4</v>
          </cell>
          <cell r="DX30">
            <v>7</v>
          </cell>
          <cell r="DY30">
            <v>2228.6</v>
          </cell>
          <cell r="DZ30">
            <v>6.4000000000000909</v>
          </cell>
          <cell r="EA30">
            <v>2327.9</v>
          </cell>
          <cell r="EB30">
            <v>8.4000000000000909</v>
          </cell>
          <cell r="EC30">
            <v>861457</v>
          </cell>
          <cell r="ED30">
            <v>611</v>
          </cell>
          <cell r="EG30">
            <v>173620.9</v>
          </cell>
          <cell r="EH30">
            <v>141.39999999999418</v>
          </cell>
          <cell r="EJ30">
            <v>10355100</v>
          </cell>
          <cell r="EK30">
            <v>4500</v>
          </cell>
          <cell r="EL30">
            <v>822120</v>
          </cell>
          <cell r="EM30">
            <v>270</v>
          </cell>
          <cell r="EN30">
            <v>6377900</v>
          </cell>
          <cell r="EO30">
            <v>1900</v>
          </cell>
          <cell r="EP30">
            <v>2241600</v>
          </cell>
          <cell r="EQ30">
            <v>700</v>
          </cell>
          <cell r="ER30">
            <v>982970</v>
          </cell>
          <cell r="ES30">
            <v>880</v>
          </cell>
          <cell r="ET30">
            <v>14248200</v>
          </cell>
          <cell r="EU30">
            <v>3400</v>
          </cell>
          <cell r="EW30">
            <v>37253</v>
          </cell>
          <cell r="EX30">
            <v>16</v>
          </cell>
          <cell r="EY30">
            <v>32195</v>
          </cell>
          <cell r="EZ30">
            <v>13</v>
          </cell>
          <cell r="FA30">
            <v>3363</v>
          </cell>
          <cell r="FB30">
            <v>13</v>
          </cell>
          <cell r="FC30">
            <v>53817</v>
          </cell>
          <cell r="FD30">
            <v>17</v>
          </cell>
          <cell r="FE30">
            <v>37198</v>
          </cell>
          <cell r="FF30">
            <v>28</v>
          </cell>
        </row>
        <row r="31">
          <cell r="F31">
            <v>-908352</v>
          </cell>
          <cell r="G31">
            <v>653</v>
          </cell>
          <cell r="I31">
            <v>-81980</v>
          </cell>
          <cell r="J31">
            <v>376</v>
          </cell>
          <cell r="L31">
            <v>-164625</v>
          </cell>
          <cell r="O31">
            <v>-815201</v>
          </cell>
          <cell r="R31">
            <v>-186713</v>
          </cell>
          <cell r="T31">
            <v>-51035.66</v>
          </cell>
          <cell r="U31">
            <v>61</v>
          </cell>
          <cell r="W31">
            <v>-3628</v>
          </cell>
          <cell r="AD31">
            <v>-7136115.8399999999</v>
          </cell>
          <cell r="AG31">
            <v>-13666203.6</v>
          </cell>
          <cell r="AJ31">
            <v>-13620260.640000001</v>
          </cell>
          <cell r="AM31">
            <v>-16668378.719999999</v>
          </cell>
          <cell r="AP31">
            <v>-16958019.119999997</v>
          </cell>
          <cell r="AS31">
            <v>-15380124.48</v>
          </cell>
          <cell r="AV31">
            <v>-13092282</v>
          </cell>
          <cell r="AY31">
            <v>-12589053.119999999</v>
          </cell>
          <cell r="BB31">
            <v>-10031983.92</v>
          </cell>
          <cell r="BE31">
            <v>-15560291.039999999</v>
          </cell>
          <cell r="BL31">
            <v>-67571500</v>
          </cell>
          <cell r="BO31">
            <v>-70331500</v>
          </cell>
          <cell r="BR31">
            <v>-64448900</v>
          </cell>
          <cell r="BU31">
            <v>-7580540</v>
          </cell>
          <cell r="BX31">
            <v>0.6</v>
          </cell>
          <cell r="CA31">
            <v>-56713</v>
          </cell>
          <cell r="CC31">
            <v>-48224</v>
          </cell>
          <cell r="CE31">
            <v>-16619</v>
          </cell>
          <cell r="CG31">
            <v>-21856</v>
          </cell>
          <cell r="CI31">
            <v>-23815</v>
          </cell>
          <cell r="CK31">
            <v>-52925</v>
          </cell>
          <cell r="CM31">
            <v>-232389</v>
          </cell>
          <cell r="CP31">
            <v>-178067</v>
          </cell>
          <cell r="CS31">
            <v>-313921</v>
          </cell>
          <cell r="CV31">
            <v>-615826</v>
          </cell>
          <cell r="CY31">
            <v>-6224</v>
          </cell>
          <cell r="DA31">
            <v>-3750</v>
          </cell>
          <cell r="DC31">
            <v>-26483</v>
          </cell>
          <cell r="DE31">
            <v>-27234</v>
          </cell>
          <cell r="DG31">
            <v>-18484</v>
          </cell>
          <cell r="DI31">
            <v>-21591</v>
          </cell>
          <cell r="DK31">
            <v>-3111</v>
          </cell>
          <cell r="DM31">
            <v>-6451</v>
          </cell>
          <cell r="DO31">
            <v>-1720</v>
          </cell>
          <cell r="DQ31">
            <v>-3446</v>
          </cell>
          <cell r="DS31">
            <v>-26204</v>
          </cell>
          <cell r="DV31">
            <v>-2951.2</v>
          </cell>
          <cell r="DX31">
            <v>-8086.4</v>
          </cell>
          <cell r="DZ31">
            <v>-2228.6</v>
          </cell>
          <cell r="EB31">
            <v>-2327.9</v>
          </cell>
          <cell r="ED31">
            <v>-861457</v>
          </cell>
          <cell r="EH31">
            <v>-173620.9</v>
          </cell>
          <cell r="EK31">
            <v>-10355100</v>
          </cell>
          <cell r="EM31">
            <v>-822120</v>
          </cell>
          <cell r="EO31">
            <v>-6377900</v>
          </cell>
          <cell r="EQ31">
            <v>-2241600</v>
          </cell>
          <cell r="ES31">
            <v>-982970</v>
          </cell>
          <cell r="EU31">
            <v>-14248200</v>
          </cell>
          <cell r="EX31">
            <v>-37253</v>
          </cell>
          <cell r="EZ31">
            <v>-32195</v>
          </cell>
          <cell r="FB31">
            <v>-3363</v>
          </cell>
          <cell r="FD31">
            <v>-53817</v>
          </cell>
          <cell r="FF31">
            <v>-37198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-26204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1.98/0.52</f>
        <v>3.8076923076923075</v>
      </c>
      <c r="I2" s="3">
        <f>Submetering!G2</f>
        <v>722</v>
      </c>
      <c r="J2">
        <v>13.83</v>
      </c>
      <c r="K2" s="3">
        <f>Submetering!I2</f>
        <v>292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0.44447999999999999</v>
      </c>
      <c r="G3" s="3">
        <f>Submetering!Z3+Submetering!AA3+Submetering!AB3</f>
        <v>584.01</v>
      </c>
      <c r="H3" s="238">
        <f t="shared" ref="H3:H31" si="0">1.98/0.52</f>
        <v>3.8076923076923075</v>
      </c>
      <c r="I3" s="3">
        <f>Submetering!G3</f>
        <v>461</v>
      </c>
      <c r="J3">
        <v>13.83</v>
      </c>
      <c r="K3" s="3">
        <f>Submetering!I3</f>
        <v>264</v>
      </c>
      <c r="L3">
        <v>1.2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0.44447999999999999</v>
      </c>
      <c r="G4" s="3">
        <f>Submetering!Z4+Submetering!AA4+Submetering!AB4</f>
        <v>687.96</v>
      </c>
      <c r="H4" s="238">
        <f t="shared" si="0"/>
        <v>3.8076923076923075</v>
      </c>
      <c r="I4" s="3">
        <f>Submetering!G4</f>
        <v>622</v>
      </c>
      <c r="J4">
        <v>13.83</v>
      </c>
      <c r="K4" s="3">
        <f>Submetering!I4</f>
        <v>255</v>
      </c>
      <c r="L4">
        <v>1.2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0.44447999999999999</v>
      </c>
      <c r="G5" s="3">
        <f>Submetering!Z5+Submetering!AA5+Submetering!AB5</f>
        <v>669.06</v>
      </c>
      <c r="H5" s="238">
        <f t="shared" si="0"/>
        <v>3.8076923076923075</v>
      </c>
      <c r="I5" s="3">
        <f>Submetering!G5</f>
        <v>689</v>
      </c>
      <c r="J5">
        <v>13.83</v>
      </c>
      <c r="K5" s="3">
        <f>Submetering!I5</f>
        <v>317</v>
      </c>
      <c r="L5">
        <v>1.2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0.44447999999999999</v>
      </c>
      <c r="G6" s="3">
        <f>Submetering!Z6+Submetering!AA6+Submetering!AB6</f>
        <v>859.95</v>
      </c>
      <c r="H6" s="238">
        <f t="shared" si="0"/>
        <v>3.8076923076923075</v>
      </c>
      <c r="I6" s="3">
        <f>Submetering!G6</f>
        <v>722</v>
      </c>
      <c r="J6">
        <v>13.83</v>
      </c>
      <c r="K6" s="3">
        <f>Submetering!I6</f>
        <v>155</v>
      </c>
      <c r="L6">
        <v>1.2</v>
      </c>
      <c r="M6" s="238">
        <f>Submetering!E6</f>
        <v>222.78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0.44447999999999999</v>
      </c>
      <c r="G7" s="3">
        <f>Submetering!Z7+Submetering!AA7+Submetering!AB7</f>
        <v>740.87999999999988</v>
      </c>
      <c r="H7" s="238">
        <f t="shared" si="0"/>
        <v>3.8076923076923075</v>
      </c>
      <c r="I7" s="3">
        <f>Submetering!G7</f>
        <v>647</v>
      </c>
      <c r="J7">
        <v>13.83</v>
      </c>
      <c r="K7" s="3">
        <f>Submetering!I7</f>
        <v>151</v>
      </c>
      <c r="L7">
        <v>1.2</v>
      </c>
      <c r="M7" s="238">
        <f>Submetering!E7</f>
        <v>213.3</v>
      </c>
      <c r="N7">
        <f>Submetering!F7</f>
        <v>410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0.44447999999999999</v>
      </c>
      <c r="G8" s="3">
        <f>Submetering!Z8+Submetering!AA8+Submetering!AB8</f>
        <v>602.91</v>
      </c>
      <c r="H8" s="238">
        <f t="shared" si="0"/>
        <v>3.8076923076923075</v>
      </c>
      <c r="I8" s="3">
        <f>Submetering!G8</f>
        <v>637</v>
      </c>
      <c r="J8">
        <v>13.83</v>
      </c>
      <c r="K8" s="3">
        <f>Submetering!I8</f>
        <v>201</v>
      </c>
      <c r="L8">
        <v>1.2</v>
      </c>
      <c r="M8" s="238">
        <f>Submetering!E8</f>
        <v>189.60000000000002</v>
      </c>
      <c r="N8">
        <f>Submetering!F8</f>
        <v>323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0.44447999999999999</v>
      </c>
      <c r="G9" s="3">
        <f>Submetering!Z9+Submetering!AA9+Submetering!AB9</f>
        <v>829.70999999999992</v>
      </c>
      <c r="H9" s="238">
        <f t="shared" si="0"/>
        <v>3.8076923076923075</v>
      </c>
      <c r="I9" s="3">
        <f>Submetering!G9</f>
        <v>596</v>
      </c>
      <c r="J9">
        <v>13.83</v>
      </c>
      <c r="K9" s="3">
        <f>Submetering!I9</f>
        <v>171</v>
      </c>
      <c r="L9">
        <v>1.2</v>
      </c>
      <c r="M9" s="238">
        <f>Submetering!E9</f>
        <v>201.45</v>
      </c>
      <c r="N9">
        <f>Submetering!F9</f>
        <v>341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43214.639999995939</v>
      </c>
      <c r="F10">
        <v>0.44447999999999999</v>
      </c>
      <c r="G10" s="3">
        <f>Submetering!Z10+Submetering!AA10+Submetering!AB10</f>
        <v>945</v>
      </c>
      <c r="H10" s="238">
        <f t="shared" si="0"/>
        <v>3.8076923076923075</v>
      </c>
      <c r="I10" s="3">
        <f>Submetering!G10</f>
        <v>501</v>
      </c>
      <c r="J10">
        <v>13.83</v>
      </c>
      <c r="K10" s="3">
        <f>Submetering!I10</f>
        <v>118</v>
      </c>
      <c r="L10">
        <v>1.2</v>
      </c>
      <c r="M10" s="238">
        <f>Submetering!E10</f>
        <v>210.93</v>
      </c>
      <c r="N10">
        <f>Submetering!F10</f>
        <v>356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43555.679999998771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3.8076923076923075</v>
      </c>
      <c r="I11" s="3">
        <f>Submetering!G11</f>
        <v>760</v>
      </c>
      <c r="J11">
        <v>13.83</v>
      </c>
      <c r="K11" s="3">
        <f>Submetering!I11</f>
        <v>180</v>
      </c>
      <c r="L11">
        <v>1.2</v>
      </c>
      <c r="M11" s="238">
        <f>Submetering!E11</f>
        <v>196.56</v>
      </c>
      <c r="N11">
        <f>Submetering!F11</f>
        <v>365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41899.200000003912</v>
      </c>
      <c r="F12">
        <v>0.44447999999999999</v>
      </c>
      <c r="G12" s="3">
        <f>Submetering!Z12+Submetering!AA12+Submetering!AB12</f>
        <v>916.65</v>
      </c>
      <c r="H12" s="238">
        <f t="shared" si="0"/>
        <v>3.8076923076923075</v>
      </c>
      <c r="I12" s="3">
        <f>Submetering!G12</f>
        <v>731</v>
      </c>
      <c r="J12">
        <v>13.83</v>
      </c>
      <c r="K12" s="3">
        <f>Submetering!I12</f>
        <v>278</v>
      </c>
      <c r="L12">
        <v>1.2</v>
      </c>
      <c r="M12" s="238">
        <f>Submetering!E12</f>
        <v>203.82</v>
      </c>
      <c r="N12">
        <f>Submetering!F12</f>
        <v>361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945</v>
      </c>
      <c r="H13" s="238">
        <f t="shared" si="0"/>
        <v>3.8076923076923075</v>
      </c>
      <c r="I13" s="3">
        <f>Submetering!G13</f>
        <v>707</v>
      </c>
      <c r="J13">
        <v>13.83</v>
      </c>
      <c r="K13" s="3">
        <f>Submetering!I13</f>
        <v>122</v>
      </c>
      <c r="L13">
        <v>1.2</v>
      </c>
      <c r="M13" s="238">
        <f>Submetering!E13</f>
        <v>210.93</v>
      </c>
      <c r="N13">
        <f>Submetering!F13</f>
        <v>363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47209.679999999702</v>
      </c>
      <c r="F14">
        <v>0.44447999999999999</v>
      </c>
      <c r="G14" s="3">
        <f>Submetering!Z14+Submetering!AA14+Submetering!AB14</f>
        <v>907.19999999999993</v>
      </c>
      <c r="H14" s="238">
        <f t="shared" si="0"/>
        <v>3.8076923076923075</v>
      </c>
      <c r="I14" s="3">
        <f>Submetering!G14</f>
        <v>714</v>
      </c>
      <c r="J14">
        <v>13.83</v>
      </c>
      <c r="K14" s="3">
        <f>Submetering!I14</f>
        <v>319</v>
      </c>
      <c r="L14">
        <v>1.2</v>
      </c>
      <c r="M14" s="238">
        <f>Submetering!E14</f>
        <v>191.97</v>
      </c>
      <c r="N14">
        <f>Submetering!F14</f>
        <v>297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42727.439999999478</v>
      </c>
      <c r="F15">
        <v>0.44447999999999999</v>
      </c>
      <c r="G15" s="3">
        <f>Submetering!Z15+Submetering!AA15+Submetering!AB15</f>
        <v>818.36999999999989</v>
      </c>
      <c r="H15" s="238">
        <f t="shared" si="0"/>
        <v>3.8076923076923075</v>
      </c>
      <c r="I15" s="3">
        <f>Submetering!G15</f>
        <v>652</v>
      </c>
      <c r="J15">
        <v>13.83</v>
      </c>
      <c r="K15" s="3">
        <f>Submetering!I15</f>
        <v>237</v>
      </c>
      <c r="L15">
        <v>1.2</v>
      </c>
      <c r="M15" s="238">
        <f>Submetering!E15</f>
        <v>208.56</v>
      </c>
      <c r="N15">
        <f>Submetering!F15</f>
        <v>272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41704.320000002161</v>
      </c>
      <c r="F16">
        <v>0.44447999999999999</v>
      </c>
      <c r="G16" s="3">
        <f>Submetering!Z16+Submetering!AA16+Submetering!AB16</f>
        <v>869.4</v>
      </c>
      <c r="H16" s="238">
        <f t="shared" si="0"/>
        <v>3.8076923076923075</v>
      </c>
      <c r="I16" s="3">
        <f>Submetering!G16</f>
        <v>738</v>
      </c>
      <c r="J16">
        <v>13.83</v>
      </c>
      <c r="K16" s="3">
        <f>Submetering!I16</f>
        <v>246</v>
      </c>
      <c r="L16">
        <v>1.2</v>
      </c>
      <c r="M16" s="238">
        <f>Submetering!E16</f>
        <v>229.89</v>
      </c>
      <c r="N16">
        <f>Submetering!F16</f>
        <v>277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44286.479999992065</v>
      </c>
      <c r="F17">
        <v>0.44447999999999999</v>
      </c>
      <c r="G17" s="3">
        <f>Submetering!Z17+Submetering!AA17+Submetering!AB17</f>
        <v>903.41999999999985</v>
      </c>
      <c r="H17" s="238">
        <f t="shared" si="0"/>
        <v>3.8076923076923075</v>
      </c>
      <c r="I17" s="3">
        <f>Submetering!G17</f>
        <v>901</v>
      </c>
      <c r="J17">
        <v>13.83</v>
      </c>
      <c r="K17" s="3">
        <f>Submetering!I17</f>
        <v>249</v>
      </c>
      <c r="L17">
        <v>1.2</v>
      </c>
      <c r="M17" s="238">
        <f>Submetering!E17</f>
        <v>225.14999999999998</v>
      </c>
      <c r="N17">
        <f>Submetering!F17</f>
        <v>291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44042.879999999888</v>
      </c>
      <c r="F18">
        <v>0.44447999999999999</v>
      </c>
      <c r="G18" s="3">
        <f>Submetering!Z18+Submetering!AA18+Submetering!AB18</f>
        <v>865.62</v>
      </c>
      <c r="H18" s="238">
        <f t="shared" si="0"/>
        <v>3.8076923076923075</v>
      </c>
      <c r="I18" s="3">
        <f>Submetering!G18</f>
        <v>666</v>
      </c>
      <c r="J18">
        <v>13.83</v>
      </c>
      <c r="K18" s="3">
        <f>Submetering!I18</f>
        <v>215</v>
      </c>
      <c r="L18">
        <v>1.2</v>
      </c>
      <c r="M18" s="238">
        <f>Submetering!E18</f>
        <v>225.14999999999998</v>
      </c>
      <c r="N18">
        <f>Submetering!F18</f>
        <v>290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42727.440000008792</v>
      </c>
      <c r="F19">
        <v>0.44447999999999999</v>
      </c>
      <c r="G19" s="3">
        <f>Submetering!Z19+Submetering!AA19+Submetering!AB19</f>
        <v>712.53</v>
      </c>
      <c r="H19" s="238">
        <f t="shared" si="0"/>
        <v>3.8076923076923075</v>
      </c>
      <c r="I19" s="3">
        <f>Submetering!G19</f>
        <v>679</v>
      </c>
      <c r="J19">
        <v>13.83</v>
      </c>
      <c r="K19" s="3">
        <f>Submetering!I19</f>
        <v>204</v>
      </c>
      <c r="L19">
        <v>1.2</v>
      </c>
      <c r="M19" s="238">
        <f>Submetering!E19</f>
        <v>225.14999999999998</v>
      </c>
      <c r="N19">
        <f>Submetering!F19</f>
        <v>319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42922.319999999367</v>
      </c>
      <c r="F20">
        <v>0.44447999999999999</v>
      </c>
      <c r="G20" s="3">
        <f>Submetering!Z20+Submetering!AA20+Submetering!AB20</f>
        <v>723.87</v>
      </c>
      <c r="H20" s="238">
        <f t="shared" si="0"/>
        <v>3.8076923076923075</v>
      </c>
      <c r="I20" s="3">
        <f>Submetering!G20</f>
        <v>714</v>
      </c>
      <c r="J20">
        <v>13.83</v>
      </c>
      <c r="K20" s="3">
        <f>Submetering!I20</f>
        <v>75</v>
      </c>
      <c r="L20">
        <v>1.2</v>
      </c>
      <c r="M20" s="238">
        <f>Submetering!E20</f>
        <v>189.60000000000002</v>
      </c>
      <c r="N20">
        <f>Submetering!F20</f>
        <v>359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44676.240000001155</v>
      </c>
      <c r="F21">
        <v>0.44447999999999999</v>
      </c>
      <c r="G21" s="3">
        <f>Submetering!Z21+Submetering!AA21+Submetering!AB21</f>
        <v>858.06</v>
      </c>
      <c r="H21" s="238">
        <f t="shared" si="0"/>
        <v>3.8076923076923075</v>
      </c>
      <c r="I21" s="3">
        <f>Submetering!G21</f>
        <v>590</v>
      </c>
      <c r="J21">
        <v>13.83</v>
      </c>
      <c r="K21" s="3">
        <f>Submetering!I21</f>
        <v>230</v>
      </c>
      <c r="L21">
        <v>1.2</v>
      </c>
      <c r="M21" s="238">
        <f>Submetering!E21</f>
        <v>201.45</v>
      </c>
      <c r="N21">
        <f>Submetering!F21</f>
        <v>359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41801.75999999512</v>
      </c>
      <c r="F22">
        <v>0.44447999999999999</v>
      </c>
      <c r="G22" s="3">
        <f>Submetering!Z22+Submetering!AA22+Submetering!AB22</f>
        <v>746.55</v>
      </c>
      <c r="H22" s="238">
        <f t="shared" si="0"/>
        <v>3.8076923076923075</v>
      </c>
      <c r="I22" s="3">
        <f>Submetering!G22</f>
        <v>1228</v>
      </c>
      <c r="J22">
        <v>13.83</v>
      </c>
      <c r="K22" s="3">
        <f>Submetering!I22</f>
        <v>93</v>
      </c>
      <c r="L22">
        <v>1.2</v>
      </c>
      <c r="M22" s="238">
        <f>Submetering!E22</f>
        <v>229.89</v>
      </c>
      <c r="N22">
        <f>Submetering!F22</f>
        <v>402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3.8076923076923075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379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3.8076923076923075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3.8076923076923075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3.8076923076923075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3.8076923076923075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3.8076923076923075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3.8076923076923075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3.8076923076923075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3.8076923076923075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I26" sqref="BI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Readings'!K10-'DJB Daily Readings'!K9</f>
        <v>292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Readings'!K11-'DJB Daily Readings'!K10</f>
        <v>264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Readings'!K12-'DJB Daily Readings'!K11</f>
        <v>255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Readings'!K13-'DJB Daily Readings'!K12</f>
        <v>317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Readings'!K15-'DJB Daily Readings'!K14</f>
        <v>151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Readings'!K16-'DJB Daily Readings'!K15</f>
        <v>201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Readings'!K17-'DJB Daily Readings'!K16</f>
        <v>171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>
        <f>237*0.89</f>
        <v>210.93</v>
      </c>
      <c r="F10" s="79">
        <f>330+26</f>
        <v>356</v>
      </c>
      <c r="G10" s="3">
        <f>'DJB Daily Readings'!C18-'DJB Daily Readings'!C17</f>
        <v>501</v>
      </c>
      <c r="H10" s="3">
        <f>'DJB Daily Readings'!F18-'DJB Daily Readings'!F17</f>
        <v>431</v>
      </c>
      <c r="I10" s="3">
        <f>'DJB Daily Readings'!K18-'DJB Daily Readings'!K17</f>
        <v>118</v>
      </c>
      <c r="J10" s="3">
        <f>'DJB Daily Readings'!K18-'DJB Daily Readings'!K17</f>
        <v>118</v>
      </c>
      <c r="K10" s="3">
        <f>'DJB Daily Readings'!O18-'DJB Daily Readings'!O17</f>
        <v>124.69000000000233</v>
      </c>
      <c r="L10" s="3">
        <f>'DJB Daily Readings'!R18-'DJB Daily Readings'!R17</f>
        <v>19</v>
      </c>
      <c r="M10" s="3">
        <f>'DJB Daily Readings'!U18-'DJB Daily Readings'!U17</f>
        <v>2289.8399999989197</v>
      </c>
      <c r="N10" s="3">
        <f>'DJB Daily Readings'!X18-'DJB Daily Readings'!X17</f>
        <v>4628.3999999985099</v>
      </c>
      <c r="O10" s="3">
        <f>'DJB Daily Readings'!AA18-'DJB Daily Readings'!AA17</f>
        <v>11644.080000001937</v>
      </c>
      <c r="P10" s="3">
        <f>'DJB Daily Readings'!AD18-'DJB Daily Readings'!AD17</f>
        <v>1023.1199999991804</v>
      </c>
      <c r="Q10" s="3">
        <f>'DJB Daily Readings'!AG18-'DJB Daily Readings'!AG17</f>
        <v>633.35999999940395</v>
      </c>
      <c r="R10" s="3">
        <f>'DJB Daily Readings'!AJ18-'DJB Daily Readings'!AJ17</f>
        <v>5602.8000000007451</v>
      </c>
      <c r="S10" s="3">
        <f>'DJB Daily Readings'!AM18-'DJB Daily Readings'!AM17</f>
        <v>4384.7999999988824</v>
      </c>
      <c r="T10" s="3">
        <f>'DJB Daily Readings'!AP18-'DJB Daily Readings'!AP17</f>
        <v>4189.9199999999255</v>
      </c>
      <c r="U10" s="3">
        <f>'DJB Daily Readings'!AS18-'DJB Daily Readings'!AS17</f>
        <v>3069.359999999404</v>
      </c>
      <c r="V10" s="3">
        <f>'DJB Daily Readings'!AV18-'DJB Daily Readings'!AV17</f>
        <v>5748.9599999990314</v>
      </c>
      <c r="W10" s="3">
        <f>'DJB Daily Readings'!AZ18-'DJB Daily Readings'!AZ17</f>
        <v>66600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206.01</v>
      </c>
      <c r="AA10" s="3">
        <f>('DJB Daily Readings'!CN18-'DJB Daily Readings'!CN17)*1.89</f>
        <v>190.89</v>
      </c>
      <c r="AB10" s="3">
        <f>('DJB Daily Readings'!CQ18-'DJB Daily Readings'!CQ17)*1.89</f>
        <v>548.1</v>
      </c>
      <c r="AC10" s="3">
        <f>'DJB Daily Readings'!CT18-'DJB Daily Readings'!CT17</f>
        <v>232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16</v>
      </c>
      <c r="AM10" s="82">
        <f>'DJB Daily Readings'!DA18-'DJB Daily Readings'!DA17</f>
        <v>16</v>
      </c>
      <c r="AN10" s="82">
        <f>'DJB Daily Readings'!DG18-'DJB Daily Readings'!DG17</f>
        <v>9</v>
      </c>
      <c r="AO10" s="82">
        <f>'DJB Daily Readings'!DE18-'DJB Daily Readings'!DE17</f>
        <v>8</v>
      </c>
      <c r="AP10" s="82">
        <f>'DJB Daily Readings'!DK18-'DJB Daily Readings'!DK17</f>
        <v>13</v>
      </c>
      <c r="AQ10" s="82">
        <f>'DJB Daily Readings'!DI18-'DJB Daily Readings'!DI17</f>
        <v>8</v>
      </c>
      <c r="AR10" s="82">
        <f>'DJB Daily Readings'!DO18-'DJB Daily Readings'!DO17</f>
        <v>8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8.0999999999999091</v>
      </c>
      <c r="AW10" s="82">
        <f>'DJB Daily Readings'!DX18-'DJB Daily Readings'!DX17</f>
        <v>7.4000000000000909</v>
      </c>
      <c r="AX10" s="82">
        <f>'DJB Daily Readings'!DZ18-'DJB Daily Readings'!DZ17</f>
        <v>8.8999999999996362</v>
      </c>
      <c r="AY10" s="82">
        <f>'DJB Daily Readings'!EB18-'DJB Daily Readings'!EB17</f>
        <v>620</v>
      </c>
      <c r="AZ10" s="82">
        <f>'DJB Daily Readings'!ED18-'DJB Daily Readings'!ED17</f>
        <v>154</v>
      </c>
      <c r="BA10" s="82">
        <f>'DJB Daily Readings'!EG18-'DJB Daily Readings'!EG17</f>
        <v>3300</v>
      </c>
      <c r="BB10" s="82">
        <f>'DJB Daily Readings'!EI18-'DJB Daily Readings'!EI17</f>
        <v>390</v>
      </c>
      <c r="BC10" s="82">
        <f>'DJB Daily Readings'!EQ18-'DJB Daily Readings'!EQ17</f>
        <v>4200</v>
      </c>
      <c r="BD10" s="82">
        <f>'DJB Daily Readings'!EK18-'DJB Daily Readings'!EK17</f>
        <v>2400</v>
      </c>
      <c r="BE10" s="82">
        <f>'DJB Daily Readings'!EM18-'DJB Daily Readings'!EM17</f>
        <v>500</v>
      </c>
      <c r="BF10" s="82">
        <f>'DJB Daily Readings'!EO18-'DJB Daily Readings'!EO17</f>
        <v>770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34.019999999999996</v>
      </c>
      <c r="BJ10" s="82">
        <f>('DJB Daily Readings'!EX18-'DJB Daily Readings'!EX17)*1.89</f>
        <v>22.68</v>
      </c>
      <c r="BK10" s="82">
        <f>('DJB Daily Readings'!FB18-'DJB Daily Readings'!FB17)*1.89</f>
        <v>66.149999999999991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>
        <f>234*0.84</f>
        <v>196.56</v>
      </c>
      <c r="F11" s="79">
        <f>343+22</f>
        <v>365</v>
      </c>
      <c r="G11" s="3">
        <f>'DJB Daily Readings'!C19-'DJB Daily Readings'!C18</f>
        <v>760</v>
      </c>
      <c r="H11" s="3">
        <f>'DJB Daily Readings'!F19-'DJB Daily Readings'!F18</f>
        <v>432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117.44999999999709</v>
      </c>
      <c r="L11" s="3">
        <f>'DJB Daily Readings'!R19-'DJB Daily Readings'!R18</f>
        <v>17</v>
      </c>
      <c r="M11" s="3">
        <f>'DJB Daily Readings'!U19-'DJB Daily Readings'!U18</f>
        <v>2289.8400000007823</v>
      </c>
      <c r="N11" s="3">
        <f>'DJB Daily Readings'!X19-'DJB Daily Readings'!X18</f>
        <v>4628.4000000003725</v>
      </c>
      <c r="O11" s="3">
        <f>'DJB Daily Readings'!AA19-'DJB Daily Readings'!AA18</f>
        <v>10718.39999999851</v>
      </c>
      <c r="P11" s="3">
        <f>'DJB Daily Readings'!AD19-'DJB Daily Readings'!AD18</f>
        <v>828.24000000208616</v>
      </c>
      <c r="Q11" s="3">
        <f>'DJB Daily Readings'!AG19-'DJB Daily Readings'!AG18</f>
        <v>633.35999999940395</v>
      </c>
      <c r="R11" s="3">
        <f>'DJB Daily Readings'!AJ19-'DJB Daily Readings'!AJ18</f>
        <v>5895.1199999991804</v>
      </c>
      <c r="S11" s="3">
        <f>'DJB Daily Readings'!AM19-'DJB Daily Readings'!AM18</f>
        <v>4774.5600000005215</v>
      </c>
      <c r="T11" s="3">
        <f>'DJB Daily Readings'!AP19-'DJB Daily Readings'!AP18</f>
        <v>4336.0800000000745</v>
      </c>
      <c r="U11" s="3">
        <f>'DJB Daily Readings'!AS19-'DJB Daily Readings'!AS18</f>
        <v>3702.7199999988079</v>
      </c>
      <c r="V11" s="3">
        <f>'DJB Daily Readings'!AV19-'DJB Daily Readings'!AV18</f>
        <v>5748.9599999990314</v>
      </c>
      <c r="W11" s="3">
        <f>'DJB Daily Readings'!AZ19-'DJB Daily Readings'!AZ18</f>
        <v>61500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198.45</v>
      </c>
      <c r="AA11" s="3">
        <f>('DJB Daily Readings'!CN19-'DJB Daily Readings'!CN18)*1.89</f>
        <v>187.10999999999999</v>
      </c>
      <c r="AB11" s="3">
        <f>('DJB Daily Readings'!CQ19-'DJB Daily Readings'!CQ18)*1.89</f>
        <v>412.02</v>
      </c>
      <c r="AC11" s="3">
        <f>'DJB Daily Readings'!CT19-'DJB Daily Readings'!CT18</f>
        <v>240</v>
      </c>
      <c r="AD11" s="84">
        <f>('DJB Daily Readings'!BY19-'DJB Daily Readings'!BY18)*1.89</f>
        <v>37.799999999999997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34.019999999999996</v>
      </c>
      <c r="AI11" s="84">
        <f>('DJB Daily Readings'!CI19-'DJB Daily Readings'!CI18)*1.89</f>
        <v>49.14</v>
      </c>
      <c r="AJ11" s="81">
        <f>'DJB Daily Readings'!CY19-'DJB Daily Readings'!CY18</f>
        <v>9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17</v>
      </c>
      <c r="AN11" s="82">
        <f>'DJB Daily Readings'!DG19-'DJB Daily Readings'!DG18</f>
        <v>9</v>
      </c>
      <c r="AO11" s="82">
        <f>'DJB Daily Readings'!DE19-'DJB Daily Readings'!DE18</f>
        <v>8</v>
      </c>
      <c r="AP11" s="82">
        <f>'DJB Daily Readings'!DK19-'DJB Daily Readings'!DK18</f>
        <v>8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5</v>
      </c>
      <c r="AT11" s="82">
        <f>'DJB Daily Readings'!DQ19-'DJB Daily Readings'!DQ18</f>
        <v>8</v>
      </c>
      <c r="AU11" s="82">
        <f>'DJB Daily Readings'!DT19-'DJB Daily Readings'!DT18</f>
        <v>8.2000000000002728</v>
      </c>
      <c r="AW11" s="82">
        <f>'DJB Daily Readings'!DX19-'DJB Daily Readings'!DX18</f>
        <v>7.1999999999998181</v>
      </c>
      <c r="AX11" s="82">
        <f>'DJB Daily Readings'!DZ19-'DJB Daily Readings'!DZ18</f>
        <v>8.9000000000000909</v>
      </c>
      <c r="AY11" s="82">
        <f>'DJB Daily Readings'!EB19-'DJB Daily Readings'!EB18</f>
        <v>618</v>
      </c>
      <c r="AZ11" s="82">
        <f>'DJB Daily Readings'!ED19-'DJB Daily Readings'!ED18</f>
        <v>155.89999999999418</v>
      </c>
      <c r="BA11" s="82">
        <f>'DJB Daily Readings'!EG19-'DJB Daily Readings'!EG18</f>
        <v>2900</v>
      </c>
      <c r="BB11" s="82">
        <f>'DJB Daily Readings'!EI19-'DJB Daily Readings'!EI18</f>
        <v>380</v>
      </c>
      <c r="BC11" s="82">
        <f>'DJB Daily Readings'!EQ19-'DJB Daily Readings'!EQ18</f>
        <v>3400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790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35.909999999999997</v>
      </c>
      <c r="BJ11" s="82">
        <f>('DJB Daily Readings'!EX19-'DJB Daily Readings'!EX18)*1.89</f>
        <v>24.57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>
        <f>237*0.86</f>
        <v>203.82</v>
      </c>
      <c r="F12" s="79">
        <f>339+22</f>
        <v>361</v>
      </c>
      <c r="G12" s="3">
        <f>'DJB Daily Readings'!C20-'DJB Daily Readings'!C19</f>
        <v>731</v>
      </c>
      <c r="H12" s="3">
        <f>'DJB Daily Readings'!F20-'DJB Daily Readings'!F19</f>
        <v>432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113.08999999999651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4530.9599999990314</v>
      </c>
      <c r="O12" s="3">
        <f>'DJB Daily Readings'!AA20-'DJB Daily Readings'!AA19</f>
        <v>10231.200000001118</v>
      </c>
      <c r="P12" s="3">
        <f>'DJB Daily Readings'!AD20-'DJB Daily Readings'!AD19</f>
        <v>876.95999999903142</v>
      </c>
      <c r="Q12" s="3">
        <f>'DJB Daily Readings'!AG20-'DJB Daily Readings'!AG19</f>
        <v>633.36000000312924</v>
      </c>
      <c r="R12" s="3">
        <f>'DJB Daily Readings'!AJ20-'DJB Daily Readings'!AJ19</f>
        <v>5846.4000000003725</v>
      </c>
      <c r="S12" s="3">
        <f>'DJB Daily Readings'!AM20-'DJB Daily Readings'!AM19</f>
        <v>4725.839999999851</v>
      </c>
      <c r="T12" s="3">
        <f>'DJB Daily Readings'!AP20-'DJB Daily Readings'!AP19</f>
        <v>4043.7599999997765</v>
      </c>
      <c r="U12" s="3">
        <f>'DJB Daily Readings'!AS20-'DJB Daily Readings'!AS19</f>
        <v>3069.3600000012666</v>
      </c>
      <c r="V12" s="3">
        <f>'DJB Daily Readings'!AV20-'DJB Daily Readings'!AV19</f>
        <v>5700.2400000002235</v>
      </c>
      <c r="W12" s="3">
        <f>'DJB Daily Readings'!AZ20-'DJB Daily Readings'!AZ19</f>
        <v>60100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192.78</v>
      </c>
      <c r="AA12" s="3">
        <f>('DJB Daily Readings'!CN20-'DJB Daily Readings'!CN19)*1.89</f>
        <v>189</v>
      </c>
      <c r="AB12" s="3">
        <f>('DJB Daily Readings'!CQ20-'DJB Daily Readings'!CQ19)*1.89</f>
        <v>534.87</v>
      </c>
      <c r="AC12" s="3">
        <f>'DJB Daily Readings'!CT20-'DJB Daily Readings'!CT19</f>
        <v>238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49.14</v>
      </c>
      <c r="AJ12" s="81">
        <f>'DJB Daily Readings'!CY20-'DJB Daily Readings'!CY19</f>
        <v>10</v>
      </c>
      <c r="AK12" s="81">
        <f>'DJB Daily Readings'!CW20-'DJB Daily Readings'!CW19</f>
        <v>9</v>
      </c>
      <c r="AL12" s="82">
        <f>'DJB Daily Readings'!DC20-'DJB Daily Readings'!DC19</f>
        <v>20</v>
      </c>
      <c r="AM12" s="82">
        <f>'DJB Daily Readings'!DA20-'DJB Daily Readings'!DA19</f>
        <v>18</v>
      </c>
      <c r="AN12" s="82">
        <f>'DJB Daily Readings'!DG20-'DJB Daily Readings'!DG19</f>
        <v>11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8</v>
      </c>
      <c r="AR12" s="82">
        <f>'DJB Daily Readings'!DO20-'DJB Daily Readings'!DO19</f>
        <v>8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8.5</v>
      </c>
      <c r="AW12" s="82">
        <f>'DJB Daily Readings'!DX20-'DJB Daily Readings'!DX19</f>
        <v>7.1999999999998181</v>
      </c>
      <c r="AX12" s="82">
        <f>'DJB Daily Readings'!DZ20-'DJB Daily Readings'!DZ19</f>
        <v>8.7000000000002728</v>
      </c>
      <c r="AY12" s="82">
        <f>'DJB Daily Readings'!EB20-'DJB Daily Readings'!EB19</f>
        <v>635</v>
      </c>
      <c r="AZ12" s="82">
        <f>'DJB Daily Readings'!ED20-'DJB Daily Readings'!ED19</f>
        <v>153.39999999999418</v>
      </c>
      <c r="BA12" s="82">
        <f>'DJB Daily Readings'!EG20-'DJB Daily Readings'!EG19</f>
        <v>2800</v>
      </c>
      <c r="BB12" s="82">
        <f>'DJB Daily Readings'!EI20-'DJB Daily Readings'!EI19</f>
        <v>370</v>
      </c>
      <c r="BC12" s="82">
        <f>'DJB Daily Readings'!EQ20-'DJB Daily Readings'!EQ19</f>
        <v>2900</v>
      </c>
      <c r="BD12" s="82">
        <f>'DJB Daily Readings'!EK20-'DJB Daily Readings'!EK19</f>
        <v>1700</v>
      </c>
      <c r="BE12" s="82">
        <f>'DJB Daily Readings'!EM20-'DJB Daily Readings'!EM19</f>
        <v>500</v>
      </c>
      <c r="BF12" s="82">
        <f>'DJB Daily Readings'!EO20-'DJB Daily Readings'!EO19</f>
        <v>780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35.909999999999997</v>
      </c>
      <c r="BJ12" s="82">
        <f>('DJB Daily Readings'!EX20-'DJB Daily Readings'!EX19)*1.89</f>
        <v>24.57</v>
      </c>
      <c r="BK12" s="82">
        <f>('DJB Daily Readings'!FB20-'DJB Daily Readings'!FB19)*1.89</f>
        <v>66.149999999999991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>
        <f>237*0.89</f>
        <v>210.93</v>
      </c>
      <c r="F13" s="79">
        <f>344+19</f>
        <v>363</v>
      </c>
      <c r="G13" s="3">
        <f>'DJB Daily Readings'!C21-'DJB Daily Readings'!C20</f>
        <v>707</v>
      </c>
      <c r="H13" s="3">
        <f>'DJB Daily Readings'!F21-'DJB Daily Readings'!F20</f>
        <v>475</v>
      </c>
      <c r="I13" s="3">
        <f>'DJB Daily Readings'!K21-'DJB Daily Readings'!K20</f>
        <v>122</v>
      </c>
      <c r="J13" s="3">
        <f>'DJB Daily Readings'!K21-'DJB Daily Readings'!K20</f>
        <v>122</v>
      </c>
      <c r="K13" s="3">
        <f>'DJB Daily Readings'!O21-'DJB Daily Readings'!O20</f>
        <v>122.06999999999971</v>
      </c>
      <c r="L13" s="3">
        <f>'DJB Daily Readings'!R21-'DJB Daily Readings'!R20</f>
        <v>20</v>
      </c>
      <c r="M13" s="3">
        <f>'DJB Daily Readings'!U21-'DJB Daily Readings'!U20</f>
        <v>2338.5599999995902</v>
      </c>
      <c r="N13" s="3">
        <f>'DJB Daily Readings'!X21-'DJB Daily Readings'!X20</f>
        <v>4579.6800000015646</v>
      </c>
      <c r="O13" s="3">
        <f>'DJB Daily Readings'!AA21-'DJB Daily Readings'!AA20</f>
        <v>10620.959999999031</v>
      </c>
      <c r="P13" s="3">
        <f>'DJB Daily Readings'!AD21-'DJB Daily Readings'!AD20</f>
        <v>925.67999999970198</v>
      </c>
      <c r="Q13" s="3">
        <f>'DJB Daily Readings'!AG21-'DJB Daily Readings'!AG20</f>
        <v>682.07999999821186</v>
      </c>
      <c r="R13" s="3">
        <f>'DJB Daily Readings'!AJ21-'DJB Daily Readings'!AJ20</f>
        <v>5992.5600000005215</v>
      </c>
      <c r="S13" s="3">
        <f>'DJB Daily Readings'!AM21-'DJB Daily Readings'!AM20</f>
        <v>4774.5600000005215</v>
      </c>
      <c r="T13" s="3">
        <f>'DJB Daily Readings'!AP21-'DJB Daily Readings'!AP20</f>
        <v>4336.0800000000745</v>
      </c>
      <c r="U13" s="3">
        <f>'DJB Daily Readings'!AS21-'DJB Daily Readings'!AS20</f>
        <v>3361.679999999702</v>
      </c>
      <c r="V13" s="3">
        <f>'DJB Daily Readings'!AV21-'DJB Daily Readings'!AV20</f>
        <v>5992.5600000005215</v>
      </c>
      <c r="W13" s="3">
        <f>'DJB Daily Readings'!AZ21-'DJB Daily Readings'!AZ20</f>
        <v>61300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198.45</v>
      </c>
      <c r="AA13" s="3">
        <f>('DJB Daily Readings'!CN21-'DJB Daily Readings'!CN20)*1.89</f>
        <v>198.45</v>
      </c>
      <c r="AB13" s="3">
        <f>('DJB Daily Readings'!CQ21-'DJB Daily Readings'!CQ20)*1.89</f>
        <v>548.1</v>
      </c>
      <c r="AC13" s="3">
        <f>'DJB Daily Readings'!CT21-'DJB Daily Readings'!CT20</f>
        <v>247</v>
      </c>
      <c r="AD13" s="84">
        <f>('DJB Daily Readings'!BY21-'DJB Daily Readings'!BY20)*1.89</f>
        <v>37.799999999999997</v>
      </c>
      <c r="AE13" s="84">
        <f>('DJB Daily Readings'!CA21-'DJB Daily Readings'!CA20)*1.89</f>
        <v>39.69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34.019999999999996</v>
      </c>
      <c r="AI13" s="84">
        <f>('DJB Daily Readings'!CI21-'DJB Daily Readings'!CI20)*1.89</f>
        <v>51.029999999999994</v>
      </c>
      <c r="AJ13" s="81">
        <f>'DJB Daily Readings'!CY21-'DJB Daily Readings'!CY20</f>
        <v>11</v>
      </c>
      <c r="AK13" s="81">
        <f>'DJB Daily Readings'!CW21-'DJB Daily Readings'!CW20</f>
        <v>12</v>
      </c>
      <c r="AL13" s="82">
        <f>'DJB Daily Readings'!DC21-'DJB Daily Readings'!DC20</f>
        <v>21</v>
      </c>
      <c r="AM13" s="82">
        <f>'DJB Daily Readings'!DA21-'DJB Daily Readings'!DA20</f>
        <v>21</v>
      </c>
      <c r="AN13" s="82">
        <f>'DJB Daily Readings'!DG21-'DJB Daily Readings'!DG20</f>
        <v>9</v>
      </c>
      <c r="AO13" s="82">
        <f>'DJB Daily Readings'!DE21-'DJB Daily Readings'!DE20</f>
        <v>8</v>
      </c>
      <c r="AP13" s="82">
        <f>'DJB Daily Readings'!DK21-'DJB Daily Readings'!DK20</f>
        <v>16</v>
      </c>
      <c r="AQ13" s="82">
        <f>'DJB Daily Readings'!DI21-'DJB Daily Readings'!DI20</f>
        <v>12</v>
      </c>
      <c r="AR13" s="82">
        <f>'DJB Daily Readings'!DO21-'DJB Daily Readings'!DO20</f>
        <v>9</v>
      </c>
      <c r="AS13" s="82">
        <f>'DJB Daily Readings'!DM21-'DJB Daily Readings'!DM20</f>
        <v>5</v>
      </c>
      <c r="AT13" s="82">
        <f>'DJB Daily Readings'!DQ21-'DJB Daily Readings'!DQ20</f>
        <v>6</v>
      </c>
      <c r="AU13" s="82">
        <f>'DJB Daily Readings'!DT21-'DJB Daily Readings'!DT20</f>
        <v>8.7999999999997272</v>
      </c>
      <c r="AW13" s="82">
        <f>'DJB Daily Readings'!DX21-'DJB Daily Readings'!DX20</f>
        <v>7.4000000000000909</v>
      </c>
      <c r="AX13" s="82">
        <f>'DJB Daily Readings'!DZ21-'DJB Daily Readings'!DZ20</f>
        <v>9.2999999999997272</v>
      </c>
      <c r="AY13" s="82">
        <f>'DJB Daily Readings'!EB21-'DJB Daily Readings'!EB20</f>
        <v>699</v>
      </c>
      <c r="AZ13" s="82">
        <f>'DJB Daily Readings'!ED21-'DJB Daily Readings'!ED20</f>
        <v>155.30000000001746</v>
      </c>
      <c r="BA13" s="82">
        <f>'DJB Daily Readings'!EG21-'DJB Daily Readings'!EG20</f>
        <v>3200</v>
      </c>
      <c r="BB13" s="82">
        <f>'DJB Daily Readings'!EI21-'DJB Daily Readings'!EI20</f>
        <v>320</v>
      </c>
      <c r="BC13" s="82">
        <f>'DJB Daily Readings'!EQ21-'DJB Daily Readings'!EQ20</f>
        <v>3000</v>
      </c>
      <c r="BD13" s="82">
        <f>'DJB Daily Readings'!EK21-'DJB Daily Readings'!EK20</f>
        <v>1800</v>
      </c>
      <c r="BE13" s="82">
        <f>'DJB Daily Readings'!EM21-'DJB Daily Readings'!EM20</f>
        <v>500</v>
      </c>
      <c r="BF13" s="82">
        <f>'DJB Daily Readings'!EO21-'DJB Daily Readings'!EO20</f>
        <v>810</v>
      </c>
      <c r="BG13" s="82">
        <f>('DJB Daily Readings'!ET21-'DJB Daily Readings'!ET20)*1.89</f>
        <v>32.129999999999995</v>
      </c>
      <c r="BH13" s="82">
        <f>('DJB Daily Readings'!EV21-'DJB Daily Readings'!EV20)*1.89</f>
        <v>28.349999999999998</v>
      </c>
      <c r="BI13" s="82">
        <f>('DJB Daily Readings'!EZ21-'DJB Daily Readings'!EZ20)*1.89</f>
        <v>34.019999999999996</v>
      </c>
      <c r="BJ13" s="82">
        <f>('DJB Daily Readings'!EX21-'DJB Daily Readings'!EX20)*1.89</f>
        <v>32.129999999999995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>
        <f>237*0.81</f>
        <v>191.97</v>
      </c>
      <c r="F14" s="79">
        <f>283+14</f>
        <v>297</v>
      </c>
      <c r="G14" s="3">
        <f>'DJB Daily Readings'!C22-'DJB Daily Readings'!C21</f>
        <v>714</v>
      </c>
      <c r="H14" s="3">
        <f>'DJB Daily Readings'!F22-'DJB Daily Readings'!F21</f>
        <v>444</v>
      </c>
      <c r="I14" s="3">
        <f>'DJB Daily Readings'!K22-'DJB Daily Readings'!K21</f>
        <v>319</v>
      </c>
      <c r="J14" s="3">
        <f>'DJB Daily Readings'!K22-'DJB Daily Readings'!K21</f>
        <v>319</v>
      </c>
      <c r="K14" s="3">
        <f>'DJB Daily Readings'!O22-'DJB Daily Readings'!O21</f>
        <v>133.61000000000058</v>
      </c>
      <c r="L14" s="3">
        <f>'DJB Daily Readings'!R22-'DJB Daily Readings'!R21</f>
        <v>19</v>
      </c>
      <c r="M14" s="3">
        <f>'DJB Daily Readings'!U22-'DJB Daily Readings'!U21</f>
        <v>3020.640000000596</v>
      </c>
      <c r="N14" s="3">
        <f>'DJB Daily Readings'!X22-'DJB Daily Readings'!X21</f>
        <v>4725.839999999851</v>
      </c>
      <c r="O14" s="3">
        <f>'DJB Daily Readings'!AA22-'DJB Daily Readings'!AA21</f>
        <v>974.40000000037253</v>
      </c>
      <c r="P14" s="3">
        <f>'DJB Daily Readings'!AD22-'DJB Daily Readings'!AD21</f>
        <v>13105.680000001565</v>
      </c>
      <c r="Q14" s="3">
        <f>'DJB Daily Readings'!AG22-'DJB Daily Readings'!AG21</f>
        <v>487.19999999925494</v>
      </c>
      <c r="R14" s="3">
        <f>'DJB Daily Readings'!AJ22-'DJB Daily Readings'!AJ21</f>
        <v>6090</v>
      </c>
      <c r="S14" s="3">
        <f>'DJB Daily Readings'!AM22-'DJB Daily Readings'!AM21</f>
        <v>4774.5599999986589</v>
      </c>
      <c r="T14" s="3">
        <f>'DJB Daily Readings'!AP22-'DJB Daily Readings'!AP21</f>
        <v>4238.6399999987334</v>
      </c>
      <c r="U14" s="3">
        <f>'DJB Daily Readings'!AS22-'DJB Daily Readings'!AS21</f>
        <v>3605.2800000011921</v>
      </c>
      <c r="V14" s="3">
        <f>'DJB Daily Readings'!AV22-'DJB Daily Readings'!AV21</f>
        <v>6187.4399999994785</v>
      </c>
      <c r="W14" s="3">
        <f>'DJB Daily Readings'!AZ22-'DJB Daily Readings'!AZ21</f>
        <v>2500</v>
      </c>
      <c r="X14" s="3">
        <f>'DJB Daily Readings'!BC22-'DJB Daily Readings'!BC21</f>
        <v>67800</v>
      </c>
      <c r="Y14" s="3">
        <f>'DJB Daily Readings'!BF22-'DJB Daily Readings'!BF21</f>
        <v>0</v>
      </c>
      <c r="Z14" s="3">
        <f>('DJB Daily Readings'!CK22-'DJB Daily Readings'!CK21)*1.89</f>
        <v>206.01</v>
      </c>
      <c r="AA14" s="3">
        <f>('DJB Daily Readings'!CN22-'DJB Daily Readings'!CN21)*1.89</f>
        <v>192.78</v>
      </c>
      <c r="AB14" s="3">
        <f>('DJB Daily Readings'!CQ22-'DJB Daily Readings'!CQ21)*1.89</f>
        <v>508.40999999999997</v>
      </c>
      <c r="AC14" s="3">
        <f>'DJB Daily Readings'!CT22-'DJB Daily Readings'!CT21</f>
        <v>254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49.14</v>
      </c>
      <c r="AJ14" s="81">
        <f>'DJB Daily Readings'!CY22-'DJB Daily Readings'!CY21</f>
        <v>10</v>
      </c>
      <c r="AK14" s="81">
        <f>'DJB Daily Readings'!CW22-'DJB Daily Readings'!CW21</f>
        <v>10</v>
      </c>
      <c r="AL14" s="82">
        <f>'DJB Daily Readings'!DC22-'DJB Daily Readings'!DC21</f>
        <v>18</v>
      </c>
      <c r="AM14" s="82">
        <f>'DJB Daily Readings'!DA22-'DJB Daily Readings'!DA21</f>
        <v>16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10</v>
      </c>
      <c r="AR14" s="82">
        <f>'DJB Daily Readings'!DO22-'DJB Daily Readings'!DO21</f>
        <v>10</v>
      </c>
      <c r="AS14" s="82">
        <f>'DJB Daily Readings'!DM22-'DJB Daily Readings'!DM21</f>
        <v>5</v>
      </c>
      <c r="AT14" s="82">
        <f>'DJB Daily Readings'!DQ22-'DJB Daily Readings'!DQ21</f>
        <v>7</v>
      </c>
      <c r="AU14" s="82">
        <f>'DJB Daily Readings'!DT22-'DJB Daily Readings'!DT21</f>
        <v>8.7000000000002728</v>
      </c>
      <c r="AW14" s="82">
        <f>'DJB Daily Readings'!DX22-'DJB Daily Readings'!DX21</f>
        <v>7.2000000000002728</v>
      </c>
      <c r="AX14" s="82">
        <f>'DJB Daily Readings'!DZ22-'DJB Daily Readings'!DZ21</f>
        <v>9.3000000000001819</v>
      </c>
      <c r="AY14" s="82">
        <f>'DJB Daily Readings'!EB22-'DJB Daily Readings'!EB21</f>
        <v>676</v>
      </c>
      <c r="AZ14" s="82">
        <f>'DJB Daily Readings'!ED22-'DJB Daily Readings'!ED21</f>
        <v>152.59999999997672</v>
      </c>
      <c r="BA14" s="82">
        <f>'DJB Daily Readings'!EG22-'DJB Daily Readings'!EG21</f>
        <v>3700</v>
      </c>
      <c r="BB14" s="82">
        <f>'DJB Daily Readings'!EI22-'DJB Daily Readings'!EI21</f>
        <v>300</v>
      </c>
      <c r="BC14" s="82">
        <f>'DJB Daily Readings'!EQ22-'DJB Daily Readings'!EQ21</f>
        <v>3800</v>
      </c>
      <c r="BD14" s="82">
        <f>'DJB Daily Readings'!EK22-'DJB Daily Readings'!EK21</f>
        <v>2000</v>
      </c>
      <c r="BE14" s="82">
        <f>'DJB Daily Readings'!EM22-'DJB Daily Readings'!EM21</f>
        <v>500</v>
      </c>
      <c r="BF14" s="82">
        <f>'DJB Daily Readings'!EO22-'DJB Daily Readings'!EO21</f>
        <v>770</v>
      </c>
      <c r="BG14" s="82">
        <f>('DJB Daily Readings'!ET22-'DJB Daily Readings'!ET21)*1.89</f>
        <v>34.019999999999996</v>
      </c>
      <c r="BH14" s="82">
        <f>('DJB Daily Readings'!EV22-'DJB Daily Readings'!EV21)*1.89</f>
        <v>26.459999999999997</v>
      </c>
      <c r="BI14" s="82">
        <f>('DJB Daily Readings'!EZ22-'DJB Daily Readings'!EZ21)*1.89</f>
        <v>35.909999999999997</v>
      </c>
      <c r="BJ14" s="82">
        <f>('DJB Daily Readings'!EX22-'DJB Daily Readings'!EX21)*1.89</f>
        <v>32.129999999999995</v>
      </c>
      <c r="BK14" s="82">
        <f>('DJB Daily Readings'!FB22-'DJB Daily Readings'!FB21)*1.89</f>
        <v>62.37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>
        <f>237*0.88</f>
        <v>208.56</v>
      </c>
      <c r="F15" s="79">
        <f>263+9</f>
        <v>272</v>
      </c>
      <c r="G15" s="3">
        <f>'DJB Daily Readings'!C23-'DJB Daily Readings'!C22</f>
        <v>652</v>
      </c>
      <c r="H15" s="3">
        <f>'DJB Daily Readings'!F23-'DJB Daily Readings'!F22</f>
        <v>404</v>
      </c>
      <c r="I15" s="3">
        <f>'DJB Daily Readings'!K23-'DJB Daily Readings'!K22</f>
        <v>237</v>
      </c>
      <c r="J15" s="3">
        <f>'DJB Daily Readings'!K23-'DJB Daily Readings'!K22</f>
        <v>237</v>
      </c>
      <c r="K15" s="3">
        <f>'DJB Daily Readings'!O23-'DJB Daily Readings'!O22</f>
        <v>128.52000000000407</v>
      </c>
      <c r="L15" s="3">
        <f>'DJB Daily Readings'!R23-'DJB Daily Readings'!R22</f>
        <v>22</v>
      </c>
      <c r="M15" s="3">
        <f>'DJB Daily Readings'!U23-'DJB Daily Readings'!U22</f>
        <v>2728.320000000298</v>
      </c>
      <c r="N15" s="3">
        <f>'DJB Daily Readings'!X23-'DJB Daily Readings'!X22</f>
        <v>4628.4000000003725</v>
      </c>
      <c r="O15" s="3">
        <f>'DJB Daily Readings'!AA23-'DJB Daily Readings'!AA22</f>
        <v>876.95999999903142</v>
      </c>
      <c r="P15" s="3">
        <f>'DJB Daily Readings'!AD23-'DJB Daily Readings'!AD22</f>
        <v>11108.160000000149</v>
      </c>
      <c r="Q15" s="3">
        <f>'DJB Daily Readings'!AG23-'DJB Daily Readings'!AG22</f>
        <v>292.32000000029802</v>
      </c>
      <c r="R15" s="3">
        <f>'DJB Daily Readings'!AJ23-'DJB Daily Readings'!AJ22</f>
        <v>5456.6399999987334</v>
      </c>
      <c r="S15" s="3">
        <f>'DJB Daily Readings'!AM23-'DJB Daily Readings'!AM22</f>
        <v>4482.2400000002235</v>
      </c>
      <c r="T15" s="3">
        <f>'DJB Daily Readings'!AP23-'DJB Daily Readings'!AP22</f>
        <v>3946.3200000021607</v>
      </c>
      <c r="U15" s="3">
        <f>'DJB Daily Readings'!AS23-'DJB Daily Readings'!AS22</f>
        <v>3507.8399999979883</v>
      </c>
      <c r="V15" s="3">
        <f>'DJB Daily Readings'!AV23-'DJB Daily Readings'!AV22</f>
        <v>5700.2400000002235</v>
      </c>
      <c r="W15" s="3">
        <f>'DJB Daily Readings'!AZ23-'DJB Daily Readings'!AZ22</f>
        <v>0</v>
      </c>
      <c r="X15" s="3">
        <f>'DJB Daily Readings'!BC23-'DJB Daily Readings'!BC22</f>
        <v>66700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434.7</v>
      </c>
      <c r="AC15" s="3">
        <f>'DJB Daily Readings'!CT23-'DJB Daily Readings'!CT22</f>
        <v>234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15.12</v>
      </c>
      <c r="AH15" s="84">
        <f>('DJB Daily Readings'!CG23-'DJB Daily Readings'!CG22)*1.89</f>
        <v>32.129999999999995</v>
      </c>
      <c r="AI15" s="84">
        <f>('DJB Daily Readings'!CI23-'DJB Daily Readings'!CI22)*1.89</f>
        <v>47.25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18</v>
      </c>
      <c r="AM15" s="82">
        <f>'DJB Daily Readings'!DA23-'DJB Daily Readings'!DA22</f>
        <v>17</v>
      </c>
      <c r="AN15" s="82">
        <f>'DJB Daily Readings'!DG23-'DJB Daily Readings'!DG22</f>
        <v>9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9</v>
      </c>
      <c r="AR15" s="82">
        <f>'DJB Daily Readings'!DO23-'DJB Daily Readings'!DO22</f>
        <v>7</v>
      </c>
      <c r="AS15" s="82">
        <f>'DJB Daily Readings'!DM23-'DJB Daily Readings'!DM22</f>
        <v>4</v>
      </c>
      <c r="AT15" s="82">
        <f>'DJB Daily Readings'!DQ23-'DJB Daily Readings'!DQ22</f>
        <v>8</v>
      </c>
      <c r="AU15" s="82">
        <f>'DJB Daily Readings'!DT23-'DJB Daily Readings'!DT22</f>
        <v>8.9000000000000909</v>
      </c>
      <c r="AW15" s="82">
        <f>'DJB Daily Readings'!DX23-'DJB Daily Readings'!DX22</f>
        <v>7.2999999999997272</v>
      </c>
      <c r="AX15" s="82">
        <f>'DJB Daily Readings'!DZ23-'DJB Daily Readings'!DZ22</f>
        <v>9</v>
      </c>
      <c r="AY15" s="82">
        <f>'DJB Daily Readings'!EB23-'DJB Daily Readings'!EB22</f>
        <v>640</v>
      </c>
      <c r="AZ15" s="82">
        <f>'DJB Daily Readings'!ED23-'DJB Daily Readings'!ED22</f>
        <v>153.30000000001746</v>
      </c>
      <c r="BA15" s="82">
        <f>'DJB Daily Readings'!EG23-'DJB Daily Readings'!EG22</f>
        <v>4200</v>
      </c>
      <c r="BB15" s="82">
        <f>'DJB Daily Readings'!EI23-'DJB Daily Readings'!EI22</f>
        <v>330</v>
      </c>
      <c r="BC15" s="82">
        <f>'DJB Daily Readings'!EQ23-'DJB Daily Readings'!EQ22</f>
        <v>4200</v>
      </c>
      <c r="BD15" s="82">
        <f>'DJB Daily Readings'!EK23-'DJB Daily Readings'!EK22</f>
        <v>2200</v>
      </c>
      <c r="BE15" s="82">
        <f>'DJB Daily Readings'!EM23-'DJB Daily Readings'!EM22</f>
        <v>500</v>
      </c>
      <c r="BF15" s="82">
        <f>'DJB Daily Readings'!EO23-'DJB Daily Readings'!EO22</f>
        <v>820</v>
      </c>
      <c r="BG15" s="82">
        <f>('DJB Daily Readings'!ET23-'DJB Daily Readings'!ET22)*1.89</f>
        <v>32.129999999999995</v>
      </c>
      <c r="BH15" s="82">
        <f>('DJB Daily Readings'!EV23-'DJB Daily Readings'!EV22)*1.89</f>
        <v>22.68</v>
      </c>
      <c r="BI15" s="82">
        <f>('DJB Daily Readings'!EZ23-'DJB Daily Readings'!EZ22)*1.89</f>
        <v>34.019999999999996</v>
      </c>
      <c r="BJ15" s="82">
        <f>('DJB Daily Readings'!EX23-'DJB Daily Readings'!EX22)*1.89</f>
        <v>26.459999999999997</v>
      </c>
      <c r="BK15" s="82">
        <f>('DJB Daily Readings'!FB23-'DJB Daily Readings'!FB22)*1.89</f>
        <v>52.919999999999995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>
        <f>237*0.97</f>
        <v>229.89</v>
      </c>
      <c r="F16" s="79">
        <f>268+9</f>
        <v>277</v>
      </c>
      <c r="G16" s="3">
        <f>'DJB Daily Readings'!C24-'DJB Daily Readings'!C23</f>
        <v>738</v>
      </c>
      <c r="H16" s="3">
        <f>'DJB Daily Readings'!F24-'DJB Daily Readings'!F23</f>
        <v>364</v>
      </c>
      <c r="I16" s="3">
        <f>'DJB Daily Readings'!K24-'DJB Daily Readings'!K23</f>
        <v>246</v>
      </c>
      <c r="J16" s="3">
        <f>'DJB Daily Readings'!K24-'DJB Daily Readings'!K23</f>
        <v>246</v>
      </c>
      <c r="K16" s="3">
        <f>'DJB Daily Readings'!O24-'DJB Daily Readings'!O23</f>
        <v>114.72000000000116</v>
      </c>
      <c r="L16" s="3">
        <f>'DJB Daily Readings'!R24-'DJB Daily Readings'!R23</f>
        <v>16</v>
      </c>
      <c r="M16" s="3">
        <f>'DJB Daily Readings'!U24-'DJB Daily Readings'!U23</f>
        <v>2777.0399999991059</v>
      </c>
      <c r="N16" s="3">
        <f>'DJB Daily Readings'!X24-'DJB Daily Readings'!X23</f>
        <v>4530.9599999990314</v>
      </c>
      <c r="O16" s="3">
        <f>'DJB Daily Readings'!AA24-'DJB Daily Readings'!AA23</f>
        <v>828.24000000022352</v>
      </c>
      <c r="P16" s="3">
        <f>'DJB Daily Readings'!AD24-'DJB Daily Readings'!AD23</f>
        <v>10133.759999997914</v>
      </c>
      <c r="Q16" s="3">
        <f>'DJB Daily Readings'!AG24-'DJB Daily Readings'!AG23</f>
        <v>194.88000000268221</v>
      </c>
      <c r="R16" s="3">
        <f>'DJB Daily Readings'!AJ24-'DJB Daily Readings'!AJ23</f>
        <v>5602.8000000007451</v>
      </c>
      <c r="S16" s="3">
        <f>'DJB Daily Readings'!AM24-'DJB Daily Readings'!AM23</f>
        <v>4482.2400000002235</v>
      </c>
      <c r="T16" s="3">
        <f>'DJB Daily Readings'!AP24-'DJB Daily Readings'!AP23</f>
        <v>4141.1999999992549</v>
      </c>
      <c r="U16" s="3">
        <f>'DJB Daily Readings'!AS24-'DJB Daily Readings'!AS23</f>
        <v>3459.1200000010431</v>
      </c>
      <c r="V16" s="3">
        <f>'DJB Daily Readings'!AV24-'DJB Daily Readings'!AV23</f>
        <v>5554.0800000019372</v>
      </c>
      <c r="W16" s="3">
        <f>'DJB Daily Readings'!AZ24-'DJB Daily Readings'!AZ23</f>
        <v>0</v>
      </c>
      <c r="X16" s="3">
        <f>'DJB Daily Readings'!BC24-'DJB Daily Readings'!BC23</f>
        <v>58500</v>
      </c>
      <c r="Y16" s="3">
        <f>'DJB Daily Readings'!BF24-'DJB Daily Readings'!BF23</f>
        <v>0</v>
      </c>
      <c r="Z16" s="3">
        <f>('DJB Daily Readings'!CK24-'DJB Daily Readings'!CK23)*1.89</f>
        <v>196.56</v>
      </c>
      <c r="AA16" s="3">
        <f>('DJB Daily Readings'!CN24-'DJB Daily Readings'!CN23)*1.89</f>
        <v>190.89</v>
      </c>
      <c r="AB16" s="3">
        <f>('DJB Daily Readings'!CQ24-'DJB Daily Readings'!CQ23)*1.89</f>
        <v>481.95</v>
      </c>
      <c r="AC16" s="3">
        <f>'DJB Daily Readings'!CT24-'DJB Daily Readings'!CT23</f>
        <v>247</v>
      </c>
      <c r="AD16" s="84">
        <f>('DJB Daily Readings'!BY24-'DJB Daily Readings'!BY23)*1.89</f>
        <v>35.909999999999997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17.009999999999998</v>
      </c>
      <c r="AH16" s="84">
        <f>('DJB Daily Readings'!CG24-'DJB Daily Readings'!CG23)*1.89</f>
        <v>30.24</v>
      </c>
      <c r="AI16" s="84">
        <f>('DJB Daily Readings'!CI24-'DJB Daily Readings'!CI23)*1.89</f>
        <v>43.47</v>
      </c>
      <c r="AJ16" s="81">
        <f>'DJB Daily Readings'!CY24-'DJB Daily Readings'!CY23</f>
        <v>5</v>
      </c>
      <c r="AK16" s="81">
        <f>'DJB Daily Readings'!CW24-'DJB Daily Readings'!CW23</f>
        <v>5</v>
      </c>
      <c r="AL16" s="82">
        <f>'DJB Daily Readings'!DC24-'DJB Daily Readings'!DC23</f>
        <v>19</v>
      </c>
      <c r="AM16" s="82">
        <f>'DJB Daily Readings'!DA24-'DJB Daily Readings'!DA23</f>
        <v>13</v>
      </c>
      <c r="AN16" s="82">
        <f>'DJB Daily Readings'!DG24-'DJB Daily Readings'!DG23</f>
        <v>10</v>
      </c>
      <c r="AO16" s="82">
        <f>'DJB Daily Readings'!DE24-'DJB Daily Readings'!DE23</f>
        <v>9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9</v>
      </c>
      <c r="AS16" s="82">
        <f>'DJB Daily Readings'!DM24-'DJB Daily Readings'!DM23</f>
        <v>4</v>
      </c>
      <c r="AT16" s="82">
        <f>'DJB Daily Readings'!DQ24-'DJB Daily Readings'!DQ23</f>
        <v>6</v>
      </c>
      <c r="AU16" s="82">
        <f>'DJB Daily Readings'!DT24-'DJB Daily Readings'!DT23</f>
        <v>8.3999999999996362</v>
      </c>
      <c r="AW16" s="82">
        <f>'DJB Daily Readings'!DX24-'DJB Daily Readings'!DX23</f>
        <v>6.7000000000002728</v>
      </c>
      <c r="AX16" s="82">
        <f>'DJB Daily Readings'!DZ24-'DJB Daily Readings'!DZ23</f>
        <v>8.1999999999998181</v>
      </c>
      <c r="AY16" s="82">
        <f>'DJB Daily Readings'!EB24-'DJB Daily Readings'!EB23</f>
        <v>609</v>
      </c>
      <c r="AZ16" s="82">
        <f>'DJB Daily Readings'!ED24-'DJB Daily Readings'!ED23</f>
        <v>147.69999999998254</v>
      </c>
      <c r="BA16" s="82">
        <f>'DJB Daily Readings'!EG24-'DJB Daily Readings'!EG23</f>
        <v>3400</v>
      </c>
      <c r="BB16" s="82">
        <f>'DJB Daily Readings'!EI24-'DJB Daily Readings'!EI23</f>
        <v>200</v>
      </c>
      <c r="BC16" s="82">
        <f>'DJB Daily Readings'!EQ24-'DJB Daily Readings'!EQ23</f>
        <v>3300</v>
      </c>
      <c r="BD16" s="82">
        <f>'DJB Daily Readings'!EK24-'DJB Daily Readings'!EK23</f>
        <v>1800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30.24</v>
      </c>
      <c r="BH16" s="82">
        <f>('DJB Daily Readings'!EV24-'DJB Daily Readings'!EV23)*1.89</f>
        <v>26.459999999999997</v>
      </c>
      <c r="BI16" s="82">
        <f>('DJB Daily Readings'!EZ24-'DJB Daily Readings'!EZ23)*1.89</f>
        <v>32.129999999999995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 x14ac:dyDescent="0.25">
      <c r="A17" t="s">
        <v>59</v>
      </c>
      <c r="B17">
        <f t="shared" si="0"/>
        <v>16</v>
      </c>
      <c r="C17">
        <v>11</v>
      </c>
      <c r="D17">
        <v>2021</v>
      </c>
      <c r="E17" s="78">
        <f>0.95*237</f>
        <v>225.14999999999998</v>
      </c>
      <c r="F17" s="79">
        <f>281+10</f>
        <v>291</v>
      </c>
      <c r="G17" s="3">
        <f>'DJB Daily Readings'!C25-'DJB Daily Readings'!C24</f>
        <v>901</v>
      </c>
      <c r="H17" s="3">
        <f>'DJB Daily Readings'!F25-'DJB Daily Readings'!F24</f>
        <v>411</v>
      </c>
      <c r="I17" s="3">
        <f>'DJB Daily Readings'!K25-'DJB Daily Readings'!K24</f>
        <v>249</v>
      </c>
      <c r="J17" s="3">
        <f>'DJB Daily Readings'!K25-'DJB Daily Readings'!K24</f>
        <v>249</v>
      </c>
      <c r="K17" s="3">
        <f>'DJB Daily Readings'!O25-'DJB Daily Readings'!O24</f>
        <v>122.25999999999476</v>
      </c>
      <c r="L17" s="3">
        <f>'DJB Daily Readings'!R25-'DJB Daily Readings'!R24</f>
        <v>19</v>
      </c>
      <c r="M17" s="3">
        <f>'DJB Daily Readings'!U25-'DJB Daily Readings'!U24</f>
        <v>2874.4799999995157</v>
      </c>
      <c r="N17" s="3">
        <f>'DJB Daily Readings'!X25-'DJB Daily Readings'!X24</f>
        <v>4774.5600000005215</v>
      </c>
      <c r="O17" s="3">
        <f>'DJB Daily Readings'!AA25-'DJB Daily Readings'!AA24</f>
        <v>925.67999999970198</v>
      </c>
      <c r="P17" s="3">
        <f>'DJB Daily Readings'!AD25-'DJB Daily Readings'!AD24</f>
        <v>11351.760000001639</v>
      </c>
      <c r="Q17" s="3">
        <f>'DJB Daily Readings'!AG25-'DJB Daily Readings'!AG24</f>
        <v>341.03999999538064</v>
      </c>
      <c r="R17" s="3">
        <f>'DJB Daily Readings'!AJ25-'DJB Daily Readings'!AJ24</f>
        <v>5797.679999999702</v>
      </c>
      <c r="S17" s="3">
        <f>'DJB Daily Readings'!AM25-'DJB Daily Readings'!AM24</f>
        <v>4725.8399999979883</v>
      </c>
      <c r="T17" s="3">
        <f>'DJB Daily Readings'!AP25-'DJB Daily Readings'!AP24</f>
        <v>4336.0800000000745</v>
      </c>
      <c r="U17" s="3">
        <f>'DJB Daily Readings'!AS25-'DJB Daily Readings'!AS24</f>
        <v>3361.679999999702</v>
      </c>
      <c r="V17" s="3">
        <f>'DJB Daily Readings'!AV25-'DJB Daily Readings'!AV24</f>
        <v>5797.6799999978393</v>
      </c>
      <c r="W17" s="3">
        <f>'DJB Daily Readings'!AZ25-'DJB Daily Readings'!AZ24</f>
        <v>0</v>
      </c>
      <c r="X17" s="3">
        <f>'DJB Daily Readings'!BC25-'DJB Daily Readings'!BC24</f>
        <v>63500</v>
      </c>
      <c r="Y17" s="3">
        <f>'DJB Daily Readings'!BF25-'DJB Daily Readings'!BF24</f>
        <v>0</v>
      </c>
      <c r="Z17" s="3">
        <f>('DJB Daily Readings'!CK25-'DJB Daily Readings'!CK24)*1.89</f>
        <v>202.23</v>
      </c>
      <c r="AA17" s="3">
        <f>('DJB Daily Readings'!CN25-'DJB Daily Readings'!CN24)*1.89</f>
        <v>198.45</v>
      </c>
      <c r="AB17" s="3">
        <f>('DJB Daily Readings'!CQ25-'DJB Daily Readings'!CQ24)*1.89</f>
        <v>502.73999999999995</v>
      </c>
      <c r="AC17" s="3">
        <f>'DJB Daily Readings'!CT25-'DJB Daily Readings'!CT24</f>
        <v>249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17.009999999999998</v>
      </c>
      <c r="AH17" s="84">
        <f>('DJB Daily Readings'!CG25-'DJB Daily Readings'!CG24)*1.89</f>
        <v>30.24</v>
      </c>
      <c r="AI17" s="84">
        <f>('DJB Daily Readings'!CI25-'DJB Daily Readings'!CI24)*1.89</f>
        <v>45.36</v>
      </c>
      <c r="AJ17" s="81">
        <f>'DJB Daily Readings'!CY25-'DJB Daily Readings'!CY24</f>
        <v>7</v>
      </c>
      <c r="AK17" s="81">
        <f>'DJB Daily Readings'!CW25-'DJB Daily Readings'!CW24</f>
        <v>7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8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10</v>
      </c>
      <c r="AR17" s="82">
        <f>'DJB Daily Readings'!DO25-'DJB Daily Readings'!DO24</f>
        <v>8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8.9000000000000909</v>
      </c>
      <c r="AW17" s="82">
        <f>'DJB Daily Readings'!DX25-'DJB Daily Readings'!DX24</f>
        <v>6.7999999999997272</v>
      </c>
      <c r="AX17" s="82">
        <f>'DJB Daily Readings'!DZ25-'DJB Daily Readings'!DZ24</f>
        <v>8.8000000000001819</v>
      </c>
      <c r="AY17" s="82">
        <f>'DJB Daily Readings'!EB25-'DJB Daily Readings'!EB24</f>
        <v>633</v>
      </c>
      <c r="AZ17" s="82">
        <f>'DJB Daily Readings'!ED25-'DJB Daily Readings'!ED24</f>
        <v>157.60000000000582</v>
      </c>
      <c r="BA17" s="82">
        <f>'DJB Daily Readings'!EG25-'DJB Daily Readings'!EG24</f>
        <v>3500</v>
      </c>
      <c r="BB17" s="82">
        <f>'DJB Daily Readings'!EI25-'DJB Daily Readings'!EI24</f>
        <v>190</v>
      </c>
      <c r="BC17" s="82">
        <f>'DJB Daily Readings'!EQ25-'DJB Daily Readings'!EQ24</f>
        <v>3000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680</v>
      </c>
      <c r="BG17" s="82">
        <f>('DJB Daily Readings'!ET25-'DJB Daily Readings'!ET24)*1.89</f>
        <v>28.349999999999998</v>
      </c>
      <c r="BH17" s="82">
        <f>('DJB Daily Readings'!EV25-'DJB Daily Readings'!EV24)*1.89</f>
        <v>24.57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11</v>
      </c>
      <c r="D18">
        <v>2021</v>
      </c>
      <c r="E18" s="78">
        <f>0.95*237</f>
        <v>225.14999999999998</v>
      </c>
      <c r="F18" s="79">
        <f>282+8</f>
        <v>290</v>
      </c>
      <c r="G18" s="3">
        <f>'DJB Daily Readings'!C26-'DJB Daily Readings'!C25</f>
        <v>666</v>
      </c>
      <c r="H18" s="3">
        <f>'DJB Daily Readings'!F26-'DJB Daily Readings'!F25</f>
        <v>382</v>
      </c>
      <c r="I18" s="3">
        <f>'DJB Daily Readings'!K26-'DJB Daily Readings'!K25</f>
        <v>215</v>
      </c>
      <c r="J18" s="3">
        <f>'DJB Daily Readings'!K26-'DJB Daily Readings'!K25</f>
        <v>215</v>
      </c>
      <c r="K18" s="3">
        <f>'DJB Daily Readings'!O26-'DJB Daily Readings'!O25</f>
        <v>124.93000000000029</v>
      </c>
      <c r="L18" s="3">
        <f>'DJB Daily Readings'!R26-'DJB Daily Readings'!R25</f>
        <v>17</v>
      </c>
      <c r="M18" s="3">
        <f>'DJB Daily Readings'!U26-'DJB Daily Readings'!U25</f>
        <v>2825.7600000007078</v>
      </c>
      <c r="N18" s="3">
        <f>'DJB Daily Readings'!X26-'DJB Daily Readings'!X25</f>
        <v>4579.679999999702</v>
      </c>
      <c r="O18" s="3">
        <f>'DJB Daily Readings'!AA26-'DJB Daily Readings'!AA25</f>
        <v>925.67999999970198</v>
      </c>
      <c r="P18" s="3">
        <f>'DJB Daily Readings'!AD26-'DJB Daily Readings'!AD25</f>
        <v>11546.639999998733</v>
      </c>
      <c r="Q18" s="3">
        <f>'DJB Daily Readings'!AG26-'DJB Daily Readings'!AG25</f>
        <v>341.03999999910593</v>
      </c>
      <c r="R18" s="3">
        <f>'DJB Daily Readings'!AJ26-'DJB Daily Readings'!AJ25</f>
        <v>5895.1199999991804</v>
      </c>
      <c r="S18" s="3">
        <f>'DJB Daily Readings'!AM26-'DJB Daily Readings'!AM25</f>
        <v>4433.5200000014156</v>
      </c>
      <c r="T18" s="3">
        <f>'DJB Daily Readings'!AP26-'DJB Daily Readings'!AP25</f>
        <v>4287.3600000012666</v>
      </c>
      <c r="U18" s="3">
        <f>'DJB Daily Readings'!AS26-'DJB Daily Readings'!AS25</f>
        <v>3507.839999999851</v>
      </c>
      <c r="V18" s="3">
        <f>'DJB Daily Readings'!AV26-'DJB Daily Readings'!AV25</f>
        <v>5700.2400000002235</v>
      </c>
      <c r="W18" s="3">
        <f>'DJB Daily Readings'!AZ26-'DJB Daily Readings'!AZ25</f>
        <v>0</v>
      </c>
      <c r="X18" s="3">
        <f>'DJB Daily Readings'!BC26-'DJB Daily Readings'!BC25</f>
        <v>67600</v>
      </c>
      <c r="Y18" s="3">
        <f>'DJB Daily Readings'!BF26-'DJB Daily Readings'!BF25</f>
        <v>0</v>
      </c>
      <c r="Z18" s="3">
        <f>('DJB Daily Readings'!CK26-'DJB Daily Readings'!CK25)*1.89</f>
        <v>196.56</v>
      </c>
      <c r="AA18" s="3">
        <f>('DJB Daily Readings'!CN26-'DJB Daily Readings'!CN25)*1.89</f>
        <v>192.78</v>
      </c>
      <c r="AB18" s="3">
        <f>('DJB Daily Readings'!CQ26-'DJB Daily Readings'!CQ25)*1.89</f>
        <v>476.28</v>
      </c>
      <c r="AC18" s="3">
        <f>'DJB Daily Readings'!CT26-'DJB Daily Readings'!CT25</f>
        <v>244</v>
      </c>
      <c r="AD18" s="84">
        <f>('DJB Daily Readings'!BY26-'DJB Daily Readings'!BY25)*1.89</f>
        <v>37.799999999999997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45.36</v>
      </c>
      <c r="AJ18" s="81">
        <f>'DJB Daily Readings'!CY26-'DJB Daily Readings'!CY25</f>
        <v>9</v>
      </c>
      <c r="AK18" s="81">
        <f>'DJB Daily Readings'!CW26-'DJB Daily Readings'!CW25</f>
        <v>8</v>
      </c>
      <c r="AL18" s="82">
        <f>'DJB Daily Readings'!DC26-'DJB Daily Readings'!DC25</f>
        <v>17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14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8.5</v>
      </c>
      <c r="AW18" s="82">
        <f>'DJB Daily Readings'!DX26-'DJB Daily Readings'!DX25</f>
        <v>6.9000000000000909</v>
      </c>
      <c r="AX18" s="82">
        <f>'DJB Daily Readings'!DZ26-'DJB Daily Readings'!DZ25</f>
        <v>8.9000000000000909</v>
      </c>
      <c r="AY18" s="82">
        <f>'DJB Daily Readings'!EB26-'DJB Daily Readings'!EB25</f>
        <v>601</v>
      </c>
      <c r="AZ18" s="82">
        <f>'DJB Daily Readings'!ED26-'DJB Daily Readings'!ED25</f>
        <v>152.39999999999418</v>
      </c>
      <c r="BA18" s="82">
        <f>'DJB Daily Readings'!EG26-'DJB Daily Readings'!EG25</f>
        <v>4100</v>
      </c>
      <c r="BB18" s="82">
        <f>'DJB Daily Readings'!EI26-'DJB Daily Readings'!EI25</f>
        <v>240</v>
      </c>
      <c r="BC18" s="82">
        <f>'DJB Daily Readings'!EQ26-'DJB Daily Readings'!EQ25</f>
        <v>3800</v>
      </c>
      <c r="BD18" s="82">
        <f>'DJB Daily Readings'!EK26-'DJB Daily Readings'!EK25</f>
        <v>2000</v>
      </c>
      <c r="BE18" s="82">
        <f>'DJB Daily Readings'!EM26-'DJB Daily Readings'!EM25</f>
        <v>500</v>
      </c>
      <c r="BF18" s="82">
        <f>'DJB Daily Readings'!EO26-'DJB Daily Readings'!EO25</f>
        <v>760</v>
      </c>
      <c r="BG18" s="82">
        <f>('DJB Daily Readings'!ET26-'DJB Daily Readings'!ET25)*1.89</f>
        <v>26.459999999999997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22.68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11</v>
      </c>
      <c r="D19">
        <v>2021</v>
      </c>
      <c r="E19" s="78">
        <f>0.95*237</f>
        <v>225.14999999999998</v>
      </c>
      <c r="F19" s="79">
        <f>303+16</f>
        <v>319</v>
      </c>
      <c r="G19" s="3">
        <f>'DJB Daily Readings'!C27-'DJB Daily Readings'!C26</f>
        <v>679</v>
      </c>
      <c r="H19" s="3">
        <f>'DJB Daily Readings'!F27-'DJB Daily Readings'!F26</f>
        <v>402</v>
      </c>
      <c r="I19" s="3">
        <f>'DJB Daily Readings'!K27-'DJB Daily Readings'!K26</f>
        <v>204</v>
      </c>
      <c r="J19" s="3">
        <f>'DJB Daily Readings'!K27-'DJB Daily Readings'!K26</f>
        <v>204</v>
      </c>
      <c r="K19" s="3">
        <f>'DJB Daily Readings'!O27-'DJB Daily Readings'!O26</f>
        <v>120.56000000000495</v>
      </c>
      <c r="L19" s="3">
        <f>'DJB Daily Readings'!R27-'DJB Daily Readings'!R26</f>
        <v>17</v>
      </c>
      <c r="M19" s="3">
        <f>'DJB Daily Readings'!U27-'DJB Daily Readings'!U26</f>
        <v>2825.7599999997765</v>
      </c>
      <c r="N19" s="3">
        <f>'DJB Daily Readings'!X27-'DJB Daily Readings'!X26</f>
        <v>4433.519999999553</v>
      </c>
      <c r="O19" s="3">
        <f>'DJB Daily Readings'!AA27-'DJB Daily Readings'!AA26</f>
        <v>779.51999999955297</v>
      </c>
      <c r="P19" s="3">
        <f>'DJB Daily Readings'!AD27-'DJB Daily Readings'!AD26</f>
        <v>10913.280000001192</v>
      </c>
      <c r="Q19" s="3">
        <f>'DJB Daily Readings'!AG27-'DJB Daily Readings'!AG26</f>
        <v>292.32000000402331</v>
      </c>
      <c r="R19" s="3">
        <f>'DJB Daily Readings'!AJ27-'DJB Daily Readings'!AJ26</f>
        <v>5943.8400000017136</v>
      </c>
      <c r="S19" s="3">
        <f>'DJB Daily Readings'!AM27-'DJB Daily Readings'!AM26</f>
        <v>4530.9600000008941</v>
      </c>
      <c r="T19" s="3">
        <f>'DJB Daily Readings'!AP27-'DJB Daily Readings'!AP26</f>
        <v>4141.1999999992549</v>
      </c>
      <c r="U19" s="3">
        <f>'DJB Daily Readings'!AS27-'DJB Daily Readings'!AS26</f>
        <v>3361.6800000015646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64100</v>
      </c>
      <c r="Y19" s="3">
        <f>'DJB Daily Readings'!BF27-'DJB Daily Readings'!BF26</f>
        <v>0</v>
      </c>
      <c r="Z19" s="3">
        <f>('DJB Daily Readings'!CK27-'DJB Daily Readings'!CK26)*1.89</f>
        <v>194.67</v>
      </c>
      <c r="AA19" s="3">
        <f>('DJB Daily Readings'!CN27-'DJB Daily Readings'!CN26)*1.89</f>
        <v>196.56</v>
      </c>
      <c r="AB19" s="3">
        <f>('DJB Daily Readings'!CQ27-'DJB Daily Readings'!CQ26)*1.89</f>
        <v>321.3</v>
      </c>
      <c r="AC19" s="3">
        <f>'DJB Daily Readings'!CT27-'DJB Daily Readings'!CT26</f>
        <v>242</v>
      </c>
      <c r="AD19" s="84">
        <f>('DJB Daily Readings'!BY27-'DJB Daily Readings'!BY26)*1.89</f>
        <v>35.909999999999997</v>
      </c>
      <c r="AE19" s="84">
        <f>('DJB Daily Readings'!CA27-'DJB Daily Readings'!CA26)*1.89</f>
        <v>35.909999999999997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49.14</v>
      </c>
      <c r="AJ19" s="81">
        <f>'DJB Daily Readings'!CY27-'DJB Daily Readings'!CY26</f>
        <v>12</v>
      </c>
      <c r="AK19" s="81">
        <f>'DJB Daily Readings'!CW27-'DJB Daily Readings'!CW26</f>
        <v>11</v>
      </c>
      <c r="AL19" s="82">
        <f>'DJB Daily Readings'!DC27-'DJB Daily Readings'!DC26</f>
        <v>17</v>
      </c>
      <c r="AM19" s="82">
        <f>'DJB Daily Readings'!DA27-'DJB Daily Readings'!DA26</f>
        <v>19</v>
      </c>
      <c r="AN19" s="82">
        <f>'DJB Daily Readings'!DG27-'DJB Daily Readings'!DG26</f>
        <v>8</v>
      </c>
      <c r="AO19" s="82">
        <f>'DJB Daily Readings'!DE27-'DJB Daily Readings'!DE26</f>
        <v>6</v>
      </c>
      <c r="AP19" s="82">
        <f>'DJB Daily Readings'!DK27-'DJB Daily Readings'!DK26</f>
        <v>14</v>
      </c>
      <c r="AQ19" s="82">
        <f>'DJB Daily Readings'!DI27-'DJB Daily Readings'!DI26</f>
        <v>10</v>
      </c>
      <c r="AR19" s="82">
        <f>'DJB Daily Readings'!DO27-'DJB Daily Readings'!DO26</f>
        <v>7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8.4000000000000909</v>
      </c>
      <c r="AW19" s="82">
        <f>'DJB Daily Readings'!DX27-'DJB Daily Readings'!DX26</f>
        <v>6.5999999999999091</v>
      </c>
      <c r="AX19" s="82">
        <f>'DJB Daily Readings'!DZ27-'DJB Daily Readings'!DZ26</f>
        <v>8.5999999999999091</v>
      </c>
      <c r="AY19" s="82">
        <f>'DJB Daily Readings'!EB27-'DJB Daily Readings'!EB26</f>
        <v>870</v>
      </c>
      <c r="AZ19" s="82">
        <f>'DJB Daily Readings'!ED27-'DJB Daily Readings'!ED26</f>
        <v>154.70000000001164</v>
      </c>
      <c r="BA19" s="82">
        <f>'DJB Daily Readings'!EG27-'DJB Daily Readings'!EG26</f>
        <v>4100</v>
      </c>
      <c r="BB19" s="82">
        <f>'DJB Daily Readings'!EI27-'DJB Daily Readings'!EI26</f>
        <v>230</v>
      </c>
      <c r="BC19" s="82">
        <f>'DJB Daily Readings'!EQ27-'DJB Daily Readings'!EQ26</f>
        <v>4000</v>
      </c>
      <c r="BD19" s="82">
        <f>'DJB Daily Readings'!EK27-'DJB Daily Readings'!EK26</f>
        <v>2000</v>
      </c>
      <c r="BE19" s="82">
        <f>'DJB Daily Readings'!EM27-'DJB Daily Readings'!EM26</f>
        <v>600</v>
      </c>
      <c r="BF19" s="82">
        <f>'DJB Daily Readings'!EO27-'DJB Daily Readings'!EO26</f>
        <v>780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39.69</v>
      </c>
      <c r="BJ19" s="82">
        <f>('DJB Daily Readings'!EX27-'DJB Daily Readings'!EX26)*1.89</f>
        <v>24.57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11</v>
      </c>
      <c r="D20">
        <v>2021</v>
      </c>
      <c r="E20" s="78">
        <f>237*0.8</f>
        <v>189.60000000000002</v>
      </c>
      <c r="F20" s="79">
        <f>331+28</f>
        <v>359</v>
      </c>
      <c r="G20" s="3">
        <f>'DJB Daily Readings'!C28-'DJB Daily Readings'!C27</f>
        <v>714</v>
      </c>
      <c r="H20" s="3">
        <f>'DJB Daily Readings'!F28-'DJB Daily Readings'!F27</f>
        <v>593</v>
      </c>
      <c r="I20" s="3">
        <f>'DJB Daily Readings'!K28-'DJB Daily Readings'!K27</f>
        <v>75</v>
      </c>
      <c r="J20" s="3">
        <f>'DJB Daily Readings'!K28-'DJB Daily Readings'!K27</f>
        <v>75</v>
      </c>
      <c r="K20" s="3">
        <f>'DJB Daily Readings'!O28-'DJB Daily Readings'!O27</f>
        <v>111.7699999999968</v>
      </c>
      <c r="L20" s="3">
        <f>'DJB Daily Readings'!R28-'DJB Daily Readings'!R27</f>
        <v>17</v>
      </c>
      <c r="M20" s="3">
        <f>'DJB Daily Readings'!U28-'DJB Daily Readings'!U27</f>
        <v>2679.6000000005588</v>
      </c>
      <c r="N20" s="3">
        <f>'DJB Daily Readings'!X28-'DJB Daily Readings'!X27</f>
        <v>4579.6800000015646</v>
      </c>
      <c r="O20" s="3">
        <f>'DJB Daily Readings'!AA28-'DJB Daily Readings'!AA27</f>
        <v>730.80000000074506</v>
      </c>
      <c r="P20" s="3">
        <f>'DJB Daily Readings'!AD28-'DJB Daily Readings'!AD27</f>
        <v>10474.800000000745</v>
      </c>
      <c r="Q20" s="3">
        <f>'DJB Daily Readings'!AG28-'DJB Daily Readings'!AG27</f>
        <v>341.03999999910593</v>
      </c>
      <c r="R20" s="3">
        <f>'DJB Daily Readings'!AJ28-'DJB Daily Readings'!AJ27</f>
        <v>5943.839999999851</v>
      </c>
      <c r="S20" s="3">
        <f>'DJB Daily Readings'!AM28-'DJB Daily Readings'!AM27</f>
        <v>4677.1199999991804</v>
      </c>
      <c r="T20" s="3">
        <f>'DJB Daily Readings'!AP28-'DJB Daily Readings'!AP27</f>
        <v>4238.6399999987334</v>
      </c>
      <c r="U20" s="3">
        <f>'DJB Daily Readings'!AS28-'DJB Daily Readings'!AS27</f>
        <v>3312.9599999990314</v>
      </c>
      <c r="V20" s="3">
        <f>'DJB Daily Readings'!AV28-'DJB Daily Readings'!AV27</f>
        <v>5943.839999999851</v>
      </c>
      <c r="W20" s="3">
        <f>'DJB Daily Readings'!AZ28-'DJB Daily Readings'!AZ27</f>
        <v>0</v>
      </c>
      <c r="X20" s="3">
        <f>'DJB Daily Readings'!BC28-'DJB Daily Readings'!BC27</f>
        <v>59700</v>
      </c>
      <c r="Y20" s="3">
        <f>'DJB Daily Readings'!BF28-'DJB Daily Readings'!BF27</f>
        <v>0</v>
      </c>
      <c r="Z20" s="3">
        <f>('DJB Daily Readings'!CK28-'DJB Daily Readings'!CK27)*1.89</f>
        <v>200.34</v>
      </c>
      <c r="AA20" s="3">
        <f>('DJB Daily Readings'!CN28-'DJB Daily Readings'!CN27)*1.89</f>
        <v>200.34</v>
      </c>
      <c r="AB20" s="3">
        <f>('DJB Daily Readings'!CQ28-'DJB Daily Readings'!CQ27)*1.89</f>
        <v>323.19</v>
      </c>
      <c r="AC20" s="3">
        <f>'DJB Daily Readings'!CT28-'DJB Daily Readings'!CT27</f>
        <v>253</v>
      </c>
      <c r="AD20" s="84">
        <f>('DJB Daily Readings'!BY28-'DJB Daily Readings'!BY27)*1.89</f>
        <v>37.799999999999997</v>
      </c>
      <c r="AE20" s="84">
        <f>('DJB Daily Readings'!CA28-'DJB Daily Readings'!CA27)*1.89</f>
        <v>37.799999999999997</v>
      </c>
      <c r="AF20" s="84">
        <f>('DJB Daily Readings'!CC28-'DJB Daily Readings'!CC27)*1.89</f>
        <v>9.4499999999999993</v>
      </c>
      <c r="AG20" s="84">
        <f>('DJB Daily Readings'!CE28-'DJB Daily Readings'!CE27)*1.89</f>
        <v>17.009999999999998</v>
      </c>
      <c r="AH20" s="84">
        <f>('DJB Daily Readings'!CG28-'DJB Daily Readings'!CG27)*1.89</f>
        <v>17.009999999999998</v>
      </c>
      <c r="AI20" s="84">
        <f>('DJB Daily Readings'!CI28-'DJB Daily Readings'!CI27)*1.89</f>
        <v>49.14</v>
      </c>
      <c r="AJ20" s="81">
        <f>'DJB Daily Readings'!CY28-'DJB Daily Readings'!CY27</f>
        <v>9</v>
      </c>
      <c r="AK20" s="81">
        <f>'DJB Daily Readings'!CW28-'DJB Daily Readings'!CW27</f>
        <v>10</v>
      </c>
      <c r="AL20" s="82">
        <f>'DJB Daily Readings'!DC28-'DJB Daily Readings'!DC27</f>
        <v>19</v>
      </c>
      <c r="AM20" s="82">
        <f>'DJB Daily Readings'!DA28-'DJB Daily Readings'!DA27</f>
        <v>21</v>
      </c>
      <c r="AN20" s="82">
        <f>'DJB Daily Readings'!DG28-'DJB Daily Readings'!DG27</f>
        <v>9</v>
      </c>
      <c r="AO20" s="82">
        <f>'DJB Daily Readings'!DE28-'DJB Daily Readings'!DE27</f>
        <v>11</v>
      </c>
      <c r="AP20" s="82">
        <f>'DJB Daily Readings'!DK28-'DJB Daily Readings'!DK27</f>
        <v>16</v>
      </c>
      <c r="AQ20" s="82">
        <f>'DJB Daily Readings'!DI28-'DJB Daily Readings'!DI27</f>
        <v>9</v>
      </c>
      <c r="AR20" s="82">
        <f>'DJB Daily Readings'!DO28-'DJB Daily Readings'!DO27</f>
        <v>8</v>
      </c>
      <c r="AS20" s="82">
        <f>'DJB Daily Readings'!DM28-'DJB Daily Readings'!DM27</f>
        <v>4</v>
      </c>
      <c r="AT20" s="82">
        <f>'DJB Daily Readings'!DQ28-'DJB Daily Readings'!DQ27</f>
        <v>0</v>
      </c>
      <c r="AU20" s="82">
        <f>'DJB Daily Readings'!DT28-'DJB Daily Readings'!DT27</f>
        <v>9.3000000000001819</v>
      </c>
      <c r="AW20" s="82">
        <f>'DJB Daily Readings'!DX28-'DJB Daily Readings'!DX27</f>
        <v>7</v>
      </c>
      <c r="AX20" s="82">
        <f>'DJB Daily Readings'!DZ28-'DJB Daily Readings'!DZ27</f>
        <v>8.7999999999997272</v>
      </c>
      <c r="AY20" s="82">
        <f>'DJB Daily Readings'!EB28-'DJB Daily Readings'!EB27</f>
        <v>424</v>
      </c>
      <c r="AZ20" s="82">
        <f>'DJB Daily Readings'!ED28-'DJB Daily Readings'!ED27</f>
        <v>156.10000000000582</v>
      </c>
      <c r="BA20" s="82">
        <f>'DJB Daily Readings'!EG28-'DJB Daily Readings'!EG27</f>
        <v>3600</v>
      </c>
      <c r="BB20" s="82">
        <f>'DJB Daily Readings'!EI28-'DJB Daily Readings'!EI27</f>
        <v>200</v>
      </c>
      <c r="BC20" s="82">
        <f>'DJB Daily Readings'!EQ28-'DJB Daily Readings'!EQ27</f>
        <v>3200</v>
      </c>
      <c r="BD20" s="82">
        <f>'DJB Daily Readings'!EK28-'DJB Daily Readings'!EK27</f>
        <v>1700</v>
      </c>
      <c r="BE20" s="82">
        <f>'DJB Daily Readings'!EM28-'DJB Daily Readings'!EM27</f>
        <v>400</v>
      </c>
      <c r="BF20" s="82">
        <f>'DJB Daily Readings'!EO28-'DJB Daily Readings'!EO27</f>
        <v>690</v>
      </c>
      <c r="BG20" s="82">
        <f>('DJB Daily Readings'!ET28-'DJB Daily Readings'!ET27)*1.89</f>
        <v>28.349999999999998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30.24</v>
      </c>
      <c r="BK20" s="82">
        <f>('DJB Daily Readings'!FB28-'DJB Daily Readings'!FB27)*1.89</f>
        <v>58.589999999999996</v>
      </c>
    </row>
    <row r="21" spans="1:63" x14ac:dyDescent="0.25">
      <c r="A21" t="s">
        <v>59</v>
      </c>
      <c r="B21">
        <f t="shared" si="0"/>
        <v>20</v>
      </c>
      <c r="C21">
        <v>11</v>
      </c>
      <c r="D21">
        <v>2021</v>
      </c>
      <c r="E21" s="78">
        <f>237*0.85</f>
        <v>201.45</v>
      </c>
      <c r="F21" s="79">
        <f>334+25</f>
        <v>359</v>
      </c>
      <c r="G21" s="3">
        <f>'DJB Daily Readings'!C29-'DJB Daily Readings'!C28</f>
        <v>590</v>
      </c>
      <c r="H21" s="3">
        <f>'DJB Daily Readings'!F29-'DJB Daily Readings'!F28</f>
        <v>270</v>
      </c>
      <c r="I21" s="3">
        <f>'DJB Daily Readings'!K29-'DJB Daily Readings'!K28</f>
        <v>230</v>
      </c>
      <c r="J21" s="3">
        <f>'DJB Daily Readings'!K29-'DJB Daily Readings'!K28</f>
        <v>230</v>
      </c>
      <c r="K21" s="3">
        <f>'DJB Daily Readings'!O29-'DJB Daily Readings'!O28</f>
        <v>112.30000000000291</v>
      </c>
      <c r="L21" s="3">
        <f>'DJB Daily Readings'!R29-'DJB Daily Readings'!R28</f>
        <v>13</v>
      </c>
      <c r="M21" s="3">
        <f>'DJB Daily Readings'!U29-'DJB Daily Readings'!U28</f>
        <v>2094.9599999999627</v>
      </c>
      <c r="N21" s="3">
        <f>'DJB Daily Readings'!X29-'DJB Daily Readings'!X28</f>
        <v>4725.839999999851</v>
      </c>
      <c r="O21" s="3">
        <f>'DJB Daily Readings'!AA29-'DJB Daily Readings'!AA28</f>
        <v>389.76000000163913</v>
      </c>
      <c r="P21" s="3">
        <f>'DJB Daily Readings'!AD29-'DJB Daily Readings'!AD28</f>
        <v>779.51999999769032</v>
      </c>
      <c r="Q21" s="3">
        <f>'DJB Daily Readings'!AG29-'DJB Daily Readings'!AG28</f>
        <v>12082.560000002384</v>
      </c>
      <c r="R21" s="3">
        <f>'DJB Daily Readings'!AJ29-'DJB Daily Readings'!AJ28</f>
        <v>6090</v>
      </c>
      <c r="S21" s="3">
        <f>'DJB Daily Readings'!AM29-'DJB Daily Readings'!AM28</f>
        <v>4725.839999999851</v>
      </c>
      <c r="T21" s="3">
        <f>'DJB Daily Readings'!AP29-'DJB Daily Readings'!AP28</f>
        <v>4384.8000000007451</v>
      </c>
      <c r="U21" s="3">
        <f>'DJB Daily Readings'!AS29-'DJB Daily Readings'!AS28</f>
        <v>3459.1199999991804</v>
      </c>
      <c r="V21" s="3">
        <f>'DJB Daily Readings'!AV29-'DJB Daily Readings'!AV28</f>
        <v>5943.839999999851</v>
      </c>
      <c r="W21" s="3">
        <f>'DJB Daily Readings'!AZ29-'DJB Daily Readings'!AZ28</f>
        <v>0</v>
      </c>
      <c r="X21" s="3">
        <f>'DJB Daily Readings'!BC29-'DJB Daily Readings'!BC28</f>
        <v>2200</v>
      </c>
      <c r="Y21" s="3">
        <f>'DJB Daily Readings'!BF29-'DJB Daily Readings'!BF28</f>
        <v>56700</v>
      </c>
      <c r="Z21" s="3">
        <f>('DJB Daily Readings'!CK29-'DJB Daily Readings'!CK28)*1.89</f>
        <v>206.01</v>
      </c>
      <c r="AA21" s="3">
        <f>('DJB Daily Readings'!CN29-'DJB Daily Readings'!CN28)*1.89</f>
        <v>253.26</v>
      </c>
      <c r="AB21" s="3">
        <f>('DJB Daily Readings'!CQ29-'DJB Daily Readings'!CQ28)*1.89</f>
        <v>398.78999999999996</v>
      </c>
      <c r="AC21" s="3">
        <f>'DJB Daily Readings'!CT29-'DJB Daily Readings'!CT28</f>
        <v>259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7.56</v>
      </c>
      <c r="AG21" s="84">
        <f>('DJB Daily Readings'!CE29-'DJB Daily Readings'!CE28)*1.89</f>
        <v>17.009999999999998</v>
      </c>
      <c r="AH21" s="84">
        <f>('DJB Daily Readings'!CG29-'DJB Daily Readings'!CG28)*1.89</f>
        <v>34.019999999999996</v>
      </c>
      <c r="AI21" s="84">
        <f>('DJB Daily Readings'!CI29-'DJB Daily Readings'!CI28)*1.89</f>
        <v>47.25</v>
      </c>
      <c r="AJ21" s="81">
        <f>'DJB Daily Readings'!CY29-'DJB Daily Readings'!CY28</f>
        <v>7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20</v>
      </c>
      <c r="AN21" s="82">
        <f>'DJB Daily Readings'!DG29-'DJB Daily Readings'!DG28</f>
        <v>8</v>
      </c>
      <c r="AO21" s="82">
        <f>'DJB Daily Readings'!DE29-'DJB Daily Readings'!DE28</f>
        <v>3</v>
      </c>
      <c r="AP21" s="82">
        <f>'DJB Daily Readings'!DK29-'DJB Daily Readings'!DK28</f>
        <v>16</v>
      </c>
      <c r="AQ21" s="82">
        <f>'DJB Daily Readings'!DI29-'DJB Daily Readings'!DI28</f>
        <v>10</v>
      </c>
      <c r="AR21" s="82">
        <f>'DJB Daily Readings'!DO29-'DJB Daily Readings'!DO28</f>
        <v>8</v>
      </c>
      <c r="AS21" s="82">
        <f>'DJB Daily Readings'!DM29-'DJB Daily Readings'!DM28</f>
        <v>5</v>
      </c>
      <c r="AT21" s="82">
        <f>'DJB Daily Readings'!DQ29-'DJB Daily Readings'!DQ28</f>
        <v>0</v>
      </c>
      <c r="AU21" s="82">
        <f>'DJB Daily Readings'!DT29-'DJB Daily Readings'!DT28</f>
        <v>8.5</v>
      </c>
      <c r="AW21" s="82">
        <f>'DJB Daily Readings'!DX29-'DJB Daily Readings'!DX28</f>
        <v>7.0999999999999091</v>
      </c>
      <c r="AX21" s="82">
        <f>'DJB Daily Readings'!DZ29-'DJB Daily Readings'!DZ28</f>
        <v>8.8000000000001819</v>
      </c>
      <c r="AY21" s="82">
        <f>'DJB Daily Readings'!EB29-'DJB Daily Readings'!EB28</f>
        <v>615</v>
      </c>
      <c r="AZ21" s="82">
        <f>'DJB Daily Readings'!ED29-'DJB Daily Readings'!ED28</f>
        <v>124.89999999999418</v>
      </c>
      <c r="BA21" s="82">
        <f>'DJB Daily Readings'!EG29-'DJB Daily Readings'!EG28</f>
        <v>3500</v>
      </c>
      <c r="BB21" s="82">
        <f>'DJB Daily Readings'!EI29-'DJB Daily Readings'!EI28</f>
        <v>220</v>
      </c>
      <c r="BC21" s="82">
        <f>'DJB Daily Readings'!EQ29-'DJB Daily Readings'!EQ28</f>
        <v>3800</v>
      </c>
      <c r="BD21" s="82">
        <f>'DJB Daily Readings'!EK29-'DJB Daily Readings'!EK28</f>
        <v>1700</v>
      </c>
      <c r="BE21" s="82">
        <f>'DJB Daily Readings'!EM29-'DJB Daily Readings'!EM28</f>
        <v>400</v>
      </c>
      <c r="BF21" s="82">
        <f>'DJB Daily Readings'!EO29-'DJB Daily Readings'!EO28</f>
        <v>630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35.909999999999997</v>
      </c>
      <c r="BJ21" s="82">
        <f>('DJB Daily Readings'!EX29-'DJB Daily Readings'!EX28)*1.89</f>
        <v>32.129999999999995</v>
      </c>
      <c r="BK21" s="82">
        <f>('DJB Daily Readings'!FB29-'DJB Daily Readings'!FB28)*1.89</f>
        <v>66.149999999999991</v>
      </c>
    </row>
    <row r="22" spans="1:63" x14ac:dyDescent="0.25">
      <c r="A22" t="s">
        <v>59</v>
      </c>
      <c r="B22">
        <f t="shared" si="0"/>
        <v>21</v>
      </c>
      <c r="C22">
        <v>11</v>
      </c>
      <c r="D22">
        <v>2021</v>
      </c>
      <c r="E22" s="78">
        <f>237*0.97</f>
        <v>229.89</v>
      </c>
      <c r="F22" s="79">
        <f>374+28</f>
        <v>402</v>
      </c>
      <c r="G22" s="3">
        <f>'DJB Daily Readings'!C30-'DJB Daily Readings'!C29</f>
        <v>1228</v>
      </c>
      <c r="H22" s="3">
        <f>'DJB Daily Readings'!F30-'DJB Daily Readings'!F29</f>
        <v>422</v>
      </c>
      <c r="I22" s="3">
        <f>'DJB Daily Readings'!K30-'DJB Daily Readings'!K29</f>
        <v>93</v>
      </c>
      <c r="J22" s="3">
        <f>'DJB Daily Readings'!K30-'DJB Daily Readings'!K29</f>
        <v>93</v>
      </c>
      <c r="K22" s="3">
        <f>'DJB Daily Readings'!O30-'DJB Daily Readings'!O29</f>
        <v>117.90000000000146</v>
      </c>
      <c r="L22" s="3">
        <f>'DJB Daily Readings'!R30-'DJB Daily Readings'!R29</f>
        <v>17</v>
      </c>
      <c r="M22" s="3">
        <f>'DJB Daily Readings'!U30-'DJB Daily Readings'!U29</f>
        <v>1948.7999999998137</v>
      </c>
      <c r="N22" s="3">
        <f>'DJB Daily Readings'!X30-'DJB Daily Readings'!X29</f>
        <v>4433.519999999553</v>
      </c>
      <c r="O22" s="3">
        <f>'DJB Daily Readings'!AA30-'DJB Daily Readings'!AA29</f>
        <v>389.75999999977648</v>
      </c>
      <c r="P22" s="3">
        <f>'DJB Daily Readings'!AD30-'DJB Daily Readings'!AD29</f>
        <v>730.80000000074506</v>
      </c>
      <c r="Q22" s="3">
        <f>'DJB Daily Readings'!AG30-'DJB Daily Readings'!AG29</f>
        <v>12082.559999994934</v>
      </c>
      <c r="R22" s="3">
        <f>'DJB Daily Readings'!AJ30-'DJB Daily Readings'!AJ29</f>
        <v>5310.480000000447</v>
      </c>
      <c r="S22" s="3">
        <f>'DJB Daily Readings'!AM30-'DJB Daily Readings'!AM29</f>
        <v>4238.640000000596</v>
      </c>
      <c r="T22" s="3">
        <f>'DJB Daily Readings'!AP30-'DJB Daily Readings'!AP29</f>
        <v>4141.1999999992549</v>
      </c>
      <c r="U22" s="3">
        <f>'DJB Daily Readings'!AS30-'DJB Daily Readings'!AS29</f>
        <v>3166.8000000007451</v>
      </c>
      <c r="V22" s="3">
        <f>'DJB Daily Readings'!AV30-'DJB Daily Readings'!AV29</f>
        <v>5359.1999999992549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60300</v>
      </c>
      <c r="Z22" s="3">
        <f>('DJB Daily Readings'!CK30-'DJB Daily Readings'!CK29)*1.89</f>
        <v>190.89</v>
      </c>
      <c r="AA22" s="3">
        <f>('DJB Daily Readings'!CN30-'DJB Daily Readings'!CN29)*1.89</f>
        <v>141.75</v>
      </c>
      <c r="AB22" s="3">
        <f>('DJB Daily Readings'!CQ30-'DJB Daily Readings'!CQ29)*1.89</f>
        <v>413.90999999999997</v>
      </c>
      <c r="AC22" s="3">
        <f>'DJB Daily Readings'!CT30-'DJB Daily Readings'!CT29</f>
        <v>241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18.899999999999999</v>
      </c>
      <c r="AH22" s="84">
        <f>('DJB Daily Readings'!CG30-'DJB Daily Readings'!CG29)*1.89</f>
        <v>17.009999999999998</v>
      </c>
      <c r="AI22" s="84">
        <f>('DJB Daily Readings'!CI30-'DJB Daily Readings'!CI29)*1.89</f>
        <v>47.25</v>
      </c>
      <c r="AJ22" s="81">
        <f>'DJB Daily Readings'!CY30-'DJB Daily Readings'!CY29</f>
        <v>7</v>
      </c>
      <c r="AK22" s="81">
        <f>'DJB Daily Readings'!CW30-'DJB Daily Readings'!CW29</f>
        <v>6</v>
      </c>
      <c r="AL22" s="82">
        <f>'DJB Daily Readings'!DC30-'DJB Daily Readings'!DC29</f>
        <v>16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14</v>
      </c>
      <c r="AP22" s="82">
        <f>'DJB Daily Readings'!DK30-'DJB Daily Readings'!DK29</f>
        <v>15</v>
      </c>
      <c r="AQ22" s="82">
        <f>'DJB Daily Readings'!DI30-'DJB Daily Readings'!DI29</f>
        <v>8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6</v>
      </c>
      <c r="AU22" s="82">
        <f>'DJB Daily Readings'!DT30-'DJB Daily Readings'!DT29</f>
        <v>9.3999999999996362</v>
      </c>
      <c r="AW22" s="82">
        <f>'DJB Daily Readings'!DX30-'DJB Daily Readings'!DX29</f>
        <v>6.4000000000000909</v>
      </c>
      <c r="AX22" s="82">
        <f>'DJB Daily Readings'!DZ30-'DJB Daily Readings'!DZ29</f>
        <v>8.4000000000000909</v>
      </c>
      <c r="AY22" s="82">
        <f>'DJB Daily Readings'!EB30-'DJB Daily Readings'!EB29</f>
        <v>611</v>
      </c>
      <c r="AZ22" s="82">
        <f>'DJB Daily Readings'!ED30-'DJB Daily Readings'!ED29</f>
        <v>141.39999999999418</v>
      </c>
      <c r="BA22" s="82">
        <f>'DJB Daily Readings'!EG30-'DJB Daily Readings'!EG29</f>
        <v>4500</v>
      </c>
      <c r="BB22" s="82">
        <f>'DJB Daily Readings'!EI30-'DJB Daily Readings'!EI29</f>
        <v>270</v>
      </c>
      <c r="BC22" s="82">
        <f>'DJB Daily Readings'!EQ30-'DJB Daily Readings'!EQ29</f>
        <v>3400</v>
      </c>
      <c r="BD22" s="82">
        <f>'DJB Daily Readings'!EK30-'DJB Daily Readings'!EK29</f>
        <v>1900</v>
      </c>
      <c r="BE22" s="82">
        <f>'DJB Daily Readings'!EM30-'DJB Daily Readings'!EM29</f>
        <v>700</v>
      </c>
      <c r="BF22" s="82">
        <f>'DJB Daily Readings'!EO30-'DJB Daily Readings'!EO29</f>
        <v>880</v>
      </c>
      <c r="BG22" s="82">
        <f>('DJB Daily Readings'!ET30-'DJB Daily Readings'!ET29)*1.89</f>
        <v>30.24</v>
      </c>
      <c r="BH22" s="82">
        <f>('DJB Daily Readings'!EV30-'DJB Daily Readings'!EV29)*1.89</f>
        <v>24.57</v>
      </c>
      <c r="BI22" s="82">
        <f>('DJB Daily Readings'!EZ30-'DJB Daily Readings'!EZ29)*1.89</f>
        <v>32.129999999999995</v>
      </c>
      <c r="BJ22" s="82">
        <f>('DJB Daily Readings'!EX30-'DJB Daily Readings'!EX29)*1.89</f>
        <v>24.57</v>
      </c>
      <c r="BK22" s="82">
        <f>('DJB Daily Readings'!FB30-'DJB Daily Readings'!FB29)*1.89</f>
        <v>52.919999999999995</v>
      </c>
    </row>
    <row r="23" spans="1:63" x14ac:dyDescent="0.25">
      <c r="A23" t="s">
        <v>59</v>
      </c>
      <c r="B23">
        <f t="shared" si="0"/>
        <v>22</v>
      </c>
      <c r="C23">
        <v>11</v>
      </c>
      <c r="D23">
        <v>2021</v>
      </c>
      <c r="E23" s="78"/>
      <c r="F23" s="79">
        <f>355+24</f>
        <v>379</v>
      </c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518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84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391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451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436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375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42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 x14ac:dyDescent="0.25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518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84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391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451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436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375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42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 x14ac:dyDescent="0.25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518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84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391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451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436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375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42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 x14ac:dyDescent="0.25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518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84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391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451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436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375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42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 x14ac:dyDescent="0.25">
      <c r="A18" s="207">
        <v>43839</v>
      </c>
      <c r="B18" s="209">
        <f>'[1]November - 2021'!B18</f>
        <v>0.89</v>
      </c>
      <c r="C18" s="250">
        <f>'[1]November - 2021'!E18</f>
        <v>899272</v>
      </c>
      <c r="D18" s="170">
        <f>'[1]November - 2021'!F18</f>
        <v>501</v>
      </c>
      <c r="E18" s="168">
        <f>'[1]November - 2021'!G18</f>
        <v>489</v>
      </c>
      <c r="F18" s="168">
        <f>'[1]November - 2021'!H18</f>
        <v>76949</v>
      </c>
      <c r="G18" s="170">
        <f>'[1]November - 2021'!I18</f>
        <v>431</v>
      </c>
      <c r="H18" s="168">
        <f>'[1]November - 2021'!J18</f>
        <v>336</v>
      </c>
      <c r="I18" s="168">
        <f>'[1]November - 2021'!K18</f>
        <v>164625</v>
      </c>
      <c r="J18" s="170">
        <f>'[1]November - 2021'!L18</f>
        <v>0</v>
      </c>
      <c r="K18" s="168">
        <f>'[1]November - 2021'!N18</f>
        <v>812753</v>
      </c>
      <c r="L18" s="170">
        <f>'[1]November - 2021'!O18</f>
        <v>118</v>
      </c>
      <c r="M18" s="168">
        <f>'[1]November - 2021'!Q18</f>
        <v>185508</v>
      </c>
      <c r="N18" s="170">
        <f>'[1]November - 2021'!R18</f>
        <v>0</v>
      </c>
      <c r="O18" s="168">
        <f>'[1]November - 2021'!S18</f>
        <v>49596.480000000003</v>
      </c>
      <c r="P18" s="170">
        <f>'[1]November - 2021'!T18</f>
        <v>124.69000000000233</v>
      </c>
      <c r="Q18" s="168">
        <f>'[1]November - 2021'!U18</f>
        <v>82</v>
      </c>
      <c r="R18" s="168">
        <f>'[1]November - 2021'!V18</f>
        <v>3418</v>
      </c>
      <c r="S18" s="208">
        <f>'[1]November - 2021'!W18</f>
        <v>19</v>
      </c>
      <c r="T18" s="518"/>
      <c r="U18" s="269">
        <f>'[1]November - 2021'!AC18</f>
        <v>7105470.959999999</v>
      </c>
      <c r="V18" s="288">
        <f>'[1]November - 2021'!AD18</f>
        <v>2289.8399999989197</v>
      </c>
      <c r="W18" s="92">
        <f>'[1]November - 2021'!AD18</f>
        <v>2289.8399999989197</v>
      </c>
      <c r="X18" s="287">
        <f>'[1]November - 2021'!AF18</f>
        <v>13611052.559999999</v>
      </c>
      <c r="Y18" s="288">
        <f>'[1]November - 2021'!AG18</f>
        <v>4628.3999999985099</v>
      </c>
      <c r="Z18" s="92">
        <f>'[1]November - 2021'!AG18</f>
        <v>4628.3999999985099</v>
      </c>
      <c r="AA18" s="287">
        <f>'[1]November - 2021'!AI18</f>
        <v>13581869.280000001</v>
      </c>
      <c r="AB18" s="288">
        <f>'[1]November - 2021'!AJ18</f>
        <v>11644.080000001937</v>
      </c>
      <c r="AC18" s="92">
        <f>'[1]November - 2021'!AJ18</f>
        <v>11644.080000001937</v>
      </c>
      <c r="AD18" s="287">
        <f>'[1]November - 2021'!AL18</f>
        <v>16585603.439999998</v>
      </c>
      <c r="AE18" s="288">
        <f>'[1]November - 2021'!AM18</f>
        <v>1023.1199999991804</v>
      </c>
      <c r="AF18" s="92">
        <f>'[1]November - 2021'!AM18</f>
        <v>1023.1199999991804</v>
      </c>
      <c r="AG18" s="287">
        <f>'[1]November - 2021'!AO18</f>
        <v>16929615.359999999</v>
      </c>
      <c r="AH18" s="288">
        <f>'[1]November - 2021'!AP18</f>
        <v>633.35999999940395</v>
      </c>
      <c r="AI18" s="92">
        <f>'[1]November - 2021'!AP18</f>
        <v>633.35999999940395</v>
      </c>
      <c r="AJ18" s="287">
        <f>'[1]November - 2021'!AR18</f>
        <v>15310260</v>
      </c>
      <c r="AK18" s="288">
        <f>'[1]November - 2021'!AS18</f>
        <v>5602.8000000007451</v>
      </c>
      <c r="AL18" s="92">
        <f>'[1]November - 2021'!AS18</f>
        <v>5602.8000000007451</v>
      </c>
      <c r="AM18" s="287">
        <f>'[1]November - 2021'!AU18</f>
        <v>13036936.08</v>
      </c>
      <c r="AN18" s="288">
        <f>'[1]November - 2021'!AV18</f>
        <v>4384.7999999988824</v>
      </c>
      <c r="AO18" s="92">
        <f>'[1]November - 2021'!AV18</f>
        <v>4384.7999999988824</v>
      </c>
      <c r="AP18" s="287">
        <f>'[1]November - 2021'!AX18</f>
        <v>12538481.76</v>
      </c>
      <c r="AQ18" s="288">
        <f>'[1]November - 2021'!AY18</f>
        <v>4189.9199999999255</v>
      </c>
      <c r="AR18" s="92">
        <f>'[1]November - 2021'!AY18</f>
        <v>4189.9199999999255</v>
      </c>
      <c r="AS18" s="287">
        <f>'[1]November - 2021'!BA18</f>
        <v>9991107.8399999999</v>
      </c>
      <c r="AT18" s="288">
        <f>'[1]November - 2021'!BB18</f>
        <v>3069.359999999404</v>
      </c>
      <c r="AU18" s="92">
        <f>'[1]November - 2021'!BB18</f>
        <v>3069.359999999404</v>
      </c>
      <c r="AV18" s="287">
        <f>'[1]November - 2021'!BD18</f>
        <v>15491157.359999999</v>
      </c>
      <c r="AW18" s="252">
        <f>'[1]November - 2021'!BE18</f>
        <v>5748.9599999990314</v>
      </c>
      <c r="AX18" s="253">
        <f>'[1]November - 2021'!BE18</f>
        <v>5748.9599999990314</v>
      </c>
      <c r="AY18" s="484"/>
      <c r="AZ18" s="272">
        <f>'[1]November - 2021'!BK18</f>
        <v>67386100</v>
      </c>
      <c r="BA18" s="179">
        <f>'[1]November - 2021'!BL18</f>
        <v>66600</v>
      </c>
      <c r="BB18" s="93">
        <f>'[1]November - 2021'!BL18</f>
        <v>66600</v>
      </c>
      <c r="BC18" s="272">
        <f>'[1]November - 2021'!BN18</f>
        <v>69881400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64331900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7500090</v>
      </c>
      <c r="BT18" s="185">
        <f>'[1]November - 2021'!BU18</f>
        <v>6960</v>
      </c>
      <c r="BU18" s="391"/>
      <c r="BV18" s="88">
        <f>'[1]November - 2021'!BW18</f>
        <v>0.74</v>
      </c>
      <c r="BW18" s="241">
        <f>'[1]November - 2021'!BX18</f>
        <v>-0.14000000000000001</v>
      </c>
      <c r="BX18" s="88">
        <f>'[1]November - 2021'!BX18</f>
        <v>-0.14000000000000001</v>
      </c>
      <c r="BY18" s="89">
        <f>'[1]November - 2021'!BZ18</f>
        <v>56477</v>
      </c>
      <c r="BZ18" s="191">
        <f>'[1]November - 2021'!CA18</f>
        <v>20</v>
      </c>
      <c r="CA18" s="89">
        <f>'[1]November - 2021'!CB18</f>
        <v>47999</v>
      </c>
      <c r="CB18" s="191">
        <f>'[1]November - 2021'!CC18</f>
        <v>18</v>
      </c>
      <c r="CC18" s="89">
        <f>'[1]November - 2021'!CD18</f>
        <v>16554</v>
      </c>
      <c r="CD18" s="191">
        <f>'[1]November - 2021'!CE18</f>
        <v>4</v>
      </c>
      <c r="CE18" s="89">
        <f>'[1]November - 2021'!CF18</f>
        <v>21740</v>
      </c>
      <c r="CF18" s="191">
        <f>'[1]November - 2021'!CG18</f>
        <v>13</v>
      </c>
      <c r="CG18" s="89">
        <f>'[1]November - 2021'!CH18</f>
        <v>23633</v>
      </c>
      <c r="CH18" s="191">
        <f>'[1]November - 2021'!CI18</f>
        <v>12</v>
      </c>
      <c r="CI18" s="89">
        <f>'[1]November - 2021'!CJ18</f>
        <v>52622</v>
      </c>
      <c r="CJ18" s="191">
        <f>'[1]November - 2021'!CK18</f>
        <v>26</v>
      </c>
      <c r="CK18" s="89">
        <f>'[1]November - 2021'!CL18</f>
        <v>231134</v>
      </c>
      <c r="CL18" s="246">
        <f>'[1]November - 2021'!CM18</f>
        <v>109</v>
      </c>
      <c r="CM18" s="89">
        <f>'[1]November - 2021'!CM18</f>
        <v>109</v>
      </c>
      <c r="CN18" s="89">
        <f>'[1]November - 2021'!CO18</f>
        <v>176831</v>
      </c>
      <c r="CO18" s="246">
        <f>'[1]November - 2021'!CP18</f>
        <v>101</v>
      </c>
      <c r="CP18" s="89">
        <f>'[1]November - 2021'!CP18</f>
        <v>101</v>
      </c>
      <c r="CQ18" s="89">
        <f>'[1]November - 2021'!CR18</f>
        <v>311087</v>
      </c>
      <c r="CR18" s="246">
        <f>'[1]November - 2021'!CS18</f>
        <v>290</v>
      </c>
      <c r="CS18" s="89">
        <f>'[1]November - 2021'!CS18</f>
        <v>290</v>
      </c>
      <c r="CT18" s="89">
        <f>'[1]November - 2021'!CU18</f>
        <v>612878</v>
      </c>
      <c r="CU18" s="191">
        <f>'[1]November - 2021'!CV18</f>
        <v>232</v>
      </c>
      <c r="CV18" s="451"/>
      <c r="CW18" s="256">
        <f>'[1]November - 2021'!CX18</f>
        <v>6121</v>
      </c>
      <c r="CX18" s="198">
        <f>'[1]November - 2021'!CY18</f>
        <v>8</v>
      </c>
      <c r="CY18" s="257">
        <f>'[1]November - 2021'!CZ18</f>
        <v>3647</v>
      </c>
      <c r="CZ18" s="198">
        <f>'[1]November - 2021'!DA18</f>
        <v>5</v>
      </c>
      <c r="DA18" s="257">
        <f>'[1]November - 2021'!DB18</f>
        <v>26275</v>
      </c>
      <c r="DB18" s="198">
        <f>'[1]November - 2021'!DC18</f>
        <v>16</v>
      </c>
      <c r="DC18" s="257">
        <f>'[1]November - 2021'!DD18</f>
        <v>27018</v>
      </c>
      <c r="DD18" s="198">
        <f>'[1]November - 2021'!DE18</f>
        <v>16</v>
      </c>
      <c r="DE18" s="257">
        <f>'[1]November - 2021'!DF18</f>
        <v>18383</v>
      </c>
      <c r="DF18" s="198">
        <f>'[1]November - 2021'!DG18</f>
        <v>8</v>
      </c>
      <c r="DG18" s="257">
        <f>'[1]November - 2021'!DH18</f>
        <v>21485</v>
      </c>
      <c r="DH18" s="198">
        <f>'[1]November - 2021'!DI18</f>
        <v>9</v>
      </c>
      <c r="DI18" s="257">
        <f>'[1]November - 2021'!DJ18</f>
        <v>2999</v>
      </c>
      <c r="DJ18" s="198">
        <f>'[1]November - 2021'!DK18</f>
        <v>8</v>
      </c>
      <c r="DK18" s="257">
        <f>'[1]November - 2021'!DL18</f>
        <v>6284</v>
      </c>
      <c r="DL18" s="198">
        <f>'[1]November - 2021'!DM18</f>
        <v>13</v>
      </c>
      <c r="DM18" s="257">
        <f>'[1]November - 2021'!DN18</f>
        <v>1669</v>
      </c>
      <c r="DN18" s="198">
        <f>'[1]November - 2021'!DO18</f>
        <v>3</v>
      </c>
      <c r="DO18" s="257">
        <f>'[1]November - 2021'!DP18</f>
        <v>3349</v>
      </c>
      <c r="DP18" s="198">
        <f>'[1]November - 2021'!DQ18</f>
        <v>8</v>
      </c>
      <c r="DQ18" s="257">
        <f>'[1]November - 2021'!DR18</f>
        <v>26153</v>
      </c>
      <c r="DR18" s="206">
        <f>'[1]November - 2021'!DS18</f>
        <v>2</v>
      </c>
      <c r="DS18" s="436"/>
      <c r="DT18" s="210">
        <f>'[1]November - 2021'!DU18</f>
        <v>2846.7</v>
      </c>
      <c r="DU18" s="221">
        <f>'[1]November - 2021'!DV18</f>
        <v>8.0999999999999091</v>
      </c>
      <c r="DV18" s="91">
        <f>'[1]November - 2021'!DW18</f>
        <v>7998.2</v>
      </c>
      <c r="DW18" s="215">
        <f>'[1]November - 2021'!DX18</f>
        <v>7.0999999999994543</v>
      </c>
      <c r="DX18" s="91">
        <f>'[1]November - 2021'!DY18</f>
        <v>2144.8000000000002</v>
      </c>
      <c r="DY18" s="215">
        <f>'[1]November - 2021'!DZ18</f>
        <v>7.4000000000000909</v>
      </c>
      <c r="DZ18" s="91">
        <f>'[1]November - 2021'!EA18</f>
        <v>2222.1999999999998</v>
      </c>
      <c r="EA18" s="215">
        <f>'[1]November - 2021'!EB18</f>
        <v>8.8999999999996362</v>
      </c>
      <c r="EB18" s="91">
        <f>'[1]November - 2021'!EC18</f>
        <v>853826</v>
      </c>
      <c r="EC18" s="215">
        <f>'[1]November - 2021'!ED18</f>
        <v>620</v>
      </c>
      <c r="ED18" s="91">
        <f>'[1]November - 2021'!EG18</f>
        <v>171815.6</v>
      </c>
      <c r="EE18" s="229">
        <f>'[1]November - 2021'!EH18</f>
        <v>154</v>
      </c>
      <c r="EF18" s="375"/>
      <c r="EG18" s="235">
        <f>'[1]November - 2021'!EJ18</f>
        <v>10311600</v>
      </c>
      <c r="EH18" s="230">
        <f>'[1]November - 2021'!EK18</f>
        <v>3300</v>
      </c>
      <c r="EI18" s="90">
        <f>'[1]November - 2021'!EL18</f>
        <v>818870</v>
      </c>
      <c r="EJ18" s="230">
        <f>'[1]November - 2021'!EM18</f>
        <v>390</v>
      </c>
      <c r="EK18" s="90">
        <f>'[1]November - 2021'!EN18</f>
        <v>6355400</v>
      </c>
      <c r="EL18" s="230">
        <f>'[1]November - 2021'!EO18</f>
        <v>2400</v>
      </c>
      <c r="EM18" s="90">
        <f>'[1]November - 2021'!EP18</f>
        <v>2235600</v>
      </c>
      <c r="EN18" s="230">
        <f>'[1]November - 2021'!EQ18</f>
        <v>500</v>
      </c>
      <c r="EO18" s="90">
        <f>'[1]November - 2021'!ER18</f>
        <v>973790</v>
      </c>
      <c r="EP18" s="230">
        <f>'[1]November - 2021'!ES18</f>
        <v>770</v>
      </c>
      <c r="EQ18" s="90">
        <f>'[1]November - 2021'!ET18</f>
        <v>14206400</v>
      </c>
      <c r="ER18" s="230">
        <f>'[1]November - 2021'!EU18</f>
        <v>4200</v>
      </c>
      <c r="ES18" s="423"/>
      <c r="ET18" s="281">
        <f>'[1]November - 2021'!EW18</f>
        <v>37061</v>
      </c>
      <c r="EU18" s="275">
        <f>'[1]November - 2021'!EX18</f>
        <v>16</v>
      </c>
      <c r="EV18" s="282">
        <f>'[1]November - 2021'!EY18</f>
        <v>32037</v>
      </c>
      <c r="EW18" s="275">
        <f>'[1]November - 2021'!EZ18</f>
        <v>13</v>
      </c>
      <c r="EX18" s="282">
        <f>'[1]November - 2021'!FA18</f>
        <v>3193</v>
      </c>
      <c r="EY18" s="275">
        <f>'[1]November - 2021'!FB18</f>
        <v>12</v>
      </c>
      <c r="EZ18" s="282">
        <f>'[1]November - 2021'!FC18</f>
        <v>53599</v>
      </c>
      <c r="FA18" s="275">
        <f>'[1]November - 2021'!FD18</f>
        <v>18</v>
      </c>
      <c r="FB18" s="282">
        <f>'[1]November - 2021'!FE18</f>
        <v>36803</v>
      </c>
      <c r="FC18" s="276">
        <f>'[1]November - 2021'!FF18</f>
        <v>35</v>
      </c>
    </row>
    <row r="19" spans="1:159" ht="30" customHeight="1" x14ac:dyDescent="0.25">
      <c r="A19" s="207">
        <v>43840</v>
      </c>
      <c r="B19" s="209">
        <f>'[1]November - 2021'!B19</f>
        <v>0.84</v>
      </c>
      <c r="C19" s="250">
        <f>'[1]November - 2021'!E19</f>
        <v>900032</v>
      </c>
      <c r="D19" s="170">
        <f>'[1]November - 2021'!F19</f>
        <v>760</v>
      </c>
      <c r="E19" s="168">
        <f>'[1]November - 2021'!G19</f>
        <v>518</v>
      </c>
      <c r="F19" s="168">
        <f>'[1]November - 2021'!H19</f>
        <v>77381</v>
      </c>
      <c r="G19" s="170">
        <f>'[1]November - 2021'!I19</f>
        <v>432</v>
      </c>
      <c r="H19" s="168">
        <f>'[1]November - 2021'!J19</f>
        <v>375</v>
      </c>
      <c r="I19" s="168">
        <f>'[1]November - 2021'!K19</f>
        <v>164625</v>
      </c>
      <c r="J19" s="170">
        <f>'[1]November - 2021'!L19</f>
        <v>0</v>
      </c>
      <c r="K19" s="168">
        <f>'[1]November - 2021'!N19</f>
        <v>812933</v>
      </c>
      <c r="L19" s="170">
        <f>'[1]November - 2021'!O19</f>
        <v>180</v>
      </c>
      <c r="M19" s="168">
        <f>'[1]November - 2021'!Q19</f>
        <v>185665</v>
      </c>
      <c r="N19" s="170">
        <f>'[1]November - 2021'!R19</f>
        <v>157</v>
      </c>
      <c r="O19" s="168">
        <f>'[1]November - 2021'!S19</f>
        <v>49713.93</v>
      </c>
      <c r="P19" s="170">
        <f>'[1]November - 2021'!T19</f>
        <v>117.44999999999709</v>
      </c>
      <c r="Q19" s="168">
        <f>'[1]November - 2021'!U19</f>
        <v>80</v>
      </c>
      <c r="R19" s="168">
        <f>'[1]November - 2021'!V19</f>
        <v>3435</v>
      </c>
      <c r="S19" s="208">
        <f>'[1]November - 2021'!W19</f>
        <v>17</v>
      </c>
      <c r="T19" s="518"/>
      <c r="U19" s="169">
        <f>'[1]November - 2021'!AC19</f>
        <v>7107760.7999999998</v>
      </c>
      <c r="V19" s="288">
        <f>'[1]November - 2021'!AD19</f>
        <v>2289.8400000007823</v>
      </c>
      <c r="W19" s="92">
        <f>'[1]November - 2021'!AD19</f>
        <v>2289.8400000007823</v>
      </c>
      <c r="X19" s="287">
        <f>'[1]November - 2021'!AF19</f>
        <v>13615680.959999999</v>
      </c>
      <c r="Y19" s="288">
        <f>'[1]November - 2021'!AG19</f>
        <v>4628.4000000003725</v>
      </c>
      <c r="Z19" s="92">
        <f>'[1]November - 2021'!AG19</f>
        <v>4628.4000000003725</v>
      </c>
      <c r="AA19" s="287">
        <f>'[1]November - 2021'!AI19</f>
        <v>13592587.68</v>
      </c>
      <c r="AB19" s="288">
        <f>'[1]November - 2021'!AJ19</f>
        <v>10718.39999999851</v>
      </c>
      <c r="AC19" s="92">
        <f>'[1]November - 2021'!AJ19</f>
        <v>10718.39999999851</v>
      </c>
      <c r="AD19" s="287">
        <f>'[1]November - 2021'!AL19</f>
        <v>16586431.68</v>
      </c>
      <c r="AE19" s="288">
        <f>'[1]November - 2021'!AM19</f>
        <v>828.24000000208616</v>
      </c>
      <c r="AF19" s="92">
        <f>'[1]November - 2021'!AM19</f>
        <v>828.24000000208616</v>
      </c>
      <c r="AG19" s="287">
        <f>'[1]November - 2021'!AO19</f>
        <v>16930248.719999999</v>
      </c>
      <c r="AH19" s="288">
        <f>'[1]November - 2021'!AP19</f>
        <v>633.35999999940395</v>
      </c>
      <c r="AI19" s="92">
        <f>'[1]November - 2021'!AP19</f>
        <v>633.35999999940395</v>
      </c>
      <c r="AJ19" s="287">
        <f>'[1]November - 2021'!AR19</f>
        <v>15316155.119999999</v>
      </c>
      <c r="AK19" s="288">
        <f>'[1]November - 2021'!AS19</f>
        <v>5895.1199999991804</v>
      </c>
      <c r="AL19" s="92">
        <f>'[1]November - 2021'!AS19</f>
        <v>5895.1199999991804</v>
      </c>
      <c r="AM19" s="287">
        <f>'[1]November - 2021'!AU19</f>
        <v>13041710.640000001</v>
      </c>
      <c r="AN19" s="288">
        <f>'[1]November - 2021'!AV19</f>
        <v>4774.5600000005215</v>
      </c>
      <c r="AO19" s="92">
        <f>'[1]November - 2021'!AV19</f>
        <v>4774.5600000005215</v>
      </c>
      <c r="AP19" s="287">
        <f>'[1]November - 2021'!AX19</f>
        <v>12542817.84</v>
      </c>
      <c r="AQ19" s="288">
        <f>'[1]November - 2021'!AY19</f>
        <v>4336.0800000000745</v>
      </c>
      <c r="AR19" s="92">
        <f>'[1]November - 2021'!AY19</f>
        <v>4336.0800000000745</v>
      </c>
      <c r="AS19" s="287">
        <f>'[1]November - 2021'!BA19</f>
        <v>9994810.5599999987</v>
      </c>
      <c r="AT19" s="288">
        <f>'[1]November - 2021'!BB19</f>
        <v>3702.7199999988079</v>
      </c>
      <c r="AU19" s="92">
        <f>'[1]November - 2021'!BB19</f>
        <v>3702.7199999988079</v>
      </c>
      <c r="AV19" s="287">
        <f>'[1]November - 2021'!BD19</f>
        <v>15496906.319999998</v>
      </c>
      <c r="AW19" s="252">
        <f>'[1]November - 2021'!BE19</f>
        <v>5748.9599999990314</v>
      </c>
      <c r="AX19" s="253">
        <f>'[1]November - 2021'!BE19</f>
        <v>5748.9599999990314</v>
      </c>
      <c r="AY19" s="484"/>
      <c r="AZ19" s="272">
        <f>'[1]November - 2021'!BK19</f>
        <v>67447600</v>
      </c>
      <c r="BA19" s="179">
        <f>'[1]November - 2021'!BL19</f>
        <v>61500</v>
      </c>
      <c r="BB19" s="93">
        <f>'[1]November - 2021'!BL19</f>
        <v>61500</v>
      </c>
      <c r="BC19" s="272">
        <f>'[1]November - 2021'!BN19</f>
        <v>69881400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64331900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7507270</v>
      </c>
      <c r="BT19" s="185">
        <f>'[1]November - 2021'!BU19</f>
        <v>7180</v>
      </c>
      <c r="BU19" s="391"/>
      <c r="BV19" s="88">
        <f>'[1]November - 2021'!BW19</f>
        <v>0.69</v>
      </c>
      <c r="BW19" s="241">
        <f>'[1]November - 2021'!BX19</f>
        <v>5.0000000000000044E-2</v>
      </c>
      <c r="BX19" s="88">
        <f>'[1]November - 2021'!BX19</f>
        <v>5.0000000000000044E-2</v>
      </c>
      <c r="BY19" s="89">
        <f>'[1]November - 2021'!BZ19</f>
        <v>56497</v>
      </c>
      <c r="BZ19" s="191">
        <f>'[1]November - 2021'!CA19</f>
        <v>20</v>
      </c>
      <c r="CA19" s="89">
        <f>'[1]November - 2021'!CB19</f>
        <v>48019</v>
      </c>
      <c r="CB19" s="191">
        <f>'[1]November - 2021'!CC19</f>
        <v>20</v>
      </c>
      <c r="CC19" s="89">
        <f>'[1]November - 2021'!CD19</f>
        <v>16560</v>
      </c>
      <c r="CD19" s="191">
        <f>'[1]November - 2021'!CE19</f>
        <v>6</v>
      </c>
      <c r="CE19" s="89">
        <f>'[1]November - 2021'!CF19</f>
        <v>21751</v>
      </c>
      <c r="CF19" s="191">
        <f>'[1]November - 2021'!CG19</f>
        <v>11</v>
      </c>
      <c r="CG19" s="89">
        <f>'[1]November - 2021'!CH19</f>
        <v>23651</v>
      </c>
      <c r="CH19" s="191">
        <f>'[1]November - 2021'!CI19</f>
        <v>18</v>
      </c>
      <c r="CI19" s="89">
        <f>'[1]November - 2021'!CJ19</f>
        <v>52648</v>
      </c>
      <c r="CJ19" s="191">
        <f>'[1]November - 2021'!CK19</f>
        <v>26</v>
      </c>
      <c r="CK19" s="89">
        <f>'[1]November - 2021'!CL19</f>
        <v>231239</v>
      </c>
      <c r="CL19" s="246">
        <f>'[1]November - 2021'!CM19</f>
        <v>105</v>
      </c>
      <c r="CM19" s="89">
        <f>'[1]November - 2021'!CM19</f>
        <v>105</v>
      </c>
      <c r="CN19" s="89">
        <f>'[1]November - 2021'!CO19</f>
        <v>176930</v>
      </c>
      <c r="CO19" s="246">
        <f>'[1]November - 2021'!CP19</f>
        <v>99</v>
      </c>
      <c r="CP19" s="89">
        <f>'[1]November - 2021'!CP19</f>
        <v>99</v>
      </c>
      <c r="CQ19" s="89">
        <f>'[1]November - 2021'!CR19</f>
        <v>311305</v>
      </c>
      <c r="CR19" s="246">
        <f>'[1]November - 2021'!CS19</f>
        <v>218</v>
      </c>
      <c r="CS19" s="89">
        <f>'[1]November - 2021'!CS19</f>
        <v>218</v>
      </c>
      <c r="CT19" s="89">
        <f>'[1]November - 2021'!CU19</f>
        <v>613118</v>
      </c>
      <c r="CU19" s="191">
        <f>'[1]November - 2021'!CV19</f>
        <v>240</v>
      </c>
      <c r="CV19" s="451"/>
      <c r="CW19" s="256">
        <f>'[1]November - 2021'!CX19</f>
        <v>6131</v>
      </c>
      <c r="CX19" s="198">
        <f>'[1]November - 2021'!CY19</f>
        <v>10</v>
      </c>
      <c r="CY19" s="257">
        <f>'[1]November - 2021'!CZ19</f>
        <v>3656</v>
      </c>
      <c r="CZ19" s="198">
        <f>'[1]November - 2021'!DA19</f>
        <v>9</v>
      </c>
      <c r="DA19" s="257">
        <f>'[1]November - 2021'!DB19</f>
        <v>26292</v>
      </c>
      <c r="DB19" s="198">
        <f>'[1]November - 2021'!DC19</f>
        <v>17</v>
      </c>
      <c r="DC19" s="257">
        <f>'[1]November - 2021'!DD19</f>
        <v>27035</v>
      </c>
      <c r="DD19" s="198">
        <f>'[1]November - 2021'!DE19</f>
        <v>17</v>
      </c>
      <c r="DE19" s="257">
        <f>'[1]November - 2021'!DF19</f>
        <v>18391</v>
      </c>
      <c r="DF19" s="198">
        <f>'[1]November - 2021'!DG19</f>
        <v>8</v>
      </c>
      <c r="DG19" s="257">
        <f>'[1]November - 2021'!DH19</f>
        <v>21494</v>
      </c>
      <c r="DH19" s="198">
        <f>'[1]November - 2021'!DI19</f>
        <v>9</v>
      </c>
      <c r="DI19" s="257">
        <f>'[1]November - 2021'!DJ19</f>
        <v>3008</v>
      </c>
      <c r="DJ19" s="198">
        <f>'[1]November - 2021'!DK19</f>
        <v>9</v>
      </c>
      <c r="DK19" s="257">
        <f>'[1]November - 2021'!DL19</f>
        <v>6292</v>
      </c>
      <c r="DL19" s="198">
        <f>'[1]November - 2021'!DM19</f>
        <v>8</v>
      </c>
      <c r="DM19" s="257">
        <f>'[1]November - 2021'!DN19</f>
        <v>1674</v>
      </c>
      <c r="DN19" s="198">
        <f>'[1]November - 2021'!DO19</f>
        <v>5</v>
      </c>
      <c r="DO19" s="257">
        <f>'[1]November - 2021'!DP19</f>
        <v>3358</v>
      </c>
      <c r="DP19" s="198">
        <f>'[1]November - 2021'!DQ19</f>
        <v>9</v>
      </c>
      <c r="DQ19" s="257">
        <f>'[1]November - 2021'!DR19</f>
        <v>26161</v>
      </c>
      <c r="DR19" s="206">
        <f>'[1]November - 2021'!DS19</f>
        <v>8</v>
      </c>
      <c r="DS19" s="436"/>
      <c r="DT19" s="210">
        <f>'[1]November - 2021'!DU19</f>
        <v>2854.9</v>
      </c>
      <c r="DU19" s="221">
        <f>'[1]November - 2021'!DV19</f>
        <v>8.2000000000002728</v>
      </c>
      <c r="DV19" s="91">
        <f>'[1]November - 2021'!DW19</f>
        <v>8005.4</v>
      </c>
      <c r="DW19" s="215">
        <f>'[1]November - 2021'!DX19</f>
        <v>7.1999999999998181</v>
      </c>
      <c r="DX19" s="91">
        <f>'[1]November - 2021'!DY19</f>
        <v>2152</v>
      </c>
      <c r="DY19" s="215">
        <f>'[1]November - 2021'!DZ19</f>
        <v>7.1999999999998181</v>
      </c>
      <c r="DZ19" s="91">
        <f>'[1]November - 2021'!EA19</f>
        <v>2231.1</v>
      </c>
      <c r="EA19" s="215">
        <f>'[1]November - 2021'!EB19</f>
        <v>8.9000000000000909</v>
      </c>
      <c r="EB19" s="91">
        <f>'[1]November - 2021'!EC19</f>
        <v>854444</v>
      </c>
      <c r="EC19" s="215">
        <f>'[1]November - 2021'!ED19</f>
        <v>618</v>
      </c>
      <c r="ED19" s="91">
        <f>'[1]November - 2021'!EG19</f>
        <v>171971.5</v>
      </c>
      <c r="EE19" s="229">
        <f>'[1]November - 2021'!EH19</f>
        <v>155.89999999999418</v>
      </c>
      <c r="EF19" s="375"/>
      <c r="EG19" s="235">
        <f>'[1]November - 2021'!EJ19</f>
        <v>10314500</v>
      </c>
      <c r="EH19" s="230">
        <f>'[1]November - 2021'!EK19</f>
        <v>2900</v>
      </c>
      <c r="EI19" s="90">
        <f>'[1]November - 2021'!EL19</f>
        <v>819250</v>
      </c>
      <c r="EJ19" s="230">
        <f>'[1]November - 2021'!EM19</f>
        <v>380</v>
      </c>
      <c r="EK19" s="90">
        <f>'[1]November - 2021'!EN19</f>
        <v>6357400</v>
      </c>
      <c r="EL19" s="230">
        <f>'[1]November - 2021'!EO19</f>
        <v>2000</v>
      </c>
      <c r="EM19" s="90">
        <f>'[1]November - 2021'!EP19</f>
        <v>2236100</v>
      </c>
      <c r="EN19" s="230">
        <f>'[1]November - 2021'!EQ19</f>
        <v>500</v>
      </c>
      <c r="EO19" s="90">
        <f>'[1]November - 2021'!ER19</f>
        <v>974580</v>
      </c>
      <c r="EP19" s="230">
        <f>'[1]November - 2021'!ES19</f>
        <v>790</v>
      </c>
      <c r="EQ19" s="90">
        <f>'[1]November - 2021'!ET19</f>
        <v>14209800</v>
      </c>
      <c r="ER19" s="230">
        <f>'[1]November - 2021'!EU19</f>
        <v>3400</v>
      </c>
      <c r="ES19" s="423"/>
      <c r="ET19" s="281">
        <f>'[1]November - 2021'!EW19</f>
        <v>37075</v>
      </c>
      <c r="EU19" s="275">
        <f>'[1]November - 2021'!EX19</f>
        <v>14</v>
      </c>
      <c r="EV19" s="282">
        <f>'[1]November - 2021'!EY19</f>
        <v>32050</v>
      </c>
      <c r="EW19" s="275">
        <f>'[1]November - 2021'!EZ19</f>
        <v>13</v>
      </c>
      <c r="EX19" s="282">
        <f>'[1]November - 2021'!FA19</f>
        <v>3206</v>
      </c>
      <c r="EY19" s="275">
        <f>'[1]November - 2021'!FB19</f>
        <v>13</v>
      </c>
      <c r="EZ19" s="282">
        <f>'[1]November - 2021'!FC19</f>
        <v>53618</v>
      </c>
      <c r="FA19" s="275">
        <f>'[1]November - 2021'!FD19</f>
        <v>19</v>
      </c>
      <c r="FB19" s="282">
        <f>'[1]November - 2021'!FE19</f>
        <v>36835</v>
      </c>
      <c r="FC19" s="276">
        <f>'[1]November - 2021'!FF19</f>
        <v>32</v>
      </c>
    </row>
    <row r="20" spans="1:159" ht="30" customHeight="1" x14ac:dyDescent="0.25">
      <c r="A20" s="207">
        <v>43841</v>
      </c>
      <c r="B20" s="209">
        <f>'[1]November - 2021'!B20</f>
        <v>0.86</v>
      </c>
      <c r="C20" s="250">
        <f>'[1]November - 2021'!E20</f>
        <v>900763</v>
      </c>
      <c r="D20" s="170">
        <f>'[1]November - 2021'!F20</f>
        <v>731</v>
      </c>
      <c r="E20" s="168">
        <f>'[1]November - 2021'!G20</f>
        <v>535</v>
      </c>
      <c r="F20" s="168">
        <f>'[1]November - 2021'!H20</f>
        <v>77813</v>
      </c>
      <c r="G20" s="170">
        <f>'[1]November - 2021'!I20</f>
        <v>432</v>
      </c>
      <c r="H20" s="168">
        <f>'[1]November - 2021'!J20</f>
        <v>375</v>
      </c>
      <c r="I20" s="168">
        <f>'[1]November - 2021'!K20</f>
        <v>164625</v>
      </c>
      <c r="J20" s="170">
        <f>'[1]November - 2021'!L20</f>
        <v>0</v>
      </c>
      <c r="K20" s="168">
        <f>'[1]November - 2021'!N20</f>
        <v>813211</v>
      </c>
      <c r="L20" s="170">
        <f>'[1]November - 2021'!O20</f>
        <v>278</v>
      </c>
      <c r="M20" s="168">
        <f>'[1]November - 2021'!Q20</f>
        <v>185786</v>
      </c>
      <c r="N20" s="170">
        <f>'[1]November - 2021'!R20</f>
        <v>121</v>
      </c>
      <c r="O20" s="168">
        <f>'[1]November - 2021'!S20</f>
        <v>49827.02</v>
      </c>
      <c r="P20" s="170">
        <f>'[1]November - 2021'!T20</f>
        <v>113.08999999999651</v>
      </c>
      <c r="Q20" s="168">
        <f>'[1]November - 2021'!U20</f>
        <v>84</v>
      </c>
      <c r="R20" s="168">
        <f>'[1]November - 2021'!V20</f>
        <v>3451</v>
      </c>
      <c r="S20" s="208">
        <f>'[1]November - 2021'!W20</f>
        <v>16</v>
      </c>
      <c r="T20" s="518"/>
      <c r="U20" s="169">
        <f>'[1]November - 2021'!AC20</f>
        <v>7110001.9199999999</v>
      </c>
      <c r="V20" s="288">
        <f>'[1]November - 2021'!AD20</f>
        <v>2241.1200000001118</v>
      </c>
      <c r="W20" s="92">
        <f>'[1]November - 2021'!AD20</f>
        <v>2241.1200000001118</v>
      </c>
      <c r="X20" s="287">
        <f>'[1]November - 2021'!AF20</f>
        <v>13620211.919999998</v>
      </c>
      <c r="Y20" s="288">
        <f>'[1]November - 2021'!AG20</f>
        <v>4530.9599999990314</v>
      </c>
      <c r="Z20" s="92">
        <f>'[1]November - 2021'!AG20</f>
        <v>4530.9599999990314</v>
      </c>
      <c r="AA20" s="287">
        <f>'[1]November - 2021'!AI20</f>
        <v>13602818.880000001</v>
      </c>
      <c r="AB20" s="288">
        <f>'[1]November - 2021'!AJ20</f>
        <v>10231.200000001118</v>
      </c>
      <c r="AC20" s="92">
        <f>'[1]November - 2021'!AJ20</f>
        <v>10231.200000001118</v>
      </c>
      <c r="AD20" s="287">
        <f>'[1]November - 2021'!AL20</f>
        <v>16587308.639999999</v>
      </c>
      <c r="AE20" s="288">
        <f>'[1]November - 2021'!AM20</f>
        <v>876.95999999903142</v>
      </c>
      <c r="AF20" s="92">
        <f>'[1]November - 2021'!AM20</f>
        <v>876.95999999903142</v>
      </c>
      <c r="AG20" s="287">
        <f>'[1]November - 2021'!AO20</f>
        <v>16930882.080000002</v>
      </c>
      <c r="AH20" s="288">
        <f>'[1]November - 2021'!AP20</f>
        <v>633.36000000312924</v>
      </c>
      <c r="AI20" s="92">
        <f>'[1]November - 2021'!AP20</f>
        <v>633.36000000312924</v>
      </c>
      <c r="AJ20" s="287">
        <f>'[1]November - 2021'!AR20</f>
        <v>15322001.52</v>
      </c>
      <c r="AK20" s="288">
        <f>'[1]November - 2021'!AS20</f>
        <v>5846.4000000003725</v>
      </c>
      <c r="AL20" s="92">
        <f>'[1]November - 2021'!AS20</f>
        <v>5846.4000000003725</v>
      </c>
      <c r="AM20" s="287">
        <f>'[1]November - 2021'!AU20</f>
        <v>13046436.48</v>
      </c>
      <c r="AN20" s="288">
        <f>'[1]November - 2021'!AV20</f>
        <v>4725.839999999851</v>
      </c>
      <c r="AO20" s="92">
        <f>'[1]November - 2021'!AV20</f>
        <v>4725.839999999851</v>
      </c>
      <c r="AP20" s="287">
        <f>'[1]November - 2021'!AX20</f>
        <v>12546861.6</v>
      </c>
      <c r="AQ20" s="288">
        <f>'[1]November - 2021'!AY20</f>
        <v>4043.7599999997765</v>
      </c>
      <c r="AR20" s="92">
        <f>'[1]November - 2021'!AY20</f>
        <v>4043.7599999997765</v>
      </c>
      <c r="AS20" s="287">
        <f>'[1]November - 2021'!BA20</f>
        <v>9997879.9199999999</v>
      </c>
      <c r="AT20" s="289">
        <f>'[1]November - 2021'!BB20</f>
        <v>3069.3600000012666</v>
      </c>
      <c r="AU20" s="92">
        <f>'[1]November - 2021'!BB20</f>
        <v>3069.3600000012666</v>
      </c>
      <c r="AV20" s="287">
        <f>'[1]November - 2021'!BD20</f>
        <v>15502606.559999999</v>
      </c>
      <c r="AW20" s="252">
        <f>'[1]November - 2021'!BE20</f>
        <v>5700.2400000002235</v>
      </c>
      <c r="AX20" s="253">
        <f>'[1]November - 2021'!BE20</f>
        <v>5700.2400000002235</v>
      </c>
      <c r="AY20" s="484"/>
      <c r="AZ20" s="272">
        <f>'[1]November - 2021'!BK20</f>
        <v>67507700</v>
      </c>
      <c r="BA20" s="179">
        <f>'[1]November - 2021'!BL20</f>
        <v>60100</v>
      </c>
      <c r="BB20" s="93">
        <f>'[1]November - 2021'!BL20</f>
        <v>60100</v>
      </c>
      <c r="BC20" s="272">
        <f>'[1]November - 2021'!BN20</f>
        <v>69881400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64331900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7514580</v>
      </c>
      <c r="BT20" s="185">
        <f>'[1]November - 2021'!BU20</f>
        <v>7310</v>
      </c>
      <c r="BU20" s="391"/>
      <c r="BV20" s="88">
        <f>'[1]November - 2021'!BW20</f>
        <v>0.63</v>
      </c>
      <c r="BW20" s="241">
        <f>'[1]November - 2021'!BX20</f>
        <v>5.9999999999999942E-2</v>
      </c>
      <c r="BX20" s="88">
        <f>'[1]November - 2021'!BX20</f>
        <v>5.9999999999999942E-2</v>
      </c>
      <c r="BY20" s="89">
        <f>'[1]November - 2021'!BZ20</f>
        <v>56516</v>
      </c>
      <c r="BZ20" s="191">
        <f>'[1]November - 2021'!CA20</f>
        <v>19</v>
      </c>
      <c r="CA20" s="89">
        <f>'[1]November - 2021'!CB20</f>
        <v>48038</v>
      </c>
      <c r="CB20" s="191">
        <f>'[1]November - 2021'!CC20</f>
        <v>19</v>
      </c>
      <c r="CC20" s="89">
        <f>'[1]November - 2021'!CD20</f>
        <v>16567</v>
      </c>
      <c r="CD20" s="191">
        <f>'[1]November - 2021'!CE20</f>
        <v>7</v>
      </c>
      <c r="CE20" s="89">
        <f>'[1]November - 2021'!CF20</f>
        <v>21762</v>
      </c>
      <c r="CF20" s="191">
        <f>'[1]November - 2021'!CG20</f>
        <v>11</v>
      </c>
      <c r="CG20" s="89">
        <f>'[1]November - 2021'!CH20</f>
        <v>23665</v>
      </c>
      <c r="CH20" s="191">
        <f>'[1]November - 2021'!CI20</f>
        <v>14</v>
      </c>
      <c r="CI20" s="89">
        <f>'[1]November - 2021'!CJ20</f>
        <v>52674</v>
      </c>
      <c r="CJ20" s="191">
        <f>'[1]November - 2021'!CK20</f>
        <v>26</v>
      </c>
      <c r="CK20" s="89">
        <f>'[1]November - 2021'!CL20</f>
        <v>231341</v>
      </c>
      <c r="CL20" s="246">
        <f>'[1]November - 2021'!CM20</f>
        <v>102</v>
      </c>
      <c r="CM20" s="89">
        <f>'[1]November - 2021'!CM20</f>
        <v>102</v>
      </c>
      <c r="CN20" s="89">
        <f>'[1]November - 2021'!CO20</f>
        <v>177030</v>
      </c>
      <c r="CO20" s="246">
        <f>'[1]November - 2021'!CP20</f>
        <v>100</v>
      </c>
      <c r="CP20" s="89">
        <f>'[1]November - 2021'!CP20</f>
        <v>100</v>
      </c>
      <c r="CQ20" s="89">
        <f>'[1]November - 2021'!CR20</f>
        <v>311588</v>
      </c>
      <c r="CR20" s="246">
        <f>'[1]November - 2021'!CS20</f>
        <v>283</v>
      </c>
      <c r="CS20" s="89">
        <f>'[1]November - 2021'!CS20</f>
        <v>283</v>
      </c>
      <c r="CT20" s="89">
        <f>'[1]November - 2021'!CU20</f>
        <v>613356</v>
      </c>
      <c r="CU20" s="191">
        <f>'[1]November - 2021'!CV20</f>
        <v>238</v>
      </c>
      <c r="CV20" s="451"/>
      <c r="CW20" s="256">
        <f>'[1]November - 2021'!CX20</f>
        <v>6140</v>
      </c>
      <c r="CX20" s="198">
        <f>'[1]November - 2021'!CY20</f>
        <v>9</v>
      </c>
      <c r="CY20" s="257">
        <f>'[1]November - 2021'!CZ20</f>
        <v>3666</v>
      </c>
      <c r="CZ20" s="198">
        <f>'[1]November - 2021'!DA20</f>
        <v>10</v>
      </c>
      <c r="DA20" s="257">
        <f>'[1]November - 2021'!DB20</f>
        <v>26310</v>
      </c>
      <c r="DB20" s="198">
        <f>'[1]November - 2021'!DC20</f>
        <v>18</v>
      </c>
      <c r="DC20" s="257">
        <f>'[1]November - 2021'!DD20</f>
        <v>27055</v>
      </c>
      <c r="DD20" s="198">
        <f>'[1]November - 2021'!DE20</f>
        <v>20</v>
      </c>
      <c r="DE20" s="257">
        <f>'[1]November - 2021'!DF20</f>
        <v>18401</v>
      </c>
      <c r="DF20" s="198">
        <f>'[1]November - 2021'!DG20</f>
        <v>10</v>
      </c>
      <c r="DG20" s="257">
        <f>'[1]November - 2021'!DH20</f>
        <v>21505</v>
      </c>
      <c r="DH20" s="198">
        <f>'[1]November - 2021'!DI20</f>
        <v>11</v>
      </c>
      <c r="DI20" s="257">
        <f>'[1]November - 2021'!DJ20</f>
        <v>3016</v>
      </c>
      <c r="DJ20" s="198">
        <f>'[1]November - 2021'!DK20</f>
        <v>8</v>
      </c>
      <c r="DK20" s="257">
        <f>'[1]November - 2021'!DL20</f>
        <v>6302</v>
      </c>
      <c r="DL20" s="198">
        <f>'[1]November - 2021'!DM20</f>
        <v>10</v>
      </c>
      <c r="DM20" s="257">
        <f>'[1]November - 2021'!DN20</f>
        <v>1678</v>
      </c>
      <c r="DN20" s="198">
        <f>'[1]November - 2021'!DO20</f>
        <v>4</v>
      </c>
      <c r="DO20" s="257">
        <f>'[1]November - 2021'!DP20</f>
        <v>3366</v>
      </c>
      <c r="DP20" s="198">
        <f>'[1]November - 2021'!DQ20</f>
        <v>8</v>
      </c>
      <c r="DQ20" s="257">
        <f>'[1]November - 2021'!DR20</f>
        <v>26171</v>
      </c>
      <c r="DR20" s="206">
        <f>'[1]November - 2021'!DS20</f>
        <v>10</v>
      </c>
      <c r="DS20" s="436"/>
      <c r="DT20" s="210">
        <f>'[1]November - 2021'!DU20</f>
        <v>2863.4</v>
      </c>
      <c r="DU20" s="221">
        <f>'[1]November - 2021'!DV20</f>
        <v>8.5</v>
      </c>
      <c r="DV20" s="91">
        <f>'[1]November - 2021'!DW20</f>
        <v>8012.7</v>
      </c>
      <c r="DW20" s="215">
        <f>'[1]November - 2021'!DX20</f>
        <v>7.3000000000001819</v>
      </c>
      <c r="DX20" s="91">
        <f>'[1]November - 2021'!DY20</f>
        <v>2159.1999999999998</v>
      </c>
      <c r="DY20" s="215">
        <f>'[1]November - 2021'!DZ20</f>
        <v>7.1999999999998181</v>
      </c>
      <c r="DZ20" s="91">
        <f>'[1]November - 2021'!EA20</f>
        <v>2239.8000000000002</v>
      </c>
      <c r="EA20" s="215">
        <f>'[1]November - 2021'!EB20</f>
        <v>8.7000000000002728</v>
      </c>
      <c r="EB20" s="91">
        <f>'[1]November - 2021'!EC20</f>
        <v>855079</v>
      </c>
      <c r="EC20" s="215">
        <f>'[1]November - 2021'!ED20</f>
        <v>635</v>
      </c>
      <c r="ED20" s="91">
        <f>'[1]November - 2021'!EG20</f>
        <v>172124.9</v>
      </c>
      <c r="EE20" s="229">
        <f>'[1]November - 2021'!EH20</f>
        <v>153.39999999999418</v>
      </c>
      <c r="EF20" s="375"/>
      <c r="EG20" s="235">
        <f>'[1]November - 2021'!EJ20</f>
        <v>10317300</v>
      </c>
      <c r="EH20" s="230">
        <f>'[1]November - 2021'!EK20</f>
        <v>2800</v>
      </c>
      <c r="EI20" s="90">
        <f>'[1]November - 2021'!EL20</f>
        <v>819620</v>
      </c>
      <c r="EJ20" s="230">
        <f>'[1]November - 2021'!EM20</f>
        <v>370</v>
      </c>
      <c r="EK20" s="90">
        <f>'[1]November - 2021'!EN20</f>
        <v>6359100</v>
      </c>
      <c r="EL20" s="230">
        <f>'[1]November - 2021'!EO20</f>
        <v>1700</v>
      </c>
      <c r="EM20" s="90">
        <f>'[1]November - 2021'!EP20</f>
        <v>2236600</v>
      </c>
      <c r="EN20" s="230">
        <f>'[1]November - 2021'!EQ20</f>
        <v>500</v>
      </c>
      <c r="EO20" s="90">
        <f>'[1]November - 2021'!ER20</f>
        <v>975360</v>
      </c>
      <c r="EP20" s="230">
        <f>'[1]November - 2021'!ES20</f>
        <v>780</v>
      </c>
      <c r="EQ20" s="90">
        <f>'[1]November - 2021'!ET20</f>
        <v>14212700</v>
      </c>
      <c r="ER20" s="230">
        <f>'[1]November - 2021'!EU20</f>
        <v>2900</v>
      </c>
      <c r="ES20" s="423"/>
      <c r="ET20" s="281">
        <f>'[1]November - 2021'!EW20</f>
        <v>37092</v>
      </c>
      <c r="EU20" s="275">
        <f>'[1]November - 2021'!EX20</f>
        <v>17</v>
      </c>
      <c r="EV20" s="282">
        <f>'[1]November - 2021'!EY20</f>
        <v>32063</v>
      </c>
      <c r="EW20" s="275">
        <f>'[1]November - 2021'!EZ20</f>
        <v>13</v>
      </c>
      <c r="EX20" s="282">
        <f>'[1]November - 2021'!FA20</f>
        <v>3219</v>
      </c>
      <c r="EY20" s="275">
        <f>'[1]November - 2021'!FB20</f>
        <v>13</v>
      </c>
      <c r="EZ20" s="282">
        <f>'[1]November - 2021'!FC20</f>
        <v>53637</v>
      </c>
      <c r="FA20" s="275">
        <f>'[1]November - 2021'!FD20</f>
        <v>19</v>
      </c>
      <c r="FB20" s="282">
        <f>'[1]November - 2021'!FE20</f>
        <v>36870</v>
      </c>
      <c r="FC20" s="276">
        <f>'[1]November - 2021'!FF20</f>
        <v>35</v>
      </c>
    </row>
    <row r="21" spans="1:159" ht="30" customHeight="1" x14ac:dyDescent="0.25">
      <c r="A21" s="207">
        <v>43842</v>
      </c>
      <c r="B21" s="209">
        <f>'[1]November - 2021'!B21</f>
        <v>0.89</v>
      </c>
      <c r="C21" s="250">
        <f>'[1]November - 2021'!E21</f>
        <v>901470</v>
      </c>
      <c r="D21" s="170">
        <f>'[1]November - 2021'!F21</f>
        <v>707</v>
      </c>
      <c r="E21" s="168">
        <f>'[1]November - 2021'!G21</f>
        <v>555</v>
      </c>
      <c r="F21" s="168">
        <f>'[1]November - 2021'!H21</f>
        <v>78288</v>
      </c>
      <c r="G21" s="170">
        <f>'[1]November - 2021'!I21</f>
        <v>475</v>
      </c>
      <c r="H21" s="168">
        <f>'[1]November - 2021'!J21</f>
        <v>407</v>
      </c>
      <c r="I21" s="168">
        <f>'[1]November - 2021'!K21</f>
        <v>164625</v>
      </c>
      <c r="J21" s="170">
        <f>'[1]November - 2021'!L21</f>
        <v>0</v>
      </c>
      <c r="K21" s="168">
        <f>'[1]November - 2021'!N21</f>
        <v>813333</v>
      </c>
      <c r="L21" s="170">
        <f>'[1]November - 2021'!O21</f>
        <v>122</v>
      </c>
      <c r="M21" s="168">
        <f>'[1]November - 2021'!Q21</f>
        <v>185871</v>
      </c>
      <c r="N21" s="170">
        <f>'[1]November - 2021'!R21</f>
        <v>85</v>
      </c>
      <c r="O21" s="168">
        <f>'[1]November - 2021'!S21</f>
        <v>49949.09</v>
      </c>
      <c r="P21" s="170">
        <f>'[1]November - 2021'!T21</f>
        <v>122.06999999999971</v>
      </c>
      <c r="Q21" s="168">
        <f>'[1]November - 2021'!U21</f>
        <v>83</v>
      </c>
      <c r="R21" s="168">
        <f>'[1]November - 2021'!V21</f>
        <v>3471</v>
      </c>
      <c r="S21" s="208">
        <f>'[1]November - 2021'!W21</f>
        <v>20</v>
      </c>
      <c r="T21" s="518"/>
      <c r="U21" s="169">
        <f>'[1]November - 2021'!AC21</f>
        <v>7112340.4799999995</v>
      </c>
      <c r="V21" s="288">
        <f>'[1]November - 2021'!AD21</f>
        <v>2338.5599999995902</v>
      </c>
      <c r="W21" s="92">
        <f>'[1]November - 2021'!AD21</f>
        <v>2338.5599999995902</v>
      </c>
      <c r="X21" s="287">
        <f>'[1]November - 2021'!AF21</f>
        <v>13624791.6</v>
      </c>
      <c r="Y21" s="288">
        <f>'[1]November - 2021'!AG21</f>
        <v>4579.6800000015646</v>
      </c>
      <c r="Z21" s="92">
        <f>'[1]November - 2021'!AG21</f>
        <v>4579.6800000015646</v>
      </c>
      <c r="AA21" s="287">
        <f>'[1]November - 2021'!AI21</f>
        <v>13613439.84</v>
      </c>
      <c r="AB21" s="288">
        <f>'[1]November - 2021'!AJ21</f>
        <v>10620.959999999031</v>
      </c>
      <c r="AC21" s="92">
        <f>'[1]November - 2021'!AJ21</f>
        <v>10620.959999999031</v>
      </c>
      <c r="AD21" s="287">
        <f>'[1]November - 2021'!AL21</f>
        <v>16588234.319999998</v>
      </c>
      <c r="AE21" s="288">
        <f>'[1]November - 2021'!AM21</f>
        <v>925.67999999970198</v>
      </c>
      <c r="AF21" s="92">
        <f>'[1]November - 2021'!AM21</f>
        <v>925.67999999970198</v>
      </c>
      <c r="AG21" s="287">
        <f>'[1]November - 2021'!AO21</f>
        <v>16931564.16</v>
      </c>
      <c r="AH21" s="288">
        <f>'[1]November - 2021'!AP21</f>
        <v>682.07999999821186</v>
      </c>
      <c r="AI21" s="92">
        <f>'[1]November - 2021'!AP21</f>
        <v>682.07999999821186</v>
      </c>
      <c r="AJ21" s="287">
        <f>'[1]November - 2021'!AR21</f>
        <v>15327994.08</v>
      </c>
      <c r="AK21" s="288">
        <f>'[1]November - 2021'!AS21</f>
        <v>5992.5600000005215</v>
      </c>
      <c r="AL21" s="92">
        <f>'[1]November - 2021'!AS21</f>
        <v>5992.5600000005215</v>
      </c>
      <c r="AM21" s="287">
        <f>'[1]November - 2021'!AU21</f>
        <v>13051211.040000001</v>
      </c>
      <c r="AN21" s="288">
        <f>'[1]November - 2021'!AV21</f>
        <v>4774.5600000005215</v>
      </c>
      <c r="AO21" s="283">
        <f>'[1]November - 2021'!AV21</f>
        <v>4774.5600000005215</v>
      </c>
      <c r="AP21" s="287">
        <f>'[1]November - 2021'!AX21</f>
        <v>12551197.68</v>
      </c>
      <c r="AQ21" s="288">
        <f>'[1]November - 2021'!AY21</f>
        <v>4336.0800000000745</v>
      </c>
      <c r="AR21" s="92">
        <f>'[1]November - 2021'!AY21</f>
        <v>4336.0800000000745</v>
      </c>
      <c r="AS21" s="290">
        <f>'[1]November - 2021'!BA21</f>
        <v>10001241.6</v>
      </c>
      <c r="AT21" s="289">
        <f>'[1]November - 2021'!BB21</f>
        <v>3361.679999999702</v>
      </c>
      <c r="AU21" s="92">
        <f>'[1]November - 2021'!BB21</f>
        <v>3361.679999999702</v>
      </c>
      <c r="AV21" s="287">
        <f>'[1]November - 2021'!BD21</f>
        <v>15508599.119999999</v>
      </c>
      <c r="AW21" s="252">
        <f>'[1]November - 2021'!BE21</f>
        <v>5992.5600000005215</v>
      </c>
      <c r="AX21" s="253">
        <f>'[1]November - 2021'!BE21</f>
        <v>5992.5600000005215</v>
      </c>
      <c r="AY21" s="484"/>
      <c r="AZ21" s="272">
        <f>'[1]November - 2021'!BK21</f>
        <v>67569000</v>
      </c>
      <c r="BA21" s="179">
        <f>'[1]November - 2021'!BL21</f>
        <v>61300</v>
      </c>
      <c r="BB21" s="93">
        <f>'[1]November - 2021'!BL21</f>
        <v>61300</v>
      </c>
      <c r="BC21" s="272">
        <f>'[1]November - 2021'!BN21</f>
        <v>69881400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64331900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7521960</v>
      </c>
      <c r="BT21" s="185">
        <f>'[1]November - 2021'!BU21</f>
        <v>7380</v>
      </c>
      <c r="BU21" s="391"/>
      <c r="BV21" s="88">
        <f>'[1]November - 2021'!BW21</f>
        <v>0.78</v>
      </c>
      <c r="BW21" s="241">
        <f>'[1]November - 2021'!BX21</f>
        <v>-0.15000000000000002</v>
      </c>
      <c r="BX21" s="88">
        <f>'[1]November - 2021'!BX21</f>
        <v>-0.15000000000000002</v>
      </c>
      <c r="BY21" s="89">
        <f>'[1]November - 2021'!BZ21</f>
        <v>56536</v>
      </c>
      <c r="BZ21" s="191">
        <f>'[1]November - 2021'!CA21</f>
        <v>20</v>
      </c>
      <c r="CA21" s="89">
        <f>'[1]November - 2021'!CB21</f>
        <v>48059</v>
      </c>
      <c r="CB21" s="191">
        <f>'[1]November - 2021'!CC21</f>
        <v>21</v>
      </c>
      <c r="CC21" s="89">
        <f>'[1]November - 2021'!CD21</f>
        <v>16572</v>
      </c>
      <c r="CD21" s="191">
        <f>'[1]November - 2021'!CE21</f>
        <v>5</v>
      </c>
      <c r="CE21" s="89">
        <f>'[1]November - 2021'!CF21</f>
        <v>21772</v>
      </c>
      <c r="CF21" s="191">
        <f>'[1]November - 2021'!CG21</f>
        <v>10</v>
      </c>
      <c r="CG21" s="89">
        <f>'[1]November - 2021'!CH21</f>
        <v>23683</v>
      </c>
      <c r="CH21" s="191">
        <f>'[1]November - 2021'!CI21</f>
        <v>18</v>
      </c>
      <c r="CI21" s="89">
        <f>'[1]November - 2021'!CJ21</f>
        <v>52701</v>
      </c>
      <c r="CJ21" s="191">
        <f>'[1]November - 2021'!CK21</f>
        <v>27</v>
      </c>
      <c r="CK21" s="89">
        <f>'[1]November - 2021'!CL21</f>
        <v>231446</v>
      </c>
      <c r="CL21" s="246">
        <f>'[1]November - 2021'!CM21</f>
        <v>105</v>
      </c>
      <c r="CM21" s="89">
        <f>'[1]November - 2021'!CM21</f>
        <v>105</v>
      </c>
      <c r="CN21" s="89">
        <f>'[1]November - 2021'!CO21</f>
        <v>177135</v>
      </c>
      <c r="CO21" s="246">
        <f>'[1]November - 2021'!CP21</f>
        <v>105</v>
      </c>
      <c r="CP21" s="89">
        <f>'[1]November - 2021'!CP21</f>
        <v>105</v>
      </c>
      <c r="CQ21" s="89">
        <f>'[1]November - 2021'!CR21</f>
        <v>311878</v>
      </c>
      <c r="CR21" s="246">
        <f>'[1]November - 2021'!CS21</f>
        <v>290</v>
      </c>
      <c r="CS21" s="89">
        <f>'[1]November - 2021'!CS21</f>
        <v>290</v>
      </c>
      <c r="CT21" s="89">
        <f>'[1]November - 2021'!CU21</f>
        <v>613603</v>
      </c>
      <c r="CU21" s="191">
        <f>'[1]November - 2021'!CV21</f>
        <v>247</v>
      </c>
      <c r="CV21" s="451"/>
      <c r="CW21" s="256">
        <f>'[1]November - 2021'!CX21</f>
        <v>6152</v>
      </c>
      <c r="CX21" s="198">
        <f>'[1]November - 2021'!CY21</f>
        <v>12</v>
      </c>
      <c r="CY21" s="257">
        <f>'[1]November - 2021'!CZ21</f>
        <v>3677</v>
      </c>
      <c r="CZ21" s="198">
        <f>'[1]November - 2021'!DA21</f>
        <v>11</v>
      </c>
      <c r="DA21" s="257">
        <f>'[1]November - 2021'!DB21</f>
        <v>26331</v>
      </c>
      <c r="DB21" s="198">
        <f>'[1]November - 2021'!DC21</f>
        <v>21</v>
      </c>
      <c r="DC21" s="257">
        <f>'[1]November - 2021'!DD21</f>
        <v>27076</v>
      </c>
      <c r="DD21" s="198">
        <f>'[1]November - 2021'!DE21</f>
        <v>21</v>
      </c>
      <c r="DE21" s="257">
        <f>'[1]November - 2021'!DF21</f>
        <v>18409</v>
      </c>
      <c r="DF21" s="198">
        <f>'[1]November - 2021'!DG21</f>
        <v>8</v>
      </c>
      <c r="DG21" s="257">
        <f>'[1]November - 2021'!DH21</f>
        <v>21514</v>
      </c>
      <c r="DH21" s="198">
        <f>'[1]November - 2021'!DI21</f>
        <v>9</v>
      </c>
      <c r="DI21" s="257">
        <f>'[1]November - 2021'!DJ21</f>
        <v>3028</v>
      </c>
      <c r="DJ21" s="198">
        <f>'[1]November - 2021'!DK21</f>
        <v>12</v>
      </c>
      <c r="DK21" s="257">
        <f>'[1]November - 2021'!DL21</f>
        <v>6318</v>
      </c>
      <c r="DL21" s="198">
        <f>'[1]November - 2021'!DM21</f>
        <v>16</v>
      </c>
      <c r="DM21" s="257">
        <f>'[1]November - 2021'!DN21</f>
        <v>1683</v>
      </c>
      <c r="DN21" s="198">
        <f>'[1]November - 2021'!DO21</f>
        <v>5</v>
      </c>
      <c r="DO21" s="257">
        <f>'[1]November - 2021'!DP21</f>
        <v>3375</v>
      </c>
      <c r="DP21" s="198">
        <f>'[1]November - 2021'!DQ21</f>
        <v>9</v>
      </c>
      <c r="DQ21" s="257">
        <f>'[1]November - 2021'!DR21</f>
        <v>26177</v>
      </c>
      <c r="DR21" s="206">
        <f>'[1]November - 2021'!DS21</f>
        <v>6</v>
      </c>
      <c r="DS21" s="436"/>
      <c r="DT21" s="210">
        <f>'[1]November - 2021'!DU21</f>
        <v>2872.2</v>
      </c>
      <c r="DU21" s="221">
        <f>'[1]November - 2021'!DV21</f>
        <v>8.7999999999997272</v>
      </c>
      <c r="DV21" s="91">
        <f>'[1]November - 2021'!DW21</f>
        <v>8020.4</v>
      </c>
      <c r="DW21" s="215">
        <f>'[1]November - 2021'!DX21</f>
        <v>7.6999999999998181</v>
      </c>
      <c r="DX21" s="91">
        <f>'[1]November - 2021'!DY21</f>
        <v>2166.6</v>
      </c>
      <c r="DY21" s="215">
        <f>'[1]November - 2021'!DZ21</f>
        <v>7.4000000000000909</v>
      </c>
      <c r="DZ21" s="91">
        <f>'[1]November - 2021'!EA21</f>
        <v>2249.1</v>
      </c>
      <c r="EA21" s="215">
        <f>'[1]November - 2021'!EB21</f>
        <v>9.2999999999997272</v>
      </c>
      <c r="EB21" s="91">
        <f>'[1]November - 2021'!EC21</f>
        <v>855778</v>
      </c>
      <c r="EC21" s="215">
        <f>'[1]November - 2021'!ED21</f>
        <v>699</v>
      </c>
      <c r="ED21" s="91">
        <f>'[1]November - 2021'!EG21</f>
        <v>172280.2</v>
      </c>
      <c r="EE21" s="229">
        <f>'[1]November - 2021'!EH21</f>
        <v>155.30000000001746</v>
      </c>
      <c r="EF21" s="375"/>
      <c r="EG21" s="235">
        <f>'[1]November - 2021'!EJ21</f>
        <v>10320500</v>
      </c>
      <c r="EH21" s="230">
        <f>'[1]November - 2021'!EK21</f>
        <v>3200</v>
      </c>
      <c r="EI21" s="90">
        <f>'[1]November - 2021'!EL21</f>
        <v>819940</v>
      </c>
      <c r="EJ21" s="230">
        <f>'[1]November - 2021'!EM21</f>
        <v>320</v>
      </c>
      <c r="EK21" s="90">
        <f>'[1]November - 2021'!EN21</f>
        <v>6360900</v>
      </c>
      <c r="EL21" s="230">
        <f>'[1]November - 2021'!EO21</f>
        <v>1800</v>
      </c>
      <c r="EM21" s="90">
        <f>'[1]November - 2021'!EP21</f>
        <v>2237100</v>
      </c>
      <c r="EN21" s="230">
        <f>'[1]November - 2021'!EQ21</f>
        <v>500</v>
      </c>
      <c r="EO21" s="90">
        <f>'[1]November - 2021'!ER21</f>
        <v>976170</v>
      </c>
      <c r="EP21" s="230">
        <f>'[1]November - 2021'!ES21</f>
        <v>810</v>
      </c>
      <c r="EQ21" s="90">
        <f>'[1]November - 2021'!ET21</f>
        <v>14215700</v>
      </c>
      <c r="ER21" s="230">
        <f>'[1]November - 2021'!EU21</f>
        <v>3000</v>
      </c>
      <c r="ES21" s="423"/>
      <c r="ET21" s="281">
        <f>'[1]November - 2021'!EW21</f>
        <v>37109</v>
      </c>
      <c r="EU21" s="275">
        <f>'[1]November - 2021'!EX21</f>
        <v>17</v>
      </c>
      <c r="EV21" s="282">
        <f>'[1]November - 2021'!EY21</f>
        <v>32078</v>
      </c>
      <c r="EW21" s="275">
        <f>'[1]November - 2021'!EZ21</f>
        <v>15</v>
      </c>
      <c r="EX21" s="282">
        <f>'[1]November - 2021'!FA21</f>
        <v>3236</v>
      </c>
      <c r="EY21" s="275">
        <f>'[1]November - 2021'!FB21</f>
        <v>17</v>
      </c>
      <c r="EZ21" s="282">
        <f>'[1]November - 2021'!FC21</f>
        <v>53655</v>
      </c>
      <c r="FA21" s="275">
        <f>'[1]November - 2021'!FD21</f>
        <v>18</v>
      </c>
      <c r="FB21" s="282">
        <f>'[1]November - 2021'!FE21</f>
        <v>36904</v>
      </c>
      <c r="FC21" s="276">
        <f>'[1]November - 2021'!FF21</f>
        <v>34</v>
      </c>
    </row>
    <row r="22" spans="1:159" ht="30" customHeight="1" x14ac:dyDescent="0.25">
      <c r="A22" s="207">
        <v>43843</v>
      </c>
      <c r="B22" s="209">
        <f>'[1]November - 2021'!B22</f>
        <v>0.81</v>
      </c>
      <c r="C22" s="250">
        <f>'[1]November - 2021'!E22</f>
        <v>902184</v>
      </c>
      <c r="D22" s="170">
        <f>'[1]November - 2021'!F22</f>
        <v>714</v>
      </c>
      <c r="E22" s="168">
        <f>'[1]November - 2021'!G22</f>
        <v>616</v>
      </c>
      <c r="F22" s="168">
        <f>'[1]November - 2021'!H22</f>
        <v>78732</v>
      </c>
      <c r="G22" s="170">
        <f>'[1]November - 2021'!I22</f>
        <v>444</v>
      </c>
      <c r="H22" s="168">
        <f>'[1]November - 2021'!J22</f>
        <v>454</v>
      </c>
      <c r="I22" s="168">
        <f>'[1]November - 2021'!K22</f>
        <v>164625</v>
      </c>
      <c r="J22" s="170">
        <f>'[1]November - 2021'!L22</f>
        <v>0</v>
      </c>
      <c r="K22" s="168">
        <f>'[1]November - 2021'!N22</f>
        <v>813652</v>
      </c>
      <c r="L22" s="170">
        <f>'[1]November - 2021'!O22</f>
        <v>319</v>
      </c>
      <c r="M22" s="168">
        <f>'[1]November - 2021'!Q22</f>
        <v>185979</v>
      </c>
      <c r="N22" s="170">
        <f>'[1]November - 2021'!R22</f>
        <v>108</v>
      </c>
      <c r="O22" s="168">
        <f>'[1]November - 2021'!S22</f>
        <v>50082.7</v>
      </c>
      <c r="P22" s="170">
        <f>'[1]November - 2021'!T22</f>
        <v>133.61000000000058</v>
      </c>
      <c r="Q22" s="168">
        <f>'[1]November - 2021'!U22</f>
        <v>81</v>
      </c>
      <c r="R22" s="168">
        <f>'[1]November - 2021'!V22</f>
        <v>3490</v>
      </c>
      <c r="S22" s="208">
        <f>'[1]November - 2021'!W22</f>
        <v>19</v>
      </c>
      <c r="T22" s="518"/>
      <c r="U22" s="169">
        <f>'[1]November - 2021'!AC22</f>
        <v>7115361.1200000001</v>
      </c>
      <c r="V22" s="288">
        <f>'[1]November - 2021'!AD22</f>
        <v>3020.640000000596</v>
      </c>
      <c r="W22" s="92">
        <f>'[1]November - 2021'!AD22</f>
        <v>3020.640000000596</v>
      </c>
      <c r="X22" s="287">
        <f>'[1]November - 2021'!AF22</f>
        <v>13629517.439999999</v>
      </c>
      <c r="Y22" s="288">
        <f>'[1]November - 2021'!AG22</f>
        <v>4725.839999999851</v>
      </c>
      <c r="Z22" s="92">
        <f>'[1]November - 2021'!AG22</f>
        <v>4725.839999999851</v>
      </c>
      <c r="AA22" s="287">
        <f>'[1]November - 2021'!AI22</f>
        <v>13614414.24</v>
      </c>
      <c r="AB22" s="288">
        <f>'[1]November - 2021'!AJ22</f>
        <v>974.40000000037253</v>
      </c>
      <c r="AC22" s="92">
        <f>'[1]November - 2021'!AJ22</f>
        <v>974.40000000037253</v>
      </c>
      <c r="AD22" s="287">
        <f>'[1]November - 2021'!AL22</f>
        <v>16601340</v>
      </c>
      <c r="AE22" s="288">
        <f>'[1]November - 2021'!AM22</f>
        <v>13105.680000001565</v>
      </c>
      <c r="AF22" s="92">
        <f>'[1]November - 2021'!AM22</f>
        <v>13105.680000001565</v>
      </c>
      <c r="AG22" s="287">
        <f>'[1]November - 2021'!AO22</f>
        <v>16932051.359999999</v>
      </c>
      <c r="AH22" s="288">
        <f>'[1]November - 2021'!AP22</f>
        <v>487.19999999925494</v>
      </c>
      <c r="AI22" s="92">
        <f>'[1]November - 2021'!AP22</f>
        <v>487.19999999925494</v>
      </c>
      <c r="AJ22" s="287">
        <f>'[1]November - 2021'!AR22</f>
        <v>15334084.08</v>
      </c>
      <c r="AK22" s="288">
        <f>'[1]November - 2021'!AS22</f>
        <v>6090</v>
      </c>
      <c r="AL22" s="92">
        <f>'[1]November - 2021'!AS22</f>
        <v>6090</v>
      </c>
      <c r="AM22" s="287">
        <f>'[1]November - 2021'!AU22</f>
        <v>13055985.6</v>
      </c>
      <c r="AN22" s="288">
        <f>'[1]November - 2021'!AV22</f>
        <v>4774.5599999986589</v>
      </c>
      <c r="AO22" s="283">
        <f>'[1]November - 2021'!AV22</f>
        <v>4774.5599999986589</v>
      </c>
      <c r="AP22" s="287">
        <f>'[1]November - 2021'!AX22</f>
        <v>12555436.319999998</v>
      </c>
      <c r="AQ22" s="288">
        <f>'[1]November - 2021'!AY22</f>
        <v>4238.6399999987334</v>
      </c>
      <c r="AR22" s="92">
        <f>'[1]November - 2021'!AY22</f>
        <v>4238.6399999987334</v>
      </c>
      <c r="AS22" s="287">
        <f>'[1]November - 2021'!BA22</f>
        <v>10004846.880000001</v>
      </c>
      <c r="AT22" s="289">
        <f>'[1]November - 2021'!BB22</f>
        <v>3605.2800000011921</v>
      </c>
      <c r="AU22" s="92">
        <f>'[1]November - 2021'!BB22</f>
        <v>3605.2800000011921</v>
      </c>
      <c r="AV22" s="287">
        <f>'[1]November - 2021'!BD22</f>
        <v>15514786.559999999</v>
      </c>
      <c r="AW22" s="252">
        <f>'[1]November - 2021'!BE22</f>
        <v>6187.4399999994785</v>
      </c>
      <c r="AX22" s="253">
        <f>'[1]November - 2021'!BE22</f>
        <v>6187.4399999994785</v>
      </c>
      <c r="AY22" s="484"/>
      <c r="AZ22" s="272">
        <f>'[1]November - 2021'!BK22</f>
        <v>67571500</v>
      </c>
      <c r="BA22" s="179">
        <f>'[1]November - 2021'!BL22</f>
        <v>2500</v>
      </c>
      <c r="BB22" s="93">
        <f>'[1]November - 2021'!BL22</f>
        <v>2500</v>
      </c>
      <c r="BC22" s="272">
        <f>'[1]November - 2021'!BN22</f>
        <v>69949200</v>
      </c>
      <c r="BD22" s="245">
        <f>'[1]November - 2021'!BO22</f>
        <v>67800</v>
      </c>
      <c r="BE22" s="93">
        <f>'[1]November - 2021'!BO22</f>
        <v>67800</v>
      </c>
      <c r="BF22" s="272">
        <f>'[1]November - 2021'!BQ22</f>
        <v>64331900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7528910</v>
      </c>
      <c r="BT22" s="185">
        <f>'[1]November - 2021'!BU22</f>
        <v>6950</v>
      </c>
      <c r="BU22" s="391"/>
      <c r="BV22" s="88">
        <f>'[1]November - 2021'!BW22</f>
        <v>0.7</v>
      </c>
      <c r="BW22" s="241">
        <f>'[1]November - 2021'!BX22</f>
        <v>8.0000000000000071E-2</v>
      </c>
      <c r="BX22" s="88">
        <f>'[1]November - 2021'!BX22</f>
        <v>8.0000000000000071E-2</v>
      </c>
      <c r="BY22" s="89">
        <f>'[1]November - 2021'!BZ22</f>
        <v>56556</v>
      </c>
      <c r="BZ22" s="191">
        <f>'[1]November - 2021'!CA22</f>
        <v>20</v>
      </c>
      <c r="CA22" s="89">
        <f>'[1]November - 2021'!CB22</f>
        <v>48078</v>
      </c>
      <c r="CB22" s="191">
        <f>'[1]November - 2021'!CC22</f>
        <v>19</v>
      </c>
      <c r="CC22" s="89">
        <f>'[1]November - 2021'!CD22</f>
        <v>16578</v>
      </c>
      <c r="CD22" s="191">
        <f>'[1]November - 2021'!CE22</f>
        <v>6</v>
      </c>
      <c r="CE22" s="89">
        <f>'[1]November - 2021'!CF22</f>
        <v>21781</v>
      </c>
      <c r="CF22" s="191">
        <f>'[1]November - 2021'!CG22</f>
        <v>9</v>
      </c>
      <c r="CG22" s="89">
        <f>'[1]November - 2021'!CH22</f>
        <v>23699</v>
      </c>
      <c r="CH22" s="191">
        <f>'[1]November - 2021'!CI22</f>
        <v>16</v>
      </c>
      <c r="CI22" s="89">
        <f>'[1]November - 2021'!CJ22</f>
        <v>52727</v>
      </c>
      <c r="CJ22" s="191">
        <f>'[1]November - 2021'!CK22</f>
        <v>26</v>
      </c>
      <c r="CK22" s="89">
        <f>'[1]November - 2021'!CL22</f>
        <v>231555</v>
      </c>
      <c r="CL22" s="246">
        <f>'[1]November - 2021'!CM22</f>
        <v>109</v>
      </c>
      <c r="CM22" s="89">
        <f>'[1]November - 2021'!CM22</f>
        <v>109</v>
      </c>
      <c r="CN22" s="89">
        <f>'[1]November - 2021'!CO22</f>
        <v>177237</v>
      </c>
      <c r="CO22" s="246">
        <f>'[1]November - 2021'!CP22</f>
        <v>102</v>
      </c>
      <c r="CP22" s="89">
        <f>'[1]November - 2021'!CP22</f>
        <v>102</v>
      </c>
      <c r="CQ22" s="89">
        <f>'[1]November - 2021'!CR22</f>
        <v>312147</v>
      </c>
      <c r="CR22" s="246">
        <f>'[1]November - 2021'!CS22</f>
        <v>269</v>
      </c>
      <c r="CS22" s="89">
        <f>'[1]November - 2021'!CS22</f>
        <v>269</v>
      </c>
      <c r="CT22" s="89">
        <f>'[1]November - 2021'!CU22</f>
        <v>613857</v>
      </c>
      <c r="CU22" s="191">
        <f>'[1]November - 2021'!CV22</f>
        <v>254</v>
      </c>
      <c r="CV22" s="451"/>
      <c r="CW22" s="256">
        <f>'[1]November - 2021'!CX22</f>
        <v>6162</v>
      </c>
      <c r="CX22" s="198">
        <f>'[1]November - 2021'!CY22</f>
        <v>10</v>
      </c>
      <c r="CY22" s="257">
        <f>'[1]November - 2021'!CZ22</f>
        <v>3687</v>
      </c>
      <c r="CZ22" s="198">
        <f>'[1]November - 2021'!DA22</f>
        <v>10</v>
      </c>
      <c r="DA22" s="257">
        <f>'[1]November - 2021'!DB22</f>
        <v>26347</v>
      </c>
      <c r="DB22" s="198">
        <f>'[1]November - 2021'!DC22</f>
        <v>16</v>
      </c>
      <c r="DC22" s="257">
        <f>'[1]November - 2021'!DD22</f>
        <v>27094</v>
      </c>
      <c r="DD22" s="198">
        <f>'[1]November - 2021'!DE22</f>
        <v>18</v>
      </c>
      <c r="DE22" s="257">
        <f>'[1]November - 2021'!DF22</f>
        <v>18417</v>
      </c>
      <c r="DF22" s="198">
        <f>'[1]November - 2021'!DG22</f>
        <v>8</v>
      </c>
      <c r="DG22" s="257">
        <f>'[1]November - 2021'!DH22</f>
        <v>21523</v>
      </c>
      <c r="DH22" s="198">
        <f>'[1]November - 2021'!DI22</f>
        <v>9</v>
      </c>
      <c r="DI22" s="257">
        <f>'[1]November - 2021'!DJ22</f>
        <v>3038</v>
      </c>
      <c r="DJ22" s="198">
        <f>'[1]November - 2021'!DK22</f>
        <v>10</v>
      </c>
      <c r="DK22" s="257">
        <f>'[1]November - 2021'!DL22</f>
        <v>6333</v>
      </c>
      <c r="DL22" s="198">
        <f>'[1]November - 2021'!DM22</f>
        <v>15</v>
      </c>
      <c r="DM22" s="257">
        <f>'[1]November - 2021'!DN22</f>
        <v>1688</v>
      </c>
      <c r="DN22" s="198">
        <f>'[1]November - 2021'!DO22</f>
        <v>5</v>
      </c>
      <c r="DO22" s="257">
        <f>'[1]November - 2021'!DP22</f>
        <v>3385</v>
      </c>
      <c r="DP22" s="198">
        <f>'[1]November - 2021'!DQ22</f>
        <v>10</v>
      </c>
      <c r="DQ22" s="257">
        <f>'[1]November - 2021'!DR22</f>
        <v>26184</v>
      </c>
      <c r="DR22" s="206">
        <f>'[1]November - 2021'!DS22</f>
        <v>7</v>
      </c>
      <c r="DS22" s="436"/>
      <c r="DT22" s="210">
        <f>'[1]November - 2021'!DU22</f>
        <v>2880.9</v>
      </c>
      <c r="DU22" s="221">
        <f>'[1]November - 2021'!DV22</f>
        <v>8.7000000000002728</v>
      </c>
      <c r="DV22" s="91">
        <f>'[1]November - 2021'!DW22</f>
        <v>8028.4</v>
      </c>
      <c r="DW22" s="215">
        <f>'[1]November - 2021'!DX22</f>
        <v>8</v>
      </c>
      <c r="DX22" s="91">
        <f>'[1]November - 2021'!DY22</f>
        <v>2173.8000000000002</v>
      </c>
      <c r="DY22" s="215">
        <f>'[1]November - 2021'!DZ22</f>
        <v>7.2000000000002728</v>
      </c>
      <c r="DZ22" s="91">
        <f>'[1]November - 2021'!EA22</f>
        <v>2258.4</v>
      </c>
      <c r="EA22" s="215">
        <f>'[1]November - 2021'!EB22</f>
        <v>9.3000000000001819</v>
      </c>
      <c r="EB22" s="91">
        <f>'[1]November - 2021'!EC22</f>
        <v>856454</v>
      </c>
      <c r="EC22" s="215">
        <f>'[1]November - 2021'!ED22</f>
        <v>676</v>
      </c>
      <c r="ED22" s="91">
        <f>'[1]November - 2021'!EG22</f>
        <v>172432.8</v>
      </c>
      <c r="EE22" s="229">
        <f>'[1]November - 2021'!EH22</f>
        <v>152.59999999997672</v>
      </c>
      <c r="EF22" s="375"/>
      <c r="EG22" s="235">
        <f>'[1]November - 2021'!EJ22</f>
        <v>10324200</v>
      </c>
      <c r="EH22" s="230">
        <f>'[1]November - 2021'!EK22</f>
        <v>3700</v>
      </c>
      <c r="EI22" s="90">
        <f>'[1]November - 2021'!EL22</f>
        <v>820240</v>
      </c>
      <c r="EJ22" s="230">
        <f>'[1]November - 2021'!EM22</f>
        <v>300</v>
      </c>
      <c r="EK22" s="90">
        <f>'[1]November - 2021'!EN22</f>
        <v>6362900</v>
      </c>
      <c r="EL22" s="230">
        <f>'[1]November - 2021'!EO22</f>
        <v>2000</v>
      </c>
      <c r="EM22" s="90">
        <f>'[1]November - 2021'!EP22</f>
        <v>2237600</v>
      </c>
      <c r="EN22" s="230">
        <f>'[1]November - 2021'!EQ22</f>
        <v>500</v>
      </c>
      <c r="EO22" s="90">
        <f>'[1]November - 2021'!ER22</f>
        <v>976940</v>
      </c>
      <c r="EP22" s="230">
        <f>'[1]November - 2021'!ES22</f>
        <v>770</v>
      </c>
      <c r="EQ22" s="90">
        <f>'[1]November - 2021'!ET22</f>
        <v>14219500</v>
      </c>
      <c r="ER22" s="230">
        <f>'[1]November - 2021'!EU22</f>
        <v>3800</v>
      </c>
      <c r="ES22" s="423"/>
      <c r="ET22" s="281">
        <f>'[1]November - 2021'!EW22</f>
        <v>37127</v>
      </c>
      <c r="EU22" s="275">
        <f>'[1]November - 2021'!EX22</f>
        <v>18</v>
      </c>
      <c r="EV22" s="282">
        <f>'[1]November - 2021'!EY22</f>
        <v>32092</v>
      </c>
      <c r="EW22" s="275">
        <f>'[1]November - 2021'!EZ22</f>
        <v>14</v>
      </c>
      <c r="EX22" s="282">
        <f>'[1]November - 2021'!FA22</f>
        <v>3253</v>
      </c>
      <c r="EY22" s="275">
        <f>'[1]November - 2021'!FB22</f>
        <v>17</v>
      </c>
      <c r="EZ22" s="282">
        <f>'[1]November - 2021'!FC22</f>
        <v>53674</v>
      </c>
      <c r="FA22" s="275">
        <f>'[1]November - 2021'!FD22</f>
        <v>19</v>
      </c>
      <c r="FB22" s="282">
        <f>'[1]November - 2021'!FE22</f>
        <v>36937</v>
      </c>
      <c r="FC22" s="276">
        <f>'[1]November - 2021'!FF22</f>
        <v>33</v>
      </c>
    </row>
    <row r="23" spans="1:159" ht="30" customHeight="1" x14ac:dyDescent="0.25">
      <c r="A23" s="207">
        <v>43844</v>
      </c>
      <c r="B23" s="209">
        <f>'[1]November - 2021'!B23</f>
        <v>0.88</v>
      </c>
      <c r="C23" s="250">
        <f>'[1]November - 2021'!E23</f>
        <v>902836</v>
      </c>
      <c r="D23" s="170">
        <f>'[1]November - 2021'!F23</f>
        <v>652</v>
      </c>
      <c r="E23" s="168">
        <f>'[1]November - 2021'!G23</f>
        <v>535</v>
      </c>
      <c r="F23" s="168">
        <f>'[1]November - 2021'!H23</f>
        <v>79136</v>
      </c>
      <c r="G23" s="170">
        <f>'[1]November - 2021'!I23</f>
        <v>404</v>
      </c>
      <c r="H23" s="168">
        <f>'[1]November - 2021'!J23</f>
        <v>386</v>
      </c>
      <c r="I23" s="168">
        <f>'[1]November - 2021'!K23</f>
        <v>164625</v>
      </c>
      <c r="J23" s="170">
        <f>'[1]November - 2021'!L23</f>
        <v>0</v>
      </c>
      <c r="K23" s="168">
        <f>'[1]November - 2021'!N23</f>
        <v>813889</v>
      </c>
      <c r="L23" s="170">
        <f>'[1]November - 2021'!O23</f>
        <v>237</v>
      </c>
      <c r="M23" s="168">
        <f>'[1]November - 2021'!Q23</f>
        <v>186128</v>
      </c>
      <c r="N23" s="170">
        <f>'[1]November - 2021'!R23</f>
        <v>149</v>
      </c>
      <c r="O23" s="168">
        <f>'[1]November - 2021'!S23</f>
        <v>50211.22</v>
      </c>
      <c r="P23" s="170">
        <f>'[1]November - 2021'!T23</f>
        <v>128.52000000000407</v>
      </c>
      <c r="Q23" s="168">
        <f>'[1]November - 2021'!U23</f>
        <v>75</v>
      </c>
      <c r="R23" s="168">
        <f>'[1]November - 2021'!V23</f>
        <v>3512</v>
      </c>
      <c r="S23" s="208">
        <f>'[1]November - 2021'!W23</f>
        <v>22</v>
      </c>
      <c r="T23" s="518"/>
      <c r="U23" s="169">
        <f>'[1]November - 2021'!AC23</f>
        <v>7118089.4400000004</v>
      </c>
      <c r="V23" s="288">
        <f>'[1]November - 2021'!AD23</f>
        <v>2728.320000000298</v>
      </c>
      <c r="W23" s="92">
        <f>'[1]November - 2021'!AD23</f>
        <v>2728.320000000298</v>
      </c>
      <c r="X23" s="287">
        <f>'[1]November - 2021'!AF23</f>
        <v>13634145.84</v>
      </c>
      <c r="Y23" s="288">
        <f>'[1]November - 2021'!AG23</f>
        <v>4628.4000000003725</v>
      </c>
      <c r="Z23" s="92">
        <f>'[1]November - 2021'!AG23</f>
        <v>4628.4000000003725</v>
      </c>
      <c r="AA23" s="287">
        <f>'[1]November - 2021'!AI23</f>
        <v>13615291.199999999</v>
      </c>
      <c r="AB23" s="288">
        <f>'[1]November - 2021'!AJ23</f>
        <v>876.95999999903142</v>
      </c>
      <c r="AC23" s="92">
        <f>'[1]November - 2021'!AJ23</f>
        <v>876.95999999903142</v>
      </c>
      <c r="AD23" s="287">
        <f>'[1]November - 2021'!AL23</f>
        <v>16612448.16</v>
      </c>
      <c r="AE23" s="288">
        <f>'[1]November - 2021'!AM23</f>
        <v>11108.160000000149</v>
      </c>
      <c r="AF23" s="92">
        <f>'[1]November - 2021'!AM23</f>
        <v>11108.160000000149</v>
      </c>
      <c r="AG23" s="287">
        <f>'[1]November - 2021'!AO23</f>
        <v>16932343.68</v>
      </c>
      <c r="AH23" s="288">
        <f>'[1]November - 2021'!AP23</f>
        <v>292.32000000029802</v>
      </c>
      <c r="AI23" s="92">
        <f>'[1]November - 2021'!AP23</f>
        <v>292.32000000029802</v>
      </c>
      <c r="AJ23" s="287">
        <f>'[1]November - 2021'!AR23</f>
        <v>15339540.719999999</v>
      </c>
      <c r="AK23" s="288">
        <f>'[1]November - 2021'!AS23</f>
        <v>5456.6399999987334</v>
      </c>
      <c r="AL23" s="92">
        <f>'[1]November - 2021'!AS23</f>
        <v>5456.6399999987334</v>
      </c>
      <c r="AM23" s="287">
        <f>'[1]November - 2021'!AU23</f>
        <v>13060467.84</v>
      </c>
      <c r="AN23" s="288">
        <f>'[1]November - 2021'!AV23</f>
        <v>4482.2400000002235</v>
      </c>
      <c r="AO23" s="92">
        <f>'[1]November - 2021'!AV23</f>
        <v>4482.2400000002235</v>
      </c>
      <c r="AP23" s="287">
        <f>'[1]November - 2021'!AX23</f>
        <v>12559382.640000001</v>
      </c>
      <c r="AQ23" s="288">
        <f>'[1]November - 2021'!AY23</f>
        <v>3946.3200000021607</v>
      </c>
      <c r="AR23" s="92">
        <f>'[1]November - 2021'!AY23</f>
        <v>3946.3200000021607</v>
      </c>
      <c r="AS23" s="287">
        <f>'[1]November - 2021'!BA23</f>
        <v>10008354.719999999</v>
      </c>
      <c r="AT23" s="288">
        <f>'[1]November - 2021'!BB23</f>
        <v>3507.8399999979883</v>
      </c>
      <c r="AU23" s="92">
        <f>'[1]November - 2021'!BB23</f>
        <v>3507.8399999979883</v>
      </c>
      <c r="AV23" s="287">
        <f>'[1]November - 2021'!BD23</f>
        <v>15520486.799999999</v>
      </c>
      <c r="AW23" s="252">
        <f>'[1]November - 2021'!BE23</f>
        <v>5700.2400000002235</v>
      </c>
      <c r="AX23" s="253">
        <f>'[1]November - 2021'!BE23</f>
        <v>5700.2400000002235</v>
      </c>
      <c r="AY23" s="484"/>
      <c r="AZ23" s="272">
        <f>'[1]November - 2021'!BK23</f>
        <v>67571500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70015900</v>
      </c>
      <c r="BD23" s="245">
        <f>'[1]November - 2021'!BO23</f>
        <v>66700</v>
      </c>
      <c r="BE23" s="93">
        <f>'[1]November - 2021'!BO23</f>
        <v>66700</v>
      </c>
      <c r="BF23" s="272">
        <f>'[1]November - 2021'!BQ23</f>
        <v>64331900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7535470</v>
      </c>
      <c r="BT23" s="185">
        <f>'[1]November - 2021'!BU23</f>
        <v>6560</v>
      </c>
      <c r="BU23" s="391"/>
      <c r="BV23" s="88">
        <f>'[1]November - 2021'!BW23</f>
        <v>0.64</v>
      </c>
      <c r="BW23" s="241">
        <f>'[1]November - 2021'!BX23</f>
        <v>5.9999999999999942E-2</v>
      </c>
      <c r="BX23" s="88">
        <f>'[1]November - 2021'!BX23</f>
        <v>5.9999999999999942E-2</v>
      </c>
      <c r="BY23" s="89">
        <f>'[1]November - 2021'!BZ23</f>
        <v>56577</v>
      </c>
      <c r="BZ23" s="191">
        <f>'[1]November - 2021'!CA23</f>
        <v>21</v>
      </c>
      <c r="CA23" s="89">
        <f>'[1]November - 2021'!CB23</f>
        <v>48097</v>
      </c>
      <c r="CB23" s="191">
        <f>'[1]November - 2021'!CC23</f>
        <v>19</v>
      </c>
      <c r="CC23" s="89">
        <f>'[1]November - 2021'!CD23</f>
        <v>16584</v>
      </c>
      <c r="CD23" s="191">
        <f>'[1]November - 2021'!CE23</f>
        <v>6</v>
      </c>
      <c r="CE23" s="89">
        <f>'[1]November - 2021'!CF23</f>
        <v>21789</v>
      </c>
      <c r="CF23" s="191">
        <f>'[1]November - 2021'!CG23</f>
        <v>8</v>
      </c>
      <c r="CG23" s="89">
        <f>'[1]November - 2021'!CH23</f>
        <v>23716</v>
      </c>
      <c r="CH23" s="191">
        <f>'[1]November - 2021'!CI23</f>
        <v>17</v>
      </c>
      <c r="CI23" s="89">
        <f>'[1]November - 2021'!CJ23</f>
        <v>52752</v>
      </c>
      <c r="CJ23" s="191">
        <f>'[1]November - 2021'!CK23</f>
        <v>25</v>
      </c>
      <c r="CK23" s="89">
        <f>'[1]November - 2021'!CL23</f>
        <v>231655</v>
      </c>
      <c r="CL23" s="246">
        <f>'[1]November - 2021'!CM23</f>
        <v>100</v>
      </c>
      <c r="CM23" s="89">
        <f>'[1]November - 2021'!CM23</f>
        <v>100</v>
      </c>
      <c r="CN23" s="89">
        <f>'[1]November - 2021'!CO23</f>
        <v>177340</v>
      </c>
      <c r="CO23" s="246">
        <f>'[1]November - 2021'!CP23</f>
        <v>103</v>
      </c>
      <c r="CP23" s="89">
        <f>'[1]November - 2021'!CP23</f>
        <v>103</v>
      </c>
      <c r="CQ23" s="89">
        <f>'[1]November - 2021'!CR23</f>
        <v>312377</v>
      </c>
      <c r="CR23" s="246">
        <f>'[1]November - 2021'!CS23</f>
        <v>230</v>
      </c>
      <c r="CS23" s="89">
        <f>'[1]November - 2021'!CS23</f>
        <v>230</v>
      </c>
      <c r="CT23" s="89">
        <f>'[1]November - 2021'!CU23</f>
        <v>614091</v>
      </c>
      <c r="CU23" s="191">
        <f>'[1]November - 2021'!CV23</f>
        <v>234</v>
      </c>
      <c r="CV23" s="451"/>
      <c r="CW23" s="256">
        <f>'[1]November - 2021'!CX23</f>
        <v>6169</v>
      </c>
      <c r="CX23" s="198">
        <f>'[1]November - 2021'!CY23</f>
        <v>7</v>
      </c>
      <c r="CY23" s="257">
        <f>'[1]November - 2021'!CZ23</f>
        <v>3694</v>
      </c>
      <c r="CZ23" s="198">
        <f>'[1]November - 2021'!DA23</f>
        <v>7</v>
      </c>
      <c r="DA23" s="257">
        <f>'[1]November - 2021'!DB23</f>
        <v>26364</v>
      </c>
      <c r="DB23" s="198">
        <f>'[1]November - 2021'!DC23</f>
        <v>17</v>
      </c>
      <c r="DC23" s="257">
        <f>'[1]November - 2021'!DD23</f>
        <v>27112</v>
      </c>
      <c r="DD23" s="198">
        <f>'[1]November - 2021'!DE23</f>
        <v>18</v>
      </c>
      <c r="DE23" s="257">
        <f>'[1]November - 2021'!DF23</f>
        <v>18425</v>
      </c>
      <c r="DF23" s="198">
        <f>'[1]November - 2021'!DG23</f>
        <v>8</v>
      </c>
      <c r="DG23" s="257">
        <f>'[1]November - 2021'!DH23</f>
        <v>21532</v>
      </c>
      <c r="DH23" s="198">
        <f>'[1]November - 2021'!DI23</f>
        <v>9</v>
      </c>
      <c r="DI23" s="257">
        <f>'[1]November - 2021'!DJ23</f>
        <v>3047</v>
      </c>
      <c r="DJ23" s="198">
        <f>'[1]November - 2021'!DK23</f>
        <v>9</v>
      </c>
      <c r="DK23" s="257">
        <f>'[1]November - 2021'!DL23</f>
        <v>6348</v>
      </c>
      <c r="DL23" s="198">
        <f>'[1]November - 2021'!DM23</f>
        <v>15</v>
      </c>
      <c r="DM23" s="257">
        <f>'[1]November - 2021'!DN23</f>
        <v>1692</v>
      </c>
      <c r="DN23" s="198">
        <f>'[1]November - 2021'!DO23</f>
        <v>4</v>
      </c>
      <c r="DO23" s="257">
        <f>'[1]November - 2021'!DP23</f>
        <v>3392</v>
      </c>
      <c r="DP23" s="198">
        <f>'[1]November - 2021'!DQ23</f>
        <v>7</v>
      </c>
      <c r="DQ23" s="257">
        <f>'[1]November - 2021'!DR23</f>
        <v>26192</v>
      </c>
      <c r="DR23" s="206">
        <f>'[1]November - 2021'!DS23</f>
        <v>8</v>
      </c>
      <c r="DS23" s="436"/>
      <c r="DT23" s="210">
        <f>'[1]November - 2021'!DU23</f>
        <v>2889.8</v>
      </c>
      <c r="DU23" s="221">
        <f>'[1]November - 2021'!DV23</f>
        <v>8.9000000000000909</v>
      </c>
      <c r="DV23" s="91">
        <f>'[1]November - 2021'!DW23</f>
        <v>8035.6</v>
      </c>
      <c r="DW23" s="215">
        <f>'[1]November - 2021'!DX23</f>
        <v>7.2000000000007276</v>
      </c>
      <c r="DX23" s="91">
        <f>'[1]November - 2021'!DY23</f>
        <v>2181.1</v>
      </c>
      <c r="DY23" s="215">
        <f>'[1]November - 2021'!DZ23</f>
        <v>7.2999999999997272</v>
      </c>
      <c r="DZ23" s="91">
        <f>'[1]November - 2021'!EA23</f>
        <v>2267.4</v>
      </c>
      <c r="EA23" s="215">
        <f>'[1]November - 2021'!EB23</f>
        <v>9</v>
      </c>
      <c r="EB23" s="91">
        <f>'[1]November - 2021'!EC23</f>
        <v>857094</v>
      </c>
      <c r="EC23" s="215">
        <f>'[1]November - 2021'!ED23</f>
        <v>640</v>
      </c>
      <c r="ED23" s="91">
        <f>'[1]November - 2021'!EG23</f>
        <v>172586.1</v>
      </c>
      <c r="EE23" s="229">
        <f>'[1]November - 2021'!EH23</f>
        <v>153.30000000001746</v>
      </c>
      <c r="EF23" s="375"/>
      <c r="EG23" s="235">
        <f>'[1]November - 2021'!EJ23</f>
        <v>10328400</v>
      </c>
      <c r="EH23" s="230">
        <f>'[1]November - 2021'!EK23</f>
        <v>4200</v>
      </c>
      <c r="EI23" s="90">
        <f>'[1]November - 2021'!EL23</f>
        <v>820570</v>
      </c>
      <c r="EJ23" s="230">
        <f>'[1]November - 2021'!EM23</f>
        <v>330</v>
      </c>
      <c r="EK23" s="90">
        <f>'[1]November - 2021'!EN23</f>
        <v>6365100</v>
      </c>
      <c r="EL23" s="230">
        <f>'[1]November - 2021'!EO23</f>
        <v>2200</v>
      </c>
      <c r="EM23" s="90">
        <f>'[1]November - 2021'!EP23</f>
        <v>2238100</v>
      </c>
      <c r="EN23" s="230">
        <f>'[1]November - 2021'!EQ23</f>
        <v>500</v>
      </c>
      <c r="EO23" s="90">
        <f>'[1]November - 2021'!ER23</f>
        <v>977760</v>
      </c>
      <c r="EP23" s="230">
        <f>'[1]November - 2021'!ES23</f>
        <v>820</v>
      </c>
      <c r="EQ23" s="90">
        <f>'[1]November - 2021'!ET23</f>
        <v>14223700</v>
      </c>
      <c r="ER23" s="230">
        <f>'[1]November - 2021'!EU23</f>
        <v>4200</v>
      </c>
      <c r="ES23" s="423"/>
      <c r="ET23" s="281">
        <f>'[1]November - 2021'!EW23</f>
        <v>37144</v>
      </c>
      <c r="EU23" s="275">
        <f>'[1]November - 2021'!EX23</f>
        <v>17</v>
      </c>
      <c r="EV23" s="282">
        <f>'[1]November - 2021'!EY23</f>
        <v>32104</v>
      </c>
      <c r="EW23" s="275">
        <f>'[1]November - 2021'!EZ23</f>
        <v>12</v>
      </c>
      <c r="EX23" s="282">
        <f>'[1]November - 2021'!FA23</f>
        <v>3267</v>
      </c>
      <c r="EY23" s="275">
        <f>'[1]November - 2021'!FB23</f>
        <v>14</v>
      </c>
      <c r="EZ23" s="282">
        <f>'[1]November - 2021'!FC23</f>
        <v>53692</v>
      </c>
      <c r="FA23" s="275">
        <f>'[1]November - 2021'!FD23</f>
        <v>18</v>
      </c>
      <c r="FB23" s="282">
        <f>'[1]November - 2021'!FE23</f>
        <v>36965</v>
      </c>
      <c r="FC23" s="276">
        <f>'[1]November - 2021'!FF23</f>
        <v>28</v>
      </c>
    </row>
    <row r="24" spans="1:159" ht="30" customHeight="1" x14ac:dyDescent="0.25">
      <c r="A24" s="207">
        <v>43845</v>
      </c>
      <c r="B24" s="209">
        <f>'[1]November - 2021'!B24</f>
        <v>0.97</v>
      </c>
      <c r="C24" s="250">
        <f>'[1]November - 2021'!E24</f>
        <v>903574</v>
      </c>
      <c r="D24" s="170">
        <f>'[1]November - 2021'!F24</f>
        <v>738</v>
      </c>
      <c r="E24" s="168">
        <f>'[1]November - 2021'!G24</f>
        <v>489</v>
      </c>
      <c r="F24" s="168">
        <f>'[1]November - 2021'!H24</f>
        <v>79500</v>
      </c>
      <c r="G24" s="170">
        <f>'[1]November - 2021'!I24</f>
        <v>364</v>
      </c>
      <c r="H24" s="168">
        <f>'[1]November - 2021'!J24</f>
        <v>363</v>
      </c>
      <c r="I24" s="168">
        <f>'[1]November - 2021'!K24</f>
        <v>164625</v>
      </c>
      <c r="J24" s="170">
        <f>'[1]November - 2021'!L24</f>
        <v>0</v>
      </c>
      <c r="K24" s="168">
        <f>'[1]November - 2021'!N24</f>
        <v>814135</v>
      </c>
      <c r="L24" s="170">
        <f>'[1]November - 2021'!O24</f>
        <v>246</v>
      </c>
      <c r="M24" s="168">
        <f>'[1]November - 2021'!Q24</f>
        <v>186229</v>
      </c>
      <c r="N24" s="170">
        <f>'[1]November - 2021'!R24</f>
        <v>101</v>
      </c>
      <c r="O24" s="168">
        <f>'[1]November - 2021'!S24</f>
        <v>50325.94</v>
      </c>
      <c r="P24" s="170">
        <f>'[1]November - 2021'!T24</f>
        <v>114.72000000000116</v>
      </c>
      <c r="Q24" s="168">
        <f>'[1]November - 2021'!U24</f>
        <v>66</v>
      </c>
      <c r="R24" s="168">
        <f>'[1]November - 2021'!V24</f>
        <v>3528</v>
      </c>
      <c r="S24" s="208">
        <f>'[1]November - 2021'!W24</f>
        <v>16</v>
      </c>
      <c r="T24" s="518"/>
      <c r="U24" s="169">
        <f>'[1]November - 2021'!AC24</f>
        <v>7120866.4799999995</v>
      </c>
      <c r="V24" s="288">
        <f>'[1]November - 2021'!AD24</f>
        <v>2777.0399999991059</v>
      </c>
      <c r="W24" s="92">
        <f>'[1]November - 2021'!AD24</f>
        <v>2777.0399999991059</v>
      </c>
      <c r="X24" s="287">
        <f>'[1]November - 2021'!AF24</f>
        <v>13638676.799999999</v>
      </c>
      <c r="Y24" s="288">
        <f>'[1]November - 2021'!AG24</f>
        <v>4530.9599999990314</v>
      </c>
      <c r="Z24" s="92">
        <f>'[1]November - 2021'!AG24</f>
        <v>4530.9599999990314</v>
      </c>
      <c r="AA24" s="287">
        <f>'[1]November - 2021'!AI24</f>
        <v>13616119.439999999</v>
      </c>
      <c r="AB24" s="288">
        <f>'[1]November - 2021'!AJ24</f>
        <v>828.24000000022352</v>
      </c>
      <c r="AC24" s="92">
        <f>'[1]November - 2021'!AJ24</f>
        <v>828.24000000022352</v>
      </c>
      <c r="AD24" s="287">
        <f>'[1]November - 2021'!AL24</f>
        <v>16622581.919999998</v>
      </c>
      <c r="AE24" s="288">
        <f>'[1]November - 2021'!AM24</f>
        <v>10133.759999997914</v>
      </c>
      <c r="AF24" s="92">
        <f>'[1]November - 2021'!AM24</f>
        <v>10133.759999997914</v>
      </c>
      <c r="AG24" s="287">
        <f>'[1]November - 2021'!AO24</f>
        <v>16932538.560000002</v>
      </c>
      <c r="AH24" s="288">
        <f>'[1]November - 2021'!AP24</f>
        <v>194.88000000268221</v>
      </c>
      <c r="AI24" s="92">
        <f>'[1]November - 2021'!AP24</f>
        <v>194.88000000268221</v>
      </c>
      <c r="AJ24" s="287">
        <f>'[1]November - 2021'!AR24</f>
        <v>15345143.52</v>
      </c>
      <c r="AK24" s="288">
        <f>'[1]November - 2021'!AS24</f>
        <v>5602.8000000007451</v>
      </c>
      <c r="AL24" s="92">
        <f>'[1]November - 2021'!AS24</f>
        <v>5602.8000000007451</v>
      </c>
      <c r="AM24" s="287">
        <f>'[1]November - 2021'!AU24</f>
        <v>13064950.08</v>
      </c>
      <c r="AN24" s="288">
        <f>'[1]November - 2021'!AV24</f>
        <v>4482.2400000002235</v>
      </c>
      <c r="AO24" s="92">
        <f>'[1]November - 2021'!AV24</f>
        <v>4482.2400000002235</v>
      </c>
      <c r="AP24" s="287">
        <f>'[1]November - 2021'!AX24</f>
        <v>12563523.84</v>
      </c>
      <c r="AQ24" s="288">
        <f>'[1]November - 2021'!AY24</f>
        <v>4141.1999999992549</v>
      </c>
      <c r="AR24" s="92">
        <f>'[1]November - 2021'!AY24</f>
        <v>4141.1999999992549</v>
      </c>
      <c r="AS24" s="287">
        <f>'[1]November - 2021'!BA24</f>
        <v>10011813.84</v>
      </c>
      <c r="AT24" s="288">
        <f>'[1]November - 2021'!BB24</f>
        <v>3459.1200000010431</v>
      </c>
      <c r="AU24" s="92">
        <f>'[1]November - 2021'!BB24</f>
        <v>3459.1200000010431</v>
      </c>
      <c r="AV24" s="287">
        <f>'[1]November - 2021'!BD24</f>
        <v>15526040.880000001</v>
      </c>
      <c r="AW24" s="252">
        <f>'[1]November - 2021'!BE24</f>
        <v>5554.0800000019372</v>
      </c>
      <c r="AX24" s="253">
        <f>'[1]November - 2021'!BE24</f>
        <v>5554.0800000019372</v>
      </c>
      <c r="AY24" s="484"/>
      <c r="AZ24" s="272">
        <f>'[1]November - 2021'!BK24</f>
        <v>67571500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70074400</v>
      </c>
      <c r="BD24" s="245">
        <f>'[1]November - 2021'!BO24</f>
        <v>58500</v>
      </c>
      <c r="BE24" s="93">
        <f>'[1]November - 2021'!BO24</f>
        <v>58500</v>
      </c>
      <c r="BF24" s="272">
        <f>'[1]November - 2021'!BQ24</f>
        <v>64331900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7541810</v>
      </c>
      <c r="BT24" s="185">
        <f>'[1]November - 2021'!BU24</f>
        <v>6340</v>
      </c>
      <c r="BU24" s="391"/>
      <c r="BV24" s="88">
        <f>'[1]November - 2021'!BW24</f>
        <v>0.81</v>
      </c>
      <c r="BW24" s="241">
        <f>'[1]November - 2021'!BX24</f>
        <v>-0.17000000000000004</v>
      </c>
      <c r="BX24" s="88">
        <f>'[1]November - 2021'!BX24</f>
        <v>-0.17000000000000004</v>
      </c>
      <c r="BY24" s="89">
        <f>'[1]November - 2021'!BZ24</f>
        <v>56596</v>
      </c>
      <c r="BZ24" s="191">
        <f>'[1]November - 2021'!CA24</f>
        <v>19</v>
      </c>
      <c r="CA24" s="89">
        <f>'[1]November - 2021'!CB24</f>
        <v>48114</v>
      </c>
      <c r="CB24" s="191">
        <f>'[1]November - 2021'!CC24</f>
        <v>17</v>
      </c>
      <c r="CC24" s="89">
        <f>'[1]November - 2021'!CD24</f>
        <v>16590</v>
      </c>
      <c r="CD24" s="191">
        <f>'[1]November - 2021'!CE24</f>
        <v>6</v>
      </c>
      <c r="CE24" s="89">
        <f>'[1]November - 2021'!CF24</f>
        <v>21798</v>
      </c>
      <c r="CF24" s="191">
        <f>'[1]November - 2021'!CG24</f>
        <v>9</v>
      </c>
      <c r="CG24" s="89">
        <f>'[1]November - 2021'!CH24</f>
        <v>23732</v>
      </c>
      <c r="CH24" s="191">
        <f>'[1]November - 2021'!CI24</f>
        <v>16</v>
      </c>
      <c r="CI24" s="89">
        <f>'[1]November - 2021'!CJ24</f>
        <v>52775</v>
      </c>
      <c r="CJ24" s="191">
        <f>'[1]November - 2021'!CK24</f>
        <v>23</v>
      </c>
      <c r="CK24" s="89">
        <f>'[1]November - 2021'!CL24</f>
        <v>231759</v>
      </c>
      <c r="CL24" s="246">
        <f>'[1]November - 2021'!CM24</f>
        <v>104</v>
      </c>
      <c r="CM24" s="89">
        <f>'[1]November - 2021'!CM24</f>
        <v>104</v>
      </c>
      <c r="CN24" s="89">
        <f>'[1]November - 2021'!CO24</f>
        <v>177441</v>
      </c>
      <c r="CO24" s="246">
        <f>'[1]November - 2021'!CP24</f>
        <v>101</v>
      </c>
      <c r="CP24" s="89">
        <f>'[1]November - 2021'!CP24</f>
        <v>101</v>
      </c>
      <c r="CQ24" s="89">
        <f>'[1]November - 2021'!CR24</f>
        <v>312632</v>
      </c>
      <c r="CR24" s="246">
        <f>'[1]November - 2021'!CS24</f>
        <v>255</v>
      </c>
      <c r="CS24" s="89">
        <f>'[1]November - 2021'!CS24</f>
        <v>255</v>
      </c>
      <c r="CT24" s="89">
        <f>'[1]November - 2021'!CU24</f>
        <v>614338</v>
      </c>
      <c r="CU24" s="191">
        <f>'[1]November - 2021'!CV24</f>
        <v>247</v>
      </c>
      <c r="CV24" s="451"/>
      <c r="CW24" s="256">
        <f>'[1]November - 2021'!CX24</f>
        <v>6174</v>
      </c>
      <c r="CX24" s="198">
        <f>'[1]November - 2021'!CY24</f>
        <v>5</v>
      </c>
      <c r="CY24" s="257">
        <f>'[1]November - 2021'!CZ24</f>
        <v>3699</v>
      </c>
      <c r="CZ24" s="198">
        <f>'[1]November - 2021'!DA24</f>
        <v>5</v>
      </c>
      <c r="DA24" s="257">
        <f>'[1]November - 2021'!DB24</f>
        <v>26377</v>
      </c>
      <c r="DB24" s="198">
        <f>'[1]November - 2021'!DC24</f>
        <v>13</v>
      </c>
      <c r="DC24" s="257">
        <f>'[1]November - 2021'!DD24</f>
        <v>27131</v>
      </c>
      <c r="DD24" s="198">
        <f>'[1]November - 2021'!DE24</f>
        <v>19</v>
      </c>
      <c r="DE24" s="257">
        <f>'[1]November - 2021'!DF24</f>
        <v>18434</v>
      </c>
      <c r="DF24" s="198">
        <f>'[1]November - 2021'!DG24</f>
        <v>9</v>
      </c>
      <c r="DG24" s="257">
        <f>'[1]November - 2021'!DH24</f>
        <v>21542</v>
      </c>
      <c r="DH24" s="198">
        <f>'[1]November - 2021'!DI24</f>
        <v>10</v>
      </c>
      <c r="DI24" s="257">
        <f>'[1]November - 2021'!DJ24</f>
        <v>3055</v>
      </c>
      <c r="DJ24" s="198">
        <f>'[1]November - 2021'!DK24</f>
        <v>8</v>
      </c>
      <c r="DK24" s="257">
        <f>'[1]November - 2021'!DL24</f>
        <v>6362</v>
      </c>
      <c r="DL24" s="198">
        <f>'[1]November - 2021'!DM24</f>
        <v>14</v>
      </c>
      <c r="DM24" s="257">
        <f>'[1]November - 2021'!DN24</f>
        <v>1696</v>
      </c>
      <c r="DN24" s="198">
        <f>'[1]November - 2021'!DO24</f>
        <v>4</v>
      </c>
      <c r="DO24" s="257">
        <f>'[1]November - 2021'!DP24</f>
        <v>3401</v>
      </c>
      <c r="DP24" s="198">
        <f>'[1]November - 2021'!DQ24</f>
        <v>9</v>
      </c>
      <c r="DQ24" s="257">
        <f>'[1]November - 2021'!DR24</f>
        <v>26198</v>
      </c>
      <c r="DR24" s="206">
        <f>'[1]November - 2021'!DS24</f>
        <v>6</v>
      </c>
      <c r="DS24" s="436"/>
      <c r="DT24" s="210">
        <f>'[1]November - 2021'!DU24</f>
        <v>2898.2</v>
      </c>
      <c r="DU24" s="221">
        <f>'[1]November - 2021'!DV24</f>
        <v>8.3999999999996362</v>
      </c>
      <c r="DV24" s="91">
        <f>'[1]November - 2021'!DW24</f>
        <v>8042.3</v>
      </c>
      <c r="DW24" s="215">
        <f>'[1]November - 2021'!DX24</f>
        <v>6.6999999999998181</v>
      </c>
      <c r="DX24" s="91">
        <f>'[1]November - 2021'!DY24</f>
        <v>2187.8000000000002</v>
      </c>
      <c r="DY24" s="215">
        <f>'[1]November - 2021'!DZ24</f>
        <v>6.7000000000002728</v>
      </c>
      <c r="DZ24" s="91">
        <f>'[1]November - 2021'!EA24</f>
        <v>2275.6</v>
      </c>
      <c r="EA24" s="215">
        <f>'[1]November - 2021'!EB24</f>
        <v>8.1999999999998181</v>
      </c>
      <c r="EB24" s="91">
        <f>'[1]November - 2021'!EC24</f>
        <v>857703</v>
      </c>
      <c r="EC24" s="215">
        <f>'[1]November - 2021'!ED24</f>
        <v>609</v>
      </c>
      <c r="ED24" s="91">
        <f>'[1]November - 2021'!EG24</f>
        <v>172733.8</v>
      </c>
      <c r="EE24" s="229">
        <f>'[1]November - 2021'!EH24</f>
        <v>147.69999999998254</v>
      </c>
      <c r="EF24" s="375"/>
      <c r="EG24" s="235">
        <f>'[1]November - 2021'!EJ24</f>
        <v>10331800</v>
      </c>
      <c r="EH24" s="230">
        <f>'[1]November - 2021'!EK24</f>
        <v>3400</v>
      </c>
      <c r="EI24" s="90">
        <f>'[1]November - 2021'!EL24</f>
        <v>820770</v>
      </c>
      <c r="EJ24" s="230">
        <f>'[1]November - 2021'!EM24</f>
        <v>200</v>
      </c>
      <c r="EK24" s="90">
        <f>'[1]November - 2021'!EN24</f>
        <v>6366900</v>
      </c>
      <c r="EL24" s="230">
        <f>'[1]November - 2021'!EO24</f>
        <v>1800</v>
      </c>
      <c r="EM24" s="90">
        <f>'[1]November - 2021'!EP24</f>
        <v>2238600</v>
      </c>
      <c r="EN24" s="230">
        <f>'[1]November - 2021'!EQ24</f>
        <v>500</v>
      </c>
      <c r="EO24" s="90">
        <f>'[1]November - 2021'!ER24</f>
        <v>978550</v>
      </c>
      <c r="EP24" s="230">
        <f>'[1]November - 2021'!ES24</f>
        <v>790</v>
      </c>
      <c r="EQ24" s="90">
        <f>'[1]November - 2021'!ET24</f>
        <v>14227000</v>
      </c>
      <c r="ER24" s="230">
        <f>'[1]November - 2021'!EU24</f>
        <v>3300</v>
      </c>
      <c r="ES24" s="423"/>
      <c r="ET24" s="281">
        <f>'[1]November - 2021'!EW24</f>
        <v>37160</v>
      </c>
      <c r="EU24" s="275">
        <f>'[1]November - 2021'!EX24</f>
        <v>16</v>
      </c>
      <c r="EV24" s="282">
        <f>'[1]November - 2021'!EY24</f>
        <v>32118</v>
      </c>
      <c r="EW24" s="275">
        <f>'[1]November - 2021'!EZ24</f>
        <v>14</v>
      </c>
      <c r="EX24" s="282">
        <f>'[1]November - 2021'!FA24</f>
        <v>3279</v>
      </c>
      <c r="EY24" s="275">
        <f>'[1]November - 2021'!FB24</f>
        <v>12</v>
      </c>
      <c r="EZ24" s="282">
        <f>'[1]November - 2021'!FC24</f>
        <v>53709</v>
      </c>
      <c r="FA24" s="275">
        <f>'[1]November - 2021'!FD24</f>
        <v>17</v>
      </c>
      <c r="FB24" s="282">
        <f>'[1]November - 2021'!FE24</f>
        <v>37002</v>
      </c>
      <c r="FC24" s="276">
        <f>'[1]November - 2021'!FF24</f>
        <v>37</v>
      </c>
    </row>
    <row r="25" spans="1:159" ht="30" customHeight="1" x14ac:dyDescent="0.25">
      <c r="A25" s="207">
        <v>43846</v>
      </c>
      <c r="B25" s="209">
        <f>'[1]November - 2021'!B25</f>
        <v>0.95</v>
      </c>
      <c r="C25" s="250">
        <f>'[1]November - 2021'!E25</f>
        <v>904475</v>
      </c>
      <c r="D25" s="170">
        <f>'[1]November - 2021'!F25</f>
        <v>901</v>
      </c>
      <c r="E25" s="168">
        <f>'[1]November - 2021'!G25</f>
        <v>507</v>
      </c>
      <c r="F25" s="168">
        <f>'[1]November - 2021'!H25</f>
        <v>79911</v>
      </c>
      <c r="G25" s="170">
        <f>'[1]November - 2021'!I25</f>
        <v>411</v>
      </c>
      <c r="H25" s="168">
        <f>'[1]November - 2021'!J25</f>
        <v>396</v>
      </c>
      <c r="I25" s="168">
        <f>'[1]November - 2021'!K25</f>
        <v>164625</v>
      </c>
      <c r="J25" s="170">
        <f>'[1]November - 2021'!L25</f>
        <v>0</v>
      </c>
      <c r="K25" s="168">
        <f>'[1]November - 2021'!N25</f>
        <v>814384</v>
      </c>
      <c r="L25" s="170">
        <f>'[1]November - 2021'!O25</f>
        <v>249</v>
      </c>
      <c r="M25" s="168">
        <f>'[1]November - 2021'!Q25</f>
        <v>186378</v>
      </c>
      <c r="N25" s="170">
        <f>'[1]November - 2021'!R25</f>
        <v>149</v>
      </c>
      <c r="O25" s="168">
        <f>'[1]November - 2021'!S25</f>
        <v>50448.2</v>
      </c>
      <c r="P25" s="170">
        <f>'[1]November - 2021'!T25</f>
        <v>122.25999999999476</v>
      </c>
      <c r="Q25" s="168">
        <f>'[1]November - 2021'!U25</f>
        <v>68</v>
      </c>
      <c r="R25" s="168">
        <f>'[1]November - 2021'!V25</f>
        <v>3547</v>
      </c>
      <c r="S25" s="208">
        <f>'[1]November - 2021'!W25</f>
        <v>19</v>
      </c>
      <c r="T25" s="518"/>
      <c r="U25" s="169">
        <f>'[1]November - 2021'!AC25</f>
        <v>7123740.959999999</v>
      </c>
      <c r="V25" s="288">
        <f>'[1]November - 2021'!AD25</f>
        <v>2874.4799999995157</v>
      </c>
      <c r="W25" s="92">
        <f>'[1]November - 2021'!AD25</f>
        <v>2874.4799999995157</v>
      </c>
      <c r="X25" s="287">
        <f>'[1]November - 2021'!AF25</f>
        <v>13643451.359999999</v>
      </c>
      <c r="Y25" s="288">
        <f>'[1]November - 2021'!AG25</f>
        <v>4774.5600000005215</v>
      </c>
      <c r="Z25" s="92">
        <f>'[1]November - 2021'!AG25</f>
        <v>4774.5600000005215</v>
      </c>
      <c r="AA25" s="287">
        <f>'[1]November - 2021'!AI25</f>
        <v>13617045.119999999</v>
      </c>
      <c r="AB25" s="288">
        <f>'[1]November - 2021'!AJ25</f>
        <v>925.67999999970198</v>
      </c>
      <c r="AC25" s="92">
        <f>'[1]November - 2021'!AJ25</f>
        <v>925.67999999970198</v>
      </c>
      <c r="AD25" s="287">
        <f>'[1]November - 2021'!AL25</f>
        <v>16633933.68</v>
      </c>
      <c r="AE25" s="288">
        <f>'[1]November - 2021'!AM25</f>
        <v>11351.760000001639</v>
      </c>
      <c r="AF25" s="92">
        <f>'[1]November - 2021'!AM25</f>
        <v>11351.760000001639</v>
      </c>
      <c r="AG25" s="287">
        <f>'[1]November - 2021'!AO25</f>
        <v>16932879.599999998</v>
      </c>
      <c r="AH25" s="288">
        <f>'[1]November - 2021'!AP25</f>
        <v>341.03999999538064</v>
      </c>
      <c r="AI25" s="92">
        <f>'[1]November - 2021'!AP25</f>
        <v>341.03999999538064</v>
      </c>
      <c r="AJ25" s="287">
        <f>'[1]November - 2021'!AR25</f>
        <v>15350941.199999999</v>
      </c>
      <c r="AK25" s="288">
        <f>'[1]November - 2021'!AS25</f>
        <v>5797.679999999702</v>
      </c>
      <c r="AL25" s="92">
        <f>'[1]November - 2021'!AS25</f>
        <v>5797.679999999702</v>
      </c>
      <c r="AM25" s="287">
        <f>'[1]November - 2021'!AU25</f>
        <v>13069675.919999998</v>
      </c>
      <c r="AN25" s="288">
        <f>'[1]November - 2021'!AV25</f>
        <v>4725.8399999979883</v>
      </c>
      <c r="AO25" s="92">
        <f>'[1]November - 2021'!AV25</f>
        <v>4725.8399999979883</v>
      </c>
      <c r="AP25" s="287">
        <f>'[1]November - 2021'!AX25</f>
        <v>12567859.92</v>
      </c>
      <c r="AQ25" s="288">
        <f>'[1]November - 2021'!AY25</f>
        <v>4336.0800000000745</v>
      </c>
      <c r="AR25" s="92">
        <f>'[1]November - 2021'!AY25</f>
        <v>4336.0800000000745</v>
      </c>
      <c r="AS25" s="287">
        <f>'[1]November - 2021'!BA25</f>
        <v>10015175.52</v>
      </c>
      <c r="AT25" s="288">
        <f>'[1]November - 2021'!BB25</f>
        <v>3361.679999999702</v>
      </c>
      <c r="AU25" s="92">
        <f>'[1]November - 2021'!BB25</f>
        <v>3361.679999999702</v>
      </c>
      <c r="AV25" s="287">
        <f>'[1]November - 2021'!BD25</f>
        <v>15531838.559999999</v>
      </c>
      <c r="AW25" s="252">
        <f>'[1]November - 2021'!BE25</f>
        <v>5797.6799999978393</v>
      </c>
      <c r="AX25" s="253">
        <f>'[1]November - 2021'!BE25</f>
        <v>5797.6799999978393</v>
      </c>
      <c r="AY25" s="484"/>
      <c r="AZ25" s="272">
        <f>'[1]November - 2021'!BK25</f>
        <v>67571500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70137900</v>
      </c>
      <c r="BD25" s="245">
        <f>'[1]November - 2021'!BO25</f>
        <v>63500</v>
      </c>
      <c r="BE25" s="93">
        <f>'[1]November - 2021'!BO25</f>
        <v>63500</v>
      </c>
      <c r="BF25" s="272">
        <f>'[1]November - 2021'!BQ25</f>
        <v>64331900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7548350</v>
      </c>
      <c r="BT25" s="185">
        <f>'[1]November - 2021'!BU25</f>
        <v>6540</v>
      </c>
      <c r="BU25" s="391"/>
      <c r="BV25" s="88">
        <f>'[1]November - 2021'!BW25</f>
        <v>0.72</v>
      </c>
      <c r="BW25" s="241">
        <f>'[1]November - 2021'!BX25</f>
        <v>9.000000000000008E-2</v>
      </c>
      <c r="BX25" s="88">
        <f>'[1]November - 2021'!BX25</f>
        <v>9.000000000000008E-2</v>
      </c>
      <c r="BY25" s="89">
        <f>'[1]November - 2021'!BZ25</f>
        <v>56614</v>
      </c>
      <c r="BZ25" s="191">
        <f>'[1]November - 2021'!CA25</f>
        <v>18</v>
      </c>
      <c r="CA25" s="89">
        <f>'[1]November - 2021'!CB25</f>
        <v>48131</v>
      </c>
      <c r="CB25" s="191">
        <f>'[1]November - 2021'!CC25</f>
        <v>17</v>
      </c>
      <c r="CC25" s="89">
        <f>'[1]November - 2021'!CD25</f>
        <v>16596</v>
      </c>
      <c r="CD25" s="191">
        <f>'[1]November - 2021'!CE25</f>
        <v>6</v>
      </c>
      <c r="CE25" s="89">
        <f>'[1]November - 2021'!CF25</f>
        <v>21807</v>
      </c>
      <c r="CF25" s="191">
        <f>'[1]November - 2021'!CG25</f>
        <v>9</v>
      </c>
      <c r="CG25" s="89">
        <f>'[1]November - 2021'!CH25</f>
        <v>23748</v>
      </c>
      <c r="CH25" s="191">
        <f>'[1]November - 2021'!CI25</f>
        <v>16</v>
      </c>
      <c r="CI25" s="89">
        <f>'[1]November - 2021'!CJ25</f>
        <v>52799</v>
      </c>
      <c r="CJ25" s="191">
        <f>'[1]November - 2021'!CK25</f>
        <v>24</v>
      </c>
      <c r="CK25" s="89">
        <f>'[1]November - 2021'!CL25</f>
        <v>231866</v>
      </c>
      <c r="CL25" s="246">
        <f>'[1]November - 2021'!CM25</f>
        <v>107</v>
      </c>
      <c r="CM25" s="89">
        <f>'[1]November - 2021'!CM25</f>
        <v>107</v>
      </c>
      <c r="CN25" s="89">
        <f>'[1]November - 2021'!CO25</f>
        <v>177546</v>
      </c>
      <c r="CO25" s="246">
        <f>'[1]November - 2021'!CP25</f>
        <v>105</v>
      </c>
      <c r="CP25" s="89">
        <f>'[1]November - 2021'!CP25</f>
        <v>105</v>
      </c>
      <c r="CQ25" s="89">
        <f>'[1]November - 2021'!CR25</f>
        <v>312898</v>
      </c>
      <c r="CR25" s="246">
        <f>'[1]November - 2021'!CS25</f>
        <v>266</v>
      </c>
      <c r="CS25" s="89">
        <f>'[1]November - 2021'!CS25</f>
        <v>266</v>
      </c>
      <c r="CT25" s="89">
        <f>'[1]November - 2021'!CU25</f>
        <v>614587</v>
      </c>
      <c r="CU25" s="191">
        <f>'[1]November - 2021'!CV25</f>
        <v>249</v>
      </c>
      <c r="CV25" s="451"/>
      <c r="CW25" s="256">
        <f>'[1]November - 2021'!CX25</f>
        <v>6181</v>
      </c>
      <c r="CX25" s="198">
        <f>'[1]November - 2021'!CY25</f>
        <v>7</v>
      </c>
      <c r="CY25" s="257">
        <f>'[1]November - 2021'!CZ25</f>
        <v>3706</v>
      </c>
      <c r="CZ25" s="198">
        <f>'[1]November - 2021'!DA25</f>
        <v>7</v>
      </c>
      <c r="DA25" s="257">
        <f>'[1]November - 2021'!DB25</f>
        <v>26391</v>
      </c>
      <c r="DB25" s="198">
        <f>'[1]November - 2021'!DC25</f>
        <v>14</v>
      </c>
      <c r="DC25" s="257">
        <f>'[1]November - 2021'!DD25</f>
        <v>27148</v>
      </c>
      <c r="DD25" s="198">
        <f>'[1]November - 2021'!DE25</f>
        <v>17</v>
      </c>
      <c r="DE25" s="257">
        <f>'[1]November - 2021'!DF25</f>
        <v>18442</v>
      </c>
      <c r="DF25" s="198">
        <f>'[1]November - 2021'!DG25</f>
        <v>8</v>
      </c>
      <c r="DG25" s="257">
        <f>'[1]November - 2021'!DH25</f>
        <v>21550</v>
      </c>
      <c r="DH25" s="198">
        <f>'[1]November - 2021'!DI25</f>
        <v>8</v>
      </c>
      <c r="DI25" s="257">
        <f>'[1]November - 2021'!DJ25</f>
        <v>3065</v>
      </c>
      <c r="DJ25" s="198">
        <f>'[1]November - 2021'!DK25</f>
        <v>10</v>
      </c>
      <c r="DK25" s="257">
        <f>'[1]November - 2021'!DL25</f>
        <v>6376</v>
      </c>
      <c r="DL25" s="198">
        <f>'[1]November - 2021'!DM25</f>
        <v>14</v>
      </c>
      <c r="DM25" s="257">
        <f>'[1]November - 2021'!DN25</f>
        <v>1700</v>
      </c>
      <c r="DN25" s="198">
        <f>'[1]November - 2021'!DO25</f>
        <v>4</v>
      </c>
      <c r="DO25" s="257">
        <f>'[1]November - 2021'!DP25</f>
        <v>3409</v>
      </c>
      <c r="DP25" s="198">
        <f>'[1]November - 2021'!DQ25</f>
        <v>8</v>
      </c>
      <c r="DQ25" s="257">
        <f>'[1]November - 2021'!DR25</f>
        <v>26198</v>
      </c>
      <c r="DR25" s="206">
        <f>'[1]November - 2021'!DS25</f>
        <v>0</v>
      </c>
      <c r="DS25" s="436"/>
      <c r="DT25" s="210">
        <f>'[1]November - 2021'!DU25</f>
        <v>2907.1</v>
      </c>
      <c r="DU25" s="221">
        <f>'[1]November - 2021'!DV25</f>
        <v>8.9000000000000909</v>
      </c>
      <c r="DV25" s="91">
        <f>'[1]November - 2021'!DW25</f>
        <v>8049.5</v>
      </c>
      <c r="DW25" s="215">
        <f>'[1]November - 2021'!DX25</f>
        <v>7.1999999999998181</v>
      </c>
      <c r="DX25" s="91">
        <f>'[1]November - 2021'!DY25</f>
        <v>2194.6</v>
      </c>
      <c r="DY25" s="215">
        <f>'[1]November - 2021'!DZ25</f>
        <v>6.7999999999997272</v>
      </c>
      <c r="DZ25" s="91">
        <f>'[1]November - 2021'!EA25</f>
        <v>2284.4</v>
      </c>
      <c r="EA25" s="215">
        <f>'[1]November - 2021'!EB25</f>
        <v>8.8000000000001819</v>
      </c>
      <c r="EB25" s="91">
        <f>'[1]November - 2021'!EC25</f>
        <v>858336</v>
      </c>
      <c r="EC25" s="215">
        <f>'[1]November - 2021'!ED25</f>
        <v>633</v>
      </c>
      <c r="ED25" s="91">
        <f>'[1]November - 2021'!EG25</f>
        <v>172891.4</v>
      </c>
      <c r="EE25" s="229">
        <f>'[1]November - 2021'!EH25</f>
        <v>157.60000000000582</v>
      </c>
      <c r="EF25" s="375"/>
      <c r="EG25" s="235">
        <f>'[1]November - 2021'!EJ25</f>
        <v>10335300</v>
      </c>
      <c r="EH25" s="230">
        <f>'[1]November - 2021'!EK25</f>
        <v>3500</v>
      </c>
      <c r="EI25" s="90">
        <f>'[1]November - 2021'!EL25</f>
        <v>820960</v>
      </c>
      <c r="EJ25" s="230">
        <f>'[1]November - 2021'!EM25</f>
        <v>190</v>
      </c>
      <c r="EK25" s="90">
        <f>'[1]November - 2021'!EN25</f>
        <v>6368600</v>
      </c>
      <c r="EL25" s="230">
        <f>'[1]November - 2021'!EO25</f>
        <v>1700</v>
      </c>
      <c r="EM25" s="90">
        <f>'[1]November - 2021'!EP25</f>
        <v>2239000</v>
      </c>
      <c r="EN25" s="230">
        <f>'[1]November - 2021'!EQ25</f>
        <v>400</v>
      </c>
      <c r="EO25" s="90">
        <f>'[1]November - 2021'!ER25</f>
        <v>979230</v>
      </c>
      <c r="EP25" s="230">
        <f>'[1]November - 2021'!ES25</f>
        <v>680</v>
      </c>
      <c r="EQ25" s="90">
        <f>'[1]November - 2021'!ET25</f>
        <v>14230000</v>
      </c>
      <c r="ER25" s="230">
        <f>'[1]November - 2021'!EU25</f>
        <v>3000</v>
      </c>
      <c r="ES25" s="423"/>
      <c r="ET25" s="281">
        <f>'[1]November - 2021'!EW25</f>
        <v>37175</v>
      </c>
      <c r="EU25" s="275">
        <f>'[1]November - 2021'!EX25</f>
        <v>15</v>
      </c>
      <c r="EV25" s="282">
        <f>'[1]November - 2021'!EY25</f>
        <v>32131</v>
      </c>
      <c r="EW25" s="275">
        <f>'[1]November - 2021'!EZ25</f>
        <v>13</v>
      </c>
      <c r="EX25" s="282">
        <f>'[1]November - 2021'!FA25</f>
        <v>3292</v>
      </c>
      <c r="EY25" s="275">
        <f>'[1]November - 2021'!FB25</f>
        <v>13</v>
      </c>
      <c r="EZ25" s="282">
        <f>'[1]November - 2021'!FC25</f>
        <v>53726</v>
      </c>
      <c r="FA25" s="275">
        <f>'[1]November - 2021'!FD25</f>
        <v>17</v>
      </c>
      <c r="FB25" s="282">
        <f>'[1]November - 2021'!FE25</f>
        <v>37039</v>
      </c>
      <c r="FC25" s="276">
        <f>'[1]November - 2021'!FF25</f>
        <v>37</v>
      </c>
    </row>
    <row r="26" spans="1:159" ht="30" customHeight="1" x14ac:dyDescent="0.25">
      <c r="A26" s="207">
        <v>43847</v>
      </c>
      <c r="B26" s="209">
        <f>'[1]November - 2021'!B26</f>
        <v>0.95</v>
      </c>
      <c r="C26" s="250">
        <f>'[1]November - 2021'!E26</f>
        <v>905141</v>
      </c>
      <c r="D26" s="170">
        <f>'[1]November - 2021'!F26</f>
        <v>666</v>
      </c>
      <c r="E26" s="168">
        <f>'[1]November - 2021'!G26</f>
        <v>487</v>
      </c>
      <c r="F26" s="168">
        <f>'[1]November - 2021'!H26</f>
        <v>80293</v>
      </c>
      <c r="G26" s="170">
        <f>'[1]November - 2021'!I26</f>
        <v>382</v>
      </c>
      <c r="H26" s="168">
        <f>'[1]November - 2021'!J26</f>
        <v>340</v>
      </c>
      <c r="I26" s="168">
        <f>'[1]November - 2021'!K26</f>
        <v>164625</v>
      </c>
      <c r="J26" s="170">
        <f>'[1]November - 2021'!L26</f>
        <v>0</v>
      </c>
      <c r="K26" s="168">
        <f>'[1]November - 2021'!N26</f>
        <v>814599</v>
      </c>
      <c r="L26" s="170">
        <f>'[1]November - 2021'!O26</f>
        <v>215</v>
      </c>
      <c r="M26" s="168">
        <f>'[1]November - 2021'!Q26</f>
        <v>186505</v>
      </c>
      <c r="N26" s="170">
        <f>'[1]November - 2021'!R26</f>
        <v>127</v>
      </c>
      <c r="O26" s="168">
        <f>'[1]November - 2021'!S26</f>
        <v>50573.13</v>
      </c>
      <c r="P26" s="170">
        <f>'[1]November - 2021'!T26</f>
        <v>124.93000000000029</v>
      </c>
      <c r="Q26" s="168">
        <f>'[1]November - 2021'!U26</f>
        <v>62</v>
      </c>
      <c r="R26" s="168">
        <f>'[1]November - 2021'!V26</f>
        <v>3564</v>
      </c>
      <c r="S26" s="208">
        <f>'[1]November - 2021'!W26</f>
        <v>17</v>
      </c>
      <c r="T26" s="518"/>
      <c r="U26" s="169">
        <f>'[1]November - 2021'!AC26</f>
        <v>7126566.7199999997</v>
      </c>
      <c r="V26" s="288">
        <f>'[1]November - 2021'!AD26</f>
        <v>2825.7600000007078</v>
      </c>
      <c r="W26" s="92">
        <f>'[1]November - 2021'!AD26</f>
        <v>2825.7600000007078</v>
      </c>
      <c r="X26" s="287">
        <f>'[1]November - 2021'!AF26</f>
        <v>13648031.039999999</v>
      </c>
      <c r="Y26" s="288">
        <f>'[1]November - 2021'!AG26</f>
        <v>4579.679999999702</v>
      </c>
      <c r="Z26" s="92">
        <f>'[1]November - 2021'!AG26</f>
        <v>4579.679999999702</v>
      </c>
      <c r="AA26" s="287">
        <f>'[1]November - 2021'!AI26</f>
        <v>13617970.799999999</v>
      </c>
      <c r="AB26" s="288">
        <f>'[1]November - 2021'!AJ26</f>
        <v>925.67999999970198</v>
      </c>
      <c r="AC26" s="92">
        <f>'[1]November - 2021'!AJ26</f>
        <v>925.67999999970198</v>
      </c>
      <c r="AD26" s="287">
        <f>'[1]November - 2021'!AL26</f>
        <v>16645480.319999998</v>
      </c>
      <c r="AE26" s="288">
        <f>'[1]November - 2021'!AM26</f>
        <v>11546.639999998733</v>
      </c>
      <c r="AF26" s="92">
        <f>'[1]November - 2021'!AM26</f>
        <v>11546.639999998733</v>
      </c>
      <c r="AG26" s="287">
        <f>'[1]November - 2021'!AO26</f>
        <v>16933220.639999997</v>
      </c>
      <c r="AH26" s="288">
        <f>'[1]November - 2021'!AP26</f>
        <v>341.03999999910593</v>
      </c>
      <c r="AI26" s="92">
        <f>'[1]November - 2021'!AP26</f>
        <v>341.03999999910593</v>
      </c>
      <c r="AJ26" s="287">
        <f>'[1]November - 2021'!AR26</f>
        <v>15356836.319999998</v>
      </c>
      <c r="AK26" s="288">
        <f>'[1]November - 2021'!AS26</f>
        <v>5895.1199999991804</v>
      </c>
      <c r="AL26" s="92">
        <f>'[1]November - 2021'!AS26</f>
        <v>5895.1199999991804</v>
      </c>
      <c r="AM26" s="287">
        <f>'[1]November - 2021'!AU26</f>
        <v>13074109.439999999</v>
      </c>
      <c r="AN26" s="288">
        <f>'[1]November - 2021'!AV26</f>
        <v>4433.5200000014156</v>
      </c>
      <c r="AO26" s="92">
        <f>'[1]November - 2021'!AV26</f>
        <v>4433.5200000014156</v>
      </c>
      <c r="AP26" s="287">
        <f>'[1]November - 2021'!AX26</f>
        <v>12572147.280000001</v>
      </c>
      <c r="AQ26" s="288">
        <f>'[1]November - 2021'!AY26</f>
        <v>4287.3600000012666</v>
      </c>
      <c r="AR26" s="92">
        <f>'[1]November - 2021'!AY26</f>
        <v>4287.3600000012666</v>
      </c>
      <c r="AS26" s="287">
        <f>'[1]November - 2021'!BA26</f>
        <v>10018683.359999999</v>
      </c>
      <c r="AT26" s="288">
        <f>'[1]November - 2021'!BB26</f>
        <v>3507.839999999851</v>
      </c>
      <c r="AU26" s="92">
        <f>'[1]November - 2021'!BB26</f>
        <v>3507.839999999851</v>
      </c>
      <c r="AV26" s="287">
        <f>'[1]November - 2021'!BD26</f>
        <v>15537538.799999999</v>
      </c>
      <c r="AW26" s="252">
        <f>'[1]November - 2021'!BE26</f>
        <v>5700.2400000002235</v>
      </c>
      <c r="AX26" s="253">
        <f>'[1]November - 2021'!BE26</f>
        <v>5700.2400000002235</v>
      </c>
      <c r="AY26" s="484"/>
      <c r="AZ26" s="272">
        <f>'[1]November - 2021'!BK26</f>
        <v>67571500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70205500</v>
      </c>
      <c r="BD26" s="245">
        <f>'[1]November - 2021'!BO26</f>
        <v>67600</v>
      </c>
      <c r="BE26" s="93">
        <f>'[1]November - 2021'!BO26</f>
        <v>67600</v>
      </c>
      <c r="BF26" s="272">
        <f>'[1]November - 2021'!BQ26</f>
        <v>64331900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7554410</v>
      </c>
      <c r="BT26" s="185">
        <f>'[1]November - 2021'!BU26</f>
        <v>6060</v>
      </c>
      <c r="BU26" s="391"/>
      <c r="BV26" s="88">
        <f>'[1]November - 2021'!BW26</f>
        <v>0.65</v>
      </c>
      <c r="BW26" s="241">
        <f>'[1]November - 2021'!BX26</f>
        <v>6.9999999999999951E-2</v>
      </c>
      <c r="BX26" s="88">
        <f>'[1]November - 2021'!BX26</f>
        <v>6.9999999999999951E-2</v>
      </c>
      <c r="BY26" s="89">
        <f>'[1]November - 2021'!BZ26</f>
        <v>56634</v>
      </c>
      <c r="BZ26" s="191">
        <f>'[1]November - 2021'!CA26</f>
        <v>20</v>
      </c>
      <c r="CA26" s="89">
        <f>'[1]November - 2021'!CB26</f>
        <v>48147</v>
      </c>
      <c r="CB26" s="191">
        <f>'[1]November - 2021'!CC26</f>
        <v>16</v>
      </c>
      <c r="CC26" s="89">
        <f>'[1]November - 2021'!CD26</f>
        <v>16601</v>
      </c>
      <c r="CD26" s="191">
        <f>'[1]November - 2021'!CE26</f>
        <v>5</v>
      </c>
      <c r="CE26" s="89">
        <f>'[1]November - 2021'!CF26</f>
        <v>21817</v>
      </c>
      <c r="CF26" s="191">
        <f>'[1]November - 2021'!CG26</f>
        <v>10</v>
      </c>
      <c r="CG26" s="89">
        <f>'[1]November - 2021'!CH26</f>
        <v>23763</v>
      </c>
      <c r="CH26" s="191">
        <f>'[1]November - 2021'!CI26</f>
        <v>15</v>
      </c>
      <c r="CI26" s="89">
        <f>'[1]November - 2021'!CJ26</f>
        <v>52823</v>
      </c>
      <c r="CJ26" s="191">
        <f>'[1]November - 2021'!CK26</f>
        <v>24</v>
      </c>
      <c r="CK26" s="89">
        <f>'[1]November - 2021'!CL26</f>
        <v>231970</v>
      </c>
      <c r="CL26" s="246">
        <f>'[1]November - 2021'!CM26</f>
        <v>104</v>
      </c>
      <c r="CM26" s="89">
        <f>'[1]November - 2021'!CM26</f>
        <v>104</v>
      </c>
      <c r="CN26" s="89">
        <f>'[1]November - 2021'!CO26</f>
        <v>177648</v>
      </c>
      <c r="CO26" s="246">
        <f>'[1]November - 2021'!CP26</f>
        <v>102</v>
      </c>
      <c r="CP26" s="89">
        <f>'[1]November - 2021'!CP26</f>
        <v>102</v>
      </c>
      <c r="CQ26" s="89">
        <f>'[1]November - 2021'!CR26</f>
        <v>313150</v>
      </c>
      <c r="CR26" s="246">
        <f>'[1]November - 2021'!CS26</f>
        <v>252</v>
      </c>
      <c r="CS26" s="89">
        <f>'[1]November - 2021'!CS26</f>
        <v>252</v>
      </c>
      <c r="CT26" s="89">
        <f>'[1]November - 2021'!CU26</f>
        <v>614831</v>
      </c>
      <c r="CU26" s="191">
        <f>'[1]November - 2021'!CV26</f>
        <v>244</v>
      </c>
      <c r="CV26" s="451"/>
      <c r="CW26" s="256">
        <f>'[1]November - 2021'!CX26</f>
        <v>6189</v>
      </c>
      <c r="CX26" s="198">
        <f>'[1]November - 2021'!CY26</f>
        <v>8</v>
      </c>
      <c r="CY26" s="257">
        <f>'[1]November - 2021'!CZ26</f>
        <v>3715</v>
      </c>
      <c r="CZ26" s="198">
        <f>'[1]November - 2021'!DA26</f>
        <v>9</v>
      </c>
      <c r="DA26" s="257">
        <f>'[1]November - 2021'!DB26</f>
        <v>26406</v>
      </c>
      <c r="DB26" s="198">
        <f>'[1]November - 2021'!DC26</f>
        <v>15</v>
      </c>
      <c r="DC26" s="257">
        <f>'[1]November - 2021'!DD26</f>
        <v>27165</v>
      </c>
      <c r="DD26" s="198">
        <f>'[1]November - 2021'!DE26</f>
        <v>17</v>
      </c>
      <c r="DE26" s="257">
        <f>'[1]November - 2021'!DF26</f>
        <v>18450</v>
      </c>
      <c r="DF26" s="198">
        <f>'[1]November - 2021'!DG26</f>
        <v>8</v>
      </c>
      <c r="DG26" s="257">
        <f>'[1]November - 2021'!DH26</f>
        <v>21558</v>
      </c>
      <c r="DH26" s="198">
        <f>'[1]November - 2021'!DI26</f>
        <v>8</v>
      </c>
      <c r="DI26" s="257">
        <f>'[1]November - 2021'!DJ26</f>
        <v>3074</v>
      </c>
      <c r="DJ26" s="198">
        <f>'[1]November - 2021'!DK26</f>
        <v>9</v>
      </c>
      <c r="DK26" s="257">
        <f>'[1]November - 2021'!DL26</f>
        <v>6390</v>
      </c>
      <c r="DL26" s="198">
        <f>'[1]November - 2021'!DM26</f>
        <v>14</v>
      </c>
      <c r="DM26" s="257">
        <f>'[1]November - 2021'!DN26</f>
        <v>1704</v>
      </c>
      <c r="DN26" s="198">
        <f>'[1]November - 2021'!DO26</f>
        <v>4</v>
      </c>
      <c r="DO26" s="257">
        <f>'[1]November - 2021'!DP26</f>
        <v>3416</v>
      </c>
      <c r="DP26" s="198">
        <f>'[1]November - 2021'!DQ26</f>
        <v>7</v>
      </c>
      <c r="DQ26" s="257">
        <f>'[1]November - 2021'!DR26</f>
        <v>26198</v>
      </c>
      <c r="DR26" s="206">
        <f>'[1]November - 2021'!DS26</f>
        <v>0</v>
      </c>
      <c r="DS26" s="436"/>
      <c r="DT26" s="210">
        <f>'[1]November - 2021'!DU26</f>
        <v>2915.6</v>
      </c>
      <c r="DU26" s="221">
        <f>'[1]November - 2021'!DV26</f>
        <v>8.5</v>
      </c>
      <c r="DV26" s="91">
        <f>'[1]November - 2021'!DW26</f>
        <v>8056.8</v>
      </c>
      <c r="DW26" s="215">
        <f>'[1]November - 2021'!DX26</f>
        <v>7.3000000000001819</v>
      </c>
      <c r="DX26" s="91">
        <f>'[1]November - 2021'!DY26</f>
        <v>2201.5</v>
      </c>
      <c r="DY26" s="215">
        <f>'[1]November - 2021'!DZ26</f>
        <v>6.9000000000000909</v>
      </c>
      <c r="DZ26" s="91">
        <f>'[1]November - 2021'!EA26</f>
        <v>2293.3000000000002</v>
      </c>
      <c r="EA26" s="215">
        <f>'[1]November - 2021'!EB26</f>
        <v>8.9000000000000909</v>
      </c>
      <c r="EB26" s="91">
        <f>'[1]November - 2021'!EC26</f>
        <v>858937</v>
      </c>
      <c r="EC26" s="215">
        <f>'[1]November - 2021'!ED26</f>
        <v>601</v>
      </c>
      <c r="ED26" s="91">
        <f>'[1]November - 2021'!EG26</f>
        <v>173043.8</v>
      </c>
      <c r="EE26" s="229">
        <f>'[1]November - 2021'!EH26</f>
        <v>152.39999999999418</v>
      </c>
      <c r="EF26" s="375"/>
      <c r="EG26" s="235">
        <f>'[1]November - 2021'!EJ26</f>
        <v>10339400</v>
      </c>
      <c r="EH26" s="230">
        <f>'[1]November - 2021'!EK26</f>
        <v>4100</v>
      </c>
      <c r="EI26" s="90">
        <f>'[1]November - 2021'!EL26</f>
        <v>821200</v>
      </c>
      <c r="EJ26" s="230">
        <f>'[1]November - 2021'!EM26</f>
        <v>240</v>
      </c>
      <c r="EK26" s="90">
        <f>'[1]November - 2021'!EN26</f>
        <v>6370600</v>
      </c>
      <c r="EL26" s="230">
        <f>'[1]November - 2021'!EO26</f>
        <v>2000</v>
      </c>
      <c r="EM26" s="90">
        <f>'[1]November - 2021'!EP26</f>
        <v>2239500</v>
      </c>
      <c r="EN26" s="230">
        <f>'[1]November - 2021'!EQ26</f>
        <v>500</v>
      </c>
      <c r="EO26" s="90">
        <f>'[1]November - 2021'!ER26</f>
        <v>979990</v>
      </c>
      <c r="EP26" s="230">
        <f>'[1]November - 2021'!ES26</f>
        <v>760</v>
      </c>
      <c r="EQ26" s="90">
        <f>'[1]November - 2021'!ET26</f>
        <v>14233800</v>
      </c>
      <c r="ER26" s="230">
        <f>'[1]November - 2021'!EU26</f>
        <v>3800</v>
      </c>
      <c r="ES26" s="423"/>
      <c r="ET26" s="281">
        <f>'[1]November - 2021'!EW26</f>
        <v>37189</v>
      </c>
      <c r="EU26" s="275">
        <f>'[1]November - 2021'!EX26</f>
        <v>14</v>
      </c>
      <c r="EV26" s="282">
        <f>'[1]November - 2021'!EY26</f>
        <v>32143</v>
      </c>
      <c r="EW26" s="275">
        <f>'[1]November - 2021'!EZ26</f>
        <v>12</v>
      </c>
      <c r="EX26" s="282">
        <f>'[1]November - 2021'!FA26</f>
        <v>3304</v>
      </c>
      <c r="EY26" s="275">
        <f>'[1]November - 2021'!FB26</f>
        <v>12</v>
      </c>
      <c r="EZ26" s="282">
        <f>'[1]November - 2021'!FC26</f>
        <v>53745</v>
      </c>
      <c r="FA26" s="275">
        <f>'[1]November - 2021'!FD26</f>
        <v>19</v>
      </c>
      <c r="FB26" s="282">
        <f>'[1]November - 2021'!FE26</f>
        <v>37071</v>
      </c>
      <c r="FC26" s="276">
        <f>'[1]November - 2021'!FF26</f>
        <v>32</v>
      </c>
    </row>
    <row r="27" spans="1:159" ht="30" customHeight="1" x14ac:dyDescent="0.25">
      <c r="A27" s="207">
        <v>43848</v>
      </c>
      <c r="B27" s="209">
        <f>'[1]November - 2021'!B27</f>
        <v>0.95</v>
      </c>
      <c r="C27" s="250">
        <f>'[1]November - 2021'!E27</f>
        <v>905820</v>
      </c>
      <c r="D27" s="170">
        <f>'[1]November - 2021'!F27</f>
        <v>679</v>
      </c>
      <c r="E27" s="168">
        <f>'[1]November - 2021'!G27</f>
        <v>672</v>
      </c>
      <c r="F27" s="168">
        <f>'[1]November - 2021'!H27</f>
        <v>80695</v>
      </c>
      <c r="G27" s="170">
        <f>'[1]November - 2021'!I27</f>
        <v>402</v>
      </c>
      <c r="H27" s="168">
        <f>'[1]November - 2021'!J27</f>
        <v>373</v>
      </c>
      <c r="I27" s="168">
        <f>'[1]November - 2021'!K27</f>
        <v>164625</v>
      </c>
      <c r="J27" s="170">
        <f>'[1]November - 2021'!L27</f>
        <v>0</v>
      </c>
      <c r="K27" s="168">
        <f>'[1]November - 2021'!N27</f>
        <v>814803</v>
      </c>
      <c r="L27" s="170">
        <f>'[1]November - 2021'!O27</f>
        <v>204</v>
      </c>
      <c r="M27" s="168">
        <f>'[1]November - 2021'!Q27</f>
        <v>186612</v>
      </c>
      <c r="N27" s="170">
        <f>'[1]November - 2021'!R27</f>
        <v>107</v>
      </c>
      <c r="O27" s="168">
        <f>'[1]November - 2021'!S27</f>
        <v>50693.69</v>
      </c>
      <c r="P27" s="170">
        <f>'[1]November - 2021'!T27</f>
        <v>120.56000000000495</v>
      </c>
      <c r="Q27" s="168">
        <f>'[1]November - 2021'!U27</f>
        <v>74</v>
      </c>
      <c r="R27" s="168">
        <f>'[1]November - 2021'!V27</f>
        <v>3581</v>
      </c>
      <c r="S27" s="208">
        <f>'[1]November - 2021'!W27</f>
        <v>17</v>
      </c>
      <c r="T27" s="518"/>
      <c r="U27" s="169">
        <f>'[1]November - 2021'!AC27</f>
        <v>7129392.4799999995</v>
      </c>
      <c r="V27" s="288">
        <f>'[1]November - 2021'!AD27</f>
        <v>2825.7599999997765</v>
      </c>
      <c r="W27" s="92">
        <f>'[1]November - 2021'!AD27</f>
        <v>2825.7599999997765</v>
      </c>
      <c r="X27" s="287">
        <f>'[1]November - 2021'!AF27</f>
        <v>13652464.559999999</v>
      </c>
      <c r="Y27" s="288">
        <f>'[1]November - 2021'!AG27</f>
        <v>4433.519999999553</v>
      </c>
      <c r="Z27" s="92">
        <f>'[1]November - 2021'!AG27</f>
        <v>4433.519999999553</v>
      </c>
      <c r="AA27" s="287">
        <f>'[1]November - 2021'!AI27</f>
        <v>13618750.319999998</v>
      </c>
      <c r="AB27" s="288">
        <f>'[1]November - 2021'!AJ27</f>
        <v>779.51999999955297</v>
      </c>
      <c r="AC27" s="92">
        <f>'[1]November - 2021'!AJ27</f>
        <v>779.51999999955297</v>
      </c>
      <c r="AD27" s="287">
        <f>'[1]November - 2021'!AL27</f>
        <v>16656393.6</v>
      </c>
      <c r="AE27" s="288">
        <f>'[1]November - 2021'!AM27</f>
        <v>10913.280000001192</v>
      </c>
      <c r="AF27" s="92">
        <f>'[1]November - 2021'!AM27</f>
        <v>10913.280000001192</v>
      </c>
      <c r="AG27" s="287">
        <f>'[1]November - 2021'!AO27</f>
        <v>16933512.960000001</v>
      </c>
      <c r="AH27" s="288">
        <f>'[1]November - 2021'!AP27</f>
        <v>292.32000000402331</v>
      </c>
      <c r="AI27" s="92">
        <f>'[1]November - 2021'!AP27</f>
        <v>292.32000000402331</v>
      </c>
      <c r="AJ27" s="287">
        <f>'[1]November - 2021'!AR27</f>
        <v>15362780.16</v>
      </c>
      <c r="AK27" s="288">
        <f>'[1]November - 2021'!AS27</f>
        <v>5943.8400000017136</v>
      </c>
      <c r="AL27" s="92">
        <f>'[1]November - 2021'!AS27</f>
        <v>5943.8400000017136</v>
      </c>
      <c r="AM27" s="287">
        <f>'[1]November - 2021'!AU27</f>
        <v>13078640.4</v>
      </c>
      <c r="AN27" s="288">
        <f>'[1]November - 2021'!AV27</f>
        <v>4530.9600000008941</v>
      </c>
      <c r="AO27" s="92">
        <f>'[1]November - 2021'!AV27</f>
        <v>4530.9600000008941</v>
      </c>
      <c r="AP27" s="287">
        <f>'[1]November - 2021'!AX27</f>
        <v>12576288.48</v>
      </c>
      <c r="AQ27" s="288">
        <f>'[1]November - 2021'!AY27</f>
        <v>4141.1999999992549</v>
      </c>
      <c r="AR27" s="92">
        <f>'[1]November - 2021'!AY27</f>
        <v>4141.1999999992549</v>
      </c>
      <c r="AS27" s="287">
        <f>'[1]November - 2021'!BA27</f>
        <v>10022045.040000001</v>
      </c>
      <c r="AT27" s="288">
        <f>'[1]November - 2021'!BB27</f>
        <v>3361.6800000015646</v>
      </c>
      <c r="AU27" s="92">
        <f>'[1]November - 2021'!BB27</f>
        <v>3361.6800000015646</v>
      </c>
      <c r="AV27" s="287">
        <f>'[1]November - 2021'!BD27</f>
        <v>15543044.16</v>
      </c>
      <c r="AW27" s="252">
        <f>'[1]November - 2021'!BE27</f>
        <v>5505.3600000012666</v>
      </c>
      <c r="AX27" s="253">
        <f>'[1]November - 2021'!BE27</f>
        <v>5505.3600000012666</v>
      </c>
      <c r="AY27" s="484"/>
      <c r="AZ27" s="272">
        <f>'[1]November - 2021'!BK27</f>
        <v>67571500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70269600</v>
      </c>
      <c r="BD27" s="245">
        <f>'[1]November - 2021'!BO27</f>
        <v>64100</v>
      </c>
      <c r="BE27" s="93">
        <f>'[1]November - 2021'!BO27</f>
        <v>64100</v>
      </c>
      <c r="BF27" s="272">
        <f>'[1]November - 2021'!BQ27</f>
        <v>64331900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7560910</v>
      </c>
      <c r="BT27" s="185">
        <f>'[1]November - 2021'!BU27</f>
        <v>6500</v>
      </c>
      <c r="BU27" s="391"/>
      <c r="BV27" s="88">
        <f>'[1]November - 2021'!BW27</f>
        <v>0.8</v>
      </c>
      <c r="BW27" s="241">
        <f>'[1]November - 2021'!BX27</f>
        <v>-0.15000000000000002</v>
      </c>
      <c r="BX27" s="88">
        <f>'[1]November - 2021'!BX27</f>
        <v>-0.15000000000000002</v>
      </c>
      <c r="BY27" s="89">
        <f>'[1]November - 2021'!BZ27</f>
        <v>56653</v>
      </c>
      <c r="BZ27" s="191">
        <f>'[1]November - 2021'!CA27</f>
        <v>19</v>
      </c>
      <c r="CA27" s="89">
        <f>'[1]November - 2021'!CB27</f>
        <v>48166</v>
      </c>
      <c r="CB27" s="191">
        <f>'[1]November - 2021'!CC27</f>
        <v>19</v>
      </c>
      <c r="CC27" s="89">
        <f>'[1]November - 2021'!CD27</f>
        <v>16606</v>
      </c>
      <c r="CD27" s="191">
        <f>'[1]November - 2021'!CE27</f>
        <v>5</v>
      </c>
      <c r="CE27" s="89">
        <f>'[1]November - 2021'!CF27</f>
        <v>21828</v>
      </c>
      <c r="CF27" s="191">
        <f>'[1]November - 2021'!CG27</f>
        <v>11</v>
      </c>
      <c r="CG27" s="89">
        <f>'[1]November - 2021'!CH27</f>
        <v>23779</v>
      </c>
      <c r="CH27" s="191">
        <f>'[1]November - 2021'!CI27</f>
        <v>16</v>
      </c>
      <c r="CI27" s="89">
        <f>'[1]November - 2021'!CJ27</f>
        <v>52849</v>
      </c>
      <c r="CJ27" s="191">
        <f>'[1]November - 2021'!CK27</f>
        <v>26</v>
      </c>
      <c r="CK27" s="89">
        <f>'[1]November - 2021'!CL27</f>
        <v>232073</v>
      </c>
      <c r="CL27" s="246">
        <f>'[1]November - 2021'!CM27</f>
        <v>103</v>
      </c>
      <c r="CM27" s="89">
        <f>'[1]November - 2021'!CM27</f>
        <v>103</v>
      </c>
      <c r="CN27" s="89">
        <f>'[1]November - 2021'!CO27</f>
        <v>177752</v>
      </c>
      <c r="CO27" s="246">
        <f>'[1]November - 2021'!CP27</f>
        <v>104</v>
      </c>
      <c r="CP27" s="89">
        <f>'[1]November - 2021'!CP27</f>
        <v>104</v>
      </c>
      <c r="CQ27" s="89">
        <f>'[1]November - 2021'!CR27</f>
        <v>313320</v>
      </c>
      <c r="CR27" s="246">
        <f>'[1]November - 2021'!CS27</f>
        <v>170</v>
      </c>
      <c r="CS27" s="89">
        <f>'[1]November - 2021'!CS27</f>
        <v>170</v>
      </c>
      <c r="CT27" s="89">
        <f>'[1]November - 2021'!CU27</f>
        <v>615073</v>
      </c>
      <c r="CU27" s="191">
        <f>'[1]November - 2021'!CV27</f>
        <v>242</v>
      </c>
      <c r="CV27" s="451"/>
      <c r="CW27" s="256">
        <f>'[1]November - 2021'!CX27</f>
        <v>6200</v>
      </c>
      <c r="CX27" s="198">
        <f>'[1]November - 2021'!CY27</f>
        <v>11</v>
      </c>
      <c r="CY27" s="257">
        <f>'[1]November - 2021'!CZ27</f>
        <v>3727</v>
      </c>
      <c r="CZ27" s="198">
        <f>'[1]November - 2021'!DA27</f>
        <v>12</v>
      </c>
      <c r="DA27" s="257">
        <f>'[1]November - 2021'!DB27</f>
        <v>26425</v>
      </c>
      <c r="DB27" s="198">
        <f>'[1]November - 2021'!DC27</f>
        <v>19</v>
      </c>
      <c r="DC27" s="257">
        <f>'[1]November - 2021'!DD27</f>
        <v>27182</v>
      </c>
      <c r="DD27" s="198">
        <f>'[1]November - 2021'!DE27</f>
        <v>17</v>
      </c>
      <c r="DE27" s="257">
        <f>'[1]November - 2021'!DF27</f>
        <v>18456</v>
      </c>
      <c r="DF27" s="198">
        <f>'[1]November - 2021'!DG27</f>
        <v>6</v>
      </c>
      <c r="DG27" s="257">
        <f>'[1]November - 2021'!DH27</f>
        <v>21566</v>
      </c>
      <c r="DH27" s="198">
        <f>'[1]November - 2021'!DI27</f>
        <v>8</v>
      </c>
      <c r="DI27" s="257">
        <f>'[1]November - 2021'!DJ27</f>
        <v>3084</v>
      </c>
      <c r="DJ27" s="198">
        <f>'[1]November - 2021'!DK27</f>
        <v>10</v>
      </c>
      <c r="DK27" s="257">
        <f>'[1]November - 2021'!DL27</f>
        <v>6404</v>
      </c>
      <c r="DL27" s="198">
        <f>'[1]November - 2021'!DM27</f>
        <v>14</v>
      </c>
      <c r="DM27" s="257">
        <f>'[1]November - 2021'!DN27</f>
        <v>1708</v>
      </c>
      <c r="DN27" s="198">
        <f>'[1]November - 2021'!DO27</f>
        <v>4</v>
      </c>
      <c r="DO27" s="257">
        <f>'[1]November - 2021'!DP27</f>
        <v>3423</v>
      </c>
      <c r="DP27" s="198">
        <f>'[1]November - 2021'!DQ27</f>
        <v>7</v>
      </c>
      <c r="DQ27" s="257">
        <f>'[1]November - 2021'!DR27</f>
        <v>26198</v>
      </c>
      <c r="DR27" s="206">
        <f>'[1]November - 2021'!DS27</f>
        <v>0</v>
      </c>
      <c r="DS27" s="436"/>
      <c r="DT27" s="210">
        <f>'[1]November - 2021'!DU27</f>
        <v>2924</v>
      </c>
      <c r="DU27" s="221">
        <f>'[1]November - 2021'!DV27</f>
        <v>8.4000000000000909</v>
      </c>
      <c r="DV27" s="91">
        <f>'[1]November - 2021'!DW27</f>
        <v>8064.4</v>
      </c>
      <c r="DW27" s="215">
        <f>'[1]November - 2021'!DX27</f>
        <v>7.5999999999994543</v>
      </c>
      <c r="DX27" s="91">
        <f>'[1]November - 2021'!DY27</f>
        <v>2208.1</v>
      </c>
      <c r="DY27" s="215">
        <f>'[1]November - 2021'!DZ27</f>
        <v>6.5999999999999091</v>
      </c>
      <c r="DZ27" s="91">
        <f>'[1]November - 2021'!EA27</f>
        <v>2301.9</v>
      </c>
      <c r="EA27" s="215">
        <f>'[1]November - 2021'!EB27</f>
        <v>8.5999999999999091</v>
      </c>
      <c r="EB27" s="91">
        <f>'[1]November - 2021'!EC27</f>
        <v>859807</v>
      </c>
      <c r="EC27" s="215">
        <f>'[1]November - 2021'!ED27</f>
        <v>870</v>
      </c>
      <c r="ED27" s="91">
        <f>'[1]November - 2021'!EG27</f>
        <v>173198.5</v>
      </c>
      <c r="EE27" s="229">
        <f>'[1]November - 2021'!EH27</f>
        <v>154.70000000001164</v>
      </c>
      <c r="EF27" s="375"/>
      <c r="EG27" s="235">
        <f>'[1]November - 2021'!EJ27</f>
        <v>10343500</v>
      </c>
      <c r="EH27" s="230">
        <f>'[1]November - 2021'!EK27</f>
        <v>4100</v>
      </c>
      <c r="EI27" s="90">
        <f>'[1]November - 2021'!EL27</f>
        <v>821430</v>
      </c>
      <c r="EJ27" s="230">
        <f>'[1]November - 2021'!EM27</f>
        <v>230</v>
      </c>
      <c r="EK27" s="90">
        <f>'[1]November - 2021'!EN27</f>
        <v>6372600</v>
      </c>
      <c r="EL27" s="230">
        <f>'[1]November - 2021'!EO27</f>
        <v>2000</v>
      </c>
      <c r="EM27" s="90">
        <f>'[1]November - 2021'!EP27</f>
        <v>2240100</v>
      </c>
      <c r="EN27" s="230">
        <f>'[1]November - 2021'!EQ27</f>
        <v>600</v>
      </c>
      <c r="EO27" s="90">
        <f>'[1]November - 2021'!ER27</f>
        <v>980770</v>
      </c>
      <c r="EP27" s="230">
        <f>'[1]November - 2021'!ES27</f>
        <v>780</v>
      </c>
      <c r="EQ27" s="90">
        <f>'[1]November - 2021'!ET27</f>
        <v>14237800</v>
      </c>
      <c r="ER27" s="230">
        <f>'[1]November - 2021'!EU27</f>
        <v>4000</v>
      </c>
      <c r="ES27" s="423"/>
      <c r="ET27" s="281">
        <f>'[1]November - 2021'!EW27</f>
        <v>37206</v>
      </c>
      <c r="EU27" s="275">
        <f>'[1]November - 2021'!EX27</f>
        <v>17</v>
      </c>
      <c r="EV27" s="282">
        <f>'[1]November - 2021'!EY27</f>
        <v>32155</v>
      </c>
      <c r="EW27" s="275">
        <f>'[1]November - 2021'!EZ27</f>
        <v>12</v>
      </c>
      <c r="EX27" s="282">
        <f>'[1]November - 2021'!FA27</f>
        <v>3317</v>
      </c>
      <c r="EY27" s="275">
        <f>'[1]November - 2021'!FB27</f>
        <v>13</v>
      </c>
      <c r="EZ27" s="282">
        <f>'[1]November - 2021'!FC27</f>
        <v>53766</v>
      </c>
      <c r="FA27" s="275">
        <f>'[1]November - 2021'!FD27</f>
        <v>21</v>
      </c>
      <c r="FB27" s="282">
        <f>'[1]November - 2021'!FE27</f>
        <v>37104</v>
      </c>
      <c r="FC27" s="276">
        <f>'[1]November - 2021'!FF27</f>
        <v>33</v>
      </c>
    </row>
    <row r="28" spans="1:159" ht="30" customHeight="1" x14ac:dyDescent="0.25">
      <c r="A28" s="207">
        <v>43849</v>
      </c>
      <c r="B28" s="209">
        <f>'[1]November - 2021'!B28</f>
        <v>0.8</v>
      </c>
      <c r="C28" s="250">
        <f>'[1]November - 2021'!E28</f>
        <v>906534</v>
      </c>
      <c r="D28" s="170">
        <f>'[1]November - 2021'!F28</f>
        <v>714</v>
      </c>
      <c r="E28" s="168">
        <f>'[1]November - 2021'!G28</f>
        <v>558</v>
      </c>
      <c r="F28" s="168">
        <f>'[1]November - 2021'!H28</f>
        <v>81288</v>
      </c>
      <c r="G28" s="170">
        <f>'[1]November - 2021'!I28</f>
        <v>593</v>
      </c>
      <c r="H28" s="168">
        <f>'[1]November - 2021'!J28</f>
        <v>415</v>
      </c>
      <c r="I28" s="168">
        <f>'[1]November - 2021'!K28</f>
        <v>164625</v>
      </c>
      <c r="J28" s="170">
        <f>'[1]November - 2021'!L28</f>
        <v>0</v>
      </c>
      <c r="K28" s="168">
        <f>'[1]November - 2021'!N28</f>
        <v>814878</v>
      </c>
      <c r="L28" s="170">
        <f>'[1]November - 2021'!O28</f>
        <v>75</v>
      </c>
      <c r="M28" s="168">
        <f>'[1]November - 2021'!Q28</f>
        <v>186713</v>
      </c>
      <c r="N28" s="170">
        <f>'[1]November - 2021'!R28</f>
        <v>101</v>
      </c>
      <c r="O28" s="168">
        <f>'[1]November - 2021'!S28</f>
        <v>50805.46</v>
      </c>
      <c r="P28" s="170">
        <f>'[1]November - 2021'!T28</f>
        <v>111.7699999999968</v>
      </c>
      <c r="Q28" s="168">
        <f>'[1]November - 2021'!U28</f>
        <v>63</v>
      </c>
      <c r="R28" s="168">
        <f>'[1]November - 2021'!V28</f>
        <v>3598</v>
      </c>
      <c r="S28" s="208">
        <f>'[1]November - 2021'!W28</f>
        <v>17</v>
      </c>
      <c r="T28" s="518"/>
      <c r="U28" s="169">
        <f>'[1]November - 2021'!AC28</f>
        <v>7132072.0800000001</v>
      </c>
      <c r="V28" s="288">
        <f>'[1]November - 2021'!AD28</f>
        <v>2679.6000000005588</v>
      </c>
      <c r="W28" s="92">
        <f>'[1]November - 2021'!AD28</f>
        <v>2679.6000000005588</v>
      </c>
      <c r="X28" s="287">
        <f>'[1]November - 2021'!AF28</f>
        <v>13657044.24</v>
      </c>
      <c r="Y28" s="288">
        <f>'[1]November - 2021'!AG28</f>
        <v>4579.6800000015646</v>
      </c>
      <c r="Z28" s="92">
        <f>'[1]November - 2021'!AG28</f>
        <v>4579.6800000015646</v>
      </c>
      <c r="AA28" s="287">
        <f>'[1]November - 2021'!AI28</f>
        <v>13619481.119999999</v>
      </c>
      <c r="AB28" s="288">
        <f>'[1]November - 2021'!AJ28</f>
        <v>730.80000000074506</v>
      </c>
      <c r="AC28" s="92">
        <f>'[1]November - 2021'!AJ28</f>
        <v>730.80000000074506</v>
      </c>
      <c r="AD28" s="287">
        <f>'[1]November - 2021'!AL28</f>
        <v>16666868.4</v>
      </c>
      <c r="AE28" s="288">
        <f>'[1]November - 2021'!AM28</f>
        <v>10474.800000000745</v>
      </c>
      <c r="AF28" s="92">
        <f>'[1]November - 2021'!AM28</f>
        <v>10474.800000000745</v>
      </c>
      <c r="AG28" s="287">
        <f>'[1]November - 2021'!AO28</f>
        <v>16933854</v>
      </c>
      <c r="AH28" s="288">
        <f>'[1]November - 2021'!AP28</f>
        <v>341.03999999910593</v>
      </c>
      <c r="AI28" s="92">
        <f>'[1]November - 2021'!AP28</f>
        <v>341.03999999910593</v>
      </c>
      <c r="AJ28" s="287">
        <f>'[1]November - 2021'!AR28</f>
        <v>15368724</v>
      </c>
      <c r="AK28" s="288">
        <f>'[1]November - 2021'!AS28</f>
        <v>5943.839999999851</v>
      </c>
      <c r="AL28" s="92">
        <f>'[1]November - 2021'!AS28</f>
        <v>5943.839999999851</v>
      </c>
      <c r="AM28" s="287">
        <f>'[1]November - 2021'!AU28</f>
        <v>13083317.52</v>
      </c>
      <c r="AN28" s="288">
        <f>'[1]November - 2021'!AV28</f>
        <v>4677.1199999991804</v>
      </c>
      <c r="AO28" s="92">
        <f>'[1]November - 2021'!AV28</f>
        <v>4677.1199999991804</v>
      </c>
      <c r="AP28" s="295">
        <f>'[1]November - 2021'!AX28</f>
        <v>12580527.119999999</v>
      </c>
      <c r="AQ28" s="288">
        <f>'[1]November - 2021'!AY28</f>
        <v>4238.6399999987334</v>
      </c>
      <c r="AR28" s="92">
        <f>'[1]November - 2021'!AY28</f>
        <v>4238.6399999987334</v>
      </c>
      <c r="AS28" s="287">
        <f>'[1]November - 2021'!BA28</f>
        <v>10025358</v>
      </c>
      <c r="AT28" s="288">
        <f>'[1]November - 2021'!BB28</f>
        <v>3312.9599999990314</v>
      </c>
      <c r="AU28" s="92">
        <f>'[1]November - 2021'!BB28</f>
        <v>3312.9599999990314</v>
      </c>
      <c r="AV28" s="287">
        <f>'[1]November - 2021'!BD28</f>
        <v>15548988</v>
      </c>
      <c r="AW28" s="252">
        <f>'[1]November - 2021'!BE28</f>
        <v>5943.839999999851</v>
      </c>
      <c r="AX28" s="253">
        <f>'[1]November - 2021'!BE28</f>
        <v>5943.839999999851</v>
      </c>
      <c r="AY28" s="484"/>
      <c r="AZ28" s="272">
        <f>'[1]November - 2021'!BK28</f>
        <v>67571500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70329300</v>
      </c>
      <c r="BD28" s="245">
        <f>'[1]November - 2021'!BO28</f>
        <v>59700</v>
      </c>
      <c r="BE28" s="93">
        <f>'[1]November - 2021'!BO28</f>
        <v>59700</v>
      </c>
      <c r="BF28" s="272">
        <f>'[1]November - 2021'!BQ28</f>
        <v>64331900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7567640</v>
      </c>
      <c r="BT28" s="185">
        <f>'[1]November - 2021'!BU28</f>
        <v>6730</v>
      </c>
      <c r="BU28" s="391"/>
      <c r="BV28" s="88">
        <f>'[1]November - 2021'!BW28</f>
        <v>0.74</v>
      </c>
      <c r="BW28" s="241">
        <f>'[1]November - 2021'!BX28</f>
        <v>6.0000000000000053E-2</v>
      </c>
      <c r="BX28" s="88">
        <f>'[1]November - 2021'!BX28</f>
        <v>6.0000000000000053E-2</v>
      </c>
      <c r="BY28" s="89">
        <f>'[1]November - 2021'!BZ28</f>
        <v>56673</v>
      </c>
      <c r="BZ28" s="191">
        <f>'[1]November - 2021'!CA28</f>
        <v>20</v>
      </c>
      <c r="CA28" s="89">
        <f>'[1]November - 2021'!CB28</f>
        <v>48186</v>
      </c>
      <c r="CB28" s="191">
        <f>'[1]November - 2021'!CC28</f>
        <v>20</v>
      </c>
      <c r="CC28" s="89">
        <f>'[1]November - 2021'!CD28</f>
        <v>16611</v>
      </c>
      <c r="CD28" s="191">
        <f>'[1]November - 2021'!CE28</f>
        <v>5</v>
      </c>
      <c r="CE28" s="89">
        <f>'[1]November - 2021'!CF28</f>
        <v>21837</v>
      </c>
      <c r="CF28" s="191">
        <f>'[1]November - 2021'!CG28</f>
        <v>9</v>
      </c>
      <c r="CG28" s="89">
        <f>'[1]November - 2021'!CH28</f>
        <v>23788</v>
      </c>
      <c r="CH28" s="191">
        <f>'[1]November - 2021'!CI28</f>
        <v>9</v>
      </c>
      <c r="CI28" s="89">
        <f>'[1]November - 2021'!CJ28</f>
        <v>52875</v>
      </c>
      <c r="CJ28" s="191">
        <f>'[1]November - 2021'!CK28</f>
        <v>26</v>
      </c>
      <c r="CK28" s="89">
        <f>'[1]November - 2021'!CL28</f>
        <v>232179</v>
      </c>
      <c r="CL28" s="246">
        <f>'[1]November - 2021'!CM28</f>
        <v>106</v>
      </c>
      <c r="CM28" s="89">
        <f>'[1]November - 2021'!CM28</f>
        <v>106</v>
      </c>
      <c r="CN28" s="89">
        <f>'[1]November - 2021'!CO28</f>
        <v>177858</v>
      </c>
      <c r="CO28" s="246">
        <f>'[1]November - 2021'!CP28</f>
        <v>106</v>
      </c>
      <c r="CP28" s="89">
        <f>'[1]November - 2021'!CP28</f>
        <v>106</v>
      </c>
      <c r="CQ28" s="89">
        <f>'[1]November - 2021'!CR28</f>
        <v>313491</v>
      </c>
      <c r="CR28" s="246">
        <f>'[1]November - 2021'!CS28</f>
        <v>171</v>
      </c>
      <c r="CS28" s="89">
        <f>'[1]November - 2021'!CS28</f>
        <v>171</v>
      </c>
      <c r="CT28" s="89">
        <f>'[1]November - 2021'!CU28</f>
        <v>615326</v>
      </c>
      <c r="CU28" s="191">
        <f>'[1]November - 2021'!CV28</f>
        <v>253</v>
      </c>
      <c r="CV28" s="451"/>
      <c r="CW28" s="256">
        <f>'[1]November - 2021'!CX28</f>
        <v>6210</v>
      </c>
      <c r="CX28" s="198">
        <f>'[1]November - 2021'!CY28</f>
        <v>10</v>
      </c>
      <c r="CY28" s="257">
        <f>'[1]November - 2021'!CZ28</f>
        <v>3736</v>
      </c>
      <c r="CZ28" s="198">
        <f>'[1]November - 2021'!DA28</f>
        <v>9</v>
      </c>
      <c r="DA28" s="257">
        <f>'[1]November - 2021'!DB28</f>
        <v>26446</v>
      </c>
      <c r="DB28" s="198">
        <f>'[1]November - 2021'!DC28</f>
        <v>21</v>
      </c>
      <c r="DC28" s="257">
        <f>'[1]November - 2021'!DD28</f>
        <v>27201</v>
      </c>
      <c r="DD28" s="198">
        <f>'[1]November - 2021'!DE28</f>
        <v>19</v>
      </c>
      <c r="DE28" s="257">
        <f>'[1]November - 2021'!DF28</f>
        <v>18467</v>
      </c>
      <c r="DF28" s="198">
        <f>'[1]November - 2021'!DG28</f>
        <v>11</v>
      </c>
      <c r="DG28" s="257">
        <f>'[1]November - 2021'!DH28</f>
        <v>21575</v>
      </c>
      <c r="DH28" s="198">
        <f>'[1]November - 2021'!DI28</f>
        <v>9</v>
      </c>
      <c r="DI28" s="257">
        <f>'[1]November - 2021'!DJ28</f>
        <v>3093</v>
      </c>
      <c r="DJ28" s="198">
        <f>'[1]November - 2021'!DK28</f>
        <v>9</v>
      </c>
      <c r="DK28" s="257">
        <f>'[1]November - 2021'!DL28</f>
        <v>6420</v>
      </c>
      <c r="DL28" s="198">
        <f>'[1]November - 2021'!DM28</f>
        <v>16</v>
      </c>
      <c r="DM28" s="257">
        <f>'[1]November - 2021'!DN28</f>
        <v>1712</v>
      </c>
      <c r="DN28" s="198">
        <f>'[1]November - 2021'!DO28</f>
        <v>4</v>
      </c>
      <c r="DO28" s="257">
        <f>'[1]November - 2021'!DP28</f>
        <v>3431</v>
      </c>
      <c r="DP28" s="198">
        <f>'[1]November - 2021'!DQ28</f>
        <v>8</v>
      </c>
      <c r="DQ28" s="257">
        <f>'[1]November - 2021'!DR28</f>
        <v>26198</v>
      </c>
      <c r="DR28" s="206">
        <f>'[1]November - 2021'!DS28</f>
        <v>0</v>
      </c>
      <c r="DS28" s="436"/>
      <c r="DT28" s="210">
        <f>'[1]November - 2021'!DU28</f>
        <v>2933.3</v>
      </c>
      <c r="DU28" s="221">
        <f>'[1]November - 2021'!DV28</f>
        <v>9.3000000000001819</v>
      </c>
      <c r="DV28" s="91">
        <f>'[1]November - 2021'!DW28</f>
        <v>8071.9</v>
      </c>
      <c r="DW28" s="215">
        <f>'[1]November - 2021'!DX28</f>
        <v>7.5</v>
      </c>
      <c r="DX28" s="91">
        <f>'[1]November - 2021'!DY28</f>
        <v>2215.1</v>
      </c>
      <c r="DY28" s="215">
        <f>'[1]November - 2021'!DZ28</f>
        <v>7</v>
      </c>
      <c r="DZ28" s="91">
        <f>'[1]November - 2021'!EA28</f>
        <v>2310.6999999999998</v>
      </c>
      <c r="EA28" s="215">
        <f>'[1]November - 2021'!EB28</f>
        <v>8.7999999999997272</v>
      </c>
      <c r="EB28" s="91">
        <f>'[1]November - 2021'!EC28</f>
        <v>860231</v>
      </c>
      <c r="EC28" s="215">
        <f>'[1]November - 2021'!ED28</f>
        <v>424</v>
      </c>
      <c r="ED28" s="91">
        <f>'[1]November - 2021'!EG28</f>
        <v>173354.6</v>
      </c>
      <c r="EE28" s="229">
        <f>'[1]November - 2021'!EH28</f>
        <v>156.10000000000582</v>
      </c>
      <c r="EF28" s="375"/>
      <c r="EG28" s="235">
        <f>'[1]November - 2021'!EJ28</f>
        <v>10347100</v>
      </c>
      <c r="EH28" s="230">
        <f>'[1]November - 2021'!EK28</f>
        <v>3600</v>
      </c>
      <c r="EI28" s="90">
        <f>'[1]November - 2021'!EL28</f>
        <v>821630</v>
      </c>
      <c r="EJ28" s="230">
        <f>'[1]November - 2021'!EM28</f>
        <v>200</v>
      </c>
      <c r="EK28" s="90">
        <f>'[1]November - 2021'!EN28</f>
        <v>6374300</v>
      </c>
      <c r="EL28" s="230">
        <f>'[1]November - 2021'!EO28</f>
        <v>1700</v>
      </c>
      <c r="EM28" s="90">
        <f>'[1]November - 2021'!EP28</f>
        <v>2240500</v>
      </c>
      <c r="EN28" s="230">
        <f>'[1]November - 2021'!EQ28</f>
        <v>400</v>
      </c>
      <c r="EO28" s="90">
        <f>'[1]November - 2021'!ER28</f>
        <v>981460</v>
      </c>
      <c r="EP28" s="230">
        <f>'[1]November - 2021'!ES28</f>
        <v>690</v>
      </c>
      <c r="EQ28" s="90">
        <f>'[1]November - 2021'!ET28</f>
        <v>14241000</v>
      </c>
      <c r="ER28" s="230">
        <f>'[1]November - 2021'!EU28</f>
        <v>3200</v>
      </c>
      <c r="ES28" s="423"/>
      <c r="ET28" s="281">
        <f>'[1]November - 2021'!EW28</f>
        <v>37221</v>
      </c>
      <c r="EU28" s="275">
        <f>'[1]November - 2021'!EX28</f>
        <v>15</v>
      </c>
      <c r="EV28" s="282">
        <f>'[1]November - 2021'!EY28</f>
        <v>32169</v>
      </c>
      <c r="EW28" s="275">
        <f>'[1]November - 2021'!EZ28</f>
        <v>14</v>
      </c>
      <c r="EX28" s="282">
        <f>'[1]November - 2021'!FA28</f>
        <v>3333</v>
      </c>
      <c r="EY28" s="275">
        <f>'[1]November - 2021'!FB28</f>
        <v>16</v>
      </c>
      <c r="EZ28" s="282">
        <f>'[1]November - 2021'!FC28</f>
        <v>53781</v>
      </c>
      <c r="FA28" s="275">
        <f>'[1]November - 2021'!FD28</f>
        <v>15</v>
      </c>
      <c r="FB28" s="282">
        <f>'[1]November - 2021'!FE28</f>
        <v>37135</v>
      </c>
      <c r="FC28" s="276">
        <f>'[1]November - 2021'!FF28</f>
        <v>31</v>
      </c>
    </row>
    <row r="29" spans="1:159" ht="30" customHeight="1" x14ac:dyDescent="0.25">
      <c r="A29" s="207">
        <v>43850</v>
      </c>
      <c r="B29" s="209">
        <f>'[1]November - 2021'!B29</f>
        <v>0.85</v>
      </c>
      <c r="C29" s="250">
        <f>'[1]November - 2021'!E29</f>
        <v>907124</v>
      </c>
      <c r="D29" s="170">
        <f>'[1]November - 2021'!F29</f>
        <v>590</v>
      </c>
      <c r="E29" s="168">
        <f>'[1]November - 2021'!G29</f>
        <v>636</v>
      </c>
      <c r="F29" s="168">
        <f>'[1]November - 2021'!H29</f>
        <v>81558</v>
      </c>
      <c r="G29" s="170">
        <f>'[1]November - 2021'!I29</f>
        <v>270</v>
      </c>
      <c r="H29" s="168">
        <f>'[1]November - 2021'!J29</f>
        <v>408</v>
      </c>
      <c r="I29" s="168">
        <f>'[1]November - 2021'!K29</f>
        <v>164625</v>
      </c>
      <c r="J29" s="170">
        <f>'[1]November - 2021'!L29</f>
        <v>0</v>
      </c>
      <c r="K29" s="168">
        <f>'[1]November - 2021'!N29</f>
        <v>815108</v>
      </c>
      <c r="L29" s="170">
        <f>'[1]November - 2021'!O29</f>
        <v>230</v>
      </c>
      <c r="M29" s="168">
        <f>'[1]November - 2021'!Q29</f>
        <v>186713</v>
      </c>
      <c r="N29" s="170">
        <f>'[1]November - 2021'!R29</f>
        <v>0</v>
      </c>
      <c r="O29" s="168">
        <f>'[1]November - 2021'!S29</f>
        <v>50917.760000000002</v>
      </c>
      <c r="P29" s="170">
        <f>'[1]November - 2021'!T29</f>
        <v>112.30000000000291</v>
      </c>
      <c r="Q29" s="168">
        <f>'[1]November - 2021'!U29</f>
        <v>63</v>
      </c>
      <c r="R29" s="168">
        <f>'[1]November - 2021'!V29</f>
        <v>3611</v>
      </c>
      <c r="S29" s="208">
        <f>'[1]November - 2021'!W29</f>
        <v>13</v>
      </c>
      <c r="T29" s="518"/>
      <c r="U29" s="169">
        <f>'[1]November - 2021'!AC29</f>
        <v>7134167.04</v>
      </c>
      <c r="V29" s="288">
        <f>'[1]November - 2021'!AD29</f>
        <v>2094.9599999999627</v>
      </c>
      <c r="W29" s="92">
        <f>'[1]November - 2021'!AD29</f>
        <v>2094.9599999999627</v>
      </c>
      <c r="X29" s="287">
        <f>'[1]November - 2021'!AF29</f>
        <v>13661770.08</v>
      </c>
      <c r="Y29" s="288">
        <f>'[1]November - 2021'!AG29</f>
        <v>4725.839999999851</v>
      </c>
      <c r="Z29" s="92">
        <f>'[1]November - 2021'!AG29</f>
        <v>4725.839999999851</v>
      </c>
      <c r="AA29" s="287">
        <f>'[1]November - 2021'!AI29</f>
        <v>13619870.880000001</v>
      </c>
      <c r="AB29" s="288">
        <f>'[1]November - 2021'!AJ29</f>
        <v>389.76000000163913</v>
      </c>
      <c r="AC29" s="92">
        <f>'[1]November - 2021'!AJ29</f>
        <v>389.76000000163913</v>
      </c>
      <c r="AD29" s="287">
        <f>'[1]November - 2021'!AL29</f>
        <v>16667647.919999998</v>
      </c>
      <c r="AE29" s="288">
        <f>'[1]November - 2021'!AM29</f>
        <v>779.51999999769032</v>
      </c>
      <c r="AF29" s="92">
        <f>'[1]November - 2021'!AM29</f>
        <v>779.51999999769032</v>
      </c>
      <c r="AG29" s="287">
        <f>'[1]November - 2021'!AO29</f>
        <v>16945936.560000002</v>
      </c>
      <c r="AH29" s="288">
        <f>'[1]November - 2021'!AP29</f>
        <v>12082.560000002384</v>
      </c>
      <c r="AI29" s="92">
        <f>'[1]November - 2021'!AP29</f>
        <v>12082.560000002384</v>
      </c>
      <c r="AJ29" s="287">
        <f>'[1]November - 2021'!AR29</f>
        <v>15374814</v>
      </c>
      <c r="AK29" s="288">
        <f>'[1]November - 2021'!AS29</f>
        <v>6090</v>
      </c>
      <c r="AL29" s="92">
        <f>'[1]November - 2021'!AS29</f>
        <v>6090</v>
      </c>
      <c r="AM29" s="287">
        <f>'[1]November - 2021'!AU29</f>
        <v>13088043.359999999</v>
      </c>
      <c r="AN29" s="288">
        <f>'[1]November - 2021'!AV29</f>
        <v>4725.839999999851</v>
      </c>
      <c r="AO29" s="92">
        <f>'[1]November - 2021'!AV29</f>
        <v>4725.839999999851</v>
      </c>
      <c r="AP29" s="287">
        <f>'[1]November - 2021'!AX29</f>
        <v>12584911.92</v>
      </c>
      <c r="AQ29" s="288">
        <f>'[1]November - 2021'!AY29</f>
        <v>4384.8000000007451</v>
      </c>
      <c r="AR29" s="92">
        <f>'[1]November - 2021'!AY29</f>
        <v>4384.8000000007451</v>
      </c>
      <c r="AS29" s="287">
        <f>'[1]November - 2021'!BA29</f>
        <v>10028817.119999999</v>
      </c>
      <c r="AT29" s="288">
        <f>'[1]November - 2021'!BB29</f>
        <v>3459.1199999991804</v>
      </c>
      <c r="AU29" s="92">
        <f>'[1]November - 2021'!BB29</f>
        <v>3459.1199999991804</v>
      </c>
      <c r="AV29" s="287">
        <f>'[1]November - 2021'!BD29</f>
        <v>15554931.84</v>
      </c>
      <c r="AW29" s="252">
        <f>'[1]November - 2021'!BE29</f>
        <v>5943.839999999851</v>
      </c>
      <c r="AX29" s="253">
        <f>'[1]November - 2021'!BE29</f>
        <v>5943.839999999851</v>
      </c>
      <c r="AY29" s="484"/>
      <c r="AZ29" s="272">
        <f>'[1]November - 2021'!BK29</f>
        <v>67571500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70331500</v>
      </c>
      <c r="BD29" s="245">
        <f>'[1]November - 2021'!BO29</f>
        <v>2200</v>
      </c>
      <c r="BE29" s="93">
        <f>'[1]November - 2021'!BO29</f>
        <v>2200</v>
      </c>
      <c r="BF29" s="272">
        <f>'[1]November - 2021'!BQ29</f>
        <v>64388600</v>
      </c>
      <c r="BG29" s="245">
        <f>'[1]November - 2021'!BR29</f>
        <v>56700</v>
      </c>
      <c r="BH29" s="93">
        <f>'[1]November - 2021'!BR29</f>
        <v>56700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7574090</v>
      </c>
      <c r="BT29" s="185">
        <f>'[1]November - 2021'!BU29</f>
        <v>6450</v>
      </c>
      <c r="BU29" s="391"/>
      <c r="BV29" s="88">
        <f>'[1]November - 2021'!BW29</f>
        <v>0.67</v>
      </c>
      <c r="BW29" s="241">
        <f>'[1]November - 2021'!BX29</f>
        <v>6.9999999999999951E-2</v>
      </c>
      <c r="BX29" s="88">
        <f>'[1]November - 2021'!BX29</f>
        <v>6.9999999999999951E-2</v>
      </c>
      <c r="BY29" s="89">
        <f>'[1]November - 2021'!BZ29</f>
        <v>56693</v>
      </c>
      <c r="BZ29" s="191">
        <f>'[1]November - 2021'!CA29</f>
        <v>20</v>
      </c>
      <c r="CA29" s="89">
        <f>'[1]November - 2021'!CB29</f>
        <v>48205</v>
      </c>
      <c r="CB29" s="191">
        <f>'[1]November - 2021'!CC29</f>
        <v>19</v>
      </c>
      <c r="CC29" s="89">
        <f>'[1]November - 2021'!CD29</f>
        <v>16615</v>
      </c>
      <c r="CD29" s="191">
        <f>'[1]November - 2021'!CE29</f>
        <v>4</v>
      </c>
      <c r="CE29" s="89">
        <f>'[1]November - 2021'!CF29</f>
        <v>21846</v>
      </c>
      <c r="CF29" s="191">
        <f>'[1]November - 2021'!CG29</f>
        <v>9</v>
      </c>
      <c r="CG29" s="89">
        <f>'[1]November - 2021'!CH29</f>
        <v>23806</v>
      </c>
      <c r="CH29" s="191">
        <f>'[1]November - 2021'!CI29</f>
        <v>18</v>
      </c>
      <c r="CI29" s="89">
        <f>'[1]November - 2021'!CJ29</f>
        <v>52900</v>
      </c>
      <c r="CJ29" s="191">
        <f>'[1]November - 2021'!CK29</f>
        <v>25</v>
      </c>
      <c r="CK29" s="89">
        <f>'[1]November - 2021'!CL29</f>
        <v>232288</v>
      </c>
      <c r="CL29" s="246">
        <f>'[1]November - 2021'!CM29</f>
        <v>109</v>
      </c>
      <c r="CM29" s="89">
        <f>'[1]November - 2021'!CM29</f>
        <v>109</v>
      </c>
      <c r="CN29" s="89">
        <f>'[1]November - 2021'!CO29</f>
        <v>177992</v>
      </c>
      <c r="CO29" s="246">
        <f>'[1]November - 2021'!CP29</f>
        <v>134</v>
      </c>
      <c r="CP29" s="89">
        <f>'[1]November - 2021'!CP29</f>
        <v>134</v>
      </c>
      <c r="CQ29" s="89">
        <f>'[1]November - 2021'!CR29</f>
        <v>313702</v>
      </c>
      <c r="CR29" s="246">
        <f>'[1]November - 2021'!CS29</f>
        <v>211</v>
      </c>
      <c r="CS29" s="89">
        <f>'[1]November - 2021'!CS29</f>
        <v>211</v>
      </c>
      <c r="CT29" s="89">
        <f>'[1]November - 2021'!CU29</f>
        <v>615585</v>
      </c>
      <c r="CU29" s="191">
        <f>'[1]November - 2021'!CV29</f>
        <v>259</v>
      </c>
      <c r="CV29" s="451"/>
      <c r="CW29" s="256">
        <f>'[1]November - 2021'!CX29</f>
        <v>6218</v>
      </c>
      <c r="CX29" s="198">
        <f>'[1]November - 2021'!CY29</f>
        <v>8</v>
      </c>
      <c r="CY29" s="257">
        <f>'[1]November - 2021'!CZ29</f>
        <v>3743</v>
      </c>
      <c r="CZ29" s="198">
        <f>'[1]November - 2021'!DA29</f>
        <v>7</v>
      </c>
      <c r="DA29" s="257">
        <f>'[1]November - 2021'!DB29</f>
        <v>26466</v>
      </c>
      <c r="DB29" s="198">
        <f>'[1]November - 2021'!DC29</f>
        <v>20</v>
      </c>
      <c r="DC29" s="257">
        <f>'[1]November - 2021'!DD29</f>
        <v>27218</v>
      </c>
      <c r="DD29" s="198">
        <f>'[1]November - 2021'!DE29</f>
        <v>17</v>
      </c>
      <c r="DE29" s="257">
        <f>'[1]November - 2021'!DF29</f>
        <v>18470</v>
      </c>
      <c r="DF29" s="198">
        <f>'[1]November - 2021'!DG29</f>
        <v>3</v>
      </c>
      <c r="DG29" s="257">
        <f>'[1]November - 2021'!DH29</f>
        <v>21583</v>
      </c>
      <c r="DH29" s="198">
        <f>'[1]November - 2021'!DI29</f>
        <v>8</v>
      </c>
      <c r="DI29" s="257">
        <f>'[1]November - 2021'!DJ29</f>
        <v>3103</v>
      </c>
      <c r="DJ29" s="198">
        <f>'[1]November - 2021'!DK29</f>
        <v>10</v>
      </c>
      <c r="DK29" s="257">
        <f>'[1]November - 2021'!DL29</f>
        <v>6436</v>
      </c>
      <c r="DL29" s="198">
        <f>'[1]November - 2021'!DM29</f>
        <v>16</v>
      </c>
      <c r="DM29" s="257">
        <f>'[1]November - 2021'!DN29</f>
        <v>1717</v>
      </c>
      <c r="DN29" s="198">
        <f>'[1]November - 2021'!DO29</f>
        <v>5</v>
      </c>
      <c r="DO29" s="257">
        <f>'[1]November - 2021'!DP29</f>
        <v>3439</v>
      </c>
      <c r="DP29" s="198">
        <f>'[1]November - 2021'!DQ29</f>
        <v>8</v>
      </c>
      <c r="DQ29" s="257">
        <f>'[1]November - 2021'!DR29</f>
        <v>26198</v>
      </c>
      <c r="DR29" s="206">
        <f>'[1]November - 2021'!DS29</f>
        <v>0</v>
      </c>
      <c r="DS29" s="436"/>
      <c r="DT29" s="210">
        <f>'[1]November - 2021'!DU29</f>
        <v>2941.8</v>
      </c>
      <c r="DU29" s="221">
        <f>'[1]November - 2021'!DV29</f>
        <v>8.5</v>
      </c>
      <c r="DV29" s="91">
        <f>'[1]November - 2021'!DW29</f>
        <v>8079.4</v>
      </c>
      <c r="DW29" s="215">
        <f>'[1]November - 2021'!DX29</f>
        <v>7.5</v>
      </c>
      <c r="DX29" s="91">
        <f>'[1]November - 2021'!DY29</f>
        <v>2222.1999999999998</v>
      </c>
      <c r="DY29" s="215">
        <f>'[1]November - 2021'!DZ29</f>
        <v>7.0999999999999091</v>
      </c>
      <c r="DZ29" s="91">
        <f>'[1]November - 2021'!EA29</f>
        <v>2319.5</v>
      </c>
      <c r="EA29" s="215">
        <f>'[1]November - 2021'!EB29</f>
        <v>8.8000000000001819</v>
      </c>
      <c r="EB29" s="91">
        <f>'[1]November - 2021'!EC29</f>
        <v>860846</v>
      </c>
      <c r="EC29" s="215">
        <f>'[1]November - 2021'!ED29</f>
        <v>615</v>
      </c>
      <c r="ED29" s="91">
        <f>'[1]November - 2021'!EG29</f>
        <v>173479.5</v>
      </c>
      <c r="EE29" s="229">
        <f>'[1]November - 2021'!EH29</f>
        <v>124.89999999999418</v>
      </c>
      <c r="EF29" s="375"/>
      <c r="EG29" s="235">
        <f>'[1]November - 2021'!EJ29</f>
        <v>10350600</v>
      </c>
      <c r="EH29" s="230">
        <f>'[1]November - 2021'!EK29</f>
        <v>3500</v>
      </c>
      <c r="EI29" s="90">
        <f>'[1]November - 2021'!EL29</f>
        <v>821850</v>
      </c>
      <c r="EJ29" s="230">
        <f>'[1]November - 2021'!EM29</f>
        <v>220</v>
      </c>
      <c r="EK29" s="90">
        <f>'[1]November - 2021'!EN29</f>
        <v>6376000</v>
      </c>
      <c r="EL29" s="230">
        <f>'[1]November - 2021'!EO29</f>
        <v>1700</v>
      </c>
      <c r="EM29" s="90">
        <f>'[1]November - 2021'!EP29</f>
        <v>2240900</v>
      </c>
      <c r="EN29" s="230">
        <f>'[1]November - 2021'!EQ29</f>
        <v>400</v>
      </c>
      <c r="EO29" s="90">
        <f>'[1]November - 2021'!ER29</f>
        <v>982090</v>
      </c>
      <c r="EP29" s="230">
        <f>'[1]November - 2021'!ES29</f>
        <v>630</v>
      </c>
      <c r="EQ29" s="90">
        <f>'[1]November - 2021'!ET29</f>
        <v>14244800</v>
      </c>
      <c r="ER29" s="230">
        <f>'[1]November - 2021'!EU29</f>
        <v>3800</v>
      </c>
      <c r="ES29" s="423"/>
      <c r="ET29" s="281">
        <f>'[1]November - 2021'!EW29</f>
        <v>37237</v>
      </c>
      <c r="EU29" s="275">
        <f>'[1]November - 2021'!EX29</f>
        <v>16</v>
      </c>
      <c r="EV29" s="282">
        <f>'[1]November - 2021'!EY29</f>
        <v>32182</v>
      </c>
      <c r="EW29" s="275">
        <f>'[1]November - 2021'!EZ29</f>
        <v>13</v>
      </c>
      <c r="EX29" s="282">
        <f>'[1]November - 2021'!FA29</f>
        <v>3350</v>
      </c>
      <c r="EY29" s="275">
        <f>'[1]November - 2021'!FB29</f>
        <v>17</v>
      </c>
      <c r="EZ29" s="282">
        <f>'[1]November - 2021'!FC29</f>
        <v>53800</v>
      </c>
      <c r="FA29" s="275">
        <f>'[1]November - 2021'!FD29</f>
        <v>19</v>
      </c>
      <c r="FB29" s="282">
        <f>'[1]November - 2021'!FE29</f>
        <v>37170</v>
      </c>
      <c r="FC29" s="276">
        <f>'[1]November - 2021'!FF29</f>
        <v>35</v>
      </c>
    </row>
    <row r="30" spans="1:159" ht="30" customHeight="1" x14ac:dyDescent="0.25">
      <c r="A30" s="207">
        <v>43851</v>
      </c>
      <c r="B30" s="209">
        <f>'[1]November - 2021'!B30</f>
        <v>0.97</v>
      </c>
      <c r="C30" s="250">
        <f>'[1]November - 2021'!E30</f>
        <v>908352</v>
      </c>
      <c r="D30" s="170">
        <f>'[1]November - 2021'!F30</f>
        <v>1228</v>
      </c>
      <c r="E30" s="168">
        <f>'[1]November - 2021'!G30</f>
        <v>449</v>
      </c>
      <c r="F30" s="168">
        <f>'[1]November - 2021'!H30</f>
        <v>81980</v>
      </c>
      <c r="G30" s="170">
        <f>'[1]November - 2021'!I30</f>
        <v>422</v>
      </c>
      <c r="H30" s="168">
        <f>'[1]November - 2021'!J30</f>
        <v>380</v>
      </c>
      <c r="I30" s="168">
        <f>'[1]November - 2021'!K30</f>
        <v>164625</v>
      </c>
      <c r="J30" s="170">
        <f>'[1]November - 2021'!L30</f>
        <v>0</v>
      </c>
      <c r="K30" s="168">
        <f>'[1]November - 2021'!N30</f>
        <v>815201</v>
      </c>
      <c r="L30" s="170">
        <f>'[1]November - 2021'!O30</f>
        <v>93</v>
      </c>
      <c r="M30" s="168">
        <f>'[1]November - 2021'!Q30</f>
        <v>186713</v>
      </c>
      <c r="N30" s="170">
        <f>'[1]November - 2021'!R30</f>
        <v>0</v>
      </c>
      <c r="O30" s="168">
        <f>'[1]November - 2021'!S30</f>
        <v>51035.66</v>
      </c>
      <c r="P30" s="170">
        <f>'[1]November - 2021'!T30</f>
        <v>117.90000000000146</v>
      </c>
      <c r="Q30" s="168">
        <f>'[1]November - 2021'!U30</f>
        <v>65</v>
      </c>
      <c r="R30" s="168">
        <f>'[1]November - 2021'!V30</f>
        <v>3628</v>
      </c>
      <c r="S30" s="208">
        <f>'[1]November - 2021'!W30</f>
        <v>17</v>
      </c>
      <c r="T30" s="518"/>
      <c r="U30" s="169">
        <f>'[1]November - 2021'!AC30</f>
        <v>7136115.8399999999</v>
      </c>
      <c r="V30" s="288">
        <f>'[1]November - 2021'!AD30</f>
        <v>1948.7999999998137</v>
      </c>
      <c r="W30" s="92">
        <f>'[1]November - 2021'!AD30</f>
        <v>1948.7999999998137</v>
      </c>
      <c r="X30" s="287">
        <f>'[1]November - 2021'!AF30</f>
        <v>13666203.6</v>
      </c>
      <c r="Y30" s="288">
        <f>'[1]November - 2021'!AG30</f>
        <v>4433.519999999553</v>
      </c>
      <c r="Z30" s="92">
        <f>'[1]November - 2021'!AG30</f>
        <v>4433.519999999553</v>
      </c>
      <c r="AA30" s="287">
        <f>'[1]November - 2021'!AI30</f>
        <v>13620260.640000001</v>
      </c>
      <c r="AB30" s="288">
        <f>'[1]November - 2021'!AJ30</f>
        <v>389.75999999977648</v>
      </c>
      <c r="AC30" s="92">
        <f>'[1]November - 2021'!AJ30</f>
        <v>389.75999999977648</v>
      </c>
      <c r="AD30" s="287">
        <f>'[1]November - 2021'!AL30</f>
        <v>16668378.719999999</v>
      </c>
      <c r="AE30" s="288">
        <f>'[1]November - 2021'!AM30</f>
        <v>730.80000000074506</v>
      </c>
      <c r="AF30" s="92">
        <f>'[1]November - 2021'!AM30</f>
        <v>730.80000000074506</v>
      </c>
      <c r="AG30" s="287">
        <f>'[1]November - 2021'!AO30</f>
        <v>16958019.119999997</v>
      </c>
      <c r="AH30" s="288">
        <f>'[1]November - 2021'!AP30</f>
        <v>12082.559999994934</v>
      </c>
      <c r="AI30" s="92">
        <f>'[1]November - 2021'!AP30</f>
        <v>12082.559999994934</v>
      </c>
      <c r="AJ30" s="287">
        <f>'[1]November - 2021'!AR30</f>
        <v>15380124.48</v>
      </c>
      <c r="AK30" s="288">
        <f>'[1]November - 2021'!AS30</f>
        <v>5310.480000000447</v>
      </c>
      <c r="AL30" s="92">
        <f>'[1]November - 2021'!AS30</f>
        <v>5310.480000000447</v>
      </c>
      <c r="AM30" s="287">
        <f>'[1]November - 2021'!AU30</f>
        <v>13092282</v>
      </c>
      <c r="AN30" s="288">
        <f>'[1]November - 2021'!AV30</f>
        <v>4238.640000000596</v>
      </c>
      <c r="AO30" s="92">
        <f>'[1]November - 2021'!AV30</f>
        <v>4238.640000000596</v>
      </c>
      <c r="AP30" s="287">
        <f>'[1]November - 2021'!AX30</f>
        <v>12589053.119999999</v>
      </c>
      <c r="AQ30" s="288">
        <f>'[1]November - 2021'!AY30</f>
        <v>4141.1999999992549</v>
      </c>
      <c r="AR30" s="92">
        <f>'[1]November - 2021'!AY30</f>
        <v>4141.1999999992549</v>
      </c>
      <c r="AS30" s="287">
        <f>'[1]November - 2021'!BA30</f>
        <v>10031983.92</v>
      </c>
      <c r="AT30" s="288">
        <f>'[1]November - 2021'!BB30</f>
        <v>3166.8000000007451</v>
      </c>
      <c r="AU30" s="92">
        <f>'[1]November - 2021'!BB30</f>
        <v>3166.8000000007451</v>
      </c>
      <c r="AV30" s="287">
        <f>'[1]November - 2021'!BD30</f>
        <v>15560291.039999999</v>
      </c>
      <c r="AW30" s="252">
        <f>'[1]November - 2021'!BE30</f>
        <v>5359.1999999992549</v>
      </c>
      <c r="AX30" s="253">
        <f>'[1]November - 2021'!BE30</f>
        <v>5359.1999999992549</v>
      </c>
      <c r="AY30" s="484"/>
      <c r="AZ30" s="272">
        <f>'[1]November - 2021'!BK30</f>
        <v>67571500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70331500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64448900</v>
      </c>
      <c r="BG30" s="245">
        <f>'[1]November - 2021'!BR30</f>
        <v>60300</v>
      </c>
      <c r="BH30" s="93">
        <f>'[1]November - 2021'!BR30</f>
        <v>60300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7580540</v>
      </c>
      <c r="BT30" s="185">
        <f>'[1]November - 2021'!BU30</f>
        <v>6450</v>
      </c>
      <c r="BU30" s="391"/>
      <c r="BV30" s="88">
        <f>'[1]November - 2021'!BW30</f>
        <v>0.6</v>
      </c>
      <c r="BW30" s="241">
        <f>'[1]November - 2021'!BX30</f>
        <v>7.0000000000000062E-2</v>
      </c>
      <c r="BX30" s="88">
        <f>'[1]November - 2021'!BX30</f>
        <v>7.0000000000000062E-2</v>
      </c>
      <c r="BY30" s="89">
        <f>'[1]November - 2021'!BZ30</f>
        <v>56713</v>
      </c>
      <c r="BZ30" s="191">
        <f>'[1]November - 2021'!CA30</f>
        <v>20</v>
      </c>
      <c r="CA30" s="89">
        <f>'[1]November - 2021'!CB30</f>
        <v>48224</v>
      </c>
      <c r="CB30" s="191">
        <f>'[1]November - 2021'!CC30</f>
        <v>19</v>
      </c>
      <c r="CC30" s="89">
        <f>'[1]November - 2021'!CD30</f>
        <v>16619</v>
      </c>
      <c r="CD30" s="191">
        <f>'[1]November - 2021'!CE30</f>
        <v>4</v>
      </c>
      <c r="CE30" s="89">
        <f>'[1]November - 2021'!CF30</f>
        <v>21856</v>
      </c>
      <c r="CF30" s="191">
        <f>'[1]November - 2021'!CG30</f>
        <v>10</v>
      </c>
      <c r="CG30" s="89">
        <f>'[1]November - 2021'!CH30</f>
        <v>23815</v>
      </c>
      <c r="CH30" s="191">
        <f>'[1]November - 2021'!CI30</f>
        <v>9</v>
      </c>
      <c r="CI30" s="89">
        <f>'[1]November - 2021'!CJ30</f>
        <v>52925</v>
      </c>
      <c r="CJ30" s="191">
        <f>'[1]November - 2021'!CK30</f>
        <v>25</v>
      </c>
      <c r="CK30" s="89">
        <f>'[1]November - 2021'!CL30</f>
        <v>232389</v>
      </c>
      <c r="CL30" s="246">
        <f>'[1]November - 2021'!CM30</f>
        <v>101</v>
      </c>
      <c r="CM30" s="89">
        <f>'[1]November - 2021'!CM30</f>
        <v>101</v>
      </c>
      <c r="CN30" s="89">
        <f>'[1]November - 2021'!CO30</f>
        <v>178067</v>
      </c>
      <c r="CO30" s="246">
        <f>'[1]November - 2021'!CP30</f>
        <v>75</v>
      </c>
      <c r="CP30" s="89">
        <f>'[1]November - 2021'!CP30</f>
        <v>75</v>
      </c>
      <c r="CQ30" s="89">
        <f>'[1]November - 2021'!CR30</f>
        <v>313921</v>
      </c>
      <c r="CR30" s="246">
        <f>'[1]November - 2021'!CS30</f>
        <v>219</v>
      </c>
      <c r="CS30" s="89">
        <f>'[1]November - 2021'!CS30</f>
        <v>219</v>
      </c>
      <c r="CT30" s="89">
        <f>'[1]November - 2021'!CU30</f>
        <v>615826</v>
      </c>
      <c r="CU30" s="191">
        <f>'[1]November - 2021'!CV30</f>
        <v>241</v>
      </c>
      <c r="CV30" s="451"/>
      <c r="CW30" s="256">
        <f>'[1]November - 2021'!CX30</f>
        <v>6224</v>
      </c>
      <c r="CX30" s="198">
        <f>'[1]November - 2021'!CY30</f>
        <v>6</v>
      </c>
      <c r="CY30" s="257">
        <f>'[1]November - 2021'!CZ30</f>
        <v>3750</v>
      </c>
      <c r="CZ30" s="198">
        <f>'[1]November - 2021'!DA30</f>
        <v>7</v>
      </c>
      <c r="DA30" s="257">
        <f>'[1]November - 2021'!DB30</f>
        <v>26483</v>
      </c>
      <c r="DB30" s="198">
        <f>'[1]November - 2021'!DC30</f>
        <v>17</v>
      </c>
      <c r="DC30" s="257">
        <f>'[1]November - 2021'!DD30</f>
        <v>27234</v>
      </c>
      <c r="DD30" s="198">
        <f>'[1]November - 2021'!DE30</f>
        <v>16</v>
      </c>
      <c r="DE30" s="257">
        <f>'[1]November - 2021'!DF30</f>
        <v>18484</v>
      </c>
      <c r="DF30" s="198">
        <f>'[1]November - 2021'!DG30</f>
        <v>14</v>
      </c>
      <c r="DG30" s="257">
        <f>'[1]November - 2021'!DH30</f>
        <v>21591</v>
      </c>
      <c r="DH30" s="198">
        <f>'[1]November - 2021'!DI30</f>
        <v>8</v>
      </c>
      <c r="DI30" s="257">
        <f>'[1]November - 2021'!DJ30</f>
        <v>3111</v>
      </c>
      <c r="DJ30" s="198">
        <f>'[1]November - 2021'!DK30</f>
        <v>8</v>
      </c>
      <c r="DK30" s="257">
        <f>'[1]November - 2021'!DL30</f>
        <v>6451</v>
      </c>
      <c r="DL30" s="198">
        <f>'[1]November - 2021'!DM30</f>
        <v>15</v>
      </c>
      <c r="DM30" s="257">
        <f>'[1]November - 2021'!DN30</f>
        <v>1720</v>
      </c>
      <c r="DN30" s="198">
        <f>'[1]November - 2021'!DO30</f>
        <v>3</v>
      </c>
      <c r="DO30" s="257">
        <f>'[1]November - 2021'!DP30</f>
        <v>3446</v>
      </c>
      <c r="DP30" s="198">
        <f>'[1]November - 2021'!DQ30</f>
        <v>7</v>
      </c>
      <c r="DQ30" s="257">
        <f>'[1]November - 2021'!DR30</f>
        <v>26204</v>
      </c>
      <c r="DR30" s="206">
        <f>'[1]November - 2021'!DS30</f>
        <v>6</v>
      </c>
      <c r="DS30" s="436"/>
      <c r="DT30" s="210">
        <f>'[1]November - 2021'!DU30</f>
        <v>2951.2</v>
      </c>
      <c r="DU30" s="221">
        <f>'[1]November - 2021'!DV30</f>
        <v>9.3999999999996362</v>
      </c>
      <c r="DV30" s="91">
        <f>'[1]November - 2021'!DW30</f>
        <v>8086.4</v>
      </c>
      <c r="DW30" s="215">
        <f>'[1]November - 2021'!DX30</f>
        <v>7</v>
      </c>
      <c r="DX30" s="91">
        <f>'[1]November - 2021'!DY30</f>
        <v>2228.6</v>
      </c>
      <c r="DY30" s="215">
        <f>'[1]November - 2021'!DZ30</f>
        <v>6.4000000000000909</v>
      </c>
      <c r="DZ30" s="91">
        <f>'[1]November - 2021'!EA30</f>
        <v>2327.9</v>
      </c>
      <c r="EA30" s="215">
        <f>'[1]November - 2021'!EB30</f>
        <v>8.4000000000000909</v>
      </c>
      <c r="EB30" s="91">
        <f>'[1]November - 2021'!EC30</f>
        <v>861457</v>
      </c>
      <c r="EC30" s="215">
        <f>'[1]November - 2021'!ED30</f>
        <v>611</v>
      </c>
      <c r="ED30" s="91">
        <f>'[1]November - 2021'!EG30</f>
        <v>173620.9</v>
      </c>
      <c r="EE30" s="229">
        <f>'[1]November - 2021'!EH30</f>
        <v>141.39999999999418</v>
      </c>
      <c r="EF30" s="375"/>
      <c r="EG30" s="235">
        <f>'[1]November - 2021'!EJ30</f>
        <v>10355100</v>
      </c>
      <c r="EH30" s="230">
        <f>'[1]November - 2021'!EK30</f>
        <v>4500</v>
      </c>
      <c r="EI30" s="90">
        <f>'[1]November - 2021'!EL30</f>
        <v>822120</v>
      </c>
      <c r="EJ30" s="230">
        <f>'[1]November - 2021'!EM30</f>
        <v>270</v>
      </c>
      <c r="EK30" s="90">
        <f>'[1]November - 2021'!EN30</f>
        <v>6377900</v>
      </c>
      <c r="EL30" s="230">
        <f>'[1]November - 2021'!EO30</f>
        <v>1900</v>
      </c>
      <c r="EM30" s="90">
        <f>'[1]November - 2021'!EP30</f>
        <v>2241600</v>
      </c>
      <c r="EN30" s="230">
        <f>'[1]November - 2021'!EQ30</f>
        <v>700</v>
      </c>
      <c r="EO30" s="90">
        <f>'[1]November - 2021'!ER30</f>
        <v>982970</v>
      </c>
      <c r="EP30" s="230">
        <f>'[1]November - 2021'!ES30</f>
        <v>880</v>
      </c>
      <c r="EQ30" s="90">
        <f>'[1]November - 2021'!ET30</f>
        <v>14248200</v>
      </c>
      <c r="ER30" s="230">
        <f>'[1]November - 2021'!EU30</f>
        <v>3400</v>
      </c>
      <c r="ES30" s="423"/>
      <c r="ET30" s="281">
        <f>'[1]November - 2021'!EW30</f>
        <v>37253</v>
      </c>
      <c r="EU30" s="275">
        <f>'[1]November - 2021'!EX30</f>
        <v>16</v>
      </c>
      <c r="EV30" s="282">
        <f>'[1]November - 2021'!EY30</f>
        <v>32195</v>
      </c>
      <c r="EW30" s="275">
        <f>'[1]November - 2021'!EZ30</f>
        <v>13</v>
      </c>
      <c r="EX30" s="282">
        <f>'[1]November - 2021'!FA30</f>
        <v>3363</v>
      </c>
      <c r="EY30" s="275">
        <f>'[1]November - 2021'!FB30</f>
        <v>13</v>
      </c>
      <c r="EZ30" s="282">
        <f>'[1]November - 2021'!FC30</f>
        <v>53817</v>
      </c>
      <c r="FA30" s="275">
        <f>'[1]November - 2021'!FD30</f>
        <v>17</v>
      </c>
      <c r="FB30" s="282">
        <f>'[1]November - 2021'!FE30</f>
        <v>37198</v>
      </c>
      <c r="FC30" s="276">
        <f>'[1]November - 2021'!FF30</f>
        <v>28</v>
      </c>
    </row>
    <row r="31" spans="1:159" ht="30" customHeight="1" x14ac:dyDescent="0.25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-908352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-81980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-164625</v>
      </c>
      <c r="K31" s="168">
        <f>'[1]November - 2021'!N31</f>
        <v>0</v>
      </c>
      <c r="L31" s="170">
        <f>'[1]November - 2021'!O31</f>
        <v>-815201</v>
      </c>
      <c r="M31" s="168">
        <f>'[1]November - 2021'!Q31</f>
        <v>0</v>
      </c>
      <c r="N31" s="170">
        <f>'[1]November - 2021'!R31</f>
        <v>-186713</v>
      </c>
      <c r="O31" s="168">
        <f>'[1]November - 2021'!S31</f>
        <v>0</v>
      </c>
      <c r="P31" s="170">
        <f>'[1]November - 2021'!T31</f>
        <v>-51035.66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-3628</v>
      </c>
      <c r="T31" s="518"/>
      <c r="U31" s="169">
        <f>'[1]November - 2021'!AC31</f>
        <v>0</v>
      </c>
      <c r="V31" s="288">
        <f>'[1]November - 2021'!AD31</f>
        <v>-7136115.8399999999</v>
      </c>
      <c r="W31" s="92">
        <f>'[1]November - 2021'!AD31</f>
        <v>-7136115.8399999999</v>
      </c>
      <c r="X31" s="287">
        <f>'[1]November - 2021'!AF31</f>
        <v>0</v>
      </c>
      <c r="Y31" s="288">
        <f>'[1]November - 2021'!AG31</f>
        <v>-13666203.6</v>
      </c>
      <c r="Z31" s="92">
        <f>'[1]November - 2021'!AG31</f>
        <v>-13666203.6</v>
      </c>
      <c r="AA31" s="287">
        <f>'[1]November - 2021'!AI31</f>
        <v>0</v>
      </c>
      <c r="AB31" s="288">
        <f>'[1]November - 2021'!AJ31</f>
        <v>-13620260.640000001</v>
      </c>
      <c r="AC31" s="92">
        <f>'[1]November - 2021'!AJ31</f>
        <v>-13620260.640000001</v>
      </c>
      <c r="AD31" s="287">
        <f>'[1]November - 2021'!AL31</f>
        <v>0</v>
      </c>
      <c r="AE31" s="288">
        <f>'[1]November - 2021'!AM31</f>
        <v>-16668378.719999999</v>
      </c>
      <c r="AF31" s="92">
        <f>'[1]November - 2021'!AM31</f>
        <v>-16668378.719999999</v>
      </c>
      <c r="AG31" s="287">
        <f>'[1]November - 2021'!AO31</f>
        <v>0</v>
      </c>
      <c r="AH31" s="288">
        <f>'[1]November - 2021'!AP31</f>
        <v>-16958019.119999997</v>
      </c>
      <c r="AI31" s="92">
        <f>'[1]November - 2021'!AP31</f>
        <v>-16958019.119999997</v>
      </c>
      <c r="AJ31" s="287">
        <f>'[1]November - 2021'!AR31</f>
        <v>0</v>
      </c>
      <c r="AK31" s="288">
        <f>'[1]November - 2021'!AS31</f>
        <v>-15380124.48</v>
      </c>
      <c r="AL31" s="92">
        <f>'[1]November - 2021'!AS31</f>
        <v>-15380124.48</v>
      </c>
      <c r="AM31" s="287">
        <f>'[1]November - 2021'!AU31</f>
        <v>0</v>
      </c>
      <c r="AN31" s="288">
        <f>'[1]November - 2021'!AV31</f>
        <v>-13092282</v>
      </c>
      <c r="AO31" s="92">
        <f>'[1]November - 2021'!AV31</f>
        <v>-13092282</v>
      </c>
      <c r="AP31" s="287">
        <f>'[1]November - 2021'!AX31</f>
        <v>0</v>
      </c>
      <c r="AQ31" s="288">
        <f>'[1]November - 2021'!AY31</f>
        <v>-12589053.119999999</v>
      </c>
      <c r="AR31" s="92">
        <f>'[1]November - 2021'!AY31</f>
        <v>-12589053.119999999</v>
      </c>
      <c r="AS31" s="287">
        <f>'[1]November - 2021'!BA31</f>
        <v>0</v>
      </c>
      <c r="AT31" s="288">
        <f>'[1]November - 2021'!BB31</f>
        <v>-10031983.92</v>
      </c>
      <c r="AU31" s="92">
        <f>'[1]November - 2021'!BB31</f>
        <v>-10031983.92</v>
      </c>
      <c r="AV31" s="287">
        <f>'[1]November - 2021'!BD31</f>
        <v>0</v>
      </c>
      <c r="AW31" s="252">
        <f>'[1]November - 2021'!BE31</f>
        <v>-15560291.039999999</v>
      </c>
      <c r="AX31" s="253">
        <f>'[1]November - 2021'!BE31</f>
        <v>-15560291.039999999</v>
      </c>
      <c r="AY31" s="484"/>
      <c r="AZ31" s="272">
        <f>'[1]November - 2021'!BK31</f>
        <v>0</v>
      </c>
      <c r="BA31" s="179">
        <f>'[1]November - 2021'!BL31</f>
        <v>-67571500</v>
      </c>
      <c r="BB31" s="93">
        <f>'[1]November - 2021'!BL31</f>
        <v>-67571500</v>
      </c>
      <c r="BC31" s="272">
        <f>'[1]November - 2021'!BN31</f>
        <v>0</v>
      </c>
      <c r="BD31" s="245">
        <f>'[1]November - 2021'!BO31</f>
        <v>-70331500</v>
      </c>
      <c r="BE31" s="93">
        <f>'[1]November - 2021'!BO31</f>
        <v>-70331500</v>
      </c>
      <c r="BF31" s="272">
        <f>'[1]November - 2021'!BQ31</f>
        <v>0</v>
      </c>
      <c r="BG31" s="245">
        <f>'[1]November - 2021'!BR31</f>
        <v>-64448900</v>
      </c>
      <c r="BH31" s="93">
        <f>'[1]November - 2021'!BR31</f>
        <v>-64448900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-7580540</v>
      </c>
      <c r="BU31" s="391"/>
      <c r="BV31" s="88">
        <f>'[1]November - 2021'!BW31</f>
        <v>0</v>
      </c>
      <c r="BW31" s="241">
        <f>'[1]November - 2021'!BX31</f>
        <v>0.6</v>
      </c>
      <c r="BX31" s="88">
        <f>'[1]November - 2021'!BX31</f>
        <v>0.6</v>
      </c>
      <c r="BY31" s="89">
        <f>'[1]November - 2021'!BZ31</f>
        <v>0</v>
      </c>
      <c r="BZ31" s="191">
        <f>'[1]November - 2021'!CA31</f>
        <v>-56713</v>
      </c>
      <c r="CA31" s="89">
        <f>'[1]November - 2021'!CB31</f>
        <v>0</v>
      </c>
      <c r="CB31" s="191">
        <f>'[1]November - 2021'!CC31</f>
        <v>-48224</v>
      </c>
      <c r="CC31" s="89">
        <f>'[1]November - 2021'!CD31</f>
        <v>0</v>
      </c>
      <c r="CD31" s="191">
        <f>'[1]November - 2021'!CE31</f>
        <v>-16619</v>
      </c>
      <c r="CE31" s="89">
        <f>'[1]November - 2021'!CF31</f>
        <v>0</v>
      </c>
      <c r="CF31" s="191">
        <f>'[1]November - 2021'!CG31</f>
        <v>-21856</v>
      </c>
      <c r="CG31" s="89">
        <f>'[1]November - 2021'!CH31</f>
        <v>0</v>
      </c>
      <c r="CH31" s="191">
        <f>'[1]November - 2021'!CI31</f>
        <v>-23815</v>
      </c>
      <c r="CI31" s="89">
        <f>'[1]November - 2021'!CJ31</f>
        <v>0</v>
      </c>
      <c r="CJ31" s="191">
        <f>'[1]November - 2021'!CK31</f>
        <v>-52925</v>
      </c>
      <c r="CK31" s="89">
        <f>'[1]November - 2021'!CL31</f>
        <v>0</v>
      </c>
      <c r="CL31" s="246">
        <f>'[1]November - 2021'!CM31</f>
        <v>-232389</v>
      </c>
      <c r="CM31" s="89">
        <f>'[1]November - 2021'!CM31</f>
        <v>-232389</v>
      </c>
      <c r="CN31" s="89">
        <f>'[1]November - 2021'!CO31</f>
        <v>0</v>
      </c>
      <c r="CO31" s="246">
        <f>'[1]November - 2021'!CP31</f>
        <v>-178067</v>
      </c>
      <c r="CP31" s="89">
        <f>'[1]November - 2021'!CP31</f>
        <v>-178067</v>
      </c>
      <c r="CQ31" s="89">
        <f>'[1]November - 2021'!CR31</f>
        <v>0</v>
      </c>
      <c r="CR31" s="246">
        <f>'[1]November - 2021'!CS31</f>
        <v>-313921</v>
      </c>
      <c r="CS31" s="89">
        <f>'[1]November - 2021'!CS31</f>
        <v>-313921</v>
      </c>
      <c r="CT31" s="89">
        <f>'[1]November - 2021'!CU31</f>
        <v>0</v>
      </c>
      <c r="CU31" s="191">
        <f>'[1]November - 2021'!CV31</f>
        <v>-615826</v>
      </c>
      <c r="CV31" s="451"/>
      <c r="CW31" s="256">
        <f>'[1]November - 2021'!CX31</f>
        <v>0</v>
      </c>
      <c r="CX31" s="198">
        <f>'[1]November - 2021'!CY31</f>
        <v>-6224</v>
      </c>
      <c r="CY31" s="257">
        <f>'[1]November - 2021'!CZ31</f>
        <v>0</v>
      </c>
      <c r="CZ31" s="198">
        <f>'[1]November - 2021'!DA31</f>
        <v>-3750</v>
      </c>
      <c r="DA31" s="257">
        <f>'[1]November - 2021'!DB31</f>
        <v>0</v>
      </c>
      <c r="DB31" s="198">
        <f>'[1]November - 2021'!DC31</f>
        <v>-26483</v>
      </c>
      <c r="DC31" s="257">
        <f>'[1]November - 2021'!DD31</f>
        <v>0</v>
      </c>
      <c r="DD31" s="198">
        <f>'[1]November - 2021'!DE31</f>
        <v>-27234</v>
      </c>
      <c r="DE31" s="257">
        <f>'[1]November - 2021'!DF31</f>
        <v>0</v>
      </c>
      <c r="DF31" s="198">
        <f>'[1]November - 2021'!DG31</f>
        <v>-18484</v>
      </c>
      <c r="DG31" s="257">
        <f>'[1]November - 2021'!DH31</f>
        <v>0</v>
      </c>
      <c r="DH31" s="198">
        <f>'[1]November - 2021'!DI31</f>
        <v>-21591</v>
      </c>
      <c r="DI31" s="257">
        <f>'[1]November - 2021'!DJ31</f>
        <v>0</v>
      </c>
      <c r="DJ31" s="198">
        <f>'[1]November - 2021'!DK31</f>
        <v>-3111</v>
      </c>
      <c r="DK31" s="257">
        <f>'[1]November - 2021'!DL31</f>
        <v>0</v>
      </c>
      <c r="DL31" s="198">
        <f>'[1]November - 2021'!DM31</f>
        <v>-6451</v>
      </c>
      <c r="DM31" s="257">
        <f>'[1]November - 2021'!DN31</f>
        <v>0</v>
      </c>
      <c r="DN31" s="198">
        <f>'[1]November - 2021'!DO31</f>
        <v>-1720</v>
      </c>
      <c r="DO31" s="257">
        <f>'[1]November - 2021'!DP31</f>
        <v>0</v>
      </c>
      <c r="DP31" s="198">
        <f>'[1]November - 2021'!DQ31</f>
        <v>-3446</v>
      </c>
      <c r="DQ31" s="257">
        <f>'[1]November - 2021'!DR31</f>
        <v>0</v>
      </c>
      <c r="DR31" s="206">
        <f>'[1]November - 2021'!DS31</f>
        <v>-26204</v>
      </c>
      <c r="DS31" s="436"/>
      <c r="DT31" s="210">
        <f>'[1]November - 2021'!DU31</f>
        <v>0</v>
      </c>
      <c r="DU31" s="221">
        <f>'[1]November - 2021'!DV31</f>
        <v>-2951.2</v>
      </c>
      <c r="DV31" s="91">
        <f>'[1]November - 2021'!DW31</f>
        <v>0</v>
      </c>
      <c r="DW31" s="215">
        <f>'[1]November - 2021'!DX31</f>
        <v>-8086.4</v>
      </c>
      <c r="DX31" s="91">
        <f>'[1]November - 2021'!DY31</f>
        <v>0</v>
      </c>
      <c r="DY31" s="215">
        <f>'[1]November - 2021'!DZ31</f>
        <v>-2228.6</v>
      </c>
      <c r="DZ31" s="91">
        <f>'[1]November - 2021'!EA31</f>
        <v>0</v>
      </c>
      <c r="EA31" s="215">
        <f>'[1]November - 2021'!EB31</f>
        <v>-2327.9</v>
      </c>
      <c r="EB31" s="91">
        <f>'[1]November - 2021'!EC31</f>
        <v>0</v>
      </c>
      <c r="EC31" s="215">
        <f>'[1]November - 2021'!ED31</f>
        <v>-861457</v>
      </c>
      <c r="ED31" s="91">
        <f>'[1]November - 2021'!EG31</f>
        <v>0</v>
      </c>
      <c r="EE31" s="229">
        <f>'[1]November - 2021'!EH31</f>
        <v>-173620.9</v>
      </c>
      <c r="EF31" s="375"/>
      <c r="EG31" s="235">
        <f>'[1]November - 2021'!EJ31</f>
        <v>0</v>
      </c>
      <c r="EH31" s="230">
        <f>'[1]November - 2021'!EK31</f>
        <v>-10355100</v>
      </c>
      <c r="EI31" s="90">
        <f>'[1]November - 2021'!EL31</f>
        <v>0</v>
      </c>
      <c r="EJ31" s="230">
        <f>'[1]November - 2021'!EM31</f>
        <v>-822120</v>
      </c>
      <c r="EK31" s="90">
        <f>'[1]November - 2021'!EN31</f>
        <v>0</v>
      </c>
      <c r="EL31" s="230">
        <f>'[1]November - 2021'!EO31</f>
        <v>-6377900</v>
      </c>
      <c r="EM31" s="90">
        <f>'[1]November - 2021'!EP31</f>
        <v>0</v>
      </c>
      <c r="EN31" s="230">
        <f>'[1]November - 2021'!EQ31</f>
        <v>-2241600</v>
      </c>
      <c r="EO31" s="90">
        <f>'[1]November - 2021'!ER31</f>
        <v>0</v>
      </c>
      <c r="EP31" s="230">
        <f>'[1]November - 2021'!ES31</f>
        <v>-982970</v>
      </c>
      <c r="EQ31" s="90">
        <f>'[1]November - 2021'!ET31</f>
        <v>0</v>
      </c>
      <c r="ER31" s="230">
        <f>'[1]November - 2021'!EU31</f>
        <v>-14248200</v>
      </c>
      <c r="ES31" s="423"/>
      <c r="ET31" s="281">
        <f>'[1]November - 2021'!EW31</f>
        <v>0</v>
      </c>
      <c r="EU31" s="275">
        <f>'[1]November - 2021'!EX31</f>
        <v>-37253</v>
      </c>
      <c r="EV31" s="282">
        <f>'[1]November - 2021'!EY31</f>
        <v>0</v>
      </c>
      <c r="EW31" s="275">
        <f>'[1]November - 2021'!EZ31</f>
        <v>-32195</v>
      </c>
      <c r="EX31" s="282">
        <f>'[1]November - 2021'!FA31</f>
        <v>0</v>
      </c>
      <c r="EY31" s="275">
        <f>'[1]November - 2021'!FB31</f>
        <v>-3363</v>
      </c>
      <c r="EZ31" s="282">
        <f>'[1]November - 2021'!FC31</f>
        <v>0</v>
      </c>
      <c r="FA31" s="275">
        <f>'[1]November - 2021'!FD31</f>
        <v>-53817</v>
      </c>
      <c r="FB31" s="282">
        <f>'[1]November - 2021'!FE31</f>
        <v>0</v>
      </c>
      <c r="FC31" s="276">
        <f>'[1]November - 2021'!FF31</f>
        <v>-37198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518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84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391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451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-26204</v>
      </c>
      <c r="DS32" s="436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375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42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518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84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391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451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436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375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42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518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84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391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451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436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375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42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518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84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391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451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436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375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42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47307.120000000112</v>
      </c>
      <c r="V44" s="361"/>
      <c r="W44" s="362"/>
      <c r="X44" s="360">
        <f>SUM(Z9:Z24)</f>
        <v>70059.359999999404</v>
      </c>
      <c r="Y44" s="361"/>
      <c r="Z44" s="362"/>
      <c r="AA44" s="360">
        <f>SUM(AC9:AC24)</f>
        <v>84577.919999999925</v>
      </c>
      <c r="AB44" s="361"/>
      <c r="AC44" s="362"/>
      <c r="AD44" s="360">
        <f>SUM(AF9:AF24)</f>
        <v>76685.279999999329</v>
      </c>
      <c r="AE44" s="361"/>
      <c r="AF44" s="362"/>
      <c r="AG44" s="360">
        <f>SUM(AI9:AI24)</f>
        <v>56710.080000001937</v>
      </c>
      <c r="AH44" s="361"/>
      <c r="AI44" s="362"/>
      <c r="AJ44" s="360">
        <f>SUM(AL9:AL24)</f>
        <v>87598.560000000522</v>
      </c>
      <c r="AK44" s="361"/>
      <c r="AL44" s="362"/>
      <c r="AM44" s="360">
        <f>SUM(AO9:AO24)</f>
        <v>70254.240000000224</v>
      </c>
      <c r="AN44" s="361"/>
      <c r="AO44" s="362"/>
      <c r="AP44" s="360">
        <f>SUM(AR9:AR24)</f>
        <v>63384.720000000671</v>
      </c>
      <c r="AQ44" s="361"/>
      <c r="AR44" s="362"/>
      <c r="AS44" s="360">
        <f>SUM(AU9:AU24)</f>
        <v>48720</v>
      </c>
      <c r="AT44" s="361"/>
      <c r="AU44" s="362"/>
      <c r="AV44" s="360">
        <f>SUM(AX9:AX24)</f>
        <v>89206.320000002161</v>
      </c>
      <c r="AW44" s="361"/>
      <c r="AX44" s="361"/>
      <c r="AY44" s="582"/>
      <c r="AZ44" s="361">
        <f>SUM(BB9:BB24)</f>
        <v>455800</v>
      </c>
      <c r="BA44" s="361"/>
      <c r="BB44" s="361"/>
      <c r="BC44" s="360">
        <f>SUM(BE9:BE24)</f>
        <v>356400</v>
      </c>
      <c r="BD44" s="361"/>
      <c r="BE44" s="361"/>
      <c r="BF44" s="355">
        <f>SUM(BH9:BH24)</f>
        <v>275400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1494</v>
      </c>
      <c r="CL44" s="355"/>
      <c r="CM44" s="355"/>
      <c r="CN44" s="355">
        <f>SUM(CP9:CP24)</f>
        <v>1485</v>
      </c>
      <c r="CO44" s="355"/>
      <c r="CP44" s="355"/>
      <c r="CQ44" s="355">
        <f>SUM(CS9:CS24)</f>
        <v>3265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9899</v>
      </c>
      <c r="D45" s="357"/>
      <c r="E45" s="358"/>
      <c r="F45" s="357">
        <f>SUM(G9:G24)</f>
        <v>6516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2130.2300000000032</v>
      </c>
      <c r="P45" s="357"/>
      <c r="Q45" s="358"/>
      <c r="R45" s="363"/>
      <c r="S45" s="364"/>
      <c r="T45" s="524"/>
      <c r="U45" s="348">
        <f>SUM(V9:V24)</f>
        <v>47307.120000000112</v>
      </c>
      <c r="V45" s="348"/>
      <c r="W45" s="349"/>
      <c r="X45" s="348">
        <f>SUM(Y9:Y24)</f>
        <v>70059.359999999404</v>
      </c>
      <c r="Y45" s="348"/>
      <c r="Z45" s="349"/>
      <c r="AA45" s="348">
        <f>SUM(AB9:AB24)</f>
        <v>84577.919999999925</v>
      </c>
      <c r="AB45" s="348"/>
      <c r="AC45" s="349"/>
      <c r="AD45" s="348">
        <f>SUM(AE9:AE24)</f>
        <v>76685.279999999329</v>
      </c>
      <c r="AE45" s="348"/>
      <c r="AF45" s="349"/>
      <c r="AG45" s="348">
        <f>SUM(AH9:AH24)</f>
        <v>56710.080000001937</v>
      </c>
      <c r="AH45" s="348"/>
      <c r="AI45" s="349"/>
      <c r="AJ45" s="348">
        <f>SUM(AK9:AK24)</f>
        <v>87598.560000000522</v>
      </c>
      <c r="AK45" s="348"/>
      <c r="AL45" s="349"/>
      <c r="AM45" s="348">
        <f>SUM(AN9:AN24)</f>
        <v>70254.240000000224</v>
      </c>
      <c r="AN45" s="348"/>
      <c r="AO45" s="349"/>
      <c r="AP45" s="348">
        <f>SUM(AQ9:AQ24)</f>
        <v>63384.720000000671</v>
      </c>
      <c r="AQ45" s="348"/>
      <c r="AR45" s="349"/>
      <c r="AS45" s="348">
        <f>SUM(AT9:AT24)</f>
        <v>48720</v>
      </c>
      <c r="AT45" s="348"/>
      <c r="AU45" s="349"/>
      <c r="AV45" s="348">
        <f>SUM(AW9:AW24)</f>
        <v>89206.320000002161</v>
      </c>
      <c r="AW45" s="348"/>
      <c r="AX45" s="348"/>
      <c r="AY45" s="582"/>
      <c r="AZ45" s="349">
        <f>SUM(BA9:BA24)</f>
        <v>455800</v>
      </c>
      <c r="BA45" s="355"/>
      <c r="BB45" s="355"/>
      <c r="BC45" s="355">
        <f>SUM(BD9:BD24)</f>
        <v>356400</v>
      </c>
      <c r="BD45" s="355"/>
      <c r="BE45" s="355"/>
      <c r="BF45" s="355">
        <f>SUM(BG9:BG24)</f>
        <v>275400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1494</v>
      </c>
      <c r="CL45" s="355"/>
      <c r="CM45" s="355"/>
      <c r="CN45" s="355">
        <f>SUM(CO9:CO24)</f>
        <v>1485</v>
      </c>
      <c r="CO45" s="355"/>
      <c r="CP45" s="355"/>
      <c r="CQ45" s="355">
        <f>SUM(CR9:CR24)</f>
        <v>3265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694503.60000000428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694503.60000000428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2021-11-22T06:30:14Z</dcterms:modified>
</cp:coreProperties>
</file>