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490" windowHeight="10545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7" i="79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C19" l="1"/>
  <c r="C18"/>
  <c r="C17"/>
  <c r="C16"/>
  <c r="C15"/>
  <c r="C14"/>
  <c r="I6" l="1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8"/>
  <c r="AA18"/>
  <c r="AC19"/>
  <c r="AC16"/>
  <c r="AC15"/>
  <c r="AB16"/>
  <c r="AB15"/>
  <c r="Y16"/>
  <c r="Y15"/>
  <c r="X16"/>
  <c r="X15"/>
  <c r="W16"/>
  <c r="W15"/>
  <c r="V16"/>
  <c r="V15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W10" i="74" l="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AK37" i="5"/>
  <c r="A31" i="76"/>
  <c r="G30" i="73" l="1"/>
  <c r="D30"/>
  <c r="F5" i="76" l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T4" i="3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7"/>
  <c r="T8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T6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7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7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4" i="2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4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2"/>
  <c r="C6" i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6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6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6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Z9" l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T9"/>
  <c r="U8"/>
  <c r="T10" l="1"/>
  <c r="U9"/>
  <c r="T11" l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U10"/>
  <c r="P40" i="74" l="1"/>
  <c r="M40"/>
  <c r="L40"/>
  <c r="I40"/>
  <c r="H40"/>
  <c r="E40"/>
  <c r="D40"/>
  <c r="P39"/>
  <c r="M39"/>
  <c r="L39"/>
  <c r="I39"/>
  <c r="H39"/>
  <c r="E39"/>
  <c r="D39"/>
  <c r="P38"/>
  <c r="M38"/>
  <c r="L38"/>
  <c r="I38"/>
  <c r="H38"/>
  <c r="E38"/>
  <c r="D38"/>
  <c r="P37"/>
  <c r="M37"/>
  <c r="L37"/>
  <c r="I37"/>
  <c r="H37"/>
  <c r="E37"/>
  <c r="D37"/>
  <c r="P36"/>
  <c r="M36"/>
  <c r="L36"/>
  <c r="I36"/>
  <c r="H36"/>
  <c r="E36"/>
  <c r="D36"/>
  <c r="P35"/>
  <c r="M35"/>
  <c r="L35"/>
  <c r="I35"/>
  <c r="H35"/>
  <c r="E35"/>
  <c r="D35"/>
  <c r="P34"/>
  <c r="M34"/>
  <c r="L34"/>
  <c r="I34"/>
  <c r="H34"/>
  <c r="E34"/>
  <c r="D34"/>
  <c r="P33"/>
  <c r="M33"/>
  <c r="L33"/>
  <c r="I33"/>
  <c r="H33"/>
  <c r="E33"/>
  <c r="D33"/>
  <c r="P32"/>
  <c r="M32"/>
  <c r="L32"/>
  <c r="I32"/>
  <c r="H32"/>
  <c r="E32"/>
  <c r="D32"/>
  <c r="P31"/>
  <c r="M31"/>
  <c r="L31"/>
  <c r="I31"/>
  <c r="H31"/>
  <c r="E31"/>
  <c r="D31"/>
  <c r="P30"/>
  <c r="M30"/>
  <c r="L30"/>
  <c r="I30"/>
  <c r="H30"/>
  <c r="E30"/>
  <c r="D30"/>
  <c r="P29"/>
  <c r="M29"/>
  <c r="L29"/>
  <c r="I29"/>
  <c r="H29"/>
  <c r="E29"/>
  <c r="D29"/>
  <c r="P28"/>
  <c r="M28"/>
  <c r="L28"/>
  <c r="I28"/>
  <c r="H28"/>
  <c r="E28"/>
  <c r="D28"/>
  <c r="P27"/>
  <c r="M27"/>
  <c r="L27"/>
  <c r="I27"/>
  <c r="H27"/>
  <c r="E27"/>
  <c r="D27"/>
  <c r="P26"/>
  <c r="M26"/>
  <c r="L26"/>
  <c r="I26"/>
  <c r="H26"/>
  <c r="E26"/>
  <c r="D26"/>
  <c r="P25"/>
  <c r="M25"/>
  <c r="L25"/>
  <c r="I25"/>
  <c r="H25"/>
  <c r="E25"/>
  <c r="D25"/>
  <c r="P24"/>
  <c r="M24"/>
  <c r="L24"/>
  <c r="I24"/>
  <c r="H24"/>
  <c r="E24"/>
  <c r="D24"/>
  <c r="P23"/>
  <c r="M23"/>
  <c r="L23"/>
  <c r="I23"/>
  <c r="H23"/>
  <c r="E23"/>
  <c r="D23"/>
  <c r="P22"/>
  <c r="M22"/>
  <c r="L22"/>
  <c r="I22"/>
  <c r="H22"/>
  <c r="E22"/>
  <c r="D22"/>
  <c r="P21"/>
  <c r="M21"/>
  <c r="L21"/>
  <c r="I21"/>
  <c r="H21"/>
  <c r="E21"/>
  <c r="D21"/>
  <c r="P20"/>
  <c r="M20"/>
  <c r="L20"/>
  <c r="I20"/>
  <c r="H20"/>
  <c r="E20"/>
  <c r="D20"/>
  <c r="P19"/>
  <c r="M19"/>
  <c r="L19"/>
  <c r="I19"/>
  <c r="H19"/>
  <c r="E19"/>
  <c r="D19"/>
  <c r="P18"/>
  <c r="M18"/>
  <c r="L18"/>
  <c r="I18"/>
  <c r="H18"/>
  <c r="E18"/>
  <c r="D18"/>
  <c r="P17"/>
  <c r="M17"/>
  <c r="L17"/>
  <c r="I17"/>
  <c r="H17"/>
  <c r="E17"/>
  <c r="D17"/>
  <c r="P16"/>
  <c r="M16"/>
  <c r="L16"/>
  <c r="I16"/>
  <c r="H16"/>
  <c r="E16"/>
  <c r="D16"/>
  <c r="P15"/>
  <c r="M15"/>
  <c r="L15"/>
  <c r="I15"/>
  <c r="H15"/>
  <c r="E15"/>
  <c r="D15"/>
  <c r="P14"/>
  <c r="M14"/>
  <c r="L14"/>
  <c r="I14"/>
  <c r="H14"/>
  <c r="E14"/>
  <c r="D14"/>
  <c r="P13"/>
  <c r="M13"/>
  <c r="L13"/>
  <c r="I13"/>
  <c r="H13"/>
  <c r="E13"/>
  <c r="D13"/>
  <c r="P12"/>
  <c r="M12"/>
  <c r="L12"/>
  <c r="I12"/>
  <c r="H12"/>
  <c r="E12"/>
  <c r="D12"/>
  <c r="P11"/>
  <c r="M11"/>
  <c r="L11"/>
  <c r="I11"/>
  <c r="H11"/>
  <c r="E11"/>
  <c r="D11"/>
  <c r="P10"/>
  <c r="M10"/>
  <c r="L10"/>
  <c r="I10"/>
  <c r="H10"/>
  <c r="E10"/>
  <c r="D10"/>
  <c r="AB8" i="76"/>
  <c r="AC18"/>
  <c r="AB12"/>
  <c r="AC12"/>
  <c r="L4" i="3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M6" i="79" l="1"/>
  <c r="I6" s="1"/>
  <c r="J4" i="3"/>
  <c r="J5" l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J6" i="3" l="1"/>
  <c r="M8" i="79"/>
  <c r="O7"/>
  <c r="AS29" i="1"/>
  <c r="E26" i="2"/>
  <c r="U24" i="3"/>
  <c r="U25"/>
  <c r="J7" l="1"/>
  <c r="M9" i="79"/>
  <c r="O8"/>
  <c r="I7"/>
  <c r="K7" i="5"/>
  <c r="D21" i="1"/>
  <c r="E21" s="1"/>
  <c r="Q19" i="2"/>
  <c r="J8" i="3" l="1"/>
  <c r="M10" i="79"/>
  <c r="O9"/>
  <c r="I8"/>
  <c r="K8" i="5"/>
  <c r="I12" i="77"/>
  <c r="Q3" i="2"/>
  <c r="J9" i="3" l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J11" i="3" l="1"/>
  <c r="Q10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J13" i="3"/>
  <c r="E25"/>
  <c r="U18"/>
  <c r="M16" i="79" l="1"/>
  <c r="O15"/>
  <c r="I14"/>
  <c r="K14" i="5"/>
  <c r="J14" i="3"/>
  <c r="U19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J16" i="3"/>
  <c r="M18" i="79"/>
  <c r="O17"/>
  <c r="W43" i="74"/>
  <c r="S43"/>
  <c r="O43"/>
  <c r="R43"/>
  <c r="N43"/>
  <c r="J43"/>
  <c r="F43"/>
  <c r="A10" i="3"/>
  <c r="A11"/>
  <c r="A12"/>
  <c r="A13"/>
  <c r="J17" l="1"/>
  <c r="M19" i="79"/>
  <c r="O18"/>
  <c r="K17" i="5"/>
  <c r="I17" i="79"/>
  <c r="A3" i="76"/>
  <c r="A5" i="7"/>
  <c r="J18" i="3" l="1"/>
  <c r="M20" i="79"/>
  <c r="O19"/>
  <c r="K18" i="5"/>
  <c r="I18" i="7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J19" i="3" l="1"/>
  <c r="M21" i="79"/>
  <c r="O20"/>
  <c r="K19" i="5"/>
  <c r="I19" i="79"/>
  <c r="W17" i="76"/>
  <c r="M22" i="79" l="1"/>
  <c r="O21"/>
  <c r="J20" i="3"/>
  <c r="K20" i="5"/>
  <c r="I20" i="79"/>
  <c r="A2" i="3"/>
  <c r="A5" i="73"/>
  <c r="K21" i="5" l="1"/>
  <c r="I21" i="79"/>
  <c r="M23"/>
  <c r="O22"/>
  <c r="J21" i="3"/>
  <c r="N7" i="1"/>
  <c r="V27" i="76"/>
  <c r="V28"/>
  <c r="V26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Q1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L6" l="1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A20" s="1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6" i="3" l="1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3" l="1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31" i="3" l="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32" i="3" l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2" i="3" l="1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12" i="3" l="1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AI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13" i="3" l="1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Q14" i="3" l="1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D23" i="76"/>
  <c r="E23" s="1"/>
  <c r="X15" i="7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Q15" i="7"/>
  <c r="BC15"/>
  <c r="X6"/>
  <c r="AR6"/>
  <c r="AQ6" s="1"/>
  <c r="AQ9"/>
  <c r="AS12"/>
  <c r="AX12" s="1"/>
  <c r="AQ12"/>
  <c r="AQ11"/>
  <c r="BC12"/>
  <c r="I15" i="3" l="1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I16" i="3" l="1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I17" i="3" l="1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I18" i="3" l="1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I19" i="3" l="1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H21" i="3" l="1"/>
  <c r="I20"/>
  <c r="J27" i="82"/>
  <c r="H29" i="3"/>
  <c r="I28"/>
  <c r="AN24" i="7"/>
  <c r="X20"/>
  <c r="AR20"/>
  <c r="AS20" s="1"/>
  <c r="AX20" s="1"/>
  <c r="P22" i="3"/>
  <c r="Q22" s="1"/>
  <c r="AX23" i="1"/>
  <c r="J19" i="81"/>
  <c r="H20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I21" i="3" l="1"/>
  <c r="H22"/>
  <c r="J28" i="82"/>
  <c r="H30" i="3"/>
  <c r="I29"/>
  <c r="AN25" i="7"/>
  <c r="AS21"/>
  <c r="AX21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P24" i="3" l="1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K33" i="76"/>
  <c r="N33" s="1"/>
  <c r="I32"/>
  <c r="M32" s="1"/>
  <c r="G32"/>
  <c r="D31"/>
  <c r="E31" s="1"/>
  <c r="L31"/>
  <c r="C31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O29" s="1"/>
  <c r="H28" i="82"/>
  <c r="E30" i="2"/>
  <c r="C27" i="63"/>
  <c r="D27" s="1"/>
  <c r="R28" i="2"/>
  <c r="E27" i="81"/>
  <c r="S29" i="76"/>
  <c r="I23" i="3" l="1"/>
  <c r="H24"/>
  <c r="I24" s="1"/>
  <c r="H32"/>
  <c r="I31"/>
  <c r="BC22" i="7"/>
  <c r="AS22"/>
  <c r="AX22" s="1"/>
  <c r="AN27"/>
  <c r="AR23"/>
  <c r="BC23" s="1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T34" i="1"/>
  <c r="AU34" s="1"/>
  <c r="Y35" i="5"/>
  <c r="J31" i="82" s="1"/>
  <c r="X23" i="7"/>
  <c r="AA26" i="76"/>
  <c r="N36"/>
  <c r="I33"/>
  <c r="M33" s="1"/>
  <c r="L32"/>
  <c r="D32"/>
  <c r="E32" s="1"/>
  <c r="G33"/>
  <c r="C32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AY23" s="1"/>
  <c r="I32" i="3"/>
  <c r="X24" i="7"/>
  <c r="AR24"/>
  <c r="BC24" s="1"/>
  <c r="AN28"/>
  <c r="AB26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AN29" s="1"/>
  <c r="Y25"/>
  <c r="AR25" s="1"/>
  <c r="C34" i="3"/>
  <c r="Y36" i="5"/>
  <c r="M36" i="76"/>
  <c r="AA27"/>
  <c r="AA28"/>
  <c r="D33"/>
  <c r="E33" s="1"/>
  <c r="L33"/>
  <c r="C33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O34" i="1" l="1"/>
  <c r="O15"/>
  <c r="O5"/>
  <c r="O16"/>
  <c r="O14"/>
  <c r="O6"/>
  <c r="O17"/>
  <c r="O18"/>
  <c r="O19"/>
  <c r="O9"/>
  <c r="O20"/>
  <c r="O10"/>
  <c r="O21"/>
  <c r="O11"/>
  <c r="O22"/>
  <c r="O12"/>
  <c r="O13"/>
  <c r="O23"/>
  <c r="O24"/>
  <c r="O25"/>
  <c r="O26"/>
  <c r="O27"/>
  <c r="O28"/>
  <c r="O29"/>
  <c r="O30"/>
  <c r="O31"/>
  <c r="O32"/>
  <c r="O33"/>
  <c r="Q21" i="76"/>
  <c r="AB27"/>
  <c r="A36"/>
  <c r="F4" i="77" s="1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Q24"/>
  <c r="AS24"/>
  <c r="AO30"/>
  <c r="AB28" i="76"/>
  <c r="AA29"/>
  <c r="L3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AI30"/>
  <c r="J32" i="65"/>
  <c r="R31" i="2"/>
  <c r="E30" i="81"/>
  <c r="C30" i="63"/>
  <c r="D30" s="1"/>
  <c r="S32" i="76"/>
  <c r="X26" i="7" l="1"/>
  <c r="AR26"/>
  <c r="BC26" s="1"/>
  <c r="AN30"/>
  <c r="P28" i="3"/>
  <c r="I37" i="5"/>
  <c r="J25" i="81"/>
  <c r="AX29" i="1"/>
  <c r="H26" i="81"/>
  <c r="I36" i="76"/>
  <c r="AU34" i="5"/>
  <c r="AZ33"/>
  <c r="BC33" s="1"/>
  <c r="AB32" i="3"/>
  <c r="D37" i="73"/>
  <c r="B16" i="77" s="1"/>
  <c r="E8"/>
  <c r="G36" i="76"/>
  <c r="C36"/>
  <c r="AL36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E28" i="76"/>
  <c r="AF28" s="1"/>
  <c r="AB30"/>
  <c r="AH31" i="3"/>
  <c r="AK32"/>
  <c r="AC32"/>
  <c r="K34"/>
  <c r="U33" s="1"/>
  <c r="W31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J33" i="65"/>
  <c r="AI31" i="2"/>
  <c r="P29" i="3" l="1"/>
  <c r="Q28"/>
  <c r="E16" i="77"/>
  <c r="X31" i="76"/>
  <c r="AX30" i="1"/>
  <c r="J26" i="81"/>
  <c r="H27"/>
  <c r="AU35" i="5"/>
  <c r="AZ34"/>
  <c r="BC34" s="1"/>
  <c r="E6" i="77"/>
  <c r="F7"/>
  <c r="G37" i="76"/>
  <c r="AD28" s="1"/>
  <c r="K37"/>
  <c r="AD26" s="1"/>
  <c r="I37"/>
  <c r="AD27" s="1"/>
  <c r="E9" i="77"/>
  <c r="G9" s="1"/>
  <c r="AY24" i="7"/>
  <c r="N29" i="1"/>
  <c r="V29" s="1"/>
  <c r="AI28"/>
  <c r="AW29" i="7" s="1"/>
  <c r="B28" i="65"/>
  <c r="E28" s="1"/>
  <c r="AS26" i="7"/>
  <c r="AQ26"/>
  <c r="K38" i="5"/>
  <c r="W42" i="76"/>
  <c r="W40"/>
  <c r="G8" i="77"/>
  <c r="F8"/>
  <c r="Z33" i="3"/>
  <c r="B18" i="77" s="1"/>
  <c r="AH32" i="3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P30" i="3" l="1"/>
  <c r="Q29"/>
  <c r="F18" i="77"/>
  <c r="E18"/>
  <c r="B19"/>
  <c r="Y31" i="76"/>
  <c r="J27" i="81"/>
  <c r="AX31" i="1"/>
  <c r="H28" i="81"/>
  <c r="F6" i="77"/>
  <c r="AZ35" i="5"/>
  <c r="BC35" s="1"/>
  <c r="F9" i="77"/>
  <c r="C37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U30"/>
  <c r="V30"/>
  <c r="W30" s="1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P31" i="3" l="1"/>
  <c r="Q30"/>
  <c r="AX32" i="1"/>
  <c r="J28" i="81"/>
  <c r="H29"/>
  <c r="O36" i="76"/>
  <c r="Q24"/>
  <c r="AW30" i="7"/>
  <c r="N31" i="1"/>
  <c r="V31" s="1"/>
  <c r="B30" i="65"/>
  <c r="E30" s="1"/>
  <c r="AI30" i="1"/>
  <c r="AW31" i="7" s="1"/>
  <c r="Y30"/>
  <c r="AR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Q26" i="76"/>
  <c r="AY27" i="7"/>
  <c r="Q25" i="76"/>
  <c r="N35" i="7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AS31" i="7"/>
  <c r="AX31" s="1"/>
  <c r="AY31" s="1"/>
  <c r="J30" i="81"/>
  <c r="AX34" i="1"/>
  <c r="H31" i="81"/>
  <c r="Q27" i="76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X32" l="1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Q29" i="76"/>
  <c r="Y33" i="7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AQ33"/>
  <c r="U35"/>
  <c r="V35"/>
  <c r="W35" s="1"/>
  <c r="BC33"/>
  <c r="AX32" l="1"/>
  <c r="AY32" s="1"/>
  <c r="Y35"/>
  <c r="AI36" i="1"/>
  <c r="AJ34"/>
  <c r="AK34" s="1"/>
  <c r="G31" i="81"/>
  <c r="AJ33" i="1"/>
  <c r="AK33" s="1"/>
  <c r="G30" i="81"/>
  <c r="X34" i="7"/>
  <c r="AQ34"/>
  <c r="AS34"/>
  <c r="AX34" s="1"/>
  <c r="AY33"/>
  <c r="Q31" i="76"/>
  <c r="BC34" i="7"/>
  <c r="AR35" l="1"/>
  <c r="BC35" s="1"/>
  <c r="Q30" i="76"/>
  <c r="X35" i="7"/>
  <c r="Q32" i="76"/>
  <c r="AY34" i="7"/>
  <c r="AQ35" l="1"/>
  <c r="AS35"/>
  <c r="AX35" s="1"/>
  <c r="Q33" i="76" s="1"/>
  <c r="AS39" i="7" l="1"/>
  <c r="AY35"/>
  <c r="AY36" l="1"/>
  <c r="AX36"/>
  <c r="Z41" i="76" s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28" s="1"/>
  <c r="AC10"/>
  <c r="AC27" s="1"/>
  <c r="AC9"/>
  <c r="AC26" s="1"/>
  <c r="AC30" l="1"/>
  <c r="W39" s="1"/>
  <c r="W41" s="1"/>
  <c r="W43" s="1"/>
  <c r="O21" i="5"/>
  <c r="P20"/>
  <c r="Q20" s="1"/>
  <c r="M16" i="81" s="1"/>
  <c r="Q19" i="5"/>
  <c r="M15" i="81" s="1"/>
  <c r="M21" i="5"/>
  <c r="N20"/>
  <c r="AC31" i="76" l="1"/>
  <c r="O12" s="1"/>
  <c r="P12" s="1"/>
  <c r="R12" s="1"/>
  <c r="T12" s="1"/>
  <c r="F10" i="81" s="1"/>
  <c r="O22" i="5"/>
  <c r="P21"/>
  <c r="Q21" s="1"/>
  <c r="M17" i="81" s="1"/>
  <c r="O28" i="76"/>
  <c r="P28" s="1"/>
  <c r="R28" s="1"/>
  <c r="T28" s="1"/>
  <c r="F26" i="81" s="1"/>
  <c r="O10" i="76"/>
  <c r="P10" s="1"/>
  <c r="R10" s="1"/>
  <c r="T10" s="1"/>
  <c r="F8" i="81" s="1"/>
  <c r="O18" i="76"/>
  <c r="P18" s="1"/>
  <c r="R18" s="1"/>
  <c r="T18" s="1"/>
  <c r="F16" i="81" s="1"/>
  <c r="O24" i="76"/>
  <c r="P24" s="1"/>
  <c r="R24" s="1"/>
  <c r="T24" s="1"/>
  <c r="F22" i="81" s="1"/>
  <c r="M22" i="5"/>
  <c r="N21"/>
  <c r="O14" i="76" l="1"/>
  <c r="P14" s="1"/>
  <c r="R14" s="1"/>
  <c r="T14" s="1"/>
  <c r="F12" i="81" s="1"/>
  <c r="AB31" i="76"/>
  <c r="AB35" s="1"/>
  <c r="AB36" s="1"/>
  <c r="O4"/>
  <c r="P4" s="1"/>
  <c r="R4" s="1"/>
  <c r="T4" s="1"/>
  <c r="F2" i="81" s="1"/>
  <c r="O21" i="76"/>
  <c r="P21" s="1"/>
  <c r="R21" s="1"/>
  <c r="T21" s="1"/>
  <c r="F19" i="81" s="1"/>
  <c r="O22" i="76"/>
  <c r="P22" s="1"/>
  <c r="R22" s="1"/>
  <c r="T22" s="1"/>
  <c r="F20" i="81" s="1"/>
  <c r="O31" i="76"/>
  <c r="P31" s="1"/>
  <c r="R31" s="1"/>
  <c r="T31" s="1"/>
  <c r="F29" i="81" s="1"/>
  <c r="O5" i="76"/>
  <c r="P5" s="1"/>
  <c r="R5" s="1"/>
  <c r="T5" s="1"/>
  <c r="F3" i="81" s="1"/>
  <c r="O11" i="76"/>
  <c r="P11" s="1"/>
  <c r="R11" s="1"/>
  <c r="T11" s="1"/>
  <c r="F9" i="81" s="1"/>
  <c r="O26" i="76"/>
  <c r="P26" s="1"/>
  <c r="R26" s="1"/>
  <c r="T26" s="1"/>
  <c r="F24" i="81" s="1"/>
  <c r="O15" i="76"/>
  <c r="P15" s="1"/>
  <c r="R15" s="1"/>
  <c r="T15" s="1"/>
  <c r="F13" i="81" s="1"/>
  <c r="O9" i="76"/>
  <c r="P9" s="1"/>
  <c r="R9" s="1"/>
  <c r="T9" s="1"/>
  <c r="F7" i="81" s="1"/>
  <c r="O33" i="76"/>
  <c r="P33" s="1"/>
  <c r="R33" s="1"/>
  <c r="T33" s="1"/>
  <c r="F31" i="81" s="1"/>
  <c r="O19" i="76"/>
  <c r="P19" s="1"/>
  <c r="R19" s="1"/>
  <c r="T19" s="1"/>
  <c r="F17" i="81" s="1"/>
  <c r="O27" i="76"/>
  <c r="P27" s="1"/>
  <c r="R27" s="1"/>
  <c r="T27" s="1"/>
  <c r="F25" i="81" s="1"/>
  <c r="O8" i="76"/>
  <c r="P8" s="1"/>
  <c r="R8" s="1"/>
  <c r="T8" s="1"/>
  <c r="F6" i="81" s="1"/>
  <c r="O16" i="76"/>
  <c r="P16" s="1"/>
  <c r="R16" s="1"/>
  <c r="T16" s="1"/>
  <c r="F14" i="81" s="1"/>
  <c r="O25" i="76"/>
  <c r="P25" s="1"/>
  <c r="R25" s="1"/>
  <c r="T25" s="1"/>
  <c r="F23" i="81" s="1"/>
  <c r="O6" i="76"/>
  <c r="P6" s="1"/>
  <c r="R6" s="1"/>
  <c r="T6" s="1"/>
  <c r="F4" i="81" s="1"/>
  <c r="O29" i="76"/>
  <c r="P29" s="1"/>
  <c r="R29" s="1"/>
  <c r="T29" s="1"/>
  <c r="F27" i="81" s="1"/>
  <c r="O30" i="76"/>
  <c r="P30" s="1"/>
  <c r="R30" s="1"/>
  <c r="T30" s="1"/>
  <c r="F28" i="81" s="1"/>
  <c r="O13" i="76"/>
  <c r="P13" s="1"/>
  <c r="R13" s="1"/>
  <c r="T13" s="1"/>
  <c r="F11" i="81" s="1"/>
  <c r="O17" i="76"/>
  <c r="P17" s="1"/>
  <c r="R17" s="1"/>
  <c r="T17" s="1"/>
  <c r="F15" i="81" s="1"/>
  <c r="O32" i="76"/>
  <c r="P32" s="1"/>
  <c r="R32" s="1"/>
  <c r="T32" s="1"/>
  <c r="F30" i="81" s="1"/>
  <c r="O7" i="76"/>
  <c r="P7" s="1"/>
  <c r="R7" s="1"/>
  <c r="T7" s="1"/>
  <c r="F5" i="81" s="1"/>
  <c r="O23" i="76"/>
  <c r="P23" s="1"/>
  <c r="R23" s="1"/>
  <c r="T23" s="1"/>
  <c r="F21" i="81" s="1"/>
  <c r="O20" i="76"/>
  <c r="P20" s="1"/>
  <c r="R20" s="1"/>
  <c r="T20" s="1"/>
  <c r="F18" i="81" s="1"/>
  <c r="O23" i="5"/>
  <c r="P22"/>
  <c r="M23"/>
  <c r="N22"/>
  <c r="AA41" i="76" l="1"/>
  <c r="AB41" s="1"/>
  <c r="AB42" s="1"/>
  <c r="D10" i="77"/>
  <c r="E10" s="1"/>
  <c r="F10" s="1"/>
  <c r="F12" s="1"/>
  <c r="AB37" i="76"/>
  <c r="AB39" s="1"/>
  <c r="Z40" s="1"/>
  <c r="Z42" s="1"/>
  <c r="Z44" s="1"/>
  <c r="O24" i="5"/>
  <c r="P23"/>
  <c r="Q22"/>
  <c r="M18" i="81" s="1"/>
  <c r="M24" i="5"/>
  <c r="N23"/>
  <c r="AA42" i="76" l="1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8" l="1"/>
  <c r="P3" l="1"/>
  <c r="AB19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<sst xmlns="http://schemas.openxmlformats.org/spreadsheetml/2006/main" count="648" uniqueCount="415">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</sst>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851904"/>
        <c:axId val="149111168"/>
      </c:lineChart>
      <c:catAx>
        <c:axId val="14785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11168"/>
        <c:crosses val="autoZero"/>
        <c:auto val="1"/>
        <c:lblAlgn val="ctr"/>
        <c:lblOffset val="100"/>
      </c:catAx>
      <c:valAx>
        <c:axId val="149111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5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645"/>
          <c:w val="0.11899800868449698"/>
          <c:h val="4.49826989619429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135744"/>
        <c:axId val="149137280"/>
      </c:lineChart>
      <c:catAx>
        <c:axId val="14913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7280"/>
        <c:crosses val="autoZero"/>
        <c:auto val="1"/>
        <c:lblAlgn val="ctr"/>
        <c:lblOffset val="100"/>
      </c:catAx>
      <c:valAx>
        <c:axId val="14913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3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46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157376"/>
        <c:axId val="149158912"/>
      </c:lineChart>
      <c:catAx>
        <c:axId val="1491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8912"/>
        <c:crosses val="autoZero"/>
        <c:auto val="1"/>
        <c:lblAlgn val="ctr"/>
        <c:lblOffset val="100"/>
      </c:catAx>
      <c:valAx>
        <c:axId val="149158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795"/>
          <c:y val="0.62975887529633645"/>
          <c:w val="7.9124755870162669E-2"/>
          <c:h val="4.49826989619429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334656"/>
        <c:axId val="149336448"/>
      </c:lineChart>
      <c:catAx>
        <c:axId val="14933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36448"/>
        <c:crosses val="autoZero"/>
        <c:auto val="1"/>
        <c:lblAlgn val="ctr"/>
        <c:lblOffset val="100"/>
      </c:catAx>
      <c:valAx>
        <c:axId val="149336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99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438464"/>
        <c:axId val="149440000"/>
      </c:lineChart>
      <c:catAx>
        <c:axId val="1494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40000"/>
        <c:crosses val="autoZero"/>
        <c:auto val="1"/>
        <c:lblAlgn val="ctr"/>
        <c:lblOffset val="100"/>
      </c:catAx>
      <c:valAx>
        <c:axId val="149440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4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68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652992"/>
        <c:axId val="149654528"/>
      </c:lineChart>
      <c:catAx>
        <c:axId val="14965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54528"/>
        <c:crosses val="autoZero"/>
        <c:auto val="1"/>
        <c:lblAlgn val="ctr"/>
        <c:lblOffset val="100"/>
      </c:catAx>
      <c:valAx>
        <c:axId val="14965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5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756544"/>
        <c:axId val="149758336"/>
      </c:lineChart>
      <c:catAx>
        <c:axId val="14975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58336"/>
        <c:crosses val="autoZero"/>
        <c:auto val="1"/>
        <c:lblAlgn val="ctr"/>
        <c:lblOffset val="100"/>
      </c:catAx>
      <c:valAx>
        <c:axId val="14975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5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769600"/>
        <c:axId val="149791872"/>
      </c:lineChart>
      <c:catAx>
        <c:axId val="1497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91872"/>
        <c:crosses val="autoZero"/>
        <c:auto val="1"/>
        <c:lblAlgn val="ctr"/>
        <c:lblOffset val="100"/>
      </c:catAx>
      <c:valAx>
        <c:axId val="14979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020864"/>
        <c:axId val="150022400"/>
      </c:lineChart>
      <c:catAx>
        <c:axId val="15002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22400"/>
        <c:crosses val="autoZero"/>
        <c:auto val="1"/>
        <c:lblAlgn val="ctr"/>
        <c:lblOffset val="100"/>
      </c:catAx>
      <c:valAx>
        <c:axId val="150022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2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989"/>
          <c:w val="0.1272403315177157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054784"/>
        <c:axId val="150056320"/>
      </c:lineChart>
      <c:catAx>
        <c:axId val="15005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56320"/>
        <c:crosses val="autoZero"/>
        <c:auto val="1"/>
        <c:lblAlgn val="ctr"/>
        <c:lblOffset val="100"/>
      </c:catAx>
      <c:valAx>
        <c:axId val="15005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05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863424"/>
        <c:axId val="149873408"/>
      </c:lineChart>
      <c:catAx>
        <c:axId val="1498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73408"/>
        <c:crosses val="autoZero"/>
        <c:auto val="1"/>
        <c:lblAlgn val="ctr"/>
        <c:lblOffset val="100"/>
      </c:catAx>
      <c:valAx>
        <c:axId val="149873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989"/>
          <c:w val="0.135416885389340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106496"/>
        <c:axId val="150108032"/>
      </c:lineChart>
      <c:catAx>
        <c:axId val="15010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8032"/>
        <c:crosses val="autoZero"/>
        <c:auto val="1"/>
        <c:lblAlgn val="ctr"/>
        <c:lblOffset val="100"/>
      </c:catAx>
      <c:valAx>
        <c:axId val="150108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9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140800"/>
        <c:axId val="150142336"/>
      </c:lineChart>
      <c:catAx>
        <c:axId val="1501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42336"/>
        <c:crosses val="autoZero"/>
        <c:auto val="1"/>
        <c:lblAlgn val="ctr"/>
        <c:lblOffset val="100"/>
      </c:catAx>
      <c:valAx>
        <c:axId val="150142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4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645"/>
          <c:w val="0.12291688538932598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158336"/>
        <c:axId val="150172416"/>
      </c:lineChart>
      <c:catAx>
        <c:axId val="15015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72416"/>
        <c:crosses val="autoZero"/>
        <c:auto val="1"/>
        <c:lblAlgn val="ctr"/>
        <c:lblOffset val="100"/>
      </c:catAx>
      <c:valAx>
        <c:axId val="15017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5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989"/>
          <c:w val="0.135416885389340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212992"/>
        <c:axId val="150214528"/>
      </c:lineChart>
      <c:catAx>
        <c:axId val="15021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14528"/>
        <c:crosses val="autoZero"/>
        <c:auto val="1"/>
        <c:lblAlgn val="ctr"/>
        <c:lblOffset val="100"/>
      </c:catAx>
      <c:valAx>
        <c:axId val="1502145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52"/>
          <c:y val="0.54325368498487869"/>
          <c:w val="0.11458355205599259"/>
          <c:h val="4.4982698961942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242816"/>
        <c:axId val="150244352"/>
      </c:lineChart>
      <c:catAx>
        <c:axId val="15024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44352"/>
        <c:crosses val="autoZero"/>
        <c:auto val="1"/>
        <c:lblAlgn val="ctr"/>
        <c:lblOffset val="100"/>
      </c:catAx>
      <c:valAx>
        <c:axId val="150244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4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78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252544"/>
        <c:axId val="150483712"/>
      </c:lineChart>
      <c:catAx>
        <c:axId val="1502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83712"/>
        <c:crosses val="autoZero"/>
        <c:auto val="1"/>
        <c:lblAlgn val="ctr"/>
        <c:lblOffset val="100"/>
      </c:catAx>
      <c:valAx>
        <c:axId val="15048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5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303"/>
          <c:y val="0.62975887529633645"/>
          <c:w val="0.13541688538934127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512000"/>
        <c:axId val="150513536"/>
      </c:lineChart>
      <c:catAx>
        <c:axId val="15051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13536"/>
        <c:crosses val="autoZero"/>
        <c:auto val="1"/>
        <c:lblAlgn val="ctr"/>
        <c:lblOffset val="100"/>
      </c:catAx>
      <c:valAx>
        <c:axId val="150513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1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645"/>
          <c:w val="9.730870597697025E-2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44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558208"/>
        <c:axId val="150559744"/>
      </c:lineChart>
      <c:catAx>
        <c:axId val="15055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59744"/>
        <c:crosses val="autoZero"/>
        <c:auto val="1"/>
        <c:lblAlgn val="ctr"/>
        <c:lblOffset val="100"/>
      </c:catAx>
      <c:valAx>
        <c:axId val="150559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571648"/>
        <c:axId val="150581632"/>
      </c:lineChart>
      <c:catAx>
        <c:axId val="15057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81632"/>
        <c:crosses val="autoZero"/>
        <c:auto val="1"/>
        <c:lblAlgn val="ctr"/>
        <c:lblOffset val="100"/>
      </c:catAx>
      <c:valAx>
        <c:axId val="15058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57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402"/>
          <c:y val="0.62975887529633645"/>
          <c:w val="0.13250539334757044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425600"/>
        <c:axId val="150427136"/>
      </c:lineChart>
      <c:catAx>
        <c:axId val="15042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27136"/>
        <c:crosses val="autoZero"/>
        <c:auto val="1"/>
        <c:lblAlgn val="ctr"/>
        <c:lblOffset val="100"/>
      </c:catAx>
      <c:valAx>
        <c:axId val="15042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2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9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463616"/>
        <c:axId val="150465152"/>
      </c:lineChart>
      <c:catAx>
        <c:axId val="1504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65152"/>
        <c:crosses val="autoZero"/>
        <c:auto val="1"/>
        <c:lblAlgn val="ctr"/>
        <c:lblOffset val="100"/>
      </c:catAx>
      <c:valAx>
        <c:axId val="150465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6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994"/>
          <c:w val="0.1234311819809221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0641664"/>
        <c:axId val="150643456"/>
      </c:lineChart>
      <c:catAx>
        <c:axId val="1506416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43456"/>
        <c:crosses val="autoZero"/>
        <c:auto val="1"/>
        <c:lblAlgn val="ctr"/>
        <c:lblOffset val="100"/>
      </c:catAx>
      <c:valAx>
        <c:axId val="1506434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4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988"/>
          <c:y val="0.4548625692622062"/>
          <c:w val="0.156903985328206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663168"/>
        <c:axId val="150664704"/>
      </c:lineChart>
      <c:catAx>
        <c:axId val="1506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64704"/>
        <c:crosses val="autoZero"/>
        <c:auto val="1"/>
        <c:lblAlgn val="ctr"/>
        <c:lblOffset val="100"/>
      </c:catAx>
      <c:valAx>
        <c:axId val="150664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6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645"/>
          <c:w val="0.14853578449138782"/>
          <c:h val="4.49826989619431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730240"/>
        <c:axId val="150731776"/>
      </c:lineChart>
      <c:catAx>
        <c:axId val="15073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31776"/>
        <c:crosses val="autoZero"/>
        <c:auto val="1"/>
        <c:lblAlgn val="ctr"/>
        <c:lblOffset val="100"/>
      </c:catAx>
      <c:valAx>
        <c:axId val="15073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3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702"/>
          <c:y val="0.62975887529633645"/>
          <c:w val="0.12164948453608219"/>
          <c:h val="4.49826989619431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0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055744"/>
        <c:axId val="151057536"/>
      </c:lineChart>
      <c:catAx>
        <c:axId val="1510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57536"/>
        <c:crosses val="autoZero"/>
        <c:auto val="1"/>
        <c:lblAlgn val="ctr"/>
        <c:lblOffset val="100"/>
      </c:catAx>
      <c:valAx>
        <c:axId val="151057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6031</c:v>
                </c:pt>
                <c:pt idx="1">
                  <c:v>6400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531712"/>
        <c:axId val="152533248"/>
      </c:lineChart>
      <c:catAx>
        <c:axId val="1525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3248"/>
        <c:crosses val="autoZero"/>
        <c:auto val="1"/>
        <c:lblAlgn val="ctr"/>
        <c:lblOffset val="100"/>
      </c:catAx>
      <c:valAx>
        <c:axId val="15253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21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2992768"/>
        <c:axId val="152994560"/>
      </c:lineChart>
      <c:catAx>
        <c:axId val="152992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4560"/>
        <c:crosses val="autoZero"/>
        <c:auto val="1"/>
        <c:lblAlgn val="ctr"/>
        <c:lblOffset val="100"/>
      </c:catAx>
      <c:valAx>
        <c:axId val="152994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9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6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D10">
            <v>-4.8000000000000007</v>
          </cell>
          <cell r="E10">
            <v>1</v>
          </cell>
          <cell r="H10">
            <v>-3.8000000000000007</v>
          </cell>
          <cell r="I10">
            <v>1</v>
          </cell>
          <cell r="L10">
            <v>-4.8000000000000007</v>
          </cell>
          <cell r="M10">
            <v>1</v>
          </cell>
          <cell r="P10">
            <v>-1.8000000000000007</v>
          </cell>
          <cell r="T10">
            <v>0</v>
          </cell>
          <cell r="X10">
            <v>0</v>
          </cell>
        </row>
        <row r="11">
          <cell r="D11">
            <v>-3.8000000000000007</v>
          </cell>
          <cell r="E11">
            <v>2</v>
          </cell>
          <cell r="H11">
            <v>-4.3000000000000007</v>
          </cell>
          <cell r="I11">
            <v>2</v>
          </cell>
          <cell r="L11">
            <v>-3.8000000000000007</v>
          </cell>
          <cell r="M11">
            <v>2</v>
          </cell>
          <cell r="P11">
            <v>-1.3000000000000007</v>
          </cell>
          <cell r="T11">
            <v>0</v>
          </cell>
          <cell r="X11">
            <v>0</v>
          </cell>
        </row>
        <row r="12">
          <cell r="D12">
            <v>-4.3000000000000007</v>
          </cell>
          <cell r="E12">
            <v>3</v>
          </cell>
          <cell r="H12">
            <v>-5.3000000000000007</v>
          </cell>
          <cell r="I12">
            <v>3</v>
          </cell>
          <cell r="L12">
            <v>-2.8000000000000007</v>
          </cell>
          <cell r="M12">
            <v>3</v>
          </cell>
          <cell r="P12">
            <v>-1.3000000000000007</v>
          </cell>
          <cell r="T12">
            <v>0</v>
          </cell>
          <cell r="X12">
            <v>0</v>
          </cell>
        </row>
        <row r="13">
          <cell r="D13">
            <v>-5.3000000000000007</v>
          </cell>
          <cell r="E13">
            <v>4</v>
          </cell>
          <cell r="H13">
            <v>-3.3000000000000007</v>
          </cell>
          <cell r="I13">
            <v>4</v>
          </cell>
          <cell r="L13">
            <v>-2.8000000000000007</v>
          </cell>
          <cell r="M13">
            <v>4</v>
          </cell>
          <cell r="P13">
            <v>0.19999999999999929</v>
          </cell>
          <cell r="T13">
            <v>0</v>
          </cell>
          <cell r="X13">
            <v>0</v>
          </cell>
        </row>
        <row r="14">
          <cell r="D14">
            <v>-5.3000000000000007</v>
          </cell>
          <cell r="E14">
            <v>5</v>
          </cell>
          <cell r="H14">
            <v>-0.80000000000000071</v>
          </cell>
          <cell r="I14">
            <v>5</v>
          </cell>
          <cell r="L14">
            <v>-1.8000000000000007</v>
          </cell>
          <cell r="M14">
            <v>5</v>
          </cell>
          <cell r="P14">
            <v>7.1999999999999993</v>
          </cell>
          <cell r="T14">
            <v>0</v>
          </cell>
          <cell r="X14">
            <v>0</v>
          </cell>
        </row>
        <row r="15">
          <cell r="D15">
            <v>-4.3000000000000007</v>
          </cell>
          <cell r="E15">
            <v>6</v>
          </cell>
          <cell r="H15">
            <v>0.69999999999999929</v>
          </cell>
          <cell r="I15">
            <v>6</v>
          </cell>
          <cell r="L15">
            <v>-3.3000000000000007</v>
          </cell>
          <cell r="M15">
            <v>6</v>
          </cell>
          <cell r="P15">
            <v>-0.30000000000000071</v>
          </cell>
          <cell r="T15">
            <v>0</v>
          </cell>
          <cell r="X15">
            <v>0</v>
          </cell>
        </row>
        <row r="16">
          <cell r="D16">
            <v>-4.3000000000000007</v>
          </cell>
          <cell r="E16">
            <v>7</v>
          </cell>
          <cell r="H16">
            <v>-5.3000000000000007</v>
          </cell>
          <cell r="I16">
            <v>7</v>
          </cell>
          <cell r="L16">
            <v>-3.3000000000000007</v>
          </cell>
          <cell r="M16">
            <v>7</v>
          </cell>
          <cell r="P16">
            <v>-0.30000000000000071</v>
          </cell>
          <cell r="T16">
            <v>0</v>
          </cell>
          <cell r="X16">
            <v>0</v>
          </cell>
        </row>
        <row r="17">
          <cell r="D17">
            <v>-5.8000000000000007</v>
          </cell>
          <cell r="E17">
            <v>8</v>
          </cell>
          <cell r="H17">
            <v>-6.8000000000000007</v>
          </cell>
          <cell r="I17">
            <v>8</v>
          </cell>
          <cell r="L17">
            <v>-2.3000000000000007</v>
          </cell>
          <cell r="M17">
            <v>8</v>
          </cell>
          <cell r="P17">
            <v>-1.3000000000000007</v>
          </cell>
          <cell r="T17">
            <v>0</v>
          </cell>
          <cell r="X17">
            <v>0</v>
          </cell>
        </row>
        <row r="18">
          <cell r="D18">
            <v>-5.8000000000000007</v>
          </cell>
          <cell r="E18">
            <v>9</v>
          </cell>
          <cell r="H18">
            <v>-9.8000000000000007</v>
          </cell>
          <cell r="I18">
            <v>9</v>
          </cell>
          <cell r="L18">
            <v>-1.3000000000000007</v>
          </cell>
          <cell r="M18">
            <v>9</v>
          </cell>
          <cell r="P18">
            <v>-1.8000000000000007</v>
          </cell>
          <cell r="T18">
            <v>0</v>
          </cell>
          <cell r="X18">
            <v>0</v>
          </cell>
        </row>
        <row r="19">
          <cell r="D19">
            <v>-3.8000000000000007</v>
          </cell>
          <cell r="E19">
            <v>10</v>
          </cell>
          <cell r="H19">
            <v>-9.8000000000000007</v>
          </cell>
          <cell r="I19">
            <v>10</v>
          </cell>
          <cell r="L19">
            <v>-0.80000000000000071</v>
          </cell>
          <cell r="M19">
            <v>10</v>
          </cell>
          <cell r="P19">
            <v>-3.8000000000000007</v>
          </cell>
          <cell r="T19">
            <v>0</v>
          </cell>
          <cell r="X19">
            <v>0</v>
          </cell>
        </row>
        <row r="20">
          <cell r="D20">
            <v>-3.3000000000000007</v>
          </cell>
          <cell r="E20">
            <v>11</v>
          </cell>
          <cell r="H20">
            <v>-7.3000000000000007</v>
          </cell>
          <cell r="I20">
            <v>11</v>
          </cell>
          <cell r="L20">
            <v>-2.3000000000000007</v>
          </cell>
          <cell r="M20">
            <v>11</v>
          </cell>
          <cell r="P20">
            <v>-2.8000000000000007</v>
          </cell>
          <cell r="T20">
            <v>0</v>
          </cell>
          <cell r="X20">
            <v>0</v>
          </cell>
        </row>
        <row r="21">
          <cell r="D21">
            <v>-4.3000000000000007</v>
          </cell>
          <cell r="E21">
            <v>12</v>
          </cell>
          <cell r="H21">
            <v>-3.8000000000000007</v>
          </cell>
          <cell r="I21">
            <v>12</v>
          </cell>
          <cell r="L21">
            <v>3.1999999999999993</v>
          </cell>
          <cell r="M21">
            <v>12</v>
          </cell>
          <cell r="P21">
            <v>-1.3000000000000007</v>
          </cell>
          <cell r="T21">
            <v>0</v>
          </cell>
          <cell r="X21">
            <v>0</v>
          </cell>
        </row>
        <row r="22">
          <cell r="D22">
            <v>-3.3000000000000007</v>
          </cell>
          <cell r="E22">
            <v>13</v>
          </cell>
          <cell r="H22">
            <v>-2.8000000000000007</v>
          </cell>
          <cell r="I22">
            <v>13</v>
          </cell>
          <cell r="L22">
            <v>2.1999999999999993</v>
          </cell>
          <cell r="M22">
            <v>13</v>
          </cell>
          <cell r="P22">
            <v>-0.30000000000000071</v>
          </cell>
          <cell r="T22">
            <v>0</v>
          </cell>
          <cell r="X22">
            <v>0</v>
          </cell>
        </row>
        <row r="23">
          <cell r="D23">
            <v>-4.3000000000000007</v>
          </cell>
          <cell r="E23">
            <v>14</v>
          </cell>
          <cell r="H23">
            <v>-4.3000000000000007</v>
          </cell>
          <cell r="I23">
            <v>14</v>
          </cell>
          <cell r="L23">
            <v>-1.3000000000000007</v>
          </cell>
          <cell r="M23">
            <v>14</v>
          </cell>
          <cell r="P23">
            <v>0.69999999999999929</v>
          </cell>
          <cell r="T23">
            <v>0</v>
          </cell>
          <cell r="X23">
            <v>0</v>
          </cell>
        </row>
        <row r="24">
          <cell r="D24">
            <v>-3.3000000000000007</v>
          </cell>
          <cell r="E24">
            <v>15</v>
          </cell>
          <cell r="H24">
            <v>-3.8000000000000007</v>
          </cell>
          <cell r="I24">
            <v>15</v>
          </cell>
          <cell r="L24">
            <v>-1.3000000000000007</v>
          </cell>
          <cell r="M24">
            <v>15</v>
          </cell>
          <cell r="P24">
            <v>-0.30000000000000071</v>
          </cell>
          <cell r="T24">
            <v>0</v>
          </cell>
          <cell r="X24">
            <v>0</v>
          </cell>
        </row>
        <row r="25">
          <cell r="D25">
            <v>-2.3000000000000007</v>
          </cell>
          <cell r="E25">
            <v>16</v>
          </cell>
          <cell r="H25">
            <v>-4.3000000000000007</v>
          </cell>
          <cell r="I25">
            <v>16</v>
          </cell>
          <cell r="L25">
            <v>-3.8000000000000007</v>
          </cell>
          <cell r="M25">
            <v>16</v>
          </cell>
          <cell r="P25">
            <v>-0.80000000000000071</v>
          </cell>
          <cell r="T25">
            <v>0</v>
          </cell>
          <cell r="X25">
            <v>0</v>
          </cell>
        </row>
        <row r="26">
          <cell r="D26">
            <v>-1.8000000000000007</v>
          </cell>
          <cell r="E26">
            <v>17</v>
          </cell>
          <cell r="H26">
            <v>-4.3000000000000007</v>
          </cell>
          <cell r="I26">
            <v>17</v>
          </cell>
          <cell r="L26">
            <v>-2.8000000000000007</v>
          </cell>
          <cell r="M26">
            <v>17</v>
          </cell>
          <cell r="P26">
            <v>1.1999999999999993</v>
          </cell>
          <cell r="T26">
            <v>0</v>
          </cell>
          <cell r="X26">
            <v>0</v>
          </cell>
        </row>
        <row r="27">
          <cell r="D27">
            <v>-4.8000000000000007</v>
          </cell>
          <cell r="E27">
            <v>18</v>
          </cell>
          <cell r="H27">
            <v>-4.3000000000000007</v>
          </cell>
          <cell r="I27">
            <v>18</v>
          </cell>
          <cell r="L27">
            <v>-4.3000000000000007</v>
          </cell>
          <cell r="M27">
            <v>18</v>
          </cell>
          <cell r="P27">
            <v>2.1999999999999993</v>
          </cell>
          <cell r="T27">
            <v>0</v>
          </cell>
          <cell r="X27">
            <v>0</v>
          </cell>
        </row>
        <row r="28">
          <cell r="D28">
            <v>-4.3000000000000007</v>
          </cell>
          <cell r="E28">
            <v>19</v>
          </cell>
          <cell r="H28">
            <v>-2.8000000000000007</v>
          </cell>
          <cell r="I28">
            <v>19</v>
          </cell>
          <cell r="L28">
            <v>-2.8000000000000007</v>
          </cell>
          <cell r="M28">
            <v>19</v>
          </cell>
          <cell r="P28">
            <v>2.1999999999999993</v>
          </cell>
          <cell r="T28">
            <v>0</v>
          </cell>
          <cell r="X28">
            <v>0</v>
          </cell>
        </row>
        <row r="29">
          <cell r="D29">
            <v>-5.8000000000000007</v>
          </cell>
          <cell r="E29">
            <v>20</v>
          </cell>
          <cell r="H29">
            <v>-2.8000000000000007</v>
          </cell>
          <cell r="I29">
            <v>20</v>
          </cell>
          <cell r="L29">
            <v>-3.8000000000000007</v>
          </cell>
          <cell r="M29">
            <v>20</v>
          </cell>
          <cell r="P29">
            <v>2.1999999999999993</v>
          </cell>
          <cell r="T29">
            <v>0</v>
          </cell>
          <cell r="X29">
            <v>0</v>
          </cell>
        </row>
        <row r="30">
          <cell r="D30">
            <v>-7.3000000000000007</v>
          </cell>
          <cell r="E30">
            <v>21</v>
          </cell>
          <cell r="H30">
            <v>-4.3000000000000007</v>
          </cell>
          <cell r="I30">
            <v>21</v>
          </cell>
          <cell r="L30">
            <v>-2.8000000000000007</v>
          </cell>
          <cell r="M30">
            <v>21</v>
          </cell>
          <cell r="P30">
            <v>2.6999999999999993</v>
          </cell>
          <cell r="T30">
            <v>0</v>
          </cell>
          <cell r="X30">
            <v>0</v>
          </cell>
        </row>
        <row r="31">
          <cell r="D31">
            <v>-6.3000000000000007</v>
          </cell>
          <cell r="E31">
            <v>22</v>
          </cell>
          <cell r="H31">
            <v>-3.8000000000000007</v>
          </cell>
          <cell r="I31">
            <v>22</v>
          </cell>
          <cell r="L31">
            <v>-1.8000000000000007</v>
          </cell>
          <cell r="M31">
            <v>22</v>
          </cell>
          <cell r="P31">
            <v>3.1999999999999993</v>
          </cell>
          <cell r="T31">
            <v>0</v>
          </cell>
          <cell r="X31">
            <v>0</v>
          </cell>
        </row>
        <row r="32">
          <cell r="D32">
            <v>-8.3000000000000007</v>
          </cell>
          <cell r="E32">
            <v>23</v>
          </cell>
          <cell r="H32">
            <v>-3.3000000000000007</v>
          </cell>
          <cell r="I32">
            <v>23</v>
          </cell>
          <cell r="L32">
            <v>-0.80000000000000071</v>
          </cell>
          <cell r="M32">
            <v>23</v>
          </cell>
          <cell r="P32">
            <v>0.69999999999999929</v>
          </cell>
          <cell r="T32">
            <v>0</v>
          </cell>
          <cell r="X32">
            <v>0</v>
          </cell>
        </row>
        <row r="33">
          <cell r="D33">
            <v>-7.3000000000000007</v>
          </cell>
          <cell r="E33">
            <v>24</v>
          </cell>
          <cell r="H33">
            <v>-3.3000000000000007</v>
          </cell>
          <cell r="I33">
            <v>24</v>
          </cell>
          <cell r="L33">
            <v>0.19999999999999929</v>
          </cell>
          <cell r="M33">
            <v>24</v>
          </cell>
          <cell r="P33">
            <v>1.1999999999999993</v>
          </cell>
          <cell r="T33">
            <v>0</v>
          </cell>
          <cell r="X33">
            <v>0</v>
          </cell>
        </row>
        <row r="34">
          <cell r="D34">
            <v>-5.3000000000000007</v>
          </cell>
          <cell r="E34">
            <v>25</v>
          </cell>
          <cell r="H34">
            <v>-3.3000000000000007</v>
          </cell>
          <cell r="I34">
            <v>25</v>
          </cell>
          <cell r="L34">
            <v>-0.30000000000000071</v>
          </cell>
          <cell r="M34">
            <v>25</v>
          </cell>
          <cell r="P34">
            <v>-0.30000000000000071</v>
          </cell>
          <cell r="T34">
            <v>0</v>
          </cell>
          <cell r="X34">
            <v>0</v>
          </cell>
        </row>
        <row r="35">
          <cell r="D35">
            <v>-6.3000000000000007</v>
          </cell>
          <cell r="E35">
            <v>26</v>
          </cell>
          <cell r="H35">
            <v>-2.3000000000000007</v>
          </cell>
          <cell r="I35">
            <v>26</v>
          </cell>
          <cell r="L35">
            <v>-0.30000000000000071</v>
          </cell>
          <cell r="M35">
            <v>26</v>
          </cell>
          <cell r="P35">
            <v>0.69999999999999929</v>
          </cell>
          <cell r="T35">
            <v>0</v>
          </cell>
          <cell r="X35">
            <v>0</v>
          </cell>
        </row>
        <row r="36">
          <cell r="D36">
            <v>-4.3000000000000007</v>
          </cell>
          <cell r="E36">
            <v>27</v>
          </cell>
          <cell r="H36">
            <v>-2.3000000000000007</v>
          </cell>
          <cell r="I36">
            <v>27</v>
          </cell>
          <cell r="L36">
            <v>-2.8000000000000007</v>
          </cell>
          <cell r="M36">
            <v>27</v>
          </cell>
          <cell r="P36">
            <v>-0.30000000000000071</v>
          </cell>
          <cell r="T36">
            <v>0</v>
          </cell>
          <cell r="X36">
            <v>0</v>
          </cell>
        </row>
        <row r="37">
          <cell r="D37">
            <v>-5.3000000000000007</v>
          </cell>
          <cell r="E37">
            <v>28</v>
          </cell>
          <cell r="H37">
            <v>-1.8000000000000007</v>
          </cell>
          <cell r="I37">
            <v>28</v>
          </cell>
          <cell r="L37">
            <v>-3.3000000000000007</v>
          </cell>
          <cell r="M37">
            <v>28</v>
          </cell>
          <cell r="P37">
            <v>0.19999999999999929</v>
          </cell>
          <cell r="T37">
            <v>0</v>
          </cell>
          <cell r="X37">
            <v>0</v>
          </cell>
        </row>
        <row r="38">
          <cell r="D38">
            <v>-5.3000000000000007</v>
          </cell>
          <cell r="E38">
            <v>29</v>
          </cell>
          <cell r="H38">
            <v>-2.8000000000000007</v>
          </cell>
          <cell r="I38">
            <v>29</v>
          </cell>
          <cell r="L38">
            <v>-0.30000000000000071</v>
          </cell>
          <cell r="M38">
            <v>29</v>
          </cell>
          <cell r="P38">
            <v>0.69999999999999929</v>
          </cell>
          <cell r="T38">
            <v>0</v>
          </cell>
          <cell r="X38">
            <v>0</v>
          </cell>
        </row>
        <row r="39">
          <cell r="D39">
            <v>-4.8000000000000007</v>
          </cell>
          <cell r="H39">
            <v>-18.3</v>
          </cell>
          <cell r="I39">
            <v>30</v>
          </cell>
          <cell r="L39">
            <v>0.19999999999999929</v>
          </cell>
          <cell r="M39">
            <v>30</v>
          </cell>
          <cell r="P39">
            <v>-18.3</v>
          </cell>
          <cell r="T39">
            <v>0</v>
          </cell>
          <cell r="X39">
            <v>0</v>
          </cell>
        </row>
        <row r="40">
          <cell r="D40">
            <v>-3.3000000000000007</v>
          </cell>
          <cell r="H40">
            <v>-18.3</v>
          </cell>
          <cell r="I40">
            <v>31</v>
          </cell>
          <cell r="L40">
            <v>5.6999999999999993</v>
          </cell>
          <cell r="P40">
            <v>-18.3</v>
          </cell>
          <cell r="T40">
            <v>0</v>
          </cell>
          <cell r="X40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4.4025341082954778E-2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0</v>
      </c>
      <c r="F3" s="340">
        <f>SUM('EDl log'!T5)</f>
        <v>0</v>
      </c>
      <c r="G3" s="207">
        <f>-tanks!AW7</f>
        <v>0</v>
      </c>
      <c r="H3" s="340">
        <f>SUM(tanks!AV7)</f>
        <v>0.1</v>
      </c>
      <c r="I3" s="10">
        <f>('B5'!AU6)*0.51</f>
        <v>0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0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0</v>
      </c>
      <c r="F4" s="340">
        <f>SUM('EDl log'!T6)</f>
        <v>0</v>
      </c>
      <c r="G4" s="207">
        <f>-tanks!AW8</f>
        <v>0</v>
      </c>
      <c r="H4" s="340">
        <f>SUM(tanks!AV8)</f>
        <v>0.1</v>
      </c>
      <c r="I4" s="10">
        <f>('B5'!AU7)*0.51</f>
        <v>0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0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0</v>
      </c>
      <c r="F5" s="340">
        <f>SUM('EDl log'!T7)</f>
        <v>0</v>
      </c>
      <c r="G5" s="207">
        <f>-tanks!AW9</f>
        <v>0</v>
      </c>
      <c r="H5" s="340">
        <f>SUM(tanks!AV9)</f>
        <v>0.1</v>
      </c>
      <c r="I5" s="10">
        <f>('B5'!AU8)*0.51</f>
        <v>0</v>
      </c>
      <c r="J5" s="319">
        <f>'B5'!AX8/0.51</f>
        <v>1.3725490196078429</v>
      </c>
      <c r="K5" s="207">
        <f>WATER!I9</f>
        <v>0</v>
      </c>
      <c r="L5" s="341">
        <f>SUM(WATER!J9)</f>
        <v>0</v>
      </c>
      <c r="M5" s="341">
        <f>WATER!Q9</f>
        <v>0</v>
      </c>
      <c r="N5" s="517">
        <v>0.6</v>
      </c>
      <c r="O5" s="10">
        <f>ELEC!B6</f>
        <v>0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0</v>
      </c>
      <c r="F6" s="340">
        <f>SUM('EDl log'!T8)</f>
        <v>0</v>
      </c>
      <c r="G6" s="207">
        <f>-tanks!AW10</f>
        <v>0</v>
      </c>
      <c r="H6" s="340">
        <f>SUM(tanks!AV10)</f>
        <v>0.1</v>
      </c>
      <c r="I6" s="10">
        <f>('B5'!AU9)*0.51</f>
        <v>0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0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0</v>
      </c>
      <c r="F7" s="340">
        <f>SUM('EDl log'!T9)</f>
        <v>0</v>
      </c>
      <c r="G7" s="207">
        <f>-tanks!AW11</f>
        <v>0</v>
      </c>
      <c r="H7" s="340">
        <f>SUM(tanks!AV11)</f>
        <v>0.1</v>
      </c>
      <c r="I7" s="10">
        <f>('B5'!AU10)*0.51</f>
        <v>0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0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0</v>
      </c>
      <c r="F8" s="340">
        <f>SUM('EDl log'!T10)</f>
        <v>0</v>
      </c>
      <c r="G8" s="207">
        <f>-tanks!AW12</f>
        <v>0</v>
      </c>
      <c r="H8" s="340">
        <f>SUM(tanks!AV12)</f>
        <v>0.1</v>
      </c>
      <c r="I8" s="10">
        <f>('B5'!AU11)*0.51</f>
        <v>0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0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0</v>
      </c>
      <c r="F9" s="340">
        <f>SUM('EDl log'!T11)</f>
        <v>0</v>
      </c>
      <c r="G9" s="207">
        <f>-tanks!AW13</f>
        <v>0</v>
      </c>
      <c r="H9" s="340">
        <f>SUM(tanks!AV13)</f>
        <v>0.1</v>
      </c>
      <c r="I9" s="10">
        <f>('B5'!AU12)*0.51</f>
        <v>0</v>
      </c>
      <c r="J9" s="319">
        <f>'B5'!AX12/0.51</f>
        <v>1.3725490196078429</v>
      </c>
      <c r="K9" s="207">
        <f>WATER!I13</f>
        <v>0</v>
      </c>
      <c r="L9" s="341">
        <f>SUM(WATER!J13)</f>
        <v>0</v>
      </c>
      <c r="M9" s="341">
        <f>WATER!Q13</f>
        <v>0</v>
      </c>
      <c r="N9" s="517">
        <v>0.6</v>
      </c>
      <c r="O9" s="10">
        <f>ELEC!B10</f>
        <v>0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0</v>
      </c>
      <c r="F10" s="340">
        <f>SUM('EDl log'!T12)</f>
        <v>0</v>
      </c>
      <c r="G10" s="207">
        <f>-tanks!AW14</f>
        <v>0</v>
      </c>
      <c r="H10" s="340">
        <f>SUM(tanks!AV14)</f>
        <v>0.1</v>
      </c>
      <c r="I10" s="10">
        <f>('B5'!AU13)*0.51</f>
        <v>0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0</v>
      </c>
      <c r="F11" s="340">
        <f>SUM('EDl log'!T13)</f>
        <v>0</v>
      </c>
      <c r="G11" s="207">
        <f>-tanks!AW15</f>
        <v>0</v>
      </c>
      <c r="H11" s="340">
        <f>SUM(tanks!AV15)</f>
        <v>0.1</v>
      </c>
      <c r="I11" s="10">
        <f>('B5'!AU14)*0.51</f>
        <v>0</v>
      </c>
      <c r="J11" s="319">
        <f>'B5'!AX14/0.51</f>
        <v>1.3725490196078429</v>
      </c>
      <c r="K11" s="207">
        <f>WATER!I15</f>
        <v>0</v>
      </c>
      <c r="L11" s="341">
        <f>SUM(WATER!J15)</f>
        <v>0</v>
      </c>
      <c r="M11" s="341">
        <f>WATER!Q15</f>
        <v>0</v>
      </c>
      <c r="N11" s="517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0</v>
      </c>
      <c r="F12" s="340">
        <f>SUM('EDl log'!T14)</f>
        <v>0</v>
      </c>
      <c r="G12" s="207">
        <f>-tanks!AW16</f>
        <v>0</v>
      </c>
      <c r="H12" s="340">
        <f>SUM(tanks!AV16)</f>
        <v>0.1</v>
      </c>
      <c r="I12" s="10">
        <f>('B5'!AU15)*0.51</f>
        <v>0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0</v>
      </c>
      <c r="F13" s="340">
        <f>SUM('EDl log'!T15)</f>
        <v>0</v>
      </c>
      <c r="G13" s="207">
        <f>-tanks!AW17</f>
        <v>0</v>
      </c>
      <c r="H13" s="340">
        <f>SUM(tanks!AV17)</f>
        <v>0.1</v>
      </c>
      <c r="I13" s="10">
        <f>('B5'!AU16)*0.51</f>
        <v>0</v>
      </c>
      <c r="J13" s="319">
        <f>'B5'!AX16/0.51</f>
        <v>1.3725490196078429</v>
      </c>
      <c r="K13" s="207">
        <f>WATER!I17</f>
        <v>0</v>
      </c>
      <c r="L13" s="341">
        <f>SUM(WATER!J17)</f>
        <v>0</v>
      </c>
      <c r="M13" s="341">
        <f>WATER!Q17</f>
        <v>0</v>
      </c>
      <c r="N13" s="517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0</v>
      </c>
      <c r="F14" s="340">
        <f>SUM('EDl log'!T16)</f>
        <v>0</v>
      </c>
      <c r="G14" s="207">
        <f>-tanks!AW18</f>
        <v>0</v>
      </c>
      <c r="H14" s="340">
        <f>SUM(tanks!AV18)</f>
        <v>0.1</v>
      </c>
      <c r="I14" s="10">
        <f>('B5'!AU17)*0.51</f>
        <v>0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0</v>
      </c>
      <c r="F15" s="340">
        <f>SUM('EDl log'!T17)</f>
        <v>0</v>
      </c>
      <c r="G15" s="207">
        <f>-tanks!AW19</f>
        <v>0</v>
      </c>
      <c r="H15" s="340">
        <f>SUM(tanks!AV19)</f>
        <v>0.1</v>
      </c>
      <c r="I15" s="10">
        <f>('B5'!AU18)*0.51</f>
        <v>0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0</v>
      </c>
      <c r="F16" s="340">
        <f>SUM('EDl log'!T18)</f>
        <v>0</v>
      </c>
      <c r="G16" s="207">
        <f>-tanks!AW20</f>
        <v>0</v>
      </c>
      <c r="H16" s="340">
        <f>SUM(tanks!AV20)</f>
        <v>0.1</v>
      </c>
      <c r="I16" s="10">
        <f>('B5'!AU19)*0.51</f>
        <v>0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0</v>
      </c>
      <c r="F17" s="340">
        <f>SUM('EDl log'!T19)</f>
        <v>0</v>
      </c>
      <c r="G17" s="207">
        <f>-tanks!AW21</f>
        <v>0</v>
      </c>
      <c r="H17" s="340">
        <f>SUM(tanks!AV21)</f>
        <v>0.1</v>
      </c>
      <c r="I17" s="10">
        <f>('B5'!AU20)*0.51</f>
        <v>0</v>
      </c>
      <c r="J17" s="319">
        <f>'B5'!AX20/0.51</f>
        <v>1.3725490196078429</v>
      </c>
      <c r="K17" s="207">
        <f>WATER!I21</f>
        <v>0</v>
      </c>
      <c r="L17" s="341">
        <f>SUM(WATER!J21)</f>
        <v>0</v>
      </c>
      <c r="M17" s="341">
        <f>WATER!Q21</f>
        <v>0</v>
      </c>
      <c r="N17" s="517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0</v>
      </c>
      <c r="F18" s="340">
        <f>SUM('EDl log'!T20)</f>
        <v>0</v>
      </c>
      <c r="G18" s="207">
        <f>-tanks!AW22</f>
        <v>0</v>
      </c>
      <c r="H18" s="340">
        <f>SUM(tanks!AV22)</f>
        <v>0.1</v>
      </c>
      <c r="I18" s="10">
        <f>('B5'!AU21)*0.51</f>
        <v>0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0</v>
      </c>
      <c r="F19" s="340">
        <f>SUM('EDl log'!T21)</f>
        <v>0</v>
      </c>
      <c r="G19" s="207">
        <f>-tanks!AW23</f>
        <v>0</v>
      </c>
      <c r="H19" s="340">
        <f>SUM(tanks!AV23)</f>
        <v>0.1</v>
      </c>
      <c r="I19" s="10">
        <f>('B5'!AU22)*0.51</f>
        <v>0</v>
      </c>
      <c r="J19" s="319">
        <f>'B5'!AX22/0.51</f>
        <v>1.3725490196078429</v>
      </c>
      <c r="K19" s="207">
        <f>WATER!I23</f>
        <v>0</v>
      </c>
      <c r="L19" s="341">
        <f>SUM(WATER!J23)</f>
        <v>0</v>
      </c>
      <c r="M19" s="341">
        <f>WATER!Q23</f>
        <v>0</v>
      </c>
      <c r="N19" s="517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0</v>
      </c>
      <c r="F20" s="340">
        <f>SUM('EDl log'!T22)</f>
        <v>0</v>
      </c>
      <c r="G20" s="207">
        <f>-tanks!AW24</f>
        <v>0</v>
      </c>
      <c r="H20" s="340">
        <f>SUM(tanks!AV24)</f>
        <v>0.1</v>
      </c>
      <c r="I20" s="10">
        <f>('B5'!AU23)*0.51</f>
        <v>0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log'!T23)</f>
        <v>0</v>
      </c>
      <c r="G21" s="207">
        <f>-tanks!AW25</f>
        <v>0</v>
      </c>
      <c r="H21" s="340">
        <f>SUM(tanks!AV25)</f>
        <v>0.1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log'!T24)</f>
        <v>0</v>
      </c>
      <c r="G22" s="207">
        <f>-tanks!AW26</f>
        <v>0</v>
      </c>
      <c r="H22" s="340">
        <f>SUM(tanks!AV26)</f>
        <v>0.1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log'!T25)</f>
        <v>0</v>
      </c>
      <c r="G23" s="207">
        <f>-tanks!AW27</f>
        <v>0</v>
      </c>
      <c r="H23" s="340">
        <f>SUM(tanks!AV27)</f>
        <v>0.1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log'!T26)</f>
        <v>0</v>
      </c>
      <c r="G24" s="207">
        <f>-tanks!AW28</f>
        <v>0</v>
      </c>
      <c r="H24" s="340">
        <f>SUM(tanks!AV28)</f>
        <v>0.1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log'!T27)</f>
        <v>0</v>
      </c>
      <c r="G25" s="207">
        <f>-tanks!AW29</f>
        <v>0</v>
      </c>
      <c r="H25" s="340">
        <f>SUM(tanks!AV29)</f>
        <v>0.1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log'!T28)</f>
        <v>0</v>
      </c>
      <c r="G26" s="207">
        <f>-tanks!AW30</f>
        <v>0</v>
      </c>
      <c r="H26" s="340">
        <f>SUM(tanks!AV30)</f>
        <v>0.1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log'!T29)</f>
        <v>0</v>
      </c>
      <c r="G27" s="207">
        <f>-tanks!AW31</f>
        <v>0</v>
      </c>
      <c r="H27" s="340">
        <f>SUM(tanks!AV31)</f>
        <v>0.1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log'!T30)</f>
        <v>0</v>
      </c>
      <c r="G28" s="207">
        <f>-tanks!AW32</f>
        <v>0</v>
      </c>
      <c r="H28" s="340">
        <f>SUM(tanks!AV32)</f>
        <v>0.1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log'!T31)</f>
        <v>0</v>
      </c>
      <c r="G29" s="207">
        <f>-tanks!AW33</f>
        <v>0</v>
      </c>
      <c r="H29" s="340">
        <f>SUM(tanks!AV33)</f>
        <v>0.1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log'!T32)</f>
        <v>0</v>
      </c>
      <c r="G30" s="207">
        <f>-tanks!AW34</f>
        <v>0</v>
      </c>
      <c r="H30" s="340">
        <f>SUM(tanks!AV34)</f>
        <v>0.1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log'!T33)</f>
        <v>0</v>
      </c>
      <c r="G31" s="207">
        <f>-tanks!AW35</f>
        <v>0</v>
      </c>
      <c r="H31" s="340">
        <f>SUM(tanks!AV35)</f>
        <v>0.1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T11" sqref="T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0</v>
      </c>
      <c r="F3" s="207">
        <f>ELEC!K4</f>
        <v>0</v>
      </c>
      <c r="G3" s="207">
        <f>ELEC!I4</f>
        <v>0</v>
      </c>
      <c r="H3" s="207">
        <f>ELEC!E4</f>
        <v>0</v>
      </c>
      <c r="I3" s="207">
        <f>ELEC!G4</f>
        <v>0</v>
      </c>
      <c r="J3" s="207">
        <f>WATER!Y7</f>
        <v>0</v>
      </c>
      <c r="K3" s="207">
        <f>WATER!AJ7</f>
        <v>0</v>
      </c>
      <c r="L3" s="10">
        <f>ELEC!B4</f>
        <v>0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0</v>
      </c>
      <c r="F4" s="207">
        <f>ELEC!K5</f>
        <v>0</v>
      </c>
      <c r="G4" s="207">
        <f>ELEC!I5</f>
        <v>0</v>
      </c>
      <c r="H4" s="207">
        <f>ELEC!E5</f>
        <v>0</v>
      </c>
      <c r="I4" s="207">
        <f>ELEC!G5</f>
        <v>0</v>
      </c>
      <c r="J4" s="207">
        <f>WATER!Y8</f>
        <v>0</v>
      </c>
      <c r="K4" s="207">
        <f>WATER!AJ8</f>
        <v>0</v>
      </c>
      <c r="L4" s="10">
        <f>ELEC!B5</f>
        <v>0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0</v>
      </c>
      <c r="F5" s="207">
        <f>ELEC!K6</f>
        <v>0</v>
      </c>
      <c r="G5" s="207">
        <f>ELEC!I6</f>
        <v>0</v>
      </c>
      <c r="H5" s="207">
        <f>ELEC!E6</f>
        <v>0</v>
      </c>
      <c r="I5" s="207">
        <f>ELEC!G6</f>
        <v>0</v>
      </c>
      <c r="J5" s="207">
        <f>WATER!Y9</f>
        <v>0</v>
      </c>
      <c r="K5" s="207">
        <f>WATER!AJ9</f>
        <v>0</v>
      </c>
      <c r="L5" s="10">
        <f>ELEC!B6</f>
        <v>0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0</v>
      </c>
      <c r="F6" s="207">
        <f>ELEC!K7</f>
        <v>0</v>
      </c>
      <c r="G6" s="207">
        <f>ELEC!I7</f>
        <v>0</v>
      </c>
      <c r="H6" s="207">
        <f>ELEC!E7</f>
        <v>0</v>
      </c>
      <c r="I6" s="207">
        <f>ELEC!G7</f>
        <v>0</v>
      </c>
      <c r="J6" s="207">
        <f>WATER!Y10</f>
        <v>0</v>
      </c>
      <c r="K6" s="207">
        <f>WATER!AJ10</f>
        <v>0</v>
      </c>
      <c r="L6" s="10">
        <f>ELEC!B7</f>
        <v>0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0</v>
      </c>
      <c r="F7" s="207">
        <f>ELEC!K8</f>
        <v>0</v>
      </c>
      <c r="G7" s="207">
        <f>ELEC!I8</f>
        <v>0</v>
      </c>
      <c r="H7" s="207">
        <f>ELEC!E8</f>
        <v>0</v>
      </c>
      <c r="I7" s="207">
        <f>ELEC!G8</f>
        <v>0</v>
      </c>
      <c r="J7" s="207">
        <f>WATER!Y11</f>
        <v>0</v>
      </c>
      <c r="K7" s="207">
        <f>WATER!AJ11</f>
        <v>0</v>
      </c>
      <c r="L7" s="10">
        <f>ELEC!B8</f>
        <v>0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0</v>
      </c>
      <c r="F8" s="207">
        <f>ELEC!K9</f>
        <v>0</v>
      </c>
      <c r="G8" s="207">
        <f>ELEC!I9</f>
        <v>0</v>
      </c>
      <c r="H8" s="207">
        <f>ELEC!E9</f>
        <v>0</v>
      </c>
      <c r="I8" s="207">
        <f>ELEC!G9</f>
        <v>0</v>
      </c>
      <c r="J8" s="207">
        <f>WATER!Y12</f>
        <v>0</v>
      </c>
      <c r="K8" s="207">
        <f>WATER!AJ12</f>
        <v>0</v>
      </c>
      <c r="L8" s="10">
        <f>ELEC!B9</f>
        <v>0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0</v>
      </c>
      <c r="F9" s="207">
        <f>ELEC!K10</f>
        <v>0</v>
      </c>
      <c r="G9" s="207">
        <f>ELEC!I10</f>
        <v>0</v>
      </c>
      <c r="H9" s="207">
        <f>ELEC!E10</f>
        <v>0</v>
      </c>
      <c r="I9" s="207">
        <f>ELEC!G10</f>
        <v>0</v>
      </c>
      <c r="J9" s="207">
        <f>WATER!Y13</f>
        <v>0</v>
      </c>
      <c r="K9" s="207">
        <f>WATER!AJ13</f>
        <v>0</v>
      </c>
      <c r="L9" s="10">
        <f>ELEC!B10</f>
        <v>0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0</v>
      </c>
      <c r="F10" s="207">
        <f>ELEC!K11</f>
        <v>0</v>
      </c>
      <c r="G10" s="207">
        <f>ELEC!I11</f>
        <v>0</v>
      </c>
      <c r="H10" s="207">
        <f>ELEC!E11</f>
        <v>0</v>
      </c>
      <c r="I10" s="207">
        <f>ELEC!G11</f>
        <v>0</v>
      </c>
      <c r="J10" s="207">
        <f>WATER!Y14</f>
        <v>0</v>
      </c>
      <c r="K10" s="207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0</v>
      </c>
      <c r="F11" s="207">
        <f>ELEC!K12</f>
        <v>0</v>
      </c>
      <c r="G11" s="207">
        <f>ELEC!I12</f>
        <v>0</v>
      </c>
      <c r="H11" s="207">
        <f>ELEC!E12</f>
        <v>0</v>
      </c>
      <c r="I11" s="207">
        <f>ELEC!G12</f>
        <v>0</v>
      </c>
      <c r="J11" s="207">
        <f>WATER!Y15</f>
        <v>0</v>
      </c>
      <c r="K11" s="207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0</v>
      </c>
      <c r="F12" s="207">
        <f>ELEC!K13</f>
        <v>0</v>
      </c>
      <c r="G12" s="207">
        <f>ELEC!I13</f>
        <v>0</v>
      </c>
      <c r="H12" s="207">
        <f>ELEC!E13</f>
        <v>0</v>
      </c>
      <c r="I12" s="207">
        <f>ELEC!G13</f>
        <v>0</v>
      </c>
      <c r="J12" s="207">
        <f>WATER!Y16</f>
        <v>0</v>
      </c>
      <c r="K12" s="207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topLeftCell="W1" zoomScale="85" zoomScaleNormal="85" zoomScaleSheetLayoutView="100" workbookViewId="0">
      <pane ySplit="1" topLeftCell="A2" activePane="bottomLeft" state="frozen"/>
      <selection activeCell="C1" sqref="C1"/>
      <selection pane="bottomLeft" activeCell="AC3" sqref="AC3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8">
        <f>[1]ELEC!A32</f>
        <v>1.2999999999999999E-2</v>
      </c>
      <c r="B2" s="554">
        <v>2.9899999999999999E-2</v>
      </c>
      <c r="C2" s="474">
        <v>43982</v>
      </c>
      <c r="D2" s="559">
        <f>[2]ELEC!D33</f>
        <v>31738156</v>
      </c>
      <c r="E2" s="559">
        <f>[2]ELEC!E33</f>
        <v>3210</v>
      </c>
      <c r="F2" s="559">
        <f>[2]ELEC!F33</f>
        <v>3692449</v>
      </c>
      <c r="G2" s="559">
        <f>[2]ELEC!G33</f>
        <v>1387</v>
      </c>
      <c r="H2" s="559">
        <f>[2]ELEC!H33</f>
        <v>17470270</v>
      </c>
      <c r="I2" s="559">
        <f>[2]ELEC!I33</f>
        <v>1740</v>
      </c>
      <c r="J2" s="559">
        <f>[2]ELEC!J33</f>
        <v>28449698</v>
      </c>
      <c r="K2" s="559">
        <f>[2]ELEC!K33</f>
        <v>2176</v>
      </c>
      <c r="L2" s="559">
        <f>[2]ELEC!L33</f>
        <v>23067274</v>
      </c>
      <c r="M2" s="559">
        <f>[2]ELEC!M33</f>
        <v>5092</v>
      </c>
      <c r="N2" s="559">
        <f>[2]ELEC!N33</f>
        <v>13605</v>
      </c>
      <c r="O2" s="559">
        <f>[2]ELEC!O33</f>
        <v>3399.5502248875564</v>
      </c>
      <c r="P2" s="559">
        <f>[2]ELEC!P33</f>
        <v>15547</v>
      </c>
      <c r="Q2" s="559">
        <f>[2]ELEC!Q33</f>
        <v>1280.0000000006548</v>
      </c>
      <c r="R2" s="559">
        <f>[2]ELEC!R33</f>
        <v>12324.999999999345</v>
      </c>
      <c r="S2" s="559">
        <f>[2]ELEC!S33</f>
        <v>8589</v>
      </c>
      <c r="T2" s="559">
        <f>[2]ELEC!T33</f>
        <v>0</v>
      </c>
      <c r="U2" s="559">
        <f>[2]ELEC!U33</f>
        <v>73192</v>
      </c>
      <c r="V2" s="559">
        <f>[2]ELEC!V33</f>
        <v>1895</v>
      </c>
      <c r="W2" s="559">
        <f>[2]ELEC!W33</f>
        <v>31853</v>
      </c>
      <c r="X2" s="559">
        <f>[2]ELEC!X33</f>
        <v>0</v>
      </c>
      <c r="Y2" s="559">
        <f>[2]ELEC!Y33</f>
        <v>625865</v>
      </c>
      <c r="Z2" s="559">
        <f>[2]ELEC!Z33</f>
        <v>0</v>
      </c>
      <c r="AA2" s="559">
        <f>[2]ELEC!AA33</f>
        <v>35119</v>
      </c>
      <c r="AB2" s="559">
        <f>[2]ELEC!AB33</f>
        <v>0</v>
      </c>
      <c r="AC2" s="559">
        <f>[2]ELEC!AC33</f>
        <v>790452</v>
      </c>
      <c r="AD2" s="559">
        <f>[2]ELEC!AD33</f>
        <v>0</v>
      </c>
      <c r="AE2" s="559">
        <f>[2]ELEC!AE33</f>
        <v>0</v>
      </c>
      <c r="AF2" s="559">
        <f>[2]ELEC!AF33</f>
        <v>1895</v>
      </c>
      <c r="AG2" s="559">
        <f>[2]ELEC!AG33</f>
        <v>0</v>
      </c>
      <c r="AH2" s="559">
        <f>[2]ELEC!AH33</f>
        <v>0</v>
      </c>
      <c r="AI2" s="559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6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6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6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6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6">
        <v>625865</v>
      </c>
      <c r="Z3" s="476">
        <f>Y3-Y2</f>
        <v>0</v>
      </c>
      <c r="AA3" s="461">
        <v>35119</v>
      </c>
      <c r="AB3" s="476">
        <f>AA3-AA2</f>
        <v>0</v>
      </c>
      <c r="AC3" s="586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0</v>
      </c>
      <c r="B4" s="467">
        <f t="shared" ref="B4:B31" si="6">SUM(230*A4)</f>
        <v>0</v>
      </c>
      <c r="C4" s="474">
        <v>43984</v>
      </c>
      <c r="D4" s="461">
        <f t="shared" ref="D4:L32" si="7">D3</f>
        <v>31741616</v>
      </c>
      <c r="E4" s="321">
        <f>D4-D3</f>
        <v>0</v>
      </c>
      <c r="F4" s="461">
        <f t="shared" si="7"/>
        <v>3693982</v>
      </c>
      <c r="G4" s="322">
        <f t="shared" si="0"/>
        <v>0</v>
      </c>
      <c r="H4" s="461">
        <f t="shared" si="7"/>
        <v>17472100</v>
      </c>
      <c r="I4" s="322">
        <f>H4-H3</f>
        <v>0</v>
      </c>
      <c r="J4" s="461">
        <f t="shared" si="7"/>
        <v>28451890</v>
      </c>
      <c r="K4" s="322">
        <f>J4-J3</f>
        <v>0</v>
      </c>
      <c r="L4" s="461">
        <f t="shared" si="7"/>
        <v>23072552</v>
      </c>
      <c r="M4" s="322">
        <f>L4-L3</f>
        <v>0</v>
      </c>
      <c r="N4" s="320">
        <f>M4+K4+I4+G4+E4</f>
        <v>0</v>
      </c>
      <c r="O4" s="483">
        <f t="shared" si="1"/>
        <v>0</v>
      </c>
      <c r="P4" s="461">
        <f t="shared" ref="P4:P32" si="8">P3</f>
        <v>15549</v>
      </c>
      <c r="Q4" s="484">
        <f t="shared" si="2"/>
        <v>0</v>
      </c>
      <c r="R4" s="465">
        <f>N4-Q4</f>
        <v>0</v>
      </c>
      <c r="S4" s="461">
        <f t="shared" ref="S4:AC32" si="9">S3</f>
        <v>8609</v>
      </c>
      <c r="T4" s="485">
        <f t="shared" si="3"/>
        <v>0</v>
      </c>
      <c r="U4" s="461">
        <f t="shared" si="9"/>
        <v>75398</v>
      </c>
      <c r="V4" s="465">
        <f>U4-U3</f>
        <v>0</v>
      </c>
      <c r="W4" s="461">
        <f t="shared" si="9"/>
        <v>31853</v>
      </c>
      <c r="X4" s="465">
        <f t="shared" si="4"/>
        <v>0</v>
      </c>
      <c r="Y4" s="461">
        <f t="shared" si="9"/>
        <v>625865</v>
      </c>
      <c r="Z4" s="465">
        <f>Y4-Y3</f>
        <v>0</v>
      </c>
      <c r="AA4" s="461">
        <f t="shared" si="9"/>
        <v>35119</v>
      </c>
      <c r="AB4" s="486">
        <f>AA4-AA3</f>
        <v>0</v>
      </c>
      <c r="AC4" s="461">
        <f t="shared" si="9"/>
        <v>790452</v>
      </c>
      <c r="AD4" s="487">
        <f>AC4-AC3</f>
        <v>0</v>
      </c>
      <c r="AE4" s="488">
        <f t="shared" ref="AE4:AE32" si="10">AB4+X4+T4</f>
        <v>0</v>
      </c>
      <c r="AF4" s="489">
        <f t="shared" ref="AF4:AF31" si="11">V4+Z4+AD4</f>
        <v>0</v>
      </c>
      <c r="AG4" s="481">
        <f t="shared" si="5"/>
        <v>0</v>
      </c>
    </row>
    <row r="5" spans="1:115">
      <c r="A5" s="473">
        <f>'General information '!F8</f>
        <v>0</v>
      </c>
      <c r="B5" s="467">
        <f>SUM(230*A5)</f>
        <v>0</v>
      </c>
      <c r="C5" s="474">
        <v>43985</v>
      </c>
      <c r="D5" s="461">
        <f t="shared" si="7"/>
        <v>31741616</v>
      </c>
      <c r="E5" s="321">
        <f t="shared" ref="E5:E32" si="12">D5-D4</f>
        <v>0</v>
      </c>
      <c r="F5" s="461">
        <f t="shared" si="7"/>
        <v>3693982</v>
      </c>
      <c r="G5" s="322">
        <f t="shared" si="0"/>
        <v>0</v>
      </c>
      <c r="H5" s="461">
        <f t="shared" si="7"/>
        <v>17472100</v>
      </c>
      <c r="I5" s="322">
        <f t="shared" ref="I5:I31" si="13">H5-H4</f>
        <v>0</v>
      </c>
      <c r="J5" s="461">
        <f t="shared" si="7"/>
        <v>28451890</v>
      </c>
      <c r="K5" s="322">
        <f t="shared" ref="K5:K31" si="14">J5-J4</f>
        <v>0</v>
      </c>
      <c r="L5" s="461">
        <f t="shared" si="7"/>
        <v>23072552</v>
      </c>
      <c r="M5" s="322">
        <f t="shared" ref="M5:M31" si="15">L5-L4</f>
        <v>0</v>
      </c>
      <c r="N5" s="320">
        <f t="shared" ref="N5:N31" si="16">M5+K5+I5+G5+E5</f>
        <v>0</v>
      </c>
      <c r="O5" s="483">
        <f t="shared" si="1"/>
        <v>0</v>
      </c>
      <c r="P5" s="461">
        <f t="shared" si="8"/>
        <v>15549</v>
      </c>
      <c r="Q5" s="484">
        <f>(P5-P4)*1000</f>
        <v>0</v>
      </c>
      <c r="R5" s="465">
        <f>N5-Q5</f>
        <v>0</v>
      </c>
      <c r="S5" s="461">
        <f t="shared" si="9"/>
        <v>8609</v>
      </c>
      <c r="T5" s="485">
        <f t="shared" si="3"/>
        <v>0</v>
      </c>
      <c r="U5" s="461">
        <f t="shared" si="9"/>
        <v>75398</v>
      </c>
      <c r="V5" s="465">
        <f t="shared" ref="V5:V32" si="17">U5-U4</f>
        <v>0</v>
      </c>
      <c r="W5" s="461">
        <f t="shared" si="9"/>
        <v>31853</v>
      </c>
      <c r="X5" s="465">
        <f t="shared" si="4"/>
        <v>0</v>
      </c>
      <c r="Y5" s="461">
        <f t="shared" si="9"/>
        <v>625865</v>
      </c>
      <c r="Z5" s="465">
        <f>Y5-Y4</f>
        <v>0</v>
      </c>
      <c r="AA5" s="461">
        <f t="shared" si="9"/>
        <v>35119</v>
      </c>
      <c r="AB5" s="465">
        <f t="shared" ref="AB5:AB32" si="18">AA5-AA4</f>
        <v>0</v>
      </c>
      <c r="AC5" s="461">
        <f t="shared" si="9"/>
        <v>790452</v>
      </c>
      <c r="AD5" s="465">
        <f t="shared" ref="AD5:AD16" si="19">AC5-AC4</f>
        <v>0</v>
      </c>
      <c r="AE5" s="488">
        <f t="shared" si="10"/>
        <v>0</v>
      </c>
      <c r="AF5" s="489">
        <f t="shared" si="11"/>
        <v>0</v>
      </c>
      <c r="AG5" s="481">
        <f t="shared" si="5"/>
        <v>0</v>
      </c>
      <c r="AI5" s="482">
        <f>R5-'EDl log'!B3</f>
        <v>-49988652</v>
      </c>
    </row>
    <row r="6" spans="1:115">
      <c r="A6" s="473">
        <f>'General information '!F9</f>
        <v>0</v>
      </c>
      <c r="B6" s="467">
        <f t="shared" si="6"/>
        <v>0</v>
      </c>
      <c r="C6" s="474">
        <v>43986</v>
      </c>
      <c r="D6" s="461">
        <f t="shared" si="7"/>
        <v>31741616</v>
      </c>
      <c r="E6" s="321">
        <f t="shared" si="12"/>
        <v>0</v>
      </c>
      <c r="F6" s="461">
        <f t="shared" si="7"/>
        <v>3693982</v>
      </c>
      <c r="G6" s="322">
        <f t="shared" si="0"/>
        <v>0</v>
      </c>
      <c r="H6" s="461">
        <f t="shared" si="7"/>
        <v>17472100</v>
      </c>
      <c r="I6" s="322">
        <f t="shared" si="13"/>
        <v>0</v>
      </c>
      <c r="J6" s="461">
        <f t="shared" si="7"/>
        <v>28451890</v>
      </c>
      <c r="K6" s="322">
        <f t="shared" si="14"/>
        <v>0</v>
      </c>
      <c r="L6" s="461">
        <f t="shared" si="7"/>
        <v>23072552</v>
      </c>
      <c r="M6" s="322">
        <f t="shared" si="15"/>
        <v>0</v>
      </c>
      <c r="N6" s="320">
        <f t="shared" si="16"/>
        <v>0</v>
      </c>
      <c r="O6" s="483">
        <f t="shared" si="1"/>
        <v>0</v>
      </c>
      <c r="P6" s="461">
        <f t="shared" si="8"/>
        <v>15549</v>
      </c>
      <c r="Q6" s="465">
        <f t="shared" si="2"/>
        <v>0</v>
      </c>
      <c r="R6" s="465">
        <f t="shared" ref="R6:R31" si="20">N6-Q6</f>
        <v>0</v>
      </c>
      <c r="S6" s="461">
        <f t="shared" si="9"/>
        <v>8609</v>
      </c>
      <c r="T6" s="485">
        <f t="shared" si="3"/>
        <v>0</v>
      </c>
      <c r="U6" s="461">
        <f t="shared" si="9"/>
        <v>75398</v>
      </c>
      <c r="V6" s="465">
        <f t="shared" si="17"/>
        <v>0</v>
      </c>
      <c r="W6" s="461">
        <f t="shared" si="9"/>
        <v>31853</v>
      </c>
      <c r="X6" s="465">
        <f t="shared" si="4"/>
        <v>0</v>
      </c>
      <c r="Y6" s="461">
        <f t="shared" si="9"/>
        <v>625865</v>
      </c>
      <c r="Z6" s="465">
        <f t="shared" ref="Z6:Z30" si="21">Y6-Y5</f>
        <v>0</v>
      </c>
      <c r="AA6" s="461">
        <f t="shared" si="9"/>
        <v>35119</v>
      </c>
      <c r="AB6" s="465">
        <f t="shared" si="18"/>
        <v>0</v>
      </c>
      <c r="AC6" s="461">
        <f t="shared" si="9"/>
        <v>790452</v>
      </c>
      <c r="AD6" s="465">
        <f t="shared" si="19"/>
        <v>0</v>
      </c>
      <c r="AE6" s="488">
        <f t="shared" si="10"/>
        <v>0</v>
      </c>
      <c r="AF6" s="489">
        <f t="shared" si="11"/>
        <v>0</v>
      </c>
      <c r="AG6" s="481">
        <f t="shared" si="5"/>
        <v>0</v>
      </c>
      <c r="AI6" s="482">
        <f>R6-'EDl log'!B4</f>
        <v>-49995052</v>
      </c>
    </row>
    <row r="7" spans="1:115">
      <c r="A7" s="473">
        <f>'General information '!F10</f>
        <v>0</v>
      </c>
      <c r="B7" s="467">
        <f t="shared" si="6"/>
        <v>0</v>
      </c>
      <c r="C7" s="474">
        <v>43987</v>
      </c>
      <c r="D7" s="461">
        <f t="shared" si="7"/>
        <v>31741616</v>
      </c>
      <c r="E7" s="321">
        <f t="shared" si="12"/>
        <v>0</v>
      </c>
      <c r="F7" s="461">
        <f t="shared" si="7"/>
        <v>3693982</v>
      </c>
      <c r="G7" s="322">
        <f t="shared" si="0"/>
        <v>0</v>
      </c>
      <c r="H7" s="461">
        <f t="shared" si="7"/>
        <v>17472100</v>
      </c>
      <c r="I7" s="322">
        <f t="shared" si="13"/>
        <v>0</v>
      </c>
      <c r="J7" s="461">
        <f t="shared" si="7"/>
        <v>28451890</v>
      </c>
      <c r="K7" s="322">
        <f t="shared" si="14"/>
        <v>0</v>
      </c>
      <c r="L7" s="461">
        <f t="shared" si="7"/>
        <v>23072552</v>
      </c>
      <c r="M7" s="322">
        <f t="shared" si="15"/>
        <v>0</v>
      </c>
      <c r="N7" s="320">
        <f t="shared" si="16"/>
        <v>0</v>
      </c>
      <c r="O7" s="483">
        <f t="shared" si="1"/>
        <v>0</v>
      </c>
      <c r="P7" s="461">
        <f t="shared" si="8"/>
        <v>15549</v>
      </c>
      <c r="Q7" s="465">
        <f t="shared" si="2"/>
        <v>0</v>
      </c>
      <c r="R7" s="465">
        <f t="shared" si="20"/>
        <v>0</v>
      </c>
      <c r="S7" s="461">
        <f t="shared" si="9"/>
        <v>8609</v>
      </c>
      <c r="T7" s="485">
        <f t="shared" si="3"/>
        <v>0</v>
      </c>
      <c r="U7" s="461">
        <f t="shared" si="9"/>
        <v>75398</v>
      </c>
      <c r="V7" s="465">
        <f t="shared" si="17"/>
        <v>0</v>
      </c>
      <c r="W7" s="461">
        <f t="shared" si="9"/>
        <v>31853</v>
      </c>
      <c r="X7" s="465">
        <f t="shared" si="4"/>
        <v>0</v>
      </c>
      <c r="Y7" s="461">
        <f t="shared" si="9"/>
        <v>625865</v>
      </c>
      <c r="Z7" s="465">
        <f t="shared" si="21"/>
        <v>0</v>
      </c>
      <c r="AA7" s="461">
        <f t="shared" si="9"/>
        <v>35119</v>
      </c>
      <c r="AB7" s="465">
        <v>6</v>
      </c>
      <c r="AC7" s="461">
        <f t="shared" si="9"/>
        <v>790452</v>
      </c>
      <c r="AD7" s="465">
        <f t="shared" si="19"/>
        <v>0</v>
      </c>
      <c r="AE7" s="488">
        <f t="shared" si="10"/>
        <v>6</v>
      </c>
      <c r="AF7" s="489">
        <f t="shared" si="11"/>
        <v>0</v>
      </c>
      <c r="AG7" s="481">
        <f t="shared" si="5"/>
        <v>0</v>
      </c>
      <c r="AI7" s="482">
        <f>R7-'EDl log'!B5</f>
        <v>-49995052</v>
      </c>
    </row>
    <row r="8" spans="1:115">
      <c r="A8" s="473">
        <f>'General information '!F11</f>
        <v>0</v>
      </c>
      <c r="B8" s="467">
        <f t="shared" si="6"/>
        <v>0</v>
      </c>
      <c r="C8" s="474">
        <v>43988</v>
      </c>
      <c r="D8" s="461">
        <f t="shared" si="7"/>
        <v>31741616</v>
      </c>
      <c r="E8" s="321">
        <f t="shared" si="12"/>
        <v>0</v>
      </c>
      <c r="F8" s="461">
        <f t="shared" si="7"/>
        <v>3693982</v>
      </c>
      <c r="G8" s="322">
        <f t="shared" si="0"/>
        <v>0</v>
      </c>
      <c r="H8" s="461">
        <f t="shared" si="7"/>
        <v>17472100</v>
      </c>
      <c r="I8" s="322">
        <f t="shared" si="13"/>
        <v>0</v>
      </c>
      <c r="J8" s="461">
        <f t="shared" si="7"/>
        <v>28451890</v>
      </c>
      <c r="K8" s="322">
        <f t="shared" si="14"/>
        <v>0</v>
      </c>
      <c r="L8" s="461">
        <f t="shared" si="7"/>
        <v>23072552</v>
      </c>
      <c r="M8" s="322">
        <f t="shared" si="15"/>
        <v>0</v>
      </c>
      <c r="N8" s="320">
        <f t="shared" si="16"/>
        <v>0</v>
      </c>
      <c r="O8" s="483">
        <f t="shared" si="1"/>
        <v>0</v>
      </c>
      <c r="P8" s="461">
        <f t="shared" si="8"/>
        <v>15549</v>
      </c>
      <c r="Q8" s="465">
        <f t="shared" si="2"/>
        <v>0</v>
      </c>
      <c r="R8" s="465">
        <f t="shared" si="20"/>
        <v>0</v>
      </c>
      <c r="S8" s="461">
        <f t="shared" si="9"/>
        <v>8609</v>
      </c>
      <c r="T8" s="485">
        <f t="shared" si="3"/>
        <v>0</v>
      </c>
      <c r="U8" s="461">
        <f t="shared" si="9"/>
        <v>75398</v>
      </c>
      <c r="V8" s="465">
        <f t="shared" si="17"/>
        <v>0</v>
      </c>
      <c r="W8" s="461">
        <f t="shared" si="9"/>
        <v>31853</v>
      </c>
      <c r="X8" s="465">
        <f t="shared" si="4"/>
        <v>0</v>
      </c>
      <c r="Y8" s="461">
        <f t="shared" si="9"/>
        <v>625865</v>
      </c>
      <c r="Z8" s="465">
        <f t="shared" si="21"/>
        <v>0</v>
      </c>
      <c r="AA8" s="461">
        <f t="shared" si="9"/>
        <v>35119</v>
      </c>
      <c r="AB8" s="465">
        <f t="shared" si="18"/>
        <v>0</v>
      </c>
      <c r="AC8" s="461">
        <f t="shared" si="9"/>
        <v>790452</v>
      </c>
      <c r="AD8" s="465">
        <f t="shared" si="19"/>
        <v>0</v>
      </c>
      <c r="AE8" s="488">
        <f t="shared" si="10"/>
        <v>0</v>
      </c>
      <c r="AF8" s="489">
        <f t="shared" si="11"/>
        <v>0</v>
      </c>
      <c r="AG8" s="481">
        <f t="shared" si="5"/>
        <v>0</v>
      </c>
      <c r="AI8" s="482">
        <f>R8-'EDl log'!B6</f>
        <v>-49995052</v>
      </c>
    </row>
    <row r="9" spans="1:115">
      <c r="A9" s="473">
        <f>'General information '!F12</f>
        <v>0</v>
      </c>
      <c r="B9" s="467">
        <f t="shared" si="6"/>
        <v>0</v>
      </c>
      <c r="C9" s="474">
        <v>43989</v>
      </c>
      <c r="D9" s="461">
        <f t="shared" si="7"/>
        <v>31741616</v>
      </c>
      <c r="E9" s="321">
        <f t="shared" si="12"/>
        <v>0</v>
      </c>
      <c r="F9" s="461">
        <f t="shared" si="7"/>
        <v>3693982</v>
      </c>
      <c r="G9" s="322">
        <f t="shared" si="0"/>
        <v>0</v>
      </c>
      <c r="H9" s="461">
        <f t="shared" si="7"/>
        <v>17472100</v>
      </c>
      <c r="I9" s="322">
        <f t="shared" si="13"/>
        <v>0</v>
      </c>
      <c r="J9" s="461">
        <f t="shared" si="7"/>
        <v>28451890</v>
      </c>
      <c r="K9" s="322">
        <f t="shared" si="14"/>
        <v>0</v>
      </c>
      <c r="L9" s="461">
        <f t="shared" si="7"/>
        <v>23072552</v>
      </c>
      <c r="M9" s="322">
        <f t="shared" si="15"/>
        <v>0</v>
      </c>
      <c r="N9" s="320">
        <f t="shared" si="16"/>
        <v>0</v>
      </c>
      <c r="O9" s="483">
        <f t="shared" si="1"/>
        <v>0</v>
      </c>
      <c r="P9" s="461">
        <f t="shared" si="8"/>
        <v>15549</v>
      </c>
      <c r="Q9" s="465">
        <f t="shared" si="2"/>
        <v>0</v>
      </c>
      <c r="R9" s="465">
        <f t="shared" si="20"/>
        <v>0</v>
      </c>
      <c r="S9" s="461">
        <f t="shared" si="9"/>
        <v>8609</v>
      </c>
      <c r="T9" s="485">
        <f t="shared" si="3"/>
        <v>0</v>
      </c>
      <c r="U9" s="461">
        <f t="shared" si="9"/>
        <v>75398</v>
      </c>
      <c r="V9" s="465">
        <f t="shared" si="17"/>
        <v>0</v>
      </c>
      <c r="W9" s="461">
        <f t="shared" si="9"/>
        <v>31853</v>
      </c>
      <c r="X9" s="465">
        <f t="shared" ref="X9:X32" si="22">W9-W8</f>
        <v>0</v>
      </c>
      <c r="Y9" s="461">
        <f t="shared" si="9"/>
        <v>625865</v>
      </c>
      <c r="Z9" s="465">
        <f t="shared" si="21"/>
        <v>0</v>
      </c>
      <c r="AA9" s="461">
        <f t="shared" si="9"/>
        <v>35119</v>
      </c>
      <c r="AB9" s="465">
        <f t="shared" si="18"/>
        <v>0</v>
      </c>
      <c r="AC9" s="461">
        <f t="shared" si="9"/>
        <v>790452</v>
      </c>
      <c r="AD9" s="465">
        <f t="shared" si="19"/>
        <v>0</v>
      </c>
      <c r="AE9" s="488">
        <f t="shared" si="10"/>
        <v>0</v>
      </c>
      <c r="AF9" s="489">
        <f t="shared" si="11"/>
        <v>0</v>
      </c>
      <c r="AG9" s="481">
        <f t="shared" si="5"/>
        <v>0</v>
      </c>
      <c r="AI9" s="482">
        <f>R9-'EDl log'!B7</f>
        <v>-49995052</v>
      </c>
    </row>
    <row r="10" spans="1:115">
      <c r="A10" s="473">
        <f>'General information '!F13</f>
        <v>0</v>
      </c>
      <c r="B10" s="467">
        <f t="shared" si="6"/>
        <v>0</v>
      </c>
      <c r="C10" s="474">
        <v>43990</v>
      </c>
      <c r="D10" s="461">
        <f t="shared" si="7"/>
        <v>31741616</v>
      </c>
      <c r="E10" s="321">
        <f t="shared" si="12"/>
        <v>0</v>
      </c>
      <c r="F10" s="461">
        <f t="shared" si="7"/>
        <v>3693982</v>
      </c>
      <c r="G10" s="322">
        <f t="shared" si="0"/>
        <v>0</v>
      </c>
      <c r="H10" s="461">
        <f t="shared" si="7"/>
        <v>17472100</v>
      </c>
      <c r="I10" s="322">
        <f t="shared" si="13"/>
        <v>0</v>
      </c>
      <c r="J10" s="461">
        <f t="shared" si="7"/>
        <v>28451890</v>
      </c>
      <c r="K10" s="322">
        <f t="shared" si="14"/>
        <v>0</v>
      </c>
      <c r="L10" s="461">
        <f t="shared" si="7"/>
        <v>23072552</v>
      </c>
      <c r="M10" s="322">
        <f t="shared" si="15"/>
        <v>0</v>
      </c>
      <c r="N10" s="320">
        <f t="shared" si="16"/>
        <v>0</v>
      </c>
      <c r="O10" s="483">
        <f t="shared" ref="O10:O32" si="23">IF(B10&gt;0,N10/B10,0)</f>
        <v>0</v>
      </c>
      <c r="P10" s="461">
        <f t="shared" si="8"/>
        <v>15549</v>
      </c>
      <c r="Q10" s="465">
        <f t="shared" si="2"/>
        <v>0</v>
      </c>
      <c r="R10" s="465">
        <f t="shared" si="20"/>
        <v>0</v>
      </c>
      <c r="S10" s="461">
        <f t="shared" si="9"/>
        <v>8609</v>
      </c>
      <c r="T10" s="485">
        <f t="shared" si="3"/>
        <v>0</v>
      </c>
      <c r="U10" s="461">
        <f t="shared" si="9"/>
        <v>75398</v>
      </c>
      <c r="V10" s="465">
        <f t="shared" si="17"/>
        <v>0</v>
      </c>
      <c r="W10" s="461">
        <f t="shared" si="9"/>
        <v>31853</v>
      </c>
      <c r="X10" s="465">
        <f t="shared" si="22"/>
        <v>0</v>
      </c>
      <c r="Y10" s="461">
        <f t="shared" si="9"/>
        <v>625865</v>
      </c>
      <c r="Z10" s="465">
        <f t="shared" si="21"/>
        <v>0</v>
      </c>
      <c r="AA10" s="461">
        <f t="shared" si="9"/>
        <v>35119</v>
      </c>
      <c r="AB10" s="465">
        <f t="shared" si="18"/>
        <v>0</v>
      </c>
      <c r="AC10" s="461">
        <f t="shared" si="9"/>
        <v>790452</v>
      </c>
      <c r="AD10" s="465">
        <f t="shared" si="19"/>
        <v>0</v>
      </c>
      <c r="AE10" s="488">
        <f t="shared" si="10"/>
        <v>0</v>
      </c>
      <c r="AF10" s="489">
        <f t="shared" si="11"/>
        <v>0</v>
      </c>
      <c r="AG10" s="481">
        <f t="shared" ref="AG10:AG32" si="24">IF(AE10&gt;0,AF10/AE10,0)</f>
        <v>0</v>
      </c>
      <c r="AI10" s="482">
        <f>R10-'EDl log'!B8</f>
        <v>-49995052</v>
      </c>
    </row>
    <row r="11" spans="1:115">
      <c r="A11" s="473">
        <f>'General information '!F14</f>
        <v>0</v>
      </c>
      <c r="B11" s="467">
        <f>SUM(230*A11)</f>
        <v>0</v>
      </c>
      <c r="C11" s="474">
        <v>43991</v>
      </c>
      <c r="D11" s="461">
        <f t="shared" si="7"/>
        <v>31741616</v>
      </c>
      <c r="E11" s="321">
        <f t="shared" si="12"/>
        <v>0</v>
      </c>
      <c r="F11" s="461">
        <f t="shared" si="7"/>
        <v>3693982</v>
      </c>
      <c r="G11" s="322">
        <f t="shared" si="0"/>
        <v>0</v>
      </c>
      <c r="H11" s="461">
        <f t="shared" si="7"/>
        <v>17472100</v>
      </c>
      <c r="I11" s="322">
        <f t="shared" si="13"/>
        <v>0</v>
      </c>
      <c r="J11" s="461">
        <f t="shared" si="7"/>
        <v>28451890</v>
      </c>
      <c r="K11" s="322">
        <f t="shared" si="14"/>
        <v>0</v>
      </c>
      <c r="L11" s="461">
        <f t="shared" si="7"/>
        <v>23072552</v>
      </c>
      <c r="M11" s="322">
        <f t="shared" si="15"/>
        <v>0</v>
      </c>
      <c r="N11" s="320">
        <f>M11+K11+I11+G11+E11</f>
        <v>0</v>
      </c>
      <c r="O11" s="483">
        <f t="shared" si="23"/>
        <v>0</v>
      </c>
      <c r="P11" s="461">
        <f t="shared" si="8"/>
        <v>15549</v>
      </c>
      <c r="Q11" s="465">
        <f t="shared" si="2"/>
        <v>0</v>
      </c>
      <c r="R11" s="465">
        <f t="shared" si="20"/>
        <v>0</v>
      </c>
      <c r="S11" s="461">
        <f t="shared" si="9"/>
        <v>8609</v>
      </c>
      <c r="T11" s="485">
        <f t="shared" si="3"/>
        <v>0</v>
      </c>
      <c r="U11" s="461">
        <f t="shared" si="9"/>
        <v>75398</v>
      </c>
      <c r="V11" s="465">
        <f t="shared" si="17"/>
        <v>0</v>
      </c>
      <c r="W11" s="461">
        <f t="shared" si="9"/>
        <v>31853</v>
      </c>
      <c r="X11" s="465">
        <f t="shared" si="22"/>
        <v>0</v>
      </c>
      <c r="Y11" s="461">
        <f t="shared" si="9"/>
        <v>625865</v>
      </c>
      <c r="Z11" s="465">
        <f t="shared" si="21"/>
        <v>0</v>
      </c>
      <c r="AA11" s="461">
        <f t="shared" si="9"/>
        <v>35119</v>
      </c>
      <c r="AB11" s="465">
        <f t="shared" si="18"/>
        <v>0</v>
      </c>
      <c r="AC11" s="461">
        <f t="shared" si="9"/>
        <v>790452</v>
      </c>
      <c r="AD11" s="465">
        <f t="shared" si="19"/>
        <v>0</v>
      </c>
      <c r="AE11" s="488">
        <f t="shared" si="10"/>
        <v>0</v>
      </c>
      <c r="AF11" s="489">
        <f t="shared" si="11"/>
        <v>0</v>
      </c>
      <c r="AG11" s="481">
        <f t="shared" si="24"/>
        <v>0</v>
      </c>
      <c r="AI11" s="482">
        <f>R11-'EDl log'!B9</f>
        <v>-49995052</v>
      </c>
    </row>
    <row r="12" spans="1:115">
      <c r="A12" s="473">
        <f>'General information '!F15</f>
        <v>0</v>
      </c>
      <c r="B12" s="467">
        <f t="shared" si="6"/>
        <v>0</v>
      </c>
      <c r="C12" s="474">
        <v>43992</v>
      </c>
      <c r="D12" s="461">
        <f t="shared" si="7"/>
        <v>31741616</v>
      </c>
      <c r="E12" s="321">
        <f t="shared" si="12"/>
        <v>0</v>
      </c>
      <c r="F12" s="461">
        <f t="shared" si="7"/>
        <v>3693982</v>
      </c>
      <c r="G12" s="322">
        <f t="shared" si="0"/>
        <v>0</v>
      </c>
      <c r="H12" s="461">
        <f t="shared" si="7"/>
        <v>17472100</v>
      </c>
      <c r="I12" s="322">
        <f t="shared" si="13"/>
        <v>0</v>
      </c>
      <c r="J12" s="461">
        <f t="shared" si="7"/>
        <v>28451890</v>
      </c>
      <c r="K12" s="322">
        <f t="shared" si="14"/>
        <v>0</v>
      </c>
      <c r="L12" s="461">
        <f t="shared" si="7"/>
        <v>23072552</v>
      </c>
      <c r="M12" s="322">
        <f t="shared" si="15"/>
        <v>0</v>
      </c>
      <c r="N12" s="320">
        <f>M12+K12+I12+G12+E12</f>
        <v>0</v>
      </c>
      <c r="O12" s="483">
        <f t="shared" si="23"/>
        <v>0</v>
      </c>
      <c r="P12" s="461">
        <f t="shared" si="8"/>
        <v>15549</v>
      </c>
      <c r="Q12" s="465">
        <f t="shared" si="2"/>
        <v>0</v>
      </c>
      <c r="R12" s="465">
        <f t="shared" si="20"/>
        <v>0</v>
      </c>
      <c r="S12" s="461">
        <f t="shared" si="9"/>
        <v>8609</v>
      </c>
      <c r="T12" s="485">
        <f t="shared" si="3"/>
        <v>0</v>
      </c>
      <c r="U12" s="461">
        <f t="shared" si="9"/>
        <v>75398</v>
      </c>
      <c r="V12" s="465">
        <f t="shared" si="17"/>
        <v>0</v>
      </c>
      <c r="W12" s="461">
        <f t="shared" si="9"/>
        <v>31853</v>
      </c>
      <c r="X12" s="465">
        <f t="shared" si="22"/>
        <v>0</v>
      </c>
      <c r="Y12" s="461">
        <f t="shared" si="9"/>
        <v>625865</v>
      </c>
      <c r="Z12" s="465">
        <f t="shared" si="21"/>
        <v>0</v>
      </c>
      <c r="AA12" s="461">
        <f t="shared" si="9"/>
        <v>35119</v>
      </c>
      <c r="AB12" s="465">
        <f t="shared" si="18"/>
        <v>0</v>
      </c>
      <c r="AC12" s="461">
        <f t="shared" si="9"/>
        <v>790452</v>
      </c>
      <c r="AD12" s="465">
        <f t="shared" si="19"/>
        <v>0</v>
      </c>
      <c r="AE12" s="488">
        <f t="shared" si="10"/>
        <v>0</v>
      </c>
      <c r="AF12" s="489">
        <f t="shared" si="11"/>
        <v>0</v>
      </c>
      <c r="AG12" s="481">
        <f t="shared" si="24"/>
        <v>0</v>
      </c>
      <c r="AI12" s="482">
        <f>R12-'EDl log'!B10</f>
        <v>-49995052</v>
      </c>
    </row>
    <row r="13" spans="1:115">
      <c r="A13" s="473">
        <f>'General information '!F16</f>
        <v>0</v>
      </c>
      <c r="B13" s="467">
        <f t="shared" si="6"/>
        <v>0</v>
      </c>
      <c r="C13" s="474">
        <v>43993</v>
      </c>
      <c r="D13" s="461">
        <f t="shared" si="7"/>
        <v>31741616</v>
      </c>
      <c r="E13" s="321">
        <f t="shared" si="12"/>
        <v>0</v>
      </c>
      <c r="F13" s="461">
        <f t="shared" si="7"/>
        <v>3693982</v>
      </c>
      <c r="G13" s="322">
        <f t="shared" si="0"/>
        <v>0</v>
      </c>
      <c r="H13" s="461">
        <f t="shared" si="7"/>
        <v>17472100</v>
      </c>
      <c r="I13" s="322">
        <f t="shared" si="13"/>
        <v>0</v>
      </c>
      <c r="J13" s="461">
        <f t="shared" si="7"/>
        <v>28451890</v>
      </c>
      <c r="K13" s="322">
        <f t="shared" si="14"/>
        <v>0</v>
      </c>
      <c r="L13" s="461">
        <f t="shared" si="7"/>
        <v>23072552</v>
      </c>
      <c r="M13" s="322">
        <f t="shared" si="15"/>
        <v>0</v>
      </c>
      <c r="N13" s="320">
        <f t="shared" si="16"/>
        <v>0</v>
      </c>
      <c r="O13" s="483">
        <f t="shared" si="23"/>
        <v>0</v>
      </c>
      <c r="P13" s="461">
        <f t="shared" si="8"/>
        <v>15549</v>
      </c>
      <c r="Q13" s="465">
        <f t="shared" ref="Q13:Q31" si="25">(P13-P12)*1000</f>
        <v>0</v>
      </c>
      <c r="R13" s="465">
        <f t="shared" si="20"/>
        <v>0</v>
      </c>
      <c r="S13" s="461">
        <f t="shared" si="9"/>
        <v>8609</v>
      </c>
      <c r="T13" s="485">
        <f t="shared" si="3"/>
        <v>0</v>
      </c>
      <c r="U13" s="461">
        <f t="shared" si="9"/>
        <v>75398</v>
      </c>
      <c r="V13" s="465">
        <f t="shared" si="17"/>
        <v>0</v>
      </c>
      <c r="W13" s="461">
        <f t="shared" si="9"/>
        <v>31853</v>
      </c>
      <c r="X13" s="465">
        <f t="shared" si="22"/>
        <v>0</v>
      </c>
      <c r="Y13" s="461">
        <f t="shared" si="9"/>
        <v>625865</v>
      </c>
      <c r="Z13" s="465">
        <f t="shared" si="21"/>
        <v>0</v>
      </c>
      <c r="AA13" s="461">
        <f t="shared" si="9"/>
        <v>35119</v>
      </c>
      <c r="AB13" s="465">
        <f t="shared" si="18"/>
        <v>0</v>
      </c>
      <c r="AC13" s="461">
        <f t="shared" si="9"/>
        <v>790452</v>
      </c>
      <c r="AD13" s="465">
        <f t="shared" si="19"/>
        <v>0</v>
      </c>
      <c r="AE13" s="488">
        <f t="shared" si="10"/>
        <v>0</v>
      </c>
      <c r="AF13" s="489">
        <f t="shared" si="11"/>
        <v>0</v>
      </c>
      <c r="AG13" s="481">
        <f t="shared" si="24"/>
        <v>0</v>
      </c>
      <c r="AI13" s="482">
        <f>R13-'EDl log'!B11</f>
        <v>-49995052</v>
      </c>
    </row>
    <row r="14" spans="1:115">
      <c r="A14" s="473">
        <f>'General information '!F17</f>
        <v>0</v>
      </c>
      <c r="B14" s="467">
        <f t="shared" si="6"/>
        <v>0</v>
      </c>
      <c r="C14" s="474">
        <v>43994</v>
      </c>
      <c r="D14" s="461">
        <f t="shared" si="7"/>
        <v>31741616</v>
      </c>
      <c r="E14" s="321">
        <f t="shared" si="12"/>
        <v>0</v>
      </c>
      <c r="F14" s="461">
        <f t="shared" si="7"/>
        <v>3693982</v>
      </c>
      <c r="G14" s="322">
        <f t="shared" si="0"/>
        <v>0</v>
      </c>
      <c r="H14" s="461">
        <f t="shared" si="7"/>
        <v>17472100</v>
      </c>
      <c r="I14" s="322">
        <f t="shared" si="13"/>
        <v>0</v>
      </c>
      <c r="J14" s="461">
        <f t="shared" si="7"/>
        <v>28451890</v>
      </c>
      <c r="K14" s="322">
        <f t="shared" si="14"/>
        <v>0</v>
      </c>
      <c r="L14" s="461">
        <f t="shared" si="7"/>
        <v>23072552</v>
      </c>
      <c r="M14" s="322">
        <f t="shared" si="15"/>
        <v>0</v>
      </c>
      <c r="N14" s="320">
        <f t="shared" si="16"/>
        <v>0</v>
      </c>
      <c r="O14" s="483">
        <f t="shared" si="23"/>
        <v>0</v>
      </c>
      <c r="P14" s="461">
        <f t="shared" si="8"/>
        <v>15549</v>
      </c>
      <c r="Q14" s="465">
        <f t="shared" si="25"/>
        <v>0</v>
      </c>
      <c r="R14" s="465">
        <f t="shared" si="20"/>
        <v>0</v>
      </c>
      <c r="S14" s="461">
        <f t="shared" si="9"/>
        <v>8609</v>
      </c>
      <c r="T14" s="485">
        <f t="shared" si="3"/>
        <v>0</v>
      </c>
      <c r="U14" s="461">
        <f t="shared" si="9"/>
        <v>75398</v>
      </c>
      <c r="V14" s="465">
        <f t="shared" si="17"/>
        <v>0</v>
      </c>
      <c r="W14" s="461">
        <f t="shared" si="9"/>
        <v>31853</v>
      </c>
      <c r="X14" s="465">
        <f t="shared" si="22"/>
        <v>0</v>
      </c>
      <c r="Y14" s="461">
        <f t="shared" si="9"/>
        <v>625865</v>
      </c>
      <c r="Z14" s="465">
        <f t="shared" si="21"/>
        <v>0</v>
      </c>
      <c r="AA14" s="461">
        <f t="shared" si="9"/>
        <v>35119</v>
      </c>
      <c r="AB14" s="465">
        <f t="shared" si="18"/>
        <v>0</v>
      </c>
      <c r="AC14" s="461">
        <f t="shared" si="9"/>
        <v>790452</v>
      </c>
      <c r="AD14" s="465">
        <f t="shared" si="19"/>
        <v>0</v>
      </c>
      <c r="AE14" s="488">
        <f t="shared" si="10"/>
        <v>0</v>
      </c>
      <c r="AF14" s="489">
        <f t="shared" si="11"/>
        <v>0</v>
      </c>
      <c r="AG14" s="481">
        <f t="shared" si="24"/>
        <v>0</v>
      </c>
      <c r="AI14" s="482">
        <f>R14-'EDl log'!B12</f>
        <v>-49995052</v>
      </c>
    </row>
    <row r="15" spans="1:115">
      <c r="A15" s="473">
        <f>'General information '!F18</f>
        <v>0</v>
      </c>
      <c r="B15" s="467">
        <f t="shared" si="6"/>
        <v>0</v>
      </c>
      <c r="C15" s="474">
        <v>43995</v>
      </c>
      <c r="D15" s="461">
        <f t="shared" si="7"/>
        <v>31741616</v>
      </c>
      <c r="E15" s="321">
        <f t="shared" si="12"/>
        <v>0</v>
      </c>
      <c r="F15" s="461">
        <f t="shared" si="7"/>
        <v>3693982</v>
      </c>
      <c r="G15" s="322">
        <f t="shared" si="0"/>
        <v>0</v>
      </c>
      <c r="H15" s="461">
        <f t="shared" si="7"/>
        <v>17472100</v>
      </c>
      <c r="I15" s="322">
        <f t="shared" si="13"/>
        <v>0</v>
      </c>
      <c r="J15" s="461">
        <f t="shared" si="7"/>
        <v>28451890</v>
      </c>
      <c r="K15" s="322">
        <f t="shared" si="14"/>
        <v>0</v>
      </c>
      <c r="L15" s="461">
        <f t="shared" si="7"/>
        <v>23072552</v>
      </c>
      <c r="M15" s="322">
        <f t="shared" si="15"/>
        <v>0</v>
      </c>
      <c r="N15" s="320">
        <f t="shared" si="16"/>
        <v>0</v>
      </c>
      <c r="O15" s="483">
        <f t="shared" si="23"/>
        <v>0</v>
      </c>
      <c r="P15" s="461">
        <f t="shared" si="8"/>
        <v>15549</v>
      </c>
      <c r="Q15" s="465">
        <f>(P15-P14)*1000</f>
        <v>0</v>
      </c>
      <c r="R15" s="465">
        <f t="shared" si="20"/>
        <v>0</v>
      </c>
      <c r="S15" s="461">
        <f t="shared" si="9"/>
        <v>8609</v>
      </c>
      <c r="T15" s="485">
        <f t="shared" si="3"/>
        <v>0</v>
      </c>
      <c r="U15" s="461">
        <f t="shared" si="9"/>
        <v>75398</v>
      </c>
      <c r="V15" s="465">
        <f t="shared" si="17"/>
        <v>0</v>
      </c>
      <c r="W15" s="461">
        <f t="shared" si="9"/>
        <v>31853</v>
      </c>
      <c r="X15" s="465">
        <f t="shared" si="22"/>
        <v>0</v>
      </c>
      <c r="Y15" s="461">
        <f t="shared" si="9"/>
        <v>625865</v>
      </c>
      <c r="Z15" s="465">
        <f t="shared" si="21"/>
        <v>0</v>
      </c>
      <c r="AA15" s="461">
        <f t="shared" si="9"/>
        <v>35119</v>
      </c>
      <c r="AB15" s="465">
        <f t="shared" si="18"/>
        <v>0</v>
      </c>
      <c r="AC15" s="461">
        <f t="shared" si="9"/>
        <v>790452</v>
      </c>
      <c r="AD15" s="465">
        <f t="shared" si="19"/>
        <v>0</v>
      </c>
      <c r="AE15" s="488">
        <f t="shared" si="10"/>
        <v>0</v>
      </c>
      <c r="AF15" s="489">
        <f t="shared" si="11"/>
        <v>0</v>
      </c>
      <c r="AG15" s="481">
        <f t="shared" si="24"/>
        <v>0</v>
      </c>
      <c r="AI15" s="482">
        <f>R15-'EDl log'!B13</f>
        <v>-49995052</v>
      </c>
    </row>
    <row r="16" spans="1:115">
      <c r="A16" s="473">
        <f>'General information '!F19</f>
        <v>0</v>
      </c>
      <c r="B16" s="467">
        <f t="shared" si="6"/>
        <v>0</v>
      </c>
      <c r="C16" s="474">
        <v>43996</v>
      </c>
      <c r="D16" s="461">
        <f t="shared" si="7"/>
        <v>31741616</v>
      </c>
      <c r="E16" s="321">
        <f t="shared" si="12"/>
        <v>0</v>
      </c>
      <c r="F16" s="461">
        <f t="shared" si="7"/>
        <v>3693982</v>
      </c>
      <c r="G16" s="322">
        <f t="shared" si="0"/>
        <v>0</v>
      </c>
      <c r="H16" s="461">
        <f t="shared" si="7"/>
        <v>17472100</v>
      </c>
      <c r="I16" s="322">
        <f t="shared" si="13"/>
        <v>0</v>
      </c>
      <c r="J16" s="461">
        <f t="shared" si="7"/>
        <v>28451890</v>
      </c>
      <c r="K16" s="322">
        <f t="shared" si="14"/>
        <v>0</v>
      </c>
      <c r="L16" s="461">
        <f t="shared" si="7"/>
        <v>23072552</v>
      </c>
      <c r="M16" s="322">
        <f t="shared" si="15"/>
        <v>0</v>
      </c>
      <c r="N16" s="320">
        <f t="shared" si="16"/>
        <v>0</v>
      </c>
      <c r="O16" s="483">
        <f t="shared" si="23"/>
        <v>0</v>
      </c>
      <c r="P16" s="461">
        <f t="shared" si="8"/>
        <v>15549</v>
      </c>
      <c r="Q16" s="465">
        <f>(P16-P15)*1000</f>
        <v>0</v>
      </c>
      <c r="R16" s="465">
        <f t="shared" si="20"/>
        <v>0</v>
      </c>
      <c r="S16" s="461">
        <f t="shared" si="9"/>
        <v>8609</v>
      </c>
      <c r="T16" s="485">
        <f t="shared" si="3"/>
        <v>0</v>
      </c>
      <c r="U16" s="461">
        <f t="shared" si="9"/>
        <v>75398</v>
      </c>
      <c r="V16" s="465">
        <f t="shared" si="17"/>
        <v>0</v>
      </c>
      <c r="W16" s="461">
        <f t="shared" si="9"/>
        <v>31853</v>
      </c>
      <c r="X16" s="465">
        <f>W16-W15</f>
        <v>0</v>
      </c>
      <c r="Y16" s="461">
        <f t="shared" si="9"/>
        <v>625865</v>
      </c>
      <c r="Z16" s="465">
        <f>Y16-Y15</f>
        <v>0</v>
      </c>
      <c r="AA16" s="461">
        <f t="shared" si="9"/>
        <v>35119</v>
      </c>
      <c r="AB16" s="465">
        <f>AA16-AA15</f>
        <v>0</v>
      </c>
      <c r="AC16" s="461">
        <f t="shared" si="9"/>
        <v>790452</v>
      </c>
      <c r="AD16" s="465">
        <f t="shared" si="19"/>
        <v>0</v>
      </c>
      <c r="AE16" s="488">
        <f t="shared" si="10"/>
        <v>0</v>
      </c>
      <c r="AF16" s="489">
        <f t="shared" si="11"/>
        <v>0</v>
      </c>
      <c r="AG16" s="481">
        <f t="shared" si="24"/>
        <v>0</v>
      </c>
      <c r="AI16" s="482">
        <f>R16-'EDl log'!B14</f>
        <v>-49995052</v>
      </c>
    </row>
    <row r="17" spans="1:35">
      <c r="A17" s="473">
        <f>'General information '!F20</f>
        <v>0</v>
      </c>
      <c r="B17" s="467">
        <f t="shared" si="6"/>
        <v>0</v>
      </c>
      <c r="C17" s="474">
        <v>43997</v>
      </c>
      <c r="D17" s="461">
        <f t="shared" si="7"/>
        <v>31741616</v>
      </c>
      <c r="E17" s="321">
        <f t="shared" si="12"/>
        <v>0</v>
      </c>
      <c r="F17" s="461">
        <f t="shared" si="7"/>
        <v>3693982</v>
      </c>
      <c r="G17" s="322">
        <f t="shared" si="0"/>
        <v>0</v>
      </c>
      <c r="H17" s="461">
        <f t="shared" si="7"/>
        <v>17472100</v>
      </c>
      <c r="I17" s="322">
        <f t="shared" si="13"/>
        <v>0</v>
      </c>
      <c r="J17" s="461">
        <f t="shared" si="7"/>
        <v>28451890</v>
      </c>
      <c r="K17" s="322">
        <f t="shared" si="14"/>
        <v>0</v>
      </c>
      <c r="L17" s="461">
        <f t="shared" si="7"/>
        <v>23072552</v>
      </c>
      <c r="M17" s="322">
        <f t="shared" si="15"/>
        <v>0</v>
      </c>
      <c r="N17" s="320">
        <f t="shared" si="16"/>
        <v>0</v>
      </c>
      <c r="O17" s="483">
        <f t="shared" si="23"/>
        <v>0</v>
      </c>
      <c r="P17" s="461">
        <f t="shared" si="8"/>
        <v>15549</v>
      </c>
      <c r="Q17" s="465">
        <f t="shared" si="25"/>
        <v>0</v>
      </c>
      <c r="R17" s="465">
        <f t="shared" si="20"/>
        <v>0</v>
      </c>
      <c r="S17" s="461">
        <f t="shared" si="9"/>
        <v>8609</v>
      </c>
      <c r="T17" s="485">
        <f t="shared" si="3"/>
        <v>0</v>
      </c>
      <c r="U17" s="461">
        <f t="shared" si="9"/>
        <v>75398</v>
      </c>
      <c r="V17" s="465">
        <f t="shared" si="17"/>
        <v>0</v>
      </c>
      <c r="W17" s="461">
        <f t="shared" si="9"/>
        <v>31853</v>
      </c>
      <c r="X17" s="465">
        <f t="shared" si="22"/>
        <v>0</v>
      </c>
      <c r="Y17" s="461">
        <f t="shared" si="9"/>
        <v>625865</v>
      </c>
      <c r="Z17" s="465">
        <f t="shared" si="21"/>
        <v>0</v>
      </c>
      <c r="AA17" s="461">
        <f t="shared" si="9"/>
        <v>35119</v>
      </c>
      <c r="AB17" s="465">
        <f t="shared" si="18"/>
        <v>0</v>
      </c>
      <c r="AC17" s="461">
        <f t="shared" si="9"/>
        <v>790452</v>
      </c>
      <c r="AD17" s="465">
        <f t="shared" ref="AD17:AD32" si="26">AC17-AC16</f>
        <v>0</v>
      </c>
      <c r="AE17" s="488">
        <f t="shared" si="10"/>
        <v>0</v>
      </c>
      <c r="AF17" s="489">
        <f t="shared" si="11"/>
        <v>0</v>
      </c>
      <c r="AG17" s="481">
        <f t="shared" si="24"/>
        <v>0</v>
      </c>
      <c r="AI17" s="482">
        <f>R17-'EDl log'!B15</f>
        <v>-49995052</v>
      </c>
    </row>
    <row r="18" spans="1:35">
      <c r="A18" s="473">
        <f>'General information '!F21</f>
        <v>0</v>
      </c>
      <c r="B18" s="467">
        <f t="shared" si="6"/>
        <v>0</v>
      </c>
      <c r="C18" s="474">
        <v>43998</v>
      </c>
      <c r="D18" s="461">
        <f t="shared" si="7"/>
        <v>31741616</v>
      </c>
      <c r="E18" s="321">
        <f t="shared" si="12"/>
        <v>0</v>
      </c>
      <c r="F18" s="461">
        <f t="shared" si="7"/>
        <v>3693982</v>
      </c>
      <c r="G18" s="322">
        <f t="shared" si="0"/>
        <v>0</v>
      </c>
      <c r="H18" s="461">
        <f t="shared" si="7"/>
        <v>17472100</v>
      </c>
      <c r="I18" s="322">
        <f t="shared" si="13"/>
        <v>0</v>
      </c>
      <c r="J18" s="461">
        <f t="shared" si="7"/>
        <v>28451890</v>
      </c>
      <c r="K18" s="322">
        <f t="shared" si="14"/>
        <v>0</v>
      </c>
      <c r="L18" s="461">
        <f t="shared" si="7"/>
        <v>23072552</v>
      </c>
      <c r="M18" s="322">
        <f t="shared" si="15"/>
        <v>0</v>
      </c>
      <c r="N18" s="320">
        <f t="shared" si="16"/>
        <v>0</v>
      </c>
      <c r="O18" s="483">
        <f t="shared" si="23"/>
        <v>0</v>
      </c>
      <c r="P18" s="461">
        <f t="shared" si="8"/>
        <v>15549</v>
      </c>
      <c r="Q18" s="465">
        <f t="shared" si="25"/>
        <v>0</v>
      </c>
      <c r="R18" s="465">
        <f t="shared" si="20"/>
        <v>0</v>
      </c>
      <c r="S18" s="461">
        <f t="shared" si="9"/>
        <v>8609</v>
      </c>
      <c r="T18" s="485">
        <f t="shared" si="3"/>
        <v>0</v>
      </c>
      <c r="U18" s="461">
        <f t="shared" si="9"/>
        <v>75398</v>
      </c>
      <c r="V18" s="465">
        <f t="shared" si="17"/>
        <v>0</v>
      </c>
      <c r="W18" s="461">
        <f t="shared" si="9"/>
        <v>31853</v>
      </c>
      <c r="X18" s="465">
        <f t="shared" si="22"/>
        <v>0</v>
      </c>
      <c r="Y18" s="461">
        <f t="shared" si="9"/>
        <v>625865</v>
      </c>
      <c r="Z18" s="465">
        <f t="shared" si="21"/>
        <v>0</v>
      </c>
      <c r="AA18" s="461">
        <f t="shared" si="9"/>
        <v>35119</v>
      </c>
      <c r="AB18" s="465">
        <f t="shared" si="18"/>
        <v>0</v>
      </c>
      <c r="AC18" s="461">
        <f t="shared" si="9"/>
        <v>790452</v>
      </c>
      <c r="AD18" s="465">
        <f t="shared" si="26"/>
        <v>0</v>
      </c>
      <c r="AE18" s="488">
        <f t="shared" si="10"/>
        <v>0</v>
      </c>
      <c r="AF18" s="489">
        <f t="shared" si="11"/>
        <v>0</v>
      </c>
      <c r="AG18" s="481">
        <f t="shared" si="24"/>
        <v>0</v>
      </c>
      <c r="AI18" s="482">
        <f>R18-'EDl log'!B16</f>
        <v>-49995052</v>
      </c>
    </row>
    <row r="19" spans="1:35">
      <c r="A19" s="473">
        <f>'General information '!F22</f>
        <v>0</v>
      </c>
      <c r="B19" s="467">
        <f t="shared" si="6"/>
        <v>0</v>
      </c>
      <c r="C19" s="474">
        <v>43999</v>
      </c>
      <c r="D19" s="461">
        <f t="shared" si="7"/>
        <v>31741616</v>
      </c>
      <c r="E19" s="321">
        <f t="shared" si="12"/>
        <v>0</v>
      </c>
      <c r="F19" s="461">
        <f t="shared" si="7"/>
        <v>3693982</v>
      </c>
      <c r="G19" s="322">
        <f t="shared" si="0"/>
        <v>0</v>
      </c>
      <c r="H19" s="461">
        <f t="shared" si="7"/>
        <v>17472100</v>
      </c>
      <c r="I19" s="322">
        <f t="shared" si="13"/>
        <v>0</v>
      </c>
      <c r="J19" s="461">
        <f t="shared" si="7"/>
        <v>28451890</v>
      </c>
      <c r="K19" s="322">
        <f t="shared" si="14"/>
        <v>0</v>
      </c>
      <c r="L19" s="461">
        <f t="shared" si="7"/>
        <v>23072552</v>
      </c>
      <c r="M19" s="322">
        <f t="shared" si="15"/>
        <v>0</v>
      </c>
      <c r="N19" s="320">
        <f t="shared" si="16"/>
        <v>0</v>
      </c>
      <c r="O19" s="483">
        <f t="shared" si="23"/>
        <v>0</v>
      </c>
      <c r="P19" s="461">
        <f t="shared" si="8"/>
        <v>15549</v>
      </c>
      <c r="Q19" s="465">
        <f>(P19-P18)*1000</f>
        <v>0</v>
      </c>
      <c r="R19" s="465">
        <f t="shared" si="20"/>
        <v>0</v>
      </c>
      <c r="S19" s="461">
        <f t="shared" si="9"/>
        <v>8609</v>
      </c>
      <c r="T19" s="485">
        <f t="shared" si="3"/>
        <v>0</v>
      </c>
      <c r="U19" s="461">
        <f t="shared" si="9"/>
        <v>75398</v>
      </c>
      <c r="V19" s="465">
        <f t="shared" si="17"/>
        <v>0</v>
      </c>
      <c r="W19" s="461">
        <f t="shared" si="9"/>
        <v>31853</v>
      </c>
      <c r="X19" s="465">
        <f t="shared" si="22"/>
        <v>0</v>
      </c>
      <c r="Y19" s="461">
        <f t="shared" si="9"/>
        <v>625865</v>
      </c>
      <c r="Z19" s="465">
        <f t="shared" si="21"/>
        <v>0</v>
      </c>
      <c r="AA19" s="461">
        <f t="shared" si="9"/>
        <v>35119</v>
      </c>
      <c r="AB19" s="465">
        <f t="shared" si="18"/>
        <v>0</v>
      </c>
      <c r="AC19" s="461">
        <f t="shared" si="9"/>
        <v>790452</v>
      </c>
      <c r="AD19" s="465">
        <f t="shared" si="26"/>
        <v>0</v>
      </c>
      <c r="AE19" s="488">
        <f t="shared" si="10"/>
        <v>0</v>
      </c>
      <c r="AF19" s="489">
        <f t="shared" si="11"/>
        <v>0</v>
      </c>
      <c r="AG19" s="481">
        <f t="shared" si="24"/>
        <v>0</v>
      </c>
      <c r="AI19" s="482">
        <f>R19-'EDl log'!B17</f>
        <v>-49995052</v>
      </c>
    </row>
    <row r="20" spans="1:35">
      <c r="A20" s="473">
        <f>'General information '!F23</f>
        <v>0</v>
      </c>
      <c r="B20" s="467">
        <f t="shared" si="6"/>
        <v>0</v>
      </c>
      <c r="C20" s="474">
        <v>44000</v>
      </c>
      <c r="D20" s="461">
        <f t="shared" si="7"/>
        <v>31741616</v>
      </c>
      <c r="E20" s="321">
        <f t="shared" si="12"/>
        <v>0</v>
      </c>
      <c r="F20" s="461">
        <f t="shared" si="7"/>
        <v>3693982</v>
      </c>
      <c r="G20" s="322">
        <f t="shared" si="0"/>
        <v>0</v>
      </c>
      <c r="H20" s="461">
        <f t="shared" si="7"/>
        <v>17472100</v>
      </c>
      <c r="I20" s="322">
        <f t="shared" si="13"/>
        <v>0</v>
      </c>
      <c r="J20" s="461">
        <f t="shared" si="7"/>
        <v>28451890</v>
      </c>
      <c r="K20" s="322">
        <f t="shared" si="14"/>
        <v>0</v>
      </c>
      <c r="L20" s="461">
        <f t="shared" si="7"/>
        <v>23072552</v>
      </c>
      <c r="M20" s="322">
        <f t="shared" si="15"/>
        <v>0</v>
      </c>
      <c r="N20" s="320">
        <f t="shared" si="16"/>
        <v>0</v>
      </c>
      <c r="O20" s="483">
        <f t="shared" si="23"/>
        <v>0</v>
      </c>
      <c r="P20" s="461">
        <f t="shared" si="8"/>
        <v>15549</v>
      </c>
      <c r="Q20" s="465">
        <f t="shared" si="25"/>
        <v>0</v>
      </c>
      <c r="R20" s="465">
        <f t="shared" si="20"/>
        <v>0</v>
      </c>
      <c r="S20" s="461">
        <f t="shared" si="9"/>
        <v>8609</v>
      </c>
      <c r="T20" s="485">
        <f t="shared" si="3"/>
        <v>0</v>
      </c>
      <c r="U20" s="461">
        <f t="shared" si="9"/>
        <v>75398</v>
      </c>
      <c r="V20" s="465">
        <f t="shared" si="17"/>
        <v>0</v>
      </c>
      <c r="W20" s="461">
        <f t="shared" si="9"/>
        <v>31853</v>
      </c>
      <c r="X20" s="465">
        <f t="shared" si="22"/>
        <v>0</v>
      </c>
      <c r="Y20" s="461">
        <f t="shared" si="9"/>
        <v>625865</v>
      </c>
      <c r="Z20" s="465">
        <f t="shared" si="21"/>
        <v>0</v>
      </c>
      <c r="AA20" s="461">
        <f t="shared" si="9"/>
        <v>35119</v>
      </c>
      <c r="AB20" s="465">
        <f t="shared" si="18"/>
        <v>0</v>
      </c>
      <c r="AC20" s="461">
        <f t="shared" si="9"/>
        <v>790452</v>
      </c>
      <c r="AD20" s="465">
        <f t="shared" si="26"/>
        <v>0</v>
      </c>
      <c r="AE20" s="488">
        <f t="shared" si="10"/>
        <v>0</v>
      </c>
      <c r="AF20" s="489">
        <f t="shared" si="11"/>
        <v>0</v>
      </c>
      <c r="AG20" s="481">
        <f t="shared" si="24"/>
        <v>0</v>
      </c>
      <c r="AI20" s="482">
        <f>R20-'EDl log'!B18</f>
        <v>-49995052</v>
      </c>
    </row>
    <row r="21" spans="1:35">
      <c r="A21" s="473">
        <f>'General information '!F24</f>
        <v>0</v>
      </c>
      <c r="B21" s="467">
        <f t="shared" si="6"/>
        <v>0</v>
      </c>
      <c r="C21" s="474">
        <v>44001</v>
      </c>
      <c r="D21" s="461">
        <f t="shared" si="7"/>
        <v>31741616</v>
      </c>
      <c r="E21" s="321">
        <f t="shared" si="12"/>
        <v>0</v>
      </c>
      <c r="F21" s="461">
        <f t="shared" si="7"/>
        <v>3693982</v>
      </c>
      <c r="G21" s="322">
        <f t="shared" si="0"/>
        <v>0</v>
      </c>
      <c r="H21" s="461">
        <f t="shared" si="7"/>
        <v>17472100</v>
      </c>
      <c r="I21" s="322">
        <f t="shared" si="13"/>
        <v>0</v>
      </c>
      <c r="J21" s="461">
        <f t="shared" si="7"/>
        <v>28451890</v>
      </c>
      <c r="K21" s="322">
        <f t="shared" si="14"/>
        <v>0</v>
      </c>
      <c r="L21" s="461">
        <f t="shared" si="7"/>
        <v>23072552</v>
      </c>
      <c r="M21" s="322">
        <f t="shared" si="15"/>
        <v>0</v>
      </c>
      <c r="N21" s="320">
        <f t="shared" si="16"/>
        <v>0</v>
      </c>
      <c r="O21" s="483">
        <f t="shared" si="23"/>
        <v>0</v>
      </c>
      <c r="P21" s="461">
        <f t="shared" si="8"/>
        <v>15549</v>
      </c>
      <c r="Q21" s="465">
        <f>(P21-P20)*1000</f>
        <v>0</v>
      </c>
      <c r="R21" s="465">
        <f t="shared" si="20"/>
        <v>0</v>
      </c>
      <c r="S21" s="461">
        <f t="shared" si="9"/>
        <v>8609</v>
      </c>
      <c r="T21" s="485">
        <f t="shared" si="3"/>
        <v>0</v>
      </c>
      <c r="U21" s="461">
        <f t="shared" si="9"/>
        <v>75398</v>
      </c>
      <c r="V21" s="465">
        <f t="shared" si="17"/>
        <v>0</v>
      </c>
      <c r="W21" s="461">
        <f t="shared" si="9"/>
        <v>31853</v>
      </c>
      <c r="X21" s="465">
        <f t="shared" si="22"/>
        <v>0</v>
      </c>
      <c r="Y21" s="461">
        <f t="shared" si="9"/>
        <v>625865</v>
      </c>
      <c r="Z21" s="465">
        <f t="shared" si="21"/>
        <v>0</v>
      </c>
      <c r="AA21" s="461">
        <f t="shared" si="9"/>
        <v>35119</v>
      </c>
      <c r="AB21" s="465">
        <f t="shared" si="18"/>
        <v>0</v>
      </c>
      <c r="AC21" s="461">
        <f t="shared" si="9"/>
        <v>790452</v>
      </c>
      <c r="AD21" s="465">
        <f t="shared" si="26"/>
        <v>0</v>
      </c>
      <c r="AE21" s="488">
        <f t="shared" si="10"/>
        <v>0</v>
      </c>
      <c r="AF21" s="489">
        <f t="shared" si="11"/>
        <v>0</v>
      </c>
      <c r="AG21" s="481">
        <f t="shared" si="24"/>
        <v>0</v>
      </c>
      <c r="AI21" s="482">
        <f>R21-'EDl log'!B19</f>
        <v>-49995052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si="7"/>
        <v>31741616</v>
      </c>
      <c r="E22" s="321">
        <f t="shared" si="12"/>
        <v>0</v>
      </c>
      <c r="F22" s="461">
        <f t="shared" si="7"/>
        <v>3693982</v>
      </c>
      <c r="G22" s="322">
        <f t="shared" si="0"/>
        <v>0</v>
      </c>
      <c r="H22" s="461">
        <f t="shared" si="7"/>
        <v>17472100</v>
      </c>
      <c r="I22" s="322">
        <f t="shared" si="13"/>
        <v>0</v>
      </c>
      <c r="J22" s="461">
        <f t="shared" si="7"/>
        <v>28451890</v>
      </c>
      <c r="K22" s="322">
        <f t="shared" si="14"/>
        <v>0</v>
      </c>
      <c r="L22" s="461">
        <f t="shared" si="7"/>
        <v>23072552</v>
      </c>
      <c r="M22" s="322">
        <f t="shared" si="15"/>
        <v>0</v>
      </c>
      <c r="N22" s="320">
        <f t="shared" si="16"/>
        <v>0</v>
      </c>
      <c r="O22" s="483">
        <f t="shared" si="23"/>
        <v>0</v>
      </c>
      <c r="P22" s="461">
        <f t="shared" si="8"/>
        <v>15549</v>
      </c>
      <c r="Q22" s="465">
        <f t="shared" si="25"/>
        <v>0</v>
      </c>
      <c r="R22" s="465">
        <f t="shared" si="20"/>
        <v>0</v>
      </c>
      <c r="S22" s="461">
        <f t="shared" si="9"/>
        <v>8609</v>
      </c>
      <c r="T22" s="485">
        <f t="shared" si="3"/>
        <v>0</v>
      </c>
      <c r="U22" s="461">
        <f t="shared" si="9"/>
        <v>75398</v>
      </c>
      <c r="V22" s="465">
        <f t="shared" si="17"/>
        <v>0</v>
      </c>
      <c r="W22" s="461">
        <f t="shared" si="9"/>
        <v>31853</v>
      </c>
      <c r="X22" s="465">
        <f t="shared" si="22"/>
        <v>0</v>
      </c>
      <c r="Y22" s="461">
        <f t="shared" si="9"/>
        <v>625865</v>
      </c>
      <c r="Z22" s="465">
        <f t="shared" si="21"/>
        <v>0</v>
      </c>
      <c r="AA22" s="461">
        <f t="shared" si="9"/>
        <v>35119</v>
      </c>
      <c r="AB22" s="465">
        <f t="shared" si="18"/>
        <v>0</v>
      </c>
      <c r="AC22" s="461">
        <f t="shared" si="9"/>
        <v>790452</v>
      </c>
      <c r="AD22" s="465">
        <f t="shared" si="26"/>
        <v>0</v>
      </c>
      <c r="AE22" s="488">
        <f t="shared" si="10"/>
        <v>0</v>
      </c>
      <c r="AF22" s="489">
        <f t="shared" si="11"/>
        <v>0</v>
      </c>
      <c r="AG22" s="481">
        <f t="shared" si="24"/>
        <v>0</v>
      </c>
      <c r="AI22" s="482">
        <f>R22-'EDl log'!B20</f>
        <v>-49995052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7"/>
        <v>31741616</v>
      </c>
      <c r="E23" s="321">
        <f t="shared" si="12"/>
        <v>0</v>
      </c>
      <c r="F23" s="461">
        <f t="shared" si="7"/>
        <v>3693982</v>
      </c>
      <c r="G23" s="322">
        <f t="shared" si="0"/>
        <v>0</v>
      </c>
      <c r="H23" s="461">
        <f t="shared" si="7"/>
        <v>17472100</v>
      </c>
      <c r="I23" s="454">
        <f t="shared" si="13"/>
        <v>0</v>
      </c>
      <c r="J23" s="461">
        <f t="shared" si="7"/>
        <v>28451890</v>
      </c>
      <c r="K23" s="322">
        <f t="shared" si="14"/>
        <v>0</v>
      </c>
      <c r="L23" s="461">
        <f t="shared" si="7"/>
        <v>23072552</v>
      </c>
      <c r="M23" s="322">
        <f t="shared" si="15"/>
        <v>0</v>
      </c>
      <c r="N23" s="320">
        <f t="shared" si="16"/>
        <v>0</v>
      </c>
      <c r="O23" s="483">
        <f t="shared" si="23"/>
        <v>0</v>
      </c>
      <c r="P23" s="461">
        <f t="shared" si="8"/>
        <v>15549</v>
      </c>
      <c r="Q23" s="465">
        <f t="shared" si="25"/>
        <v>0</v>
      </c>
      <c r="R23" s="465">
        <f t="shared" si="20"/>
        <v>0</v>
      </c>
      <c r="S23" s="461">
        <f t="shared" si="9"/>
        <v>8609</v>
      </c>
      <c r="T23" s="485">
        <f t="shared" si="3"/>
        <v>0</v>
      </c>
      <c r="U23" s="461">
        <f t="shared" si="9"/>
        <v>75398</v>
      </c>
      <c r="V23" s="465">
        <f t="shared" si="17"/>
        <v>0</v>
      </c>
      <c r="W23" s="461">
        <f t="shared" si="9"/>
        <v>31853</v>
      </c>
      <c r="X23" s="465">
        <f t="shared" si="22"/>
        <v>0</v>
      </c>
      <c r="Y23" s="461">
        <f t="shared" si="9"/>
        <v>625865</v>
      </c>
      <c r="Z23" s="465">
        <f t="shared" si="21"/>
        <v>0</v>
      </c>
      <c r="AA23" s="461">
        <f t="shared" si="9"/>
        <v>35119</v>
      </c>
      <c r="AB23" s="465">
        <f t="shared" si="18"/>
        <v>0</v>
      </c>
      <c r="AC23" s="461">
        <f t="shared" si="9"/>
        <v>790452</v>
      </c>
      <c r="AD23" s="465">
        <f t="shared" si="26"/>
        <v>0</v>
      </c>
      <c r="AE23" s="488">
        <f t="shared" si="10"/>
        <v>0</v>
      </c>
      <c r="AF23" s="489">
        <f t="shared" si="11"/>
        <v>0</v>
      </c>
      <c r="AG23" s="481">
        <f t="shared" si="24"/>
        <v>0</v>
      </c>
      <c r="AI23" s="482">
        <f>R23-'EDl log'!B21</f>
        <v>-49995052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7"/>
        <v>31741616</v>
      </c>
      <c r="E24" s="321">
        <f t="shared" si="12"/>
        <v>0</v>
      </c>
      <c r="F24" s="461">
        <f t="shared" si="7"/>
        <v>3693982</v>
      </c>
      <c r="G24" s="322">
        <f t="shared" si="0"/>
        <v>0</v>
      </c>
      <c r="H24" s="461">
        <f t="shared" si="7"/>
        <v>17472100</v>
      </c>
      <c r="I24" s="322">
        <f t="shared" si="13"/>
        <v>0</v>
      </c>
      <c r="J24" s="461">
        <f t="shared" si="7"/>
        <v>28451890</v>
      </c>
      <c r="K24" s="322">
        <f t="shared" si="14"/>
        <v>0</v>
      </c>
      <c r="L24" s="461">
        <f t="shared" si="7"/>
        <v>23072552</v>
      </c>
      <c r="M24" s="322">
        <f t="shared" si="15"/>
        <v>0</v>
      </c>
      <c r="N24" s="320">
        <f t="shared" si="16"/>
        <v>0</v>
      </c>
      <c r="O24" s="483">
        <f t="shared" si="23"/>
        <v>0</v>
      </c>
      <c r="P24" s="461">
        <f t="shared" si="8"/>
        <v>15549</v>
      </c>
      <c r="Q24" s="465">
        <f t="shared" si="25"/>
        <v>0</v>
      </c>
      <c r="R24" s="465">
        <f t="shared" si="20"/>
        <v>0</v>
      </c>
      <c r="S24" s="461">
        <f t="shared" si="9"/>
        <v>8609</v>
      </c>
      <c r="T24" s="485">
        <f t="shared" si="3"/>
        <v>0</v>
      </c>
      <c r="U24" s="461">
        <f t="shared" si="9"/>
        <v>75398</v>
      </c>
      <c r="V24" s="465">
        <f t="shared" si="17"/>
        <v>0</v>
      </c>
      <c r="W24" s="461">
        <f t="shared" si="9"/>
        <v>31853</v>
      </c>
      <c r="X24" s="465">
        <f t="shared" si="22"/>
        <v>0</v>
      </c>
      <c r="Y24" s="461">
        <f t="shared" si="9"/>
        <v>625865</v>
      </c>
      <c r="Z24" s="465">
        <f t="shared" si="21"/>
        <v>0</v>
      </c>
      <c r="AA24" s="461">
        <f t="shared" si="9"/>
        <v>35119</v>
      </c>
      <c r="AB24" s="465">
        <f t="shared" si="18"/>
        <v>0</v>
      </c>
      <c r="AC24" s="461">
        <f t="shared" si="9"/>
        <v>790452</v>
      </c>
      <c r="AD24" s="465">
        <f t="shared" si="26"/>
        <v>0</v>
      </c>
      <c r="AE24" s="488">
        <f t="shared" si="10"/>
        <v>0</v>
      </c>
      <c r="AF24" s="489">
        <f t="shared" si="11"/>
        <v>0</v>
      </c>
      <c r="AG24" s="481">
        <f t="shared" si="24"/>
        <v>0</v>
      </c>
      <c r="AI24" s="482">
        <f>R24-'EDl log'!B22</f>
        <v>-49995052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7"/>
        <v>31741616</v>
      </c>
      <c r="E25" s="321">
        <f t="shared" si="12"/>
        <v>0</v>
      </c>
      <c r="F25" s="461">
        <f t="shared" si="7"/>
        <v>3693982</v>
      </c>
      <c r="G25" s="322">
        <f t="shared" si="0"/>
        <v>0</v>
      </c>
      <c r="H25" s="461">
        <f t="shared" si="7"/>
        <v>17472100</v>
      </c>
      <c r="I25" s="322">
        <f t="shared" si="13"/>
        <v>0</v>
      </c>
      <c r="J25" s="461">
        <f t="shared" si="7"/>
        <v>28451890</v>
      </c>
      <c r="K25" s="322">
        <f t="shared" si="14"/>
        <v>0</v>
      </c>
      <c r="L25" s="461">
        <f t="shared" si="7"/>
        <v>23072552</v>
      </c>
      <c r="M25" s="322">
        <f t="shared" si="15"/>
        <v>0</v>
      </c>
      <c r="N25" s="320">
        <f t="shared" si="16"/>
        <v>0</v>
      </c>
      <c r="O25" s="483">
        <f t="shared" si="23"/>
        <v>0</v>
      </c>
      <c r="P25" s="461">
        <f t="shared" si="8"/>
        <v>15549</v>
      </c>
      <c r="Q25" s="465">
        <f t="shared" si="25"/>
        <v>0</v>
      </c>
      <c r="R25" s="465">
        <f t="shared" si="20"/>
        <v>0</v>
      </c>
      <c r="S25" s="461">
        <f t="shared" si="9"/>
        <v>8609</v>
      </c>
      <c r="T25" s="485">
        <f t="shared" si="3"/>
        <v>0</v>
      </c>
      <c r="U25" s="461">
        <f t="shared" si="9"/>
        <v>75398</v>
      </c>
      <c r="V25" s="465">
        <f t="shared" si="17"/>
        <v>0</v>
      </c>
      <c r="W25" s="461">
        <f t="shared" si="9"/>
        <v>31853</v>
      </c>
      <c r="X25" s="465">
        <f t="shared" si="22"/>
        <v>0</v>
      </c>
      <c r="Y25" s="461">
        <f t="shared" si="9"/>
        <v>625865</v>
      </c>
      <c r="Z25" s="465">
        <f t="shared" si="21"/>
        <v>0</v>
      </c>
      <c r="AA25" s="461">
        <f t="shared" si="9"/>
        <v>35119</v>
      </c>
      <c r="AB25" s="465">
        <f t="shared" si="18"/>
        <v>0</v>
      </c>
      <c r="AC25" s="461">
        <f t="shared" si="9"/>
        <v>790452</v>
      </c>
      <c r="AD25" s="465">
        <f t="shared" si="26"/>
        <v>0</v>
      </c>
      <c r="AE25" s="488">
        <f t="shared" si="10"/>
        <v>0</v>
      </c>
      <c r="AF25" s="489">
        <f t="shared" si="11"/>
        <v>0</v>
      </c>
      <c r="AG25" s="481">
        <f t="shared" si="24"/>
        <v>0</v>
      </c>
      <c r="AI25" s="482">
        <f>R25-'EDl log'!B23</f>
        <v>-49995052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7"/>
        <v>31741616</v>
      </c>
      <c r="E26" s="321">
        <f t="shared" si="12"/>
        <v>0</v>
      </c>
      <c r="F26" s="461">
        <f t="shared" si="7"/>
        <v>3693982</v>
      </c>
      <c r="G26" s="322">
        <f t="shared" si="0"/>
        <v>0</v>
      </c>
      <c r="H26" s="461">
        <f t="shared" si="7"/>
        <v>17472100</v>
      </c>
      <c r="I26" s="322">
        <f t="shared" si="13"/>
        <v>0</v>
      </c>
      <c r="J26" s="461">
        <f t="shared" si="7"/>
        <v>28451890</v>
      </c>
      <c r="K26" s="322">
        <f t="shared" si="14"/>
        <v>0</v>
      </c>
      <c r="L26" s="461">
        <f t="shared" si="7"/>
        <v>23072552</v>
      </c>
      <c r="M26" s="322">
        <f t="shared" si="15"/>
        <v>0</v>
      </c>
      <c r="N26" s="320">
        <f t="shared" si="16"/>
        <v>0</v>
      </c>
      <c r="O26" s="483">
        <f t="shared" si="23"/>
        <v>0</v>
      </c>
      <c r="P26" s="461">
        <f t="shared" si="8"/>
        <v>15549</v>
      </c>
      <c r="Q26" s="465">
        <f t="shared" si="25"/>
        <v>0</v>
      </c>
      <c r="R26" s="490">
        <f>N26-Q26</f>
        <v>0</v>
      </c>
      <c r="S26" s="461">
        <f t="shared" si="9"/>
        <v>8609</v>
      </c>
      <c r="T26" s="485">
        <f t="shared" si="3"/>
        <v>0</v>
      </c>
      <c r="U26" s="461">
        <f t="shared" si="9"/>
        <v>75398</v>
      </c>
      <c r="V26" s="465">
        <f t="shared" si="17"/>
        <v>0</v>
      </c>
      <c r="W26" s="461">
        <f t="shared" si="9"/>
        <v>31853</v>
      </c>
      <c r="X26" s="465">
        <f t="shared" si="22"/>
        <v>0</v>
      </c>
      <c r="Y26" s="461">
        <f t="shared" si="9"/>
        <v>625865</v>
      </c>
      <c r="Z26" s="465">
        <f t="shared" si="21"/>
        <v>0</v>
      </c>
      <c r="AA26" s="461">
        <f t="shared" si="9"/>
        <v>35119</v>
      </c>
      <c r="AB26" s="465">
        <f t="shared" si="18"/>
        <v>0</v>
      </c>
      <c r="AC26" s="461">
        <f t="shared" si="9"/>
        <v>790452</v>
      </c>
      <c r="AD26" s="465">
        <f t="shared" si="26"/>
        <v>0</v>
      </c>
      <c r="AE26" s="488">
        <f t="shared" si="10"/>
        <v>0</v>
      </c>
      <c r="AF26" s="489">
        <f t="shared" si="11"/>
        <v>0</v>
      </c>
      <c r="AG26" s="481">
        <f t="shared" si="24"/>
        <v>0</v>
      </c>
      <c r="AI26" s="482">
        <f>R26-'EDl log'!B24</f>
        <v>-49995052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7"/>
        <v>31741616</v>
      </c>
      <c r="E27" s="321">
        <f t="shared" si="12"/>
        <v>0</v>
      </c>
      <c r="F27" s="461">
        <f t="shared" si="7"/>
        <v>3693982</v>
      </c>
      <c r="G27" s="322">
        <f>F27-F26</f>
        <v>0</v>
      </c>
      <c r="H27" s="461">
        <f t="shared" si="7"/>
        <v>17472100</v>
      </c>
      <c r="I27" s="322">
        <f t="shared" si="13"/>
        <v>0</v>
      </c>
      <c r="J27" s="461">
        <f t="shared" si="7"/>
        <v>28451890</v>
      </c>
      <c r="K27" s="322">
        <f t="shared" si="14"/>
        <v>0</v>
      </c>
      <c r="L27" s="461">
        <f t="shared" si="7"/>
        <v>23072552</v>
      </c>
      <c r="M27" s="322">
        <f t="shared" si="15"/>
        <v>0</v>
      </c>
      <c r="N27" s="320">
        <f t="shared" si="16"/>
        <v>0</v>
      </c>
      <c r="O27" s="483">
        <f t="shared" si="23"/>
        <v>0</v>
      </c>
      <c r="P27" s="461">
        <f t="shared" si="8"/>
        <v>15549</v>
      </c>
      <c r="Q27" s="465">
        <f t="shared" si="25"/>
        <v>0</v>
      </c>
      <c r="R27" s="465">
        <f t="shared" si="20"/>
        <v>0</v>
      </c>
      <c r="S27" s="461">
        <f t="shared" si="9"/>
        <v>8609</v>
      </c>
      <c r="T27" s="485">
        <f t="shared" si="3"/>
        <v>0</v>
      </c>
      <c r="U27" s="461">
        <f t="shared" si="9"/>
        <v>75398</v>
      </c>
      <c r="V27" s="465">
        <f t="shared" si="17"/>
        <v>0</v>
      </c>
      <c r="W27" s="461">
        <f t="shared" si="9"/>
        <v>31853</v>
      </c>
      <c r="X27" s="465">
        <f t="shared" si="22"/>
        <v>0</v>
      </c>
      <c r="Y27" s="461">
        <f t="shared" si="9"/>
        <v>625865</v>
      </c>
      <c r="Z27" s="465">
        <f t="shared" si="21"/>
        <v>0</v>
      </c>
      <c r="AA27" s="461">
        <f t="shared" si="9"/>
        <v>35119</v>
      </c>
      <c r="AB27" s="465">
        <f t="shared" si="18"/>
        <v>0</v>
      </c>
      <c r="AC27" s="461">
        <f t="shared" si="9"/>
        <v>790452</v>
      </c>
      <c r="AD27" s="465">
        <f t="shared" si="26"/>
        <v>0</v>
      </c>
      <c r="AE27" s="488">
        <f t="shared" si="10"/>
        <v>0</v>
      </c>
      <c r="AF27" s="489">
        <f t="shared" si="11"/>
        <v>0</v>
      </c>
      <c r="AG27" s="481">
        <f t="shared" si="24"/>
        <v>0</v>
      </c>
      <c r="AI27" s="482">
        <f>R27-'EDl log'!B25</f>
        <v>-49995052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7"/>
        <v>31741616</v>
      </c>
      <c r="E28" s="321">
        <f t="shared" si="12"/>
        <v>0</v>
      </c>
      <c r="F28" s="461">
        <f t="shared" si="7"/>
        <v>3693982</v>
      </c>
      <c r="G28" s="322">
        <f t="shared" si="0"/>
        <v>0</v>
      </c>
      <c r="H28" s="461">
        <f t="shared" si="7"/>
        <v>17472100</v>
      </c>
      <c r="I28" s="322">
        <f t="shared" si="13"/>
        <v>0</v>
      </c>
      <c r="J28" s="461">
        <f t="shared" si="7"/>
        <v>28451890</v>
      </c>
      <c r="K28" s="322">
        <f t="shared" si="14"/>
        <v>0</v>
      </c>
      <c r="L28" s="461">
        <f t="shared" si="7"/>
        <v>23072552</v>
      </c>
      <c r="M28" s="322">
        <f t="shared" si="15"/>
        <v>0</v>
      </c>
      <c r="N28" s="320">
        <f t="shared" si="16"/>
        <v>0</v>
      </c>
      <c r="O28" s="483">
        <f t="shared" si="23"/>
        <v>0</v>
      </c>
      <c r="P28" s="461">
        <f t="shared" si="8"/>
        <v>15549</v>
      </c>
      <c r="Q28" s="465">
        <f t="shared" si="25"/>
        <v>0</v>
      </c>
      <c r="R28" s="465">
        <f>N28-Q28</f>
        <v>0</v>
      </c>
      <c r="S28" s="461">
        <f t="shared" si="9"/>
        <v>8609</v>
      </c>
      <c r="T28" s="485">
        <f t="shared" si="3"/>
        <v>0</v>
      </c>
      <c r="U28" s="461">
        <f t="shared" si="9"/>
        <v>75398</v>
      </c>
      <c r="V28" s="465">
        <f t="shared" si="17"/>
        <v>0</v>
      </c>
      <c r="W28" s="461">
        <f t="shared" si="9"/>
        <v>31853</v>
      </c>
      <c r="X28" s="465">
        <f t="shared" si="22"/>
        <v>0</v>
      </c>
      <c r="Y28" s="461">
        <f t="shared" si="9"/>
        <v>625865</v>
      </c>
      <c r="Z28" s="465">
        <f t="shared" si="21"/>
        <v>0</v>
      </c>
      <c r="AA28" s="461">
        <f t="shared" si="9"/>
        <v>35119</v>
      </c>
      <c r="AB28" s="465">
        <f t="shared" si="18"/>
        <v>0</v>
      </c>
      <c r="AC28" s="461">
        <f t="shared" si="9"/>
        <v>790452</v>
      </c>
      <c r="AD28" s="465">
        <f t="shared" si="26"/>
        <v>0</v>
      </c>
      <c r="AE28" s="488">
        <f t="shared" si="10"/>
        <v>0</v>
      </c>
      <c r="AF28" s="489">
        <f t="shared" si="11"/>
        <v>0</v>
      </c>
      <c r="AG28" s="481">
        <f t="shared" si="24"/>
        <v>0</v>
      </c>
      <c r="AI28" s="482">
        <f>R28-'EDl log'!B26</f>
        <v>-49995052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7"/>
        <v>31741616</v>
      </c>
      <c r="E29" s="321">
        <f t="shared" si="12"/>
        <v>0</v>
      </c>
      <c r="F29" s="461">
        <f t="shared" si="7"/>
        <v>3693982</v>
      </c>
      <c r="G29" s="322">
        <f t="shared" si="0"/>
        <v>0</v>
      </c>
      <c r="H29" s="461">
        <f t="shared" si="7"/>
        <v>17472100</v>
      </c>
      <c r="I29" s="322">
        <f t="shared" si="13"/>
        <v>0</v>
      </c>
      <c r="J29" s="461">
        <f t="shared" si="7"/>
        <v>28451890</v>
      </c>
      <c r="K29" s="322">
        <f t="shared" si="14"/>
        <v>0</v>
      </c>
      <c r="L29" s="461">
        <f t="shared" si="7"/>
        <v>23072552</v>
      </c>
      <c r="M29" s="322">
        <f t="shared" si="15"/>
        <v>0</v>
      </c>
      <c r="N29" s="320">
        <f t="shared" si="16"/>
        <v>0</v>
      </c>
      <c r="O29" s="483">
        <f t="shared" si="23"/>
        <v>0</v>
      </c>
      <c r="P29" s="461">
        <f t="shared" si="8"/>
        <v>15549</v>
      </c>
      <c r="Q29" s="465">
        <f t="shared" si="25"/>
        <v>0</v>
      </c>
      <c r="R29" s="465">
        <f t="shared" si="20"/>
        <v>0</v>
      </c>
      <c r="S29" s="461">
        <f t="shared" si="9"/>
        <v>8609</v>
      </c>
      <c r="T29" s="485">
        <f t="shared" si="3"/>
        <v>0</v>
      </c>
      <c r="U29" s="461">
        <f t="shared" si="9"/>
        <v>75398</v>
      </c>
      <c r="V29" s="465">
        <f t="shared" si="17"/>
        <v>0</v>
      </c>
      <c r="W29" s="461">
        <f t="shared" si="9"/>
        <v>31853</v>
      </c>
      <c r="X29" s="465">
        <f t="shared" si="22"/>
        <v>0</v>
      </c>
      <c r="Y29" s="461">
        <f t="shared" si="9"/>
        <v>625865</v>
      </c>
      <c r="Z29" s="465">
        <f t="shared" si="21"/>
        <v>0</v>
      </c>
      <c r="AA29" s="461">
        <f t="shared" si="9"/>
        <v>35119</v>
      </c>
      <c r="AB29" s="465">
        <f t="shared" si="18"/>
        <v>0</v>
      </c>
      <c r="AC29" s="461">
        <f t="shared" si="9"/>
        <v>790452</v>
      </c>
      <c r="AD29" s="465">
        <f t="shared" si="26"/>
        <v>0</v>
      </c>
      <c r="AE29" s="488">
        <f t="shared" si="10"/>
        <v>0</v>
      </c>
      <c r="AF29" s="489">
        <f t="shared" si="11"/>
        <v>0</v>
      </c>
      <c r="AG29" s="481">
        <f t="shared" si="24"/>
        <v>0</v>
      </c>
      <c r="AI29" s="482">
        <f>R29-'EDl log'!B27</f>
        <v>-49995052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7"/>
        <v>31741616</v>
      </c>
      <c r="E30" s="321">
        <f t="shared" si="12"/>
        <v>0</v>
      </c>
      <c r="F30" s="461">
        <f t="shared" si="7"/>
        <v>3693982</v>
      </c>
      <c r="G30" s="322">
        <f t="shared" si="0"/>
        <v>0</v>
      </c>
      <c r="H30" s="461">
        <f t="shared" si="7"/>
        <v>17472100</v>
      </c>
      <c r="I30" s="322">
        <f t="shared" si="13"/>
        <v>0</v>
      </c>
      <c r="J30" s="461">
        <f t="shared" si="7"/>
        <v>28451890</v>
      </c>
      <c r="K30" s="322">
        <f t="shared" si="14"/>
        <v>0</v>
      </c>
      <c r="L30" s="461">
        <f t="shared" si="7"/>
        <v>23072552</v>
      </c>
      <c r="M30" s="322">
        <f t="shared" si="15"/>
        <v>0</v>
      </c>
      <c r="N30" s="320">
        <f t="shared" si="16"/>
        <v>0</v>
      </c>
      <c r="O30" s="483">
        <f t="shared" si="23"/>
        <v>0</v>
      </c>
      <c r="P30" s="461">
        <f t="shared" si="8"/>
        <v>15549</v>
      </c>
      <c r="Q30" s="465">
        <f t="shared" si="25"/>
        <v>0</v>
      </c>
      <c r="R30" s="465">
        <f t="shared" si="20"/>
        <v>0</v>
      </c>
      <c r="S30" s="461">
        <f t="shared" si="9"/>
        <v>8609</v>
      </c>
      <c r="T30" s="485">
        <f t="shared" si="3"/>
        <v>0</v>
      </c>
      <c r="U30" s="461">
        <f t="shared" si="9"/>
        <v>75398</v>
      </c>
      <c r="V30" s="465">
        <f t="shared" si="17"/>
        <v>0</v>
      </c>
      <c r="W30" s="461">
        <f t="shared" si="9"/>
        <v>31853</v>
      </c>
      <c r="X30" s="486">
        <f t="shared" si="22"/>
        <v>0</v>
      </c>
      <c r="Y30" s="461">
        <f t="shared" si="9"/>
        <v>625865</v>
      </c>
      <c r="Z30" s="465">
        <f t="shared" si="21"/>
        <v>0</v>
      </c>
      <c r="AA30" s="461">
        <f t="shared" si="9"/>
        <v>35119</v>
      </c>
      <c r="AB30" s="465">
        <f t="shared" si="18"/>
        <v>0</v>
      </c>
      <c r="AC30" s="461">
        <f t="shared" si="9"/>
        <v>790452</v>
      </c>
      <c r="AD30" s="465">
        <f t="shared" si="26"/>
        <v>0</v>
      </c>
      <c r="AE30" s="488">
        <f t="shared" si="10"/>
        <v>0</v>
      </c>
      <c r="AF30" s="489">
        <f t="shared" si="11"/>
        <v>0</v>
      </c>
      <c r="AG30" s="481">
        <f t="shared" si="24"/>
        <v>0</v>
      </c>
      <c r="AI30" s="482">
        <f>R30-'EDl log'!B28</f>
        <v>-49995052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7"/>
        <v>31741616</v>
      </c>
      <c r="E31" s="321">
        <f t="shared" si="12"/>
        <v>0</v>
      </c>
      <c r="F31" s="461">
        <f t="shared" si="7"/>
        <v>3693982</v>
      </c>
      <c r="G31" s="322">
        <f t="shared" si="0"/>
        <v>0</v>
      </c>
      <c r="H31" s="461">
        <f t="shared" si="7"/>
        <v>17472100</v>
      </c>
      <c r="I31" s="322">
        <f t="shared" si="13"/>
        <v>0</v>
      </c>
      <c r="J31" s="461">
        <f t="shared" si="7"/>
        <v>28451890</v>
      </c>
      <c r="K31" s="322">
        <f t="shared" si="14"/>
        <v>0</v>
      </c>
      <c r="L31" s="461">
        <f t="shared" si="7"/>
        <v>23072552</v>
      </c>
      <c r="M31" s="322">
        <f t="shared" si="15"/>
        <v>0</v>
      </c>
      <c r="N31" s="320">
        <f t="shared" si="16"/>
        <v>0</v>
      </c>
      <c r="O31" s="483">
        <f t="shared" si="23"/>
        <v>0</v>
      </c>
      <c r="P31" s="461">
        <f t="shared" si="8"/>
        <v>15549</v>
      </c>
      <c r="Q31" s="465">
        <f t="shared" si="25"/>
        <v>0</v>
      </c>
      <c r="R31" s="465">
        <f t="shared" si="20"/>
        <v>0</v>
      </c>
      <c r="S31" s="461">
        <f t="shared" si="9"/>
        <v>8609</v>
      </c>
      <c r="T31" s="485">
        <f t="shared" si="3"/>
        <v>0</v>
      </c>
      <c r="U31" s="461">
        <f t="shared" si="9"/>
        <v>75398</v>
      </c>
      <c r="V31" s="465">
        <f t="shared" si="17"/>
        <v>0</v>
      </c>
      <c r="W31" s="461">
        <f t="shared" si="9"/>
        <v>31853</v>
      </c>
      <c r="X31" s="486">
        <f t="shared" si="22"/>
        <v>0</v>
      </c>
      <c r="Y31" s="461">
        <f t="shared" si="9"/>
        <v>625865</v>
      </c>
      <c r="Z31" s="487">
        <f>Y31-Y30</f>
        <v>0</v>
      </c>
      <c r="AA31" s="461">
        <f t="shared" si="9"/>
        <v>35119</v>
      </c>
      <c r="AB31" s="465">
        <f t="shared" si="18"/>
        <v>0</v>
      </c>
      <c r="AC31" s="461">
        <f t="shared" si="9"/>
        <v>790452</v>
      </c>
      <c r="AD31" s="465">
        <f t="shared" si="26"/>
        <v>0</v>
      </c>
      <c r="AE31" s="488">
        <f t="shared" si="10"/>
        <v>0</v>
      </c>
      <c r="AF31" s="489">
        <f t="shared" si="11"/>
        <v>0</v>
      </c>
      <c r="AG31" s="481">
        <f t="shared" si="24"/>
        <v>0</v>
      </c>
      <c r="AI31" s="482">
        <f>R31-'EDl log'!B29</f>
        <v>-49995052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7"/>
        <v>31741616</v>
      </c>
      <c r="E32" s="321">
        <f t="shared" si="12"/>
        <v>0</v>
      </c>
      <c r="F32" s="461">
        <f t="shared" si="7"/>
        <v>3693982</v>
      </c>
      <c r="G32" s="322">
        <f>F32-F31</f>
        <v>0</v>
      </c>
      <c r="H32" s="461">
        <f t="shared" si="7"/>
        <v>17472100</v>
      </c>
      <c r="I32" s="322">
        <f>H32-H31</f>
        <v>0</v>
      </c>
      <c r="J32" s="461">
        <f t="shared" si="7"/>
        <v>28451890</v>
      </c>
      <c r="K32" s="322">
        <f>J32-J31</f>
        <v>0</v>
      </c>
      <c r="L32" s="461">
        <f t="shared" si="7"/>
        <v>23072552</v>
      </c>
      <c r="M32" s="322">
        <f>L32-L31</f>
        <v>0</v>
      </c>
      <c r="N32" s="320">
        <f>M32+K32+I32+G32+E32</f>
        <v>0</v>
      </c>
      <c r="O32" s="483">
        <f t="shared" si="23"/>
        <v>0</v>
      </c>
      <c r="P32" s="461">
        <f t="shared" si="8"/>
        <v>15549</v>
      </c>
      <c r="Q32" s="465">
        <f>(P32-P31)*1000</f>
        <v>0</v>
      </c>
      <c r="R32" s="465">
        <f>N32-Q32</f>
        <v>0</v>
      </c>
      <c r="S32" s="461">
        <f t="shared" si="9"/>
        <v>8609</v>
      </c>
      <c r="T32" s="485">
        <f t="shared" si="3"/>
        <v>0</v>
      </c>
      <c r="U32" s="461">
        <f t="shared" si="9"/>
        <v>75398</v>
      </c>
      <c r="V32" s="465">
        <f t="shared" si="17"/>
        <v>0</v>
      </c>
      <c r="W32" s="461">
        <f t="shared" si="9"/>
        <v>31853</v>
      </c>
      <c r="X32" s="465">
        <f t="shared" si="22"/>
        <v>0</v>
      </c>
      <c r="Y32" s="461">
        <f t="shared" si="9"/>
        <v>625865</v>
      </c>
      <c r="Z32" s="487">
        <f>Y32-Y31</f>
        <v>0</v>
      </c>
      <c r="AA32" s="461">
        <f t="shared" si="9"/>
        <v>35119</v>
      </c>
      <c r="AB32" s="465">
        <f t="shared" si="18"/>
        <v>0</v>
      </c>
      <c r="AC32" s="461">
        <f t="shared" si="9"/>
        <v>790452</v>
      </c>
      <c r="AD32" s="465">
        <f t="shared" si="26"/>
        <v>0</v>
      </c>
      <c r="AE32" s="488">
        <f t="shared" si="10"/>
        <v>0</v>
      </c>
      <c r="AF32" s="489">
        <f>V32+Z32+AD32</f>
        <v>0</v>
      </c>
      <c r="AG32" s="481">
        <f t="shared" si="24"/>
        <v>0</v>
      </c>
      <c r="AI32" s="482">
        <f>R32-'EDl log'!B30</f>
        <v>-49995052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opLeftCell="AH1" zoomScale="90" zoomScaleNormal="90" workbookViewId="0">
      <pane ySplit="1" topLeftCell="A2" activePane="bottomLeft" state="frozen"/>
      <selection activeCell="K1" sqref="K1"/>
      <selection pane="bottomLeft" activeCell="AN6" sqref="AN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595" t="s">
        <v>2</v>
      </c>
      <c r="G1" s="596"/>
      <c r="H1" s="596"/>
      <c r="I1" s="597"/>
      <c r="J1" s="292">
        <f>J35</f>
        <v>1</v>
      </c>
      <c r="K1" s="598" t="s">
        <v>4</v>
      </c>
      <c r="L1" s="599"/>
      <c r="M1" s="599"/>
      <c r="N1" s="599"/>
      <c r="O1" s="600"/>
      <c r="P1" s="589" t="s">
        <v>6</v>
      </c>
      <c r="Q1" s="590"/>
      <c r="R1" s="590"/>
      <c r="S1" s="590"/>
      <c r="T1" s="591"/>
      <c r="U1" s="410"/>
      <c r="V1" s="27" t="s">
        <v>104</v>
      </c>
      <c r="W1" s="411"/>
      <c r="X1" s="589" t="s">
        <v>8</v>
      </c>
      <c r="Y1" s="590"/>
      <c r="Z1" s="590"/>
      <c r="AA1" s="590"/>
      <c r="AB1" s="590"/>
      <c r="AC1" s="592" t="s">
        <v>10</v>
      </c>
      <c r="AD1" s="593"/>
      <c r="AE1" s="593"/>
      <c r="AF1" s="594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7"/>
      <c r="R2" s="588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f t="shared" ref="B6:C34" si="16">B5</f>
        <v>175</v>
      </c>
      <c r="C6" s="64">
        <f t="shared" si="16"/>
        <v>182</v>
      </c>
      <c r="D6" s="45">
        <f t="shared" si="0"/>
        <v>0</v>
      </c>
      <c r="E6" s="45">
        <f t="shared" ref="E6:E31" si="17">D6*8.38</f>
        <v>0</v>
      </c>
      <c r="F6" s="64">
        <f t="shared" ref="F6:H34" si="18">F5</f>
        <v>1581</v>
      </c>
      <c r="G6" s="52">
        <f t="shared" si="1"/>
        <v>0</v>
      </c>
      <c r="H6" s="64">
        <f t="shared" si="18"/>
        <v>352662</v>
      </c>
      <c r="I6" s="409">
        <f t="shared" si="2"/>
        <v>0</v>
      </c>
      <c r="J6" s="66">
        <f t="shared" ref="J6:J34" si="19">IF(G6&gt;0,I6/G6,0)</f>
        <v>0</v>
      </c>
      <c r="K6" s="64">
        <f t="shared" ref="K6:K34" si="20">K5</f>
        <v>1962</v>
      </c>
      <c r="L6" s="52">
        <f t="shared" si="3"/>
        <v>0</v>
      </c>
      <c r="M6" s="64">
        <f t="shared" si="4"/>
        <v>143825</v>
      </c>
      <c r="N6" s="409">
        <f t="shared" si="5"/>
        <v>0</v>
      </c>
      <c r="O6" s="67">
        <f t="shared" si="6"/>
        <v>0</v>
      </c>
      <c r="P6" s="64">
        <f t="shared" ref="P6:P34" si="21">P5</f>
        <v>1797</v>
      </c>
      <c r="Q6" s="64">
        <f t="shared" ref="Q6:Q34" si="22">Q5</f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23">SUM(G6+L6+S6)</f>
        <v>0</v>
      </c>
      <c r="V6" s="62">
        <f t="shared" ref="V6:V34" si="24">R6+N6+I6:I6</f>
        <v>0</v>
      </c>
      <c r="W6" s="413" t="e">
        <f t="shared" ref="W6:W16" si="25">SUM(V6/U6)</f>
        <v>#DIV/0!</v>
      </c>
      <c r="X6" s="64">
        <f t="shared" si="9"/>
        <v>2418</v>
      </c>
      <c r="Y6" s="52">
        <f t="shared" ref="Y6:Y34" si="26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7">AE6-AE5</f>
        <v>0</v>
      </c>
      <c r="AG6" s="213">
        <f>IF(AD6&gt;0,AF6/AD6,0)</f>
        <v>0</v>
      </c>
      <c r="AH6" s="62">
        <f>AF6+AA6</f>
        <v>0</v>
      </c>
      <c r="AI6" s="328">
        <f t="shared" ref="AI6:AI34" si="28">SUM(AH6+V6)</f>
        <v>0</v>
      </c>
      <c r="AJ6" s="328">
        <f>-tanks!AW7</f>
        <v>0</v>
      </c>
      <c r="AK6" s="328">
        <f t="shared" ref="AK6:AK34" si="29">SUM(AJ6-AI6)</f>
        <v>0</v>
      </c>
      <c r="AL6" s="328">
        <f t="shared" si="15"/>
        <v>0</v>
      </c>
      <c r="AM6" s="328">
        <f t="shared" ref="AM6:AM33" si="30">Y6+AD6</f>
        <v>0</v>
      </c>
      <c r="AN6" s="64">
        <f t="shared" ref="AN6:AN34" si="31">AN5</f>
        <v>67</v>
      </c>
      <c r="AO6" s="330">
        <f t="shared" ref="AO6:AO26" si="32">(AN6/100)*3000</f>
        <v>2010.0000000000002</v>
      </c>
      <c r="AP6" s="64">
        <f t="shared" ref="AP6:AP34" si="33">AP5</f>
        <v>78</v>
      </c>
      <c r="AQ6" s="330">
        <f t="shared" ref="AQ6:AQ24" si="34">(AP6/100)*3000</f>
        <v>2340</v>
      </c>
      <c r="AR6" s="64">
        <f t="shared" ref="AR6:AR34" si="35">AR5</f>
        <v>69</v>
      </c>
      <c r="AS6" s="330">
        <f>(AR6/100)*3000</f>
        <v>2070</v>
      </c>
      <c r="AT6" s="330">
        <f>SUM(AO6+AQ6+AS6)</f>
        <v>6420</v>
      </c>
      <c r="AU6" s="330">
        <f>AT5-AT6+AV6</f>
        <v>0</v>
      </c>
      <c r="AV6" s="276"/>
      <c r="AW6" s="276"/>
      <c r="AX6" s="323">
        <f t="shared" ref="AX6:AX34" si="36">IF(AV6&gt;0,AW6,AX5)</f>
        <v>0.7</v>
      </c>
    </row>
    <row r="7" spans="1:50">
      <c r="A7" s="63">
        <f>ELEC!C5</f>
        <v>43985</v>
      </c>
      <c r="B7" s="64">
        <f t="shared" si="16"/>
        <v>175</v>
      </c>
      <c r="C7" s="64">
        <f t="shared" si="16"/>
        <v>182</v>
      </c>
      <c r="D7" s="45">
        <f t="shared" si="0"/>
        <v>0</v>
      </c>
      <c r="E7" s="45">
        <f t="shared" si="17"/>
        <v>0</v>
      </c>
      <c r="F7" s="64">
        <f t="shared" si="18"/>
        <v>1581</v>
      </c>
      <c r="G7" s="52">
        <f t="shared" si="1"/>
        <v>0</v>
      </c>
      <c r="H7" s="64">
        <f t="shared" si="18"/>
        <v>352662</v>
      </c>
      <c r="I7" s="409">
        <f t="shared" si="2"/>
        <v>0</v>
      </c>
      <c r="J7" s="66">
        <f t="shared" si="19"/>
        <v>0</v>
      </c>
      <c r="K7" s="64">
        <f t="shared" si="20"/>
        <v>1962</v>
      </c>
      <c r="L7" s="52">
        <f t="shared" si="3"/>
        <v>0</v>
      </c>
      <c r="M7" s="64">
        <f t="shared" si="4"/>
        <v>143825</v>
      </c>
      <c r="N7" s="409">
        <f t="shared" si="5"/>
        <v>0</v>
      </c>
      <c r="O7" s="67">
        <v>1</v>
      </c>
      <c r="P7" s="64">
        <f t="shared" si="21"/>
        <v>1797</v>
      </c>
      <c r="Q7" s="64">
        <f t="shared" si="22"/>
        <v>152534</v>
      </c>
      <c r="R7" s="408">
        <f t="shared" si="7"/>
        <v>0</v>
      </c>
      <c r="S7" s="52">
        <f t="shared" si="8"/>
        <v>0</v>
      </c>
      <c r="T7" s="68">
        <f t="shared" ref="T7:T34" si="37">SUM(S7*$T$2)</f>
        <v>0</v>
      </c>
      <c r="U7" s="415">
        <f t="shared" si="23"/>
        <v>0</v>
      </c>
      <c r="V7" s="62">
        <f t="shared" si="24"/>
        <v>0</v>
      </c>
      <c r="W7" s="413" t="e">
        <f t="shared" si="25"/>
        <v>#DIV/0!</v>
      </c>
      <c r="X7" s="64">
        <f t="shared" si="9"/>
        <v>2418</v>
      </c>
      <c r="Y7" s="52">
        <f t="shared" si="26"/>
        <v>0</v>
      </c>
      <c r="Z7" s="64">
        <f t="shared" si="10"/>
        <v>135904</v>
      </c>
      <c r="AA7" s="65">
        <f t="shared" si="11"/>
        <v>0</v>
      </c>
      <c r="AB7" s="294">
        <f t="shared" ref="AB7:AB17" si="38">SUM(Y7*$AB$2)</f>
        <v>0</v>
      </c>
      <c r="AC7" s="64">
        <f t="shared" si="12"/>
        <v>1841</v>
      </c>
      <c r="AD7" s="45">
        <f t="shared" si="13"/>
        <v>0</v>
      </c>
      <c r="AE7" s="64">
        <f t="shared" si="14"/>
        <v>359849.4</v>
      </c>
      <c r="AF7" s="316">
        <f t="shared" si="27"/>
        <v>0</v>
      </c>
      <c r="AG7" s="213">
        <f t="shared" ref="AG7:AG34" si="39">IF(AD7&gt;0,AF7/AD7,0)</f>
        <v>0</v>
      </c>
      <c r="AH7" s="62">
        <f t="shared" ref="AH7:AH34" si="40">AF7+AA7</f>
        <v>0</v>
      </c>
      <c r="AI7" s="328">
        <f t="shared" si="28"/>
        <v>0</v>
      </c>
      <c r="AJ7" s="328">
        <f>-tanks!AW8</f>
        <v>0</v>
      </c>
      <c r="AK7" s="328">
        <f t="shared" si="29"/>
        <v>0</v>
      </c>
      <c r="AL7" s="328">
        <f t="shared" si="15"/>
        <v>0</v>
      </c>
      <c r="AM7" s="328">
        <f t="shared" si="30"/>
        <v>0</v>
      </c>
      <c r="AN7" s="64">
        <f t="shared" si="31"/>
        <v>67</v>
      </c>
      <c r="AO7" s="330">
        <f t="shared" si="32"/>
        <v>2010.0000000000002</v>
      </c>
      <c r="AP7" s="64">
        <f t="shared" si="33"/>
        <v>78</v>
      </c>
      <c r="AQ7" s="330">
        <f t="shared" si="34"/>
        <v>2340</v>
      </c>
      <c r="AR7" s="64">
        <f t="shared" si="35"/>
        <v>69</v>
      </c>
      <c r="AS7" s="330">
        <f t="shared" ref="AS7:AS34" si="41">(AR7/100)*3000</f>
        <v>2070</v>
      </c>
      <c r="AT7" s="330">
        <f t="shared" ref="AT7:AT23" si="42">SUM(AO7+AQ7+AS7)</f>
        <v>6420</v>
      </c>
      <c r="AU7" s="330">
        <f t="shared" ref="AU7:AU34" si="43">AT6-AT7+AV7</f>
        <v>0</v>
      </c>
      <c r="AV7" s="276"/>
      <c r="AW7" s="276"/>
      <c r="AX7" s="323">
        <f t="shared" si="36"/>
        <v>0.7</v>
      </c>
    </row>
    <row r="8" spans="1:50">
      <c r="A8" s="63">
        <f>ELEC!C6</f>
        <v>43986</v>
      </c>
      <c r="B8" s="64">
        <f t="shared" si="16"/>
        <v>175</v>
      </c>
      <c r="C8" s="64">
        <f t="shared" si="16"/>
        <v>182</v>
      </c>
      <c r="D8" s="45">
        <f t="shared" si="0"/>
        <v>0</v>
      </c>
      <c r="E8" s="45">
        <f t="shared" si="17"/>
        <v>0</v>
      </c>
      <c r="F8" s="64">
        <f t="shared" si="18"/>
        <v>1581</v>
      </c>
      <c r="G8" s="52">
        <f t="shared" si="1"/>
        <v>0</v>
      </c>
      <c r="H8" s="64">
        <f t="shared" si="18"/>
        <v>352662</v>
      </c>
      <c r="I8" s="409">
        <f t="shared" si="2"/>
        <v>0</v>
      </c>
      <c r="J8" s="66">
        <f t="shared" si="19"/>
        <v>0</v>
      </c>
      <c r="K8" s="64">
        <f t="shared" si="20"/>
        <v>1962</v>
      </c>
      <c r="L8" s="52">
        <f t="shared" si="3"/>
        <v>0</v>
      </c>
      <c r="M8" s="64">
        <f t="shared" si="4"/>
        <v>143825</v>
      </c>
      <c r="N8" s="409">
        <f t="shared" si="5"/>
        <v>0</v>
      </c>
      <c r="O8" s="67">
        <v>1479</v>
      </c>
      <c r="P8" s="64">
        <f t="shared" si="21"/>
        <v>1797</v>
      </c>
      <c r="Q8" s="64">
        <f t="shared" si="22"/>
        <v>152534</v>
      </c>
      <c r="R8" s="408">
        <f t="shared" si="7"/>
        <v>0</v>
      </c>
      <c r="S8" s="52">
        <f t="shared" si="8"/>
        <v>0</v>
      </c>
      <c r="T8" s="68">
        <f t="shared" si="37"/>
        <v>0</v>
      </c>
      <c r="U8" s="415">
        <f t="shared" si="23"/>
        <v>0</v>
      </c>
      <c r="V8" s="62">
        <f t="shared" si="24"/>
        <v>0</v>
      </c>
      <c r="W8" s="413" t="e">
        <f t="shared" si="25"/>
        <v>#DIV/0!</v>
      </c>
      <c r="X8" s="64">
        <f t="shared" si="9"/>
        <v>2418</v>
      </c>
      <c r="Y8" s="52">
        <f t="shared" si="26"/>
        <v>0</v>
      </c>
      <c r="Z8" s="64">
        <f t="shared" si="10"/>
        <v>135904</v>
      </c>
      <c r="AA8" s="65">
        <f t="shared" si="11"/>
        <v>0</v>
      </c>
      <c r="AB8" s="294">
        <f t="shared" si="38"/>
        <v>0</v>
      </c>
      <c r="AC8" s="64">
        <f t="shared" si="12"/>
        <v>1841</v>
      </c>
      <c r="AD8" s="45">
        <f t="shared" si="13"/>
        <v>0</v>
      </c>
      <c r="AE8" s="64">
        <f t="shared" si="14"/>
        <v>359849.4</v>
      </c>
      <c r="AF8" s="316">
        <f t="shared" si="27"/>
        <v>0</v>
      </c>
      <c r="AG8" s="213">
        <f t="shared" si="39"/>
        <v>0</v>
      </c>
      <c r="AH8" s="62">
        <f t="shared" si="40"/>
        <v>0</v>
      </c>
      <c r="AI8" s="328">
        <f t="shared" si="28"/>
        <v>0</v>
      </c>
      <c r="AJ8" s="328">
        <f>-tanks!AW9</f>
        <v>0</v>
      </c>
      <c r="AK8" s="328">
        <f t="shared" si="29"/>
        <v>0</v>
      </c>
      <c r="AL8" s="328">
        <f t="shared" si="15"/>
        <v>0</v>
      </c>
      <c r="AM8" s="328">
        <f t="shared" si="30"/>
        <v>0</v>
      </c>
      <c r="AN8" s="64">
        <f t="shared" si="31"/>
        <v>67</v>
      </c>
      <c r="AO8" s="330">
        <f t="shared" si="32"/>
        <v>2010.0000000000002</v>
      </c>
      <c r="AP8" s="64">
        <f t="shared" si="33"/>
        <v>78</v>
      </c>
      <c r="AQ8" s="330">
        <f t="shared" si="34"/>
        <v>2340</v>
      </c>
      <c r="AR8" s="64">
        <f t="shared" si="35"/>
        <v>69</v>
      </c>
      <c r="AS8" s="330">
        <f t="shared" si="41"/>
        <v>2070</v>
      </c>
      <c r="AT8" s="330">
        <f t="shared" si="42"/>
        <v>6420</v>
      </c>
      <c r="AU8" s="330">
        <f t="shared" si="43"/>
        <v>0</v>
      </c>
      <c r="AV8" s="276"/>
      <c r="AW8" s="276"/>
      <c r="AX8" s="323">
        <f t="shared" si="36"/>
        <v>0.7</v>
      </c>
    </row>
    <row r="9" spans="1:50">
      <c r="A9" s="63">
        <f>ELEC!C7</f>
        <v>43987</v>
      </c>
      <c r="B9" s="64">
        <f t="shared" si="16"/>
        <v>175</v>
      </c>
      <c r="C9" s="64">
        <f t="shared" si="16"/>
        <v>182</v>
      </c>
      <c r="D9" s="45">
        <f t="shared" si="0"/>
        <v>0</v>
      </c>
      <c r="E9" s="45">
        <f t="shared" si="17"/>
        <v>0</v>
      </c>
      <c r="F9" s="64">
        <f t="shared" si="18"/>
        <v>1581</v>
      </c>
      <c r="G9" s="52">
        <f t="shared" si="1"/>
        <v>0</v>
      </c>
      <c r="H9" s="64">
        <f t="shared" si="18"/>
        <v>352662</v>
      </c>
      <c r="I9" s="409">
        <f t="shared" si="2"/>
        <v>0</v>
      </c>
      <c r="J9" s="66">
        <f t="shared" si="19"/>
        <v>0</v>
      </c>
      <c r="K9" s="64">
        <f t="shared" si="20"/>
        <v>1962</v>
      </c>
      <c r="L9" s="52">
        <f t="shared" si="3"/>
        <v>0</v>
      </c>
      <c r="M9" s="64">
        <f t="shared" si="4"/>
        <v>143825</v>
      </c>
      <c r="N9" s="409">
        <f t="shared" si="5"/>
        <v>0</v>
      </c>
      <c r="O9" s="67">
        <f t="shared" si="6"/>
        <v>0</v>
      </c>
      <c r="P9" s="64">
        <f t="shared" si="21"/>
        <v>1797</v>
      </c>
      <c r="Q9" s="64">
        <f t="shared" si="22"/>
        <v>152534</v>
      </c>
      <c r="R9" s="408">
        <f t="shared" si="7"/>
        <v>0</v>
      </c>
      <c r="S9" s="52">
        <f t="shared" si="8"/>
        <v>0</v>
      </c>
      <c r="T9" s="68">
        <f t="shared" si="37"/>
        <v>0</v>
      </c>
      <c r="U9" s="415">
        <f t="shared" si="23"/>
        <v>0</v>
      </c>
      <c r="V9" s="62">
        <f t="shared" si="24"/>
        <v>0</v>
      </c>
      <c r="W9" s="413" t="e">
        <f t="shared" si="25"/>
        <v>#DIV/0!</v>
      </c>
      <c r="X9" s="64">
        <f t="shared" si="9"/>
        <v>2418</v>
      </c>
      <c r="Y9" s="52">
        <f t="shared" si="26"/>
        <v>0</v>
      </c>
      <c r="Z9" s="64">
        <f t="shared" si="10"/>
        <v>135904</v>
      </c>
      <c r="AA9" s="65">
        <f t="shared" si="11"/>
        <v>0</v>
      </c>
      <c r="AB9" s="294">
        <f t="shared" si="38"/>
        <v>0</v>
      </c>
      <c r="AC9" s="64">
        <f t="shared" si="12"/>
        <v>1841</v>
      </c>
      <c r="AD9" s="45">
        <f t="shared" si="13"/>
        <v>0</v>
      </c>
      <c r="AE9" s="64">
        <f t="shared" si="14"/>
        <v>359849.4</v>
      </c>
      <c r="AF9" s="316">
        <f t="shared" si="27"/>
        <v>0</v>
      </c>
      <c r="AG9" s="213">
        <f t="shared" si="39"/>
        <v>0</v>
      </c>
      <c r="AH9" s="62">
        <f t="shared" si="40"/>
        <v>0</v>
      </c>
      <c r="AI9" s="328">
        <f t="shared" si="28"/>
        <v>0</v>
      </c>
      <c r="AJ9" s="328">
        <f>-tanks!AW10</f>
        <v>0</v>
      </c>
      <c r="AK9" s="328">
        <f t="shared" si="29"/>
        <v>0</v>
      </c>
      <c r="AL9" s="328">
        <f t="shared" si="15"/>
        <v>0</v>
      </c>
      <c r="AM9" s="328">
        <f t="shared" si="30"/>
        <v>0</v>
      </c>
      <c r="AN9" s="64">
        <f t="shared" si="31"/>
        <v>67</v>
      </c>
      <c r="AO9" s="330">
        <f t="shared" si="32"/>
        <v>2010.0000000000002</v>
      </c>
      <c r="AP9" s="64">
        <f t="shared" si="33"/>
        <v>78</v>
      </c>
      <c r="AQ9" s="330">
        <f t="shared" si="34"/>
        <v>2340</v>
      </c>
      <c r="AR9" s="64">
        <f t="shared" si="35"/>
        <v>69</v>
      </c>
      <c r="AS9" s="330">
        <f>(AR9/100)*3000</f>
        <v>2070</v>
      </c>
      <c r="AT9" s="330">
        <f t="shared" si="42"/>
        <v>6420</v>
      </c>
      <c r="AU9" s="330">
        <f t="shared" si="43"/>
        <v>0</v>
      </c>
      <c r="AV9" s="276"/>
      <c r="AW9" s="276"/>
      <c r="AX9" s="323">
        <f t="shared" si="36"/>
        <v>0.7</v>
      </c>
    </row>
    <row r="10" spans="1:50">
      <c r="A10" s="63">
        <f>ELEC!C8</f>
        <v>43988</v>
      </c>
      <c r="B10" s="64">
        <f t="shared" si="16"/>
        <v>175</v>
      </c>
      <c r="C10" s="64">
        <f t="shared" si="16"/>
        <v>182</v>
      </c>
      <c r="D10" s="45">
        <f t="shared" si="0"/>
        <v>0</v>
      </c>
      <c r="E10" s="45">
        <f t="shared" si="17"/>
        <v>0</v>
      </c>
      <c r="F10" s="64">
        <f t="shared" si="18"/>
        <v>1581</v>
      </c>
      <c r="G10" s="52">
        <f t="shared" si="1"/>
        <v>0</v>
      </c>
      <c r="H10" s="64">
        <f t="shared" si="18"/>
        <v>352662</v>
      </c>
      <c r="I10" s="409">
        <f t="shared" si="2"/>
        <v>0</v>
      </c>
      <c r="J10" s="66">
        <f t="shared" si="19"/>
        <v>0</v>
      </c>
      <c r="K10" s="64">
        <f t="shared" si="20"/>
        <v>1962</v>
      </c>
      <c r="L10" s="52">
        <f t="shared" si="3"/>
        <v>0</v>
      </c>
      <c r="M10" s="64">
        <f t="shared" si="4"/>
        <v>143825</v>
      </c>
      <c r="N10" s="409">
        <f t="shared" si="5"/>
        <v>0</v>
      </c>
      <c r="O10" s="67">
        <f t="shared" si="6"/>
        <v>0</v>
      </c>
      <c r="P10" s="64">
        <f t="shared" si="21"/>
        <v>1797</v>
      </c>
      <c r="Q10" s="64">
        <f t="shared" si="22"/>
        <v>152534</v>
      </c>
      <c r="R10" s="408">
        <f t="shared" si="7"/>
        <v>0</v>
      </c>
      <c r="S10" s="52">
        <f t="shared" si="8"/>
        <v>0</v>
      </c>
      <c r="T10" s="68">
        <f t="shared" si="37"/>
        <v>0</v>
      </c>
      <c r="U10" s="415">
        <f t="shared" si="23"/>
        <v>0</v>
      </c>
      <c r="V10" s="62">
        <f t="shared" si="24"/>
        <v>0</v>
      </c>
      <c r="W10" s="413" t="e">
        <f t="shared" si="25"/>
        <v>#DIV/0!</v>
      </c>
      <c r="X10" s="64">
        <f t="shared" si="9"/>
        <v>2418</v>
      </c>
      <c r="Y10" s="52">
        <f t="shared" si="26"/>
        <v>0</v>
      </c>
      <c r="Z10" s="64">
        <f t="shared" si="10"/>
        <v>135904</v>
      </c>
      <c r="AA10" s="65">
        <f t="shared" si="11"/>
        <v>0</v>
      </c>
      <c r="AB10" s="294">
        <f t="shared" si="38"/>
        <v>0</v>
      </c>
      <c r="AC10" s="64">
        <f t="shared" si="12"/>
        <v>1841</v>
      </c>
      <c r="AD10" s="45">
        <f t="shared" si="13"/>
        <v>0</v>
      </c>
      <c r="AE10" s="64">
        <f t="shared" si="14"/>
        <v>359849.4</v>
      </c>
      <c r="AF10" s="316">
        <f t="shared" si="27"/>
        <v>0</v>
      </c>
      <c r="AG10" s="213">
        <f t="shared" si="39"/>
        <v>0</v>
      </c>
      <c r="AH10" s="62">
        <f t="shared" si="40"/>
        <v>0</v>
      </c>
      <c r="AI10" s="328">
        <f>SUM(AH10+V10)</f>
        <v>0</v>
      </c>
      <c r="AJ10" s="328">
        <f>-tanks!AW11</f>
        <v>0</v>
      </c>
      <c r="AK10" s="328">
        <f t="shared" si="29"/>
        <v>0</v>
      </c>
      <c r="AL10" s="328">
        <f t="shared" si="15"/>
        <v>0</v>
      </c>
      <c r="AM10" s="328">
        <f t="shared" si="30"/>
        <v>0</v>
      </c>
      <c r="AN10" s="64">
        <f t="shared" si="31"/>
        <v>67</v>
      </c>
      <c r="AO10" s="330">
        <f t="shared" si="32"/>
        <v>2010.0000000000002</v>
      </c>
      <c r="AP10" s="64">
        <f t="shared" si="33"/>
        <v>78</v>
      </c>
      <c r="AQ10" s="330">
        <f t="shared" si="34"/>
        <v>2340</v>
      </c>
      <c r="AR10" s="64">
        <f t="shared" si="35"/>
        <v>69</v>
      </c>
      <c r="AS10" s="330">
        <f t="shared" si="41"/>
        <v>2070</v>
      </c>
      <c r="AT10" s="330">
        <f t="shared" si="42"/>
        <v>6420</v>
      </c>
      <c r="AU10" s="330">
        <f t="shared" si="43"/>
        <v>0</v>
      </c>
      <c r="AV10" s="276"/>
      <c r="AW10" s="276"/>
      <c r="AX10" s="323">
        <f t="shared" si="36"/>
        <v>0.7</v>
      </c>
    </row>
    <row r="11" spans="1:50">
      <c r="A11" s="63">
        <f>ELEC!C9</f>
        <v>43989</v>
      </c>
      <c r="B11" s="64">
        <f t="shared" si="16"/>
        <v>175</v>
      </c>
      <c r="C11" s="64">
        <f t="shared" si="16"/>
        <v>182</v>
      </c>
      <c r="D11" s="45">
        <f t="shared" si="0"/>
        <v>0</v>
      </c>
      <c r="E11" s="45">
        <f t="shared" si="17"/>
        <v>0</v>
      </c>
      <c r="F11" s="64">
        <f t="shared" si="18"/>
        <v>1581</v>
      </c>
      <c r="G11" s="52">
        <f t="shared" si="1"/>
        <v>0</v>
      </c>
      <c r="H11" s="64">
        <f t="shared" si="18"/>
        <v>352662</v>
      </c>
      <c r="I11" s="409">
        <f t="shared" si="2"/>
        <v>0</v>
      </c>
      <c r="J11" s="66">
        <f t="shared" si="19"/>
        <v>0</v>
      </c>
      <c r="K11" s="64">
        <f t="shared" si="20"/>
        <v>1962</v>
      </c>
      <c r="L11" s="52">
        <f t="shared" si="3"/>
        <v>0</v>
      </c>
      <c r="M11" s="64">
        <f t="shared" si="4"/>
        <v>143825</v>
      </c>
      <c r="N11" s="409">
        <f t="shared" si="5"/>
        <v>0</v>
      </c>
      <c r="O11" s="67">
        <f t="shared" si="6"/>
        <v>0</v>
      </c>
      <c r="P11" s="64">
        <f t="shared" si="21"/>
        <v>1797</v>
      </c>
      <c r="Q11" s="64">
        <f t="shared" si="22"/>
        <v>152534</v>
      </c>
      <c r="R11" s="408">
        <f t="shared" ref="R11:R34" si="44">Q11-Q10</f>
        <v>0</v>
      </c>
      <c r="S11" s="52">
        <f t="shared" si="8"/>
        <v>0</v>
      </c>
      <c r="T11" s="68">
        <f t="shared" si="37"/>
        <v>0</v>
      </c>
      <c r="U11" s="415">
        <f t="shared" si="23"/>
        <v>0</v>
      </c>
      <c r="V11" s="62">
        <f t="shared" si="24"/>
        <v>0</v>
      </c>
      <c r="W11" s="413" t="e">
        <f t="shared" si="25"/>
        <v>#DIV/0!</v>
      </c>
      <c r="X11" s="64">
        <f t="shared" si="9"/>
        <v>2418</v>
      </c>
      <c r="Y11" s="52">
        <f t="shared" si="26"/>
        <v>0</v>
      </c>
      <c r="Z11" s="64">
        <f t="shared" si="10"/>
        <v>135904</v>
      </c>
      <c r="AA11" s="65">
        <f t="shared" si="11"/>
        <v>0</v>
      </c>
      <c r="AB11" s="294">
        <f t="shared" si="38"/>
        <v>0</v>
      </c>
      <c r="AC11" s="64">
        <f t="shared" si="12"/>
        <v>1841</v>
      </c>
      <c r="AD11" s="45">
        <f t="shared" si="13"/>
        <v>0</v>
      </c>
      <c r="AE11" s="64">
        <f t="shared" si="14"/>
        <v>359849.4</v>
      </c>
      <c r="AF11" s="316">
        <f t="shared" si="27"/>
        <v>0</v>
      </c>
      <c r="AG11" s="213">
        <f t="shared" si="39"/>
        <v>0</v>
      </c>
      <c r="AH11" s="62">
        <f>AF11+AA11</f>
        <v>0</v>
      </c>
      <c r="AI11" s="328">
        <f>SUM(AH11+V11)</f>
        <v>0</v>
      </c>
      <c r="AJ11" s="328">
        <f>-tanks!AW12</f>
        <v>0</v>
      </c>
      <c r="AK11" s="328">
        <f t="shared" si="29"/>
        <v>0</v>
      </c>
      <c r="AL11" s="328">
        <f t="shared" si="15"/>
        <v>0</v>
      </c>
      <c r="AM11" s="328">
        <f t="shared" si="30"/>
        <v>0</v>
      </c>
      <c r="AN11" s="64">
        <f t="shared" si="31"/>
        <v>67</v>
      </c>
      <c r="AO11" s="330">
        <f t="shared" si="32"/>
        <v>2010.0000000000002</v>
      </c>
      <c r="AP11" s="64">
        <f t="shared" si="33"/>
        <v>78</v>
      </c>
      <c r="AQ11" s="330">
        <f t="shared" si="34"/>
        <v>2340</v>
      </c>
      <c r="AR11" s="64">
        <f t="shared" si="35"/>
        <v>69</v>
      </c>
      <c r="AS11" s="330">
        <f t="shared" si="41"/>
        <v>2070</v>
      </c>
      <c r="AT11" s="330">
        <f t="shared" si="42"/>
        <v>6420</v>
      </c>
      <c r="AU11" s="330">
        <f t="shared" si="43"/>
        <v>0</v>
      </c>
      <c r="AV11" s="276"/>
      <c r="AW11" s="276"/>
      <c r="AX11" s="323">
        <f t="shared" si="36"/>
        <v>0.7</v>
      </c>
    </row>
    <row r="12" spans="1:50">
      <c r="A12" s="63">
        <f>ELEC!C10</f>
        <v>43990</v>
      </c>
      <c r="B12" s="64">
        <f t="shared" si="16"/>
        <v>175</v>
      </c>
      <c r="C12" s="64">
        <f t="shared" si="16"/>
        <v>182</v>
      </c>
      <c r="D12" s="45">
        <f t="shared" si="0"/>
        <v>0</v>
      </c>
      <c r="E12" s="45">
        <f t="shared" si="17"/>
        <v>0</v>
      </c>
      <c r="F12" s="64">
        <f t="shared" si="18"/>
        <v>1581</v>
      </c>
      <c r="G12" s="52">
        <f t="shared" si="1"/>
        <v>0</v>
      </c>
      <c r="H12" s="64">
        <f t="shared" si="18"/>
        <v>352662</v>
      </c>
      <c r="I12" s="409">
        <f t="shared" si="2"/>
        <v>0</v>
      </c>
      <c r="J12" s="66">
        <f t="shared" si="19"/>
        <v>0</v>
      </c>
      <c r="K12" s="64">
        <f t="shared" si="20"/>
        <v>1962</v>
      </c>
      <c r="L12" s="52">
        <f t="shared" si="3"/>
        <v>0</v>
      </c>
      <c r="M12" s="64">
        <f t="shared" si="4"/>
        <v>143825</v>
      </c>
      <c r="N12" s="409">
        <f t="shared" si="5"/>
        <v>0</v>
      </c>
      <c r="O12" s="67">
        <f t="shared" si="6"/>
        <v>0</v>
      </c>
      <c r="P12" s="64">
        <f t="shared" si="21"/>
        <v>1797</v>
      </c>
      <c r="Q12" s="64">
        <f t="shared" si="22"/>
        <v>152534</v>
      </c>
      <c r="R12" s="408">
        <f t="shared" si="44"/>
        <v>0</v>
      </c>
      <c r="S12" s="52">
        <f t="shared" si="8"/>
        <v>0</v>
      </c>
      <c r="T12" s="68">
        <f t="shared" si="37"/>
        <v>0</v>
      </c>
      <c r="U12" s="415">
        <f t="shared" si="23"/>
        <v>0</v>
      </c>
      <c r="V12" s="62">
        <f t="shared" si="24"/>
        <v>0</v>
      </c>
      <c r="W12" s="413" t="e">
        <f t="shared" si="25"/>
        <v>#DIV/0!</v>
      </c>
      <c r="X12" s="64">
        <f t="shared" si="9"/>
        <v>2418</v>
      </c>
      <c r="Y12" s="52">
        <f t="shared" si="26"/>
        <v>0</v>
      </c>
      <c r="Z12" s="64">
        <f t="shared" si="10"/>
        <v>135904</v>
      </c>
      <c r="AA12" s="65">
        <f t="shared" si="11"/>
        <v>0</v>
      </c>
      <c r="AB12" s="294">
        <f t="shared" si="38"/>
        <v>0</v>
      </c>
      <c r="AC12" s="64">
        <f t="shared" si="12"/>
        <v>1841</v>
      </c>
      <c r="AD12" s="45">
        <f t="shared" si="13"/>
        <v>0</v>
      </c>
      <c r="AE12" s="64">
        <f t="shared" si="14"/>
        <v>359849.4</v>
      </c>
      <c r="AF12" s="316">
        <f t="shared" si="27"/>
        <v>0</v>
      </c>
      <c r="AG12" s="213">
        <f t="shared" si="39"/>
        <v>0</v>
      </c>
      <c r="AH12" s="62">
        <f t="shared" si="40"/>
        <v>0</v>
      </c>
      <c r="AI12" s="328">
        <f t="shared" si="28"/>
        <v>0</v>
      </c>
      <c r="AJ12" s="328">
        <f>-tanks!AW13</f>
        <v>0</v>
      </c>
      <c r="AK12" s="328">
        <f t="shared" si="29"/>
        <v>0</v>
      </c>
      <c r="AL12" s="328">
        <f t="shared" si="15"/>
        <v>0</v>
      </c>
      <c r="AM12" s="328">
        <f t="shared" si="30"/>
        <v>0</v>
      </c>
      <c r="AN12" s="64">
        <f t="shared" si="31"/>
        <v>67</v>
      </c>
      <c r="AO12" s="330">
        <f t="shared" si="32"/>
        <v>2010.0000000000002</v>
      </c>
      <c r="AP12" s="64">
        <f t="shared" si="33"/>
        <v>78</v>
      </c>
      <c r="AQ12" s="330">
        <f t="shared" si="34"/>
        <v>2340</v>
      </c>
      <c r="AR12" s="64">
        <f t="shared" si="35"/>
        <v>69</v>
      </c>
      <c r="AS12" s="330">
        <f t="shared" si="41"/>
        <v>2070</v>
      </c>
      <c r="AT12" s="330">
        <f t="shared" si="42"/>
        <v>6420</v>
      </c>
      <c r="AU12" s="330">
        <f t="shared" si="43"/>
        <v>0</v>
      </c>
      <c r="AV12" s="276"/>
      <c r="AW12" s="276"/>
      <c r="AX12" s="323">
        <f t="shared" si="36"/>
        <v>0.7</v>
      </c>
    </row>
    <row r="13" spans="1:50">
      <c r="A13" s="63">
        <f>ELEC!C11</f>
        <v>43991</v>
      </c>
      <c r="B13" s="64">
        <f t="shared" si="16"/>
        <v>175</v>
      </c>
      <c r="C13" s="64">
        <f t="shared" si="16"/>
        <v>182</v>
      </c>
      <c r="D13" s="45">
        <f t="shared" si="0"/>
        <v>0</v>
      </c>
      <c r="E13" s="45">
        <f t="shared" si="17"/>
        <v>0</v>
      </c>
      <c r="F13" s="64">
        <f t="shared" si="18"/>
        <v>1581</v>
      </c>
      <c r="G13" s="52">
        <f t="shared" si="1"/>
        <v>0</v>
      </c>
      <c r="H13" s="64">
        <f t="shared" si="18"/>
        <v>352662</v>
      </c>
      <c r="I13" s="409">
        <f t="shared" si="2"/>
        <v>0</v>
      </c>
      <c r="J13" s="66">
        <f t="shared" si="19"/>
        <v>0</v>
      </c>
      <c r="K13" s="64">
        <f t="shared" si="20"/>
        <v>1962</v>
      </c>
      <c r="L13" s="52">
        <f t="shared" si="3"/>
        <v>0</v>
      </c>
      <c r="M13" s="64">
        <f t="shared" si="4"/>
        <v>143825</v>
      </c>
      <c r="N13" s="409">
        <f t="shared" si="5"/>
        <v>0</v>
      </c>
      <c r="O13" s="67">
        <f t="shared" si="6"/>
        <v>0</v>
      </c>
      <c r="P13" s="64">
        <f t="shared" si="21"/>
        <v>1797</v>
      </c>
      <c r="Q13" s="64">
        <f t="shared" si="22"/>
        <v>152534</v>
      </c>
      <c r="R13" s="408">
        <f t="shared" si="44"/>
        <v>0</v>
      </c>
      <c r="S13" s="52">
        <f t="shared" si="8"/>
        <v>0</v>
      </c>
      <c r="T13" s="68">
        <f t="shared" si="37"/>
        <v>0</v>
      </c>
      <c r="U13" s="415">
        <f t="shared" si="23"/>
        <v>0</v>
      </c>
      <c r="V13" s="62">
        <f>R13+N13+I13:I13</f>
        <v>0</v>
      </c>
      <c r="W13" s="413" t="e">
        <f t="shared" si="25"/>
        <v>#DIV/0!</v>
      </c>
      <c r="X13" s="64">
        <f t="shared" si="9"/>
        <v>2418</v>
      </c>
      <c r="Y13" s="52">
        <f t="shared" si="26"/>
        <v>0</v>
      </c>
      <c r="Z13" s="64">
        <f t="shared" si="10"/>
        <v>135904</v>
      </c>
      <c r="AA13" s="294">
        <f t="shared" si="11"/>
        <v>0</v>
      </c>
      <c r="AB13" s="294">
        <f t="shared" si="38"/>
        <v>0</v>
      </c>
      <c r="AC13" s="64">
        <f t="shared" si="12"/>
        <v>1841</v>
      </c>
      <c r="AD13" s="45">
        <f t="shared" si="13"/>
        <v>0</v>
      </c>
      <c r="AE13" s="64">
        <f t="shared" si="14"/>
        <v>359849.4</v>
      </c>
      <c r="AF13" s="316">
        <f t="shared" si="27"/>
        <v>0</v>
      </c>
      <c r="AG13" s="213">
        <f t="shared" si="39"/>
        <v>0</v>
      </c>
      <c r="AH13" s="62">
        <f t="shared" si="40"/>
        <v>0</v>
      </c>
      <c r="AI13" s="328">
        <f t="shared" si="28"/>
        <v>0</v>
      </c>
      <c r="AJ13" s="328">
        <f>-tanks!AW14</f>
        <v>0</v>
      </c>
      <c r="AK13" s="328">
        <f t="shared" si="29"/>
        <v>0</v>
      </c>
      <c r="AL13" s="328">
        <f t="shared" si="15"/>
        <v>0</v>
      </c>
      <c r="AM13" s="328">
        <f t="shared" si="30"/>
        <v>0</v>
      </c>
      <c r="AN13" s="64">
        <f t="shared" si="31"/>
        <v>67</v>
      </c>
      <c r="AO13" s="330">
        <f t="shared" si="32"/>
        <v>2010.0000000000002</v>
      </c>
      <c r="AP13" s="64">
        <f t="shared" si="33"/>
        <v>78</v>
      </c>
      <c r="AQ13" s="330">
        <f t="shared" si="34"/>
        <v>2340</v>
      </c>
      <c r="AR13" s="64">
        <f t="shared" si="35"/>
        <v>69</v>
      </c>
      <c r="AS13" s="330">
        <f t="shared" si="41"/>
        <v>2070</v>
      </c>
      <c r="AT13" s="330">
        <f t="shared" si="42"/>
        <v>6420</v>
      </c>
      <c r="AU13" s="330">
        <f t="shared" si="43"/>
        <v>0</v>
      </c>
      <c r="AV13" s="276"/>
      <c r="AW13" s="276"/>
      <c r="AX13" s="323">
        <f t="shared" si="36"/>
        <v>0.7</v>
      </c>
    </row>
    <row r="14" spans="1:50">
      <c r="A14" s="63">
        <f>ELEC!C12</f>
        <v>43992</v>
      </c>
      <c r="B14" s="64">
        <f t="shared" si="16"/>
        <v>175</v>
      </c>
      <c r="C14" s="64">
        <f t="shared" si="16"/>
        <v>182</v>
      </c>
      <c r="D14" s="45">
        <f t="shared" si="0"/>
        <v>0</v>
      </c>
      <c r="E14" s="45">
        <f t="shared" si="17"/>
        <v>0</v>
      </c>
      <c r="F14" s="64">
        <f t="shared" si="18"/>
        <v>1581</v>
      </c>
      <c r="G14" s="52">
        <f t="shared" si="1"/>
        <v>0</v>
      </c>
      <c r="H14" s="64">
        <f t="shared" si="18"/>
        <v>352662</v>
      </c>
      <c r="I14" s="409">
        <f t="shared" si="2"/>
        <v>0</v>
      </c>
      <c r="J14" s="66">
        <f t="shared" si="19"/>
        <v>0</v>
      </c>
      <c r="K14" s="64">
        <f t="shared" si="20"/>
        <v>1962</v>
      </c>
      <c r="L14" s="52">
        <f t="shared" si="3"/>
        <v>0</v>
      </c>
      <c r="M14" s="64">
        <f t="shared" si="4"/>
        <v>143825</v>
      </c>
      <c r="N14" s="409">
        <f t="shared" si="5"/>
        <v>0</v>
      </c>
      <c r="O14" s="67">
        <f t="shared" si="6"/>
        <v>0</v>
      </c>
      <c r="P14" s="64">
        <f t="shared" si="21"/>
        <v>1797</v>
      </c>
      <c r="Q14" s="64">
        <f t="shared" si="22"/>
        <v>152534</v>
      </c>
      <c r="R14" s="408">
        <f t="shared" si="44"/>
        <v>0</v>
      </c>
      <c r="S14" s="52">
        <f t="shared" si="8"/>
        <v>0</v>
      </c>
      <c r="T14" s="68">
        <f t="shared" si="37"/>
        <v>0</v>
      </c>
      <c r="U14" s="415">
        <f t="shared" si="23"/>
        <v>0</v>
      </c>
      <c r="V14" s="62">
        <f t="shared" si="24"/>
        <v>0</v>
      </c>
      <c r="W14" s="413" t="e">
        <f t="shared" si="25"/>
        <v>#DIV/0!</v>
      </c>
      <c r="X14" s="64">
        <f t="shared" si="9"/>
        <v>2418</v>
      </c>
      <c r="Y14" s="52">
        <f t="shared" si="26"/>
        <v>0</v>
      </c>
      <c r="Z14" s="64">
        <f t="shared" si="10"/>
        <v>135904</v>
      </c>
      <c r="AA14" s="65">
        <f t="shared" si="11"/>
        <v>0</v>
      </c>
      <c r="AB14" s="294">
        <f t="shared" si="38"/>
        <v>0</v>
      </c>
      <c r="AC14" s="64">
        <f t="shared" si="12"/>
        <v>1841</v>
      </c>
      <c r="AD14" s="45">
        <f t="shared" si="13"/>
        <v>0</v>
      </c>
      <c r="AE14" s="64">
        <f t="shared" si="14"/>
        <v>359849.4</v>
      </c>
      <c r="AF14" s="316">
        <f>AE14-AE13</f>
        <v>0</v>
      </c>
      <c r="AG14" s="213">
        <f t="shared" si="39"/>
        <v>0</v>
      </c>
      <c r="AH14" s="62">
        <f>AF14+AA14</f>
        <v>0</v>
      </c>
      <c r="AI14" s="328">
        <f>SUM(AH14+V14)</f>
        <v>0</v>
      </c>
      <c r="AJ14" s="328">
        <f>-tanks!AW15</f>
        <v>0</v>
      </c>
      <c r="AK14" s="328">
        <f t="shared" si="29"/>
        <v>0</v>
      </c>
      <c r="AL14" s="328">
        <f t="shared" si="15"/>
        <v>0</v>
      </c>
      <c r="AM14" s="328">
        <f t="shared" si="30"/>
        <v>0</v>
      </c>
      <c r="AN14" s="64">
        <f t="shared" si="31"/>
        <v>67</v>
      </c>
      <c r="AO14" s="330">
        <f t="shared" si="32"/>
        <v>2010.0000000000002</v>
      </c>
      <c r="AP14" s="64">
        <f t="shared" si="33"/>
        <v>78</v>
      </c>
      <c r="AQ14" s="330">
        <f t="shared" si="34"/>
        <v>2340</v>
      </c>
      <c r="AR14" s="64">
        <f t="shared" si="35"/>
        <v>69</v>
      </c>
      <c r="AS14" s="330">
        <f t="shared" si="41"/>
        <v>2070</v>
      </c>
      <c r="AT14" s="330">
        <f t="shared" si="42"/>
        <v>6420</v>
      </c>
      <c r="AU14" s="330">
        <f t="shared" si="43"/>
        <v>0</v>
      </c>
      <c r="AV14" s="276"/>
      <c r="AW14" s="276"/>
      <c r="AX14" s="323">
        <f t="shared" si="36"/>
        <v>0.7</v>
      </c>
    </row>
    <row r="15" spans="1:50" ht="15" customHeight="1">
      <c r="A15" s="63">
        <f>ELEC!C13</f>
        <v>43993</v>
      </c>
      <c r="B15" s="64">
        <f t="shared" si="16"/>
        <v>175</v>
      </c>
      <c r="C15" s="64">
        <f t="shared" si="16"/>
        <v>182</v>
      </c>
      <c r="D15" s="45">
        <f t="shared" si="0"/>
        <v>0</v>
      </c>
      <c r="E15" s="45">
        <f t="shared" si="17"/>
        <v>0</v>
      </c>
      <c r="F15" s="64">
        <f t="shared" si="18"/>
        <v>1581</v>
      </c>
      <c r="G15" s="52">
        <f t="shared" si="1"/>
        <v>0</v>
      </c>
      <c r="H15" s="64">
        <f t="shared" si="18"/>
        <v>352662</v>
      </c>
      <c r="I15" s="409">
        <f t="shared" si="2"/>
        <v>0</v>
      </c>
      <c r="J15" s="66">
        <f t="shared" si="19"/>
        <v>0</v>
      </c>
      <c r="K15" s="64">
        <f t="shared" si="20"/>
        <v>1962</v>
      </c>
      <c r="L15" s="52">
        <f t="shared" si="3"/>
        <v>0</v>
      </c>
      <c r="M15" s="64">
        <f t="shared" si="4"/>
        <v>143825</v>
      </c>
      <c r="N15" s="409">
        <f t="shared" si="5"/>
        <v>0</v>
      </c>
      <c r="O15" s="67">
        <f t="shared" si="6"/>
        <v>0</v>
      </c>
      <c r="P15" s="64">
        <f t="shared" si="21"/>
        <v>1797</v>
      </c>
      <c r="Q15" s="64">
        <f t="shared" si="22"/>
        <v>152534</v>
      </c>
      <c r="R15" s="408">
        <f t="shared" si="44"/>
        <v>0</v>
      </c>
      <c r="S15" s="52">
        <f t="shared" si="8"/>
        <v>0</v>
      </c>
      <c r="T15" s="68">
        <f t="shared" si="37"/>
        <v>0</v>
      </c>
      <c r="U15" s="415">
        <f t="shared" si="23"/>
        <v>0</v>
      </c>
      <c r="V15" s="62">
        <f t="shared" si="24"/>
        <v>0</v>
      </c>
      <c r="W15" s="413" t="e">
        <f t="shared" si="25"/>
        <v>#DIV/0!</v>
      </c>
      <c r="X15" s="64">
        <f t="shared" si="9"/>
        <v>2418</v>
      </c>
      <c r="Y15" s="52">
        <f t="shared" si="26"/>
        <v>0</v>
      </c>
      <c r="Z15" s="64">
        <f t="shared" si="10"/>
        <v>135904</v>
      </c>
      <c r="AA15" s="65">
        <f t="shared" si="11"/>
        <v>0</v>
      </c>
      <c r="AB15" s="294">
        <f t="shared" si="38"/>
        <v>0</v>
      </c>
      <c r="AC15" s="64">
        <f t="shared" si="12"/>
        <v>1841</v>
      </c>
      <c r="AD15" s="45">
        <f t="shared" si="13"/>
        <v>0</v>
      </c>
      <c r="AE15" s="64">
        <f t="shared" si="14"/>
        <v>359849.4</v>
      </c>
      <c r="AF15" s="316">
        <f t="shared" si="27"/>
        <v>0</v>
      </c>
      <c r="AG15" s="213">
        <f t="shared" si="39"/>
        <v>0</v>
      </c>
      <c r="AH15" s="62">
        <f t="shared" si="40"/>
        <v>0</v>
      </c>
      <c r="AI15" s="328">
        <f t="shared" si="28"/>
        <v>0</v>
      </c>
      <c r="AJ15" s="328">
        <f>-tanks!AW16</f>
        <v>0</v>
      </c>
      <c r="AK15" s="328">
        <f t="shared" si="29"/>
        <v>0</v>
      </c>
      <c r="AL15" s="328">
        <f t="shared" si="15"/>
        <v>0</v>
      </c>
      <c r="AM15" s="328">
        <f t="shared" si="30"/>
        <v>0</v>
      </c>
      <c r="AN15" s="64">
        <f t="shared" si="31"/>
        <v>67</v>
      </c>
      <c r="AO15" s="330">
        <f t="shared" si="32"/>
        <v>2010.0000000000002</v>
      </c>
      <c r="AP15" s="64">
        <f t="shared" si="33"/>
        <v>78</v>
      </c>
      <c r="AQ15" s="330">
        <f t="shared" si="34"/>
        <v>2340</v>
      </c>
      <c r="AR15" s="64">
        <f t="shared" si="35"/>
        <v>69</v>
      </c>
      <c r="AS15" s="330">
        <f t="shared" si="41"/>
        <v>2070</v>
      </c>
      <c r="AT15" s="330">
        <f t="shared" si="42"/>
        <v>6420</v>
      </c>
      <c r="AU15" s="330">
        <f t="shared" si="43"/>
        <v>0</v>
      </c>
      <c r="AV15" s="276"/>
      <c r="AW15" s="276"/>
      <c r="AX15" s="323">
        <f t="shared" si="36"/>
        <v>0.7</v>
      </c>
    </row>
    <row r="16" spans="1:50">
      <c r="A16" s="63">
        <f>ELEC!C14</f>
        <v>43994</v>
      </c>
      <c r="B16" s="64">
        <f t="shared" si="16"/>
        <v>175</v>
      </c>
      <c r="C16" s="64">
        <f t="shared" si="16"/>
        <v>182</v>
      </c>
      <c r="D16" s="45">
        <f t="shared" si="0"/>
        <v>0</v>
      </c>
      <c r="E16" s="45">
        <f t="shared" si="17"/>
        <v>0</v>
      </c>
      <c r="F16" s="64">
        <f t="shared" si="18"/>
        <v>1581</v>
      </c>
      <c r="G16" s="52">
        <f t="shared" si="1"/>
        <v>0</v>
      </c>
      <c r="H16" s="64">
        <f t="shared" si="18"/>
        <v>352662</v>
      </c>
      <c r="I16" s="409">
        <f t="shared" si="2"/>
        <v>0</v>
      </c>
      <c r="J16" s="66">
        <f t="shared" si="19"/>
        <v>0</v>
      </c>
      <c r="K16" s="64">
        <f t="shared" si="20"/>
        <v>1962</v>
      </c>
      <c r="L16" s="52">
        <f t="shared" si="3"/>
        <v>0</v>
      </c>
      <c r="M16" s="64">
        <f t="shared" si="4"/>
        <v>143825</v>
      </c>
      <c r="N16" s="409">
        <f t="shared" si="5"/>
        <v>0</v>
      </c>
      <c r="O16" s="67">
        <f t="shared" si="6"/>
        <v>0</v>
      </c>
      <c r="P16" s="64">
        <f t="shared" si="21"/>
        <v>1797</v>
      </c>
      <c r="Q16" s="64">
        <f t="shared" si="22"/>
        <v>152534</v>
      </c>
      <c r="R16" s="408">
        <f t="shared" si="44"/>
        <v>0</v>
      </c>
      <c r="S16" s="52">
        <f t="shared" si="8"/>
        <v>0</v>
      </c>
      <c r="T16" s="68">
        <f t="shared" si="37"/>
        <v>0</v>
      </c>
      <c r="U16" s="415">
        <f t="shared" si="23"/>
        <v>0</v>
      </c>
      <c r="V16" s="62">
        <f t="shared" si="24"/>
        <v>0</v>
      </c>
      <c r="W16" s="413" t="e">
        <f t="shared" si="25"/>
        <v>#DIV/0!</v>
      </c>
      <c r="X16" s="64">
        <f t="shared" si="9"/>
        <v>2418</v>
      </c>
      <c r="Y16" s="52">
        <f t="shared" si="26"/>
        <v>0</v>
      </c>
      <c r="Z16" s="64">
        <f t="shared" si="10"/>
        <v>135904</v>
      </c>
      <c r="AA16" s="65">
        <f t="shared" si="11"/>
        <v>0</v>
      </c>
      <c r="AB16" s="294">
        <f t="shared" si="38"/>
        <v>0</v>
      </c>
      <c r="AC16" s="64">
        <f t="shared" si="12"/>
        <v>1841</v>
      </c>
      <c r="AD16" s="45">
        <f t="shared" si="13"/>
        <v>0</v>
      </c>
      <c r="AE16" s="64">
        <f t="shared" si="14"/>
        <v>359849.4</v>
      </c>
      <c r="AF16" s="316">
        <f t="shared" si="27"/>
        <v>0</v>
      </c>
      <c r="AG16" s="213">
        <f t="shared" si="39"/>
        <v>0</v>
      </c>
      <c r="AH16" s="62">
        <f t="shared" si="40"/>
        <v>0</v>
      </c>
      <c r="AI16" s="328">
        <f t="shared" si="28"/>
        <v>0</v>
      </c>
      <c r="AJ16" s="328">
        <f>-tanks!AW17</f>
        <v>0</v>
      </c>
      <c r="AK16" s="328">
        <f t="shared" si="29"/>
        <v>0</v>
      </c>
      <c r="AL16" s="328">
        <f t="shared" si="15"/>
        <v>0</v>
      </c>
      <c r="AM16" s="328">
        <f t="shared" si="30"/>
        <v>0</v>
      </c>
      <c r="AN16" s="64">
        <f t="shared" si="31"/>
        <v>67</v>
      </c>
      <c r="AO16" s="330">
        <f t="shared" si="32"/>
        <v>2010.0000000000002</v>
      </c>
      <c r="AP16" s="64">
        <f t="shared" si="33"/>
        <v>78</v>
      </c>
      <c r="AQ16" s="330">
        <f t="shared" si="34"/>
        <v>2340</v>
      </c>
      <c r="AR16" s="64">
        <f t="shared" si="35"/>
        <v>69</v>
      </c>
      <c r="AS16" s="330">
        <f t="shared" si="41"/>
        <v>2070</v>
      </c>
      <c r="AT16" s="330">
        <f t="shared" si="42"/>
        <v>6420</v>
      </c>
      <c r="AU16" s="330">
        <f t="shared" si="43"/>
        <v>0</v>
      </c>
      <c r="AV16" s="276"/>
      <c r="AW16" s="276"/>
      <c r="AX16" s="323">
        <f t="shared" si="36"/>
        <v>0.7</v>
      </c>
    </row>
    <row r="17" spans="1:50">
      <c r="A17" s="63">
        <f>ELEC!C15</f>
        <v>43995</v>
      </c>
      <c r="B17" s="64">
        <f t="shared" si="16"/>
        <v>175</v>
      </c>
      <c r="C17" s="64">
        <f t="shared" si="16"/>
        <v>182</v>
      </c>
      <c r="D17" s="45">
        <f t="shared" si="0"/>
        <v>0</v>
      </c>
      <c r="E17" s="45">
        <f t="shared" si="17"/>
        <v>0</v>
      </c>
      <c r="F17" s="64">
        <f t="shared" si="18"/>
        <v>1581</v>
      </c>
      <c r="G17" s="52">
        <f t="shared" si="1"/>
        <v>0</v>
      </c>
      <c r="H17" s="64">
        <f t="shared" si="18"/>
        <v>352662</v>
      </c>
      <c r="I17" s="409">
        <f t="shared" si="2"/>
        <v>0</v>
      </c>
      <c r="J17" s="66">
        <f t="shared" si="19"/>
        <v>0</v>
      </c>
      <c r="K17" s="64">
        <f t="shared" si="20"/>
        <v>1962</v>
      </c>
      <c r="L17" s="52">
        <f t="shared" si="3"/>
        <v>0</v>
      </c>
      <c r="M17" s="64">
        <f t="shared" si="4"/>
        <v>143825</v>
      </c>
      <c r="N17" s="409">
        <f t="shared" si="5"/>
        <v>0</v>
      </c>
      <c r="O17" s="67">
        <f t="shared" si="6"/>
        <v>0</v>
      </c>
      <c r="P17" s="64">
        <f t="shared" si="21"/>
        <v>1797</v>
      </c>
      <c r="Q17" s="64">
        <f t="shared" si="22"/>
        <v>152534</v>
      </c>
      <c r="R17" s="408">
        <f t="shared" si="44"/>
        <v>0</v>
      </c>
      <c r="S17" s="52">
        <f t="shared" si="8"/>
        <v>0</v>
      </c>
      <c r="T17" s="68">
        <f t="shared" si="37"/>
        <v>0</v>
      </c>
      <c r="U17" s="415">
        <f t="shared" si="23"/>
        <v>0</v>
      </c>
      <c r="V17" s="62">
        <f t="shared" si="24"/>
        <v>0</v>
      </c>
      <c r="W17" s="413"/>
      <c r="X17" s="64">
        <f t="shared" si="9"/>
        <v>2418</v>
      </c>
      <c r="Y17" s="52">
        <f t="shared" si="26"/>
        <v>0</v>
      </c>
      <c r="Z17" s="64">
        <f t="shared" si="10"/>
        <v>135904</v>
      </c>
      <c r="AA17" s="65">
        <f t="shared" si="11"/>
        <v>0</v>
      </c>
      <c r="AB17" s="294">
        <f t="shared" si="38"/>
        <v>0</v>
      </c>
      <c r="AC17" s="64">
        <f t="shared" si="12"/>
        <v>1841</v>
      </c>
      <c r="AD17" s="45">
        <f t="shared" si="13"/>
        <v>0</v>
      </c>
      <c r="AE17" s="64">
        <f t="shared" si="14"/>
        <v>359849.4</v>
      </c>
      <c r="AF17" s="316">
        <f t="shared" si="27"/>
        <v>0</v>
      </c>
      <c r="AG17" s="213">
        <f t="shared" si="39"/>
        <v>0</v>
      </c>
      <c r="AH17" s="62">
        <f t="shared" si="40"/>
        <v>0</v>
      </c>
      <c r="AI17" s="328">
        <f t="shared" si="28"/>
        <v>0</v>
      </c>
      <c r="AJ17" s="328">
        <f>-tanks!AW18</f>
        <v>0</v>
      </c>
      <c r="AK17" s="328">
        <f t="shared" si="29"/>
        <v>0</v>
      </c>
      <c r="AL17" s="328">
        <f t="shared" si="15"/>
        <v>0</v>
      </c>
      <c r="AM17" s="328">
        <f t="shared" si="30"/>
        <v>0</v>
      </c>
      <c r="AN17" s="64">
        <f t="shared" si="31"/>
        <v>67</v>
      </c>
      <c r="AO17" s="330">
        <f t="shared" si="32"/>
        <v>2010.0000000000002</v>
      </c>
      <c r="AP17" s="64">
        <f t="shared" si="33"/>
        <v>78</v>
      </c>
      <c r="AQ17" s="330">
        <f t="shared" si="34"/>
        <v>2340</v>
      </c>
      <c r="AR17" s="64">
        <f t="shared" si="35"/>
        <v>69</v>
      </c>
      <c r="AS17" s="330">
        <f t="shared" si="41"/>
        <v>2070</v>
      </c>
      <c r="AT17" s="330">
        <f t="shared" si="42"/>
        <v>6420</v>
      </c>
      <c r="AU17" s="330">
        <f t="shared" si="43"/>
        <v>0</v>
      </c>
      <c r="AV17" s="276"/>
      <c r="AW17" s="276"/>
      <c r="AX17" s="323">
        <f t="shared" si="36"/>
        <v>0.7</v>
      </c>
    </row>
    <row r="18" spans="1:50">
      <c r="A18" s="63">
        <f>ELEC!C16</f>
        <v>43996</v>
      </c>
      <c r="B18" s="64">
        <f t="shared" si="16"/>
        <v>175</v>
      </c>
      <c r="C18" s="64">
        <f t="shared" si="16"/>
        <v>182</v>
      </c>
      <c r="D18" s="45">
        <f t="shared" si="0"/>
        <v>0</v>
      </c>
      <c r="E18" s="45">
        <f t="shared" si="17"/>
        <v>0</v>
      </c>
      <c r="F18" s="64">
        <f t="shared" si="18"/>
        <v>1581</v>
      </c>
      <c r="G18" s="52">
        <f t="shared" si="1"/>
        <v>0</v>
      </c>
      <c r="H18" s="64">
        <f t="shared" si="18"/>
        <v>352662</v>
      </c>
      <c r="I18" s="409">
        <f t="shared" si="2"/>
        <v>0</v>
      </c>
      <c r="J18" s="66">
        <f t="shared" si="19"/>
        <v>0</v>
      </c>
      <c r="K18" s="64">
        <f t="shared" si="20"/>
        <v>1962</v>
      </c>
      <c r="L18" s="52">
        <f t="shared" si="3"/>
        <v>0</v>
      </c>
      <c r="M18" s="64">
        <f t="shared" si="4"/>
        <v>143825</v>
      </c>
      <c r="N18" s="409">
        <f t="shared" si="5"/>
        <v>0</v>
      </c>
      <c r="O18" s="67">
        <f t="shared" si="6"/>
        <v>0</v>
      </c>
      <c r="P18" s="64">
        <f t="shared" si="21"/>
        <v>1797</v>
      </c>
      <c r="Q18" s="64">
        <f t="shared" si="22"/>
        <v>152534</v>
      </c>
      <c r="R18" s="408">
        <f t="shared" si="44"/>
        <v>0</v>
      </c>
      <c r="S18" s="52">
        <f t="shared" si="8"/>
        <v>0</v>
      </c>
      <c r="T18" s="68">
        <f t="shared" si="37"/>
        <v>0</v>
      </c>
      <c r="U18" s="415">
        <f t="shared" si="23"/>
        <v>0</v>
      </c>
      <c r="V18" s="62">
        <f t="shared" si="24"/>
        <v>0</v>
      </c>
      <c r="W18" s="413"/>
      <c r="X18" s="64">
        <f t="shared" si="9"/>
        <v>2418</v>
      </c>
      <c r="Y18" s="52">
        <f t="shared" si="26"/>
        <v>0</v>
      </c>
      <c r="Z18" s="64">
        <f t="shared" si="10"/>
        <v>135904</v>
      </c>
      <c r="AA18" s="65">
        <f t="shared" si="11"/>
        <v>0</v>
      </c>
      <c r="AB18" s="294">
        <f t="shared" ref="AB18:AB23" si="45">SUM(Y18*$AB$2)</f>
        <v>0</v>
      </c>
      <c r="AC18" s="64">
        <f t="shared" si="12"/>
        <v>1841</v>
      </c>
      <c r="AD18" s="45">
        <f t="shared" si="13"/>
        <v>0</v>
      </c>
      <c r="AE18" s="64">
        <f t="shared" si="14"/>
        <v>359849.4</v>
      </c>
      <c r="AF18" s="316">
        <f t="shared" si="27"/>
        <v>0</v>
      </c>
      <c r="AG18" s="213">
        <f t="shared" si="39"/>
        <v>0</v>
      </c>
      <c r="AH18" s="62">
        <f t="shared" si="40"/>
        <v>0</v>
      </c>
      <c r="AI18" s="328">
        <f t="shared" si="28"/>
        <v>0</v>
      </c>
      <c r="AJ18" s="328">
        <f>-tanks!AW19</f>
        <v>0</v>
      </c>
      <c r="AK18" s="328">
        <f t="shared" si="29"/>
        <v>0</v>
      </c>
      <c r="AL18" s="328">
        <f t="shared" si="15"/>
        <v>0</v>
      </c>
      <c r="AM18" s="328">
        <f t="shared" si="30"/>
        <v>0</v>
      </c>
      <c r="AN18" s="64">
        <f t="shared" si="31"/>
        <v>67</v>
      </c>
      <c r="AO18" s="330">
        <f t="shared" si="32"/>
        <v>2010.0000000000002</v>
      </c>
      <c r="AP18" s="64">
        <f t="shared" si="33"/>
        <v>78</v>
      </c>
      <c r="AQ18" s="330">
        <f t="shared" si="34"/>
        <v>2340</v>
      </c>
      <c r="AR18" s="64">
        <f t="shared" si="35"/>
        <v>69</v>
      </c>
      <c r="AS18" s="330">
        <f t="shared" si="41"/>
        <v>2070</v>
      </c>
      <c r="AT18" s="330">
        <f t="shared" si="42"/>
        <v>6420</v>
      </c>
      <c r="AU18" s="330">
        <f t="shared" si="43"/>
        <v>0</v>
      </c>
      <c r="AV18" s="276"/>
      <c r="AW18" s="276"/>
      <c r="AX18" s="323">
        <f t="shared" si="36"/>
        <v>0.7</v>
      </c>
    </row>
    <row r="19" spans="1:50">
      <c r="A19" s="63">
        <f>ELEC!C17</f>
        <v>43997</v>
      </c>
      <c r="B19" s="64">
        <f t="shared" si="16"/>
        <v>175</v>
      </c>
      <c r="C19" s="64">
        <f t="shared" si="16"/>
        <v>182</v>
      </c>
      <c r="D19" s="45">
        <f t="shared" si="0"/>
        <v>0</v>
      </c>
      <c r="E19" s="45">
        <f t="shared" si="17"/>
        <v>0</v>
      </c>
      <c r="F19" s="64">
        <f t="shared" si="18"/>
        <v>1581</v>
      </c>
      <c r="G19" s="52">
        <f t="shared" si="1"/>
        <v>0</v>
      </c>
      <c r="H19" s="64">
        <f t="shared" si="18"/>
        <v>352662</v>
      </c>
      <c r="I19" s="409">
        <f t="shared" si="2"/>
        <v>0</v>
      </c>
      <c r="J19" s="66">
        <f t="shared" si="19"/>
        <v>0</v>
      </c>
      <c r="K19" s="64">
        <f t="shared" si="20"/>
        <v>1962</v>
      </c>
      <c r="L19" s="52">
        <f t="shared" si="3"/>
        <v>0</v>
      </c>
      <c r="M19" s="64">
        <f t="shared" si="4"/>
        <v>143825</v>
      </c>
      <c r="N19" s="409">
        <f t="shared" si="5"/>
        <v>0</v>
      </c>
      <c r="O19" s="67">
        <f t="shared" si="6"/>
        <v>0</v>
      </c>
      <c r="P19" s="64">
        <f t="shared" si="21"/>
        <v>1797</v>
      </c>
      <c r="Q19" s="64">
        <f t="shared" si="22"/>
        <v>152534</v>
      </c>
      <c r="R19" s="408">
        <f t="shared" si="44"/>
        <v>0</v>
      </c>
      <c r="S19" s="52">
        <f t="shared" si="8"/>
        <v>0</v>
      </c>
      <c r="T19" s="68">
        <f t="shared" si="37"/>
        <v>0</v>
      </c>
      <c r="U19" s="415">
        <f t="shared" si="23"/>
        <v>0</v>
      </c>
      <c r="V19" s="62">
        <f t="shared" si="24"/>
        <v>0</v>
      </c>
      <c r="W19" s="413"/>
      <c r="X19" s="64">
        <f t="shared" si="9"/>
        <v>2418</v>
      </c>
      <c r="Y19" s="52">
        <f t="shared" si="26"/>
        <v>0</v>
      </c>
      <c r="Z19" s="64">
        <f t="shared" si="10"/>
        <v>135904</v>
      </c>
      <c r="AA19" s="65">
        <f t="shared" si="11"/>
        <v>0</v>
      </c>
      <c r="AB19" s="294">
        <f t="shared" si="45"/>
        <v>0</v>
      </c>
      <c r="AC19" s="64">
        <f t="shared" si="12"/>
        <v>1841</v>
      </c>
      <c r="AD19" s="45">
        <f t="shared" si="13"/>
        <v>0</v>
      </c>
      <c r="AE19" s="64">
        <f t="shared" si="14"/>
        <v>359849.4</v>
      </c>
      <c r="AF19" s="316">
        <f t="shared" si="27"/>
        <v>0</v>
      </c>
      <c r="AG19" s="213">
        <f t="shared" si="39"/>
        <v>0</v>
      </c>
      <c r="AH19" s="62">
        <f t="shared" si="40"/>
        <v>0</v>
      </c>
      <c r="AI19" s="328">
        <f t="shared" si="28"/>
        <v>0</v>
      </c>
      <c r="AJ19" s="328">
        <f>-tanks!AW20</f>
        <v>0</v>
      </c>
      <c r="AK19" s="328">
        <f t="shared" si="29"/>
        <v>0</v>
      </c>
      <c r="AL19" s="328">
        <f>S19+L20+G19</f>
        <v>0</v>
      </c>
      <c r="AM19" s="328">
        <f t="shared" si="30"/>
        <v>0</v>
      </c>
      <c r="AN19" s="64">
        <f t="shared" si="31"/>
        <v>67</v>
      </c>
      <c r="AO19" s="330">
        <f t="shared" si="32"/>
        <v>2010.0000000000002</v>
      </c>
      <c r="AP19" s="64">
        <f t="shared" si="33"/>
        <v>78</v>
      </c>
      <c r="AQ19" s="330">
        <f t="shared" si="34"/>
        <v>2340</v>
      </c>
      <c r="AR19" s="64">
        <f t="shared" si="35"/>
        <v>69</v>
      </c>
      <c r="AS19" s="330">
        <f t="shared" si="41"/>
        <v>2070</v>
      </c>
      <c r="AT19" s="330">
        <f t="shared" si="42"/>
        <v>6420</v>
      </c>
      <c r="AU19" s="330">
        <f t="shared" si="43"/>
        <v>0</v>
      </c>
      <c r="AV19" s="276"/>
      <c r="AW19" s="276"/>
      <c r="AX19" s="323">
        <f t="shared" si="36"/>
        <v>0.7</v>
      </c>
    </row>
    <row r="20" spans="1:50">
      <c r="A20" s="63">
        <f>ELEC!C18</f>
        <v>43998</v>
      </c>
      <c r="B20" s="64">
        <f t="shared" si="16"/>
        <v>175</v>
      </c>
      <c r="C20" s="64">
        <f t="shared" si="16"/>
        <v>182</v>
      </c>
      <c r="D20" s="45">
        <f>C19-C20</f>
        <v>0</v>
      </c>
      <c r="E20" s="45">
        <f t="shared" si="17"/>
        <v>0</v>
      </c>
      <c r="F20" s="64">
        <f t="shared" si="18"/>
        <v>1581</v>
      </c>
      <c r="G20" s="52">
        <f t="shared" si="1"/>
        <v>0</v>
      </c>
      <c r="H20" s="64">
        <f t="shared" si="18"/>
        <v>352662</v>
      </c>
      <c r="I20" s="409">
        <f t="shared" si="2"/>
        <v>0</v>
      </c>
      <c r="J20" s="66">
        <f t="shared" si="19"/>
        <v>0</v>
      </c>
      <c r="K20" s="64">
        <f t="shared" si="20"/>
        <v>1962</v>
      </c>
      <c r="L20" s="52">
        <f t="shared" si="3"/>
        <v>0</v>
      </c>
      <c r="M20" s="64">
        <f t="shared" si="4"/>
        <v>143825</v>
      </c>
      <c r="N20" s="409">
        <f t="shared" si="5"/>
        <v>0</v>
      </c>
      <c r="O20" s="67">
        <f t="shared" si="6"/>
        <v>0</v>
      </c>
      <c r="P20" s="64">
        <f t="shared" si="21"/>
        <v>1797</v>
      </c>
      <c r="Q20" s="64">
        <f t="shared" si="22"/>
        <v>152534</v>
      </c>
      <c r="R20" s="408">
        <f t="shared" si="44"/>
        <v>0</v>
      </c>
      <c r="S20" s="52">
        <f t="shared" si="8"/>
        <v>0</v>
      </c>
      <c r="T20" s="68">
        <f t="shared" si="37"/>
        <v>0</v>
      </c>
      <c r="U20" s="415">
        <f t="shared" si="23"/>
        <v>0</v>
      </c>
      <c r="V20" s="62">
        <f t="shared" si="24"/>
        <v>0</v>
      </c>
      <c r="W20" s="413"/>
      <c r="X20" s="64">
        <f t="shared" si="9"/>
        <v>2418</v>
      </c>
      <c r="Y20" s="52">
        <f t="shared" si="26"/>
        <v>0</v>
      </c>
      <c r="Z20" s="64">
        <f t="shared" si="10"/>
        <v>135904</v>
      </c>
      <c r="AA20" s="65">
        <f t="shared" si="11"/>
        <v>0</v>
      </c>
      <c r="AB20" s="294">
        <f t="shared" si="45"/>
        <v>0</v>
      </c>
      <c r="AC20" s="64">
        <f t="shared" si="12"/>
        <v>1841</v>
      </c>
      <c r="AD20" s="45">
        <f t="shared" si="13"/>
        <v>0</v>
      </c>
      <c r="AE20" s="64">
        <f t="shared" si="14"/>
        <v>359849.4</v>
      </c>
      <c r="AF20" s="316">
        <f t="shared" si="27"/>
        <v>0</v>
      </c>
      <c r="AG20" s="213">
        <f t="shared" si="39"/>
        <v>0</v>
      </c>
      <c r="AH20" s="62">
        <f t="shared" si="40"/>
        <v>0</v>
      </c>
      <c r="AI20" s="328">
        <f t="shared" si="28"/>
        <v>0</v>
      </c>
      <c r="AJ20" s="328">
        <f>-tanks!AW21</f>
        <v>0</v>
      </c>
      <c r="AK20" s="328">
        <f t="shared" si="29"/>
        <v>0</v>
      </c>
      <c r="AL20" s="328">
        <f>S20+L21+G20</f>
        <v>0</v>
      </c>
      <c r="AM20" s="328">
        <f t="shared" si="30"/>
        <v>0</v>
      </c>
      <c r="AN20" s="64">
        <f t="shared" si="31"/>
        <v>67</v>
      </c>
      <c r="AO20" s="330">
        <f t="shared" si="32"/>
        <v>2010.0000000000002</v>
      </c>
      <c r="AP20" s="64">
        <f t="shared" si="33"/>
        <v>78</v>
      </c>
      <c r="AQ20" s="330">
        <f t="shared" si="34"/>
        <v>2340</v>
      </c>
      <c r="AR20" s="64">
        <f t="shared" si="35"/>
        <v>69</v>
      </c>
      <c r="AS20" s="330">
        <f t="shared" si="41"/>
        <v>2070</v>
      </c>
      <c r="AT20" s="330">
        <f t="shared" si="42"/>
        <v>6420</v>
      </c>
      <c r="AU20" s="330">
        <f t="shared" si="43"/>
        <v>0</v>
      </c>
      <c r="AV20" s="276"/>
      <c r="AW20" s="276"/>
      <c r="AX20" s="323">
        <f t="shared" si="36"/>
        <v>0.7</v>
      </c>
    </row>
    <row r="21" spans="1:50">
      <c r="A21" s="63">
        <f>ELEC!C19</f>
        <v>43999</v>
      </c>
      <c r="B21" s="64">
        <f t="shared" si="16"/>
        <v>175</v>
      </c>
      <c r="C21" s="64">
        <f t="shared" si="16"/>
        <v>182</v>
      </c>
      <c r="D21" s="45">
        <f t="shared" ref="D21:D31" si="46">C20-C21</f>
        <v>0</v>
      </c>
      <c r="E21" s="45">
        <f t="shared" si="17"/>
        <v>0</v>
      </c>
      <c r="F21" s="64">
        <f t="shared" si="18"/>
        <v>1581</v>
      </c>
      <c r="G21" s="52">
        <f t="shared" si="1"/>
        <v>0</v>
      </c>
      <c r="H21" s="64">
        <f t="shared" si="18"/>
        <v>352662</v>
      </c>
      <c r="I21" s="409">
        <f t="shared" si="2"/>
        <v>0</v>
      </c>
      <c r="J21" s="66">
        <f t="shared" si="19"/>
        <v>0</v>
      </c>
      <c r="K21" s="64">
        <f t="shared" si="20"/>
        <v>1962</v>
      </c>
      <c r="L21" s="52">
        <f t="shared" si="3"/>
        <v>0</v>
      </c>
      <c r="M21" s="64">
        <f t="shared" si="4"/>
        <v>143825</v>
      </c>
      <c r="N21" s="409">
        <f t="shared" si="5"/>
        <v>0</v>
      </c>
      <c r="O21" s="67">
        <f t="shared" si="6"/>
        <v>0</v>
      </c>
      <c r="P21" s="64">
        <f t="shared" si="21"/>
        <v>1797</v>
      </c>
      <c r="Q21" s="64">
        <f t="shared" si="22"/>
        <v>152534</v>
      </c>
      <c r="R21" s="408">
        <f t="shared" si="44"/>
        <v>0</v>
      </c>
      <c r="S21" s="52">
        <f t="shared" si="8"/>
        <v>0</v>
      </c>
      <c r="T21" s="68">
        <f t="shared" si="37"/>
        <v>0</v>
      </c>
      <c r="U21" s="415">
        <f t="shared" si="23"/>
        <v>0</v>
      </c>
      <c r="V21" s="62">
        <f t="shared" si="24"/>
        <v>0</v>
      </c>
      <c r="W21" s="413"/>
      <c r="X21" s="64">
        <f t="shared" si="9"/>
        <v>2418</v>
      </c>
      <c r="Y21" s="52">
        <f t="shared" si="26"/>
        <v>0</v>
      </c>
      <c r="Z21" s="64">
        <f t="shared" si="10"/>
        <v>135904</v>
      </c>
      <c r="AA21" s="65">
        <f t="shared" si="11"/>
        <v>0</v>
      </c>
      <c r="AB21" s="294">
        <f t="shared" si="45"/>
        <v>0</v>
      </c>
      <c r="AC21" s="64">
        <f t="shared" si="12"/>
        <v>1841</v>
      </c>
      <c r="AD21" s="45">
        <f t="shared" si="13"/>
        <v>0</v>
      </c>
      <c r="AE21" s="64">
        <f t="shared" si="14"/>
        <v>359849.4</v>
      </c>
      <c r="AF21" s="316">
        <f t="shared" si="27"/>
        <v>0</v>
      </c>
      <c r="AG21" s="213">
        <f t="shared" si="39"/>
        <v>0</v>
      </c>
      <c r="AH21" s="62">
        <f t="shared" si="40"/>
        <v>0</v>
      </c>
      <c r="AI21" s="328">
        <f t="shared" si="28"/>
        <v>0</v>
      </c>
      <c r="AJ21" s="328">
        <f>-tanks!AW22</f>
        <v>0</v>
      </c>
      <c r="AK21" s="328">
        <f t="shared" si="29"/>
        <v>0</v>
      </c>
      <c r="AL21" s="328">
        <f t="shared" ref="AL21:AL34" si="47">S21+L21+G21</f>
        <v>0</v>
      </c>
      <c r="AM21" s="328">
        <f t="shared" si="30"/>
        <v>0</v>
      </c>
      <c r="AN21" s="64">
        <f t="shared" si="31"/>
        <v>67</v>
      </c>
      <c r="AO21" s="330">
        <f t="shared" si="32"/>
        <v>2010.0000000000002</v>
      </c>
      <c r="AP21" s="64">
        <f t="shared" si="33"/>
        <v>78</v>
      </c>
      <c r="AQ21" s="330">
        <f t="shared" si="34"/>
        <v>2340</v>
      </c>
      <c r="AR21" s="64">
        <f t="shared" si="35"/>
        <v>69</v>
      </c>
      <c r="AS21" s="330">
        <f t="shared" si="41"/>
        <v>2070</v>
      </c>
      <c r="AT21" s="330">
        <f t="shared" si="42"/>
        <v>6420</v>
      </c>
      <c r="AU21" s="330">
        <f t="shared" si="43"/>
        <v>0</v>
      </c>
      <c r="AV21" s="276"/>
      <c r="AW21" s="276"/>
      <c r="AX21" s="323">
        <f t="shared" si="36"/>
        <v>0.7</v>
      </c>
    </row>
    <row r="22" spans="1:50" ht="16.5" customHeight="1">
      <c r="A22" s="63">
        <f>ELEC!C20</f>
        <v>44000</v>
      </c>
      <c r="B22" s="64">
        <f t="shared" si="16"/>
        <v>175</v>
      </c>
      <c r="C22" s="64">
        <f t="shared" si="16"/>
        <v>182</v>
      </c>
      <c r="D22" s="45">
        <f t="shared" si="46"/>
        <v>0</v>
      </c>
      <c r="E22" s="45">
        <f t="shared" si="17"/>
        <v>0</v>
      </c>
      <c r="F22" s="64">
        <f t="shared" si="18"/>
        <v>1581</v>
      </c>
      <c r="G22" s="52">
        <f t="shared" si="1"/>
        <v>0</v>
      </c>
      <c r="H22" s="64">
        <f t="shared" si="18"/>
        <v>352662</v>
      </c>
      <c r="I22" s="409">
        <f t="shared" si="2"/>
        <v>0</v>
      </c>
      <c r="J22" s="66">
        <f t="shared" si="19"/>
        <v>0</v>
      </c>
      <c r="K22" s="64">
        <f t="shared" si="20"/>
        <v>1962</v>
      </c>
      <c r="L22" s="52">
        <f t="shared" si="3"/>
        <v>0</v>
      </c>
      <c r="M22" s="64">
        <f t="shared" si="4"/>
        <v>143825</v>
      </c>
      <c r="N22" s="409">
        <f t="shared" si="5"/>
        <v>0</v>
      </c>
      <c r="O22" s="67">
        <f t="shared" si="6"/>
        <v>0</v>
      </c>
      <c r="P22" s="64">
        <f t="shared" si="21"/>
        <v>1797</v>
      </c>
      <c r="Q22" s="64">
        <f t="shared" si="22"/>
        <v>152534</v>
      </c>
      <c r="R22" s="408">
        <f t="shared" si="44"/>
        <v>0</v>
      </c>
      <c r="S22" s="52">
        <f t="shared" si="8"/>
        <v>0</v>
      </c>
      <c r="T22" s="68">
        <f t="shared" si="37"/>
        <v>0</v>
      </c>
      <c r="U22" s="415">
        <f t="shared" si="23"/>
        <v>0</v>
      </c>
      <c r="V22" s="62">
        <f t="shared" si="24"/>
        <v>0</v>
      </c>
      <c r="W22" s="413"/>
      <c r="X22" s="64">
        <f t="shared" si="9"/>
        <v>2418</v>
      </c>
      <c r="Y22" s="52">
        <f t="shared" si="26"/>
        <v>0</v>
      </c>
      <c r="Z22" s="64">
        <f t="shared" si="10"/>
        <v>135904</v>
      </c>
      <c r="AA22" s="65">
        <f t="shared" si="11"/>
        <v>0</v>
      </c>
      <c r="AB22" s="294">
        <f t="shared" si="45"/>
        <v>0</v>
      </c>
      <c r="AC22" s="64">
        <f t="shared" si="12"/>
        <v>1841</v>
      </c>
      <c r="AD22" s="45">
        <f t="shared" si="13"/>
        <v>0</v>
      </c>
      <c r="AE22" s="64">
        <f t="shared" si="14"/>
        <v>359849.4</v>
      </c>
      <c r="AF22" s="316">
        <f t="shared" si="27"/>
        <v>0</v>
      </c>
      <c r="AG22" s="213">
        <f t="shared" si="39"/>
        <v>0</v>
      </c>
      <c r="AH22" s="62">
        <f t="shared" si="40"/>
        <v>0</v>
      </c>
      <c r="AI22" s="328">
        <f t="shared" si="28"/>
        <v>0</v>
      </c>
      <c r="AJ22" s="328">
        <f>-tanks!AW23</f>
        <v>0</v>
      </c>
      <c r="AK22" s="328">
        <f t="shared" si="29"/>
        <v>0</v>
      </c>
      <c r="AL22" s="328">
        <f t="shared" si="47"/>
        <v>0</v>
      </c>
      <c r="AM22" s="328">
        <f t="shared" si="30"/>
        <v>0</v>
      </c>
      <c r="AN22" s="64">
        <f t="shared" si="31"/>
        <v>67</v>
      </c>
      <c r="AO22" s="330">
        <f t="shared" si="32"/>
        <v>2010.0000000000002</v>
      </c>
      <c r="AP22" s="64">
        <f t="shared" si="33"/>
        <v>78</v>
      </c>
      <c r="AQ22" s="330">
        <f t="shared" si="34"/>
        <v>2340</v>
      </c>
      <c r="AR22" s="64">
        <f t="shared" si="35"/>
        <v>69</v>
      </c>
      <c r="AS22" s="330">
        <f t="shared" si="41"/>
        <v>2070</v>
      </c>
      <c r="AT22" s="330">
        <f t="shared" si="42"/>
        <v>6420</v>
      </c>
      <c r="AU22" s="330">
        <f t="shared" si="43"/>
        <v>0</v>
      </c>
      <c r="AV22" s="276"/>
      <c r="AW22" s="276"/>
      <c r="AX22" s="323">
        <f t="shared" si="36"/>
        <v>0.7</v>
      </c>
    </row>
    <row r="23" spans="1:50">
      <c r="A23" s="63">
        <f>ELEC!C21</f>
        <v>44001</v>
      </c>
      <c r="B23" s="64">
        <f t="shared" si="16"/>
        <v>175</v>
      </c>
      <c r="C23" s="64">
        <f t="shared" si="16"/>
        <v>182</v>
      </c>
      <c r="D23" s="45">
        <f t="shared" si="46"/>
        <v>0</v>
      </c>
      <c r="E23" s="45">
        <f t="shared" si="17"/>
        <v>0</v>
      </c>
      <c r="F23" s="64">
        <f t="shared" si="18"/>
        <v>1581</v>
      </c>
      <c r="G23" s="52">
        <f t="shared" si="1"/>
        <v>0</v>
      </c>
      <c r="H23" s="64">
        <f t="shared" si="18"/>
        <v>352662</v>
      </c>
      <c r="I23" s="409">
        <f t="shared" si="2"/>
        <v>0</v>
      </c>
      <c r="J23" s="66">
        <f t="shared" si="19"/>
        <v>0</v>
      </c>
      <c r="K23" s="64">
        <f t="shared" si="20"/>
        <v>1962</v>
      </c>
      <c r="L23" s="52">
        <f t="shared" si="3"/>
        <v>0</v>
      </c>
      <c r="M23" s="64">
        <f t="shared" si="4"/>
        <v>143825</v>
      </c>
      <c r="N23" s="409">
        <f t="shared" si="5"/>
        <v>0</v>
      </c>
      <c r="O23" s="67">
        <f t="shared" si="6"/>
        <v>0</v>
      </c>
      <c r="P23" s="64">
        <f t="shared" si="21"/>
        <v>1797</v>
      </c>
      <c r="Q23" s="64">
        <f t="shared" si="22"/>
        <v>152534</v>
      </c>
      <c r="R23" s="408">
        <f t="shared" si="44"/>
        <v>0</v>
      </c>
      <c r="S23" s="52">
        <f t="shared" si="8"/>
        <v>0</v>
      </c>
      <c r="T23" s="68">
        <f t="shared" si="37"/>
        <v>0</v>
      </c>
      <c r="U23" s="415">
        <f t="shared" si="23"/>
        <v>0</v>
      </c>
      <c r="V23" s="62">
        <f t="shared" si="24"/>
        <v>0</v>
      </c>
      <c r="W23" s="413"/>
      <c r="X23" s="64">
        <f t="shared" si="9"/>
        <v>2418</v>
      </c>
      <c r="Y23" s="52">
        <f t="shared" si="26"/>
        <v>0</v>
      </c>
      <c r="Z23" s="64">
        <f t="shared" si="10"/>
        <v>135904</v>
      </c>
      <c r="AA23" s="65">
        <f t="shared" si="11"/>
        <v>0</v>
      </c>
      <c r="AB23" s="294">
        <f t="shared" si="45"/>
        <v>0</v>
      </c>
      <c r="AC23" s="64">
        <f t="shared" si="12"/>
        <v>1841</v>
      </c>
      <c r="AD23" s="45">
        <f t="shared" si="13"/>
        <v>0</v>
      </c>
      <c r="AE23" s="64">
        <f t="shared" si="14"/>
        <v>359849.4</v>
      </c>
      <c r="AF23" s="316">
        <f t="shared" si="27"/>
        <v>0</v>
      </c>
      <c r="AG23" s="213">
        <f t="shared" si="39"/>
        <v>0</v>
      </c>
      <c r="AH23" s="62">
        <f t="shared" si="40"/>
        <v>0</v>
      </c>
      <c r="AI23" s="328">
        <f t="shared" si="28"/>
        <v>0</v>
      </c>
      <c r="AJ23" s="328">
        <f>-tanks!AW24</f>
        <v>0</v>
      </c>
      <c r="AK23" s="328">
        <f t="shared" si="29"/>
        <v>0</v>
      </c>
      <c r="AL23" s="328">
        <f t="shared" si="47"/>
        <v>0</v>
      </c>
      <c r="AM23" s="328">
        <f t="shared" si="30"/>
        <v>0</v>
      </c>
      <c r="AN23" s="64">
        <f t="shared" si="31"/>
        <v>67</v>
      </c>
      <c r="AO23" s="330">
        <f t="shared" si="32"/>
        <v>2010.0000000000002</v>
      </c>
      <c r="AP23" s="64">
        <f t="shared" si="33"/>
        <v>78</v>
      </c>
      <c r="AQ23" s="330">
        <f t="shared" si="34"/>
        <v>2340</v>
      </c>
      <c r="AR23" s="64">
        <f t="shared" si="35"/>
        <v>69</v>
      </c>
      <c r="AS23" s="330">
        <f t="shared" si="41"/>
        <v>2070</v>
      </c>
      <c r="AT23" s="330">
        <f t="shared" si="42"/>
        <v>6420</v>
      </c>
      <c r="AU23" s="330">
        <f t="shared" si="43"/>
        <v>0</v>
      </c>
      <c r="AV23" s="276"/>
      <c r="AW23" s="276"/>
      <c r="AX23" s="323">
        <f t="shared" si="36"/>
        <v>0.7</v>
      </c>
    </row>
    <row r="24" spans="1:50">
      <c r="A24" s="63">
        <f>ELEC!C22</f>
        <v>44002</v>
      </c>
      <c r="B24" s="64">
        <f t="shared" si="16"/>
        <v>175</v>
      </c>
      <c r="C24" s="64">
        <f t="shared" si="16"/>
        <v>182</v>
      </c>
      <c r="D24" s="45">
        <f t="shared" si="46"/>
        <v>0</v>
      </c>
      <c r="E24" s="45">
        <f t="shared" si="17"/>
        <v>0</v>
      </c>
      <c r="F24" s="64">
        <f t="shared" si="18"/>
        <v>1581</v>
      </c>
      <c r="G24" s="52">
        <f t="shared" si="1"/>
        <v>0</v>
      </c>
      <c r="H24" s="64">
        <f t="shared" si="18"/>
        <v>352662</v>
      </c>
      <c r="I24" s="409">
        <f t="shared" si="2"/>
        <v>0</v>
      </c>
      <c r="J24" s="66">
        <f t="shared" si="19"/>
        <v>0</v>
      </c>
      <c r="K24" s="64">
        <f t="shared" si="20"/>
        <v>1962</v>
      </c>
      <c r="L24" s="52">
        <f t="shared" si="3"/>
        <v>0</v>
      </c>
      <c r="M24" s="64">
        <f t="shared" si="4"/>
        <v>143825</v>
      </c>
      <c r="N24" s="409">
        <f t="shared" si="5"/>
        <v>0</v>
      </c>
      <c r="O24" s="67">
        <f t="shared" si="6"/>
        <v>0</v>
      </c>
      <c r="P24" s="64">
        <f t="shared" si="21"/>
        <v>1797</v>
      </c>
      <c r="Q24" s="64">
        <f t="shared" si="22"/>
        <v>152534</v>
      </c>
      <c r="R24" s="408">
        <f t="shared" si="44"/>
        <v>0</v>
      </c>
      <c r="S24" s="52">
        <f t="shared" si="8"/>
        <v>0</v>
      </c>
      <c r="T24" s="68">
        <f t="shared" si="37"/>
        <v>0</v>
      </c>
      <c r="U24" s="415">
        <f t="shared" si="23"/>
        <v>0</v>
      </c>
      <c r="V24" s="62">
        <f t="shared" si="24"/>
        <v>0</v>
      </c>
      <c r="W24" s="413"/>
      <c r="X24" s="64">
        <f t="shared" si="9"/>
        <v>2418</v>
      </c>
      <c r="Y24" s="52">
        <f t="shared" si="26"/>
        <v>0</v>
      </c>
      <c r="Z24" s="64">
        <f t="shared" si="10"/>
        <v>135904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1841</v>
      </c>
      <c r="AD24" s="45">
        <f t="shared" si="13"/>
        <v>0</v>
      </c>
      <c r="AE24" s="64">
        <f t="shared" si="14"/>
        <v>359849.4</v>
      </c>
      <c r="AF24" s="316">
        <f t="shared" si="27"/>
        <v>0</v>
      </c>
      <c r="AG24" s="213">
        <f t="shared" si="39"/>
        <v>0</v>
      </c>
      <c r="AH24" s="62">
        <f t="shared" si="40"/>
        <v>0</v>
      </c>
      <c r="AI24" s="328">
        <f t="shared" si="28"/>
        <v>0</v>
      </c>
      <c r="AJ24" s="328">
        <f>-tanks!AW25</f>
        <v>0</v>
      </c>
      <c r="AK24" s="328">
        <f t="shared" si="29"/>
        <v>0</v>
      </c>
      <c r="AL24" s="328">
        <f t="shared" si="47"/>
        <v>0</v>
      </c>
      <c r="AM24" s="328">
        <f t="shared" si="30"/>
        <v>0</v>
      </c>
      <c r="AN24" s="64">
        <f t="shared" si="31"/>
        <v>67</v>
      </c>
      <c r="AO24" s="330">
        <f t="shared" si="32"/>
        <v>2010.0000000000002</v>
      </c>
      <c r="AP24" s="64">
        <f t="shared" si="33"/>
        <v>78</v>
      </c>
      <c r="AQ24" s="330">
        <f t="shared" si="34"/>
        <v>2340</v>
      </c>
      <c r="AR24" s="64">
        <f t="shared" si="35"/>
        <v>69</v>
      </c>
      <c r="AS24" s="330">
        <f t="shared" si="41"/>
        <v>2070</v>
      </c>
      <c r="AT24" s="330">
        <f t="shared" ref="AT24:AT34" si="49">SUM(AO24+AQ24+AS24)</f>
        <v>6420</v>
      </c>
      <c r="AU24" s="330">
        <f t="shared" si="43"/>
        <v>0</v>
      </c>
      <c r="AV24" s="276"/>
      <c r="AW24" s="276"/>
      <c r="AX24" s="323">
        <f t="shared" si="36"/>
        <v>0.7</v>
      </c>
    </row>
    <row r="25" spans="1:50" ht="13.5" customHeight="1">
      <c r="A25" s="63">
        <f>ELEC!C23</f>
        <v>44003</v>
      </c>
      <c r="B25" s="64">
        <f t="shared" si="16"/>
        <v>175</v>
      </c>
      <c r="C25" s="64">
        <f t="shared" si="16"/>
        <v>182</v>
      </c>
      <c r="D25" s="45">
        <f t="shared" si="46"/>
        <v>0</v>
      </c>
      <c r="E25" s="45">
        <f t="shared" si="17"/>
        <v>0</v>
      </c>
      <c r="F25" s="64">
        <f t="shared" si="18"/>
        <v>1581</v>
      </c>
      <c r="G25" s="52">
        <f t="shared" si="1"/>
        <v>0</v>
      </c>
      <c r="H25" s="64">
        <f t="shared" si="18"/>
        <v>352662</v>
      </c>
      <c r="I25" s="409">
        <f t="shared" si="2"/>
        <v>0</v>
      </c>
      <c r="J25" s="66">
        <f t="shared" si="19"/>
        <v>0</v>
      </c>
      <c r="K25" s="64">
        <f t="shared" si="20"/>
        <v>1962</v>
      </c>
      <c r="L25" s="52">
        <f t="shared" si="3"/>
        <v>0</v>
      </c>
      <c r="M25" s="64">
        <f t="shared" si="4"/>
        <v>143825</v>
      </c>
      <c r="N25" s="409">
        <f t="shared" si="5"/>
        <v>0</v>
      </c>
      <c r="O25" s="67">
        <f t="shared" si="6"/>
        <v>0</v>
      </c>
      <c r="P25" s="64">
        <f t="shared" si="21"/>
        <v>1797</v>
      </c>
      <c r="Q25" s="64">
        <f t="shared" si="22"/>
        <v>152534</v>
      </c>
      <c r="R25" s="408">
        <f t="shared" si="44"/>
        <v>0</v>
      </c>
      <c r="S25" s="52">
        <f t="shared" si="8"/>
        <v>0</v>
      </c>
      <c r="T25" s="68">
        <f t="shared" si="37"/>
        <v>0</v>
      </c>
      <c r="U25" s="415">
        <f t="shared" si="23"/>
        <v>0</v>
      </c>
      <c r="V25" s="62">
        <f t="shared" si="24"/>
        <v>0</v>
      </c>
      <c r="W25" s="413"/>
      <c r="X25" s="64">
        <f t="shared" si="9"/>
        <v>2418</v>
      </c>
      <c r="Y25" s="52">
        <f t="shared" si="26"/>
        <v>0</v>
      </c>
      <c r="Z25" s="64">
        <f t="shared" si="10"/>
        <v>135904</v>
      </c>
      <c r="AA25" s="65">
        <f t="shared" si="11"/>
        <v>0</v>
      </c>
      <c r="AB25" s="294">
        <f t="shared" si="48"/>
        <v>0</v>
      </c>
      <c r="AC25" s="64">
        <f t="shared" si="12"/>
        <v>1841</v>
      </c>
      <c r="AD25" s="45">
        <f t="shared" si="13"/>
        <v>0</v>
      </c>
      <c r="AE25" s="64">
        <f t="shared" si="14"/>
        <v>359849.4</v>
      </c>
      <c r="AF25" s="316">
        <f t="shared" si="27"/>
        <v>0</v>
      </c>
      <c r="AG25" s="213">
        <f t="shared" si="39"/>
        <v>0</v>
      </c>
      <c r="AH25" s="62">
        <f t="shared" si="40"/>
        <v>0</v>
      </c>
      <c r="AI25" s="328">
        <f t="shared" si="28"/>
        <v>0</v>
      </c>
      <c r="AJ25" s="328">
        <f>-tanks!AW26</f>
        <v>0</v>
      </c>
      <c r="AK25" s="328">
        <f t="shared" si="29"/>
        <v>0</v>
      </c>
      <c r="AL25" s="328">
        <f t="shared" si="47"/>
        <v>0</v>
      </c>
      <c r="AM25" s="328">
        <f t="shared" si="30"/>
        <v>0</v>
      </c>
      <c r="AN25" s="64">
        <f t="shared" si="31"/>
        <v>67</v>
      </c>
      <c r="AO25" s="330">
        <f t="shared" si="32"/>
        <v>2010.0000000000002</v>
      </c>
      <c r="AP25" s="64">
        <f t="shared" si="33"/>
        <v>78</v>
      </c>
      <c r="AQ25" s="330">
        <f t="shared" ref="AQ25:AQ34" si="50">(AP25/100)*3000</f>
        <v>2340</v>
      </c>
      <c r="AR25" s="64">
        <f t="shared" si="35"/>
        <v>69</v>
      </c>
      <c r="AS25" s="330">
        <f t="shared" si="41"/>
        <v>2070</v>
      </c>
      <c r="AT25" s="330">
        <f t="shared" si="49"/>
        <v>6420</v>
      </c>
      <c r="AU25" s="330">
        <f t="shared" si="43"/>
        <v>0</v>
      </c>
      <c r="AV25" s="276"/>
      <c r="AW25" s="276"/>
      <c r="AX25" s="323">
        <f t="shared" si="36"/>
        <v>0.7</v>
      </c>
    </row>
    <row r="26" spans="1:50" ht="14.25" customHeight="1">
      <c r="A26" s="63">
        <f>ELEC!C24</f>
        <v>44004</v>
      </c>
      <c r="B26" s="64">
        <f t="shared" si="16"/>
        <v>175</v>
      </c>
      <c r="C26" s="64">
        <f t="shared" si="16"/>
        <v>182</v>
      </c>
      <c r="D26" s="45">
        <f t="shared" si="46"/>
        <v>0</v>
      </c>
      <c r="E26" s="45">
        <f t="shared" si="17"/>
        <v>0</v>
      </c>
      <c r="F26" s="64">
        <f t="shared" si="18"/>
        <v>1581</v>
      </c>
      <c r="G26" s="52">
        <f t="shared" si="1"/>
        <v>0</v>
      </c>
      <c r="H26" s="64">
        <f t="shared" si="18"/>
        <v>352662</v>
      </c>
      <c r="I26" s="409">
        <f t="shared" si="2"/>
        <v>0</v>
      </c>
      <c r="J26" s="66">
        <f t="shared" si="19"/>
        <v>0</v>
      </c>
      <c r="K26" s="64">
        <f t="shared" si="20"/>
        <v>1962</v>
      </c>
      <c r="L26" s="52">
        <f t="shared" si="3"/>
        <v>0</v>
      </c>
      <c r="M26" s="64">
        <f t="shared" si="4"/>
        <v>143825</v>
      </c>
      <c r="N26" s="409">
        <f t="shared" si="5"/>
        <v>0</v>
      </c>
      <c r="O26" s="67">
        <f t="shared" si="6"/>
        <v>0</v>
      </c>
      <c r="P26" s="64">
        <f t="shared" si="21"/>
        <v>1797</v>
      </c>
      <c r="Q26" s="64">
        <f t="shared" si="22"/>
        <v>152534</v>
      </c>
      <c r="R26" s="408">
        <f t="shared" si="44"/>
        <v>0</v>
      </c>
      <c r="S26" s="52">
        <f t="shared" si="8"/>
        <v>0</v>
      </c>
      <c r="T26" s="68">
        <f t="shared" si="37"/>
        <v>0</v>
      </c>
      <c r="U26" s="415">
        <f t="shared" si="23"/>
        <v>0</v>
      </c>
      <c r="V26" s="62">
        <f t="shared" si="24"/>
        <v>0</v>
      </c>
      <c r="W26" s="413"/>
      <c r="X26" s="64">
        <f t="shared" si="9"/>
        <v>2418</v>
      </c>
      <c r="Y26" s="52">
        <f t="shared" si="26"/>
        <v>0</v>
      </c>
      <c r="Z26" s="64">
        <f t="shared" si="10"/>
        <v>135904</v>
      </c>
      <c r="AA26" s="65">
        <f t="shared" si="11"/>
        <v>0</v>
      </c>
      <c r="AB26" s="294">
        <f t="shared" si="48"/>
        <v>0</v>
      </c>
      <c r="AC26" s="64">
        <f t="shared" si="12"/>
        <v>1841</v>
      </c>
      <c r="AD26" s="45">
        <f t="shared" si="13"/>
        <v>0</v>
      </c>
      <c r="AE26" s="64">
        <f t="shared" si="14"/>
        <v>359849.4</v>
      </c>
      <c r="AF26" s="316">
        <f t="shared" si="27"/>
        <v>0</v>
      </c>
      <c r="AG26" s="213">
        <f t="shared" si="39"/>
        <v>0</v>
      </c>
      <c r="AH26" s="62">
        <f t="shared" si="40"/>
        <v>0</v>
      </c>
      <c r="AI26" s="328">
        <f t="shared" si="28"/>
        <v>0</v>
      </c>
      <c r="AJ26" s="328">
        <f>-tanks!AW27</f>
        <v>0</v>
      </c>
      <c r="AK26" s="328">
        <f t="shared" si="29"/>
        <v>0</v>
      </c>
      <c r="AL26" s="328">
        <f t="shared" si="47"/>
        <v>0</v>
      </c>
      <c r="AM26" s="328">
        <f t="shared" si="30"/>
        <v>0</v>
      </c>
      <c r="AN26" s="64">
        <f t="shared" si="31"/>
        <v>67</v>
      </c>
      <c r="AO26" s="330">
        <f t="shared" si="32"/>
        <v>2010.0000000000002</v>
      </c>
      <c r="AP26" s="64">
        <f t="shared" si="33"/>
        <v>78</v>
      </c>
      <c r="AQ26" s="330">
        <f t="shared" si="50"/>
        <v>2340</v>
      </c>
      <c r="AR26" s="64">
        <f t="shared" si="35"/>
        <v>69</v>
      </c>
      <c r="AS26" s="330">
        <f t="shared" si="41"/>
        <v>2070</v>
      </c>
      <c r="AT26" s="330">
        <f t="shared" si="49"/>
        <v>6420</v>
      </c>
      <c r="AU26" s="330">
        <f t="shared" si="43"/>
        <v>0</v>
      </c>
      <c r="AV26" s="276"/>
      <c r="AW26" s="276"/>
      <c r="AX26" s="323">
        <f t="shared" si="36"/>
        <v>0.7</v>
      </c>
    </row>
    <row r="27" spans="1:50">
      <c r="A27" s="63">
        <f>ELEC!C25</f>
        <v>44005</v>
      </c>
      <c r="B27" s="64">
        <f t="shared" si="16"/>
        <v>175</v>
      </c>
      <c r="C27" s="64">
        <f t="shared" si="16"/>
        <v>182</v>
      </c>
      <c r="D27" s="45">
        <f t="shared" si="46"/>
        <v>0</v>
      </c>
      <c r="E27" s="45">
        <f t="shared" si="17"/>
        <v>0</v>
      </c>
      <c r="F27" s="64">
        <f t="shared" si="18"/>
        <v>1581</v>
      </c>
      <c r="G27" s="52">
        <f t="shared" si="1"/>
        <v>0</v>
      </c>
      <c r="H27" s="64">
        <f t="shared" si="18"/>
        <v>352662</v>
      </c>
      <c r="I27" s="409">
        <f t="shared" si="2"/>
        <v>0</v>
      </c>
      <c r="J27" s="66">
        <f t="shared" si="19"/>
        <v>0</v>
      </c>
      <c r="K27" s="64">
        <f t="shared" si="20"/>
        <v>1962</v>
      </c>
      <c r="L27" s="52">
        <f t="shared" si="3"/>
        <v>0</v>
      </c>
      <c r="M27" s="64">
        <f t="shared" si="4"/>
        <v>143825</v>
      </c>
      <c r="N27" s="409">
        <f t="shared" si="5"/>
        <v>0</v>
      </c>
      <c r="O27" s="67">
        <f t="shared" si="6"/>
        <v>0</v>
      </c>
      <c r="P27" s="64">
        <f t="shared" si="21"/>
        <v>1797</v>
      </c>
      <c r="Q27" s="64">
        <f t="shared" si="22"/>
        <v>152534</v>
      </c>
      <c r="R27" s="408">
        <f t="shared" si="44"/>
        <v>0</v>
      </c>
      <c r="S27" s="52">
        <f t="shared" si="8"/>
        <v>0</v>
      </c>
      <c r="T27" s="68">
        <f t="shared" si="37"/>
        <v>0</v>
      </c>
      <c r="U27" s="415">
        <f t="shared" si="23"/>
        <v>0</v>
      </c>
      <c r="V27" s="62">
        <f t="shared" si="24"/>
        <v>0</v>
      </c>
      <c r="W27" s="413"/>
      <c r="X27" s="64">
        <f t="shared" si="9"/>
        <v>2418</v>
      </c>
      <c r="Y27" s="52">
        <f t="shared" si="26"/>
        <v>0</v>
      </c>
      <c r="Z27" s="64">
        <f t="shared" si="10"/>
        <v>135904</v>
      </c>
      <c r="AA27" s="65">
        <f t="shared" si="11"/>
        <v>0</v>
      </c>
      <c r="AB27" s="294">
        <f t="shared" si="48"/>
        <v>0</v>
      </c>
      <c r="AC27" s="64">
        <f t="shared" si="12"/>
        <v>1841</v>
      </c>
      <c r="AD27" s="45">
        <f t="shared" si="13"/>
        <v>0</v>
      </c>
      <c r="AE27" s="64">
        <f t="shared" si="14"/>
        <v>359849.4</v>
      </c>
      <c r="AF27" s="316">
        <f t="shared" si="27"/>
        <v>0</v>
      </c>
      <c r="AG27" s="213">
        <f t="shared" si="39"/>
        <v>0</v>
      </c>
      <c r="AH27" s="62">
        <f t="shared" si="40"/>
        <v>0</v>
      </c>
      <c r="AI27" s="328">
        <f t="shared" si="28"/>
        <v>0</v>
      </c>
      <c r="AJ27" s="328">
        <f>-tanks!AW28</f>
        <v>0</v>
      </c>
      <c r="AK27" s="328">
        <f t="shared" si="29"/>
        <v>0</v>
      </c>
      <c r="AL27" s="328">
        <f t="shared" si="47"/>
        <v>0</v>
      </c>
      <c r="AM27" s="328">
        <f t="shared" si="30"/>
        <v>0</v>
      </c>
      <c r="AN27" s="64">
        <f t="shared" si="31"/>
        <v>67</v>
      </c>
      <c r="AO27" s="330">
        <f>(AN27/100)*3000</f>
        <v>2010.0000000000002</v>
      </c>
      <c r="AP27" s="64">
        <f t="shared" si="33"/>
        <v>78</v>
      </c>
      <c r="AQ27" s="330">
        <f t="shared" si="50"/>
        <v>2340</v>
      </c>
      <c r="AR27" s="64">
        <f t="shared" si="35"/>
        <v>69</v>
      </c>
      <c r="AS27" s="330">
        <f t="shared" si="41"/>
        <v>2070</v>
      </c>
      <c r="AT27" s="330">
        <f t="shared" si="49"/>
        <v>6420</v>
      </c>
      <c r="AU27" s="330">
        <f t="shared" si="43"/>
        <v>0</v>
      </c>
      <c r="AV27" s="276"/>
      <c r="AW27" s="521"/>
      <c r="AX27" s="323">
        <f t="shared" si="36"/>
        <v>0.7</v>
      </c>
    </row>
    <row r="28" spans="1:50">
      <c r="A28" s="63">
        <f>ELEC!C26</f>
        <v>44006</v>
      </c>
      <c r="B28" s="64">
        <f t="shared" si="16"/>
        <v>175</v>
      </c>
      <c r="C28" s="64">
        <f t="shared" si="16"/>
        <v>182</v>
      </c>
      <c r="D28" s="45">
        <f t="shared" si="46"/>
        <v>0</v>
      </c>
      <c r="E28" s="45">
        <f t="shared" si="17"/>
        <v>0</v>
      </c>
      <c r="F28" s="64">
        <f t="shared" si="18"/>
        <v>1581</v>
      </c>
      <c r="G28" s="52">
        <f t="shared" si="1"/>
        <v>0</v>
      </c>
      <c r="H28" s="64">
        <f t="shared" si="18"/>
        <v>352662</v>
      </c>
      <c r="I28" s="409">
        <f t="shared" si="2"/>
        <v>0</v>
      </c>
      <c r="J28" s="66">
        <f t="shared" si="19"/>
        <v>0</v>
      </c>
      <c r="K28" s="64">
        <f t="shared" si="20"/>
        <v>1962</v>
      </c>
      <c r="L28" s="52">
        <f t="shared" si="3"/>
        <v>0</v>
      </c>
      <c r="M28" s="64">
        <f t="shared" si="4"/>
        <v>143825</v>
      </c>
      <c r="N28" s="409">
        <f t="shared" si="5"/>
        <v>0</v>
      </c>
      <c r="O28" s="67">
        <f t="shared" si="6"/>
        <v>0</v>
      </c>
      <c r="P28" s="64">
        <f t="shared" si="21"/>
        <v>1797</v>
      </c>
      <c r="Q28" s="64">
        <f t="shared" si="22"/>
        <v>152534</v>
      </c>
      <c r="R28" s="408">
        <f t="shared" si="44"/>
        <v>0</v>
      </c>
      <c r="S28" s="52">
        <f t="shared" si="8"/>
        <v>0</v>
      </c>
      <c r="T28" s="68">
        <f t="shared" si="37"/>
        <v>0</v>
      </c>
      <c r="U28" s="415">
        <f t="shared" si="23"/>
        <v>0</v>
      </c>
      <c r="V28" s="62">
        <f t="shared" si="24"/>
        <v>0</v>
      </c>
      <c r="W28" s="413"/>
      <c r="X28" s="64">
        <f t="shared" si="9"/>
        <v>2418</v>
      </c>
      <c r="Y28" s="52">
        <f t="shared" si="26"/>
        <v>0</v>
      </c>
      <c r="Z28" s="64">
        <f t="shared" si="10"/>
        <v>135904</v>
      </c>
      <c r="AA28" s="65">
        <f t="shared" si="11"/>
        <v>0</v>
      </c>
      <c r="AB28" s="294">
        <f t="shared" si="48"/>
        <v>0</v>
      </c>
      <c r="AC28" s="64">
        <f t="shared" si="12"/>
        <v>1841</v>
      </c>
      <c r="AD28" s="45">
        <f t="shared" si="13"/>
        <v>0</v>
      </c>
      <c r="AE28" s="64">
        <f t="shared" si="14"/>
        <v>359849.4</v>
      </c>
      <c r="AF28" s="316">
        <f t="shared" si="27"/>
        <v>0</v>
      </c>
      <c r="AG28" s="213">
        <f t="shared" si="39"/>
        <v>0</v>
      </c>
      <c r="AH28" s="62">
        <f t="shared" si="40"/>
        <v>0</v>
      </c>
      <c r="AI28" s="328">
        <f t="shared" si="28"/>
        <v>0</v>
      </c>
      <c r="AJ28" s="328">
        <f>-tanks!AW29</f>
        <v>0</v>
      </c>
      <c r="AK28" s="328">
        <f t="shared" si="29"/>
        <v>0</v>
      </c>
      <c r="AL28" s="328">
        <f t="shared" si="47"/>
        <v>0</v>
      </c>
      <c r="AM28" s="328">
        <f t="shared" si="30"/>
        <v>0</v>
      </c>
      <c r="AN28" s="64">
        <f t="shared" si="31"/>
        <v>67</v>
      </c>
      <c r="AO28" s="330">
        <f t="shared" ref="AO28:AO34" si="51">(AN28/100)*3000</f>
        <v>2010.0000000000002</v>
      </c>
      <c r="AP28" s="64">
        <f t="shared" si="33"/>
        <v>78</v>
      </c>
      <c r="AQ28" s="330">
        <f t="shared" si="50"/>
        <v>2340</v>
      </c>
      <c r="AR28" s="64">
        <f t="shared" si="35"/>
        <v>69</v>
      </c>
      <c r="AS28" s="330">
        <f t="shared" si="41"/>
        <v>2070</v>
      </c>
      <c r="AT28" s="330">
        <f t="shared" si="49"/>
        <v>6420</v>
      </c>
      <c r="AU28" s="330">
        <f t="shared" si="43"/>
        <v>0</v>
      </c>
      <c r="AV28" s="276"/>
      <c r="AW28" s="276"/>
      <c r="AX28" s="323">
        <f t="shared" si="36"/>
        <v>0.7</v>
      </c>
    </row>
    <row r="29" spans="1:50">
      <c r="A29" s="63">
        <f>ELEC!C27</f>
        <v>44007</v>
      </c>
      <c r="B29" s="64">
        <f t="shared" si="16"/>
        <v>175</v>
      </c>
      <c r="C29" s="64">
        <f t="shared" si="16"/>
        <v>182</v>
      </c>
      <c r="D29" s="45">
        <f t="shared" si="46"/>
        <v>0</v>
      </c>
      <c r="E29" s="45">
        <f t="shared" si="17"/>
        <v>0</v>
      </c>
      <c r="F29" s="64">
        <f t="shared" si="18"/>
        <v>1581</v>
      </c>
      <c r="G29" s="52">
        <f t="shared" si="1"/>
        <v>0</v>
      </c>
      <c r="H29" s="64">
        <f t="shared" si="18"/>
        <v>352662</v>
      </c>
      <c r="I29" s="409">
        <f t="shared" si="2"/>
        <v>0</v>
      </c>
      <c r="J29" s="66">
        <f t="shared" si="19"/>
        <v>0</v>
      </c>
      <c r="K29" s="64">
        <f t="shared" si="20"/>
        <v>1962</v>
      </c>
      <c r="L29" s="52">
        <f t="shared" si="3"/>
        <v>0</v>
      </c>
      <c r="M29" s="64">
        <f t="shared" si="4"/>
        <v>143825</v>
      </c>
      <c r="N29" s="409">
        <f t="shared" si="5"/>
        <v>0</v>
      </c>
      <c r="O29" s="67">
        <f t="shared" si="6"/>
        <v>0</v>
      </c>
      <c r="P29" s="64">
        <f t="shared" si="21"/>
        <v>1797</v>
      </c>
      <c r="Q29" s="64">
        <f t="shared" si="22"/>
        <v>152534</v>
      </c>
      <c r="R29" s="408">
        <f t="shared" si="44"/>
        <v>0</v>
      </c>
      <c r="S29" s="52">
        <f t="shared" si="8"/>
        <v>0</v>
      </c>
      <c r="T29" s="68">
        <f t="shared" si="37"/>
        <v>0</v>
      </c>
      <c r="U29" s="415">
        <f t="shared" si="23"/>
        <v>0</v>
      </c>
      <c r="V29" s="62">
        <f t="shared" si="24"/>
        <v>0</v>
      </c>
      <c r="W29" s="413"/>
      <c r="X29" s="64">
        <f t="shared" si="9"/>
        <v>2418</v>
      </c>
      <c r="Y29" s="52">
        <f t="shared" si="26"/>
        <v>0</v>
      </c>
      <c r="Z29" s="64">
        <f t="shared" si="10"/>
        <v>135904</v>
      </c>
      <c r="AA29" s="65">
        <f t="shared" si="11"/>
        <v>0</v>
      </c>
      <c r="AB29" s="294">
        <f t="shared" si="48"/>
        <v>0</v>
      </c>
      <c r="AC29" s="64">
        <f t="shared" si="12"/>
        <v>1841</v>
      </c>
      <c r="AD29" s="45">
        <f t="shared" si="13"/>
        <v>0</v>
      </c>
      <c r="AE29" s="64">
        <f t="shared" si="14"/>
        <v>359849.4</v>
      </c>
      <c r="AF29" s="316">
        <f t="shared" si="27"/>
        <v>0</v>
      </c>
      <c r="AG29" s="213">
        <f t="shared" si="39"/>
        <v>0</v>
      </c>
      <c r="AH29" s="62">
        <f t="shared" si="40"/>
        <v>0</v>
      </c>
      <c r="AI29" s="328">
        <f t="shared" si="28"/>
        <v>0</v>
      </c>
      <c r="AJ29" s="328">
        <f>-tanks!AW30</f>
        <v>0</v>
      </c>
      <c r="AK29" s="328">
        <f t="shared" si="29"/>
        <v>0</v>
      </c>
      <c r="AL29" s="328">
        <f t="shared" si="47"/>
        <v>0</v>
      </c>
      <c r="AM29" s="328">
        <f t="shared" si="30"/>
        <v>0</v>
      </c>
      <c r="AN29" s="64">
        <f t="shared" si="31"/>
        <v>67</v>
      </c>
      <c r="AO29" s="330">
        <f t="shared" si="51"/>
        <v>2010.0000000000002</v>
      </c>
      <c r="AP29" s="64">
        <f t="shared" si="33"/>
        <v>78</v>
      </c>
      <c r="AQ29" s="330">
        <f t="shared" si="50"/>
        <v>2340</v>
      </c>
      <c r="AR29" s="64">
        <f t="shared" si="35"/>
        <v>69</v>
      </c>
      <c r="AS29" s="330">
        <f t="shared" si="41"/>
        <v>2070</v>
      </c>
      <c r="AT29" s="330">
        <f>SUM(AO29+AQ29+AS29)</f>
        <v>6420</v>
      </c>
      <c r="AU29" s="330">
        <f>AT28-AT29+AV29</f>
        <v>0</v>
      </c>
      <c r="AV29" s="276"/>
      <c r="AW29" s="276"/>
      <c r="AX29" s="323">
        <f t="shared" si="36"/>
        <v>0.7</v>
      </c>
    </row>
    <row r="30" spans="1:50">
      <c r="A30" s="63">
        <f>ELEC!C28</f>
        <v>44008</v>
      </c>
      <c r="B30" s="64">
        <f t="shared" si="16"/>
        <v>175</v>
      </c>
      <c r="C30" s="64">
        <f t="shared" si="16"/>
        <v>182</v>
      </c>
      <c r="D30" s="45">
        <f t="shared" si="46"/>
        <v>0</v>
      </c>
      <c r="E30" s="45">
        <f t="shared" si="17"/>
        <v>0</v>
      </c>
      <c r="F30" s="64">
        <f t="shared" si="18"/>
        <v>1581</v>
      </c>
      <c r="G30" s="52">
        <f t="shared" si="1"/>
        <v>0</v>
      </c>
      <c r="H30" s="64">
        <f t="shared" si="18"/>
        <v>352662</v>
      </c>
      <c r="I30" s="409">
        <f t="shared" si="2"/>
        <v>0</v>
      </c>
      <c r="J30" s="66">
        <f t="shared" si="19"/>
        <v>0</v>
      </c>
      <c r="K30" s="64">
        <f t="shared" si="20"/>
        <v>1962</v>
      </c>
      <c r="L30" s="52">
        <f t="shared" si="3"/>
        <v>0</v>
      </c>
      <c r="M30" s="64">
        <f t="shared" si="4"/>
        <v>143825</v>
      </c>
      <c r="N30" s="409">
        <f t="shared" si="5"/>
        <v>0</v>
      </c>
      <c r="O30" s="67">
        <f t="shared" si="6"/>
        <v>0</v>
      </c>
      <c r="P30" s="64">
        <f t="shared" si="21"/>
        <v>1797</v>
      </c>
      <c r="Q30" s="64">
        <f t="shared" si="22"/>
        <v>152534</v>
      </c>
      <c r="R30" s="408">
        <f t="shared" si="44"/>
        <v>0</v>
      </c>
      <c r="S30" s="52">
        <f t="shared" si="8"/>
        <v>0</v>
      </c>
      <c r="T30" s="68">
        <f t="shared" si="37"/>
        <v>0</v>
      </c>
      <c r="U30" s="415">
        <f t="shared" si="23"/>
        <v>0</v>
      </c>
      <c r="V30" s="62">
        <f t="shared" si="24"/>
        <v>0</v>
      </c>
      <c r="W30" s="413"/>
      <c r="X30" s="64">
        <f t="shared" si="9"/>
        <v>2418</v>
      </c>
      <c r="Y30" s="52">
        <f t="shared" si="26"/>
        <v>0</v>
      </c>
      <c r="Z30" s="64">
        <f t="shared" si="10"/>
        <v>135904</v>
      </c>
      <c r="AA30" s="65">
        <f t="shared" si="11"/>
        <v>0</v>
      </c>
      <c r="AB30" s="294">
        <f t="shared" si="48"/>
        <v>0</v>
      </c>
      <c r="AC30" s="64">
        <f t="shared" si="12"/>
        <v>1841</v>
      </c>
      <c r="AD30" s="45">
        <f t="shared" si="13"/>
        <v>0</v>
      </c>
      <c r="AE30" s="64">
        <f t="shared" si="14"/>
        <v>359849.4</v>
      </c>
      <c r="AF30" s="316">
        <f t="shared" si="27"/>
        <v>0</v>
      </c>
      <c r="AG30" s="213">
        <f t="shared" si="39"/>
        <v>0</v>
      </c>
      <c r="AH30" s="62">
        <f t="shared" si="40"/>
        <v>0</v>
      </c>
      <c r="AI30" s="328">
        <f t="shared" si="28"/>
        <v>0</v>
      </c>
      <c r="AJ30" s="328">
        <f>-tanks!AW31</f>
        <v>0</v>
      </c>
      <c r="AK30" s="328">
        <f t="shared" si="29"/>
        <v>0</v>
      </c>
      <c r="AL30" s="328">
        <f t="shared" si="47"/>
        <v>0</v>
      </c>
      <c r="AM30" s="328">
        <f t="shared" si="30"/>
        <v>0</v>
      </c>
      <c r="AN30" s="64">
        <f t="shared" si="31"/>
        <v>67</v>
      </c>
      <c r="AO30" s="330">
        <f t="shared" si="51"/>
        <v>2010.0000000000002</v>
      </c>
      <c r="AP30" s="64">
        <f t="shared" si="33"/>
        <v>78</v>
      </c>
      <c r="AQ30" s="330">
        <f t="shared" si="50"/>
        <v>2340</v>
      </c>
      <c r="AR30" s="64">
        <f t="shared" si="35"/>
        <v>69</v>
      </c>
      <c r="AS30" s="330">
        <f t="shared" si="41"/>
        <v>2070</v>
      </c>
      <c r="AT30" s="330">
        <f t="shared" si="49"/>
        <v>6420</v>
      </c>
      <c r="AU30" s="330">
        <f t="shared" si="43"/>
        <v>0</v>
      </c>
      <c r="AV30" s="276"/>
      <c r="AW30" s="276"/>
      <c r="AX30" s="323">
        <f t="shared" si="36"/>
        <v>0.7</v>
      </c>
    </row>
    <row r="31" spans="1:50">
      <c r="A31" s="63">
        <f>ELEC!C29</f>
        <v>44009</v>
      </c>
      <c r="B31" s="64">
        <f t="shared" si="16"/>
        <v>175</v>
      </c>
      <c r="C31" s="64">
        <f t="shared" si="16"/>
        <v>182</v>
      </c>
      <c r="D31" s="45">
        <f t="shared" si="46"/>
        <v>0</v>
      </c>
      <c r="E31" s="45">
        <f t="shared" si="17"/>
        <v>0</v>
      </c>
      <c r="F31" s="64">
        <f t="shared" si="18"/>
        <v>1581</v>
      </c>
      <c r="G31" s="52">
        <f t="shared" si="1"/>
        <v>0</v>
      </c>
      <c r="H31" s="64">
        <f t="shared" si="18"/>
        <v>352662</v>
      </c>
      <c r="I31" s="409">
        <f t="shared" si="2"/>
        <v>0</v>
      </c>
      <c r="J31" s="66">
        <f t="shared" si="19"/>
        <v>0</v>
      </c>
      <c r="K31" s="64">
        <f t="shared" si="20"/>
        <v>1962</v>
      </c>
      <c r="L31" s="52">
        <f t="shared" si="3"/>
        <v>0</v>
      </c>
      <c r="M31" s="64">
        <f t="shared" si="4"/>
        <v>143825</v>
      </c>
      <c r="N31" s="409">
        <f t="shared" si="5"/>
        <v>0</v>
      </c>
      <c r="O31" s="67">
        <f t="shared" si="6"/>
        <v>0</v>
      </c>
      <c r="P31" s="64">
        <f t="shared" si="21"/>
        <v>1797</v>
      </c>
      <c r="Q31" s="64">
        <f t="shared" si="22"/>
        <v>152534</v>
      </c>
      <c r="R31" s="408">
        <f t="shared" si="44"/>
        <v>0</v>
      </c>
      <c r="S31" s="52">
        <f t="shared" si="8"/>
        <v>0</v>
      </c>
      <c r="T31" s="68">
        <f t="shared" si="37"/>
        <v>0</v>
      </c>
      <c r="U31" s="415">
        <f t="shared" si="23"/>
        <v>0</v>
      </c>
      <c r="V31" s="62">
        <f t="shared" si="24"/>
        <v>0</v>
      </c>
      <c r="W31" s="413"/>
      <c r="X31" s="64">
        <f t="shared" si="9"/>
        <v>2418</v>
      </c>
      <c r="Y31" s="52">
        <f t="shared" si="26"/>
        <v>0</v>
      </c>
      <c r="Z31" s="64">
        <f t="shared" si="10"/>
        <v>135904</v>
      </c>
      <c r="AA31" s="65">
        <f t="shared" si="11"/>
        <v>0</v>
      </c>
      <c r="AB31" s="294">
        <f t="shared" si="48"/>
        <v>0</v>
      </c>
      <c r="AC31" s="64">
        <f t="shared" si="12"/>
        <v>1841</v>
      </c>
      <c r="AD31" s="276">
        <f t="shared" si="13"/>
        <v>0</v>
      </c>
      <c r="AE31" s="64">
        <f t="shared" si="14"/>
        <v>359849.4</v>
      </c>
      <c r="AF31" s="316">
        <f t="shared" si="27"/>
        <v>0</v>
      </c>
      <c r="AG31" s="213">
        <f t="shared" si="39"/>
        <v>0</v>
      </c>
      <c r="AH31" s="62">
        <f t="shared" si="40"/>
        <v>0</v>
      </c>
      <c r="AI31" s="328">
        <f t="shared" si="28"/>
        <v>0</v>
      </c>
      <c r="AJ31" s="328">
        <f>-tanks!AW32</f>
        <v>0</v>
      </c>
      <c r="AK31" s="328">
        <f t="shared" si="29"/>
        <v>0</v>
      </c>
      <c r="AL31" s="328">
        <f t="shared" si="47"/>
        <v>0</v>
      </c>
      <c r="AM31" s="328">
        <f t="shared" si="30"/>
        <v>0</v>
      </c>
      <c r="AN31" s="64">
        <f t="shared" si="31"/>
        <v>67</v>
      </c>
      <c r="AO31" s="330">
        <f t="shared" si="51"/>
        <v>2010.0000000000002</v>
      </c>
      <c r="AP31" s="64">
        <f t="shared" si="33"/>
        <v>78</v>
      </c>
      <c r="AQ31" s="330">
        <f t="shared" si="50"/>
        <v>2340</v>
      </c>
      <c r="AR31" s="64">
        <f t="shared" si="35"/>
        <v>69</v>
      </c>
      <c r="AS31" s="330">
        <f t="shared" si="41"/>
        <v>2070</v>
      </c>
      <c r="AT31" s="330">
        <f t="shared" si="49"/>
        <v>6420</v>
      </c>
      <c r="AU31" s="330">
        <f t="shared" si="43"/>
        <v>0</v>
      </c>
      <c r="AV31" s="276"/>
      <c r="AW31" s="276"/>
      <c r="AX31" s="323">
        <f t="shared" si="36"/>
        <v>0.7</v>
      </c>
    </row>
    <row r="32" spans="1:50">
      <c r="A32" s="63">
        <f>ELEC!C30</f>
        <v>44010</v>
      </c>
      <c r="B32" s="64">
        <f t="shared" si="16"/>
        <v>175</v>
      </c>
      <c r="C32" s="64">
        <f t="shared" si="16"/>
        <v>182</v>
      </c>
      <c r="D32" s="45">
        <f t="shared" si="0"/>
        <v>0</v>
      </c>
      <c r="E32" s="45">
        <f t="shared" ref="E32:E34" si="52">D32*8.38</f>
        <v>0</v>
      </c>
      <c r="F32" s="64">
        <f t="shared" si="18"/>
        <v>1581</v>
      </c>
      <c r="G32" s="52">
        <f t="shared" si="1"/>
        <v>0</v>
      </c>
      <c r="H32" s="64">
        <f t="shared" si="18"/>
        <v>352662</v>
      </c>
      <c r="I32" s="409">
        <f t="shared" si="2"/>
        <v>0</v>
      </c>
      <c r="J32" s="66">
        <f t="shared" si="19"/>
        <v>0</v>
      </c>
      <c r="K32" s="64">
        <f t="shared" si="20"/>
        <v>1962</v>
      </c>
      <c r="L32" s="52">
        <f t="shared" si="3"/>
        <v>0</v>
      </c>
      <c r="M32" s="64">
        <f t="shared" si="4"/>
        <v>143825</v>
      </c>
      <c r="N32" s="409">
        <f t="shared" si="5"/>
        <v>0</v>
      </c>
      <c r="O32" s="67">
        <f t="shared" si="6"/>
        <v>0</v>
      </c>
      <c r="P32" s="64">
        <f t="shared" si="21"/>
        <v>1797</v>
      </c>
      <c r="Q32" s="64">
        <f t="shared" si="22"/>
        <v>152534</v>
      </c>
      <c r="R32" s="408">
        <f t="shared" si="44"/>
        <v>0</v>
      </c>
      <c r="S32" s="52">
        <f t="shared" si="8"/>
        <v>0</v>
      </c>
      <c r="T32" s="68">
        <f t="shared" si="37"/>
        <v>0</v>
      </c>
      <c r="U32" s="415">
        <f t="shared" si="23"/>
        <v>0</v>
      </c>
      <c r="V32" s="62">
        <f t="shared" si="24"/>
        <v>0</v>
      </c>
      <c r="W32" s="413"/>
      <c r="X32" s="64">
        <f t="shared" si="9"/>
        <v>2418</v>
      </c>
      <c r="Y32" s="52">
        <f t="shared" si="26"/>
        <v>0</v>
      </c>
      <c r="Z32" s="64">
        <f t="shared" si="10"/>
        <v>135904</v>
      </c>
      <c r="AA32" s="65">
        <f t="shared" si="11"/>
        <v>0</v>
      </c>
      <c r="AB32" s="294">
        <f t="shared" si="48"/>
        <v>0</v>
      </c>
      <c r="AC32" s="64">
        <f t="shared" si="12"/>
        <v>1841</v>
      </c>
      <c r="AD32" s="276">
        <f t="shared" si="13"/>
        <v>0</v>
      </c>
      <c r="AE32" s="64">
        <f t="shared" si="14"/>
        <v>359849.4</v>
      </c>
      <c r="AF32" s="316">
        <f t="shared" si="27"/>
        <v>0</v>
      </c>
      <c r="AG32" s="213">
        <f t="shared" si="39"/>
        <v>0</v>
      </c>
      <c r="AH32" s="62">
        <f t="shared" si="40"/>
        <v>0</v>
      </c>
      <c r="AI32" s="328">
        <f t="shared" si="28"/>
        <v>0</v>
      </c>
      <c r="AJ32" s="328">
        <f>-tanks!AW33</f>
        <v>0</v>
      </c>
      <c r="AK32" s="328">
        <f t="shared" si="29"/>
        <v>0</v>
      </c>
      <c r="AL32" s="328">
        <f t="shared" si="47"/>
        <v>0</v>
      </c>
      <c r="AM32" s="328">
        <f t="shared" si="30"/>
        <v>0</v>
      </c>
      <c r="AN32" s="64">
        <f t="shared" si="31"/>
        <v>67</v>
      </c>
      <c r="AO32" s="330">
        <f t="shared" si="51"/>
        <v>2010.0000000000002</v>
      </c>
      <c r="AP32" s="64">
        <f t="shared" si="33"/>
        <v>78</v>
      </c>
      <c r="AQ32" s="330">
        <f t="shared" si="50"/>
        <v>2340</v>
      </c>
      <c r="AR32" s="64">
        <f t="shared" si="35"/>
        <v>69</v>
      </c>
      <c r="AS32" s="330">
        <f t="shared" si="41"/>
        <v>2070</v>
      </c>
      <c r="AT32" s="330">
        <f t="shared" si="49"/>
        <v>6420</v>
      </c>
      <c r="AU32" s="330">
        <f t="shared" si="43"/>
        <v>0</v>
      </c>
      <c r="AV32" s="276"/>
      <c r="AW32" s="276"/>
      <c r="AX32" s="323">
        <f t="shared" si="36"/>
        <v>0.7</v>
      </c>
    </row>
    <row r="33" spans="1:50">
      <c r="A33" s="63">
        <f>ELEC!C31</f>
        <v>44011</v>
      </c>
      <c r="B33" s="64">
        <f t="shared" si="16"/>
        <v>175</v>
      </c>
      <c r="C33" s="64">
        <f t="shared" si="16"/>
        <v>182</v>
      </c>
      <c r="D33" s="45">
        <f t="shared" si="0"/>
        <v>0</v>
      </c>
      <c r="E33" s="45">
        <f t="shared" si="52"/>
        <v>0</v>
      </c>
      <c r="F33" s="64">
        <f t="shared" si="18"/>
        <v>1581</v>
      </c>
      <c r="G33" s="52">
        <f t="shared" si="1"/>
        <v>0</v>
      </c>
      <c r="H33" s="64">
        <f t="shared" si="18"/>
        <v>352662</v>
      </c>
      <c r="I33" s="409">
        <f t="shared" si="2"/>
        <v>0</v>
      </c>
      <c r="J33" s="66">
        <f t="shared" si="19"/>
        <v>0</v>
      </c>
      <c r="K33" s="64">
        <f t="shared" si="20"/>
        <v>1962</v>
      </c>
      <c r="L33" s="52">
        <f t="shared" si="3"/>
        <v>0</v>
      </c>
      <c r="M33" s="64">
        <f t="shared" si="4"/>
        <v>143825</v>
      </c>
      <c r="N33" s="409">
        <f t="shared" si="5"/>
        <v>0</v>
      </c>
      <c r="O33" s="67">
        <f t="shared" si="6"/>
        <v>0</v>
      </c>
      <c r="P33" s="64">
        <f t="shared" si="21"/>
        <v>1797</v>
      </c>
      <c r="Q33" s="64">
        <f t="shared" si="22"/>
        <v>152534</v>
      </c>
      <c r="R33" s="408">
        <f t="shared" si="44"/>
        <v>0</v>
      </c>
      <c r="S33" s="52">
        <f t="shared" si="8"/>
        <v>0</v>
      </c>
      <c r="T33" s="68">
        <f t="shared" si="37"/>
        <v>0</v>
      </c>
      <c r="U33" s="415">
        <f t="shared" si="23"/>
        <v>0</v>
      </c>
      <c r="V33" s="62">
        <f t="shared" si="24"/>
        <v>0</v>
      </c>
      <c r="W33" s="413"/>
      <c r="X33" s="64">
        <f t="shared" si="9"/>
        <v>2418</v>
      </c>
      <c r="Y33" s="52">
        <f t="shared" si="26"/>
        <v>0</v>
      </c>
      <c r="Z33" s="64">
        <f t="shared" si="10"/>
        <v>135904</v>
      </c>
      <c r="AA33" s="65">
        <f t="shared" si="11"/>
        <v>0</v>
      </c>
      <c r="AB33" s="294">
        <f t="shared" si="48"/>
        <v>0</v>
      </c>
      <c r="AC33" s="64">
        <f t="shared" si="12"/>
        <v>1841</v>
      </c>
      <c r="AD33" s="45">
        <f t="shared" si="13"/>
        <v>0</v>
      </c>
      <c r="AE33" s="64">
        <f t="shared" si="14"/>
        <v>359849.4</v>
      </c>
      <c r="AF33" s="316">
        <f t="shared" si="27"/>
        <v>0</v>
      </c>
      <c r="AG33" s="213">
        <f t="shared" si="39"/>
        <v>0</v>
      </c>
      <c r="AH33" s="62">
        <f t="shared" si="40"/>
        <v>0</v>
      </c>
      <c r="AI33" s="328">
        <f t="shared" si="28"/>
        <v>0</v>
      </c>
      <c r="AJ33" s="328">
        <f>-tanks!AW34</f>
        <v>0</v>
      </c>
      <c r="AK33" s="328">
        <f t="shared" si="29"/>
        <v>0</v>
      </c>
      <c r="AL33" s="328">
        <f t="shared" si="47"/>
        <v>0</v>
      </c>
      <c r="AM33" s="328">
        <f t="shared" si="30"/>
        <v>0</v>
      </c>
      <c r="AN33" s="64">
        <f t="shared" si="31"/>
        <v>67</v>
      </c>
      <c r="AO33" s="330">
        <f t="shared" si="51"/>
        <v>2010.0000000000002</v>
      </c>
      <c r="AP33" s="64">
        <f t="shared" si="33"/>
        <v>78</v>
      </c>
      <c r="AQ33" s="330">
        <f t="shared" si="50"/>
        <v>2340</v>
      </c>
      <c r="AR33" s="64">
        <f t="shared" si="35"/>
        <v>69</v>
      </c>
      <c r="AS33" s="330">
        <f t="shared" si="41"/>
        <v>2070</v>
      </c>
      <c r="AT33" s="330">
        <f t="shared" si="49"/>
        <v>6420</v>
      </c>
      <c r="AU33" s="330">
        <f t="shared" si="43"/>
        <v>0</v>
      </c>
      <c r="AV33" s="276"/>
      <c r="AW33" s="276"/>
      <c r="AX33" s="323">
        <f t="shared" si="36"/>
        <v>0.7</v>
      </c>
    </row>
    <row r="34" spans="1:50">
      <c r="A34" s="63">
        <f>ELEC!C32</f>
        <v>44012</v>
      </c>
      <c r="B34" s="64">
        <f t="shared" si="16"/>
        <v>175</v>
      </c>
      <c r="C34" s="64">
        <f t="shared" si="16"/>
        <v>182</v>
      </c>
      <c r="D34" s="45">
        <f t="shared" si="0"/>
        <v>0</v>
      </c>
      <c r="E34" s="45">
        <f t="shared" si="52"/>
        <v>0</v>
      </c>
      <c r="F34" s="64">
        <f t="shared" si="18"/>
        <v>1581</v>
      </c>
      <c r="G34" s="52">
        <f t="shared" si="1"/>
        <v>0</v>
      </c>
      <c r="H34" s="64">
        <f t="shared" si="18"/>
        <v>352662</v>
      </c>
      <c r="I34" s="409">
        <f t="shared" si="2"/>
        <v>0</v>
      </c>
      <c r="J34" s="66">
        <f t="shared" si="19"/>
        <v>0</v>
      </c>
      <c r="K34" s="64">
        <f t="shared" si="20"/>
        <v>1962</v>
      </c>
      <c r="L34" s="52">
        <f t="shared" si="3"/>
        <v>0</v>
      </c>
      <c r="M34" s="64">
        <f t="shared" si="4"/>
        <v>143825</v>
      </c>
      <c r="N34" s="409">
        <f t="shared" si="5"/>
        <v>0</v>
      </c>
      <c r="O34" s="67">
        <f t="shared" si="6"/>
        <v>0</v>
      </c>
      <c r="P34" s="64">
        <f t="shared" si="21"/>
        <v>1797</v>
      </c>
      <c r="Q34" s="64">
        <f t="shared" si="22"/>
        <v>152534</v>
      </c>
      <c r="R34" s="408">
        <f t="shared" si="44"/>
        <v>0</v>
      </c>
      <c r="S34" s="52">
        <f t="shared" si="8"/>
        <v>0</v>
      </c>
      <c r="T34" s="68">
        <f t="shared" si="37"/>
        <v>0</v>
      </c>
      <c r="U34" s="415">
        <f t="shared" si="23"/>
        <v>0</v>
      </c>
      <c r="V34" s="62">
        <f t="shared" si="24"/>
        <v>0</v>
      </c>
      <c r="W34" s="413"/>
      <c r="X34" s="64">
        <f t="shared" si="9"/>
        <v>2418</v>
      </c>
      <c r="Y34" s="52">
        <f t="shared" si="26"/>
        <v>0</v>
      </c>
      <c r="Z34" s="64">
        <f t="shared" si="10"/>
        <v>135904</v>
      </c>
      <c r="AA34" s="65">
        <f t="shared" si="11"/>
        <v>0</v>
      </c>
      <c r="AB34" s="294">
        <f t="shared" si="48"/>
        <v>0</v>
      </c>
      <c r="AC34" s="64">
        <f t="shared" si="12"/>
        <v>1841</v>
      </c>
      <c r="AD34" s="45">
        <f t="shared" si="13"/>
        <v>0</v>
      </c>
      <c r="AE34" s="64">
        <f t="shared" si="14"/>
        <v>359849.4</v>
      </c>
      <c r="AF34" s="316">
        <f t="shared" si="27"/>
        <v>0</v>
      </c>
      <c r="AG34" s="213">
        <f t="shared" si="39"/>
        <v>0</v>
      </c>
      <c r="AH34" s="62">
        <f t="shared" si="40"/>
        <v>0</v>
      </c>
      <c r="AI34" s="328">
        <f t="shared" si="28"/>
        <v>0</v>
      </c>
      <c r="AJ34" s="328">
        <f>-tanks!AW35</f>
        <v>0</v>
      </c>
      <c r="AK34" s="328">
        <f t="shared" si="29"/>
        <v>0</v>
      </c>
      <c r="AL34" s="328">
        <f t="shared" si="47"/>
        <v>0</v>
      </c>
      <c r="AM34" s="328">
        <f>Y34+AD34</f>
        <v>0</v>
      </c>
      <c r="AN34" s="64">
        <f t="shared" si="31"/>
        <v>67</v>
      </c>
      <c r="AO34" s="330">
        <f t="shared" si="51"/>
        <v>2010.0000000000002</v>
      </c>
      <c r="AP34" s="64">
        <f t="shared" si="33"/>
        <v>78</v>
      </c>
      <c r="AQ34" s="330">
        <f t="shared" si="50"/>
        <v>2340</v>
      </c>
      <c r="AR34" s="64">
        <f t="shared" si="35"/>
        <v>69</v>
      </c>
      <c r="AS34" s="330">
        <f t="shared" si="41"/>
        <v>2070</v>
      </c>
      <c r="AT34" s="330">
        <f t="shared" si="49"/>
        <v>6420</v>
      </c>
      <c r="AU34" s="330">
        <f t="shared" si="43"/>
        <v>0</v>
      </c>
      <c r="AV34" s="276"/>
      <c r="AW34" s="276"/>
      <c r="AX34" s="323">
        <f t="shared" si="36"/>
        <v>0.7</v>
      </c>
    </row>
    <row r="35" spans="1:50">
      <c r="J35" s="293">
        <f>SUM(J5:J34)/(COUNT(J5:J34)-COUNTIF(J5:J34,0))</f>
        <v>1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0</v>
      </c>
      <c r="AT35" s="323"/>
      <c r="AU35" s="323">
        <f>SUM(AU5:AU34)</f>
        <v>180</v>
      </c>
      <c r="AV35" s="72">
        <f>SUM(AV5:AV34)</f>
        <v>0</v>
      </c>
      <c r="AW35" s="323" t="e">
        <f>SUM(AW5:AW34)/AS35</f>
        <v>#DIV/0!</v>
      </c>
    </row>
    <row r="36" spans="1:50">
      <c r="AH36" s="62">
        <f>AF36+AA36</f>
        <v>0</v>
      </c>
      <c r="AI36" s="331">
        <f>SUM(AI5:AI34)</f>
        <v>452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91.8</v>
      </c>
      <c r="AV37" s="323">
        <f>AV35/0.51</f>
        <v>0</v>
      </c>
      <c r="AW37" s="323" t="e">
        <f>SUM(AW5:AW34)/AS35</f>
        <v>#DIV/0!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0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M1" zoomScaleNormal="100" workbookViewId="0">
      <pane ySplit="3" topLeftCell="A4" activePane="bottomLeft" state="frozen"/>
      <selection pane="bottomLeft" activeCell="AY6" sqref="AY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8984775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04" t="s">
        <v>95</v>
      </c>
      <c r="AS2" s="605"/>
      <c r="AT2" s="605"/>
      <c r="AU2" s="605"/>
      <c r="AV2" s="606"/>
      <c r="AW2" s="604" t="s">
        <v>96</v>
      </c>
      <c r="AX2" s="605"/>
      <c r="AY2" s="606"/>
      <c r="AZ2" s="604" t="s">
        <v>98</v>
      </c>
      <c r="BA2" s="605"/>
      <c r="BB2" s="606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01" t="s">
        <v>126</v>
      </c>
      <c r="AO3" s="602"/>
      <c r="AP3" s="603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log'!$A$38))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407</v>
      </c>
      <c r="W6" s="334">
        <f>+V6-V5</f>
        <v>0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0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log'!$A$38))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6212</v>
      </c>
      <c r="L7" s="84">
        <f>K7-K6</f>
        <v>0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f t="shared" ref="T7:AG35" si="17">T6</f>
        <v>4832</v>
      </c>
      <c r="U7" s="5">
        <f t="shared" si="4"/>
        <v>0</v>
      </c>
      <c r="V7" s="5">
        <f t="shared" si="17"/>
        <v>407</v>
      </c>
      <c r="W7" s="334">
        <f t="shared" ref="W7:W35" si="18">+V7-V6</f>
        <v>0</v>
      </c>
      <c r="X7" s="5">
        <f t="shared" si="17"/>
        <v>143783</v>
      </c>
      <c r="Y7" s="334">
        <f t="shared" ref="Y7:Y35" si="19">SUM(X7-X6)</f>
        <v>0</v>
      </c>
      <c r="Z7" s="5">
        <f t="shared" si="17"/>
        <v>94798</v>
      </c>
      <c r="AA7" s="84">
        <f t="shared" ref="AA7:AA35" si="20">Z7-Z6</f>
        <v>0</v>
      </c>
      <c r="AB7" s="5">
        <f t="shared" si="17"/>
        <v>268</v>
      </c>
      <c r="AC7" s="5">
        <f t="shared" si="17"/>
        <v>671</v>
      </c>
      <c r="AD7" s="84">
        <f>AC7-AC6</f>
        <v>0</v>
      </c>
      <c r="AE7" s="5">
        <f t="shared" si="17"/>
        <v>155.80000000000001</v>
      </c>
      <c r="AF7" s="84">
        <f t="shared" ref="AF7:AF35" si="21">AE7-AE6</f>
        <v>0</v>
      </c>
      <c r="AG7" s="5">
        <f t="shared" si="17"/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0</v>
      </c>
      <c r="AL7" s="337">
        <f t="shared" ref="AL7:AL35" si="25">SUM(AJ7-W7)</f>
        <v>0</v>
      </c>
      <c r="AM7" s="337">
        <f>'General information '!D7</f>
        <v>0</v>
      </c>
      <c r="AN7" s="85">
        <f>'General information '!H7</f>
        <v>0</v>
      </c>
      <c r="AO7" s="85"/>
      <c r="AP7" s="85">
        <f>'General information '!J7</f>
        <v>0</v>
      </c>
      <c r="AQ7" s="82"/>
      <c r="AR7" s="285">
        <f t="shared" ref="AR7:AR35" si="26">A7</f>
        <v>43984</v>
      </c>
      <c r="AS7" s="438">
        <f t="shared" si="6"/>
        <v>0.9</v>
      </c>
      <c r="AT7" s="205">
        <f t="shared" si="6"/>
        <v>155</v>
      </c>
      <c r="AU7" s="439">
        <f>AU6</f>
        <v>1.1000000000000001</v>
      </c>
      <c r="AV7" s="205">
        <f t="shared" ref="AV7:AX7" si="27">AV6</f>
        <v>114</v>
      </c>
      <c r="AW7" s="5">
        <v>2.9</v>
      </c>
      <c r="AX7" s="205">
        <f t="shared" si="27"/>
        <v>138</v>
      </c>
      <c r="AY7" s="442">
        <f t="shared" si="7"/>
        <v>139.5</v>
      </c>
      <c r="AZ7" s="442">
        <f t="shared" ref="AZ7:AZ35" si="28">AU7*AV7</f>
        <v>125.4</v>
      </c>
      <c r="BA7" s="442">
        <f t="shared" ref="BA7:BA35" si="29">AW7*AX7</f>
        <v>400.2</v>
      </c>
      <c r="BB7" s="21">
        <f t="shared" ref="BB7:BD35" si="30">AY7-AY6</f>
        <v>0</v>
      </c>
      <c r="BC7" s="21">
        <f t="shared" ref="BC7:BD21" si="31">AZ7-AZ6</f>
        <v>0</v>
      </c>
      <c r="BD7" s="21">
        <f t="shared" si="31"/>
        <v>0</v>
      </c>
      <c r="BE7" s="24">
        <f t="shared" ref="BE7:BE35" si="32">SUM(BB7:BD7)</f>
        <v>0</v>
      </c>
      <c r="BF7" s="97">
        <f t="shared" si="8"/>
        <v>0</v>
      </c>
      <c r="BG7" s="83">
        <f t="shared" si="9"/>
        <v>0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f t="shared" si="10"/>
        <v>108473</v>
      </c>
      <c r="C8" s="5">
        <f>B8-B7</f>
        <v>0</v>
      </c>
      <c r="D8" s="433">
        <f t="shared" si="12"/>
        <v>0</v>
      </c>
      <c r="E8" s="343">
        <f>SUM((C8*$E$4)+(7500/'EDl log'!$A$38))</f>
        <v>250</v>
      </c>
      <c r="F8" s="432"/>
      <c r="G8" s="5">
        <f t="shared" si="13"/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6212</v>
      </c>
      <c r="L8" s="84">
        <f>K8-K7</f>
        <v>0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f t="shared" si="17"/>
        <v>4832</v>
      </c>
      <c r="U8" s="5">
        <f t="shared" si="4"/>
        <v>0</v>
      </c>
      <c r="V8" s="5">
        <f t="shared" si="17"/>
        <v>407</v>
      </c>
      <c r="W8" s="334">
        <f t="shared" si="18"/>
        <v>0</v>
      </c>
      <c r="X8" s="5">
        <f t="shared" si="17"/>
        <v>143783</v>
      </c>
      <c r="Y8" s="334">
        <f t="shared" si="19"/>
        <v>0</v>
      </c>
      <c r="Z8" s="5">
        <f t="shared" si="17"/>
        <v>94798</v>
      </c>
      <c r="AA8" s="84">
        <f t="shared" si="20"/>
        <v>0</v>
      </c>
      <c r="AB8" s="5">
        <f t="shared" si="17"/>
        <v>268</v>
      </c>
      <c r="AC8" s="5">
        <f t="shared" si="17"/>
        <v>671</v>
      </c>
      <c r="AD8" s="84">
        <f t="shared" ref="AD8:AD35" si="33">AC8-AC7</f>
        <v>0</v>
      </c>
      <c r="AE8" s="5">
        <f t="shared" si="17"/>
        <v>155.80000000000001</v>
      </c>
      <c r="AF8" s="84">
        <f t="shared" si="21"/>
        <v>0</v>
      </c>
      <c r="AG8" s="5">
        <f t="shared" si="17"/>
        <v>1594.6</v>
      </c>
      <c r="AH8" s="84">
        <f t="shared" si="22"/>
        <v>0</v>
      </c>
      <c r="AI8" s="84">
        <f t="shared" si="23"/>
        <v>0</v>
      </c>
      <c r="AJ8" s="336">
        <f t="shared" si="24"/>
        <v>0</v>
      </c>
      <c r="AK8" s="337">
        <f t="shared" si="5"/>
        <v>0</v>
      </c>
      <c r="AL8" s="337">
        <f t="shared" si="25"/>
        <v>0</v>
      </c>
      <c r="AM8" s="337">
        <f>'General information '!D8</f>
        <v>0</v>
      </c>
      <c r="AN8" s="85">
        <f>'General information '!H8</f>
        <v>0</v>
      </c>
      <c r="AO8" s="85"/>
      <c r="AP8" s="85">
        <f>'General information '!J8</f>
        <v>0</v>
      </c>
      <c r="AQ8" s="82"/>
      <c r="AR8" s="285">
        <f t="shared" si="26"/>
        <v>43985</v>
      </c>
      <c r="AS8" s="438">
        <f t="shared" si="6"/>
        <v>0.9</v>
      </c>
      <c r="AT8" s="205">
        <f t="shared" si="6"/>
        <v>155</v>
      </c>
      <c r="AU8" s="439">
        <v>1.1000000000000001</v>
      </c>
      <c r="AV8" s="205">
        <f t="shared" ref="AV8:AX8" si="34">AV7</f>
        <v>114</v>
      </c>
      <c r="AW8" s="5">
        <v>2.9</v>
      </c>
      <c r="AX8" s="205">
        <f t="shared" si="34"/>
        <v>138</v>
      </c>
      <c r="AY8" s="442">
        <f t="shared" si="7"/>
        <v>139.5</v>
      </c>
      <c r="AZ8" s="442">
        <f t="shared" si="28"/>
        <v>125.4</v>
      </c>
      <c r="BA8" s="442">
        <f t="shared" si="29"/>
        <v>400.2</v>
      </c>
      <c r="BB8" s="21">
        <f t="shared" si="30"/>
        <v>0</v>
      </c>
      <c r="BC8" s="21">
        <f t="shared" si="31"/>
        <v>0</v>
      </c>
      <c r="BD8" s="21">
        <f t="shared" si="31"/>
        <v>0</v>
      </c>
      <c r="BE8" s="24">
        <f t="shared" si="32"/>
        <v>0</v>
      </c>
      <c r="BF8" s="97">
        <f t="shared" si="8"/>
        <v>0</v>
      </c>
      <c r="BG8" s="83">
        <f t="shared" si="9"/>
        <v>0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log'!$A$38))</f>
        <v>250</v>
      </c>
      <c r="F9" s="432"/>
      <c r="G9" s="5">
        <f t="shared" si="13"/>
        <v>598985</v>
      </c>
      <c r="H9" s="5">
        <f t="shared" si="14"/>
        <v>0</v>
      </c>
      <c r="I9" s="5">
        <f t="shared" si="0"/>
        <v>0</v>
      </c>
      <c r="J9" s="344">
        <f t="shared" si="1"/>
        <v>0</v>
      </c>
      <c r="K9" s="5">
        <f>'Swimming Pool quality check '!H9</f>
        <v>6212</v>
      </c>
      <c r="L9" s="84">
        <f t="shared" ref="L9:L35" si="35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f t="shared" si="17"/>
        <v>4832</v>
      </c>
      <c r="U9" s="5">
        <f t="shared" si="4"/>
        <v>0</v>
      </c>
      <c r="V9" s="5">
        <f t="shared" si="17"/>
        <v>407</v>
      </c>
      <c r="W9" s="334">
        <f t="shared" si="18"/>
        <v>0</v>
      </c>
      <c r="X9" s="5">
        <f t="shared" si="17"/>
        <v>143783</v>
      </c>
      <c r="Y9" s="334">
        <f t="shared" si="19"/>
        <v>0</v>
      </c>
      <c r="Z9" s="5">
        <f t="shared" si="17"/>
        <v>94798</v>
      </c>
      <c r="AA9" s="84">
        <f t="shared" si="20"/>
        <v>0</v>
      </c>
      <c r="AB9" s="5">
        <f t="shared" si="17"/>
        <v>268</v>
      </c>
      <c r="AC9" s="5">
        <f t="shared" si="17"/>
        <v>671</v>
      </c>
      <c r="AD9" s="84">
        <f t="shared" si="33"/>
        <v>0</v>
      </c>
      <c r="AE9" s="5">
        <f t="shared" si="17"/>
        <v>155.80000000000001</v>
      </c>
      <c r="AF9" s="84">
        <f t="shared" si="21"/>
        <v>0</v>
      </c>
      <c r="AG9" s="5">
        <f t="shared" si="17"/>
        <v>1594.6</v>
      </c>
      <c r="AH9" s="84">
        <f t="shared" si="22"/>
        <v>0</v>
      </c>
      <c r="AI9" s="84">
        <f t="shared" si="23"/>
        <v>0</v>
      </c>
      <c r="AJ9" s="336">
        <f t="shared" si="24"/>
        <v>0</v>
      </c>
      <c r="AK9" s="337">
        <f t="shared" si="5"/>
        <v>0</v>
      </c>
      <c r="AL9" s="337">
        <f t="shared" si="25"/>
        <v>0</v>
      </c>
      <c r="AM9" s="337">
        <f>'General information '!D9</f>
        <v>0</v>
      </c>
      <c r="AN9" s="85">
        <f>'General information '!H9</f>
        <v>0</v>
      </c>
      <c r="AO9" s="85"/>
      <c r="AP9" s="85">
        <f>'General information '!J9</f>
        <v>0</v>
      </c>
      <c r="AQ9" s="82"/>
      <c r="AR9" s="285">
        <f t="shared" si="26"/>
        <v>43986</v>
      </c>
      <c r="AS9" s="438">
        <f t="shared" si="6"/>
        <v>0.9</v>
      </c>
      <c r="AT9" s="205">
        <f t="shared" si="6"/>
        <v>155</v>
      </c>
      <c r="AU9" s="439">
        <f t="shared" ref="AU9:AV35" si="36">AU8</f>
        <v>1.1000000000000001</v>
      </c>
      <c r="AV9" s="205">
        <f t="shared" si="36"/>
        <v>114</v>
      </c>
      <c r="AW9" s="5">
        <v>2.9</v>
      </c>
      <c r="AX9" s="205">
        <f t="shared" ref="AX9" si="37">AX8</f>
        <v>138</v>
      </c>
      <c r="AY9" s="442">
        <f t="shared" si="7"/>
        <v>139.5</v>
      </c>
      <c r="AZ9" s="442">
        <f t="shared" si="28"/>
        <v>125.4</v>
      </c>
      <c r="BA9" s="442">
        <f t="shared" si="29"/>
        <v>400.2</v>
      </c>
      <c r="BB9" s="21">
        <f t="shared" si="30"/>
        <v>0</v>
      </c>
      <c r="BC9" s="21">
        <f t="shared" si="31"/>
        <v>0</v>
      </c>
      <c r="BD9" s="21">
        <f t="shared" si="31"/>
        <v>0</v>
      </c>
      <c r="BE9" s="24">
        <f t="shared" si="32"/>
        <v>0</v>
      </c>
      <c r="BF9" s="358">
        <f t="shared" si="8"/>
        <v>0</v>
      </c>
      <c r="BG9" s="83">
        <f t="shared" si="9"/>
        <v>0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log'!$A$38))</f>
        <v>250</v>
      </c>
      <c r="F10" s="432"/>
      <c r="G10" s="5">
        <f t="shared" si="13"/>
        <v>598985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6212</v>
      </c>
      <c r="L10" s="84">
        <f>K10-K9</f>
        <v>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f t="shared" si="17"/>
        <v>4832</v>
      </c>
      <c r="U10" s="5">
        <f t="shared" si="4"/>
        <v>0</v>
      </c>
      <c r="V10" s="5">
        <f t="shared" si="17"/>
        <v>407</v>
      </c>
      <c r="W10" s="334">
        <f t="shared" si="18"/>
        <v>0</v>
      </c>
      <c r="X10" s="5">
        <f t="shared" si="17"/>
        <v>143783</v>
      </c>
      <c r="Y10" s="334">
        <f t="shared" si="19"/>
        <v>0</v>
      </c>
      <c r="Z10" s="5">
        <f t="shared" si="17"/>
        <v>94798</v>
      </c>
      <c r="AA10" s="84">
        <f t="shared" si="20"/>
        <v>0</v>
      </c>
      <c r="AB10" s="5">
        <f t="shared" si="17"/>
        <v>268</v>
      </c>
      <c r="AC10" s="5">
        <f t="shared" si="17"/>
        <v>671</v>
      </c>
      <c r="AD10" s="84">
        <f t="shared" si="33"/>
        <v>0</v>
      </c>
      <c r="AE10" s="5">
        <f t="shared" si="17"/>
        <v>155.80000000000001</v>
      </c>
      <c r="AF10" s="84">
        <f t="shared" si="21"/>
        <v>0</v>
      </c>
      <c r="AG10" s="5">
        <f t="shared" si="17"/>
        <v>1594.6</v>
      </c>
      <c r="AH10" s="84">
        <f t="shared" si="22"/>
        <v>0</v>
      </c>
      <c r="AI10" s="84">
        <f t="shared" si="23"/>
        <v>0</v>
      </c>
      <c r="AJ10" s="336">
        <f t="shared" si="24"/>
        <v>0</v>
      </c>
      <c r="AK10" s="337">
        <f t="shared" si="5"/>
        <v>0</v>
      </c>
      <c r="AL10" s="337">
        <f t="shared" si="25"/>
        <v>0</v>
      </c>
      <c r="AM10" s="337">
        <f>'General information '!D10</f>
        <v>0</v>
      </c>
      <c r="AN10" s="85">
        <f>'General information '!H10</f>
        <v>0</v>
      </c>
      <c r="AO10" s="85"/>
      <c r="AP10" s="85">
        <f>'General information '!J10</f>
        <v>0</v>
      </c>
      <c r="AQ10" s="82"/>
      <c r="AR10" s="285">
        <f t="shared" si="26"/>
        <v>43987</v>
      </c>
      <c r="AS10" s="438">
        <f t="shared" si="6"/>
        <v>0.9</v>
      </c>
      <c r="AT10" s="205">
        <f t="shared" si="6"/>
        <v>155</v>
      </c>
      <c r="AU10" s="439">
        <f t="shared" si="36"/>
        <v>1.1000000000000001</v>
      </c>
      <c r="AV10" s="205">
        <f t="shared" si="36"/>
        <v>114</v>
      </c>
      <c r="AW10" s="5">
        <v>2.9</v>
      </c>
      <c r="AX10" s="205">
        <f t="shared" ref="AX10" si="38">AX9</f>
        <v>138</v>
      </c>
      <c r="AY10" s="442">
        <f t="shared" si="7"/>
        <v>139.5</v>
      </c>
      <c r="AZ10" s="442">
        <f t="shared" si="28"/>
        <v>125.4</v>
      </c>
      <c r="BA10" s="442">
        <f t="shared" si="29"/>
        <v>400.2</v>
      </c>
      <c r="BB10" s="21">
        <f t="shared" si="30"/>
        <v>0</v>
      </c>
      <c r="BC10" s="21">
        <f t="shared" si="31"/>
        <v>0</v>
      </c>
      <c r="BD10" s="21">
        <f t="shared" si="31"/>
        <v>0</v>
      </c>
      <c r="BE10" s="24">
        <f t="shared" si="32"/>
        <v>0</v>
      </c>
      <c r="BF10" s="97">
        <f t="shared" si="8"/>
        <v>0</v>
      </c>
      <c r="BG10" s="83">
        <f t="shared" si="9"/>
        <v>0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log'!$A$38))</f>
        <v>250</v>
      </c>
      <c r="F11" s="432"/>
      <c r="G11" s="5">
        <f t="shared" si="13"/>
        <v>598985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6212</v>
      </c>
      <c r="L11" s="84">
        <f t="shared" si="35"/>
        <v>0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f t="shared" si="17"/>
        <v>4832</v>
      </c>
      <c r="U11" s="5">
        <f t="shared" si="4"/>
        <v>0</v>
      </c>
      <c r="V11" s="5">
        <f t="shared" si="17"/>
        <v>407</v>
      </c>
      <c r="W11" s="334">
        <f t="shared" si="18"/>
        <v>0</v>
      </c>
      <c r="X11" s="5">
        <f t="shared" si="17"/>
        <v>143783</v>
      </c>
      <c r="Y11" s="334">
        <f t="shared" si="19"/>
        <v>0</v>
      </c>
      <c r="Z11" s="5">
        <f t="shared" si="17"/>
        <v>94798</v>
      </c>
      <c r="AA11" s="84">
        <f t="shared" si="20"/>
        <v>0</v>
      </c>
      <c r="AB11" s="5">
        <f t="shared" si="17"/>
        <v>268</v>
      </c>
      <c r="AC11" s="5">
        <f t="shared" si="17"/>
        <v>671</v>
      </c>
      <c r="AD11" s="84">
        <f t="shared" si="33"/>
        <v>0</v>
      </c>
      <c r="AE11" s="5">
        <f t="shared" si="17"/>
        <v>155.80000000000001</v>
      </c>
      <c r="AF11" s="84">
        <f t="shared" si="21"/>
        <v>0</v>
      </c>
      <c r="AG11" s="5">
        <f t="shared" si="17"/>
        <v>1594.6</v>
      </c>
      <c r="AH11" s="84">
        <f t="shared" si="22"/>
        <v>0</v>
      </c>
      <c r="AI11" s="84">
        <f t="shared" si="23"/>
        <v>0</v>
      </c>
      <c r="AJ11" s="336">
        <f t="shared" si="24"/>
        <v>0</v>
      </c>
      <c r="AK11" s="337">
        <f t="shared" si="5"/>
        <v>0</v>
      </c>
      <c r="AL11" s="337">
        <f t="shared" si="25"/>
        <v>0</v>
      </c>
      <c r="AM11" s="337">
        <f>'General information '!D11</f>
        <v>0</v>
      </c>
      <c r="AN11" s="85">
        <f>'General information '!H11</f>
        <v>0</v>
      </c>
      <c r="AO11" s="85"/>
      <c r="AP11" s="85">
        <f>'General information '!J11</f>
        <v>0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155</v>
      </c>
      <c r="AU11" s="439">
        <f t="shared" si="36"/>
        <v>1.1000000000000001</v>
      </c>
      <c r="AV11" s="205">
        <f t="shared" si="36"/>
        <v>114</v>
      </c>
      <c r="AW11" s="5">
        <v>2.9</v>
      </c>
      <c r="AX11" s="205">
        <f t="shared" ref="AX11" si="39">AX10</f>
        <v>138</v>
      </c>
      <c r="AY11" s="442">
        <f t="shared" si="7"/>
        <v>139.5</v>
      </c>
      <c r="AZ11" s="442">
        <f t="shared" si="28"/>
        <v>125.4</v>
      </c>
      <c r="BA11" s="442">
        <f t="shared" si="29"/>
        <v>400.2</v>
      </c>
      <c r="BB11" s="21">
        <f t="shared" si="30"/>
        <v>0</v>
      </c>
      <c r="BC11" s="21">
        <f t="shared" si="31"/>
        <v>0</v>
      </c>
      <c r="BD11" s="21">
        <f t="shared" si="31"/>
        <v>0</v>
      </c>
      <c r="BE11" s="24">
        <f t="shared" si="32"/>
        <v>0</v>
      </c>
      <c r="BF11" s="97">
        <f t="shared" si="8"/>
        <v>0</v>
      </c>
      <c r="BG11" s="83">
        <f t="shared" si="9"/>
        <v>0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log'!$A$38))</f>
        <v>250</v>
      </c>
      <c r="F12" s="432"/>
      <c r="G12" s="5">
        <f t="shared" si="13"/>
        <v>598985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6212</v>
      </c>
      <c r="L12" s="84">
        <f t="shared" si="35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f t="shared" si="17"/>
        <v>4832</v>
      </c>
      <c r="U12" s="5">
        <f t="shared" si="4"/>
        <v>0</v>
      </c>
      <c r="V12" s="5">
        <f t="shared" si="17"/>
        <v>407</v>
      </c>
      <c r="W12" s="334">
        <f t="shared" si="18"/>
        <v>0</v>
      </c>
      <c r="X12" s="5">
        <f t="shared" si="17"/>
        <v>143783</v>
      </c>
      <c r="Y12" s="334">
        <f t="shared" si="19"/>
        <v>0</v>
      </c>
      <c r="Z12" s="5">
        <f t="shared" si="17"/>
        <v>94798</v>
      </c>
      <c r="AA12" s="84">
        <f t="shared" si="20"/>
        <v>0</v>
      </c>
      <c r="AB12" s="5">
        <f t="shared" si="17"/>
        <v>268</v>
      </c>
      <c r="AC12" s="5">
        <f t="shared" si="17"/>
        <v>671</v>
      </c>
      <c r="AD12" s="84">
        <f t="shared" si="33"/>
        <v>0</v>
      </c>
      <c r="AE12" s="5">
        <f t="shared" si="17"/>
        <v>155.80000000000001</v>
      </c>
      <c r="AF12" s="84">
        <f t="shared" si="21"/>
        <v>0</v>
      </c>
      <c r="AG12" s="5">
        <f t="shared" si="17"/>
        <v>1594.6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0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155</v>
      </c>
      <c r="AU12" s="439">
        <f t="shared" si="36"/>
        <v>1.1000000000000001</v>
      </c>
      <c r="AV12" s="205">
        <f t="shared" si="36"/>
        <v>114</v>
      </c>
      <c r="AW12" s="5">
        <v>2.9</v>
      </c>
      <c r="AX12" s="205">
        <f t="shared" ref="AX12" si="40">AX11</f>
        <v>138</v>
      </c>
      <c r="AY12" s="442">
        <f t="shared" si="7"/>
        <v>139.5</v>
      </c>
      <c r="AZ12" s="442">
        <f t="shared" si="28"/>
        <v>125.4</v>
      </c>
      <c r="BA12" s="442">
        <f t="shared" si="29"/>
        <v>400.2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7">
        <f t="shared" si="8"/>
        <v>0</v>
      </c>
      <c r="BG12" s="83">
        <f t="shared" si="9"/>
        <v>0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log'!$A$38))</f>
        <v>250</v>
      </c>
      <c r="F13" s="432"/>
      <c r="G13" s="5">
        <f t="shared" si="13"/>
        <v>598985</v>
      </c>
      <c r="H13" s="5">
        <f t="shared" si="14"/>
        <v>0</v>
      </c>
      <c r="I13" s="5">
        <f t="shared" si="0"/>
        <v>0</v>
      </c>
      <c r="J13" s="344">
        <f t="shared" si="1"/>
        <v>0</v>
      </c>
      <c r="K13" s="5">
        <f>'Swimming Pool quality check '!H13</f>
        <v>6212</v>
      </c>
      <c r="L13" s="84">
        <f t="shared" si="35"/>
        <v>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f t="shared" si="17"/>
        <v>4832</v>
      </c>
      <c r="U13" s="5">
        <f t="shared" si="4"/>
        <v>0</v>
      </c>
      <c r="V13" s="5">
        <f t="shared" si="17"/>
        <v>407</v>
      </c>
      <c r="W13" s="334">
        <f t="shared" si="18"/>
        <v>0</v>
      </c>
      <c r="X13" s="5">
        <f t="shared" si="17"/>
        <v>143783</v>
      </c>
      <c r="Y13" s="334">
        <f t="shared" si="19"/>
        <v>0</v>
      </c>
      <c r="Z13" s="5">
        <f t="shared" si="17"/>
        <v>94798</v>
      </c>
      <c r="AA13" s="84">
        <f t="shared" si="20"/>
        <v>0</v>
      </c>
      <c r="AB13" s="5">
        <f t="shared" si="17"/>
        <v>268</v>
      </c>
      <c r="AC13" s="5">
        <f t="shared" si="17"/>
        <v>671</v>
      </c>
      <c r="AD13" s="84">
        <f t="shared" si="33"/>
        <v>0</v>
      </c>
      <c r="AE13" s="5">
        <f t="shared" si="17"/>
        <v>155.80000000000001</v>
      </c>
      <c r="AF13" s="84">
        <f t="shared" si="21"/>
        <v>0</v>
      </c>
      <c r="AG13" s="5">
        <f t="shared" si="17"/>
        <v>1594.6</v>
      </c>
      <c r="AH13" s="84">
        <f t="shared" si="22"/>
        <v>0</v>
      </c>
      <c r="AI13" s="84">
        <f t="shared" si="23"/>
        <v>0</v>
      </c>
      <c r="AJ13" s="336">
        <f t="shared" si="24"/>
        <v>0</v>
      </c>
      <c r="AK13" s="337">
        <f t="shared" si="5"/>
        <v>0</v>
      </c>
      <c r="AL13" s="337">
        <f t="shared" si="25"/>
        <v>0</v>
      </c>
      <c r="AM13" s="337">
        <f>'General information '!D13</f>
        <v>0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5">
        <f t="shared" si="26"/>
        <v>43990</v>
      </c>
      <c r="AS13" s="438">
        <f t="shared" si="6"/>
        <v>0.9</v>
      </c>
      <c r="AT13" s="205">
        <f t="shared" si="6"/>
        <v>155</v>
      </c>
      <c r="AU13" s="439">
        <f t="shared" si="36"/>
        <v>1.1000000000000001</v>
      </c>
      <c r="AV13" s="205">
        <f t="shared" si="36"/>
        <v>114</v>
      </c>
      <c r="AW13" s="5">
        <v>2.9</v>
      </c>
      <c r="AX13" s="205">
        <f t="shared" ref="AX13" si="41">AX12</f>
        <v>138</v>
      </c>
      <c r="AY13" s="442">
        <f t="shared" si="7"/>
        <v>139.5</v>
      </c>
      <c r="AZ13" s="442">
        <f t="shared" si="28"/>
        <v>125.4</v>
      </c>
      <c r="BA13" s="442">
        <f t="shared" si="29"/>
        <v>400.2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7">
        <f t="shared" si="8"/>
        <v>0</v>
      </c>
      <c r="BG13" s="83">
        <f t="shared" si="9"/>
        <v>0</v>
      </c>
    </row>
    <row r="14" spans="1:65" ht="15.75" thickBot="1">
      <c r="A14" s="6">
        <f>ELEC!C11</f>
        <v>43991</v>
      </c>
      <c r="B14" s="5">
        <f t="shared" si="10"/>
        <v>108473</v>
      </c>
      <c r="C14" s="5">
        <f t="shared" si="11"/>
        <v>0</v>
      </c>
      <c r="D14" s="433">
        <f t="shared" si="12"/>
        <v>0</v>
      </c>
      <c r="E14" s="343">
        <f>SUM((C14*$E$4)+(7500/'EDl log'!$A$38))</f>
        <v>250</v>
      </c>
      <c r="F14" s="432"/>
      <c r="G14" s="5">
        <f t="shared" si="13"/>
        <v>598985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6212</v>
      </c>
      <c r="L14" s="84">
        <f t="shared" si="35"/>
        <v>0</v>
      </c>
      <c r="M14" s="424">
        <f t="shared" si="15"/>
        <v>457.44</v>
      </c>
      <c r="N14" s="535">
        <f t="shared" ref="N14:N35" si="42">SUM(M14-M13)</f>
        <v>0</v>
      </c>
      <c r="O14" s="424">
        <f t="shared" si="16"/>
        <v>529.52</v>
      </c>
      <c r="P14" s="535">
        <f t="shared" ref="P14:P35" si="43">SUM(O14-O13)</f>
        <v>0</v>
      </c>
      <c r="Q14" s="535">
        <f t="shared" ref="Q14:Q35" si="44">SUM(P14+N14)</f>
        <v>0</v>
      </c>
      <c r="R14" s="535"/>
      <c r="S14" s="535"/>
      <c r="T14" s="5">
        <f t="shared" si="17"/>
        <v>4832</v>
      </c>
      <c r="U14" s="5">
        <f t="shared" si="4"/>
        <v>0</v>
      </c>
      <c r="V14" s="5">
        <f t="shared" si="17"/>
        <v>407</v>
      </c>
      <c r="W14" s="334">
        <f t="shared" si="18"/>
        <v>0</v>
      </c>
      <c r="X14" s="5">
        <f t="shared" si="17"/>
        <v>143783</v>
      </c>
      <c r="Y14" s="334">
        <f t="shared" si="19"/>
        <v>0</v>
      </c>
      <c r="Z14" s="5">
        <f t="shared" si="17"/>
        <v>94798</v>
      </c>
      <c r="AA14" s="84">
        <f t="shared" si="20"/>
        <v>0</v>
      </c>
      <c r="AB14" s="5">
        <f t="shared" si="17"/>
        <v>268</v>
      </c>
      <c r="AC14" s="5">
        <f t="shared" si="17"/>
        <v>671</v>
      </c>
      <c r="AD14" s="84">
        <f t="shared" si="33"/>
        <v>0</v>
      </c>
      <c r="AE14" s="5">
        <f t="shared" si="17"/>
        <v>155.80000000000001</v>
      </c>
      <c r="AF14" s="84">
        <f t="shared" si="21"/>
        <v>0</v>
      </c>
      <c r="AG14" s="5">
        <f t="shared" si="17"/>
        <v>1594.6</v>
      </c>
      <c r="AH14" s="84">
        <f t="shared" si="22"/>
        <v>0</v>
      </c>
      <c r="AI14" s="84">
        <f t="shared" si="23"/>
        <v>0</v>
      </c>
      <c r="AJ14" s="336">
        <f t="shared" si="24"/>
        <v>0</v>
      </c>
      <c r="AK14" s="337">
        <f t="shared" si="5"/>
        <v>0</v>
      </c>
      <c r="AL14" s="337">
        <f t="shared" si="25"/>
        <v>0</v>
      </c>
      <c r="AM14" s="337">
        <f>'General information '!D14</f>
        <v>0</v>
      </c>
      <c r="AN14" s="85">
        <f>'General information '!H14</f>
        <v>0</v>
      </c>
      <c r="AO14" s="85"/>
      <c r="AP14" s="85">
        <f>'General information '!J14</f>
        <v>0</v>
      </c>
      <c r="AQ14" s="82"/>
      <c r="AR14" s="285">
        <f t="shared" si="26"/>
        <v>43991</v>
      </c>
      <c r="AS14" s="438">
        <f t="shared" si="6"/>
        <v>0.9</v>
      </c>
      <c r="AT14" s="205">
        <f t="shared" si="6"/>
        <v>155</v>
      </c>
      <c r="AU14" s="439">
        <f t="shared" si="36"/>
        <v>1.1000000000000001</v>
      </c>
      <c r="AV14" s="205">
        <f t="shared" si="36"/>
        <v>114</v>
      </c>
      <c r="AW14" s="5">
        <v>2.9</v>
      </c>
      <c r="AX14" s="205">
        <f t="shared" ref="AX14" si="45">AX13</f>
        <v>138</v>
      </c>
      <c r="AY14" s="442">
        <f t="shared" si="7"/>
        <v>139.5</v>
      </c>
      <c r="AZ14" s="442">
        <f t="shared" si="28"/>
        <v>125.4</v>
      </c>
      <c r="BA14" s="442">
        <f t="shared" si="29"/>
        <v>400.2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7">
        <f t="shared" si="8"/>
        <v>0</v>
      </c>
      <c r="BG14" s="83">
        <f t="shared" si="9"/>
        <v>0</v>
      </c>
    </row>
    <row r="15" spans="1:65" ht="16.5" customHeight="1" thickBot="1">
      <c r="A15" s="6">
        <f>ELEC!C12</f>
        <v>43992</v>
      </c>
      <c r="B15" s="5">
        <f t="shared" si="10"/>
        <v>108473</v>
      </c>
      <c r="C15" s="5">
        <f t="shared" si="11"/>
        <v>0</v>
      </c>
      <c r="D15" s="433">
        <f t="shared" si="12"/>
        <v>0</v>
      </c>
      <c r="E15" s="343">
        <f>SUM((C15*$E$4)+(7500/'EDl log'!$A$38))</f>
        <v>250</v>
      </c>
      <c r="F15" s="432"/>
      <c r="G15" s="5">
        <f t="shared" si="13"/>
        <v>598985</v>
      </c>
      <c r="H15" s="5">
        <f t="shared" si="14"/>
        <v>0</v>
      </c>
      <c r="I15" s="5">
        <f t="shared" si="0"/>
        <v>0</v>
      </c>
      <c r="J15" s="344">
        <f t="shared" si="1"/>
        <v>0</v>
      </c>
      <c r="K15" s="5">
        <f>'Swimming Pool quality check '!H15</f>
        <v>6212</v>
      </c>
      <c r="L15" s="84">
        <f t="shared" si="35"/>
        <v>0</v>
      </c>
      <c r="M15" s="424">
        <f t="shared" si="15"/>
        <v>457.44</v>
      </c>
      <c r="N15" s="535">
        <f t="shared" si="42"/>
        <v>0</v>
      </c>
      <c r="O15" s="424">
        <f t="shared" si="16"/>
        <v>529.52</v>
      </c>
      <c r="P15" s="535">
        <f t="shared" si="43"/>
        <v>0</v>
      </c>
      <c r="Q15" s="535">
        <f t="shared" si="44"/>
        <v>0</v>
      </c>
      <c r="R15" s="535"/>
      <c r="S15" s="535"/>
      <c r="T15" s="5">
        <f t="shared" si="17"/>
        <v>4832</v>
      </c>
      <c r="U15" s="5">
        <f t="shared" si="4"/>
        <v>0</v>
      </c>
      <c r="V15" s="5">
        <f t="shared" si="17"/>
        <v>407</v>
      </c>
      <c r="W15" s="334">
        <f t="shared" si="18"/>
        <v>0</v>
      </c>
      <c r="X15" s="5">
        <f t="shared" si="17"/>
        <v>143783</v>
      </c>
      <c r="Y15" s="334">
        <f t="shared" si="19"/>
        <v>0</v>
      </c>
      <c r="Z15" s="5">
        <f t="shared" si="17"/>
        <v>94798</v>
      </c>
      <c r="AA15" s="84">
        <f t="shared" si="20"/>
        <v>0</v>
      </c>
      <c r="AB15" s="5">
        <f t="shared" si="17"/>
        <v>268</v>
      </c>
      <c r="AC15" s="5">
        <f t="shared" si="17"/>
        <v>671</v>
      </c>
      <c r="AD15" s="84">
        <f t="shared" si="33"/>
        <v>0</v>
      </c>
      <c r="AE15" s="5">
        <f t="shared" si="17"/>
        <v>155.80000000000001</v>
      </c>
      <c r="AF15" s="84">
        <f t="shared" si="21"/>
        <v>0</v>
      </c>
      <c r="AG15" s="5">
        <f t="shared" si="17"/>
        <v>1594.6</v>
      </c>
      <c r="AH15" s="84">
        <f t="shared" si="22"/>
        <v>0</v>
      </c>
      <c r="AI15" s="84">
        <f t="shared" si="23"/>
        <v>0</v>
      </c>
      <c r="AJ15" s="336">
        <f t="shared" si="24"/>
        <v>0</v>
      </c>
      <c r="AK15" s="337">
        <f t="shared" si="5"/>
        <v>0</v>
      </c>
      <c r="AL15" s="337">
        <f t="shared" si="25"/>
        <v>0</v>
      </c>
      <c r="AM15" s="337">
        <f>'General information '!D15</f>
        <v>0</v>
      </c>
      <c r="AN15" s="85">
        <f>'General information '!H15</f>
        <v>0</v>
      </c>
      <c r="AO15" s="85"/>
      <c r="AP15" s="85">
        <f>'General information '!J15</f>
        <v>0</v>
      </c>
      <c r="AQ15" s="82"/>
      <c r="AR15" s="285">
        <f t="shared" si="26"/>
        <v>43992</v>
      </c>
      <c r="AS15" s="438">
        <f t="shared" si="6"/>
        <v>0.9</v>
      </c>
      <c r="AT15" s="205">
        <f t="shared" si="6"/>
        <v>155</v>
      </c>
      <c r="AU15" s="439">
        <f t="shared" si="36"/>
        <v>1.1000000000000001</v>
      </c>
      <c r="AV15" s="205">
        <f t="shared" si="36"/>
        <v>114</v>
      </c>
      <c r="AW15" s="5">
        <v>2.9</v>
      </c>
      <c r="AX15" s="205">
        <f t="shared" ref="AX15" si="46">AX14</f>
        <v>138</v>
      </c>
      <c r="AY15" s="442">
        <f t="shared" si="7"/>
        <v>139.5</v>
      </c>
      <c r="AZ15" s="442">
        <f t="shared" si="28"/>
        <v>125.4</v>
      </c>
      <c r="BA15" s="442">
        <f t="shared" si="29"/>
        <v>400.2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7">
        <f t="shared" si="8"/>
        <v>0</v>
      </c>
      <c r="BG15" s="83">
        <f t="shared" si="9"/>
        <v>0</v>
      </c>
    </row>
    <row r="16" spans="1:65" ht="15.75" thickBot="1">
      <c r="A16" s="6">
        <f>ELEC!C13</f>
        <v>43993</v>
      </c>
      <c r="B16" s="5">
        <f t="shared" si="10"/>
        <v>108473</v>
      </c>
      <c r="C16" s="5">
        <f t="shared" si="11"/>
        <v>0</v>
      </c>
      <c r="D16" s="433">
        <f t="shared" si="12"/>
        <v>0</v>
      </c>
      <c r="E16" s="343">
        <f>SUM((C16*$E$4)+(7500/'EDl log'!$A$38))</f>
        <v>250</v>
      </c>
      <c r="F16" s="432"/>
      <c r="G16" s="5">
        <f t="shared" si="13"/>
        <v>598985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6212</v>
      </c>
      <c r="L16" s="282">
        <f t="shared" si="35"/>
        <v>0</v>
      </c>
      <c r="M16" s="424">
        <f t="shared" si="15"/>
        <v>457.44</v>
      </c>
      <c r="N16" s="535">
        <f t="shared" si="42"/>
        <v>0</v>
      </c>
      <c r="O16" s="424">
        <f t="shared" si="16"/>
        <v>529.52</v>
      </c>
      <c r="P16" s="535">
        <f t="shared" si="43"/>
        <v>0</v>
      </c>
      <c r="Q16" s="535">
        <f t="shared" si="44"/>
        <v>0</v>
      </c>
      <c r="R16" s="537"/>
      <c r="S16" s="537"/>
      <c r="T16" s="5">
        <f t="shared" si="17"/>
        <v>4832</v>
      </c>
      <c r="U16" s="5">
        <f t="shared" si="4"/>
        <v>0</v>
      </c>
      <c r="V16" s="5">
        <f t="shared" si="17"/>
        <v>407</v>
      </c>
      <c r="W16" s="334">
        <f t="shared" si="18"/>
        <v>0</v>
      </c>
      <c r="X16" s="5">
        <f t="shared" si="17"/>
        <v>143783</v>
      </c>
      <c r="Y16" s="334">
        <f t="shared" si="19"/>
        <v>0</v>
      </c>
      <c r="Z16" s="5">
        <f t="shared" si="17"/>
        <v>94798</v>
      </c>
      <c r="AA16" s="84">
        <f t="shared" si="20"/>
        <v>0</v>
      </c>
      <c r="AB16" s="5">
        <f t="shared" si="17"/>
        <v>268</v>
      </c>
      <c r="AC16" s="5">
        <f t="shared" si="17"/>
        <v>671</v>
      </c>
      <c r="AD16" s="84">
        <f t="shared" si="33"/>
        <v>0</v>
      </c>
      <c r="AE16" s="5">
        <f t="shared" si="17"/>
        <v>155.80000000000001</v>
      </c>
      <c r="AF16" s="84">
        <f t="shared" si="21"/>
        <v>0</v>
      </c>
      <c r="AG16" s="5">
        <f t="shared" si="17"/>
        <v>1594.6</v>
      </c>
      <c r="AH16" s="84">
        <f t="shared" si="22"/>
        <v>0</v>
      </c>
      <c r="AI16" s="84">
        <f t="shared" si="23"/>
        <v>0</v>
      </c>
      <c r="AJ16" s="336">
        <f t="shared" si="24"/>
        <v>0</v>
      </c>
      <c r="AK16" s="337">
        <f t="shared" si="5"/>
        <v>0</v>
      </c>
      <c r="AL16" s="337">
        <f t="shared" si="25"/>
        <v>0</v>
      </c>
      <c r="AM16" s="337">
        <f>'General information '!D16</f>
        <v>0</v>
      </c>
      <c r="AN16" s="85">
        <f>'General information '!H16</f>
        <v>0</v>
      </c>
      <c r="AO16" s="85"/>
      <c r="AP16" s="85">
        <f>'General information '!J16</f>
        <v>0</v>
      </c>
      <c r="AQ16" s="82"/>
      <c r="AR16" s="285">
        <f t="shared" si="26"/>
        <v>43993</v>
      </c>
      <c r="AS16" s="438">
        <f t="shared" si="6"/>
        <v>0.9</v>
      </c>
      <c r="AT16" s="205">
        <f t="shared" si="6"/>
        <v>155</v>
      </c>
      <c r="AU16" s="439">
        <f t="shared" si="36"/>
        <v>1.1000000000000001</v>
      </c>
      <c r="AV16" s="205">
        <f t="shared" si="36"/>
        <v>114</v>
      </c>
      <c r="AW16" s="5">
        <v>2.9</v>
      </c>
      <c r="AX16" s="205">
        <f t="shared" ref="AX16" si="47">AX15</f>
        <v>138</v>
      </c>
      <c r="AY16" s="442">
        <f t="shared" si="7"/>
        <v>139.5</v>
      </c>
      <c r="AZ16" s="442">
        <f t="shared" si="28"/>
        <v>125.4</v>
      </c>
      <c r="BA16" s="442">
        <f t="shared" si="29"/>
        <v>400.2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7">
        <f t="shared" si="8"/>
        <v>0</v>
      </c>
      <c r="BG16" s="83">
        <f t="shared" si="9"/>
        <v>0</v>
      </c>
    </row>
    <row r="17" spans="1:61" ht="15.75" thickBot="1">
      <c r="A17" s="6">
        <f>ELEC!C14</f>
        <v>43994</v>
      </c>
      <c r="B17" s="5">
        <f t="shared" si="10"/>
        <v>108473</v>
      </c>
      <c r="C17" s="5">
        <f t="shared" si="11"/>
        <v>0</v>
      </c>
      <c r="D17" s="433">
        <f t="shared" si="12"/>
        <v>0</v>
      </c>
      <c r="E17" s="343">
        <f>SUM((C17*$E$4)+(7500/'EDl log'!$A$38))</f>
        <v>250</v>
      </c>
      <c r="F17" s="432"/>
      <c r="G17" s="5">
        <f t="shared" si="13"/>
        <v>598985</v>
      </c>
      <c r="H17" s="5">
        <f t="shared" si="14"/>
        <v>0</v>
      </c>
      <c r="I17" s="5">
        <f t="shared" si="0"/>
        <v>0</v>
      </c>
      <c r="J17" s="344">
        <f t="shared" si="1"/>
        <v>0</v>
      </c>
      <c r="K17" s="5">
        <f>'Swimming Pool quality check '!H17</f>
        <v>6212</v>
      </c>
      <c r="L17" s="84">
        <f t="shared" si="35"/>
        <v>0</v>
      </c>
      <c r="M17" s="424">
        <f t="shared" si="15"/>
        <v>457.44</v>
      </c>
      <c r="N17" s="535">
        <f t="shared" si="42"/>
        <v>0</v>
      </c>
      <c r="O17" s="424">
        <f t="shared" si="16"/>
        <v>529.52</v>
      </c>
      <c r="P17" s="535">
        <f t="shared" si="43"/>
        <v>0</v>
      </c>
      <c r="Q17" s="535">
        <f t="shared" si="44"/>
        <v>0</v>
      </c>
      <c r="R17" s="535"/>
      <c r="S17" s="535"/>
      <c r="T17" s="5">
        <f t="shared" si="17"/>
        <v>4832</v>
      </c>
      <c r="U17" s="5">
        <f t="shared" si="4"/>
        <v>0</v>
      </c>
      <c r="V17" s="5">
        <f t="shared" si="17"/>
        <v>407</v>
      </c>
      <c r="W17" s="334">
        <f t="shared" si="18"/>
        <v>0</v>
      </c>
      <c r="X17" s="5">
        <f t="shared" si="17"/>
        <v>143783</v>
      </c>
      <c r="Y17" s="334">
        <f t="shared" si="19"/>
        <v>0</v>
      </c>
      <c r="Z17" s="5">
        <f t="shared" si="17"/>
        <v>94798</v>
      </c>
      <c r="AA17" s="84">
        <f t="shared" si="20"/>
        <v>0</v>
      </c>
      <c r="AB17" s="5">
        <f t="shared" si="17"/>
        <v>268</v>
      </c>
      <c r="AC17" s="5">
        <f t="shared" si="17"/>
        <v>671</v>
      </c>
      <c r="AD17" s="84">
        <f t="shared" si="33"/>
        <v>0</v>
      </c>
      <c r="AE17" s="5">
        <f t="shared" si="17"/>
        <v>155.80000000000001</v>
      </c>
      <c r="AF17" s="84">
        <f t="shared" si="21"/>
        <v>0</v>
      </c>
      <c r="AG17" s="5">
        <f t="shared" si="17"/>
        <v>1594.6</v>
      </c>
      <c r="AH17" s="84">
        <f t="shared" si="22"/>
        <v>0</v>
      </c>
      <c r="AI17" s="84">
        <f t="shared" si="23"/>
        <v>0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5">
        <f t="shared" si="26"/>
        <v>43994</v>
      </c>
      <c r="AS17" s="438">
        <f t="shared" si="6"/>
        <v>0.9</v>
      </c>
      <c r="AT17" s="205">
        <f t="shared" si="6"/>
        <v>155</v>
      </c>
      <c r="AU17" s="439">
        <f t="shared" si="36"/>
        <v>1.1000000000000001</v>
      </c>
      <c r="AV17" s="205">
        <f t="shared" si="36"/>
        <v>114</v>
      </c>
      <c r="AW17" s="5">
        <v>2.9</v>
      </c>
      <c r="AX17" s="205">
        <f t="shared" ref="AX17" si="48">AX16</f>
        <v>138</v>
      </c>
      <c r="AY17" s="442">
        <f t="shared" si="7"/>
        <v>139.5</v>
      </c>
      <c r="AZ17" s="442">
        <f t="shared" si="28"/>
        <v>125.4</v>
      </c>
      <c r="BA17" s="442">
        <f t="shared" si="29"/>
        <v>400.2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log'!$A$38))</f>
        <v>250</v>
      </c>
      <c r="F18" s="432"/>
      <c r="G18" s="5">
        <f t="shared" si="13"/>
        <v>598985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6212</v>
      </c>
      <c r="L18" s="84">
        <f t="shared" si="35"/>
        <v>0</v>
      </c>
      <c r="M18" s="424">
        <f t="shared" si="15"/>
        <v>457.44</v>
      </c>
      <c r="N18" s="535">
        <f t="shared" si="42"/>
        <v>0</v>
      </c>
      <c r="O18" s="424">
        <f t="shared" si="16"/>
        <v>529.52</v>
      </c>
      <c r="P18" s="535">
        <f t="shared" si="43"/>
        <v>0</v>
      </c>
      <c r="Q18" s="535">
        <f t="shared" si="44"/>
        <v>0</v>
      </c>
      <c r="R18" s="535"/>
      <c r="S18" s="535"/>
      <c r="T18" s="5">
        <f t="shared" si="17"/>
        <v>4832</v>
      </c>
      <c r="U18" s="5">
        <f t="shared" si="4"/>
        <v>0</v>
      </c>
      <c r="V18" s="5">
        <f t="shared" si="17"/>
        <v>407</v>
      </c>
      <c r="W18" s="334">
        <f t="shared" si="18"/>
        <v>0</v>
      </c>
      <c r="X18" s="5">
        <f t="shared" si="17"/>
        <v>143783</v>
      </c>
      <c r="Y18" s="334">
        <f t="shared" si="19"/>
        <v>0</v>
      </c>
      <c r="Z18" s="5">
        <f t="shared" si="17"/>
        <v>94798</v>
      </c>
      <c r="AA18" s="84">
        <f t="shared" si="20"/>
        <v>0</v>
      </c>
      <c r="AB18" s="5">
        <f t="shared" si="17"/>
        <v>268</v>
      </c>
      <c r="AC18" s="5">
        <f t="shared" si="17"/>
        <v>671</v>
      </c>
      <c r="AD18" s="84">
        <f t="shared" si="33"/>
        <v>0</v>
      </c>
      <c r="AE18" s="5">
        <f t="shared" si="17"/>
        <v>155.80000000000001</v>
      </c>
      <c r="AF18" s="84">
        <f t="shared" si="21"/>
        <v>0</v>
      </c>
      <c r="AG18" s="5">
        <f t="shared" si="17"/>
        <v>1594.6</v>
      </c>
      <c r="AH18" s="84">
        <f t="shared" si="22"/>
        <v>0</v>
      </c>
      <c r="AI18" s="84">
        <f t="shared" si="23"/>
        <v>0</v>
      </c>
      <c r="AJ18" s="336">
        <f t="shared" si="24"/>
        <v>0</v>
      </c>
      <c r="AK18" s="337">
        <f t="shared" si="5"/>
        <v>0</v>
      </c>
      <c r="AL18" s="337">
        <f t="shared" si="25"/>
        <v>0</v>
      </c>
      <c r="AM18" s="337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155</v>
      </c>
      <c r="AU18" s="439">
        <f t="shared" si="36"/>
        <v>1.1000000000000001</v>
      </c>
      <c r="AV18" s="205">
        <f t="shared" si="36"/>
        <v>114</v>
      </c>
      <c r="AW18" s="5">
        <v>2.9</v>
      </c>
      <c r="AX18" s="205">
        <f t="shared" ref="AX18" si="49">AX17</f>
        <v>138</v>
      </c>
      <c r="AY18" s="442">
        <f t="shared" si="7"/>
        <v>139.5</v>
      </c>
      <c r="AZ18" s="442">
        <f t="shared" si="28"/>
        <v>125.4</v>
      </c>
      <c r="BA18" s="442">
        <f t="shared" si="29"/>
        <v>400.2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log'!$A$38))</f>
        <v>250</v>
      </c>
      <c r="F19" s="432"/>
      <c r="G19" s="5">
        <f t="shared" si="13"/>
        <v>598985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6212</v>
      </c>
      <c r="L19" s="84">
        <f t="shared" si="35"/>
        <v>0</v>
      </c>
      <c r="M19" s="424">
        <f t="shared" si="15"/>
        <v>457.44</v>
      </c>
      <c r="N19" s="535">
        <f t="shared" si="42"/>
        <v>0</v>
      </c>
      <c r="O19" s="424">
        <f t="shared" si="16"/>
        <v>529.52</v>
      </c>
      <c r="P19" s="535">
        <f t="shared" si="43"/>
        <v>0</v>
      </c>
      <c r="Q19" s="535">
        <f t="shared" si="44"/>
        <v>0</v>
      </c>
      <c r="R19" s="535"/>
      <c r="S19" s="535"/>
      <c r="T19" s="5">
        <f t="shared" si="17"/>
        <v>4832</v>
      </c>
      <c r="U19" s="5">
        <f t="shared" si="4"/>
        <v>0</v>
      </c>
      <c r="V19" s="5">
        <f t="shared" si="17"/>
        <v>407</v>
      </c>
      <c r="W19" s="334">
        <f t="shared" si="18"/>
        <v>0</v>
      </c>
      <c r="X19" s="5">
        <f t="shared" si="17"/>
        <v>143783</v>
      </c>
      <c r="Y19" s="334">
        <f t="shared" si="19"/>
        <v>0</v>
      </c>
      <c r="Z19" s="5">
        <f t="shared" si="17"/>
        <v>94798</v>
      </c>
      <c r="AA19" s="84">
        <f t="shared" si="20"/>
        <v>0</v>
      </c>
      <c r="AB19" s="5">
        <f t="shared" si="17"/>
        <v>268</v>
      </c>
      <c r="AC19" s="5">
        <f t="shared" si="17"/>
        <v>671</v>
      </c>
      <c r="AD19" s="84">
        <f t="shared" si="33"/>
        <v>0</v>
      </c>
      <c r="AE19" s="5">
        <f t="shared" si="17"/>
        <v>155.80000000000001</v>
      </c>
      <c r="AF19" s="84">
        <f t="shared" si="21"/>
        <v>0</v>
      </c>
      <c r="AG19" s="5">
        <f t="shared" si="17"/>
        <v>1594.6</v>
      </c>
      <c r="AH19" s="84">
        <f t="shared" si="22"/>
        <v>0</v>
      </c>
      <c r="AI19" s="84">
        <f t="shared" si="23"/>
        <v>0</v>
      </c>
      <c r="AJ19" s="336">
        <f t="shared" si="24"/>
        <v>0</v>
      </c>
      <c r="AK19" s="337">
        <f t="shared" si="5"/>
        <v>0</v>
      </c>
      <c r="AL19" s="337">
        <f t="shared" si="25"/>
        <v>0</v>
      </c>
      <c r="AM19" s="337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5">
        <f t="shared" si="26"/>
        <v>43996</v>
      </c>
      <c r="AS19" s="438">
        <f t="shared" si="6"/>
        <v>0.9</v>
      </c>
      <c r="AT19" s="205">
        <f t="shared" si="6"/>
        <v>155</v>
      </c>
      <c r="AU19" s="439">
        <f t="shared" si="36"/>
        <v>1.1000000000000001</v>
      </c>
      <c r="AV19" s="205">
        <f t="shared" si="36"/>
        <v>114</v>
      </c>
      <c r="AW19" s="5">
        <v>2.9</v>
      </c>
      <c r="AX19" s="205">
        <f t="shared" ref="AX19" si="50">AX18</f>
        <v>138</v>
      </c>
      <c r="AY19" s="442">
        <f t="shared" si="7"/>
        <v>139.5</v>
      </c>
      <c r="AZ19" s="442">
        <f t="shared" si="28"/>
        <v>125.4</v>
      </c>
      <c r="BA19" s="442">
        <f t="shared" si="29"/>
        <v>400.2</v>
      </c>
      <c r="BB19" s="21">
        <f t="shared" si="30"/>
        <v>0</v>
      </c>
      <c r="BC19" s="21">
        <f t="shared" si="31"/>
        <v>0</v>
      </c>
      <c r="BD19" s="21">
        <f t="shared" si="31"/>
        <v>0</v>
      </c>
      <c r="BE19" s="24">
        <f t="shared" si="32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log'!$A$38))</f>
        <v>250</v>
      </c>
      <c r="F20" s="432"/>
      <c r="G20" s="5">
        <f t="shared" si="13"/>
        <v>598985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6212</v>
      </c>
      <c r="L20" s="84">
        <f t="shared" si="35"/>
        <v>0</v>
      </c>
      <c r="M20" s="424">
        <f t="shared" si="15"/>
        <v>457.44</v>
      </c>
      <c r="N20" s="535">
        <f t="shared" si="42"/>
        <v>0</v>
      </c>
      <c r="O20" s="424">
        <f t="shared" si="16"/>
        <v>529.52</v>
      </c>
      <c r="P20" s="535">
        <f t="shared" si="43"/>
        <v>0</v>
      </c>
      <c r="Q20" s="535">
        <f t="shared" si="44"/>
        <v>0</v>
      </c>
      <c r="R20" s="535"/>
      <c r="S20" s="535"/>
      <c r="T20" s="5">
        <f t="shared" si="17"/>
        <v>4832</v>
      </c>
      <c r="U20" s="5">
        <f t="shared" si="4"/>
        <v>0</v>
      </c>
      <c r="V20" s="5">
        <f t="shared" si="17"/>
        <v>407</v>
      </c>
      <c r="W20" s="334">
        <f t="shared" si="18"/>
        <v>0</v>
      </c>
      <c r="X20" s="5">
        <f t="shared" si="17"/>
        <v>143783</v>
      </c>
      <c r="Y20" s="334">
        <f t="shared" si="19"/>
        <v>0</v>
      </c>
      <c r="Z20" s="5">
        <f t="shared" si="17"/>
        <v>94798</v>
      </c>
      <c r="AA20" s="84">
        <f t="shared" si="20"/>
        <v>0</v>
      </c>
      <c r="AB20" s="5">
        <f t="shared" si="17"/>
        <v>268</v>
      </c>
      <c r="AC20" s="5">
        <f t="shared" si="17"/>
        <v>671</v>
      </c>
      <c r="AD20" s="84">
        <f t="shared" si="33"/>
        <v>0</v>
      </c>
      <c r="AE20" s="5">
        <f t="shared" si="17"/>
        <v>155.80000000000001</v>
      </c>
      <c r="AF20" s="84">
        <f t="shared" si="21"/>
        <v>0</v>
      </c>
      <c r="AG20" s="5">
        <f t="shared" si="17"/>
        <v>1594.6</v>
      </c>
      <c r="AH20" s="84">
        <f t="shared" si="22"/>
        <v>0</v>
      </c>
      <c r="AI20" s="84">
        <f t="shared" si="23"/>
        <v>0</v>
      </c>
      <c r="AJ20" s="336">
        <f t="shared" si="24"/>
        <v>0</v>
      </c>
      <c r="AK20" s="337">
        <f t="shared" si="5"/>
        <v>0</v>
      </c>
      <c r="AL20" s="337">
        <f t="shared" si="25"/>
        <v>0</v>
      </c>
      <c r="AM20" s="337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5">
        <f t="shared" si="26"/>
        <v>43997</v>
      </c>
      <c r="AS20" s="438">
        <f t="shared" si="6"/>
        <v>0.9</v>
      </c>
      <c r="AT20" s="205">
        <f t="shared" si="6"/>
        <v>155</v>
      </c>
      <c r="AU20" s="439">
        <f t="shared" si="36"/>
        <v>1.1000000000000001</v>
      </c>
      <c r="AV20" s="205">
        <f t="shared" si="36"/>
        <v>114</v>
      </c>
      <c r="AW20" s="5">
        <v>2.9</v>
      </c>
      <c r="AX20" s="205">
        <f t="shared" ref="AX20" si="51">AX19</f>
        <v>138</v>
      </c>
      <c r="AY20" s="442">
        <f t="shared" si="7"/>
        <v>139.5</v>
      </c>
      <c r="AZ20" s="442">
        <f t="shared" si="28"/>
        <v>125.4</v>
      </c>
      <c r="BA20" s="442">
        <f t="shared" si="29"/>
        <v>400.2</v>
      </c>
      <c r="BB20" s="21">
        <f t="shared" si="30"/>
        <v>0</v>
      </c>
      <c r="BC20" s="21">
        <f t="shared" si="31"/>
        <v>0</v>
      </c>
      <c r="BD20" s="21">
        <f t="shared" si="31"/>
        <v>0</v>
      </c>
      <c r="BE20" s="24">
        <f t="shared" si="32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log'!$A$38))</f>
        <v>250</v>
      </c>
      <c r="F21" s="337"/>
      <c r="G21" s="5">
        <f t="shared" si="13"/>
        <v>598985</v>
      </c>
      <c r="H21" s="5">
        <f t="shared" si="14"/>
        <v>0</v>
      </c>
      <c r="I21" s="5">
        <f t="shared" si="0"/>
        <v>0</v>
      </c>
      <c r="J21" s="344">
        <f t="shared" si="1"/>
        <v>0</v>
      </c>
      <c r="K21" s="5">
        <f>'Swimming Pool quality check '!H21</f>
        <v>6212</v>
      </c>
      <c r="L21" s="84">
        <f t="shared" si="35"/>
        <v>0</v>
      </c>
      <c r="M21" s="424">
        <f t="shared" si="15"/>
        <v>457.44</v>
      </c>
      <c r="N21" s="535">
        <f t="shared" si="42"/>
        <v>0</v>
      </c>
      <c r="O21" s="424">
        <f t="shared" si="16"/>
        <v>529.52</v>
      </c>
      <c r="P21" s="535">
        <f t="shared" si="43"/>
        <v>0</v>
      </c>
      <c r="Q21" s="535">
        <f t="shared" si="44"/>
        <v>0</v>
      </c>
      <c r="R21" s="535"/>
      <c r="S21" s="535"/>
      <c r="T21" s="5">
        <f t="shared" si="17"/>
        <v>4832</v>
      </c>
      <c r="U21" s="5">
        <f t="shared" si="4"/>
        <v>0</v>
      </c>
      <c r="V21" s="5">
        <f t="shared" si="17"/>
        <v>407</v>
      </c>
      <c r="W21" s="334">
        <f t="shared" si="18"/>
        <v>0</v>
      </c>
      <c r="X21" s="5">
        <f t="shared" si="17"/>
        <v>143783</v>
      </c>
      <c r="Y21" s="334">
        <f>SUM(X21-X20)</f>
        <v>0</v>
      </c>
      <c r="Z21" s="5">
        <f t="shared" si="17"/>
        <v>94798</v>
      </c>
      <c r="AA21" s="84">
        <f t="shared" si="20"/>
        <v>0</v>
      </c>
      <c r="AB21" s="5">
        <f t="shared" si="17"/>
        <v>268</v>
      </c>
      <c r="AC21" s="5">
        <f t="shared" si="17"/>
        <v>671</v>
      </c>
      <c r="AD21" s="84">
        <f t="shared" si="33"/>
        <v>0</v>
      </c>
      <c r="AE21" s="5">
        <f t="shared" si="17"/>
        <v>155.80000000000001</v>
      </c>
      <c r="AF21" s="84">
        <f t="shared" si="21"/>
        <v>0</v>
      </c>
      <c r="AG21" s="5">
        <f t="shared" si="17"/>
        <v>1594.6</v>
      </c>
      <c r="AH21" s="84">
        <f t="shared" si="22"/>
        <v>0</v>
      </c>
      <c r="AI21" s="84">
        <f t="shared" si="23"/>
        <v>0</v>
      </c>
      <c r="AJ21" s="336">
        <f t="shared" si="24"/>
        <v>0</v>
      </c>
      <c r="AK21" s="337">
        <f t="shared" si="5"/>
        <v>0</v>
      </c>
      <c r="AL21" s="337">
        <f t="shared" si="25"/>
        <v>0</v>
      </c>
      <c r="AM21" s="337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5">
        <f t="shared" si="26"/>
        <v>43998</v>
      </c>
      <c r="AS21" s="438">
        <f t="shared" si="6"/>
        <v>0.9</v>
      </c>
      <c r="AT21" s="205">
        <f t="shared" si="6"/>
        <v>155</v>
      </c>
      <c r="AU21" s="439">
        <f t="shared" si="36"/>
        <v>1.1000000000000001</v>
      </c>
      <c r="AV21" s="205">
        <f t="shared" si="36"/>
        <v>114</v>
      </c>
      <c r="AW21" s="5">
        <v>2.9</v>
      </c>
      <c r="AX21" s="205">
        <f t="shared" ref="AX21" si="52">AX20</f>
        <v>138</v>
      </c>
      <c r="AY21" s="442">
        <f t="shared" si="7"/>
        <v>139.5</v>
      </c>
      <c r="AZ21" s="442">
        <f t="shared" si="28"/>
        <v>125.4</v>
      </c>
      <c r="BA21" s="442">
        <f t="shared" si="29"/>
        <v>400.2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log'!$A$38))</f>
        <v>250</v>
      </c>
      <c r="F22" s="337"/>
      <c r="G22" s="5">
        <f t="shared" si="13"/>
        <v>598985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6212</v>
      </c>
      <c r="L22" s="84">
        <f t="shared" si="35"/>
        <v>0</v>
      </c>
      <c r="M22" s="424">
        <f t="shared" si="15"/>
        <v>457.44</v>
      </c>
      <c r="N22" s="535">
        <f t="shared" si="42"/>
        <v>0</v>
      </c>
      <c r="O22" s="424">
        <f t="shared" si="16"/>
        <v>529.52</v>
      </c>
      <c r="P22" s="535">
        <f t="shared" si="43"/>
        <v>0</v>
      </c>
      <c r="Q22" s="535">
        <f t="shared" si="44"/>
        <v>0</v>
      </c>
      <c r="R22" s="535"/>
      <c r="S22" s="535"/>
      <c r="T22" s="5">
        <f t="shared" si="17"/>
        <v>4832</v>
      </c>
      <c r="U22" s="5">
        <f t="shared" si="4"/>
        <v>0</v>
      </c>
      <c r="V22" s="5">
        <f t="shared" si="17"/>
        <v>407</v>
      </c>
      <c r="W22" s="334">
        <f t="shared" si="18"/>
        <v>0</v>
      </c>
      <c r="X22" s="5">
        <f t="shared" si="17"/>
        <v>143783</v>
      </c>
      <c r="Y22" s="334">
        <f t="shared" si="19"/>
        <v>0</v>
      </c>
      <c r="Z22" s="5">
        <f t="shared" si="17"/>
        <v>94798</v>
      </c>
      <c r="AA22" s="84">
        <f t="shared" si="20"/>
        <v>0</v>
      </c>
      <c r="AB22" s="5">
        <f t="shared" si="17"/>
        <v>268</v>
      </c>
      <c r="AC22" s="5">
        <f t="shared" si="17"/>
        <v>671</v>
      </c>
      <c r="AD22" s="84">
        <f t="shared" si="33"/>
        <v>0</v>
      </c>
      <c r="AE22" s="5">
        <f t="shared" si="17"/>
        <v>155.80000000000001</v>
      </c>
      <c r="AF22" s="84">
        <f t="shared" si="21"/>
        <v>0</v>
      </c>
      <c r="AG22" s="5">
        <f t="shared" si="17"/>
        <v>1594.6</v>
      </c>
      <c r="AH22" s="84">
        <f t="shared" si="22"/>
        <v>0</v>
      </c>
      <c r="AI22" s="84">
        <f t="shared" si="23"/>
        <v>0</v>
      </c>
      <c r="AJ22" s="336">
        <f t="shared" si="24"/>
        <v>0</v>
      </c>
      <c r="AK22" s="337">
        <f t="shared" si="5"/>
        <v>0</v>
      </c>
      <c r="AL22" s="337">
        <f t="shared" si="25"/>
        <v>0</v>
      </c>
      <c r="AM22" s="337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5">
        <f t="shared" si="26"/>
        <v>43999</v>
      </c>
      <c r="AS22" s="438">
        <f t="shared" ref="AS22:AT35" si="53">AS21</f>
        <v>0.9</v>
      </c>
      <c r="AT22" s="205">
        <f t="shared" si="53"/>
        <v>155</v>
      </c>
      <c r="AU22" s="439">
        <f t="shared" si="36"/>
        <v>1.1000000000000001</v>
      </c>
      <c r="AV22" s="205">
        <f t="shared" si="36"/>
        <v>114</v>
      </c>
      <c r="AW22" s="5">
        <v>2.9</v>
      </c>
      <c r="AX22" s="205">
        <f t="shared" ref="AX22" si="54">AX21</f>
        <v>138</v>
      </c>
      <c r="AY22" s="442">
        <f t="shared" si="7"/>
        <v>139.5</v>
      </c>
      <c r="AZ22" s="442">
        <f t="shared" si="28"/>
        <v>125.4</v>
      </c>
      <c r="BA22" s="442">
        <f t="shared" si="29"/>
        <v>400.2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44000</v>
      </c>
      <c r="B23" s="5">
        <f t="shared" si="10"/>
        <v>108473</v>
      </c>
      <c r="C23" s="5">
        <f t="shared" si="11"/>
        <v>0</v>
      </c>
      <c r="D23" s="433">
        <f t="shared" si="12"/>
        <v>0</v>
      </c>
      <c r="E23" s="343">
        <f>SUM((C23*$E$4)+(7500/'EDl log'!$A$38))</f>
        <v>250</v>
      </c>
      <c r="F23" s="337"/>
      <c r="G23" s="5">
        <f t="shared" si="13"/>
        <v>598985</v>
      </c>
      <c r="H23" s="5">
        <f t="shared" si="14"/>
        <v>0</v>
      </c>
      <c r="I23" s="5">
        <f t="shared" si="0"/>
        <v>0</v>
      </c>
      <c r="J23" s="344">
        <f t="shared" si="1"/>
        <v>0</v>
      </c>
      <c r="K23" s="5">
        <f>'Swimming Pool quality check '!H23</f>
        <v>6212</v>
      </c>
      <c r="L23" s="282">
        <f t="shared" si="35"/>
        <v>0</v>
      </c>
      <c r="M23" s="424">
        <f t="shared" si="15"/>
        <v>457.44</v>
      </c>
      <c r="N23" s="535">
        <f t="shared" si="42"/>
        <v>0</v>
      </c>
      <c r="O23" s="424">
        <f t="shared" si="16"/>
        <v>529.52</v>
      </c>
      <c r="P23" s="535">
        <f t="shared" si="43"/>
        <v>0</v>
      </c>
      <c r="Q23" s="535">
        <f t="shared" si="44"/>
        <v>0</v>
      </c>
      <c r="R23" s="537"/>
      <c r="S23" s="537"/>
      <c r="T23" s="5">
        <f t="shared" si="17"/>
        <v>4832</v>
      </c>
      <c r="U23" s="5">
        <f t="shared" si="4"/>
        <v>0</v>
      </c>
      <c r="V23" s="5">
        <f t="shared" si="17"/>
        <v>407</v>
      </c>
      <c r="W23" s="334">
        <f t="shared" si="18"/>
        <v>0</v>
      </c>
      <c r="X23" s="5">
        <f t="shared" si="17"/>
        <v>143783</v>
      </c>
      <c r="Y23" s="334">
        <f t="shared" si="19"/>
        <v>0</v>
      </c>
      <c r="Z23" s="5">
        <f t="shared" si="17"/>
        <v>94798</v>
      </c>
      <c r="AA23" s="84">
        <f t="shared" si="20"/>
        <v>0</v>
      </c>
      <c r="AB23" s="5">
        <f t="shared" si="17"/>
        <v>268</v>
      </c>
      <c r="AC23" s="5">
        <f t="shared" si="17"/>
        <v>671</v>
      </c>
      <c r="AD23" s="84">
        <f t="shared" si="33"/>
        <v>0</v>
      </c>
      <c r="AE23" s="5">
        <f t="shared" si="17"/>
        <v>155.80000000000001</v>
      </c>
      <c r="AF23" s="84">
        <f t="shared" si="21"/>
        <v>0</v>
      </c>
      <c r="AG23" s="5">
        <f t="shared" si="17"/>
        <v>1594.6</v>
      </c>
      <c r="AH23" s="84">
        <f t="shared" si="22"/>
        <v>0</v>
      </c>
      <c r="AI23" s="84">
        <f t="shared" si="23"/>
        <v>0</v>
      </c>
      <c r="AJ23" s="336">
        <f t="shared" si="24"/>
        <v>0</v>
      </c>
      <c r="AK23" s="337">
        <f t="shared" si="5"/>
        <v>0</v>
      </c>
      <c r="AL23" s="337">
        <f t="shared" si="25"/>
        <v>0</v>
      </c>
      <c r="AM23" s="337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5">
        <f t="shared" si="26"/>
        <v>44000</v>
      </c>
      <c r="AS23" s="438">
        <f t="shared" si="53"/>
        <v>0.9</v>
      </c>
      <c r="AT23" s="205">
        <f t="shared" si="53"/>
        <v>155</v>
      </c>
      <c r="AU23" s="439">
        <f t="shared" si="36"/>
        <v>1.1000000000000001</v>
      </c>
      <c r="AV23" s="205">
        <f t="shared" si="36"/>
        <v>114</v>
      </c>
      <c r="AW23" s="5">
        <v>2.9</v>
      </c>
      <c r="AX23" s="205">
        <f t="shared" ref="AX23" si="55">AX22</f>
        <v>138</v>
      </c>
      <c r="AY23" s="442">
        <f t="shared" si="7"/>
        <v>139.5</v>
      </c>
      <c r="AZ23" s="442">
        <f t="shared" si="28"/>
        <v>125.4</v>
      </c>
      <c r="BA23" s="442">
        <f t="shared" si="29"/>
        <v>400.2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log'!$A$38))</f>
        <v>250</v>
      </c>
      <c r="F24" s="337"/>
      <c r="G24" s="5">
        <f t="shared" si="13"/>
        <v>598985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6212</v>
      </c>
      <c r="L24" s="282">
        <f t="shared" si="35"/>
        <v>0</v>
      </c>
      <c r="M24" s="424">
        <f t="shared" si="15"/>
        <v>457.44</v>
      </c>
      <c r="N24" s="535">
        <f t="shared" si="42"/>
        <v>0</v>
      </c>
      <c r="O24" s="424">
        <f t="shared" si="16"/>
        <v>529.52</v>
      </c>
      <c r="P24" s="535">
        <f t="shared" si="43"/>
        <v>0</v>
      </c>
      <c r="Q24" s="535">
        <f t="shared" si="44"/>
        <v>0</v>
      </c>
      <c r="R24" s="537"/>
      <c r="S24" s="537"/>
      <c r="T24" s="5">
        <f t="shared" si="17"/>
        <v>4832</v>
      </c>
      <c r="U24" s="5">
        <f t="shared" si="4"/>
        <v>0</v>
      </c>
      <c r="V24" s="5">
        <f t="shared" si="17"/>
        <v>407</v>
      </c>
      <c r="W24" s="334">
        <f t="shared" si="18"/>
        <v>0</v>
      </c>
      <c r="X24" s="5">
        <f t="shared" si="17"/>
        <v>143783</v>
      </c>
      <c r="Y24" s="334">
        <f t="shared" si="19"/>
        <v>0</v>
      </c>
      <c r="Z24" s="5">
        <f t="shared" si="17"/>
        <v>94798</v>
      </c>
      <c r="AA24" s="84">
        <f t="shared" si="20"/>
        <v>0</v>
      </c>
      <c r="AB24" s="5">
        <f t="shared" si="17"/>
        <v>268</v>
      </c>
      <c r="AC24" s="5">
        <f t="shared" si="17"/>
        <v>671</v>
      </c>
      <c r="AD24" s="84">
        <f t="shared" si="33"/>
        <v>0</v>
      </c>
      <c r="AE24" s="5">
        <f t="shared" si="17"/>
        <v>155.80000000000001</v>
      </c>
      <c r="AF24" s="84">
        <f t="shared" si="21"/>
        <v>0</v>
      </c>
      <c r="AG24" s="5">
        <f t="shared" si="17"/>
        <v>1594.6</v>
      </c>
      <c r="AH24" s="84">
        <f t="shared" si="22"/>
        <v>0</v>
      </c>
      <c r="AI24" s="84">
        <f t="shared" si="23"/>
        <v>0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5">
        <f t="shared" si="26"/>
        <v>44001</v>
      </c>
      <c r="AS24" s="438">
        <f t="shared" si="53"/>
        <v>0.9</v>
      </c>
      <c r="AT24" s="205">
        <f t="shared" si="53"/>
        <v>155</v>
      </c>
      <c r="AU24" s="439">
        <f t="shared" si="36"/>
        <v>1.1000000000000001</v>
      </c>
      <c r="AV24" s="205">
        <f t="shared" si="36"/>
        <v>114</v>
      </c>
      <c r="AW24" s="5">
        <v>2.9</v>
      </c>
      <c r="AX24" s="205">
        <f t="shared" ref="AX24" si="56">AX23</f>
        <v>138</v>
      </c>
      <c r="AY24" s="442">
        <f t="shared" si="7"/>
        <v>139.5</v>
      </c>
      <c r="AZ24" s="442">
        <f t="shared" si="28"/>
        <v>125.4</v>
      </c>
      <c r="BA24" s="442">
        <f t="shared" si="29"/>
        <v>400.2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log'!$A$38))</f>
        <v>250</v>
      </c>
      <c r="F25" s="337"/>
      <c r="G25" s="5">
        <f t="shared" si="13"/>
        <v>598985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6212</v>
      </c>
      <c r="L25" s="282">
        <f t="shared" si="35"/>
        <v>0</v>
      </c>
      <c r="M25" s="424">
        <f t="shared" si="15"/>
        <v>457.44</v>
      </c>
      <c r="N25" s="535">
        <f t="shared" si="42"/>
        <v>0</v>
      </c>
      <c r="O25" s="424">
        <f t="shared" si="16"/>
        <v>529.52</v>
      </c>
      <c r="P25" s="535">
        <f t="shared" si="43"/>
        <v>0</v>
      </c>
      <c r="Q25" s="535">
        <f t="shared" si="44"/>
        <v>0</v>
      </c>
      <c r="R25" s="537"/>
      <c r="S25" s="537"/>
      <c r="T25" s="5">
        <f t="shared" si="17"/>
        <v>4832</v>
      </c>
      <c r="U25" s="5">
        <f t="shared" si="4"/>
        <v>0</v>
      </c>
      <c r="V25" s="5">
        <f t="shared" si="17"/>
        <v>407</v>
      </c>
      <c r="W25" s="334">
        <f t="shared" si="18"/>
        <v>0</v>
      </c>
      <c r="X25" s="5">
        <f t="shared" si="17"/>
        <v>143783</v>
      </c>
      <c r="Y25" s="334">
        <f t="shared" si="19"/>
        <v>0</v>
      </c>
      <c r="Z25" s="5">
        <f t="shared" si="17"/>
        <v>94798</v>
      </c>
      <c r="AA25" s="84">
        <f t="shared" si="20"/>
        <v>0</v>
      </c>
      <c r="AB25" s="5">
        <f t="shared" si="17"/>
        <v>268</v>
      </c>
      <c r="AC25" s="5">
        <f t="shared" si="17"/>
        <v>671</v>
      </c>
      <c r="AD25" s="84">
        <f t="shared" si="33"/>
        <v>0</v>
      </c>
      <c r="AE25" s="5">
        <f t="shared" si="17"/>
        <v>155.80000000000001</v>
      </c>
      <c r="AF25" s="84">
        <f t="shared" si="21"/>
        <v>0</v>
      </c>
      <c r="AG25" s="5">
        <f t="shared" si="17"/>
        <v>1594.6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53"/>
        <v>0.9</v>
      </c>
      <c r="AT25" s="205">
        <f t="shared" si="53"/>
        <v>155</v>
      </c>
      <c r="AU25" s="439">
        <f t="shared" si="36"/>
        <v>1.1000000000000001</v>
      </c>
      <c r="AV25" s="205">
        <f t="shared" si="36"/>
        <v>114</v>
      </c>
      <c r="AW25" s="5">
        <v>2.9</v>
      </c>
      <c r="AX25" s="205">
        <f t="shared" ref="AX25" si="57">AX24</f>
        <v>138</v>
      </c>
      <c r="AY25" s="442">
        <f t="shared" si="7"/>
        <v>139.5</v>
      </c>
      <c r="AZ25" s="442">
        <f t="shared" si="28"/>
        <v>125.4</v>
      </c>
      <c r="BA25" s="442">
        <f t="shared" si="29"/>
        <v>400.2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log'!$A$38))</f>
        <v>250</v>
      </c>
      <c r="F26" s="337"/>
      <c r="G26" s="5">
        <f t="shared" si="13"/>
        <v>598985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6212</v>
      </c>
      <c r="L26" s="282">
        <f t="shared" si="35"/>
        <v>0</v>
      </c>
      <c r="M26" s="424">
        <f t="shared" si="15"/>
        <v>457.44</v>
      </c>
      <c r="N26" s="535">
        <f t="shared" si="42"/>
        <v>0</v>
      </c>
      <c r="O26" s="424">
        <f t="shared" si="16"/>
        <v>529.52</v>
      </c>
      <c r="P26" s="535">
        <f t="shared" si="43"/>
        <v>0</v>
      </c>
      <c r="Q26" s="535">
        <f t="shared" si="44"/>
        <v>0</v>
      </c>
      <c r="R26" s="537"/>
      <c r="S26" s="537"/>
      <c r="T26" s="5">
        <f t="shared" si="17"/>
        <v>4832</v>
      </c>
      <c r="U26" s="5">
        <f t="shared" si="4"/>
        <v>0</v>
      </c>
      <c r="V26" s="5">
        <f t="shared" si="17"/>
        <v>407</v>
      </c>
      <c r="W26" s="334">
        <f t="shared" si="18"/>
        <v>0</v>
      </c>
      <c r="X26" s="5">
        <f t="shared" si="17"/>
        <v>143783</v>
      </c>
      <c r="Y26" s="334">
        <f t="shared" si="19"/>
        <v>0</v>
      </c>
      <c r="Z26" s="5">
        <f t="shared" si="17"/>
        <v>94798</v>
      </c>
      <c r="AA26" s="84">
        <f t="shared" si="20"/>
        <v>0</v>
      </c>
      <c r="AB26" s="5">
        <f t="shared" si="17"/>
        <v>268</v>
      </c>
      <c r="AC26" s="5">
        <f t="shared" si="17"/>
        <v>671</v>
      </c>
      <c r="AD26" s="84">
        <f t="shared" si="33"/>
        <v>0</v>
      </c>
      <c r="AE26" s="5">
        <f t="shared" si="17"/>
        <v>155.80000000000001</v>
      </c>
      <c r="AF26" s="84">
        <f t="shared" si="21"/>
        <v>0</v>
      </c>
      <c r="AG26" s="5">
        <f t="shared" si="17"/>
        <v>1594.6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53"/>
        <v>0.9</v>
      </c>
      <c r="AT26" s="205">
        <f t="shared" si="53"/>
        <v>155</v>
      </c>
      <c r="AU26" s="439">
        <f t="shared" si="36"/>
        <v>1.1000000000000001</v>
      </c>
      <c r="AV26" s="205">
        <f t="shared" si="36"/>
        <v>114</v>
      </c>
      <c r="AW26" s="5">
        <v>2.9</v>
      </c>
      <c r="AX26" s="205">
        <f t="shared" ref="AX26" si="58">AX25</f>
        <v>138</v>
      </c>
      <c r="AY26" s="442">
        <f t="shared" si="7"/>
        <v>139.5</v>
      </c>
      <c r="AZ26" s="442">
        <f t="shared" si="28"/>
        <v>125.4</v>
      </c>
      <c r="BA26" s="442">
        <f t="shared" si="29"/>
        <v>400.2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log'!$A$38))</f>
        <v>250</v>
      </c>
      <c r="F27" s="337"/>
      <c r="G27" s="5">
        <f t="shared" si="13"/>
        <v>598985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6212</v>
      </c>
      <c r="L27" s="282">
        <f t="shared" si="35"/>
        <v>0</v>
      </c>
      <c r="M27" s="424">
        <f t="shared" si="15"/>
        <v>457.44</v>
      </c>
      <c r="N27" s="535">
        <f t="shared" si="42"/>
        <v>0</v>
      </c>
      <c r="O27" s="424">
        <f t="shared" si="16"/>
        <v>529.52</v>
      </c>
      <c r="P27" s="535">
        <f t="shared" si="43"/>
        <v>0</v>
      </c>
      <c r="Q27" s="535">
        <f t="shared" si="44"/>
        <v>0</v>
      </c>
      <c r="R27" s="537"/>
      <c r="S27" s="537"/>
      <c r="T27" s="5">
        <f t="shared" si="17"/>
        <v>4832</v>
      </c>
      <c r="U27" s="5">
        <f t="shared" si="4"/>
        <v>0</v>
      </c>
      <c r="V27" s="5">
        <f t="shared" si="17"/>
        <v>407</v>
      </c>
      <c r="W27" s="334">
        <f t="shared" si="18"/>
        <v>0</v>
      </c>
      <c r="X27" s="5">
        <f t="shared" si="17"/>
        <v>143783</v>
      </c>
      <c r="Y27" s="334">
        <f>SUM(X27-X26)</f>
        <v>0</v>
      </c>
      <c r="Z27" s="5">
        <f t="shared" si="17"/>
        <v>94798</v>
      </c>
      <c r="AA27" s="84">
        <f t="shared" si="20"/>
        <v>0</v>
      </c>
      <c r="AB27" s="5">
        <f t="shared" si="17"/>
        <v>268</v>
      </c>
      <c r="AC27" s="5">
        <f t="shared" si="17"/>
        <v>671</v>
      </c>
      <c r="AD27" s="84">
        <f t="shared" si="33"/>
        <v>0</v>
      </c>
      <c r="AE27" s="5">
        <f t="shared" si="17"/>
        <v>155.80000000000001</v>
      </c>
      <c r="AF27" s="84">
        <f t="shared" si="21"/>
        <v>0</v>
      </c>
      <c r="AG27" s="5">
        <f t="shared" si="17"/>
        <v>1594.6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53"/>
        <v>0.9</v>
      </c>
      <c r="AT27" s="205">
        <f t="shared" si="53"/>
        <v>155</v>
      </c>
      <c r="AU27" s="439">
        <f t="shared" si="36"/>
        <v>1.1000000000000001</v>
      </c>
      <c r="AV27" s="205">
        <f t="shared" si="36"/>
        <v>114</v>
      </c>
      <c r="AW27" s="5">
        <v>2.9</v>
      </c>
      <c r="AX27" s="205">
        <f t="shared" ref="AX27" si="59">AX26</f>
        <v>138</v>
      </c>
      <c r="AY27" s="442">
        <f t="shared" si="7"/>
        <v>139.5</v>
      </c>
      <c r="AZ27" s="442">
        <f t="shared" si="28"/>
        <v>125.4</v>
      </c>
      <c r="BA27" s="442">
        <f t="shared" si="29"/>
        <v>400.2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log'!$A$38))</f>
        <v>250</v>
      </c>
      <c r="F28" s="337"/>
      <c r="G28" s="5">
        <f t="shared" si="13"/>
        <v>598985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6212</v>
      </c>
      <c r="L28" s="282">
        <f t="shared" si="35"/>
        <v>0</v>
      </c>
      <c r="M28" s="424">
        <f t="shared" si="15"/>
        <v>457.44</v>
      </c>
      <c r="N28" s="535">
        <f t="shared" si="42"/>
        <v>0</v>
      </c>
      <c r="O28" s="424">
        <f t="shared" si="16"/>
        <v>529.52</v>
      </c>
      <c r="P28" s="535">
        <f t="shared" si="43"/>
        <v>0</v>
      </c>
      <c r="Q28" s="535">
        <f t="shared" si="44"/>
        <v>0</v>
      </c>
      <c r="R28" s="537"/>
      <c r="S28" s="537"/>
      <c r="T28" s="5">
        <f t="shared" si="17"/>
        <v>4832</v>
      </c>
      <c r="U28" s="5">
        <f t="shared" si="4"/>
        <v>0</v>
      </c>
      <c r="V28" s="5">
        <f t="shared" si="17"/>
        <v>407</v>
      </c>
      <c r="W28" s="334">
        <f t="shared" si="18"/>
        <v>0</v>
      </c>
      <c r="X28" s="5">
        <f t="shared" si="17"/>
        <v>143783</v>
      </c>
      <c r="Y28" s="334">
        <f t="shared" si="19"/>
        <v>0</v>
      </c>
      <c r="Z28" s="5">
        <f t="shared" si="17"/>
        <v>94798</v>
      </c>
      <c r="AA28" s="84">
        <f t="shared" si="20"/>
        <v>0</v>
      </c>
      <c r="AB28" s="5">
        <f t="shared" si="17"/>
        <v>268</v>
      </c>
      <c r="AC28" s="5">
        <f t="shared" si="17"/>
        <v>671</v>
      </c>
      <c r="AD28" s="84">
        <f t="shared" si="33"/>
        <v>0</v>
      </c>
      <c r="AE28" s="5">
        <f t="shared" si="17"/>
        <v>155.80000000000001</v>
      </c>
      <c r="AF28" s="84">
        <f t="shared" si="21"/>
        <v>0</v>
      </c>
      <c r="AG28" s="5">
        <f t="shared" si="17"/>
        <v>1594.6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53"/>
        <v>0.9</v>
      </c>
      <c r="AT28" s="205">
        <f t="shared" si="53"/>
        <v>155</v>
      </c>
      <c r="AU28" s="439">
        <f t="shared" si="36"/>
        <v>1.1000000000000001</v>
      </c>
      <c r="AV28" s="205">
        <f t="shared" si="36"/>
        <v>114</v>
      </c>
      <c r="AW28" s="5">
        <v>2.9</v>
      </c>
      <c r="AX28" s="205">
        <f t="shared" ref="AX28" si="60">AX27</f>
        <v>138</v>
      </c>
      <c r="AY28" s="442">
        <f t="shared" si="7"/>
        <v>139.5</v>
      </c>
      <c r="AZ28" s="442">
        <f t="shared" si="28"/>
        <v>125.4</v>
      </c>
      <c r="BA28" s="442">
        <f t="shared" si="29"/>
        <v>400.2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log'!$A$38))</f>
        <v>250</v>
      </c>
      <c r="F29" s="337"/>
      <c r="G29" s="5">
        <f t="shared" si="13"/>
        <v>598985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6212</v>
      </c>
      <c r="L29" s="282">
        <f t="shared" si="35"/>
        <v>0</v>
      </c>
      <c r="M29" s="424">
        <f t="shared" si="15"/>
        <v>457.44</v>
      </c>
      <c r="N29" s="535">
        <f t="shared" si="42"/>
        <v>0</v>
      </c>
      <c r="O29" s="424">
        <f t="shared" si="16"/>
        <v>529.52</v>
      </c>
      <c r="P29" s="535">
        <f t="shared" si="43"/>
        <v>0</v>
      </c>
      <c r="Q29" s="535">
        <f t="shared" si="44"/>
        <v>0</v>
      </c>
      <c r="R29" s="537"/>
      <c r="S29" s="537"/>
      <c r="T29" s="5">
        <f t="shared" si="17"/>
        <v>4832</v>
      </c>
      <c r="U29" s="5">
        <f t="shared" si="4"/>
        <v>0</v>
      </c>
      <c r="V29" s="5">
        <f t="shared" si="17"/>
        <v>407</v>
      </c>
      <c r="W29" s="334">
        <f t="shared" si="18"/>
        <v>0</v>
      </c>
      <c r="X29" s="5">
        <f t="shared" si="17"/>
        <v>143783</v>
      </c>
      <c r="Y29" s="334">
        <f t="shared" si="19"/>
        <v>0</v>
      </c>
      <c r="Z29" s="5">
        <f t="shared" si="17"/>
        <v>94798</v>
      </c>
      <c r="AA29" s="84">
        <f t="shared" si="20"/>
        <v>0</v>
      </c>
      <c r="AB29" s="5">
        <f t="shared" si="17"/>
        <v>268</v>
      </c>
      <c r="AC29" s="5">
        <f t="shared" si="17"/>
        <v>671</v>
      </c>
      <c r="AD29" s="84">
        <f t="shared" si="33"/>
        <v>0</v>
      </c>
      <c r="AE29" s="5">
        <f t="shared" si="17"/>
        <v>155.80000000000001</v>
      </c>
      <c r="AF29" s="84">
        <f t="shared" si="21"/>
        <v>0</v>
      </c>
      <c r="AG29" s="5">
        <f t="shared" si="17"/>
        <v>1594.6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53"/>
        <v>0.9</v>
      </c>
      <c r="AT29" s="205">
        <f t="shared" si="53"/>
        <v>155</v>
      </c>
      <c r="AU29" s="439">
        <f t="shared" si="36"/>
        <v>1.1000000000000001</v>
      </c>
      <c r="AV29" s="205">
        <f t="shared" si="36"/>
        <v>114</v>
      </c>
      <c r="AW29" s="5">
        <v>2.9</v>
      </c>
      <c r="AX29" s="205">
        <f t="shared" ref="AX29" si="61">AX28</f>
        <v>138</v>
      </c>
      <c r="AY29" s="442">
        <f t="shared" si="7"/>
        <v>139.5</v>
      </c>
      <c r="AZ29" s="442">
        <f t="shared" si="28"/>
        <v>125.4</v>
      </c>
      <c r="BA29" s="442">
        <f t="shared" si="29"/>
        <v>400.2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log'!$A$38))</f>
        <v>250</v>
      </c>
      <c r="F30" s="337"/>
      <c r="G30" s="5">
        <f t="shared" si="13"/>
        <v>598985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6212</v>
      </c>
      <c r="L30" s="282">
        <f t="shared" si="35"/>
        <v>0</v>
      </c>
      <c r="M30" s="424">
        <f t="shared" si="15"/>
        <v>457.44</v>
      </c>
      <c r="N30" s="535">
        <f t="shared" si="42"/>
        <v>0</v>
      </c>
      <c r="O30" s="424">
        <f t="shared" si="16"/>
        <v>529.52</v>
      </c>
      <c r="P30" s="535">
        <f t="shared" si="43"/>
        <v>0</v>
      </c>
      <c r="Q30" s="535">
        <f t="shared" si="44"/>
        <v>0</v>
      </c>
      <c r="R30" s="537"/>
      <c r="S30" s="537"/>
      <c r="T30" s="5">
        <f t="shared" si="17"/>
        <v>4832</v>
      </c>
      <c r="U30" s="5">
        <f t="shared" si="4"/>
        <v>0</v>
      </c>
      <c r="V30" s="5">
        <f t="shared" si="17"/>
        <v>407</v>
      </c>
      <c r="W30" s="334">
        <f t="shared" si="18"/>
        <v>0</v>
      </c>
      <c r="X30" s="5">
        <f t="shared" si="17"/>
        <v>143783</v>
      </c>
      <c r="Y30" s="334">
        <f t="shared" si="19"/>
        <v>0</v>
      </c>
      <c r="Z30" s="5">
        <f t="shared" si="17"/>
        <v>94798</v>
      </c>
      <c r="AA30" s="84">
        <f t="shared" si="20"/>
        <v>0</v>
      </c>
      <c r="AB30" s="5">
        <f t="shared" si="17"/>
        <v>268</v>
      </c>
      <c r="AC30" s="5">
        <f t="shared" si="17"/>
        <v>671</v>
      </c>
      <c r="AD30" s="84">
        <f t="shared" si="33"/>
        <v>0</v>
      </c>
      <c r="AE30" s="5">
        <f t="shared" si="17"/>
        <v>155.80000000000001</v>
      </c>
      <c r="AF30" s="84">
        <f t="shared" si="21"/>
        <v>0</v>
      </c>
      <c r="AG30" s="5">
        <f t="shared" si="17"/>
        <v>1594.6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53"/>
        <v>0.9</v>
      </c>
      <c r="AT30" s="205">
        <f t="shared" si="53"/>
        <v>155</v>
      </c>
      <c r="AU30" s="439">
        <f t="shared" si="36"/>
        <v>1.1000000000000001</v>
      </c>
      <c r="AV30" s="205">
        <f t="shared" si="36"/>
        <v>114</v>
      </c>
      <c r="AW30" s="5">
        <v>2.9</v>
      </c>
      <c r="AX30" s="205">
        <f t="shared" ref="AX30" si="62">AX29</f>
        <v>138</v>
      </c>
      <c r="AY30" s="442">
        <f t="shared" si="7"/>
        <v>139.5</v>
      </c>
      <c r="AZ30" s="442">
        <f t="shared" si="28"/>
        <v>125.4</v>
      </c>
      <c r="BA30" s="442">
        <f t="shared" si="29"/>
        <v>400.2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log'!$A$38))</f>
        <v>250</v>
      </c>
      <c r="F31" s="337"/>
      <c r="G31" s="5">
        <f t="shared" si="13"/>
        <v>598985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6212</v>
      </c>
      <c r="L31" s="282">
        <f t="shared" si="35"/>
        <v>0</v>
      </c>
      <c r="M31" s="424">
        <f t="shared" si="15"/>
        <v>457.44</v>
      </c>
      <c r="N31" s="535">
        <f t="shared" si="42"/>
        <v>0</v>
      </c>
      <c r="O31" s="424">
        <f t="shared" si="16"/>
        <v>529.52</v>
      </c>
      <c r="P31" s="535">
        <f t="shared" si="43"/>
        <v>0</v>
      </c>
      <c r="Q31" s="535">
        <f t="shared" si="44"/>
        <v>0</v>
      </c>
      <c r="R31" s="537"/>
      <c r="S31" s="537"/>
      <c r="T31" s="5">
        <f t="shared" si="17"/>
        <v>4832</v>
      </c>
      <c r="U31" s="5">
        <f t="shared" si="4"/>
        <v>0</v>
      </c>
      <c r="V31" s="5">
        <f t="shared" si="17"/>
        <v>407</v>
      </c>
      <c r="W31" s="334">
        <f t="shared" si="18"/>
        <v>0</v>
      </c>
      <c r="X31" s="5">
        <f t="shared" si="17"/>
        <v>143783</v>
      </c>
      <c r="Y31" s="334">
        <f t="shared" si="19"/>
        <v>0</v>
      </c>
      <c r="Z31" s="5">
        <f t="shared" si="17"/>
        <v>94798</v>
      </c>
      <c r="AA31" s="84">
        <f t="shared" si="20"/>
        <v>0</v>
      </c>
      <c r="AB31" s="5">
        <f t="shared" si="17"/>
        <v>268</v>
      </c>
      <c r="AC31" s="5">
        <f t="shared" si="17"/>
        <v>671</v>
      </c>
      <c r="AD31" s="84">
        <f t="shared" si="33"/>
        <v>0</v>
      </c>
      <c r="AE31" s="5">
        <f t="shared" si="17"/>
        <v>155.80000000000001</v>
      </c>
      <c r="AF31" s="84">
        <f t="shared" si="21"/>
        <v>0</v>
      </c>
      <c r="AG31" s="5">
        <f t="shared" si="17"/>
        <v>1594.6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53"/>
        <v>0.9</v>
      </c>
      <c r="AT31" s="205">
        <f t="shared" si="53"/>
        <v>155</v>
      </c>
      <c r="AU31" s="439">
        <f t="shared" si="36"/>
        <v>1.1000000000000001</v>
      </c>
      <c r="AV31" s="205">
        <f t="shared" si="36"/>
        <v>114</v>
      </c>
      <c r="AW31" s="5">
        <v>2.9</v>
      </c>
      <c r="AX31" s="205">
        <f t="shared" ref="AX31" si="63">AX30</f>
        <v>138</v>
      </c>
      <c r="AY31" s="442">
        <f t="shared" si="7"/>
        <v>139.5</v>
      </c>
      <c r="AZ31" s="442">
        <f t="shared" si="28"/>
        <v>125.4</v>
      </c>
      <c r="BA31" s="442">
        <f t="shared" si="29"/>
        <v>400.2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log'!$A$38))</f>
        <v>250</v>
      </c>
      <c r="F32" s="337"/>
      <c r="G32" s="5">
        <f t="shared" si="13"/>
        <v>598985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6212</v>
      </c>
      <c r="L32" s="282">
        <f t="shared" si="35"/>
        <v>0</v>
      </c>
      <c r="M32" s="424">
        <f t="shared" si="15"/>
        <v>457.44</v>
      </c>
      <c r="N32" s="535">
        <f t="shared" si="42"/>
        <v>0</v>
      </c>
      <c r="O32" s="424">
        <f t="shared" si="16"/>
        <v>529.52</v>
      </c>
      <c r="P32" s="535">
        <f t="shared" si="43"/>
        <v>0</v>
      </c>
      <c r="Q32" s="535">
        <f t="shared" si="44"/>
        <v>0</v>
      </c>
      <c r="R32" s="537"/>
      <c r="S32" s="537"/>
      <c r="T32" s="5">
        <f t="shared" si="17"/>
        <v>4832</v>
      </c>
      <c r="U32" s="5">
        <f t="shared" si="4"/>
        <v>0</v>
      </c>
      <c r="V32" s="5">
        <f t="shared" si="17"/>
        <v>407</v>
      </c>
      <c r="W32" s="334">
        <f t="shared" si="18"/>
        <v>0</v>
      </c>
      <c r="X32" s="5">
        <f t="shared" si="17"/>
        <v>143783</v>
      </c>
      <c r="Y32" s="334">
        <f t="shared" si="19"/>
        <v>0</v>
      </c>
      <c r="Z32" s="5">
        <f t="shared" si="17"/>
        <v>94798</v>
      </c>
      <c r="AA32" s="84">
        <f t="shared" si="20"/>
        <v>0</v>
      </c>
      <c r="AB32" s="5">
        <f t="shared" si="17"/>
        <v>268</v>
      </c>
      <c r="AC32" s="5">
        <f t="shared" si="17"/>
        <v>671</v>
      </c>
      <c r="AD32" s="84">
        <f t="shared" si="33"/>
        <v>0</v>
      </c>
      <c r="AE32" s="5">
        <f t="shared" si="17"/>
        <v>155.80000000000001</v>
      </c>
      <c r="AF32" s="84">
        <f t="shared" si="21"/>
        <v>0</v>
      </c>
      <c r="AG32" s="5">
        <f t="shared" si="17"/>
        <v>1594.6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53"/>
        <v>0.9</v>
      </c>
      <c r="AT32" s="205">
        <f t="shared" si="53"/>
        <v>155</v>
      </c>
      <c r="AU32" s="439">
        <f t="shared" si="36"/>
        <v>1.1000000000000001</v>
      </c>
      <c r="AV32" s="205">
        <f t="shared" si="36"/>
        <v>114</v>
      </c>
      <c r="AW32" s="5">
        <v>2.9</v>
      </c>
      <c r="AX32" s="205">
        <f t="shared" ref="AX32" si="64">AX31</f>
        <v>138</v>
      </c>
      <c r="AY32" s="442">
        <f t="shared" si="7"/>
        <v>139.5</v>
      </c>
      <c r="AZ32" s="442">
        <f t="shared" si="28"/>
        <v>125.4</v>
      </c>
      <c r="BA32" s="442">
        <f t="shared" si="29"/>
        <v>400.2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log'!$A$38))</f>
        <v>250</v>
      </c>
      <c r="F33" s="337"/>
      <c r="G33" s="5">
        <f t="shared" si="13"/>
        <v>598985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6212</v>
      </c>
      <c r="L33" s="282">
        <f t="shared" si="35"/>
        <v>0</v>
      </c>
      <c r="M33" s="424">
        <f t="shared" si="15"/>
        <v>457.44</v>
      </c>
      <c r="N33" s="535">
        <f t="shared" si="42"/>
        <v>0</v>
      </c>
      <c r="O33" s="424">
        <f t="shared" si="16"/>
        <v>529.52</v>
      </c>
      <c r="P33" s="535">
        <f t="shared" si="43"/>
        <v>0</v>
      </c>
      <c r="Q33" s="535">
        <f t="shared" si="44"/>
        <v>0</v>
      </c>
      <c r="R33" s="537"/>
      <c r="S33" s="537"/>
      <c r="T33" s="5">
        <f t="shared" si="17"/>
        <v>4832</v>
      </c>
      <c r="U33" s="5">
        <f t="shared" si="4"/>
        <v>0</v>
      </c>
      <c r="V33" s="5">
        <f t="shared" si="17"/>
        <v>407</v>
      </c>
      <c r="W33" s="334">
        <f t="shared" si="18"/>
        <v>0</v>
      </c>
      <c r="X33" s="5">
        <f t="shared" si="17"/>
        <v>143783</v>
      </c>
      <c r="Y33" s="334">
        <f t="shared" si="19"/>
        <v>0</v>
      </c>
      <c r="Z33" s="5">
        <f t="shared" si="17"/>
        <v>94798</v>
      </c>
      <c r="AA33" s="84">
        <f t="shared" si="20"/>
        <v>0</v>
      </c>
      <c r="AB33" s="5">
        <f t="shared" si="17"/>
        <v>268</v>
      </c>
      <c r="AC33" s="5">
        <f t="shared" si="17"/>
        <v>671</v>
      </c>
      <c r="AD33" s="84">
        <f t="shared" si="33"/>
        <v>0</v>
      </c>
      <c r="AE33" s="5">
        <f t="shared" si="17"/>
        <v>155.80000000000001</v>
      </c>
      <c r="AF33" s="84">
        <f>AE33-AE32</f>
        <v>0</v>
      </c>
      <c r="AG33" s="5">
        <f t="shared" si="17"/>
        <v>1594.6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53"/>
        <v>0.9</v>
      </c>
      <c r="AT33" s="205">
        <f t="shared" si="53"/>
        <v>155</v>
      </c>
      <c r="AU33" s="439">
        <f t="shared" si="36"/>
        <v>1.1000000000000001</v>
      </c>
      <c r="AV33" s="205">
        <f t="shared" si="36"/>
        <v>114</v>
      </c>
      <c r="AW33" s="5">
        <v>2.9</v>
      </c>
      <c r="AX33" s="205">
        <f t="shared" ref="AX33" si="65">AX32</f>
        <v>138</v>
      </c>
      <c r="AY33" s="442">
        <f t="shared" si="7"/>
        <v>139.5</v>
      </c>
      <c r="AZ33" s="442">
        <f t="shared" si="28"/>
        <v>125.4</v>
      </c>
      <c r="BA33" s="442">
        <f t="shared" si="29"/>
        <v>400.2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log'!$A$38))</f>
        <v>250</v>
      </c>
      <c r="F34" s="337"/>
      <c r="G34" s="5">
        <f t="shared" si="13"/>
        <v>598985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6212</v>
      </c>
      <c r="L34" s="282">
        <f t="shared" si="35"/>
        <v>0</v>
      </c>
      <c r="M34" s="424">
        <f t="shared" si="15"/>
        <v>457.44</v>
      </c>
      <c r="N34" s="535">
        <f t="shared" si="42"/>
        <v>0</v>
      </c>
      <c r="O34" s="424">
        <f t="shared" si="16"/>
        <v>529.52</v>
      </c>
      <c r="P34" s="535">
        <f t="shared" si="43"/>
        <v>0</v>
      </c>
      <c r="Q34" s="535">
        <f t="shared" si="44"/>
        <v>0</v>
      </c>
      <c r="R34" s="537"/>
      <c r="S34" s="537"/>
      <c r="T34" s="5">
        <f t="shared" si="17"/>
        <v>4832</v>
      </c>
      <c r="U34" s="5">
        <f t="shared" si="4"/>
        <v>0</v>
      </c>
      <c r="V34" s="5">
        <f t="shared" si="17"/>
        <v>407</v>
      </c>
      <c r="W34" s="334">
        <f t="shared" si="18"/>
        <v>0</v>
      </c>
      <c r="X34" s="5">
        <f t="shared" si="17"/>
        <v>143783</v>
      </c>
      <c r="Y34" s="334">
        <f t="shared" si="19"/>
        <v>0</v>
      </c>
      <c r="Z34" s="5">
        <f t="shared" si="17"/>
        <v>94798</v>
      </c>
      <c r="AA34" s="84">
        <f t="shared" si="20"/>
        <v>0</v>
      </c>
      <c r="AB34" s="5">
        <f t="shared" si="17"/>
        <v>268</v>
      </c>
      <c r="AC34" s="5">
        <f t="shared" si="17"/>
        <v>671</v>
      </c>
      <c r="AD34" s="84">
        <f t="shared" si="33"/>
        <v>0</v>
      </c>
      <c r="AE34" s="5">
        <f t="shared" si="17"/>
        <v>155.80000000000001</v>
      </c>
      <c r="AF34" s="84">
        <f t="shared" si="21"/>
        <v>0</v>
      </c>
      <c r="AG34" s="5">
        <f t="shared" si="17"/>
        <v>1594.6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53"/>
        <v>0.9</v>
      </c>
      <c r="AT34" s="205">
        <f t="shared" si="53"/>
        <v>155</v>
      </c>
      <c r="AU34" s="440">
        <f t="shared" si="36"/>
        <v>1.1000000000000001</v>
      </c>
      <c r="AV34" s="205">
        <f t="shared" si="36"/>
        <v>114</v>
      </c>
      <c r="AW34" s="5">
        <v>2.9</v>
      </c>
      <c r="AX34" s="205">
        <f t="shared" ref="AX34" si="66">AX33</f>
        <v>138</v>
      </c>
      <c r="AY34" s="442">
        <f t="shared" si="7"/>
        <v>139.5</v>
      </c>
      <c r="AZ34" s="442">
        <f t="shared" si="28"/>
        <v>125.4</v>
      </c>
      <c r="BA34" s="442">
        <f t="shared" si="29"/>
        <v>400.2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log'!$A$38))</f>
        <v>250</v>
      </c>
      <c r="F35" s="337"/>
      <c r="G35" s="5">
        <f t="shared" si="13"/>
        <v>598985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6212</v>
      </c>
      <c r="L35" s="84">
        <f t="shared" si="35"/>
        <v>0</v>
      </c>
      <c r="M35" s="424">
        <f t="shared" si="15"/>
        <v>457.44</v>
      </c>
      <c r="N35" s="535">
        <f t="shared" si="42"/>
        <v>0</v>
      </c>
      <c r="O35" s="424">
        <f t="shared" si="16"/>
        <v>529.52</v>
      </c>
      <c r="P35" s="535">
        <f t="shared" si="43"/>
        <v>0</v>
      </c>
      <c r="Q35" s="535">
        <f t="shared" si="44"/>
        <v>0</v>
      </c>
      <c r="R35" s="535"/>
      <c r="S35" s="535"/>
      <c r="T35" s="5">
        <f t="shared" si="17"/>
        <v>4832</v>
      </c>
      <c r="U35" s="5">
        <f t="shared" si="4"/>
        <v>0</v>
      </c>
      <c r="V35" s="5">
        <f t="shared" si="17"/>
        <v>407</v>
      </c>
      <c r="W35" s="334">
        <f t="shared" si="18"/>
        <v>0</v>
      </c>
      <c r="X35" s="5">
        <f t="shared" si="17"/>
        <v>143783</v>
      </c>
      <c r="Y35" s="334">
        <f t="shared" si="19"/>
        <v>0</v>
      </c>
      <c r="Z35" s="5">
        <f t="shared" si="17"/>
        <v>94798</v>
      </c>
      <c r="AA35" s="84">
        <f t="shared" si="20"/>
        <v>0</v>
      </c>
      <c r="AB35" s="5">
        <f t="shared" si="17"/>
        <v>268</v>
      </c>
      <c r="AC35" s="5">
        <f t="shared" si="17"/>
        <v>671</v>
      </c>
      <c r="AD35" s="84">
        <f t="shared" si="33"/>
        <v>0</v>
      </c>
      <c r="AE35" s="5">
        <f t="shared" si="17"/>
        <v>155.80000000000001</v>
      </c>
      <c r="AF35" s="84">
        <f t="shared" si="21"/>
        <v>0</v>
      </c>
      <c r="AG35" s="5">
        <f t="shared" si="17"/>
        <v>1594.6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53"/>
        <v>0.9</v>
      </c>
      <c r="AT35" s="205">
        <f t="shared" si="53"/>
        <v>155</v>
      </c>
      <c r="AU35" s="441">
        <f t="shared" si="36"/>
        <v>1.1000000000000001</v>
      </c>
      <c r="AV35" s="205">
        <f t="shared" si="36"/>
        <v>114</v>
      </c>
      <c r="AW35" s="5">
        <v>2.9</v>
      </c>
      <c r="AX35" s="205">
        <f t="shared" ref="AX35" si="67">AX34</f>
        <v>138</v>
      </c>
      <c r="AY35" s="442">
        <f t="shared" si="7"/>
        <v>139.5</v>
      </c>
      <c r="AZ35" s="442">
        <f t="shared" si="28"/>
        <v>125.4</v>
      </c>
      <c r="BA35" s="442">
        <f t="shared" si="29"/>
        <v>400.2</v>
      </c>
      <c r="BB35" s="21">
        <f t="shared" si="30"/>
        <v>0</v>
      </c>
      <c r="BC35" s="231">
        <f t="shared" si="30"/>
        <v>0</v>
      </c>
      <c r="BD35" s="231">
        <f t="shared" si="30"/>
        <v>0</v>
      </c>
      <c r="BE35" s="24">
        <f t="shared" si="32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11</v>
      </c>
      <c r="I36" s="426">
        <f>SUM(I6:I35)</f>
        <v>11</v>
      </c>
      <c r="L36" s="275">
        <f>SUM(L7:L35)</f>
        <v>0</v>
      </c>
      <c r="Q36" s="514">
        <f>SUM(Q5:Q35)</f>
        <v>0</v>
      </c>
      <c r="U36" s="423">
        <f>SUM(U6:U35)</f>
        <v>2</v>
      </c>
      <c r="X36" s="333"/>
      <c r="Y36" s="332" t="e">
        <f>SUM(Y35,Y33,Y31,Y29,Y27,Y25,Y23,Y21,Y19,Y17,Y15,Y13,Y11,Y9,Y7+#REF!)</f>
        <v>#REF!</v>
      </c>
      <c r="AJ36" s="332">
        <f>SUM(AJ6:AJ35)</f>
        <v>0</v>
      </c>
      <c r="AK36" s="337" t="e">
        <f t="shared" si="5"/>
        <v>#REF!</v>
      </c>
      <c r="AL36" s="332">
        <f>SUM(AL6:AL35)</f>
        <v>0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0.45372727272727276</v>
      </c>
      <c r="L37" s="158"/>
      <c r="O37" s="511">
        <f>SUM(Q36+I36)</f>
        <v>11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11</v>
      </c>
      <c r="H38" s="1">
        <f>SUM(H37+C37)</f>
        <v>7500</v>
      </c>
      <c r="K38" s="1">
        <f>SUM(H38/G38)</f>
        <v>681.81818181818187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B6" sqref="B6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7" t="s">
        <v>193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9"/>
    </row>
    <row r="2" spans="1:15" ht="15.75" customHeight="1" thickBot="1">
      <c r="A2" s="610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2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/>
      <c r="C7" s="37"/>
      <c r="D7" s="26">
        <f t="shared" si="0"/>
        <v>0</v>
      </c>
      <c r="E7" s="350"/>
      <c r="F7" s="356"/>
      <c r="G7" s="246">
        <f t="shared" si="1"/>
        <v>0</v>
      </c>
      <c r="H7" s="3"/>
      <c r="I7" s="3"/>
      <c r="J7" s="37"/>
      <c r="K7" s="270">
        <f t="shared" si="2"/>
        <v>0</v>
      </c>
      <c r="L7" s="3"/>
      <c r="M7" s="3"/>
      <c r="N7" s="156"/>
      <c r="O7" s="3"/>
    </row>
    <row r="8" spans="1:15">
      <c r="A8" s="501">
        <f>ELEC!C5</f>
        <v>43985</v>
      </c>
      <c r="B8" s="37"/>
      <c r="C8" s="37"/>
      <c r="D8" s="26">
        <f t="shared" si="0"/>
        <v>0</v>
      </c>
      <c r="E8" s="350"/>
      <c r="F8" s="350"/>
      <c r="G8" s="246">
        <f t="shared" si="1"/>
        <v>0</v>
      </c>
      <c r="H8" s="3"/>
      <c r="I8" s="3"/>
      <c r="J8" s="37"/>
      <c r="K8" s="270">
        <f t="shared" si="2"/>
        <v>0</v>
      </c>
      <c r="L8" s="3"/>
      <c r="M8" s="171"/>
      <c r="N8" s="156"/>
      <c r="O8" s="3"/>
    </row>
    <row r="9" spans="1:15">
      <c r="A9" s="501">
        <f>ELEC!C6</f>
        <v>43986</v>
      </c>
      <c r="B9" s="37"/>
      <c r="C9" s="37"/>
      <c r="D9" s="26">
        <f>(C9+B9)/2</f>
        <v>0</v>
      </c>
      <c r="E9" s="407"/>
      <c r="F9" s="407"/>
      <c r="G9" s="246">
        <f>F9*230</f>
        <v>0</v>
      </c>
      <c r="H9" s="3"/>
      <c r="I9" s="3"/>
      <c r="J9" s="37"/>
      <c r="K9" s="270">
        <f>+J9+H9</f>
        <v>0</v>
      </c>
      <c r="L9" s="3"/>
      <c r="M9" s="3"/>
      <c r="N9" s="156"/>
      <c r="O9" s="3"/>
    </row>
    <row r="10" spans="1:15">
      <c r="A10" s="501">
        <f>ELEC!C7</f>
        <v>43987</v>
      </c>
      <c r="B10" s="37"/>
      <c r="C10" s="37"/>
      <c r="D10" s="26">
        <f t="shared" si="0"/>
        <v>0</v>
      </c>
      <c r="E10" s="367"/>
      <c r="F10" s="350"/>
      <c r="G10" s="246">
        <f t="shared" si="1"/>
        <v>0</v>
      </c>
      <c r="H10" s="3"/>
      <c r="I10" s="3"/>
      <c r="J10" s="37"/>
      <c r="K10" s="270">
        <f t="shared" si="2"/>
        <v>0</v>
      </c>
      <c r="L10" s="3"/>
      <c r="M10" s="3"/>
      <c r="N10" s="156"/>
      <c r="O10" s="3"/>
    </row>
    <row r="11" spans="1:15">
      <c r="A11" s="501">
        <f>ELEC!C8</f>
        <v>43988</v>
      </c>
      <c r="B11" s="37"/>
      <c r="C11" s="37"/>
      <c r="D11" s="26">
        <f t="shared" si="0"/>
        <v>0</v>
      </c>
      <c r="E11" s="407"/>
      <c r="F11" s="350"/>
      <c r="G11" s="246">
        <f t="shared" si="1"/>
        <v>0</v>
      </c>
      <c r="H11" s="3"/>
      <c r="I11" s="3"/>
      <c r="J11" s="37"/>
      <c r="K11" s="270">
        <f>+J11+H11</f>
        <v>0</v>
      </c>
      <c r="L11" s="3"/>
      <c r="M11" s="3"/>
      <c r="N11" s="156"/>
      <c r="O11" s="3"/>
    </row>
    <row r="12" spans="1:15">
      <c r="A12" s="501">
        <f>ELEC!C9</f>
        <v>43989</v>
      </c>
      <c r="B12" s="37"/>
      <c r="C12" s="37"/>
      <c r="D12" s="26">
        <f t="shared" si="0"/>
        <v>0</v>
      </c>
      <c r="E12" s="407"/>
      <c r="F12" s="407"/>
      <c r="G12" s="246">
        <f t="shared" si="1"/>
        <v>0</v>
      </c>
      <c r="H12" s="3"/>
      <c r="I12" s="3"/>
      <c r="J12" s="37"/>
      <c r="K12" s="270">
        <f t="shared" si="2"/>
        <v>0</v>
      </c>
      <c r="L12" s="3"/>
      <c r="M12" s="3"/>
      <c r="N12" s="156"/>
      <c r="O12" s="3"/>
    </row>
    <row r="13" spans="1:15">
      <c r="A13" s="501">
        <f>ELEC!C10</f>
        <v>43990</v>
      </c>
      <c r="B13" s="37"/>
      <c r="C13" s="37"/>
      <c r="D13" s="26">
        <f>(C13+B13)/2</f>
        <v>0</v>
      </c>
      <c r="E13" s="367"/>
      <c r="F13" s="367"/>
      <c r="G13" s="246">
        <f>F13*230</f>
        <v>0</v>
      </c>
      <c r="H13" s="3"/>
      <c r="I13" s="3"/>
      <c r="J13" s="37"/>
      <c r="K13" s="270">
        <f t="shared" si="2"/>
        <v>0</v>
      </c>
      <c r="L13" s="3"/>
      <c r="M13" s="3"/>
      <c r="N13" s="156"/>
      <c r="O13" s="3"/>
    </row>
    <row r="14" spans="1:15">
      <c r="A14" s="501">
        <f>ELEC!C11</f>
        <v>43991</v>
      </c>
      <c r="B14" s="37"/>
      <c r="C14" s="37"/>
      <c r="D14" s="26">
        <f t="shared" ref="D14:D35" si="3">(C14+B14)/2</f>
        <v>0</v>
      </c>
      <c r="E14" s="350"/>
      <c r="F14" s="350"/>
      <c r="G14" s="246">
        <f t="shared" ref="G14:G35" si="4">F14*230</f>
        <v>0</v>
      </c>
      <c r="H14" s="3"/>
      <c r="I14" s="3"/>
      <c r="J14" s="37"/>
      <c r="K14" s="270">
        <f t="shared" si="2"/>
        <v>0</v>
      </c>
      <c r="L14" s="3"/>
      <c r="M14" s="3"/>
      <c r="N14" s="156"/>
      <c r="O14" s="3"/>
    </row>
    <row r="15" spans="1:15">
      <c r="A15" s="501">
        <f>ELEC!C12</f>
        <v>43992</v>
      </c>
      <c r="B15" s="37"/>
      <c r="C15" s="37"/>
      <c r="D15" s="26">
        <f t="shared" si="3"/>
        <v>0</v>
      </c>
      <c r="E15" s="350"/>
      <c r="F15" s="350"/>
      <c r="G15" s="246">
        <f>F15*230</f>
        <v>0</v>
      </c>
      <c r="H15" s="3"/>
      <c r="I15" s="3"/>
      <c r="J15" s="37"/>
      <c r="K15" s="270">
        <f>+J15+H15</f>
        <v>0</v>
      </c>
      <c r="L15" s="3"/>
      <c r="M15" s="3"/>
      <c r="N15" s="156"/>
      <c r="O15" s="3"/>
    </row>
    <row r="16" spans="1:15">
      <c r="A16" s="501">
        <f>ELEC!C13</f>
        <v>43993</v>
      </c>
      <c r="B16" s="37"/>
      <c r="C16" s="37"/>
      <c r="D16" s="26">
        <f t="shared" si="3"/>
        <v>0</v>
      </c>
      <c r="E16" s="350"/>
      <c r="F16" s="350"/>
      <c r="G16" s="246">
        <f t="shared" si="4"/>
        <v>0</v>
      </c>
      <c r="H16" s="3"/>
      <c r="I16" s="3"/>
      <c r="J16" s="37"/>
      <c r="K16" s="270">
        <f>+J16+H16</f>
        <v>0</v>
      </c>
      <c r="L16" s="3"/>
      <c r="M16" s="3"/>
      <c r="N16" s="156"/>
      <c r="O16" s="3"/>
    </row>
    <row r="17" spans="1:15">
      <c r="A17" s="501">
        <f>ELEC!C14</f>
        <v>43994</v>
      </c>
      <c r="B17" s="37"/>
      <c r="C17" s="37"/>
      <c r="D17" s="26">
        <f t="shared" si="3"/>
        <v>0</v>
      </c>
      <c r="E17" s="350"/>
      <c r="F17" s="350"/>
      <c r="G17" s="246">
        <f t="shared" si="4"/>
        <v>0</v>
      </c>
      <c r="H17" s="3"/>
      <c r="I17" s="3"/>
      <c r="J17" s="37"/>
      <c r="K17" s="270">
        <f t="shared" si="2"/>
        <v>0</v>
      </c>
      <c r="L17" s="3"/>
      <c r="M17" s="3"/>
      <c r="N17" s="156"/>
      <c r="O17" s="3"/>
    </row>
    <row r="18" spans="1:15">
      <c r="A18" s="501">
        <f>ELEC!C15</f>
        <v>43995</v>
      </c>
      <c r="B18" s="37"/>
      <c r="C18" s="37"/>
      <c r="D18" s="26">
        <f t="shared" si="3"/>
        <v>0</v>
      </c>
      <c r="E18" s="443"/>
      <c r="F18" s="350"/>
      <c r="G18" s="246">
        <f t="shared" si="4"/>
        <v>0</v>
      </c>
      <c r="H18" s="3"/>
      <c r="I18" s="3"/>
      <c r="J18" s="37"/>
      <c r="K18" s="270">
        <f t="shared" si="2"/>
        <v>0</v>
      </c>
      <c r="L18" s="3"/>
      <c r="M18" s="3"/>
      <c r="N18" s="156"/>
      <c r="O18" s="3"/>
    </row>
    <row r="19" spans="1:15">
      <c r="A19" s="501">
        <f>ELEC!C16</f>
        <v>43996</v>
      </c>
      <c r="B19" s="37"/>
      <c r="C19" s="37"/>
      <c r="D19" s="26">
        <f t="shared" si="3"/>
        <v>0</v>
      </c>
      <c r="E19" s="350"/>
      <c r="F19" s="350"/>
      <c r="G19" s="246">
        <f t="shared" si="4"/>
        <v>0</v>
      </c>
      <c r="H19" s="3"/>
      <c r="I19" s="3"/>
      <c r="J19" s="37"/>
      <c r="K19" s="270">
        <f t="shared" si="2"/>
        <v>0</v>
      </c>
      <c r="L19" s="3"/>
      <c r="M19" s="3"/>
      <c r="N19" s="156"/>
      <c r="O19" s="3"/>
    </row>
    <row r="20" spans="1:15">
      <c r="A20" s="501">
        <f>ELEC!C17</f>
        <v>43997</v>
      </c>
      <c r="B20" s="37"/>
      <c r="C20" s="37"/>
      <c r="D20" s="26">
        <f t="shared" si="3"/>
        <v>0</v>
      </c>
      <c r="E20" s="350"/>
      <c r="F20" s="350"/>
      <c r="G20" s="246">
        <f t="shared" si="4"/>
        <v>0</v>
      </c>
      <c r="H20" s="3"/>
      <c r="I20" s="3"/>
      <c r="J20" s="37"/>
      <c r="K20" s="270">
        <f t="shared" si="2"/>
        <v>0</v>
      </c>
      <c r="L20" s="3"/>
      <c r="M20" s="3"/>
      <c r="N20" s="156"/>
      <c r="O20" s="3"/>
    </row>
    <row r="21" spans="1:15">
      <c r="A21" s="501">
        <f>ELEC!C18</f>
        <v>43998</v>
      </c>
      <c r="B21" s="37"/>
      <c r="C21" s="37"/>
      <c r="D21" s="26">
        <f>(C21+B21)/2</f>
        <v>0</v>
      </c>
      <c r="E21" s="350"/>
      <c r="F21" s="350"/>
      <c r="G21" s="246">
        <f t="shared" si="4"/>
        <v>0</v>
      </c>
      <c r="H21" s="3"/>
      <c r="I21" s="3"/>
      <c r="J21" s="37"/>
      <c r="K21" s="270">
        <f t="shared" si="2"/>
        <v>0</v>
      </c>
      <c r="L21" s="3"/>
      <c r="M21" s="3"/>
      <c r="N21" s="156"/>
      <c r="O21" s="3"/>
    </row>
    <row r="22" spans="1:15">
      <c r="A22" s="501">
        <f>ELEC!C19</f>
        <v>43999</v>
      </c>
      <c r="B22" s="37"/>
      <c r="C22" s="37"/>
      <c r="D22" s="26">
        <f t="shared" si="3"/>
        <v>0</v>
      </c>
      <c r="E22" s="350"/>
      <c r="F22" s="407"/>
      <c r="G22" s="246">
        <f t="shared" si="4"/>
        <v>0</v>
      </c>
      <c r="H22" s="3"/>
      <c r="I22" s="3"/>
      <c r="J22" s="37"/>
      <c r="K22" s="270">
        <f t="shared" si="2"/>
        <v>0</v>
      </c>
      <c r="L22" s="3"/>
      <c r="M22" s="3"/>
      <c r="N22" s="156"/>
      <c r="O22" s="3"/>
    </row>
    <row r="23" spans="1:15">
      <c r="A23" s="501">
        <f>ELEC!C20</f>
        <v>44000</v>
      </c>
      <c r="B23" s="37"/>
      <c r="C23" s="37"/>
      <c r="D23" s="26">
        <f>(C23+B23)/2</f>
        <v>0</v>
      </c>
      <c r="E23" s="350"/>
      <c r="F23" s="350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1">
        <f>ELEC!C21</f>
        <v>44001</v>
      </c>
      <c r="B24" s="37"/>
      <c r="C24" s="37"/>
      <c r="D24" s="26">
        <f t="shared" si="3"/>
        <v>0</v>
      </c>
      <c r="E24" s="350"/>
      <c r="F24" s="350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2">
        <f>AVERAGE(F6:F35)</f>
        <v>2.1700000000000001E-2</v>
      </c>
      <c r="G36" s="207">
        <f>SUM(G6:G35)</f>
        <v>4.9910000000000005</v>
      </c>
    </row>
    <row r="37" spans="1:15">
      <c r="D37" s="268">
        <f>SUM(D6:D35)/'EDl log'!A36</f>
        <v>22.5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T1" activePane="topRight" state="frozen"/>
      <selection pane="topRight" activeCell="AT7" sqref="AT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15" t="s">
        <v>108</v>
      </c>
      <c r="AS3" s="615" t="s">
        <v>234</v>
      </c>
      <c r="AT3" s="613" t="s">
        <v>302</v>
      </c>
      <c r="AU3" s="614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6"/>
      <c r="AS4" s="616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5">
        <f>[2]tanks!B36</f>
        <v>179</v>
      </c>
      <c r="C5" s="555">
        <f>[2]tanks!C36</f>
        <v>3851.3870967741937</v>
      </c>
      <c r="D5" s="555">
        <f>[2]tanks!D36</f>
        <v>179</v>
      </c>
      <c r="E5" s="555">
        <f>[2]tanks!E36</f>
        <v>3851.3870967741937</v>
      </c>
      <c r="F5" s="555">
        <f>[2]tanks!F36</f>
        <v>179</v>
      </c>
      <c r="G5" s="555">
        <f>[2]tanks!G36</f>
        <v>3851.3870967741937</v>
      </c>
      <c r="H5" s="555">
        <f>[2]tanks!H36</f>
        <v>179</v>
      </c>
      <c r="I5" s="555">
        <f>[2]tanks!I36</f>
        <v>3851.3870967741937</v>
      </c>
      <c r="J5" s="555">
        <f>[2]tanks!J36</f>
        <v>179</v>
      </c>
      <c r="K5" s="555">
        <f>[2]tanks!K36</f>
        <v>3851.3870967741937</v>
      </c>
      <c r="L5" s="555">
        <f>[2]tanks!L36</f>
        <v>179</v>
      </c>
      <c r="M5" s="555">
        <f>[2]tanks!M36</f>
        <v>3851.3870967741937</v>
      </c>
      <c r="N5" s="555">
        <f>[2]tanks!N36</f>
        <v>179</v>
      </c>
      <c r="O5" s="555">
        <f>[2]tanks!O36</f>
        <v>3851.3870967741937</v>
      </c>
      <c r="P5" s="555">
        <f>[2]tanks!P36</f>
        <v>179</v>
      </c>
      <c r="Q5" s="555">
        <f>[2]tanks!Q36</f>
        <v>3851.3870967741937</v>
      </c>
      <c r="R5" s="555">
        <f>[2]tanks!R36</f>
        <v>179</v>
      </c>
      <c r="S5" s="555">
        <f>[2]tanks!S36</f>
        <v>3851.3870967741937</v>
      </c>
      <c r="T5" s="555">
        <f>[2]tanks!T36</f>
        <v>179</v>
      </c>
      <c r="U5" s="555">
        <f>[2]tanks!U36</f>
        <v>3851.3870967741937</v>
      </c>
      <c r="V5" s="555">
        <f>[2]tanks!V36</f>
        <v>179</v>
      </c>
      <c r="W5" s="555">
        <f>[2]tanks!W36</f>
        <v>3851.3870967741937</v>
      </c>
      <c r="X5" s="555">
        <f>[2]tanks!X36</f>
        <v>0.57741935483870976</v>
      </c>
      <c r="Y5" s="555">
        <f>[2]tanks!Y36</f>
        <v>42365.258064516136</v>
      </c>
      <c r="Z5" s="555">
        <f>[2]tanks!Z36</f>
        <v>186</v>
      </c>
      <c r="AA5" s="555">
        <f>[2]tanks!AA36</f>
        <v>1860</v>
      </c>
      <c r="AB5" s="555">
        <f>[2]tanks!AB36</f>
        <v>186</v>
      </c>
      <c r="AC5" s="555">
        <f>[2]tanks!AC36</f>
        <v>1860</v>
      </c>
      <c r="AD5" s="555">
        <f>[2]tanks!AD36</f>
        <v>186</v>
      </c>
      <c r="AE5" s="555">
        <f>[2]tanks!AE36</f>
        <v>1860</v>
      </c>
      <c r="AF5" s="555">
        <f>[2]tanks!AF36</f>
        <v>186</v>
      </c>
      <c r="AG5" s="555">
        <f>[2]tanks!AG36</f>
        <v>1860</v>
      </c>
      <c r="AH5" s="555">
        <f>[2]tanks!AH36</f>
        <v>186</v>
      </c>
      <c r="AI5" s="555">
        <f>[2]tanks!AI36</f>
        <v>1860</v>
      </c>
      <c r="AJ5" s="555">
        <f>[2]tanks!AJ36</f>
        <v>186</v>
      </c>
      <c r="AK5" s="555">
        <f>[2]tanks!AK36</f>
        <v>1860</v>
      </c>
      <c r="AL5" s="555">
        <f>[2]tanks!AL36</f>
        <v>186</v>
      </c>
      <c r="AM5" s="555">
        <f>[2]tanks!AM36</f>
        <v>1860</v>
      </c>
      <c r="AN5" s="524">
        <f>[2]tanks!AN36</f>
        <v>0.66428571428571426</v>
      </c>
      <c r="AO5" s="555">
        <f>[2]tanks!AO36</f>
        <v>13020</v>
      </c>
      <c r="AP5" s="555">
        <f>[2]tanks!AP36</f>
        <v>0</v>
      </c>
      <c r="AQ5" s="524">
        <f>[2]tanks!AQ36</f>
        <v>0.59573258109622607</v>
      </c>
      <c r="AR5" s="555">
        <f>[2]tanks!AR36</f>
        <v>55385.258064516136</v>
      </c>
      <c r="AS5" s="555">
        <f>[2]tanks!AS36</f>
        <v>-1005.0354838709609</v>
      </c>
      <c r="AT5" s="555">
        <f>[2]tanks!AT36</f>
        <v>0</v>
      </c>
      <c r="AU5" s="555">
        <f>[2]tanks!AU36</f>
        <v>0</v>
      </c>
      <c r="AV5" s="555">
        <f>[2]tanks!AV36</f>
        <v>0.23499999999999999</v>
      </c>
      <c r="AW5" s="555">
        <f>[2]tanks!AW36</f>
        <v>-358</v>
      </c>
      <c r="AX5" s="555">
        <f>[2]tanks!AX36</f>
        <v>-647.03548387096089</v>
      </c>
      <c r="AY5" s="555">
        <f>[2]tanks!AY36</f>
        <v>-1005.0354838709609</v>
      </c>
      <c r="AZ5" s="524">
        <f>[2]tanks!AZ36</f>
        <v>1.7399999999999999E-2</v>
      </c>
      <c r="BA5" s="569">
        <f>[2]tanks!BA36</f>
        <v>21.5</v>
      </c>
      <c r="BB5" s="524">
        <f>[2]tanks!BB36</f>
        <v>0.59</v>
      </c>
      <c r="BC5" s="555">
        <f>[2]tanks!BC36</f>
        <v>0</v>
      </c>
      <c r="BD5" s="555">
        <f>[2]tanks!BD36</f>
        <v>0</v>
      </c>
      <c r="BE5" s="555">
        <f>[2]tanks!BE36</f>
        <v>0</v>
      </c>
      <c r="BF5" s="555">
        <f>[2]tanks!BF36</f>
        <v>0</v>
      </c>
      <c r="BG5" s="555">
        <f>[2]tanks!BG36</f>
        <v>0</v>
      </c>
      <c r="BH5" s="555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40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175</v>
      </c>
      <c r="C7" s="207">
        <f t="shared" ref="C7:E35" si="18">B7*$B$4</f>
        <v>3765.322580645161</v>
      </c>
      <c r="D7">
        <f t="shared" ref="D7:D29" si="19">SUM(B7)</f>
        <v>175</v>
      </c>
      <c r="E7" s="207">
        <f t="shared" si="18"/>
        <v>3765.322580645161</v>
      </c>
      <c r="F7">
        <f t="shared" ref="F7:F29" si="20">SUM(D7)</f>
        <v>175</v>
      </c>
      <c r="G7" s="207">
        <f t="shared" si="1"/>
        <v>3765.322580645161</v>
      </c>
      <c r="H7" s="207">
        <f t="shared" ref="H7:H29" si="21">SUM(F7)</f>
        <v>175</v>
      </c>
      <c r="I7" s="207">
        <f t="shared" si="2"/>
        <v>3765.322580645161</v>
      </c>
      <c r="J7" s="207">
        <f t="shared" ref="J7:J29" si="22">SUM(H7)</f>
        <v>175</v>
      </c>
      <c r="K7" s="207">
        <f t="shared" si="3"/>
        <v>3765.322580645161</v>
      </c>
      <c r="L7" s="207">
        <f t="shared" ref="L7:L29" si="23">SUM(J7)</f>
        <v>175</v>
      </c>
      <c r="M7" s="207">
        <f t="shared" si="4"/>
        <v>3765.322580645161</v>
      </c>
      <c r="N7" s="207">
        <f t="shared" ref="N7:N29" si="24">SUM(L7)</f>
        <v>175</v>
      </c>
      <c r="O7" s="207">
        <f t="shared" si="5"/>
        <v>3765.322580645161</v>
      </c>
      <c r="P7" s="207">
        <f t="shared" ref="P7:P29" si="25">SUM(N7)</f>
        <v>175</v>
      </c>
      <c r="Q7" s="207">
        <f t="shared" si="6"/>
        <v>3765.322580645161</v>
      </c>
      <c r="R7" s="207">
        <f t="shared" ref="R7:R29" si="26">SUM(P7)</f>
        <v>175</v>
      </c>
      <c r="S7" s="207">
        <f t="shared" si="7"/>
        <v>3765.322580645161</v>
      </c>
      <c r="T7" s="207">
        <f t="shared" ref="T7:T29" si="27">SUM(R7)</f>
        <v>175</v>
      </c>
      <c r="U7" s="207">
        <f t="shared" si="8"/>
        <v>3765.322580645161</v>
      </c>
      <c r="V7" s="207">
        <f t="shared" ref="V7:V29" si="28">SUM(T7)</f>
        <v>175</v>
      </c>
      <c r="W7" s="207">
        <f t="shared" si="9"/>
        <v>3765.322580645161</v>
      </c>
      <c r="X7" s="35">
        <f t="shared" si="10"/>
        <v>0.5645161290322579</v>
      </c>
      <c r="Y7" s="36">
        <f t="shared" ref="Y7:Y29" si="29">SUM(C7+E7+G7+I7+K7+M7+O7+Q7+S7+U7+W7)</f>
        <v>41418.548387096758</v>
      </c>
      <c r="Z7" s="207">
        <f>'B5'!C6</f>
        <v>182</v>
      </c>
      <c r="AA7" s="207">
        <f t="shared" ref="AA7:AC35" si="30">SUM(Z7*$Z$4)</f>
        <v>1820</v>
      </c>
      <c r="AB7" s="207">
        <f t="shared" ref="AB7:AB29" si="31">SUM(Z7)</f>
        <v>182</v>
      </c>
      <c r="AC7" s="207">
        <f t="shared" si="30"/>
        <v>1820</v>
      </c>
      <c r="AD7" s="207">
        <f t="shared" ref="AD7:AD29" si="32">SUM(AB7)</f>
        <v>182</v>
      </c>
      <c r="AE7" s="207">
        <f t="shared" si="11"/>
        <v>1820</v>
      </c>
      <c r="AF7" s="207">
        <f t="shared" ref="AF7:AF29" si="33">SUM(AD7)</f>
        <v>182</v>
      </c>
      <c r="AG7" s="207">
        <f t="shared" si="12"/>
        <v>1820</v>
      </c>
      <c r="AH7" s="207">
        <f t="shared" ref="AH7:AH29" si="34">SUM(AF7)</f>
        <v>182</v>
      </c>
      <c r="AI7" s="207">
        <f t="shared" si="13"/>
        <v>1820</v>
      </c>
      <c r="AJ7" s="207">
        <f t="shared" ref="AJ7:AJ29" si="35">SUM(AH7)</f>
        <v>182</v>
      </c>
      <c r="AK7" s="207">
        <f t="shared" si="14"/>
        <v>1820</v>
      </c>
      <c r="AL7" s="207">
        <f t="shared" ref="AL7:AL29" si="36">SUM(AJ7)</f>
        <v>182</v>
      </c>
      <c r="AM7" s="207">
        <f t="shared" si="15"/>
        <v>1820</v>
      </c>
      <c r="AN7" s="35">
        <f t="shared" si="16"/>
        <v>0.65</v>
      </c>
      <c r="AO7" s="36">
        <f t="shared" si="17"/>
        <v>12740</v>
      </c>
      <c r="AQ7" s="227">
        <f t="shared" ref="AQ7:AQ33" si="37">SUM(AR7/92970)</f>
        <v>0.58253789810795698</v>
      </c>
      <c r="AR7" s="38">
        <f>SUM(AO7+Y7)</f>
        <v>54158.548387096758</v>
      </c>
      <c r="AS7" s="201">
        <f t="shared" ref="AS7:AS35" si="38">SUM(AR7-AR6-AT7)</f>
        <v>0</v>
      </c>
      <c r="AT7" s="278"/>
      <c r="AU7" s="510"/>
      <c r="AV7" s="540">
        <f>IF(AT7&gt;0,AU7,AV6)</f>
        <v>0.1</v>
      </c>
      <c r="AW7" s="300">
        <f>-SUM('B5'!AI6)</f>
        <v>0</v>
      </c>
      <c r="AX7" s="300">
        <f t="shared" ref="AX7:AX35" si="39">-SUM(AW7-AS7)</f>
        <v>0</v>
      </c>
      <c r="AY7" s="37">
        <f t="shared" ref="AY7:AY35" si="40">SUM(AX7+AW7)</f>
        <v>0</v>
      </c>
      <c r="AZ7" s="101">
        <f>ELEC!A4</f>
        <v>0</v>
      </c>
      <c r="BA7" s="119">
        <f>'General information '!D7</f>
        <v>0</v>
      </c>
      <c r="BB7" s="407">
        <f>SUM('General information '!E7)</f>
        <v>0</v>
      </c>
      <c r="BC7" s="3">
        <v>0</v>
      </c>
      <c r="BD7" s="103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175</v>
      </c>
      <c r="C8" s="207">
        <f t="shared" si="18"/>
        <v>3765.322580645161</v>
      </c>
      <c r="D8">
        <f t="shared" si="19"/>
        <v>175</v>
      </c>
      <c r="E8" s="207">
        <f t="shared" si="18"/>
        <v>3765.322580645161</v>
      </c>
      <c r="F8">
        <f t="shared" si="20"/>
        <v>175</v>
      </c>
      <c r="G8" s="207">
        <f t="shared" si="1"/>
        <v>3765.322580645161</v>
      </c>
      <c r="H8" s="207">
        <f t="shared" si="21"/>
        <v>175</v>
      </c>
      <c r="I8" s="207">
        <f t="shared" si="2"/>
        <v>3765.322580645161</v>
      </c>
      <c r="J8" s="207">
        <f t="shared" si="22"/>
        <v>175</v>
      </c>
      <c r="K8" s="207">
        <f t="shared" si="3"/>
        <v>3765.322580645161</v>
      </c>
      <c r="L8" s="207">
        <f t="shared" si="23"/>
        <v>175</v>
      </c>
      <c r="M8" s="207">
        <f t="shared" si="4"/>
        <v>3765.322580645161</v>
      </c>
      <c r="N8" s="207">
        <f t="shared" si="24"/>
        <v>175</v>
      </c>
      <c r="O8" s="207">
        <f t="shared" si="5"/>
        <v>3765.322580645161</v>
      </c>
      <c r="P8" s="207">
        <f t="shared" si="25"/>
        <v>175</v>
      </c>
      <c r="Q8" s="207">
        <f t="shared" si="6"/>
        <v>3765.322580645161</v>
      </c>
      <c r="R8" s="207">
        <f t="shared" si="26"/>
        <v>175</v>
      </c>
      <c r="S8" s="207">
        <f t="shared" si="7"/>
        <v>3765.322580645161</v>
      </c>
      <c r="T8" s="207">
        <f t="shared" si="27"/>
        <v>175</v>
      </c>
      <c r="U8" s="207">
        <f t="shared" si="8"/>
        <v>3765.322580645161</v>
      </c>
      <c r="V8" s="207">
        <f t="shared" si="28"/>
        <v>175</v>
      </c>
      <c r="W8" s="207">
        <f t="shared" si="9"/>
        <v>3765.322580645161</v>
      </c>
      <c r="X8" s="35">
        <f t="shared" si="10"/>
        <v>0.5645161290322579</v>
      </c>
      <c r="Y8" s="36">
        <f t="shared" si="29"/>
        <v>41418.548387096758</v>
      </c>
      <c r="Z8" s="207">
        <f>'B5'!C7</f>
        <v>182</v>
      </c>
      <c r="AA8" s="207">
        <f t="shared" si="30"/>
        <v>1820</v>
      </c>
      <c r="AB8" s="207">
        <f t="shared" si="31"/>
        <v>182</v>
      </c>
      <c r="AC8" s="207">
        <f t="shared" si="30"/>
        <v>1820</v>
      </c>
      <c r="AD8" s="207">
        <f t="shared" si="32"/>
        <v>182</v>
      </c>
      <c r="AE8" s="207">
        <f t="shared" si="11"/>
        <v>1820</v>
      </c>
      <c r="AF8" s="207">
        <f t="shared" si="33"/>
        <v>182</v>
      </c>
      <c r="AG8" s="207">
        <f t="shared" si="12"/>
        <v>1820</v>
      </c>
      <c r="AH8" s="207">
        <f t="shared" si="34"/>
        <v>182</v>
      </c>
      <c r="AI8" s="207">
        <f t="shared" si="13"/>
        <v>1820</v>
      </c>
      <c r="AJ8" s="207">
        <f t="shared" si="35"/>
        <v>182</v>
      </c>
      <c r="AK8" s="207">
        <f t="shared" si="14"/>
        <v>1820</v>
      </c>
      <c r="AL8" s="207">
        <f t="shared" si="36"/>
        <v>182</v>
      </c>
      <c r="AM8" s="207">
        <f t="shared" si="15"/>
        <v>1820</v>
      </c>
      <c r="AN8" s="35">
        <f t="shared" si="16"/>
        <v>0.65</v>
      </c>
      <c r="AO8" s="36">
        <f t="shared" si="17"/>
        <v>12740</v>
      </c>
      <c r="AQ8" s="227">
        <f t="shared" si="37"/>
        <v>0.58253789810795698</v>
      </c>
      <c r="AR8" s="38">
        <f t="shared" ref="AR8:AR35" si="41">SUM(AO8+Y8)</f>
        <v>54158.548387096758</v>
      </c>
      <c r="AS8" s="201">
        <f t="shared" si="38"/>
        <v>0</v>
      </c>
      <c r="AT8" s="368"/>
      <c r="AU8" s="452"/>
      <c r="AV8" s="540">
        <f t="shared" ref="AV8:AV34" si="42">IF(AT8&gt;0,AU8,AV7)</f>
        <v>0.1</v>
      </c>
      <c r="AW8" s="300">
        <f>-SUM('B5'!AI7)</f>
        <v>0</v>
      </c>
      <c r="AX8" s="300">
        <f t="shared" si="39"/>
        <v>0</v>
      </c>
      <c r="AY8" s="37">
        <f t="shared" si="40"/>
        <v>0</v>
      </c>
      <c r="AZ8" s="101">
        <f>ELEC!A5</f>
        <v>0</v>
      </c>
      <c r="BA8" s="119">
        <f>'General information '!D8</f>
        <v>0</v>
      </c>
      <c r="BB8" s="407">
        <f>SUM('General information '!E8)</f>
        <v>0</v>
      </c>
      <c r="BC8" s="3">
        <f t="shared" ref="BC8:BC33" si="43">IF(AR7&gt;=AR8,0,1)</f>
        <v>0</v>
      </c>
      <c r="BD8" s="103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175</v>
      </c>
      <c r="C9" s="207">
        <f t="shared" si="18"/>
        <v>3765.322580645161</v>
      </c>
      <c r="D9">
        <f t="shared" si="19"/>
        <v>175</v>
      </c>
      <c r="E9" s="207">
        <f t="shared" si="18"/>
        <v>3765.322580645161</v>
      </c>
      <c r="F9">
        <f t="shared" si="20"/>
        <v>175</v>
      </c>
      <c r="G9" s="207">
        <f t="shared" si="1"/>
        <v>3765.322580645161</v>
      </c>
      <c r="H9" s="207">
        <f t="shared" si="21"/>
        <v>175</v>
      </c>
      <c r="I9" s="207">
        <f t="shared" si="2"/>
        <v>3765.322580645161</v>
      </c>
      <c r="J9" s="207">
        <f t="shared" si="22"/>
        <v>175</v>
      </c>
      <c r="K9" s="207">
        <f t="shared" si="3"/>
        <v>3765.322580645161</v>
      </c>
      <c r="L9" s="207">
        <f t="shared" si="23"/>
        <v>175</v>
      </c>
      <c r="M9" s="207">
        <f t="shared" si="4"/>
        <v>3765.322580645161</v>
      </c>
      <c r="N9" s="207">
        <f t="shared" si="24"/>
        <v>175</v>
      </c>
      <c r="O9" s="207">
        <f t="shared" si="5"/>
        <v>3765.322580645161</v>
      </c>
      <c r="P9" s="207">
        <f t="shared" si="25"/>
        <v>175</v>
      </c>
      <c r="Q9" s="207">
        <f t="shared" si="6"/>
        <v>3765.322580645161</v>
      </c>
      <c r="R9" s="207">
        <f t="shared" si="26"/>
        <v>175</v>
      </c>
      <c r="S9" s="207">
        <f t="shared" si="7"/>
        <v>3765.322580645161</v>
      </c>
      <c r="T9" s="207">
        <f t="shared" si="27"/>
        <v>175</v>
      </c>
      <c r="U9" s="207">
        <f t="shared" si="8"/>
        <v>3765.322580645161</v>
      </c>
      <c r="V9" s="207">
        <f t="shared" si="28"/>
        <v>175</v>
      </c>
      <c r="W9" s="207">
        <f t="shared" si="9"/>
        <v>3765.322580645161</v>
      </c>
      <c r="X9" s="35">
        <f t="shared" si="10"/>
        <v>0.5645161290322579</v>
      </c>
      <c r="Y9" s="36">
        <f t="shared" si="29"/>
        <v>41418.548387096758</v>
      </c>
      <c r="Z9" s="207">
        <f>'B5'!C8</f>
        <v>182</v>
      </c>
      <c r="AA9" s="207">
        <f t="shared" si="30"/>
        <v>1820</v>
      </c>
      <c r="AB9" s="207">
        <f t="shared" si="31"/>
        <v>182</v>
      </c>
      <c r="AC9" s="207">
        <f t="shared" si="30"/>
        <v>1820</v>
      </c>
      <c r="AD9" s="207">
        <f t="shared" si="32"/>
        <v>182</v>
      </c>
      <c r="AE9" s="207">
        <f t="shared" si="11"/>
        <v>1820</v>
      </c>
      <c r="AF9" s="207">
        <f t="shared" si="33"/>
        <v>182</v>
      </c>
      <c r="AG9" s="207">
        <f t="shared" si="12"/>
        <v>1820</v>
      </c>
      <c r="AH9" s="207">
        <f t="shared" si="34"/>
        <v>182</v>
      </c>
      <c r="AI9" s="207">
        <f t="shared" si="13"/>
        <v>1820</v>
      </c>
      <c r="AJ9" s="207">
        <f t="shared" si="35"/>
        <v>182</v>
      </c>
      <c r="AK9" s="207">
        <f t="shared" si="14"/>
        <v>1820</v>
      </c>
      <c r="AL9" s="207">
        <f t="shared" si="36"/>
        <v>182</v>
      </c>
      <c r="AM9" s="207">
        <f t="shared" si="15"/>
        <v>1820</v>
      </c>
      <c r="AN9" s="35">
        <f t="shared" si="16"/>
        <v>0.65</v>
      </c>
      <c r="AO9" s="36">
        <f>SUM(AA9+AC9+AE9+AG9+AI9+AK9+AM9)</f>
        <v>12740</v>
      </c>
      <c r="AQ9" s="227">
        <f t="shared" si="37"/>
        <v>0.58253789810795698</v>
      </c>
      <c r="AR9" s="38">
        <f t="shared" si="41"/>
        <v>54158.548387096758</v>
      </c>
      <c r="AS9" s="201">
        <f t="shared" si="38"/>
        <v>0</v>
      </c>
      <c r="AT9" s="368"/>
      <c r="AU9" s="452"/>
      <c r="AV9" s="540">
        <f t="shared" si="42"/>
        <v>0.1</v>
      </c>
      <c r="AW9" s="300">
        <f>-SUM('B5'!AI8)</f>
        <v>0</v>
      </c>
      <c r="AX9" s="300">
        <f>-SUM(AW9-AS9)</f>
        <v>0</v>
      </c>
      <c r="AY9" s="37">
        <f t="shared" si="40"/>
        <v>0</v>
      </c>
      <c r="AZ9" s="101">
        <f>ELEC!A6</f>
        <v>0</v>
      </c>
      <c r="BA9" s="119">
        <f>'General information '!D9</f>
        <v>0</v>
      </c>
      <c r="BB9" s="407">
        <f>SUM('General information '!E9)</f>
        <v>0</v>
      </c>
      <c r="BC9" s="3">
        <f t="shared" si="43"/>
        <v>0</v>
      </c>
      <c r="BD9" s="103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175</v>
      </c>
      <c r="C10" s="207">
        <f t="shared" si="18"/>
        <v>3765.322580645161</v>
      </c>
      <c r="D10">
        <f t="shared" si="19"/>
        <v>175</v>
      </c>
      <c r="E10" s="207">
        <f t="shared" si="18"/>
        <v>3765.322580645161</v>
      </c>
      <c r="F10">
        <f t="shared" si="20"/>
        <v>175</v>
      </c>
      <c r="G10" s="207">
        <f t="shared" si="1"/>
        <v>3765.322580645161</v>
      </c>
      <c r="H10" s="207">
        <f t="shared" si="21"/>
        <v>175</v>
      </c>
      <c r="I10" s="207">
        <f t="shared" si="2"/>
        <v>3765.322580645161</v>
      </c>
      <c r="J10" s="207">
        <f t="shared" si="22"/>
        <v>175</v>
      </c>
      <c r="K10" s="207">
        <f t="shared" si="3"/>
        <v>3765.322580645161</v>
      </c>
      <c r="L10" s="207">
        <f t="shared" si="23"/>
        <v>175</v>
      </c>
      <c r="M10" s="207">
        <f t="shared" si="4"/>
        <v>3765.322580645161</v>
      </c>
      <c r="N10" s="207">
        <f t="shared" si="24"/>
        <v>175</v>
      </c>
      <c r="O10" s="207">
        <f t="shared" si="5"/>
        <v>3765.322580645161</v>
      </c>
      <c r="P10" s="207">
        <f t="shared" si="25"/>
        <v>175</v>
      </c>
      <c r="Q10" s="207">
        <f t="shared" si="6"/>
        <v>3765.322580645161</v>
      </c>
      <c r="R10" s="207">
        <f t="shared" si="26"/>
        <v>175</v>
      </c>
      <c r="S10" s="207">
        <f t="shared" si="7"/>
        <v>3765.322580645161</v>
      </c>
      <c r="T10" s="207">
        <f t="shared" si="27"/>
        <v>175</v>
      </c>
      <c r="U10" s="207">
        <f t="shared" si="8"/>
        <v>3765.322580645161</v>
      </c>
      <c r="V10" s="207">
        <f t="shared" si="28"/>
        <v>175</v>
      </c>
      <c r="W10" s="207">
        <f t="shared" si="9"/>
        <v>3765.322580645161</v>
      </c>
      <c r="X10" s="35">
        <f t="shared" si="10"/>
        <v>0.5645161290322579</v>
      </c>
      <c r="Y10" s="36">
        <f t="shared" si="29"/>
        <v>41418.548387096758</v>
      </c>
      <c r="Z10" s="207">
        <f>'B5'!C9</f>
        <v>182</v>
      </c>
      <c r="AA10" s="207">
        <f t="shared" si="30"/>
        <v>1820</v>
      </c>
      <c r="AB10" s="207">
        <f t="shared" si="31"/>
        <v>182</v>
      </c>
      <c r="AC10" s="207">
        <f t="shared" si="30"/>
        <v>1820</v>
      </c>
      <c r="AD10" s="207">
        <f t="shared" si="32"/>
        <v>182</v>
      </c>
      <c r="AE10" s="207">
        <f t="shared" si="11"/>
        <v>1820</v>
      </c>
      <c r="AF10" s="207">
        <f t="shared" si="33"/>
        <v>182</v>
      </c>
      <c r="AG10" s="207">
        <f t="shared" si="12"/>
        <v>1820</v>
      </c>
      <c r="AH10" s="207">
        <f t="shared" si="34"/>
        <v>182</v>
      </c>
      <c r="AI10" s="207">
        <f t="shared" si="13"/>
        <v>1820</v>
      </c>
      <c r="AJ10" s="207">
        <f t="shared" si="35"/>
        <v>182</v>
      </c>
      <c r="AK10" s="207">
        <f t="shared" si="14"/>
        <v>1820</v>
      </c>
      <c r="AL10" s="207">
        <f t="shared" si="36"/>
        <v>182</v>
      </c>
      <c r="AM10" s="207">
        <f t="shared" si="15"/>
        <v>1820</v>
      </c>
      <c r="AN10" s="35">
        <f t="shared" si="16"/>
        <v>0.65</v>
      </c>
      <c r="AO10" s="36">
        <f t="shared" si="17"/>
        <v>12740</v>
      </c>
      <c r="AQ10" s="227">
        <f t="shared" si="37"/>
        <v>0.58253789810795698</v>
      </c>
      <c r="AR10" s="38">
        <f t="shared" si="41"/>
        <v>54158.548387096758</v>
      </c>
      <c r="AS10" s="201">
        <f>SUM(AR10-AR9-AT10)</f>
        <v>0</v>
      </c>
      <c r="AT10" s="368"/>
      <c r="AU10" s="452"/>
      <c r="AV10" s="540">
        <f>IF(AT10&gt;0,AU10,AV9)</f>
        <v>0.1</v>
      </c>
      <c r="AW10" s="300">
        <f>-SUM('B5'!AI9)</f>
        <v>0</v>
      </c>
      <c r="AX10" s="300">
        <f>-SUM(AW10-AS10)</f>
        <v>0</v>
      </c>
      <c r="AY10" s="37">
        <f t="shared" si="40"/>
        <v>0</v>
      </c>
      <c r="AZ10" s="101">
        <f>ELEC!A7</f>
        <v>0</v>
      </c>
      <c r="BA10" s="119">
        <f>'General information '!D10</f>
        <v>0</v>
      </c>
      <c r="BB10" s="407">
        <f>SUM('General information '!E10)</f>
        <v>0</v>
      </c>
      <c r="BC10" s="3">
        <f t="shared" si="43"/>
        <v>0</v>
      </c>
      <c r="BD10" s="103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175</v>
      </c>
      <c r="C11" s="207">
        <f t="shared" si="18"/>
        <v>3765.322580645161</v>
      </c>
      <c r="D11">
        <f>SUM(B11)</f>
        <v>175</v>
      </c>
      <c r="E11" s="207">
        <f t="shared" si="18"/>
        <v>3765.322580645161</v>
      </c>
      <c r="F11">
        <f>SUM(D11)</f>
        <v>175</v>
      </c>
      <c r="G11" s="207">
        <f t="shared" si="1"/>
        <v>3765.322580645161</v>
      </c>
      <c r="H11" s="207">
        <f>SUM(F11)</f>
        <v>175</v>
      </c>
      <c r="I11" s="207">
        <f t="shared" si="2"/>
        <v>3765.322580645161</v>
      </c>
      <c r="J11" s="207">
        <f>SUM(H11)</f>
        <v>175</v>
      </c>
      <c r="K11" s="207">
        <f t="shared" si="3"/>
        <v>3765.322580645161</v>
      </c>
      <c r="L11" s="207">
        <f>SUM(J11)</f>
        <v>175</v>
      </c>
      <c r="M11" s="207">
        <f t="shared" si="4"/>
        <v>3765.322580645161</v>
      </c>
      <c r="N11" s="207">
        <f>SUM(L11)</f>
        <v>175</v>
      </c>
      <c r="O11" s="207">
        <f t="shared" si="5"/>
        <v>3765.322580645161</v>
      </c>
      <c r="P11" s="207">
        <f>SUM(N11)</f>
        <v>175</v>
      </c>
      <c r="Q11" s="207">
        <f t="shared" si="6"/>
        <v>3765.322580645161</v>
      </c>
      <c r="R11" s="207">
        <f>SUM(P11)</f>
        <v>175</v>
      </c>
      <c r="S11" s="207">
        <f t="shared" si="7"/>
        <v>3765.322580645161</v>
      </c>
      <c r="T11" s="207">
        <f>SUM(R11)</f>
        <v>175</v>
      </c>
      <c r="U11" s="207">
        <f t="shared" si="8"/>
        <v>3765.322580645161</v>
      </c>
      <c r="V11" s="207">
        <f>SUM(T11)</f>
        <v>175</v>
      </c>
      <c r="W11" s="207">
        <f t="shared" si="9"/>
        <v>3765.322580645161</v>
      </c>
      <c r="X11" s="35">
        <f>SUM(Y11/73370)</f>
        <v>0.5645161290322579</v>
      </c>
      <c r="Y11" s="36">
        <f>SUM(C11+E11+G11+I11+K11+M11+O11+Q11+S11+U11+W11)</f>
        <v>41418.548387096758</v>
      </c>
      <c r="Z11" s="207">
        <f>'B5'!C10</f>
        <v>182</v>
      </c>
      <c r="AA11" s="207">
        <f t="shared" si="30"/>
        <v>1820</v>
      </c>
      <c r="AB11" s="207">
        <f>SUM(Z11)</f>
        <v>182</v>
      </c>
      <c r="AC11" s="207">
        <f t="shared" si="30"/>
        <v>1820</v>
      </c>
      <c r="AD11" s="207">
        <f>SUM(AB11)</f>
        <v>182</v>
      </c>
      <c r="AE11" s="207">
        <f t="shared" si="11"/>
        <v>1820</v>
      </c>
      <c r="AF11" s="207">
        <f>SUM(AD11)</f>
        <v>182</v>
      </c>
      <c r="AG11" s="207">
        <f t="shared" si="12"/>
        <v>1820</v>
      </c>
      <c r="AH11" s="207">
        <f>SUM(AF11)</f>
        <v>182</v>
      </c>
      <c r="AI11" s="207">
        <f t="shared" si="13"/>
        <v>1820</v>
      </c>
      <c r="AJ11" s="207">
        <f>SUM(AH11)</f>
        <v>182</v>
      </c>
      <c r="AK11" s="207">
        <f t="shared" si="14"/>
        <v>1820</v>
      </c>
      <c r="AL11" s="207">
        <f>SUM(AJ11)</f>
        <v>182</v>
      </c>
      <c r="AM11" s="207">
        <f t="shared" si="15"/>
        <v>1820</v>
      </c>
      <c r="AN11" s="35">
        <f>SUM(AO11/19600)</f>
        <v>0.65</v>
      </c>
      <c r="AO11" s="36">
        <f t="shared" si="17"/>
        <v>12740</v>
      </c>
      <c r="AQ11" s="227">
        <f t="shared" si="37"/>
        <v>0.58253789810795698</v>
      </c>
      <c r="AR11" s="38">
        <f t="shared" si="41"/>
        <v>54158.548387096758</v>
      </c>
      <c r="AS11" s="201">
        <f>SUM(AR11-AR10-AT11)</f>
        <v>0</v>
      </c>
      <c r="AT11" s="368"/>
      <c r="AU11" s="452"/>
      <c r="AV11" s="540">
        <f>IF(AT11&gt;0,AU11,AV10)</f>
        <v>0.1</v>
      </c>
      <c r="AW11" s="300">
        <f>-SUM('B5'!AI10)</f>
        <v>0</v>
      </c>
      <c r="AX11" s="300">
        <f>-SUM(AW11-AS11)</f>
        <v>0</v>
      </c>
      <c r="AY11" s="37">
        <f t="shared" si="40"/>
        <v>0</v>
      </c>
      <c r="AZ11" s="101">
        <f>ELEC!A8</f>
        <v>0</v>
      </c>
      <c r="BA11" s="119">
        <f>'General information '!D11</f>
        <v>0</v>
      </c>
      <c r="BB11" s="407">
        <f>SUM('General information '!E11)</f>
        <v>0</v>
      </c>
      <c r="BC11" s="3">
        <f t="shared" si="43"/>
        <v>0</v>
      </c>
      <c r="BD11" s="103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175</v>
      </c>
      <c r="C12" s="207">
        <f t="shared" si="18"/>
        <v>3765.322580645161</v>
      </c>
      <c r="D12">
        <f t="shared" si="19"/>
        <v>175</v>
      </c>
      <c r="E12" s="207">
        <f t="shared" si="18"/>
        <v>3765.322580645161</v>
      </c>
      <c r="F12">
        <f t="shared" si="20"/>
        <v>175</v>
      </c>
      <c r="G12" s="207">
        <f t="shared" si="1"/>
        <v>3765.322580645161</v>
      </c>
      <c r="H12" s="207">
        <f t="shared" si="21"/>
        <v>175</v>
      </c>
      <c r="I12" s="207">
        <f t="shared" si="2"/>
        <v>3765.322580645161</v>
      </c>
      <c r="J12" s="207">
        <f t="shared" si="22"/>
        <v>175</v>
      </c>
      <c r="K12" s="207">
        <f t="shared" si="3"/>
        <v>3765.322580645161</v>
      </c>
      <c r="L12" s="207">
        <f t="shared" si="23"/>
        <v>175</v>
      </c>
      <c r="M12" s="207">
        <f t="shared" si="4"/>
        <v>3765.322580645161</v>
      </c>
      <c r="N12" s="207">
        <f t="shared" si="24"/>
        <v>175</v>
      </c>
      <c r="O12" s="207">
        <f t="shared" si="5"/>
        <v>3765.322580645161</v>
      </c>
      <c r="P12" s="207">
        <f t="shared" si="25"/>
        <v>175</v>
      </c>
      <c r="Q12" s="207">
        <f t="shared" si="6"/>
        <v>3765.322580645161</v>
      </c>
      <c r="R12" s="207">
        <f t="shared" si="26"/>
        <v>175</v>
      </c>
      <c r="S12" s="207">
        <f t="shared" si="7"/>
        <v>3765.322580645161</v>
      </c>
      <c r="T12" s="207">
        <f t="shared" si="27"/>
        <v>175</v>
      </c>
      <c r="U12" s="207">
        <f t="shared" si="8"/>
        <v>3765.322580645161</v>
      </c>
      <c r="V12" s="207">
        <f t="shared" si="28"/>
        <v>175</v>
      </c>
      <c r="W12" s="207">
        <f t="shared" si="9"/>
        <v>3765.322580645161</v>
      </c>
      <c r="X12" s="35">
        <f t="shared" si="10"/>
        <v>0.5645161290322579</v>
      </c>
      <c r="Y12" s="36">
        <f t="shared" si="29"/>
        <v>41418.548387096758</v>
      </c>
      <c r="Z12" s="207">
        <f>'B5'!C11</f>
        <v>182</v>
      </c>
      <c r="AA12" s="207">
        <f t="shared" si="30"/>
        <v>1820</v>
      </c>
      <c r="AB12" s="207">
        <f t="shared" si="31"/>
        <v>182</v>
      </c>
      <c r="AC12" s="207">
        <f t="shared" si="30"/>
        <v>1820</v>
      </c>
      <c r="AD12" s="207">
        <f t="shared" si="32"/>
        <v>182</v>
      </c>
      <c r="AE12" s="207">
        <f t="shared" si="11"/>
        <v>1820</v>
      </c>
      <c r="AF12" s="207">
        <f t="shared" si="33"/>
        <v>182</v>
      </c>
      <c r="AG12" s="207">
        <f t="shared" si="12"/>
        <v>1820</v>
      </c>
      <c r="AH12" s="207">
        <f t="shared" si="34"/>
        <v>182</v>
      </c>
      <c r="AI12" s="207">
        <f t="shared" si="13"/>
        <v>1820</v>
      </c>
      <c r="AJ12" s="207">
        <f t="shared" si="35"/>
        <v>182</v>
      </c>
      <c r="AK12" s="207">
        <f t="shared" si="14"/>
        <v>1820</v>
      </c>
      <c r="AL12" s="207">
        <f t="shared" si="36"/>
        <v>182</v>
      </c>
      <c r="AM12" s="207">
        <f t="shared" si="15"/>
        <v>1820</v>
      </c>
      <c r="AN12" s="35">
        <f t="shared" si="16"/>
        <v>0.65</v>
      </c>
      <c r="AO12" s="36">
        <f t="shared" si="17"/>
        <v>12740</v>
      </c>
      <c r="AQ12" s="227">
        <f t="shared" si="37"/>
        <v>0.58253789810795698</v>
      </c>
      <c r="AR12" s="38">
        <f t="shared" si="41"/>
        <v>54158.548387096758</v>
      </c>
      <c r="AS12" s="201">
        <f t="shared" si="38"/>
        <v>0</v>
      </c>
      <c r="AT12" s="278"/>
      <c r="AU12" s="496"/>
      <c r="AV12" s="540">
        <f t="shared" si="42"/>
        <v>0.1</v>
      </c>
      <c r="AW12" s="300">
        <f>-SUM('B5'!AI11)</f>
        <v>0</v>
      </c>
      <c r="AX12" s="300">
        <f t="shared" si="39"/>
        <v>0</v>
      </c>
      <c r="AY12" s="37">
        <f t="shared" si="40"/>
        <v>0</v>
      </c>
      <c r="AZ12" s="101">
        <f>ELEC!A9</f>
        <v>0</v>
      </c>
      <c r="BA12" s="119">
        <f>'General information '!D12</f>
        <v>0</v>
      </c>
      <c r="BB12" s="407">
        <f>SUM('General information '!E12)</f>
        <v>0</v>
      </c>
      <c r="BC12" s="3">
        <f t="shared" si="43"/>
        <v>0</v>
      </c>
      <c r="BD12" s="103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175</v>
      </c>
      <c r="C13" s="207">
        <f t="shared" si="18"/>
        <v>3765.322580645161</v>
      </c>
      <c r="D13">
        <f t="shared" si="19"/>
        <v>175</v>
      </c>
      <c r="E13" s="207">
        <f t="shared" si="18"/>
        <v>3765.322580645161</v>
      </c>
      <c r="F13">
        <f t="shared" si="20"/>
        <v>175</v>
      </c>
      <c r="G13" s="207">
        <f t="shared" si="1"/>
        <v>3765.322580645161</v>
      </c>
      <c r="H13" s="207">
        <f t="shared" si="21"/>
        <v>175</v>
      </c>
      <c r="I13" s="207">
        <f t="shared" si="2"/>
        <v>3765.322580645161</v>
      </c>
      <c r="J13" s="207">
        <f t="shared" si="22"/>
        <v>175</v>
      </c>
      <c r="K13" s="207">
        <f t="shared" si="3"/>
        <v>3765.322580645161</v>
      </c>
      <c r="L13" s="207">
        <f t="shared" si="23"/>
        <v>175</v>
      </c>
      <c r="M13" s="207">
        <f t="shared" si="4"/>
        <v>3765.322580645161</v>
      </c>
      <c r="N13" s="207">
        <f t="shared" si="24"/>
        <v>175</v>
      </c>
      <c r="O13" s="207">
        <f t="shared" si="5"/>
        <v>3765.322580645161</v>
      </c>
      <c r="P13" s="207">
        <f t="shared" si="25"/>
        <v>175</v>
      </c>
      <c r="Q13" s="207">
        <f t="shared" si="6"/>
        <v>3765.322580645161</v>
      </c>
      <c r="R13" s="207">
        <f t="shared" si="26"/>
        <v>175</v>
      </c>
      <c r="S13" s="207">
        <f t="shared" si="7"/>
        <v>3765.322580645161</v>
      </c>
      <c r="T13" s="207">
        <f t="shared" si="27"/>
        <v>175</v>
      </c>
      <c r="U13" s="207">
        <f t="shared" si="8"/>
        <v>3765.322580645161</v>
      </c>
      <c r="V13" s="207">
        <f t="shared" si="28"/>
        <v>175</v>
      </c>
      <c r="W13" s="207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7">
        <f>'B5'!C12</f>
        <v>182</v>
      </c>
      <c r="AA13" s="207">
        <f t="shared" si="30"/>
        <v>1820</v>
      </c>
      <c r="AB13" s="207">
        <f t="shared" si="31"/>
        <v>182</v>
      </c>
      <c r="AC13" s="207">
        <f t="shared" si="30"/>
        <v>1820</v>
      </c>
      <c r="AD13" s="207">
        <f t="shared" si="32"/>
        <v>182</v>
      </c>
      <c r="AE13" s="207">
        <f t="shared" si="11"/>
        <v>1820</v>
      </c>
      <c r="AF13" s="207">
        <f t="shared" si="33"/>
        <v>182</v>
      </c>
      <c r="AG13" s="207">
        <f t="shared" si="12"/>
        <v>1820</v>
      </c>
      <c r="AH13" s="207">
        <f t="shared" si="34"/>
        <v>182</v>
      </c>
      <c r="AI13" s="207">
        <f t="shared" si="13"/>
        <v>1820</v>
      </c>
      <c r="AJ13" s="207">
        <f t="shared" si="35"/>
        <v>182</v>
      </c>
      <c r="AK13" s="207">
        <f t="shared" si="14"/>
        <v>1820</v>
      </c>
      <c r="AL13" s="207">
        <f t="shared" si="36"/>
        <v>182</v>
      </c>
      <c r="AM13" s="207">
        <f t="shared" si="15"/>
        <v>1820</v>
      </c>
      <c r="AN13" s="35">
        <f t="shared" si="16"/>
        <v>0.65</v>
      </c>
      <c r="AO13" s="36">
        <f t="shared" si="17"/>
        <v>12740</v>
      </c>
      <c r="AQ13" s="227">
        <f t="shared" si="37"/>
        <v>0.58253789810795698</v>
      </c>
      <c r="AR13" s="38">
        <f t="shared" si="41"/>
        <v>54158.548387096758</v>
      </c>
      <c r="AS13" s="201">
        <f t="shared" si="38"/>
        <v>0</v>
      </c>
      <c r="AT13" s="278"/>
      <c r="AU13" s="452"/>
      <c r="AV13" s="540">
        <f t="shared" si="42"/>
        <v>0.1</v>
      </c>
      <c r="AW13" s="300">
        <f>-SUM('B5'!AI12)</f>
        <v>0</v>
      </c>
      <c r="AX13" s="300">
        <f t="shared" si="39"/>
        <v>0</v>
      </c>
      <c r="AY13" s="37">
        <f t="shared" si="40"/>
        <v>0</v>
      </c>
      <c r="AZ13" s="101">
        <f>ELEC!A10</f>
        <v>0</v>
      </c>
      <c r="BA13" s="119">
        <f>'General information '!D13</f>
        <v>0</v>
      </c>
      <c r="BB13" s="407">
        <f>SUM('General information '!E13)</f>
        <v>0</v>
      </c>
      <c r="BC13" s="3">
        <f t="shared" si="43"/>
        <v>0</v>
      </c>
      <c r="BD13" s="103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175</v>
      </c>
      <c r="C14" s="207">
        <f t="shared" si="18"/>
        <v>3765.322580645161</v>
      </c>
      <c r="D14">
        <f t="shared" si="19"/>
        <v>175</v>
      </c>
      <c r="E14" s="207">
        <f t="shared" si="18"/>
        <v>3765.322580645161</v>
      </c>
      <c r="F14">
        <f t="shared" si="20"/>
        <v>175</v>
      </c>
      <c r="G14" s="207">
        <f t="shared" si="1"/>
        <v>3765.322580645161</v>
      </c>
      <c r="H14" s="207">
        <f t="shared" si="21"/>
        <v>175</v>
      </c>
      <c r="I14" s="207">
        <f t="shared" si="2"/>
        <v>3765.322580645161</v>
      </c>
      <c r="J14" s="207">
        <f t="shared" si="22"/>
        <v>175</v>
      </c>
      <c r="K14" s="207">
        <f t="shared" si="3"/>
        <v>3765.322580645161</v>
      </c>
      <c r="L14" s="207">
        <f t="shared" si="23"/>
        <v>175</v>
      </c>
      <c r="M14" s="207">
        <f t="shared" si="4"/>
        <v>3765.322580645161</v>
      </c>
      <c r="N14" s="207">
        <f t="shared" si="24"/>
        <v>175</v>
      </c>
      <c r="O14" s="207">
        <f t="shared" si="5"/>
        <v>3765.322580645161</v>
      </c>
      <c r="P14" s="207">
        <f t="shared" si="25"/>
        <v>175</v>
      </c>
      <c r="Q14" s="207">
        <f t="shared" si="6"/>
        <v>3765.322580645161</v>
      </c>
      <c r="R14" s="207">
        <f t="shared" si="26"/>
        <v>175</v>
      </c>
      <c r="S14" s="207">
        <f t="shared" si="7"/>
        <v>3765.322580645161</v>
      </c>
      <c r="T14" s="207">
        <f t="shared" si="27"/>
        <v>175</v>
      </c>
      <c r="U14" s="207">
        <f t="shared" si="8"/>
        <v>3765.322580645161</v>
      </c>
      <c r="V14" s="207">
        <f t="shared" si="28"/>
        <v>175</v>
      </c>
      <c r="W14" s="207">
        <f t="shared" si="9"/>
        <v>3765.322580645161</v>
      </c>
      <c r="X14" s="35">
        <f t="shared" si="10"/>
        <v>0.5645161290322579</v>
      </c>
      <c r="Y14" s="36">
        <f t="shared" si="29"/>
        <v>41418.548387096758</v>
      </c>
      <c r="Z14" s="207">
        <f>'B5'!C13</f>
        <v>182</v>
      </c>
      <c r="AA14" s="207">
        <f t="shared" si="30"/>
        <v>1820</v>
      </c>
      <c r="AB14" s="207">
        <f t="shared" si="31"/>
        <v>182</v>
      </c>
      <c r="AC14" s="207">
        <f t="shared" si="30"/>
        <v>1820</v>
      </c>
      <c r="AD14" s="207">
        <f t="shared" si="32"/>
        <v>182</v>
      </c>
      <c r="AE14" s="207">
        <f t="shared" si="11"/>
        <v>1820</v>
      </c>
      <c r="AF14" s="207">
        <f t="shared" si="33"/>
        <v>182</v>
      </c>
      <c r="AG14" s="207">
        <f t="shared" si="12"/>
        <v>1820</v>
      </c>
      <c r="AH14" s="207">
        <f t="shared" si="34"/>
        <v>182</v>
      </c>
      <c r="AI14" s="207">
        <f t="shared" si="13"/>
        <v>1820</v>
      </c>
      <c r="AJ14" s="207">
        <f t="shared" si="35"/>
        <v>182</v>
      </c>
      <c r="AK14" s="207">
        <f t="shared" si="14"/>
        <v>1820</v>
      </c>
      <c r="AL14" s="207">
        <f t="shared" si="36"/>
        <v>182</v>
      </c>
      <c r="AM14" s="207">
        <f t="shared" si="15"/>
        <v>1820</v>
      </c>
      <c r="AN14" s="35">
        <f t="shared" si="16"/>
        <v>0.65</v>
      </c>
      <c r="AO14" s="36">
        <f t="shared" si="17"/>
        <v>12740</v>
      </c>
      <c r="AQ14" s="227">
        <f t="shared" si="37"/>
        <v>0.58253789810795698</v>
      </c>
      <c r="AR14" s="38">
        <f t="shared" si="41"/>
        <v>54158.548387096758</v>
      </c>
      <c r="AS14" s="201">
        <f t="shared" si="38"/>
        <v>0</v>
      </c>
      <c r="AT14" s="278"/>
      <c r="AU14" s="496"/>
      <c r="AV14" s="540">
        <f t="shared" si="42"/>
        <v>0.1</v>
      </c>
      <c r="AW14" s="300">
        <f>-SUM('B5'!AI13)</f>
        <v>0</v>
      </c>
      <c r="AX14" s="300">
        <f t="shared" si="39"/>
        <v>0</v>
      </c>
      <c r="AY14" s="37">
        <f t="shared" si="40"/>
        <v>0</v>
      </c>
      <c r="AZ14" s="101">
        <f>ELEC!A11</f>
        <v>0</v>
      </c>
      <c r="BA14" s="119">
        <f>'General information '!D14</f>
        <v>0</v>
      </c>
      <c r="BB14" s="407">
        <f>SUM('General information '!E14)</f>
        <v>0</v>
      </c>
      <c r="BC14" s="3">
        <f t="shared" si="43"/>
        <v>0</v>
      </c>
      <c r="BD14" s="103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175</v>
      </c>
      <c r="C15" s="207">
        <f t="shared" si="18"/>
        <v>3765.322580645161</v>
      </c>
      <c r="D15">
        <f t="shared" si="19"/>
        <v>175</v>
      </c>
      <c r="E15" s="207">
        <f t="shared" si="18"/>
        <v>3765.322580645161</v>
      </c>
      <c r="F15">
        <f t="shared" si="20"/>
        <v>175</v>
      </c>
      <c r="G15" s="207">
        <f t="shared" si="1"/>
        <v>3765.322580645161</v>
      </c>
      <c r="H15" s="207">
        <f t="shared" si="21"/>
        <v>175</v>
      </c>
      <c r="I15" s="207">
        <f t="shared" si="2"/>
        <v>3765.322580645161</v>
      </c>
      <c r="J15" s="207">
        <f t="shared" si="22"/>
        <v>175</v>
      </c>
      <c r="K15" s="207">
        <f t="shared" si="3"/>
        <v>3765.322580645161</v>
      </c>
      <c r="L15" s="207">
        <f t="shared" si="23"/>
        <v>175</v>
      </c>
      <c r="M15" s="207">
        <f t="shared" si="4"/>
        <v>3765.322580645161</v>
      </c>
      <c r="N15" s="207">
        <f t="shared" si="24"/>
        <v>175</v>
      </c>
      <c r="O15" s="207">
        <f t="shared" si="5"/>
        <v>3765.322580645161</v>
      </c>
      <c r="P15" s="207">
        <f t="shared" si="25"/>
        <v>175</v>
      </c>
      <c r="Q15" s="207">
        <f t="shared" si="6"/>
        <v>3765.322580645161</v>
      </c>
      <c r="R15" s="207">
        <f t="shared" si="26"/>
        <v>175</v>
      </c>
      <c r="S15" s="207">
        <f t="shared" si="7"/>
        <v>3765.322580645161</v>
      </c>
      <c r="T15" s="207">
        <f t="shared" si="27"/>
        <v>175</v>
      </c>
      <c r="U15" s="207">
        <f t="shared" si="8"/>
        <v>3765.322580645161</v>
      </c>
      <c r="V15" s="207">
        <f t="shared" si="28"/>
        <v>175</v>
      </c>
      <c r="W15" s="207">
        <f t="shared" si="9"/>
        <v>3765.322580645161</v>
      </c>
      <c r="X15" s="35">
        <f t="shared" si="10"/>
        <v>0.5645161290322579</v>
      </c>
      <c r="Y15" s="36">
        <f t="shared" si="29"/>
        <v>41418.548387096758</v>
      </c>
      <c r="Z15" s="207">
        <f>'B5'!C14</f>
        <v>182</v>
      </c>
      <c r="AA15" s="207">
        <f t="shared" si="30"/>
        <v>1820</v>
      </c>
      <c r="AB15" s="207">
        <f t="shared" si="31"/>
        <v>182</v>
      </c>
      <c r="AC15" s="207">
        <f t="shared" si="30"/>
        <v>1820</v>
      </c>
      <c r="AD15" s="207">
        <f t="shared" si="32"/>
        <v>182</v>
      </c>
      <c r="AE15" s="207">
        <f t="shared" si="11"/>
        <v>1820</v>
      </c>
      <c r="AF15" s="207">
        <f t="shared" si="33"/>
        <v>182</v>
      </c>
      <c r="AG15" s="207">
        <f t="shared" si="12"/>
        <v>1820</v>
      </c>
      <c r="AH15" s="207">
        <f t="shared" si="34"/>
        <v>182</v>
      </c>
      <c r="AI15" s="207">
        <f t="shared" si="13"/>
        <v>1820</v>
      </c>
      <c r="AJ15" s="207">
        <f t="shared" si="35"/>
        <v>182</v>
      </c>
      <c r="AK15" s="207">
        <f t="shared" si="14"/>
        <v>1820</v>
      </c>
      <c r="AL15" s="207">
        <f t="shared" si="36"/>
        <v>182</v>
      </c>
      <c r="AM15" s="207">
        <f t="shared" si="15"/>
        <v>1820</v>
      </c>
      <c r="AN15" s="35">
        <f t="shared" si="16"/>
        <v>0.65</v>
      </c>
      <c r="AO15" s="36">
        <f t="shared" si="17"/>
        <v>12740</v>
      </c>
      <c r="AQ15" s="227">
        <f t="shared" si="37"/>
        <v>0.58253789810795698</v>
      </c>
      <c r="AR15" s="38">
        <f t="shared" si="41"/>
        <v>54158.548387096758</v>
      </c>
      <c r="AS15" s="201">
        <f>SUM(AR15-AR14-AT15)</f>
        <v>0</v>
      </c>
      <c r="AT15" s="278"/>
      <c r="AU15" s="452"/>
      <c r="AV15" s="540">
        <f>IF(AT15&gt;0,AU15,AV14)</f>
        <v>0.1</v>
      </c>
      <c r="AW15" s="300">
        <f>-SUM('B5'!AI14)</f>
        <v>0</v>
      </c>
      <c r="AX15" s="300">
        <f>-SUM(AW15-AS15)</f>
        <v>0</v>
      </c>
      <c r="AY15" s="37">
        <f t="shared" si="40"/>
        <v>0</v>
      </c>
      <c r="AZ15" s="101">
        <f>ELEC!A12</f>
        <v>0</v>
      </c>
      <c r="BA15" s="119">
        <f>'General information '!D15</f>
        <v>0</v>
      </c>
      <c r="BB15" s="407">
        <f>SUM('General information '!E15)</f>
        <v>0</v>
      </c>
      <c r="BC15" s="3">
        <f t="shared" si="43"/>
        <v>0</v>
      </c>
      <c r="BD15" s="103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175</v>
      </c>
      <c r="C16" s="207">
        <f t="shared" si="18"/>
        <v>3765.322580645161</v>
      </c>
      <c r="D16">
        <f t="shared" si="19"/>
        <v>175</v>
      </c>
      <c r="E16" s="207">
        <f t="shared" si="18"/>
        <v>3765.322580645161</v>
      </c>
      <c r="F16">
        <f t="shared" si="20"/>
        <v>175</v>
      </c>
      <c r="G16" s="207">
        <f t="shared" si="1"/>
        <v>3765.322580645161</v>
      </c>
      <c r="H16" s="207">
        <f t="shared" si="21"/>
        <v>175</v>
      </c>
      <c r="I16" s="207">
        <f t="shared" si="2"/>
        <v>3765.322580645161</v>
      </c>
      <c r="J16" s="207">
        <f t="shared" si="22"/>
        <v>175</v>
      </c>
      <c r="K16" s="207">
        <f t="shared" si="3"/>
        <v>3765.322580645161</v>
      </c>
      <c r="L16" s="207">
        <f t="shared" si="23"/>
        <v>175</v>
      </c>
      <c r="M16" s="207">
        <f t="shared" si="4"/>
        <v>3765.322580645161</v>
      </c>
      <c r="N16" s="207">
        <f t="shared" si="24"/>
        <v>175</v>
      </c>
      <c r="O16" s="207">
        <f t="shared" si="5"/>
        <v>3765.322580645161</v>
      </c>
      <c r="P16" s="207">
        <f t="shared" si="25"/>
        <v>175</v>
      </c>
      <c r="Q16" s="207">
        <f t="shared" si="6"/>
        <v>3765.322580645161</v>
      </c>
      <c r="R16" s="207">
        <f t="shared" si="26"/>
        <v>175</v>
      </c>
      <c r="S16" s="207">
        <f t="shared" si="7"/>
        <v>3765.322580645161</v>
      </c>
      <c r="T16" s="207">
        <f t="shared" si="27"/>
        <v>175</v>
      </c>
      <c r="U16" s="207">
        <f t="shared" si="8"/>
        <v>3765.322580645161</v>
      </c>
      <c r="V16" s="207">
        <f t="shared" si="28"/>
        <v>175</v>
      </c>
      <c r="W16" s="207">
        <f t="shared" si="9"/>
        <v>3765.322580645161</v>
      </c>
      <c r="X16" s="35">
        <f t="shared" si="10"/>
        <v>0.5645161290322579</v>
      </c>
      <c r="Y16" s="36">
        <f t="shared" si="29"/>
        <v>41418.548387096758</v>
      </c>
      <c r="Z16" s="207">
        <f>'B5'!C15</f>
        <v>182</v>
      </c>
      <c r="AA16" s="207">
        <f t="shared" si="30"/>
        <v>1820</v>
      </c>
      <c r="AB16" s="207">
        <f t="shared" si="31"/>
        <v>182</v>
      </c>
      <c r="AC16" s="207">
        <f t="shared" si="30"/>
        <v>1820</v>
      </c>
      <c r="AD16" s="207">
        <f t="shared" si="32"/>
        <v>182</v>
      </c>
      <c r="AE16" s="207">
        <f t="shared" si="11"/>
        <v>1820</v>
      </c>
      <c r="AF16" s="207">
        <f t="shared" si="33"/>
        <v>182</v>
      </c>
      <c r="AG16" s="207">
        <f t="shared" si="12"/>
        <v>1820</v>
      </c>
      <c r="AH16" s="207">
        <f t="shared" si="34"/>
        <v>182</v>
      </c>
      <c r="AI16" s="207">
        <f t="shared" si="13"/>
        <v>1820</v>
      </c>
      <c r="AJ16" s="207">
        <f t="shared" si="35"/>
        <v>182</v>
      </c>
      <c r="AK16" s="207">
        <f t="shared" si="14"/>
        <v>1820</v>
      </c>
      <c r="AL16" s="207">
        <f t="shared" si="36"/>
        <v>182</v>
      </c>
      <c r="AM16" s="207">
        <f t="shared" si="15"/>
        <v>1820</v>
      </c>
      <c r="AN16" s="35">
        <f t="shared" si="16"/>
        <v>0.65</v>
      </c>
      <c r="AO16" s="36">
        <f t="shared" si="17"/>
        <v>12740</v>
      </c>
      <c r="AQ16" s="227">
        <f t="shared" si="37"/>
        <v>0.58253789810795698</v>
      </c>
      <c r="AR16" s="38">
        <f t="shared" si="41"/>
        <v>54158.548387096758</v>
      </c>
      <c r="AS16" s="201">
        <f>SUM(AR16-AR15-AT16)</f>
        <v>0</v>
      </c>
      <c r="AT16" s="278"/>
      <c r="AU16" s="452"/>
      <c r="AV16" s="540">
        <f>IF(AT16&gt;0,AU16,AV15)</f>
        <v>0.1</v>
      </c>
      <c r="AW16" s="300">
        <f>-SUM('B5'!AI15)</f>
        <v>0</v>
      </c>
      <c r="AX16" s="300">
        <f>-SUM(AW16-AS16)</f>
        <v>0</v>
      </c>
      <c r="AY16" s="37">
        <f t="shared" si="40"/>
        <v>0</v>
      </c>
      <c r="AZ16" s="101">
        <f>ELEC!A13</f>
        <v>0</v>
      </c>
      <c r="BA16" s="119">
        <f>'General information '!D16</f>
        <v>0</v>
      </c>
      <c r="BB16" s="407">
        <f>SUM('General information '!E16)</f>
        <v>0</v>
      </c>
      <c r="BC16" s="3">
        <f t="shared" si="43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175</v>
      </c>
      <c r="C17" s="207">
        <f t="shared" si="18"/>
        <v>3765.322580645161</v>
      </c>
      <c r="D17">
        <f t="shared" si="19"/>
        <v>175</v>
      </c>
      <c r="E17" s="207">
        <f t="shared" si="18"/>
        <v>3765.322580645161</v>
      </c>
      <c r="F17">
        <f t="shared" si="20"/>
        <v>175</v>
      </c>
      <c r="G17" s="207">
        <f t="shared" si="1"/>
        <v>3765.322580645161</v>
      </c>
      <c r="H17" s="207">
        <f t="shared" si="21"/>
        <v>175</v>
      </c>
      <c r="I17" s="207">
        <f t="shared" si="2"/>
        <v>3765.322580645161</v>
      </c>
      <c r="J17" s="207">
        <f t="shared" si="22"/>
        <v>175</v>
      </c>
      <c r="K17" s="207">
        <f t="shared" si="3"/>
        <v>3765.322580645161</v>
      </c>
      <c r="L17" s="207">
        <f t="shared" si="23"/>
        <v>175</v>
      </c>
      <c r="M17" s="207">
        <f t="shared" si="4"/>
        <v>3765.322580645161</v>
      </c>
      <c r="N17" s="207">
        <f t="shared" si="24"/>
        <v>175</v>
      </c>
      <c r="O17" s="207">
        <f t="shared" si="5"/>
        <v>3765.322580645161</v>
      </c>
      <c r="P17" s="207">
        <f t="shared" si="25"/>
        <v>175</v>
      </c>
      <c r="Q17" s="207">
        <f t="shared" si="6"/>
        <v>3765.322580645161</v>
      </c>
      <c r="R17" s="207">
        <f t="shared" si="26"/>
        <v>175</v>
      </c>
      <c r="S17" s="207">
        <f t="shared" si="7"/>
        <v>3765.322580645161</v>
      </c>
      <c r="T17" s="207">
        <f t="shared" si="27"/>
        <v>175</v>
      </c>
      <c r="U17" s="207">
        <f t="shared" si="8"/>
        <v>3765.322580645161</v>
      </c>
      <c r="V17" s="207">
        <f t="shared" si="28"/>
        <v>175</v>
      </c>
      <c r="W17" s="207">
        <f t="shared" si="9"/>
        <v>3765.322580645161</v>
      </c>
      <c r="X17" s="35">
        <f t="shared" si="10"/>
        <v>0.5645161290322579</v>
      </c>
      <c r="Y17" s="36">
        <f t="shared" si="29"/>
        <v>41418.548387096758</v>
      </c>
      <c r="Z17" s="207">
        <f>'B5'!C16</f>
        <v>182</v>
      </c>
      <c r="AA17" s="207">
        <f t="shared" si="30"/>
        <v>1820</v>
      </c>
      <c r="AB17" s="207">
        <f t="shared" si="31"/>
        <v>182</v>
      </c>
      <c r="AC17" s="207">
        <f t="shared" si="30"/>
        <v>1820</v>
      </c>
      <c r="AD17" s="207">
        <f t="shared" si="32"/>
        <v>182</v>
      </c>
      <c r="AE17" s="207">
        <f t="shared" si="11"/>
        <v>1820</v>
      </c>
      <c r="AF17" s="207">
        <f t="shared" si="33"/>
        <v>182</v>
      </c>
      <c r="AG17" s="207">
        <f t="shared" si="12"/>
        <v>1820</v>
      </c>
      <c r="AH17" s="207">
        <f t="shared" si="34"/>
        <v>182</v>
      </c>
      <c r="AI17" s="207">
        <f t="shared" si="13"/>
        <v>1820</v>
      </c>
      <c r="AJ17" s="207">
        <f t="shared" si="35"/>
        <v>182</v>
      </c>
      <c r="AK17" s="207">
        <f t="shared" si="14"/>
        <v>1820</v>
      </c>
      <c r="AL17" s="207">
        <f t="shared" si="36"/>
        <v>182</v>
      </c>
      <c r="AM17" s="207">
        <f t="shared" si="15"/>
        <v>1820</v>
      </c>
      <c r="AN17" s="35">
        <f t="shared" si="16"/>
        <v>0.65</v>
      </c>
      <c r="AO17" s="36">
        <f>SUM(AA17+AC17+AE17+AG17+AI17+AK17+AM17)</f>
        <v>12740</v>
      </c>
      <c r="AQ17" s="227">
        <f t="shared" si="37"/>
        <v>0.58253789810795698</v>
      </c>
      <c r="AR17" s="38">
        <f t="shared" si="41"/>
        <v>54158.548387096758</v>
      </c>
      <c r="AS17" s="201">
        <f t="shared" si="38"/>
        <v>0</v>
      </c>
      <c r="AT17" s="368"/>
      <c r="AU17" s="496"/>
      <c r="AV17" s="540">
        <f t="shared" si="42"/>
        <v>0.1</v>
      </c>
      <c r="AW17" s="300">
        <f>-SUM('B5'!AI16)</f>
        <v>0</v>
      </c>
      <c r="AX17" s="300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07">
        <f>SUM('General information '!E17)</f>
        <v>0</v>
      </c>
      <c r="BC17" s="3">
        <f t="shared" si="43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175</v>
      </c>
      <c r="C18" s="207">
        <f t="shared" si="18"/>
        <v>3765.322580645161</v>
      </c>
      <c r="D18">
        <f t="shared" si="19"/>
        <v>175</v>
      </c>
      <c r="E18" s="207">
        <f t="shared" si="18"/>
        <v>3765.322580645161</v>
      </c>
      <c r="F18">
        <f t="shared" si="20"/>
        <v>175</v>
      </c>
      <c r="G18" s="207">
        <f t="shared" si="1"/>
        <v>3765.322580645161</v>
      </c>
      <c r="H18" s="207">
        <f t="shared" si="21"/>
        <v>175</v>
      </c>
      <c r="I18" s="207">
        <f t="shared" si="2"/>
        <v>3765.322580645161</v>
      </c>
      <c r="J18" s="207">
        <f t="shared" si="22"/>
        <v>175</v>
      </c>
      <c r="K18" s="207">
        <f t="shared" si="3"/>
        <v>3765.322580645161</v>
      </c>
      <c r="L18" s="207">
        <f t="shared" si="23"/>
        <v>175</v>
      </c>
      <c r="M18" s="207">
        <f t="shared" si="4"/>
        <v>3765.322580645161</v>
      </c>
      <c r="N18" s="207">
        <f t="shared" si="24"/>
        <v>175</v>
      </c>
      <c r="O18" s="207">
        <f t="shared" si="5"/>
        <v>3765.322580645161</v>
      </c>
      <c r="P18" s="207">
        <f t="shared" si="25"/>
        <v>175</v>
      </c>
      <c r="Q18" s="207">
        <f t="shared" si="6"/>
        <v>3765.322580645161</v>
      </c>
      <c r="R18" s="207">
        <f t="shared" si="26"/>
        <v>175</v>
      </c>
      <c r="S18" s="207">
        <f t="shared" si="7"/>
        <v>3765.322580645161</v>
      </c>
      <c r="T18" s="207">
        <f t="shared" si="27"/>
        <v>175</v>
      </c>
      <c r="U18" s="207">
        <f t="shared" si="8"/>
        <v>3765.322580645161</v>
      </c>
      <c r="V18" s="207">
        <f t="shared" si="28"/>
        <v>175</v>
      </c>
      <c r="W18" s="207">
        <f t="shared" si="9"/>
        <v>3765.322580645161</v>
      </c>
      <c r="X18" s="35">
        <f t="shared" si="10"/>
        <v>0.5645161290322579</v>
      </c>
      <c r="Y18" s="36">
        <f t="shared" si="29"/>
        <v>41418.548387096758</v>
      </c>
      <c r="Z18" s="207">
        <f>'B5'!C17</f>
        <v>182</v>
      </c>
      <c r="AA18" s="207">
        <f t="shared" si="30"/>
        <v>1820</v>
      </c>
      <c r="AB18" s="207">
        <f t="shared" si="31"/>
        <v>182</v>
      </c>
      <c r="AC18" s="207">
        <f t="shared" si="30"/>
        <v>1820</v>
      </c>
      <c r="AD18" s="207">
        <f t="shared" si="32"/>
        <v>182</v>
      </c>
      <c r="AE18" s="207">
        <f t="shared" si="11"/>
        <v>1820</v>
      </c>
      <c r="AF18" s="207">
        <f t="shared" si="33"/>
        <v>182</v>
      </c>
      <c r="AG18" s="207">
        <f t="shared" si="12"/>
        <v>1820</v>
      </c>
      <c r="AH18" s="207">
        <f t="shared" si="34"/>
        <v>182</v>
      </c>
      <c r="AI18" s="207">
        <f t="shared" si="13"/>
        <v>1820</v>
      </c>
      <c r="AJ18" s="207">
        <f t="shared" si="35"/>
        <v>182</v>
      </c>
      <c r="AK18" s="207">
        <f t="shared" si="14"/>
        <v>1820</v>
      </c>
      <c r="AL18" s="207">
        <f t="shared" si="36"/>
        <v>182</v>
      </c>
      <c r="AM18" s="207">
        <f t="shared" si="15"/>
        <v>1820</v>
      </c>
      <c r="AN18" s="35">
        <f t="shared" si="16"/>
        <v>0.65</v>
      </c>
      <c r="AO18" s="36">
        <f t="shared" si="17"/>
        <v>12740</v>
      </c>
      <c r="AQ18" s="227">
        <f t="shared" si="37"/>
        <v>0.58253789810795698</v>
      </c>
      <c r="AR18" s="38">
        <f t="shared" si="41"/>
        <v>54158.548387096758</v>
      </c>
      <c r="AS18" s="201">
        <f t="shared" si="38"/>
        <v>0</v>
      </c>
      <c r="AT18" s="278"/>
      <c r="AU18" s="452"/>
      <c r="AV18" s="540">
        <f>IF(AT18&gt;0,AU18,AV17)</f>
        <v>0.1</v>
      </c>
      <c r="AW18" s="300">
        <f>-SUM('B5'!AI17)</f>
        <v>0</v>
      </c>
      <c r="AX18" s="300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07">
        <f>SUM('General information '!E18)</f>
        <v>0</v>
      </c>
      <c r="BC18" s="3">
        <f t="shared" si="43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175</v>
      </c>
      <c r="C19" s="207">
        <f t="shared" si="18"/>
        <v>3765.322580645161</v>
      </c>
      <c r="D19">
        <f t="shared" si="19"/>
        <v>175</v>
      </c>
      <c r="E19" s="207">
        <f t="shared" si="18"/>
        <v>3765.322580645161</v>
      </c>
      <c r="F19">
        <f t="shared" si="20"/>
        <v>175</v>
      </c>
      <c r="G19" s="207">
        <f t="shared" si="1"/>
        <v>3765.322580645161</v>
      </c>
      <c r="H19" s="207">
        <f t="shared" si="21"/>
        <v>175</v>
      </c>
      <c r="I19" s="207">
        <f t="shared" si="2"/>
        <v>3765.322580645161</v>
      </c>
      <c r="J19" s="207">
        <f t="shared" si="22"/>
        <v>175</v>
      </c>
      <c r="K19" s="207">
        <f t="shared" si="3"/>
        <v>3765.322580645161</v>
      </c>
      <c r="L19" s="207">
        <f t="shared" si="23"/>
        <v>175</v>
      </c>
      <c r="M19" s="207">
        <f t="shared" si="4"/>
        <v>3765.322580645161</v>
      </c>
      <c r="N19" s="207">
        <f t="shared" si="24"/>
        <v>175</v>
      </c>
      <c r="O19" s="207">
        <f t="shared" si="5"/>
        <v>3765.322580645161</v>
      </c>
      <c r="P19" s="207">
        <f t="shared" si="25"/>
        <v>175</v>
      </c>
      <c r="Q19" s="207">
        <f t="shared" si="6"/>
        <v>3765.322580645161</v>
      </c>
      <c r="R19" s="207">
        <f t="shared" si="26"/>
        <v>175</v>
      </c>
      <c r="S19" s="207">
        <f t="shared" si="7"/>
        <v>3765.322580645161</v>
      </c>
      <c r="T19" s="207">
        <f t="shared" si="27"/>
        <v>175</v>
      </c>
      <c r="U19" s="207">
        <f t="shared" si="8"/>
        <v>3765.322580645161</v>
      </c>
      <c r="V19" s="207">
        <f t="shared" si="28"/>
        <v>175</v>
      </c>
      <c r="W19" s="207">
        <f t="shared" si="9"/>
        <v>3765.322580645161</v>
      </c>
      <c r="X19" s="35">
        <f t="shared" si="10"/>
        <v>0.5645161290322579</v>
      </c>
      <c r="Y19" s="36">
        <f t="shared" si="29"/>
        <v>41418.548387096758</v>
      </c>
      <c r="Z19" s="207">
        <f>'B5'!C18</f>
        <v>182</v>
      </c>
      <c r="AA19" s="207">
        <f t="shared" si="30"/>
        <v>1820</v>
      </c>
      <c r="AB19" s="207">
        <f t="shared" si="31"/>
        <v>182</v>
      </c>
      <c r="AC19" s="207">
        <f t="shared" si="30"/>
        <v>1820</v>
      </c>
      <c r="AD19" s="207">
        <f t="shared" si="32"/>
        <v>182</v>
      </c>
      <c r="AE19" s="207">
        <f t="shared" si="11"/>
        <v>1820</v>
      </c>
      <c r="AF19" s="207">
        <f t="shared" si="33"/>
        <v>182</v>
      </c>
      <c r="AG19" s="207">
        <f t="shared" si="12"/>
        <v>1820</v>
      </c>
      <c r="AH19" s="207">
        <f t="shared" si="34"/>
        <v>182</v>
      </c>
      <c r="AI19" s="207">
        <f t="shared" si="13"/>
        <v>1820</v>
      </c>
      <c r="AJ19" s="207">
        <f t="shared" si="35"/>
        <v>182</v>
      </c>
      <c r="AK19" s="207">
        <f t="shared" si="14"/>
        <v>1820</v>
      </c>
      <c r="AL19" s="207">
        <f t="shared" si="36"/>
        <v>182</v>
      </c>
      <c r="AM19" s="207">
        <f t="shared" si="15"/>
        <v>1820</v>
      </c>
      <c r="AN19" s="35">
        <f t="shared" si="16"/>
        <v>0.65</v>
      </c>
      <c r="AO19" s="36">
        <f t="shared" si="17"/>
        <v>12740</v>
      </c>
      <c r="AQ19" s="227">
        <f t="shared" si="37"/>
        <v>0.58253789810795698</v>
      </c>
      <c r="AR19" s="38">
        <f t="shared" si="41"/>
        <v>54158.548387096758</v>
      </c>
      <c r="AS19" s="201">
        <f t="shared" si="38"/>
        <v>0</v>
      </c>
      <c r="AT19" s="278"/>
      <c r="AU19" s="496"/>
      <c r="AV19" s="540">
        <f t="shared" si="42"/>
        <v>0.1</v>
      </c>
      <c r="AW19" s="300">
        <f>-SUM('B5'!AI18)</f>
        <v>0</v>
      </c>
      <c r="AX19" s="300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07">
        <f>SUM('General information '!E19)</f>
        <v>0</v>
      </c>
      <c r="BC19" s="3">
        <f t="shared" si="43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175</v>
      </c>
      <c r="C20" s="207">
        <f t="shared" si="18"/>
        <v>3765.322580645161</v>
      </c>
      <c r="D20">
        <f t="shared" si="19"/>
        <v>175</v>
      </c>
      <c r="E20" s="207">
        <f t="shared" si="18"/>
        <v>3765.322580645161</v>
      </c>
      <c r="F20">
        <f t="shared" si="20"/>
        <v>175</v>
      </c>
      <c r="G20" s="207">
        <f t="shared" si="1"/>
        <v>3765.322580645161</v>
      </c>
      <c r="H20" s="207">
        <f t="shared" si="21"/>
        <v>175</v>
      </c>
      <c r="I20" s="207">
        <f t="shared" si="2"/>
        <v>3765.322580645161</v>
      </c>
      <c r="J20" s="207">
        <f t="shared" si="22"/>
        <v>175</v>
      </c>
      <c r="K20" s="207">
        <f t="shared" si="3"/>
        <v>3765.322580645161</v>
      </c>
      <c r="L20" s="207">
        <f t="shared" si="23"/>
        <v>175</v>
      </c>
      <c r="M20" s="207">
        <f t="shared" si="4"/>
        <v>3765.322580645161</v>
      </c>
      <c r="N20" s="207">
        <f t="shared" si="24"/>
        <v>175</v>
      </c>
      <c r="O20" s="207">
        <f t="shared" si="5"/>
        <v>3765.322580645161</v>
      </c>
      <c r="P20" s="207">
        <f t="shared" si="25"/>
        <v>175</v>
      </c>
      <c r="Q20" s="207">
        <f t="shared" si="6"/>
        <v>3765.322580645161</v>
      </c>
      <c r="R20" s="207">
        <f t="shared" si="26"/>
        <v>175</v>
      </c>
      <c r="S20" s="207">
        <f t="shared" si="7"/>
        <v>3765.322580645161</v>
      </c>
      <c r="T20" s="207">
        <f t="shared" si="27"/>
        <v>175</v>
      </c>
      <c r="U20" s="207">
        <f t="shared" si="8"/>
        <v>3765.322580645161</v>
      </c>
      <c r="V20" s="207">
        <f t="shared" si="28"/>
        <v>175</v>
      </c>
      <c r="W20" s="207">
        <f t="shared" si="9"/>
        <v>3765.322580645161</v>
      </c>
      <c r="X20" s="35">
        <f t="shared" si="10"/>
        <v>0.5645161290322579</v>
      </c>
      <c r="Y20" s="36">
        <f t="shared" si="29"/>
        <v>41418.548387096758</v>
      </c>
      <c r="Z20" s="207">
        <f>'B5'!C19</f>
        <v>182</v>
      </c>
      <c r="AA20" s="207">
        <f t="shared" si="30"/>
        <v>1820</v>
      </c>
      <c r="AB20" s="207">
        <f t="shared" si="31"/>
        <v>182</v>
      </c>
      <c r="AC20" s="207">
        <f t="shared" si="30"/>
        <v>1820</v>
      </c>
      <c r="AD20" s="207">
        <f t="shared" si="32"/>
        <v>182</v>
      </c>
      <c r="AE20" s="207">
        <f t="shared" si="11"/>
        <v>1820</v>
      </c>
      <c r="AF20" s="207">
        <f t="shared" si="33"/>
        <v>182</v>
      </c>
      <c r="AG20" s="207">
        <f t="shared" si="12"/>
        <v>1820</v>
      </c>
      <c r="AH20" s="207">
        <f t="shared" si="34"/>
        <v>182</v>
      </c>
      <c r="AI20" s="207">
        <f t="shared" si="13"/>
        <v>1820</v>
      </c>
      <c r="AJ20" s="207">
        <f t="shared" si="35"/>
        <v>182</v>
      </c>
      <c r="AK20" s="207">
        <f t="shared" si="14"/>
        <v>1820</v>
      </c>
      <c r="AL20" s="207">
        <f t="shared" si="36"/>
        <v>182</v>
      </c>
      <c r="AM20" s="207">
        <f t="shared" si="15"/>
        <v>1820</v>
      </c>
      <c r="AN20" s="35">
        <f t="shared" si="16"/>
        <v>0.65</v>
      </c>
      <c r="AO20" s="36">
        <f t="shared" si="17"/>
        <v>12740</v>
      </c>
      <c r="AQ20" s="227">
        <f t="shared" si="37"/>
        <v>0.58253789810795698</v>
      </c>
      <c r="AR20" s="38">
        <f t="shared" si="41"/>
        <v>54158.548387096758</v>
      </c>
      <c r="AS20" s="201">
        <f t="shared" si="38"/>
        <v>0</v>
      </c>
      <c r="AT20" s="278"/>
      <c r="AU20" s="452"/>
      <c r="AV20" s="540">
        <f t="shared" si="42"/>
        <v>0.1</v>
      </c>
      <c r="AW20" s="300">
        <f>-SUM('B5'!AI19)</f>
        <v>0</v>
      </c>
      <c r="AX20" s="300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07">
        <f>SUM('General information '!E20)</f>
        <v>0</v>
      </c>
      <c r="BC20" s="3">
        <f t="shared" si="43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175</v>
      </c>
      <c r="C21" s="207">
        <f t="shared" si="18"/>
        <v>3765.322580645161</v>
      </c>
      <c r="D21">
        <f t="shared" si="19"/>
        <v>175</v>
      </c>
      <c r="E21" s="207">
        <f t="shared" si="18"/>
        <v>3765.322580645161</v>
      </c>
      <c r="F21">
        <f t="shared" si="20"/>
        <v>175</v>
      </c>
      <c r="G21" s="207">
        <f t="shared" si="1"/>
        <v>3765.322580645161</v>
      </c>
      <c r="H21" s="207">
        <f t="shared" si="21"/>
        <v>175</v>
      </c>
      <c r="I21" s="207">
        <f t="shared" si="2"/>
        <v>3765.322580645161</v>
      </c>
      <c r="J21" s="207">
        <f t="shared" si="22"/>
        <v>175</v>
      </c>
      <c r="K21" s="207">
        <f t="shared" si="3"/>
        <v>3765.322580645161</v>
      </c>
      <c r="L21" s="207">
        <f t="shared" si="23"/>
        <v>175</v>
      </c>
      <c r="M21" s="207">
        <f t="shared" si="4"/>
        <v>3765.322580645161</v>
      </c>
      <c r="N21" s="207">
        <f t="shared" si="24"/>
        <v>175</v>
      </c>
      <c r="O21" s="207">
        <f t="shared" si="5"/>
        <v>3765.322580645161</v>
      </c>
      <c r="P21" s="207">
        <f t="shared" si="25"/>
        <v>175</v>
      </c>
      <c r="Q21" s="207">
        <f t="shared" si="6"/>
        <v>3765.322580645161</v>
      </c>
      <c r="R21" s="207">
        <f t="shared" si="26"/>
        <v>175</v>
      </c>
      <c r="S21" s="207">
        <f t="shared" si="7"/>
        <v>3765.322580645161</v>
      </c>
      <c r="T21" s="207">
        <f t="shared" si="27"/>
        <v>175</v>
      </c>
      <c r="U21" s="207">
        <f t="shared" si="8"/>
        <v>3765.322580645161</v>
      </c>
      <c r="V21" s="207">
        <f t="shared" si="28"/>
        <v>175</v>
      </c>
      <c r="W21" s="207">
        <f t="shared" si="9"/>
        <v>3765.322580645161</v>
      </c>
      <c r="X21" s="35">
        <f t="shared" si="10"/>
        <v>0.5645161290322579</v>
      </c>
      <c r="Y21" s="36">
        <f t="shared" si="29"/>
        <v>41418.548387096758</v>
      </c>
      <c r="Z21" s="207">
        <f>'B5'!C20</f>
        <v>182</v>
      </c>
      <c r="AA21" s="207">
        <f t="shared" si="30"/>
        <v>1820</v>
      </c>
      <c r="AB21" s="207">
        <f t="shared" si="31"/>
        <v>182</v>
      </c>
      <c r="AC21" s="207">
        <f t="shared" si="30"/>
        <v>1820</v>
      </c>
      <c r="AD21" s="207">
        <f t="shared" si="32"/>
        <v>182</v>
      </c>
      <c r="AE21" s="207">
        <f t="shared" si="11"/>
        <v>1820</v>
      </c>
      <c r="AF21" s="207">
        <f t="shared" si="33"/>
        <v>182</v>
      </c>
      <c r="AG21" s="207">
        <f t="shared" si="12"/>
        <v>1820</v>
      </c>
      <c r="AH21" s="207">
        <f t="shared" si="34"/>
        <v>182</v>
      </c>
      <c r="AI21" s="207">
        <f t="shared" si="13"/>
        <v>1820</v>
      </c>
      <c r="AJ21" s="207">
        <f t="shared" si="35"/>
        <v>182</v>
      </c>
      <c r="AK21" s="207">
        <f t="shared" si="14"/>
        <v>1820</v>
      </c>
      <c r="AL21" s="207">
        <f t="shared" si="36"/>
        <v>182</v>
      </c>
      <c r="AM21" s="207">
        <f t="shared" si="15"/>
        <v>1820</v>
      </c>
      <c r="AN21" s="35">
        <f t="shared" si="16"/>
        <v>0.65</v>
      </c>
      <c r="AO21" s="36">
        <f t="shared" si="17"/>
        <v>12740</v>
      </c>
      <c r="AQ21" s="227">
        <f t="shared" si="37"/>
        <v>0.58253789810795698</v>
      </c>
      <c r="AR21" s="38">
        <f t="shared" si="41"/>
        <v>54158.548387096758</v>
      </c>
      <c r="AS21" s="201">
        <f>SUM(AR21-AR20-AT21)</f>
        <v>0</v>
      </c>
      <c r="AT21" s="278"/>
      <c r="AU21" s="452"/>
      <c r="AV21" s="540">
        <f t="shared" si="42"/>
        <v>0.1</v>
      </c>
      <c r="AW21" s="300">
        <f>-SUM('B5'!AI20)</f>
        <v>0</v>
      </c>
      <c r="AX21" s="300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07">
        <f>SUM('General information '!E21)</f>
        <v>0</v>
      </c>
      <c r="BC21" s="3">
        <f t="shared" si="43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175</v>
      </c>
      <c r="C22" s="207">
        <f t="shared" si="18"/>
        <v>3765.322580645161</v>
      </c>
      <c r="D22">
        <f t="shared" si="19"/>
        <v>175</v>
      </c>
      <c r="E22" s="207">
        <f t="shared" si="18"/>
        <v>3765.322580645161</v>
      </c>
      <c r="F22">
        <f t="shared" si="20"/>
        <v>175</v>
      </c>
      <c r="G22" s="207">
        <f t="shared" si="1"/>
        <v>3765.322580645161</v>
      </c>
      <c r="H22" s="207">
        <f t="shared" si="21"/>
        <v>175</v>
      </c>
      <c r="I22" s="207">
        <f t="shared" si="2"/>
        <v>3765.322580645161</v>
      </c>
      <c r="J22" s="207">
        <f t="shared" si="22"/>
        <v>175</v>
      </c>
      <c r="K22" s="207">
        <f t="shared" si="3"/>
        <v>3765.322580645161</v>
      </c>
      <c r="L22" s="207">
        <f t="shared" si="23"/>
        <v>175</v>
      </c>
      <c r="M22" s="207">
        <f t="shared" si="4"/>
        <v>3765.322580645161</v>
      </c>
      <c r="N22" s="207">
        <f t="shared" si="24"/>
        <v>175</v>
      </c>
      <c r="O22" s="207">
        <f t="shared" si="5"/>
        <v>3765.322580645161</v>
      </c>
      <c r="P22" s="207">
        <f t="shared" si="25"/>
        <v>175</v>
      </c>
      <c r="Q22" s="207">
        <f t="shared" si="6"/>
        <v>3765.322580645161</v>
      </c>
      <c r="R22" s="207">
        <f t="shared" si="26"/>
        <v>175</v>
      </c>
      <c r="S22" s="207">
        <f t="shared" si="7"/>
        <v>3765.322580645161</v>
      </c>
      <c r="T22" s="207">
        <f t="shared" si="27"/>
        <v>175</v>
      </c>
      <c r="U22" s="207">
        <f t="shared" si="8"/>
        <v>3765.322580645161</v>
      </c>
      <c r="V22" s="207">
        <f t="shared" si="28"/>
        <v>175</v>
      </c>
      <c r="W22" s="207">
        <f t="shared" si="9"/>
        <v>3765.322580645161</v>
      </c>
      <c r="X22" s="35">
        <f t="shared" si="10"/>
        <v>0.5645161290322579</v>
      </c>
      <c r="Y22" s="36">
        <f t="shared" si="29"/>
        <v>41418.548387096758</v>
      </c>
      <c r="Z22" s="207">
        <f>'B5'!C21</f>
        <v>182</v>
      </c>
      <c r="AA22" s="207">
        <f t="shared" si="30"/>
        <v>1820</v>
      </c>
      <c r="AB22" s="207">
        <f t="shared" si="31"/>
        <v>182</v>
      </c>
      <c r="AC22" s="207">
        <f t="shared" si="30"/>
        <v>1820</v>
      </c>
      <c r="AD22" s="207">
        <f t="shared" si="32"/>
        <v>182</v>
      </c>
      <c r="AE22" s="207">
        <f t="shared" si="11"/>
        <v>1820</v>
      </c>
      <c r="AF22" s="207">
        <f t="shared" si="33"/>
        <v>182</v>
      </c>
      <c r="AG22" s="207">
        <f t="shared" si="12"/>
        <v>1820</v>
      </c>
      <c r="AH22" s="207">
        <f t="shared" si="34"/>
        <v>182</v>
      </c>
      <c r="AI22" s="207">
        <f t="shared" si="13"/>
        <v>1820</v>
      </c>
      <c r="AJ22" s="207">
        <f t="shared" si="35"/>
        <v>182</v>
      </c>
      <c r="AK22" s="207">
        <f t="shared" si="14"/>
        <v>1820</v>
      </c>
      <c r="AL22" s="207">
        <f t="shared" si="36"/>
        <v>182</v>
      </c>
      <c r="AM22" s="207">
        <f t="shared" si="15"/>
        <v>1820</v>
      </c>
      <c r="AN22" s="35">
        <f t="shared" si="16"/>
        <v>0.65</v>
      </c>
      <c r="AO22" s="36">
        <f t="shared" si="17"/>
        <v>12740</v>
      </c>
      <c r="AQ22" s="227">
        <f t="shared" si="37"/>
        <v>0.58253789810795698</v>
      </c>
      <c r="AR22" s="38">
        <f t="shared" si="41"/>
        <v>54158.548387096758</v>
      </c>
      <c r="AS22" s="201">
        <f t="shared" si="38"/>
        <v>0</v>
      </c>
      <c r="AT22" s="278"/>
      <c r="AU22" s="452"/>
      <c r="AV22" s="540">
        <f t="shared" si="42"/>
        <v>0.1</v>
      </c>
      <c r="AW22" s="300">
        <f>-SUM('B5'!AI21)</f>
        <v>0</v>
      </c>
      <c r="AX22" s="300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07">
        <f>SUM('General information '!E22)</f>
        <v>0</v>
      </c>
      <c r="BC22" s="3">
        <f t="shared" si="43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175</v>
      </c>
      <c r="C23" s="207">
        <f t="shared" si="18"/>
        <v>3765.322580645161</v>
      </c>
      <c r="D23">
        <f t="shared" si="19"/>
        <v>175</v>
      </c>
      <c r="E23" s="207">
        <f t="shared" si="18"/>
        <v>3765.322580645161</v>
      </c>
      <c r="F23">
        <f t="shared" si="20"/>
        <v>175</v>
      </c>
      <c r="G23" s="207">
        <f t="shared" si="1"/>
        <v>3765.322580645161</v>
      </c>
      <c r="H23" s="207">
        <f t="shared" si="21"/>
        <v>175</v>
      </c>
      <c r="I23" s="207">
        <f t="shared" si="2"/>
        <v>3765.322580645161</v>
      </c>
      <c r="J23" s="207">
        <f t="shared" si="22"/>
        <v>175</v>
      </c>
      <c r="K23" s="207">
        <f t="shared" si="3"/>
        <v>3765.322580645161</v>
      </c>
      <c r="L23" s="207">
        <f t="shared" si="23"/>
        <v>175</v>
      </c>
      <c r="M23" s="207">
        <f t="shared" si="4"/>
        <v>3765.322580645161</v>
      </c>
      <c r="N23" s="207">
        <f t="shared" si="24"/>
        <v>175</v>
      </c>
      <c r="O23" s="207">
        <f t="shared" si="5"/>
        <v>3765.322580645161</v>
      </c>
      <c r="P23" s="207">
        <f t="shared" si="25"/>
        <v>175</v>
      </c>
      <c r="Q23" s="207">
        <f t="shared" si="6"/>
        <v>3765.322580645161</v>
      </c>
      <c r="R23" s="207">
        <f t="shared" si="26"/>
        <v>175</v>
      </c>
      <c r="S23" s="207">
        <f t="shared" si="7"/>
        <v>3765.322580645161</v>
      </c>
      <c r="T23" s="207">
        <f t="shared" si="27"/>
        <v>175</v>
      </c>
      <c r="U23" s="207">
        <f t="shared" si="8"/>
        <v>3765.322580645161</v>
      </c>
      <c r="V23" s="207">
        <f t="shared" si="28"/>
        <v>175</v>
      </c>
      <c r="W23" s="207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7">
        <f>'B5'!C22</f>
        <v>182</v>
      </c>
      <c r="AA23" s="207">
        <f t="shared" si="30"/>
        <v>1820</v>
      </c>
      <c r="AB23" s="207">
        <f t="shared" si="31"/>
        <v>182</v>
      </c>
      <c r="AC23" s="207">
        <f t="shared" si="30"/>
        <v>1820</v>
      </c>
      <c r="AD23" s="207">
        <f t="shared" si="32"/>
        <v>182</v>
      </c>
      <c r="AE23" s="207">
        <f t="shared" si="11"/>
        <v>1820</v>
      </c>
      <c r="AF23" s="207">
        <f t="shared" si="33"/>
        <v>182</v>
      </c>
      <c r="AG23" s="207">
        <f t="shared" si="12"/>
        <v>1820</v>
      </c>
      <c r="AH23" s="207">
        <f t="shared" si="34"/>
        <v>182</v>
      </c>
      <c r="AI23" s="207">
        <f t="shared" si="13"/>
        <v>1820</v>
      </c>
      <c r="AJ23" s="207">
        <f t="shared" si="35"/>
        <v>182</v>
      </c>
      <c r="AK23" s="207">
        <f t="shared" si="14"/>
        <v>1820</v>
      </c>
      <c r="AL23" s="207">
        <f t="shared" si="36"/>
        <v>182</v>
      </c>
      <c r="AM23" s="207">
        <f t="shared" si="15"/>
        <v>1820</v>
      </c>
      <c r="AN23" s="35">
        <f t="shared" si="16"/>
        <v>0.65</v>
      </c>
      <c r="AO23" s="36">
        <f t="shared" si="17"/>
        <v>12740</v>
      </c>
      <c r="AQ23" s="227">
        <f t="shared" si="37"/>
        <v>0.58253789810795698</v>
      </c>
      <c r="AR23" s="38">
        <f t="shared" si="41"/>
        <v>54158.548387096758</v>
      </c>
      <c r="AS23" s="201">
        <f t="shared" si="38"/>
        <v>0</v>
      </c>
      <c r="AT23" s="278"/>
      <c r="AU23" s="452"/>
      <c r="AV23" s="540">
        <f t="shared" si="42"/>
        <v>0.1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07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175</v>
      </c>
      <c r="C24" s="207">
        <f t="shared" si="18"/>
        <v>3765.322580645161</v>
      </c>
      <c r="D24">
        <f t="shared" si="19"/>
        <v>175</v>
      </c>
      <c r="E24" s="207">
        <f t="shared" si="18"/>
        <v>3765.322580645161</v>
      </c>
      <c r="F24">
        <f t="shared" si="20"/>
        <v>175</v>
      </c>
      <c r="G24" s="207">
        <f t="shared" si="1"/>
        <v>3765.322580645161</v>
      </c>
      <c r="H24" s="207">
        <f t="shared" si="21"/>
        <v>175</v>
      </c>
      <c r="I24" s="207">
        <f t="shared" si="2"/>
        <v>3765.322580645161</v>
      </c>
      <c r="J24" s="207">
        <f t="shared" si="22"/>
        <v>175</v>
      </c>
      <c r="K24" s="207">
        <f t="shared" si="3"/>
        <v>3765.322580645161</v>
      </c>
      <c r="L24" s="207">
        <f t="shared" si="23"/>
        <v>175</v>
      </c>
      <c r="M24" s="207">
        <f t="shared" si="4"/>
        <v>3765.322580645161</v>
      </c>
      <c r="N24" s="207">
        <f t="shared" si="24"/>
        <v>175</v>
      </c>
      <c r="O24" s="207">
        <f t="shared" si="5"/>
        <v>3765.322580645161</v>
      </c>
      <c r="P24" s="207">
        <f t="shared" si="25"/>
        <v>175</v>
      </c>
      <c r="Q24" s="207">
        <f t="shared" si="6"/>
        <v>3765.322580645161</v>
      </c>
      <c r="R24" s="207">
        <f t="shared" si="26"/>
        <v>175</v>
      </c>
      <c r="S24" s="207">
        <f t="shared" si="7"/>
        <v>3765.322580645161</v>
      </c>
      <c r="T24" s="207">
        <f t="shared" si="27"/>
        <v>175</v>
      </c>
      <c r="U24" s="207">
        <f t="shared" si="8"/>
        <v>3765.322580645161</v>
      </c>
      <c r="V24" s="207">
        <f t="shared" si="28"/>
        <v>175</v>
      </c>
      <c r="W24" s="207">
        <f t="shared" si="9"/>
        <v>3765.322580645161</v>
      </c>
      <c r="X24" s="35">
        <f t="shared" si="10"/>
        <v>0.5645161290322579</v>
      </c>
      <c r="Y24" s="36">
        <f t="shared" si="29"/>
        <v>41418.548387096758</v>
      </c>
      <c r="Z24" s="207">
        <f>'B5'!C23</f>
        <v>182</v>
      </c>
      <c r="AA24" s="207">
        <f t="shared" si="30"/>
        <v>1820</v>
      </c>
      <c r="AB24" s="207">
        <f t="shared" si="31"/>
        <v>182</v>
      </c>
      <c r="AC24" s="207">
        <f t="shared" si="30"/>
        <v>1820</v>
      </c>
      <c r="AD24" s="207">
        <f t="shared" si="32"/>
        <v>182</v>
      </c>
      <c r="AE24" s="207">
        <f t="shared" si="11"/>
        <v>1820</v>
      </c>
      <c r="AF24" s="207">
        <f t="shared" si="33"/>
        <v>182</v>
      </c>
      <c r="AG24" s="207">
        <f t="shared" si="12"/>
        <v>1820</v>
      </c>
      <c r="AH24" s="207">
        <f t="shared" si="34"/>
        <v>182</v>
      </c>
      <c r="AI24" s="207">
        <f t="shared" si="13"/>
        <v>1820</v>
      </c>
      <c r="AJ24" s="207">
        <f t="shared" si="35"/>
        <v>182</v>
      </c>
      <c r="AK24" s="207">
        <f t="shared" si="14"/>
        <v>1820</v>
      </c>
      <c r="AL24" s="207">
        <f t="shared" si="36"/>
        <v>182</v>
      </c>
      <c r="AM24" s="207">
        <f t="shared" si="15"/>
        <v>1820</v>
      </c>
      <c r="AN24" s="35">
        <f t="shared" si="16"/>
        <v>0.65</v>
      </c>
      <c r="AO24" s="36">
        <f t="shared" si="17"/>
        <v>12740</v>
      </c>
      <c r="AQ24" s="227">
        <f t="shared" si="37"/>
        <v>0.58253789810795698</v>
      </c>
      <c r="AR24" s="38">
        <f t="shared" si="41"/>
        <v>54158.548387096758</v>
      </c>
      <c r="AS24" s="201">
        <f t="shared" si="38"/>
        <v>0</v>
      </c>
      <c r="AT24" s="278"/>
      <c r="AU24" s="452"/>
      <c r="AV24" s="540">
        <f t="shared" si="42"/>
        <v>0.1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7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175</v>
      </c>
      <c r="C25" s="207">
        <f t="shared" si="18"/>
        <v>3765.322580645161</v>
      </c>
      <c r="D25">
        <f t="shared" si="19"/>
        <v>175</v>
      </c>
      <c r="E25" s="207">
        <f t="shared" si="18"/>
        <v>3765.322580645161</v>
      </c>
      <c r="F25">
        <f t="shared" si="20"/>
        <v>175</v>
      </c>
      <c r="G25" s="207">
        <f t="shared" si="1"/>
        <v>3765.322580645161</v>
      </c>
      <c r="H25" s="207">
        <f t="shared" si="21"/>
        <v>175</v>
      </c>
      <c r="I25" s="207">
        <f t="shared" si="2"/>
        <v>3765.322580645161</v>
      </c>
      <c r="J25" s="207">
        <f t="shared" si="22"/>
        <v>175</v>
      </c>
      <c r="K25" s="207">
        <f t="shared" si="3"/>
        <v>3765.322580645161</v>
      </c>
      <c r="L25" s="207">
        <f t="shared" si="23"/>
        <v>175</v>
      </c>
      <c r="M25" s="207">
        <f t="shared" si="4"/>
        <v>3765.322580645161</v>
      </c>
      <c r="N25" s="207">
        <f t="shared" si="24"/>
        <v>175</v>
      </c>
      <c r="O25" s="207">
        <f t="shared" si="5"/>
        <v>3765.322580645161</v>
      </c>
      <c r="P25" s="207">
        <f t="shared" si="25"/>
        <v>175</v>
      </c>
      <c r="Q25" s="207">
        <f t="shared" si="6"/>
        <v>3765.322580645161</v>
      </c>
      <c r="R25" s="207">
        <f t="shared" si="26"/>
        <v>175</v>
      </c>
      <c r="S25" s="207">
        <f t="shared" si="7"/>
        <v>3765.322580645161</v>
      </c>
      <c r="T25" s="207">
        <f t="shared" si="27"/>
        <v>175</v>
      </c>
      <c r="U25" s="207">
        <f t="shared" si="8"/>
        <v>3765.322580645161</v>
      </c>
      <c r="V25" s="207">
        <f t="shared" si="28"/>
        <v>175</v>
      </c>
      <c r="W25" s="207">
        <f t="shared" si="9"/>
        <v>3765.322580645161</v>
      </c>
      <c r="X25" s="35">
        <f t="shared" si="10"/>
        <v>0.5645161290322579</v>
      </c>
      <c r="Y25" s="36">
        <f t="shared" si="29"/>
        <v>41418.548387096758</v>
      </c>
      <c r="Z25" s="207">
        <f>'B5'!C24</f>
        <v>182</v>
      </c>
      <c r="AA25" s="207">
        <f t="shared" si="30"/>
        <v>1820</v>
      </c>
      <c r="AB25" s="207">
        <f t="shared" si="31"/>
        <v>182</v>
      </c>
      <c r="AC25" s="207">
        <f t="shared" si="30"/>
        <v>1820</v>
      </c>
      <c r="AD25" s="207">
        <f t="shared" si="32"/>
        <v>182</v>
      </c>
      <c r="AE25" s="207">
        <f t="shared" si="11"/>
        <v>1820</v>
      </c>
      <c r="AF25" s="207">
        <f t="shared" si="33"/>
        <v>182</v>
      </c>
      <c r="AG25" s="207">
        <f t="shared" si="12"/>
        <v>1820</v>
      </c>
      <c r="AH25" s="207">
        <f t="shared" si="34"/>
        <v>182</v>
      </c>
      <c r="AI25" s="207">
        <f t="shared" si="13"/>
        <v>1820</v>
      </c>
      <c r="AJ25" s="207">
        <f t="shared" si="35"/>
        <v>182</v>
      </c>
      <c r="AK25" s="207">
        <f t="shared" si="14"/>
        <v>1820</v>
      </c>
      <c r="AL25" s="207">
        <f t="shared" si="36"/>
        <v>182</v>
      </c>
      <c r="AM25" s="207">
        <f t="shared" si="15"/>
        <v>1820</v>
      </c>
      <c r="AN25" s="35">
        <f t="shared" si="16"/>
        <v>0.65</v>
      </c>
      <c r="AO25" s="36">
        <f t="shared" si="17"/>
        <v>12740</v>
      </c>
      <c r="AQ25" s="227">
        <f t="shared" si="37"/>
        <v>0.58253789810795698</v>
      </c>
      <c r="AR25" s="38">
        <f t="shared" si="41"/>
        <v>54158.548387096758</v>
      </c>
      <c r="AS25" s="201">
        <f t="shared" si="38"/>
        <v>0</v>
      </c>
      <c r="AT25" s="278"/>
      <c r="AU25" s="452"/>
      <c r="AV25" s="540">
        <f t="shared" si="42"/>
        <v>0.1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175</v>
      </c>
      <c r="C26" s="207">
        <f t="shared" si="18"/>
        <v>3765.322580645161</v>
      </c>
      <c r="D26">
        <f t="shared" si="19"/>
        <v>175</v>
      </c>
      <c r="E26" s="207">
        <f t="shared" si="18"/>
        <v>3765.322580645161</v>
      </c>
      <c r="F26">
        <f t="shared" si="20"/>
        <v>175</v>
      </c>
      <c r="G26" s="207">
        <f t="shared" si="1"/>
        <v>3765.322580645161</v>
      </c>
      <c r="H26" s="207">
        <f t="shared" si="21"/>
        <v>175</v>
      </c>
      <c r="I26" s="207">
        <f t="shared" si="2"/>
        <v>3765.322580645161</v>
      </c>
      <c r="J26" s="207">
        <f t="shared" si="22"/>
        <v>175</v>
      </c>
      <c r="K26" s="207">
        <f t="shared" si="3"/>
        <v>3765.322580645161</v>
      </c>
      <c r="L26" s="207">
        <f t="shared" si="23"/>
        <v>175</v>
      </c>
      <c r="M26" s="207">
        <f t="shared" si="4"/>
        <v>3765.322580645161</v>
      </c>
      <c r="N26" s="207">
        <f t="shared" si="24"/>
        <v>175</v>
      </c>
      <c r="O26" s="207">
        <f t="shared" si="5"/>
        <v>3765.322580645161</v>
      </c>
      <c r="P26" s="207">
        <f t="shared" si="25"/>
        <v>175</v>
      </c>
      <c r="Q26" s="207">
        <f t="shared" si="6"/>
        <v>3765.322580645161</v>
      </c>
      <c r="R26" s="207">
        <f t="shared" si="26"/>
        <v>175</v>
      </c>
      <c r="S26" s="207">
        <f t="shared" si="7"/>
        <v>3765.322580645161</v>
      </c>
      <c r="T26" s="207">
        <f t="shared" si="27"/>
        <v>175</v>
      </c>
      <c r="U26" s="207">
        <f t="shared" si="8"/>
        <v>3765.322580645161</v>
      </c>
      <c r="V26" s="207">
        <f t="shared" si="28"/>
        <v>175</v>
      </c>
      <c r="W26" s="207">
        <f t="shared" si="9"/>
        <v>3765.322580645161</v>
      </c>
      <c r="X26" s="35">
        <f t="shared" si="10"/>
        <v>0.5645161290322579</v>
      </c>
      <c r="Y26" s="36">
        <f t="shared" si="29"/>
        <v>41418.548387096758</v>
      </c>
      <c r="Z26" s="207">
        <f>'B5'!C25</f>
        <v>182</v>
      </c>
      <c r="AA26" s="207">
        <f t="shared" si="30"/>
        <v>1820</v>
      </c>
      <c r="AB26" s="207">
        <f t="shared" si="31"/>
        <v>182</v>
      </c>
      <c r="AC26" s="207">
        <f t="shared" si="30"/>
        <v>1820</v>
      </c>
      <c r="AD26" s="207">
        <f t="shared" si="32"/>
        <v>182</v>
      </c>
      <c r="AE26" s="207">
        <f t="shared" si="11"/>
        <v>1820</v>
      </c>
      <c r="AF26" s="207">
        <f t="shared" si="33"/>
        <v>182</v>
      </c>
      <c r="AG26" s="207">
        <f t="shared" si="12"/>
        <v>1820</v>
      </c>
      <c r="AH26" s="207">
        <f t="shared" si="34"/>
        <v>182</v>
      </c>
      <c r="AI26" s="207">
        <f t="shared" si="13"/>
        <v>1820</v>
      </c>
      <c r="AJ26" s="207">
        <f t="shared" si="35"/>
        <v>182</v>
      </c>
      <c r="AK26" s="207">
        <f t="shared" si="14"/>
        <v>1820</v>
      </c>
      <c r="AL26" s="207">
        <f t="shared" si="36"/>
        <v>182</v>
      </c>
      <c r="AM26" s="207">
        <f t="shared" si="15"/>
        <v>1820</v>
      </c>
      <c r="AN26" s="35">
        <f t="shared" si="16"/>
        <v>0.65</v>
      </c>
      <c r="AO26" s="36">
        <f t="shared" si="17"/>
        <v>12740</v>
      </c>
      <c r="AQ26" s="227">
        <f t="shared" si="37"/>
        <v>0.58253789810795698</v>
      </c>
      <c r="AR26" s="38">
        <f t="shared" si="41"/>
        <v>54158.548387096758</v>
      </c>
      <c r="AS26" s="201">
        <f t="shared" si="38"/>
        <v>0</v>
      </c>
      <c r="AT26" s="278"/>
      <c r="AU26" s="452"/>
      <c r="AV26" s="540">
        <f t="shared" si="42"/>
        <v>0.1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175</v>
      </c>
      <c r="C27" s="207">
        <f t="shared" si="18"/>
        <v>3765.322580645161</v>
      </c>
      <c r="D27">
        <f t="shared" si="19"/>
        <v>175</v>
      </c>
      <c r="E27" s="207">
        <f t="shared" si="18"/>
        <v>3765.322580645161</v>
      </c>
      <c r="F27">
        <f t="shared" si="20"/>
        <v>175</v>
      </c>
      <c r="G27" s="207">
        <f t="shared" si="1"/>
        <v>3765.322580645161</v>
      </c>
      <c r="H27" s="207">
        <f t="shared" si="21"/>
        <v>175</v>
      </c>
      <c r="I27" s="207">
        <f t="shared" si="2"/>
        <v>3765.322580645161</v>
      </c>
      <c r="J27" s="207">
        <f t="shared" si="22"/>
        <v>175</v>
      </c>
      <c r="K27" s="207">
        <f t="shared" si="3"/>
        <v>3765.322580645161</v>
      </c>
      <c r="L27" s="207">
        <f t="shared" si="23"/>
        <v>175</v>
      </c>
      <c r="M27" s="207">
        <f t="shared" si="4"/>
        <v>3765.322580645161</v>
      </c>
      <c r="N27" s="207">
        <f t="shared" si="24"/>
        <v>175</v>
      </c>
      <c r="O27" s="207">
        <f t="shared" si="5"/>
        <v>3765.322580645161</v>
      </c>
      <c r="P27" s="207">
        <f t="shared" si="25"/>
        <v>175</v>
      </c>
      <c r="Q27" s="207">
        <f t="shared" si="6"/>
        <v>3765.322580645161</v>
      </c>
      <c r="R27" s="207">
        <f t="shared" si="26"/>
        <v>175</v>
      </c>
      <c r="S27" s="207">
        <f t="shared" si="7"/>
        <v>3765.322580645161</v>
      </c>
      <c r="T27" s="207">
        <f t="shared" si="27"/>
        <v>175</v>
      </c>
      <c r="U27" s="207">
        <f t="shared" si="8"/>
        <v>3765.322580645161</v>
      </c>
      <c r="V27" s="207">
        <f t="shared" si="28"/>
        <v>175</v>
      </c>
      <c r="W27" s="207">
        <f t="shared" si="9"/>
        <v>3765.322580645161</v>
      </c>
      <c r="X27" s="35">
        <f t="shared" si="10"/>
        <v>0.5645161290322579</v>
      </c>
      <c r="Y27" s="36">
        <f t="shared" si="29"/>
        <v>41418.548387096758</v>
      </c>
      <c r="Z27" s="207">
        <f>'B5'!C26</f>
        <v>182</v>
      </c>
      <c r="AA27" s="207">
        <f t="shared" si="30"/>
        <v>1820</v>
      </c>
      <c r="AB27" s="207">
        <f t="shared" si="31"/>
        <v>182</v>
      </c>
      <c r="AC27" s="207">
        <f t="shared" si="30"/>
        <v>1820</v>
      </c>
      <c r="AD27" s="207">
        <f t="shared" si="32"/>
        <v>182</v>
      </c>
      <c r="AE27" s="207">
        <f t="shared" si="11"/>
        <v>1820</v>
      </c>
      <c r="AF27" s="207">
        <f t="shared" si="33"/>
        <v>182</v>
      </c>
      <c r="AG27" s="207">
        <f t="shared" si="12"/>
        <v>1820</v>
      </c>
      <c r="AH27" s="207">
        <f t="shared" si="34"/>
        <v>182</v>
      </c>
      <c r="AI27" s="207">
        <f t="shared" si="13"/>
        <v>1820</v>
      </c>
      <c r="AJ27" s="207">
        <f t="shared" si="35"/>
        <v>182</v>
      </c>
      <c r="AK27" s="207">
        <f t="shared" si="14"/>
        <v>1820</v>
      </c>
      <c r="AL27" s="207">
        <f t="shared" si="36"/>
        <v>182</v>
      </c>
      <c r="AM27" s="207">
        <f t="shared" si="15"/>
        <v>1820</v>
      </c>
      <c r="AN27" s="35">
        <f t="shared" si="16"/>
        <v>0.65</v>
      </c>
      <c r="AO27" s="36">
        <f t="shared" si="17"/>
        <v>12740</v>
      </c>
      <c r="AQ27" s="227">
        <f t="shared" si="37"/>
        <v>0.58253789810795698</v>
      </c>
      <c r="AR27" s="38">
        <f t="shared" si="41"/>
        <v>54158.548387096758</v>
      </c>
      <c r="AS27" s="201">
        <f t="shared" si="38"/>
        <v>0</v>
      </c>
      <c r="AT27" s="278"/>
      <c r="AU27" s="452"/>
      <c r="AV27" s="540">
        <f t="shared" si="42"/>
        <v>0.1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175</v>
      </c>
      <c r="C28" s="207">
        <f t="shared" si="18"/>
        <v>3765.322580645161</v>
      </c>
      <c r="D28">
        <f t="shared" si="19"/>
        <v>175</v>
      </c>
      <c r="E28" s="207">
        <f t="shared" si="18"/>
        <v>3765.322580645161</v>
      </c>
      <c r="F28">
        <f t="shared" si="20"/>
        <v>175</v>
      </c>
      <c r="G28" s="207">
        <f t="shared" si="1"/>
        <v>3765.322580645161</v>
      </c>
      <c r="H28" s="207">
        <f t="shared" si="21"/>
        <v>175</v>
      </c>
      <c r="I28" s="207">
        <f t="shared" si="2"/>
        <v>3765.322580645161</v>
      </c>
      <c r="J28" s="207">
        <f t="shared" si="22"/>
        <v>175</v>
      </c>
      <c r="K28" s="207">
        <f t="shared" si="3"/>
        <v>3765.322580645161</v>
      </c>
      <c r="L28" s="207">
        <f t="shared" si="23"/>
        <v>175</v>
      </c>
      <c r="M28" s="207">
        <f t="shared" si="4"/>
        <v>3765.322580645161</v>
      </c>
      <c r="N28" s="207">
        <f t="shared" si="24"/>
        <v>175</v>
      </c>
      <c r="O28" s="207">
        <f t="shared" si="5"/>
        <v>3765.322580645161</v>
      </c>
      <c r="P28" s="207">
        <f t="shared" si="25"/>
        <v>175</v>
      </c>
      <c r="Q28" s="207">
        <f t="shared" si="6"/>
        <v>3765.322580645161</v>
      </c>
      <c r="R28" s="207">
        <f t="shared" si="26"/>
        <v>175</v>
      </c>
      <c r="S28" s="207">
        <f t="shared" si="7"/>
        <v>3765.322580645161</v>
      </c>
      <c r="T28" s="207">
        <f t="shared" si="27"/>
        <v>175</v>
      </c>
      <c r="U28" s="207">
        <f t="shared" si="8"/>
        <v>3765.322580645161</v>
      </c>
      <c r="V28" s="207">
        <f t="shared" si="28"/>
        <v>175</v>
      </c>
      <c r="W28" s="207">
        <f t="shared" si="9"/>
        <v>3765.322580645161</v>
      </c>
      <c r="X28" s="35">
        <f t="shared" si="10"/>
        <v>0.5645161290322579</v>
      </c>
      <c r="Y28" s="36">
        <f t="shared" si="29"/>
        <v>41418.548387096758</v>
      </c>
      <c r="Z28" s="207">
        <f>'B5'!C27</f>
        <v>182</v>
      </c>
      <c r="AA28" s="207">
        <f t="shared" si="30"/>
        <v>1820</v>
      </c>
      <c r="AB28" s="207">
        <f t="shared" si="31"/>
        <v>182</v>
      </c>
      <c r="AC28" s="207">
        <f t="shared" si="30"/>
        <v>1820</v>
      </c>
      <c r="AD28" s="207">
        <f t="shared" si="32"/>
        <v>182</v>
      </c>
      <c r="AE28" s="207">
        <f t="shared" si="11"/>
        <v>1820</v>
      </c>
      <c r="AF28" s="207">
        <f t="shared" si="33"/>
        <v>182</v>
      </c>
      <c r="AG28" s="207">
        <f t="shared" si="12"/>
        <v>1820</v>
      </c>
      <c r="AH28" s="207">
        <f t="shared" si="34"/>
        <v>182</v>
      </c>
      <c r="AI28" s="207">
        <f t="shared" si="13"/>
        <v>1820</v>
      </c>
      <c r="AJ28" s="207">
        <f t="shared" si="35"/>
        <v>182</v>
      </c>
      <c r="AK28" s="207">
        <f t="shared" si="14"/>
        <v>1820</v>
      </c>
      <c r="AL28" s="207">
        <f t="shared" si="36"/>
        <v>182</v>
      </c>
      <c r="AM28" s="207">
        <f t="shared" si="15"/>
        <v>1820</v>
      </c>
      <c r="AN28" s="35">
        <f t="shared" si="16"/>
        <v>0.65</v>
      </c>
      <c r="AO28" s="36">
        <f t="shared" si="17"/>
        <v>12740</v>
      </c>
      <c r="AQ28" s="227">
        <f t="shared" si="37"/>
        <v>0.58253789810795698</v>
      </c>
      <c r="AR28" s="38">
        <f t="shared" si="41"/>
        <v>54158.548387096758</v>
      </c>
      <c r="AS28" s="201">
        <f t="shared" si="38"/>
        <v>0</v>
      </c>
      <c r="AT28" s="368"/>
      <c r="AU28" s="452"/>
      <c r="AV28" s="540">
        <f t="shared" si="42"/>
        <v>0.1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175</v>
      </c>
      <c r="C29" s="207">
        <f t="shared" si="18"/>
        <v>3765.322580645161</v>
      </c>
      <c r="D29">
        <f t="shared" si="19"/>
        <v>175</v>
      </c>
      <c r="E29" s="207">
        <f t="shared" si="18"/>
        <v>3765.322580645161</v>
      </c>
      <c r="F29">
        <f t="shared" si="20"/>
        <v>175</v>
      </c>
      <c r="G29" s="207">
        <f t="shared" si="1"/>
        <v>3765.322580645161</v>
      </c>
      <c r="H29" s="207">
        <f t="shared" si="21"/>
        <v>175</v>
      </c>
      <c r="I29" s="207">
        <f t="shared" si="2"/>
        <v>3765.322580645161</v>
      </c>
      <c r="J29" s="207">
        <f t="shared" si="22"/>
        <v>175</v>
      </c>
      <c r="K29" s="207">
        <f t="shared" si="3"/>
        <v>3765.322580645161</v>
      </c>
      <c r="L29" s="207">
        <f t="shared" si="23"/>
        <v>175</v>
      </c>
      <c r="M29" s="207">
        <f t="shared" si="4"/>
        <v>3765.322580645161</v>
      </c>
      <c r="N29" s="207">
        <f t="shared" si="24"/>
        <v>175</v>
      </c>
      <c r="O29" s="207">
        <f t="shared" si="5"/>
        <v>3765.322580645161</v>
      </c>
      <c r="P29" s="207">
        <f t="shared" si="25"/>
        <v>175</v>
      </c>
      <c r="Q29" s="207">
        <f t="shared" si="6"/>
        <v>3765.322580645161</v>
      </c>
      <c r="R29" s="207">
        <f t="shared" si="26"/>
        <v>175</v>
      </c>
      <c r="S29" s="207">
        <f t="shared" si="7"/>
        <v>3765.322580645161</v>
      </c>
      <c r="T29" s="207">
        <f t="shared" si="27"/>
        <v>175</v>
      </c>
      <c r="U29" s="207">
        <f t="shared" si="8"/>
        <v>3765.322580645161</v>
      </c>
      <c r="V29" s="207">
        <f t="shared" si="28"/>
        <v>175</v>
      </c>
      <c r="W29" s="207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7">
        <f>'B5'!C28</f>
        <v>182</v>
      </c>
      <c r="AA29" s="207">
        <f t="shared" si="30"/>
        <v>1820</v>
      </c>
      <c r="AB29" s="207">
        <f t="shared" si="31"/>
        <v>182</v>
      </c>
      <c r="AC29" s="207">
        <f t="shared" si="30"/>
        <v>1820</v>
      </c>
      <c r="AD29" s="207">
        <f t="shared" si="32"/>
        <v>182</v>
      </c>
      <c r="AE29" s="207">
        <f t="shared" si="11"/>
        <v>1820</v>
      </c>
      <c r="AF29" s="207">
        <f t="shared" si="33"/>
        <v>182</v>
      </c>
      <c r="AG29" s="207">
        <f t="shared" si="12"/>
        <v>1820</v>
      </c>
      <c r="AH29" s="207">
        <f t="shared" si="34"/>
        <v>182</v>
      </c>
      <c r="AI29" s="207">
        <f t="shared" si="13"/>
        <v>1820</v>
      </c>
      <c r="AJ29" s="207">
        <f t="shared" si="35"/>
        <v>182</v>
      </c>
      <c r="AK29" s="207">
        <f t="shared" si="14"/>
        <v>1820</v>
      </c>
      <c r="AL29" s="207">
        <f t="shared" si="36"/>
        <v>182</v>
      </c>
      <c r="AM29" s="207">
        <f t="shared" si="15"/>
        <v>1820</v>
      </c>
      <c r="AN29" s="35">
        <f t="shared" si="16"/>
        <v>0.65</v>
      </c>
      <c r="AO29" s="36">
        <f t="shared" si="17"/>
        <v>12740</v>
      </c>
      <c r="AQ29" s="227">
        <f t="shared" si="37"/>
        <v>0.58253789810795698</v>
      </c>
      <c r="AR29" s="38">
        <f t="shared" si="41"/>
        <v>54158.548387096758</v>
      </c>
      <c r="AS29" s="201">
        <f t="shared" si="38"/>
        <v>0</v>
      </c>
      <c r="AT29" s="368"/>
      <c r="AU29" s="452"/>
      <c r="AV29" s="540">
        <f t="shared" si="42"/>
        <v>0.1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175</v>
      </c>
      <c r="C30" s="207">
        <f t="shared" si="18"/>
        <v>3765.322580645161</v>
      </c>
      <c r="D30">
        <f t="shared" ref="D30:D35" si="44">SUM(B30)</f>
        <v>175</v>
      </c>
      <c r="E30" s="207">
        <f t="shared" si="18"/>
        <v>3765.322580645161</v>
      </c>
      <c r="F30">
        <f t="shared" ref="F30:F35" si="45">SUM(D30)</f>
        <v>175</v>
      </c>
      <c r="G30" s="207">
        <f t="shared" si="1"/>
        <v>3765.322580645161</v>
      </c>
      <c r="H30" s="207">
        <f t="shared" ref="H30:H35" si="46">SUM(F30)</f>
        <v>175</v>
      </c>
      <c r="I30" s="207">
        <f t="shared" si="2"/>
        <v>3765.322580645161</v>
      </c>
      <c r="J30" s="207">
        <f t="shared" ref="J30:J35" si="47">SUM(H30)</f>
        <v>175</v>
      </c>
      <c r="K30" s="207">
        <f t="shared" si="3"/>
        <v>3765.322580645161</v>
      </c>
      <c r="L30" s="207">
        <f t="shared" ref="L30:L35" si="48">SUM(J30)</f>
        <v>175</v>
      </c>
      <c r="M30" s="207">
        <f t="shared" si="4"/>
        <v>3765.322580645161</v>
      </c>
      <c r="N30" s="207">
        <f t="shared" ref="N30:N35" si="49">SUM(L30)</f>
        <v>175</v>
      </c>
      <c r="O30" s="207">
        <f t="shared" si="5"/>
        <v>3765.322580645161</v>
      </c>
      <c r="P30" s="207">
        <f t="shared" ref="P30:P35" si="50">SUM(N30)</f>
        <v>175</v>
      </c>
      <c r="Q30" s="207">
        <f t="shared" si="6"/>
        <v>3765.322580645161</v>
      </c>
      <c r="R30" s="207">
        <f t="shared" ref="R30:R35" si="51">SUM(P30)</f>
        <v>175</v>
      </c>
      <c r="S30" s="207">
        <f t="shared" si="7"/>
        <v>3765.322580645161</v>
      </c>
      <c r="T30" s="207">
        <f t="shared" ref="T30:T35" si="52">SUM(R30)</f>
        <v>175</v>
      </c>
      <c r="U30" s="207">
        <f t="shared" si="8"/>
        <v>3765.322580645161</v>
      </c>
      <c r="V30" s="207">
        <f t="shared" ref="V30:V35" si="53">SUM(T30)</f>
        <v>175</v>
      </c>
      <c r="W30" s="207">
        <f t="shared" si="9"/>
        <v>3765.322580645161</v>
      </c>
      <c r="X30" s="35">
        <f t="shared" ref="X30:X35" si="54">SUM(Y30/73370)</f>
        <v>0.5645161290322579</v>
      </c>
      <c r="Y30" s="36">
        <f t="shared" ref="Y30:Y35" si="55">SUM(C30+E30+G30+I30+K30+M30+O30+Q30+S30+U30+W30)</f>
        <v>41418.548387096758</v>
      </c>
      <c r="Z30" s="207">
        <f>'B5'!C29</f>
        <v>182</v>
      </c>
      <c r="AA30" s="207">
        <f t="shared" si="30"/>
        <v>1820</v>
      </c>
      <c r="AB30" s="207">
        <f t="shared" ref="AB30:AB35" si="56">SUM(Z30)</f>
        <v>182</v>
      </c>
      <c r="AC30" s="207">
        <f t="shared" si="30"/>
        <v>1820</v>
      </c>
      <c r="AD30" s="207">
        <f t="shared" ref="AD30:AD35" si="57">SUM(AB30)</f>
        <v>182</v>
      </c>
      <c r="AE30" s="207">
        <f t="shared" si="11"/>
        <v>1820</v>
      </c>
      <c r="AF30" s="207">
        <f t="shared" ref="AF30:AF35" si="58">SUM(AD30)</f>
        <v>182</v>
      </c>
      <c r="AG30" s="207">
        <f t="shared" si="12"/>
        <v>1820</v>
      </c>
      <c r="AH30" s="207">
        <f t="shared" ref="AH30:AH35" si="59">SUM(AF30)</f>
        <v>182</v>
      </c>
      <c r="AI30" s="207">
        <f t="shared" si="13"/>
        <v>1820</v>
      </c>
      <c r="AJ30" s="207">
        <f t="shared" ref="AJ30:AJ35" si="60">SUM(AH30)</f>
        <v>182</v>
      </c>
      <c r="AK30" s="207">
        <f t="shared" si="14"/>
        <v>1820</v>
      </c>
      <c r="AL30" s="207">
        <f t="shared" ref="AL30:AL35" si="61">SUM(AJ30)</f>
        <v>182</v>
      </c>
      <c r="AM30" s="207">
        <f t="shared" si="15"/>
        <v>1820</v>
      </c>
      <c r="AN30" s="35">
        <f t="shared" ref="AN30:AN35" si="62">SUM(AO30/19600)</f>
        <v>0.65</v>
      </c>
      <c r="AO30" s="36">
        <f t="shared" ref="AO30:AO35" si="63">SUM(AA30+AC30+AE30+AG30+AI30+AK30+AM30)</f>
        <v>12740</v>
      </c>
      <c r="AQ30" s="227">
        <f t="shared" si="37"/>
        <v>0.58253789810795698</v>
      </c>
      <c r="AR30" s="38">
        <f t="shared" si="41"/>
        <v>54158.548387096758</v>
      </c>
      <c r="AS30" s="201">
        <f t="shared" si="38"/>
        <v>0</v>
      </c>
      <c r="AT30" s="368"/>
      <c r="AU30" s="452"/>
      <c r="AV30" s="540">
        <f t="shared" si="42"/>
        <v>0.1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175</v>
      </c>
      <c r="C31" s="207">
        <f t="shared" si="18"/>
        <v>3765.322580645161</v>
      </c>
      <c r="D31">
        <f t="shared" si="44"/>
        <v>175</v>
      </c>
      <c r="E31" s="207">
        <f t="shared" si="18"/>
        <v>3765.322580645161</v>
      </c>
      <c r="F31">
        <f t="shared" si="45"/>
        <v>175</v>
      </c>
      <c r="G31" s="207">
        <f t="shared" si="1"/>
        <v>3765.322580645161</v>
      </c>
      <c r="H31" s="207">
        <f t="shared" si="46"/>
        <v>175</v>
      </c>
      <c r="I31" s="207">
        <f t="shared" si="2"/>
        <v>3765.322580645161</v>
      </c>
      <c r="J31" s="207">
        <f t="shared" si="47"/>
        <v>175</v>
      </c>
      <c r="K31" s="207">
        <f t="shared" si="3"/>
        <v>3765.322580645161</v>
      </c>
      <c r="L31" s="207">
        <f t="shared" si="48"/>
        <v>175</v>
      </c>
      <c r="M31" s="207">
        <f t="shared" si="4"/>
        <v>3765.322580645161</v>
      </c>
      <c r="N31" s="207">
        <f t="shared" si="49"/>
        <v>175</v>
      </c>
      <c r="O31" s="207">
        <f t="shared" si="5"/>
        <v>3765.322580645161</v>
      </c>
      <c r="P31" s="207">
        <f t="shared" si="50"/>
        <v>175</v>
      </c>
      <c r="Q31" s="207">
        <f t="shared" si="6"/>
        <v>3765.322580645161</v>
      </c>
      <c r="R31" s="207">
        <f t="shared" si="51"/>
        <v>175</v>
      </c>
      <c r="S31" s="207">
        <f t="shared" si="7"/>
        <v>3765.322580645161</v>
      </c>
      <c r="T31" s="207">
        <f t="shared" si="52"/>
        <v>175</v>
      </c>
      <c r="U31" s="207">
        <f t="shared" si="8"/>
        <v>3765.322580645161</v>
      </c>
      <c r="V31" s="207">
        <f t="shared" si="53"/>
        <v>175</v>
      </c>
      <c r="W31" s="207">
        <f t="shared" si="9"/>
        <v>3765.322580645161</v>
      </c>
      <c r="X31" s="35">
        <f t="shared" si="54"/>
        <v>0.5645161290322579</v>
      </c>
      <c r="Y31" s="36">
        <f t="shared" si="55"/>
        <v>41418.548387096758</v>
      </c>
      <c r="Z31" s="207">
        <f>'B5'!C30</f>
        <v>182</v>
      </c>
      <c r="AA31" s="207">
        <f t="shared" si="30"/>
        <v>1820</v>
      </c>
      <c r="AB31" s="207">
        <f t="shared" si="56"/>
        <v>182</v>
      </c>
      <c r="AC31" s="207">
        <f t="shared" si="30"/>
        <v>1820</v>
      </c>
      <c r="AD31" s="207">
        <f t="shared" si="57"/>
        <v>182</v>
      </c>
      <c r="AE31" s="207">
        <f t="shared" si="11"/>
        <v>1820</v>
      </c>
      <c r="AF31" s="207">
        <f t="shared" si="58"/>
        <v>182</v>
      </c>
      <c r="AG31" s="207">
        <f t="shared" si="12"/>
        <v>1820</v>
      </c>
      <c r="AH31" s="207">
        <f t="shared" si="59"/>
        <v>182</v>
      </c>
      <c r="AI31" s="207">
        <f t="shared" si="13"/>
        <v>1820</v>
      </c>
      <c r="AJ31" s="207">
        <f t="shared" si="60"/>
        <v>182</v>
      </c>
      <c r="AK31" s="207">
        <f t="shared" si="14"/>
        <v>1820</v>
      </c>
      <c r="AL31" s="207">
        <f t="shared" si="61"/>
        <v>182</v>
      </c>
      <c r="AM31" s="207">
        <f t="shared" si="15"/>
        <v>1820</v>
      </c>
      <c r="AN31" s="35">
        <f t="shared" si="62"/>
        <v>0.65</v>
      </c>
      <c r="AO31" s="36">
        <f t="shared" si="63"/>
        <v>12740</v>
      </c>
      <c r="AQ31" s="227">
        <f t="shared" si="37"/>
        <v>0.58253789810795698</v>
      </c>
      <c r="AR31" s="38">
        <f t="shared" si="41"/>
        <v>54158.548387096758</v>
      </c>
      <c r="AS31" s="201">
        <f>SUM(AR31-AR30-AT31)</f>
        <v>0</v>
      </c>
      <c r="AT31" s="368"/>
      <c r="AU31" s="452"/>
      <c r="AV31" s="540">
        <f t="shared" si="42"/>
        <v>0.1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175</v>
      </c>
      <c r="C32" s="207">
        <f t="shared" si="18"/>
        <v>3765.322580645161</v>
      </c>
      <c r="D32">
        <f t="shared" si="44"/>
        <v>175</v>
      </c>
      <c r="E32" s="207">
        <f t="shared" si="18"/>
        <v>3765.322580645161</v>
      </c>
      <c r="F32">
        <f t="shared" si="45"/>
        <v>175</v>
      </c>
      <c r="G32" s="207">
        <f t="shared" si="1"/>
        <v>3765.322580645161</v>
      </c>
      <c r="H32" s="207">
        <f t="shared" si="46"/>
        <v>175</v>
      </c>
      <c r="I32" s="207">
        <f t="shared" si="2"/>
        <v>3765.322580645161</v>
      </c>
      <c r="J32" s="207">
        <f t="shared" si="47"/>
        <v>175</v>
      </c>
      <c r="K32" s="207">
        <f t="shared" si="3"/>
        <v>3765.322580645161</v>
      </c>
      <c r="L32" s="207">
        <f t="shared" si="48"/>
        <v>175</v>
      </c>
      <c r="M32" s="207">
        <f t="shared" si="4"/>
        <v>3765.322580645161</v>
      </c>
      <c r="N32" s="207">
        <f t="shared" si="49"/>
        <v>175</v>
      </c>
      <c r="O32" s="207">
        <f t="shared" si="5"/>
        <v>3765.322580645161</v>
      </c>
      <c r="P32" s="207">
        <f t="shared" si="50"/>
        <v>175</v>
      </c>
      <c r="Q32" s="207">
        <f t="shared" si="6"/>
        <v>3765.322580645161</v>
      </c>
      <c r="R32" s="207">
        <f t="shared" si="51"/>
        <v>175</v>
      </c>
      <c r="S32" s="207">
        <f t="shared" si="7"/>
        <v>3765.322580645161</v>
      </c>
      <c r="T32" s="207">
        <f t="shared" si="52"/>
        <v>175</v>
      </c>
      <c r="U32" s="207">
        <f t="shared" si="8"/>
        <v>3765.322580645161</v>
      </c>
      <c r="V32" s="207">
        <f t="shared" si="53"/>
        <v>175</v>
      </c>
      <c r="W32" s="207">
        <f t="shared" si="9"/>
        <v>3765.322580645161</v>
      </c>
      <c r="X32" s="35">
        <f t="shared" si="54"/>
        <v>0.5645161290322579</v>
      </c>
      <c r="Y32" s="36">
        <f t="shared" si="55"/>
        <v>41418.548387096758</v>
      </c>
      <c r="Z32" s="207">
        <f>'B5'!C31</f>
        <v>182</v>
      </c>
      <c r="AA32" s="207">
        <f t="shared" si="30"/>
        <v>1820</v>
      </c>
      <c r="AB32" s="207">
        <f t="shared" si="56"/>
        <v>182</v>
      </c>
      <c r="AC32" s="207">
        <f t="shared" si="30"/>
        <v>1820</v>
      </c>
      <c r="AD32" s="207">
        <f t="shared" si="57"/>
        <v>182</v>
      </c>
      <c r="AE32" s="207">
        <f t="shared" si="11"/>
        <v>1820</v>
      </c>
      <c r="AF32" s="207">
        <f t="shared" si="58"/>
        <v>182</v>
      </c>
      <c r="AG32" s="207">
        <f t="shared" si="12"/>
        <v>1820</v>
      </c>
      <c r="AH32" s="207">
        <f t="shared" si="59"/>
        <v>182</v>
      </c>
      <c r="AI32" s="207">
        <f t="shared" si="13"/>
        <v>1820</v>
      </c>
      <c r="AJ32" s="207">
        <f t="shared" si="60"/>
        <v>182</v>
      </c>
      <c r="AK32" s="207">
        <f t="shared" si="14"/>
        <v>1820</v>
      </c>
      <c r="AL32" s="207">
        <f t="shared" si="61"/>
        <v>182</v>
      </c>
      <c r="AM32" s="207">
        <f t="shared" si="15"/>
        <v>1820</v>
      </c>
      <c r="AN32" s="35">
        <f t="shared" si="62"/>
        <v>0.65</v>
      </c>
      <c r="AO32" s="36">
        <f t="shared" si="63"/>
        <v>12740</v>
      </c>
      <c r="AQ32" s="227">
        <f t="shared" si="37"/>
        <v>0.58253789810795698</v>
      </c>
      <c r="AR32" s="38">
        <f t="shared" si="41"/>
        <v>54158.548387096758</v>
      </c>
      <c r="AS32" s="201">
        <f t="shared" si="38"/>
        <v>0</v>
      </c>
      <c r="AT32" s="368"/>
      <c r="AU32" s="452"/>
      <c r="AV32" s="540">
        <f>IF(AT32&gt;0,AU32,AV31)</f>
        <v>0.1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175</v>
      </c>
      <c r="C33" s="207">
        <f t="shared" si="18"/>
        <v>3765.322580645161</v>
      </c>
      <c r="D33">
        <f t="shared" si="44"/>
        <v>175</v>
      </c>
      <c r="E33" s="207">
        <f t="shared" si="18"/>
        <v>3765.322580645161</v>
      </c>
      <c r="F33">
        <f t="shared" si="45"/>
        <v>175</v>
      </c>
      <c r="G33" s="207">
        <f t="shared" si="1"/>
        <v>3765.322580645161</v>
      </c>
      <c r="H33" s="207">
        <f t="shared" si="46"/>
        <v>175</v>
      </c>
      <c r="I33" s="207">
        <f t="shared" si="2"/>
        <v>3765.322580645161</v>
      </c>
      <c r="J33" s="207">
        <f t="shared" si="47"/>
        <v>175</v>
      </c>
      <c r="K33" s="207">
        <f t="shared" si="3"/>
        <v>3765.322580645161</v>
      </c>
      <c r="L33" s="207">
        <f t="shared" si="48"/>
        <v>175</v>
      </c>
      <c r="M33" s="207">
        <f t="shared" si="4"/>
        <v>3765.322580645161</v>
      </c>
      <c r="N33" s="207">
        <f t="shared" si="49"/>
        <v>175</v>
      </c>
      <c r="O33" s="207">
        <f t="shared" si="5"/>
        <v>3765.322580645161</v>
      </c>
      <c r="P33" s="207">
        <f t="shared" si="50"/>
        <v>175</v>
      </c>
      <c r="Q33" s="207">
        <f t="shared" si="6"/>
        <v>3765.322580645161</v>
      </c>
      <c r="R33" s="207">
        <f t="shared" si="51"/>
        <v>175</v>
      </c>
      <c r="S33" s="207">
        <f t="shared" si="7"/>
        <v>3765.322580645161</v>
      </c>
      <c r="T33" s="207">
        <f t="shared" si="52"/>
        <v>175</v>
      </c>
      <c r="U33" s="207">
        <f t="shared" si="8"/>
        <v>3765.322580645161</v>
      </c>
      <c r="V33" s="207">
        <f t="shared" si="53"/>
        <v>175</v>
      </c>
      <c r="W33" s="207">
        <f t="shared" si="9"/>
        <v>3765.322580645161</v>
      </c>
      <c r="X33" s="35">
        <f t="shared" si="54"/>
        <v>0.5645161290322579</v>
      </c>
      <c r="Y33" s="36">
        <f t="shared" si="55"/>
        <v>41418.548387096758</v>
      </c>
      <c r="Z33" s="207">
        <f>'B5'!C32</f>
        <v>182</v>
      </c>
      <c r="AA33" s="207">
        <f t="shared" si="30"/>
        <v>1820</v>
      </c>
      <c r="AB33" s="207">
        <f t="shared" si="56"/>
        <v>182</v>
      </c>
      <c r="AC33" s="207">
        <f t="shared" si="30"/>
        <v>1820</v>
      </c>
      <c r="AD33" s="207">
        <f t="shared" si="57"/>
        <v>182</v>
      </c>
      <c r="AE33" s="207">
        <f t="shared" si="11"/>
        <v>1820</v>
      </c>
      <c r="AF33" s="207">
        <f t="shared" si="58"/>
        <v>182</v>
      </c>
      <c r="AG33" s="207">
        <f t="shared" si="12"/>
        <v>1820</v>
      </c>
      <c r="AH33" s="207">
        <f t="shared" si="59"/>
        <v>182</v>
      </c>
      <c r="AI33" s="207">
        <f t="shared" si="13"/>
        <v>1820</v>
      </c>
      <c r="AJ33" s="207">
        <f t="shared" si="60"/>
        <v>182</v>
      </c>
      <c r="AK33" s="207">
        <f t="shared" si="14"/>
        <v>1820</v>
      </c>
      <c r="AL33" s="207">
        <f t="shared" si="61"/>
        <v>182</v>
      </c>
      <c r="AM33" s="207">
        <f t="shared" si="15"/>
        <v>1820</v>
      </c>
      <c r="AN33" s="35">
        <f t="shared" si="62"/>
        <v>0.65</v>
      </c>
      <c r="AO33" s="36">
        <f t="shared" si="63"/>
        <v>12740</v>
      </c>
      <c r="AQ33" s="227">
        <f t="shared" si="37"/>
        <v>0.58253789810795698</v>
      </c>
      <c r="AR33" s="38">
        <f t="shared" si="41"/>
        <v>54158.548387096758</v>
      </c>
      <c r="AS33" s="201">
        <f t="shared" si="38"/>
        <v>0</v>
      </c>
      <c r="AT33" s="368"/>
      <c r="AU33" s="452"/>
      <c r="AV33" s="540">
        <f>IF(AT33&gt;0,AU33,AV32)</f>
        <v>0.1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175</v>
      </c>
      <c r="C34" s="207">
        <f t="shared" si="18"/>
        <v>3765.322580645161</v>
      </c>
      <c r="D34">
        <f t="shared" si="44"/>
        <v>175</v>
      </c>
      <c r="E34" s="207">
        <f t="shared" si="18"/>
        <v>3765.322580645161</v>
      </c>
      <c r="F34">
        <f t="shared" si="45"/>
        <v>175</v>
      </c>
      <c r="G34" s="207">
        <f t="shared" si="1"/>
        <v>3765.322580645161</v>
      </c>
      <c r="H34" s="207">
        <f t="shared" si="46"/>
        <v>175</v>
      </c>
      <c r="I34" s="207">
        <f t="shared" si="2"/>
        <v>3765.322580645161</v>
      </c>
      <c r="J34" s="207">
        <f t="shared" si="47"/>
        <v>175</v>
      </c>
      <c r="K34" s="207">
        <f t="shared" si="3"/>
        <v>3765.322580645161</v>
      </c>
      <c r="L34" s="207">
        <f t="shared" si="48"/>
        <v>175</v>
      </c>
      <c r="M34" s="207">
        <f t="shared" si="4"/>
        <v>3765.322580645161</v>
      </c>
      <c r="N34" s="207">
        <f t="shared" si="49"/>
        <v>175</v>
      </c>
      <c r="O34" s="207">
        <f t="shared" si="5"/>
        <v>3765.322580645161</v>
      </c>
      <c r="P34" s="207">
        <f t="shared" si="50"/>
        <v>175</v>
      </c>
      <c r="Q34" s="207">
        <f t="shared" si="6"/>
        <v>3765.322580645161</v>
      </c>
      <c r="R34" s="207">
        <f t="shared" si="51"/>
        <v>175</v>
      </c>
      <c r="S34" s="207">
        <f t="shared" si="7"/>
        <v>3765.322580645161</v>
      </c>
      <c r="T34" s="207">
        <f t="shared" si="52"/>
        <v>175</v>
      </c>
      <c r="U34" s="207">
        <f t="shared" si="8"/>
        <v>3765.322580645161</v>
      </c>
      <c r="V34" s="207">
        <f t="shared" si="53"/>
        <v>175</v>
      </c>
      <c r="W34" s="207">
        <f t="shared" si="9"/>
        <v>3765.322580645161</v>
      </c>
      <c r="X34" s="35">
        <f t="shared" si="54"/>
        <v>0.5645161290322579</v>
      </c>
      <c r="Y34" s="36">
        <f t="shared" si="55"/>
        <v>41418.548387096758</v>
      </c>
      <c r="Z34" s="207">
        <f>'B5'!C33</f>
        <v>182</v>
      </c>
      <c r="AA34" s="207">
        <f t="shared" si="30"/>
        <v>1820</v>
      </c>
      <c r="AB34" s="207">
        <f t="shared" si="56"/>
        <v>182</v>
      </c>
      <c r="AC34" s="207">
        <f t="shared" si="30"/>
        <v>1820</v>
      </c>
      <c r="AD34" s="207">
        <f t="shared" si="57"/>
        <v>182</v>
      </c>
      <c r="AE34" s="207">
        <f t="shared" si="11"/>
        <v>1820</v>
      </c>
      <c r="AF34" s="207">
        <f t="shared" si="58"/>
        <v>182</v>
      </c>
      <c r="AG34" s="207">
        <f t="shared" si="12"/>
        <v>1820</v>
      </c>
      <c r="AH34" s="207">
        <f t="shared" si="59"/>
        <v>182</v>
      </c>
      <c r="AI34" s="207">
        <f t="shared" si="13"/>
        <v>1820</v>
      </c>
      <c r="AJ34" s="207">
        <f t="shared" si="60"/>
        <v>182</v>
      </c>
      <c r="AK34" s="207">
        <f t="shared" si="14"/>
        <v>1820</v>
      </c>
      <c r="AL34" s="207">
        <f t="shared" si="61"/>
        <v>182</v>
      </c>
      <c r="AM34" s="207">
        <f t="shared" si="15"/>
        <v>1820</v>
      </c>
      <c r="AN34" s="35">
        <f t="shared" si="62"/>
        <v>0.65</v>
      </c>
      <c r="AO34" s="36">
        <f t="shared" si="63"/>
        <v>12740</v>
      </c>
      <c r="AQ34" s="227">
        <f>SUM(AR34/92970)</f>
        <v>0.58253789810795698</v>
      </c>
      <c r="AR34" s="38">
        <f t="shared" si="41"/>
        <v>54158.548387096758</v>
      </c>
      <c r="AS34" s="201">
        <f t="shared" si="38"/>
        <v>0</v>
      </c>
      <c r="AT34" s="368"/>
      <c r="AU34" s="452"/>
      <c r="AV34" s="540">
        <f t="shared" si="42"/>
        <v>0.1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175</v>
      </c>
      <c r="C35" s="207">
        <f t="shared" si="18"/>
        <v>3765.322580645161</v>
      </c>
      <c r="D35">
        <f t="shared" si="44"/>
        <v>175</v>
      </c>
      <c r="E35" s="207">
        <f t="shared" si="18"/>
        <v>3765.322580645161</v>
      </c>
      <c r="F35">
        <f t="shared" si="45"/>
        <v>175</v>
      </c>
      <c r="G35" s="207">
        <f t="shared" si="1"/>
        <v>3765.322580645161</v>
      </c>
      <c r="H35" s="207">
        <f t="shared" si="46"/>
        <v>175</v>
      </c>
      <c r="I35" s="207">
        <f t="shared" si="2"/>
        <v>3765.322580645161</v>
      </c>
      <c r="J35" s="207">
        <f t="shared" si="47"/>
        <v>175</v>
      </c>
      <c r="K35" s="207">
        <f t="shared" si="3"/>
        <v>3765.322580645161</v>
      </c>
      <c r="L35" s="207">
        <f t="shared" si="48"/>
        <v>175</v>
      </c>
      <c r="M35" s="207">
        <f t="shared" si="4"/>
        <v>3765.322580645161</v>
      </c>
      <c r="N35" s="207">
        <f t="shared" si="49"/>
        <v>175</v>
      </c>
      <c r="O35" s="207">
        <f t="shared" si="5"/>
        <v>3765.322580645161</v>
      </c>
      <c r="P35" s="207">
        <f t="shared" si="50"/>
        <v>175</v>
      </c>
      <c r="Q35" s="207">
        <f t="shared" si="6"/>
        <v>3765.322580645161</v>
      </c>
      <c r="R35" s="207">
        <f t="shared" si="51"/>
        <v>175</v>
      </c>
      <c r="S35" s="207">
        <f t="shared" si="7"/>
        <v>3765.322580645161</v>
      </c>
      <c r="T35" s="207">
        <f t="shared" si="52"/>
        <v>175</v>
      </c>
      <c r="U35" s="207">
        <f t="shared" si="8"/>
        <v>3765.322580645161</v>
      </c>
      <c r="V35" s="207">
        <f t="shared" si="53"/>
        <v>175</v>
      </c>
      <c r="W35" s="207">
        <f t="shared" si="9"/>
        <v>3765.322580645161</v>
      </c>
      <c r="X35" s="35">
        <f t="shared" si="54"/>
        <v>0.5645161290322579</v>
      </c>
      <c r="Y35" s="36">
        <f t="shared" si="55"/>
        <v>41418.548387096758</v>
      </c>
      <c r="Z35" s="207">
        <f>'B5'!C34</f>
        <v>182</v>
      </c>
      <c r="AA35" s="207">
        <f t="shared" si="30"/>
        <v>1820</v>
      </c>
      <c r="AB35" s="207">
        <f t="shared" si="56"/>
        <v>182</v>
      </c>
      <c r="AC35" s="207">
        <f t="shared" si="30"/>
        <v>1820</v>
      </c>
      <c r="AD35" s="207">
        <f t="shared" si="57"/>
        <v>182</v>
      </c>
      <c r="AE35" s="207">
        <f t="shared" si="11"/>
        <v>1820</v>
      </c>
      <c r="AF35" s="207">
        <f t="shared" si="58"/>
        <v>182</v>
      </c>
      <c r="AG35" s="207">
        <f t="shared" si="12"/>
        <v>1820</v>
      </c>
      <c r="AH35" s="207">
        <f t="shared" si="59"/>
        <v>182</v>
      </c>
      <c r="AI35" s="207">
        <f t="shared" si="13"/>
        <v>1820</v>
      </c>
      <c r="AJ35" s="207">
        <f t="shared" si="60"/>
        <v>182</v>
      </c>
      <c r="AK35" s="207">
        <f t="shared" si="14"/>
        <v>1820</v>
      </c>
      <c r="AL35" s="207">
        <f t="shared" si="61"/>
        <v>182</v>
      </c>
      <c r="AM35" s="207">
        <f t="shared" si="15"/>
        <v>1820</v>
      </c>
      <c r="AN35" s="35">
        <f t="shared" si="62"/>
        <v>0.65</v>
      </c>
      <c r="AO35" s="36">
        <f t="shared" si="63"/>
        <v>12740</v>
      </c>
      <c r="AQ35" s="227">
        <f>SUM(AR35/92970)</f>
        <v>0.58253789810795698</v>
      </c>
      <c r="AR35" s="38">
        <f t="shared" si="41"/>
        <v>54158.548387096758</v>
      </c>
      <c r="AS35" s="201">
        <f t="shared" si="38"/>
        <v>0</v>
      </c>
      <c r="AT35" s="368"/>
      <c r="AU35" s="452"/>
      <c r="AV35" s="540">
        <f>IF(AT35&gt;0,AU35,AV34)</f>
        <v>0.1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1</v>
      </c>
      <c r="AT36" s="207">
        <f>SUM(AT6:AT35)</f>
        <v>0.1</v>
      </c>
      <c r="AU36">
        <f>SUM(AU6:AU35)/AS36</f>
        <v>0.1</v>
      </c>
      <c r="AX36" s="207">
        <f>SUM(AX6:AX35)</f>
        <v>-774.80967741937775</v>
      </c>
      <c r="AY36" s="207">
        <f>SUM(AY6:AY35)</f>
        <v>-1226.8096774193777</v>
      </c>
    </row>
    <row r="37" spans="1:60">
      <c r="AS37" s="210"/>
      <c r="AT37">
        <f>+AT36*AU36</f>
        <v>1.0000000000000002E-2</v>
      </c>
    </row>
    <row r="39" spans="1:60">
      <c r="AS39" s="166">
        <f>SUM(AS6:AS35)/'EDl log'!A36</f>
        <v>-1226.8096774193777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zoomScaleNormal="100" workbookViewId="0">
      <pane ySplit="1" topLeftCell="A2" activePane="bottomLeft" state="frozen"/>
      <selection pane="bottomLeft" activeCell="I26" sqref="I2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>
      <c r="A3" s="4">
        <f>ELEC!C3</f>
        <v>43983</v>
      </c>
      <c r="B3" s="584">
        <v>8659</v>
      </c>
      <c r="C3" s="297">
        <f>B3-B2</f>
        <v>4</v>
      </c>
      <c r="D3" s="585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5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5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>
      <c r="A4" s="4">
        <f>ELEC!C4</f>
        <v>43984</v>
      </c>
      <c r="B4" s="277">
        <f t="shared" ref="B4:D32" si="11">B3</f>
        <v>8659</v>
      </c>
      <c r="C4" s="297">
        <f t="shared" ref="C4:C32" si="12">B4-B3</f>
        <v>0</v>
      </c>
      <c r="D4" s="277">
        <f t="shared" si="11"/>
        <v>153808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8770</v>
      </c>
      <c r="I4" s="297" t="str">
        <f t="shared" si="1"/>
        <v>ok</v>
      </c>
      <c r="J4" s="277">
        <f t="shared" ref="J4:L32" si="15">J3</f>
        <v>10689</v>
      </c>
      <c r="K4" s="297">
        <f t="shared" si="2"/>
        <v>0</v>
      </c>
      <c r="L4" s="277">
        <f t="shared" si="15"/>
        <v>237118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f t="shared" ref="R4:T32" si="18">R3</f>
        <v>11201</v>
      </c>
      <c r="S4" s="297">
        <f t="shared" si="5"/>
        <v>0</v>
      </c>
      <c r="T4" s="277">
        <f t="shared" si="18"/>
        <v>253331</v>
      </c>
      <c r="U4" s="297">
        <f t="shared" si="6"/>
        <v>0</v>
      </c>
      <c r="V4" s="297">
        <f t="shared" ref="V4:V32" si="19">IF(S4&gt;0,U4/S4,0)</f>
        <v>0</v>
      </c>
      <c r="W4" s="200"/>
      <c r="X4" s="298">
        <f t="shared" ref="X4:X32" si="20">X3</f>
        <v>11889</v>
      </c>
      <c r="Y4" s="297" t="str">
        <f t="shared" si="7"/>
        <v>ok</v>
      </c>
      <c r="Z4" s="297">
        <f>C4+K4+S4</f>
        <v>0</v>
      </c>
      <c r="AA4" s="297">
        <f t="shared" ref="AA4:AA32" si="21">U4+M4+E4</f>
        <v>0</v>
      </c>
      <c r="AB4" s="297">
        <f t="shared" ref="AB4:AB32" si="22">V4+N4+F4</f>
        <v>0</v>
      </c>
      <c r="AC4" s="297">
        <f t="shared" ref="AC4:AC32" si="23">IF(Z4&gt;0,AA4/Z4,0)</f>
        <v>0</v>
      </c>
      <c r="AD4" s="74">
        <f>ELEC!Q4</f>
        <v>0</v>
      </c>
      <c r="AE4" s="74" t="e">
        <f>SUM(AD4/Z4)</f>
        <v>#DIV/0!</v>
      </c>
      <c r="AF4" s="416" t="e">
        <f>SUM(AE4/1600)</f>
        <v>#DIV/0!</v>
      </c>
      <c r="AG4" s="417" t="e">
        <f>SUM(360*AF4)</f>
        <v>#DIV/0!</v>
      </c>
      <c r="AH4" s="417" t="e">
        <f t="shared" ref="AH4:AH32" si="24">SUM(AC4-AG4)</f>
        <v>#DIV/0!</v>
      </c>
      <c r="AI4" s="74">
        <f>AD4*AJ4</f>
        <v>0</v>
      </c>
      <c r="AJ4" s="299">
        <f t="shared" si="9"/>
        <v>0.25738396624472576</v>
      </c>
      <c r="AK4" s="299" t="e">
        <f t="shared" si="10"/>
        <v>#DIV/0!</v>
      </c>
    </row>
    <row r="5" spans="1:37">
      <c r="A5" s="4">
        <f>ELEC!C5</f>
        <v>43985</v>
      </c>
      <c r="B5" s="277">
        <f t="shared" si="11"/>
        <v>8659</v>
      </c>
      <c r="C5" s="297">
        <f t="shared" si="12"/>
        <v>0</v>
      </c>
      <c r="D5" s="277">
        <f t="shared" si="11"/>
        <v>153808</v>
      </c>
      <c r="E5" s="297">
        <f t="shared" si="13"/>
        <v>0</v>
      </c>
      <c r="F5" s="297">
        <f t="shared" si="0"/>
        <v>0</v>
      </c>
      <c r="G5" s="295"/>
      <c r="H5" s="298">
        <f>H4</f>
        <v>8770</v>
      </c>
      <c r="I5" s="297" t="str">
        <f t="shared" si="1"/>
        <v>ok</v>
      </c>
      <c r="J5" s="277">
        <f t="shared" si="15"/>
        <v>10689</v>
      </c>
      <c r="K5" s="297">
        <f t="shared" si="2"/>
        <v>0</v>
      </c>
      <c r="L5" s="277">
        <f t="shared" si="15"/>
        <v>237118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f t="shared" si="18"/>
        <v>11201</v>
      </c>
      <c r="S5" s="297">
        <f t="shared" si="5"/>
        <v>0</v>
      </c>
      <c r="T5" s="277">
        <f t="shared" si="18"/>
        <v>253331</v>
      </c>
      <c r="U5" s="297">
        <f t="shared" si="6"/>
        <v>0</v>
      </c>
      <c r="V5" s="297">
        <f>IF(S5&gt;0,U5/S5,0)</f>
        <v>0</v>
      </c>
      <c r="W5" s="200"/>
      <c r="X5" s="298">
        <f t="shared" si="20"/>
        <v>11889</v>
      </c>
      <c r="Y5" s="297" t="str">
        <f t="shared" si="7"/>
        <v>ok</v>
      </c>
      <c r="Z5" s="297">
        <f t="shared" si="8"/>
        <v>0</v>
      </c>
      <c r="AA5" s="297">
        <f t="shared" si="21"/>
        <v>0</v>
      </c>
      <c r="AB5" s="297">
        <f t="shared" si="22"/>
        <v>0</v>
      </c>
      <c r="AC5" s="297">
        <f t="shared" si="23"/>
        <v>0</v>
      </c>
      <c r="AD5" s="74">
        <f>ELEC!Q5</f>
        <v>0</v>
      </c>
      <c r="AE5" s="74" t="e">
        <f t="shared" ref="AE5:AE32" si="25">SUM(AD5/Z5)</f>
        <v>#DIV/0!</v>
      </c>
      <c r="AF5" s="416" t="e">
        <f t="shared" ref="AF5:AF32" si="26">SUM(AE5/1600)</f>
        <v>#DIV/0!</v>
      </c>
      <c r="AG5" s="417" t="e">
        <f t="shared" ref="AG5:AG32" si="27">SUM(320*AF5)</f>
        <v>#DIV/0!</v>
      </c>
      <c r="AH5" s="417" t="e">
        <f t="shared" si="24"/>
        <v>#DIV/0!</v>
      </c>
      <c r="AI5" s="74">
        <f t="shared" ref="AI5:AI32" si="28">AD5*AJ5</f>
        <v>0</v>
      </c>
      <c r="AJ5" s="299">
        <f t="shared" si="9"/>
        <v>0.25738396624472576</v>
      </c>
      <c r="AK5" s="299" t="e">
        <f t="shared" si="10"/>
        <v>#DIV/0!</v>
      </c>
    </row>
    <row r="6" spans="1:37">
      <c r="A6" s="4">
        <f>ELEC!C6</f>
        <v>43986</v>
      </c>
      <c r="B6" s="277">
        <f t="shared" si="11"/>
        <v>8659</v>
      </c>
      <c r="C6" s="297">
        <f t="shared" si="12"/>
        <v>0</v>
      </c>
      <c r="D6" s="277">
        <f t="shared" si="11"/>
        <v>153808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8770</v>
      </c>
      <c r="I6" s="297" t="str">
        <f t="shared" si="1"/>
        <v>ok</v>
      </c>
      <c r="J6" s="277">
        <f t="shared" si="15"/>
        <v>10689</v>
      </c>
      <c r="K6" s="297">
        <f t="shared" si="2"/>
        <v>0</v>
      </c>
      <c r="L6" s="277">
        <f t="shared" si="15"/>
        <v>237118</v>
      </c>
      <c r="M6" s="297">
        <f t="shared" si="3"/>
        <v>0</v>
      </c>
      <c r="N6" s="297">
        <f t="shared" si="16"/>
        <v>0</v>
      </c>
      <c r="O6" s="317"/>
      <c r="P6" s="298">
        <f t="shared" si="17"/>
        <v>10873</v>
      </c>
      <c r="Q6" s="297" t="str">
        <f t="shared" si="4"/>
        <v>ok</v>
      </c>
      <c r="R6" s="277">
        <f t="shared" si="18"/>
        <v>11201</v>
      </c>
      <c r="S6" s="297">
        <f t="shared" si="5"/>
        <v>0</v>
      </c>
      <c r="T6" s="277">
        <f t="shared" si="18"/>
        <v>253331</v>
      </c>
      <c r="U6" s="297">
        <f t="shared" si="6"/>
        <v>0</v>
      </c>
      <c r="V6" s="297">
        <f t="shared" si="19"/>
        <v>0</v>
      </c>
      <c r="W6" s="317"/>
      <c r="X6" s="298">
        <f t="shared" si="20"/>
        <v>11889</v>
      </c>
      <c r="Y6" s="297" t="str">
        <f t="shared" si="7"/>
        <v>ok</v>
      </c>
      <c r="Z6" s="297">
        <f t="shared" si="8"/>
        <v>0</v>
      </c>
      <c r="AA6" s="297">
        <f t="shared" si="21"/>
        <v>0</v>
      </c>
      <c r="AB6" s="297">
        <f t="shared" si="22"/>
        <v>0</v>
      </c>
      <c r="AC6" s="297">
        <f t="shared" si="23"/>
        <v>0</v>
      </c>
      <c r="AD6" s="74">
        <f>ELEC!Q6</f>
        <v>0</v>
      </c>
      <c r="AE6" s="74" t="e">
        <f>SUM(AD6/Z6)</f>
        <v>#DIV/0!</v>
      </c>
      <c r="AF6" s="416" t="e">
        <f t="shared" si="26"/>
        <v>#DIV/0!</v>
      </c>
      <c r="AG6" s="417" t="e">
        <f>SUM(320*AF6)</f>
        <v>#DIV/0!</v>
      </c>
      <c r="AH6" s="417" t="e">
        <f t="shared" si="24"/>
        <v>#DIV/0!</v>
      </c>
      <c r="AI6" s="74">
        <f t="shared" si="28"/>
        <v>0</v>
      </c>
      <c r="AJ6" s="299">
        <f t="shared" si="9"/>
        <v>0.25738396624472576</v>
      </c>
      <c r="AK6" s="299" t="e">
        <f t="shared" si="10"/>
        <v>#DIV/0!</v>
      </c>
    </row>
    <row r="7" spans="1:37">
      <c r="A7" s="4">
        <f>ELEC!C7</f>
        <v>43987</v>
      </c>
      <c r="B7" s="277">
        <f t="shared" si="11"/>
        <v>8659</v>
      </c>
      <c r="C7" s="297">
        <f t="shared" si="12"/>
        <v>0</v>
      </c>
      <c r="D7" s="277">
        <f t="shared" si="11"/>
        <v>153808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8770</v>
      </c>
      <c r="I7" s="297" t="str">
        <f t="shared" si="1"/>
        <v>ok</v>
      </c>
      <c r="J7" s="277">
        <f t="shared" si="15"/>
        <v>10689</v>
      </c>
      <c r="K7" s="297">
        <f t="shared" si="2"/>
        <v>0</v>
      </c>
      <c r="L7" s="277">
        <f t="shared" si="15"/>
        <v>237118</v>
      </c>
      <c r="M7" s="297">
        <f t="shared" si="3"/>
        <v>0</v>
      </c>
      <c r="N7" s="297">
        <f t="shared" si="16"/>
        <v>0</v>
      </c>
      <c r="O7" s="317"/>
      <c r="P7" s="298">
        <f t="shared" si="17"/>
        <v>10873</v>
      </c>
      <c r="Q7" s="297" t="str">
        <f t="shared" si="4"/>
        <v>ok</v>
      </c>
      <c r="R7" s="277">
        <f t="shared" si="18"/>
        <v>11201</v>
      </c>
      <c r="S7" s="297">
        <f t="shared" si="5"/>
        <v>0</v>
      </c>
      <c r="T7" s="277">
        <f t="shared" si="18"/>
        <v>253331</v>
      </c>
      <c r="U7" s="297">
        <f t="shared" si="6"/>
        <v>0</v>
      </c>
      <c r="V7" s="297">
        <f t="shared" si="19"/>
        <v>0</v>
      </c>
      <c r="W7" s="200"/>
      <c r="X7" s="298">
        <f t="shared" si="20"/>
        <v>11889</v>
      </c>
      <c r="Y7" s="297" t="str">
        <f t="shared" si="7"/>
        <v>ok</v>
      </c>
      <c r="Z7" s="297">
        <f t="shared" si="8"/>
        <v>0</v>
      </c>
      <c r="AA7" s="297">
        <f>U7+M7+E7</f>
        <v>0</v>
      </c>
      <c r="AB7" s="297">
        <f t="shared" si="22"/>
        <v>0</v>
      </c>
      <c r="AC7" s="297">
        <f t="shared" si="23"/>
        <v>0</v>
      </c>
      <c r="AD7" s="74">
        <f>ELEC!Q7</f>
        <v>0</v>
      </c>
      <c r="AE7" s="74" t="e">
        <f t="shared" si="25"/>
        <v>#DIV/0!</v>
      </c>
      <c r="AF7" s="416" t="e">
        <f t="shared" si="26"/>
        <v>#DIV/0!</v>
      </c>
      <c r="AG7" s="523" t="s">
        <v>406</v>
      </c>
      <c r="AH7" s="417" t="e">
        <f t="shared" si="24"/>
        <v>#VALUE!</v>
      </c>
      <c r="AI7" s="74">
        <f t="shared" si="28"/>
        <v>0</v>
      </c>
      <c r="AJ7" s="299">
        <f t="shared" si="9"/>
        <v>0.25738396624472576</v>
      </c>
      <c r="AK7" s="299" t="e">
        <f t="shared" si="10"/>
        <v>#DIV/0!</v>
      </c>
    </row>
    <row r="8" spans="1:37">
      <c r="A8" s="4">
        <f>ELEC!C8</f>
        <v>43988</v>
      </c>
      <c r="B8" s="277">
        <f t="shared" si="11"/>
        <v>8659</v>
      </c>
      <c r="C8" s="297">
        <f t="shared" si="12"/>
        <v>0</v>
      </c>
      <c r="D8" s="277">
        <f t="shared" si="11"/>
        <v>153808</v>
      </c>
      <c r="E8" s="297">
        <f t="shared" si="13"/>
        <v>0</v>
      </c>
      <c r="F8" s="297">
        <f t="shared" si="0"/>
        <v>0</v>
      </c>
      <c r="G8" s="200"/>
      <c r="H8" s="298">
        <f t="shared" si="14"/>
        <v>8770</v>
      </c>
      <c r="I8" s="297" t="str">
        <f t="shared" si="1"/>
        <v>ok</v>
      </c>
      <c r="J8" s="277">
        <f t="shared" si="15"/>
        <v>10689</v>
      </c>
      <c r="K8" s="297">
        <f t="shared" si="2"/>
        <v>0</v>
      </c>
      <c r="L8" s="277">
        <f t="shared" si="15"/>
        <v>237118</v>
      </c>
      <c r="M8" s="297">
        <f t="shared" si="3"/>
        <v>0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f t="shared" si="18"/>
        <v>11201</v>
      </c>
      <c r="S8" s="297">
        <f t="shared" si="5"/>
        <v>0</v>
      </c>
      <c r="T8" s="277">
        <f t="shared" si="18"/>
        <v>253331</v>
      </c>
      <c r="U8" s="297">
        <f t="shared" si="6"/>
        <v>0</v>
      </c>
      <c r="V8" s="297">
        <f t="shared" si="19"/>
        <v>0</v>
      </c>
      <c r="W8" s="200"/>
      <c r="X8" s="298">
        <f t="shared" si="20"/>
        <v>11889</v>
      </c>
      <c r="Y8" s="297" t="str">
        <f t="shared" si="7"/>
        <v>ok</v>
      </c>
      <c r="Z8" s="297">
        <f t="shared" si="8"/>
        <v>0</v>
      </c>
      <c r="AA8" s="297">
        <f t="shared" si="21"/>
        <v>0</v>
      </c>
      <c r="AB8" s="297">
        <f t="shared" si="22"/>
        <v>0</v>
      </c>
      <c r="AC8" s="297">
        <f t="shared" si="23"/>
        <v>0</v>
      </c>
      <c r="AD8" s="74">
        <f>ELEC!Q8</f>
        <v>0</v>
      </c>
      <c r="AE8" s="74" t="e">
        <f t="shared" si="25"/>
        <v>#DIV/0!</v>
      </c>
      <c r="AF8" s="416" t="e">
        <f t="shared" si="26"/>
        <v>#DIV/0!</v>
      </c>
      <c r="AG8" s="417" t="e">
        <f t="shared" si="27"/>
        <v>#DIV/0!</v>
      </c>
      <c r="AH8" s="417" t="e">
        <f t="shared" si="24"/>
        <v>#DIV/0!</v>
      </c>
      <c r="AI8" s="74">
        <f t="shared" si="28"/>
        <v>0</v>
      </c>
      <c r="AJ8" s="299">
        <f t="shared" si="9"/>
        <v>0.25738396624472576</v>
      </c>
      <c r="AK8" s="299" t="e">
        <f t="shared" si="10"/>
        <v>#DIV/0!</v>
      </c>
    </row>
    <row r="9" spans="1:37">
      <c r="A9" s="4">
        <f>ELEC!C9</f>
        <v>43989</v>
      </c>
      <c r="B9" s="277">
        <f t="shared" si="11"/>
        <v>8659</v>
      </c>
      <c r="C9" s="297">
        <f t="shared" si="12"/>
        <v>0</v>
      </c>
      <c r="D9" s="277">
        <f t="shared" si="11"/>
        <v>153808</v>
      </c>
      <c r="E9" s="297">
        <f t="shared" si="13"/>
        <v>0</v>
      </c>
      <c r="F9" s="297">
        <f t="shared" si="0"/>
        <v>0</v>
      </c>
      <c r="G9" s="200"/>
      <c r="H9" s="298">
        <f t="shared" si="14"/>
        <v>8770</v>
      </c>
      <c r="I9" s="297" t="str">
        <f t="shared" si="1"/>
        <v>ok</v>
      </c>
      <c r="J9" s="277">
        <f t="shared" si="15"/>
        <v>10689</v>
      </c>
      <c r="K9" s="297">
        <f t="shared" si="2"/>
        <v>0</v>
      </c>
      <c r="L9" s="277">
        <f t="shared" si="15"/>
        <v>237118</v>
      </c>
      <c r="M9" s="297">
        <f t="shared" si="3"/>
        <v>0</v>
      </c>
      <c r="N9" s="297">
        <f t="shared" si="16"/>
        <v>0</v>
      </c>
      <c r="O9" s="200"/>
      <c r="P9" s="298">
        <f t="shared" si="17"/>
        <v>10873</v>
      </c>
      <c r="Q9" s="297" t="str">
        <f t="shared" si="4"/>
        <v>ok</v>
      </c>
      <c r="R9" s="277">
        <f t="shared" si="18"/>
        <v>11201</v>
      </c>
      <c r="S9" s="297">
        <f t="shared" si="5"/>
        <v>0</v>
      </c>
      <c r="T9" s="277">
        <f t="shared" si="18"/>
        <v>253331</v>
      </c>
      <c r="U9" s="297">
        <f t="shared" si="6"/>
        <v>0</v>
      </c>
      <c r="V9" s="297">
        <f t="shared" si="19"/>
        <v>0</v>
      </c>
      <c r="W9" s="200"/>
      <c r="X9" s="298">
        <f t="shared" si="20"/>
        <v>11889</v>
      </c>
      <c r="Y9" s="297" t="str">
        <f t="shared" si="7"/>
        <v>ok</v>
      </c>
      <c r="Z9" s="297">
        <f t="shared" si="8"/>
        <v>0</v>
      </c>
      <c r="AA9" s="297">
        <f t="shared" si="21"/>
        <v>0</v>
      </c>
      <c r="AB9" s="297">
        <f t="shared" si="22"/>
        <v>0</v>
      </c>
      <c r="AC9" s="297">
        <f t="shared" si="23"/>
        <v>0</v>
      </c>
      <c r="AD9" s="74">
        <f>ELEC!Q9</f>
        <v>0</v>
      </c>
      <c r="AE9" s="74" t="e">
        <f t="shared" si="25"/>
        <v>#DIV/0!</v>
      </c>
      <c r="AF9" s="416" t="e">
        <f t="shared" si="26"/>
        <v>#DIV/0!</v>
      </c>
      <c r="AG9" s="417" t="e">
        <f t="shared" si="27"/>
        <v>#DIV/0!</v>
      </c>
      <c r="AH9" s="417" t="e">
        <f t="shared" si="24"/>
        <v>#DIV/0!</v>
      </c>
      <c r="AI9" s="74">
        <f t="shared" si="28"/>
        <v>0</v>
      </c>
      <c r="AJ9" s="299">
        <v>0.25738396624472576</v>
      </c>
      <c r="AK9" s="299">
        <f t="shared" ref="AK9:AK16" si="29">IF(Z9&gt;0,AI9/Z9,0)</f>
        <v>0</v>
      </c>
    </row>
    <row r="10" spans="1:37">
      <c r="A10" s="4">
        <f>ELEC!C10</f>
        <v>43990</v>
      </c>
      <c r="B10" s="277">
        <f t="shared" si="11"/>
        <v>8659</v>
      </c>
      <c r="C10" s="297">
        <f t="shared" si="12"/>
        <v>0</v>
      </c>
      <c r="D10" s="277">
        <f t="shared" si="11"/>
        <v>153808</v>
      </c>
      <c r="E10" s="297">
        <f t="shared" si="13"/>
        <v>0</v>
      </c>
      <c r="F10" s="297">
        <f t="shared" si="0"/>
        <v>0</v>
      </c>
      <c r="G10" s="200"/>
      <c r="H10" s="298">
        <f t="shared" si="14"/>
        <v>8770</v>
      </c>
      <c r="I10" s="297" t="str">
        <f t="shared" si="1"/>
        <v>ok</v>
      </c>
      <c r="J10" s="277">
        <f t="shared" si="15"/>
        <v>10689</v>
      </c>
      <c r="K10" s="297">
        <f t="shared" si="2"/>
        <v>0</v>
      </c>
      <c r="L10" s="277">
        <f t="shared" si="15"/>
        <v>237118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f t="shared" si="18"/>
        <v>11201</v>
      </c>
      <c r="S10" s="297">
        <f t="shared" si="5"/>
        <v>0</v>
      </c>
      <c r="T10" s="277">
        <f t="shared" si="18"/>
        <v>253331</v>
      </c>
      <c r="U10" s="297">
        <f t="shared" si="6"/>
        <v>0</v>
      </c>
      <c r="V10" s="297">
        <f t="shared" si="19"/>
        <v>0</v>
      </c>
      <c r="W10" s="200"/>
      <c r="X10" s="298">
        <f t="shared" si="20"/>
        <v>11889</v>
      </c>
      <c r="Y10" s="297" t="str">
        <f t="shared" si="7"/>
        <v>ok</v>
      </c>
      <c r="Z10" s="297">
        <f t="shared" si="8"/>
        <v>0</v>
      </c>
      <c r="AA10" s="297">
        <f t="shared" si="21"/>
        <v>0</v>
      </c>
      <c r="AB10" s="297">
        <f t="shared" si="22"/>
        <v>0</v>
      </c>
      <c r="AC10" s="297">
        <f t="shared" si="23"/>
        <v>0</v>
      </c>
      <c r="AD10" s="74">
        <f>ELEC!Q10</f>
        <v>0</v>
      </c>
      <c r="AE10" s="74" t="e">
        <f t="shared" si="25"/>
        <v>#DIV/0!</v>
      </c>
      <c r="AF10" s="416" t="e">
        <f t="shared" si="26"/>
        <v>#DIV/0!</v>
      </c>
      <c r="AG10" s="417" t="e">
        <f t="shared" si="27"/>
        <v>#DIV/0!</v>
      </c>
      <c r="AH10" s="417" t="e">
        <f t="shared" si="24"/>
        <v>#DIV/0!</v>
      </c>
      <c r="AI10" s="74">
        <f t="shared" si="28"/>
        <v>0</v>
      </c>
      <c r="AJ10" s="299">
        <f t="shared" si="9"/>
        <v>0.25738396624472576</v>
      </c>
      <c r="AK10" s="299">
        <f t="shared" si="29"/>
        <v>0</v>
      </c>
    </row>
    <row r="11" spans="1:37">
      <c r="A11" s="4">
        <f>ELEC!C11</f>
        <v>43991</v>
      </c>
      <c r="B11" s="277">
        <f t="shared" si="11"/>
        <v>8659</v>
      </c>
      <c r="C11" s="297">
        <f t="shared" si="12"/>
        <v>0</v>
      </c>
      <c r="D11" s="277">
        <f t="shared" si="11"/>
        <v>153808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8770</v>
      </c>
      <c r="I11" s="297" t="str">
        <f t="shared" si="1"/>
        <v>ok</v>
      </c>
      <c r="J11" s="277">
        <f t="shared" si="15"/>
        <v>10689</v>
      </c>
      <c r="K11" s="297">
        <f t="shared" si="2"/>
        <v>0</v>
      </c>
      <c r="L11" s="277">
        <f t="shared" si="15"/>
        <v>237118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f t="shared" si="18"/>
        <v>11201</v>
      </c>
      <c r="S11" s="297">
        <f t="shared" si="5"/>
        <v>0</v>
      </c>
      <c r="T11" s="277">
        <f t="shared" si="18"/>
        <v>253331</v>
      </c>
      <c r="U11" s="297">
        <f t="shared" si="6"/>
        <v>0</v>
      </c>
      <c r="V11" s="297">
        <f t="shared" si="19"/>
        <v>0</v>
      </c>
      <c r="W11" s="200"/>
      <c r="X11" s="298">
        <f t="shared" si="20"/>
        <v>11889</v>
      </c>
      <c r="Y11" s="297" t="str">
        <f t="shared" si="7"/>
        <v>ok</v>
      </c>
      <c r="Z11" s="297">
        <f t="shared" si="8"/>
        <v>0</v>
      </c>
      <c r="AA11" s="297">
        <f t="shared" si="21"/>
        <v>0</v>
      </c>
      <c r="AB11" s="297">
        <f t="shared" si="22"/>
        <v>0</v>
      </c>
      <c r="AC11" s="297">
        <f t="shared" si="23"/>
        <v>0</v>
      </c>
      <c r="AD11" s="74">
        <f>ELEC!Q11</f>
        <v>0</v>
      </c>
      <c r="AE11" s="74" t="e">
        <f t="shared" si="25"/>
        <v>#DIV/0!</v>
      </c>
      <c r="AF11" s="416" t="e">
        <f t="shared" si="26"/>
        <v>#DIV/0!</v>
      </c>
      <c r="AG11" s="417" t="e">
        <f t="shared" si="27"/>
        <v>#DIV/0!</v>
      </c>
      <c r="AH11" s="417" t="e">
        <f t="shared" si="24"/>
        <v>#DIV/0!</v>
      </c>
      <c r="AI11" s="74">
        <f t="shared" si="28"/>
        <v>0</v>
      </c>
      <c r="AJ11" s="299">
        <f t="shared" si="9"/>
        <v>0.25738396624472576</v>
      </c>
      <c r="AK11" s="299">
        <f t="shared" si="29"/>
        <v>0</v>
      </c>
    </row>
    <row r="12" spans="1:37">
      <c r="A12" s="4">
        <f>ELEC!C12</f>
        <v>43992</v>
      </c>
      <c r="B12" s="277">
        <f t="shared" si="11"/>
        <v>8659</v>
      </c>
      <c r="C12" s="297">
        <f t="shared" si="12"/>
        <v>0</v>
      </c>
      <c r="D12" s="277">
        <f t="shared" si="11"/>
        <v>153808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8770</v>
      </c>
      <c r="I12" s="297" t="str">
        <f t="shared" si="1"/>
        <v>ok</v>
      </c>
      <c r="J12" s="277">
        <f t="shared" si="15"/>
        <v>10689</v>
      </c>
      <c r="K12" s="297">
        <f t="shared" si="2"/>
        <v>0</v>
      </c>
      <c r="L12" s="277">
        <f t="shared" si="15"/>
        <v>237118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f t="shared" si="18"/>
        <v>11201</v>
      </c>
      <c r="S12" s="297">
        <v>0</v>
      </c>
      <c r="T12" s="277">
        <f t="shared" si="18"/>
        <v>253331</v>
      </c>
      <c r="U12" s="297">
        <f t="shared" si="6"/>
        <v>0</v>
      </c>
      <c r="V12" s="297">
        <f t="shared" si="19"/>
        <v>0</v>
      </c>
      <c r="W12" s="200"/>
      <c r="X12" s="298">
        <f t="shared" si="20"/>
        <v>11889</v>
      </c>
      <c r="Y12" s="297" t="str">
        <f t="shared" si="7"/>
        <v>ok</v>
      </c>
      <c r="Z12" s="297">
        <f t="shared" si="8"/>
        <v>0</v>
      </c>
      <c r="AA12" s="297">
        <f t="shared" si="21"/>
        <v>0</v>
      </c>
      <c r="AB12" s="297">
        <f t="shared" si="22"/>
        <v>0</v>
      </c>
      <c r="AC12" s="297">
        <f t="shared" si="23"/>
        <v>0</v>
      </c>
      <c r="AD12" s="74">
        <f>ELEC!Q12</f>
        <v>0</v>
      </c>
      <c r="AE12" s="74" t="e">
        <f t="shared" si="25"/>
        <v>#DIV/0!</v>
      </c>
      <c r="AF12" s="416" t="e">
        <f t="shared" si="26"/>
        <v>#DIV/0!</v>
      </c>
      <c r="AG12" s="417" t="e">
        <f t="shared" si="27"/>
        <v>#DIV/0!</v>
      </c>
      <c r="AH12" s="417" t="e">
        <f t="shared" si="24"/>
        <v>#DIV/0!</v>
      </c>
      <c r="AI12" s="74">
        <f t="shared" si="28"/>
        <v>0</v>
      </c>
      <c r="AJ12" s="299">
        <f t="shared" si="9"/>
        <v>0.25738396624472576</v>
      </c>
      <c r="AK12" s="299">
        <f t="shared" si="29"/>
        <v>0</v>
      </c>
    </row>
    <row r="13" spans="1:37">
      <c r="A13" s="4">
        <f>ELEC!C13</f>
        <v>43993</v>
      </c>
      <c r="B13" s="277">
        <f t="shared" si="11"/>
        <v>8659</v>
      </c>
      <c r="C13" s="297">
        <f t="shared" si="12"/>
        <v>0</v>
      </c>
      <c r="D13" s="277">
        <f t="shared" si="11"/>
        <v>153808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8770</v>
      </c>
      <c r="I13" s="297" t="str">
        <f t="shared" si="1"/>
        <v>ok</v>
      </c>
      <c r="J13" s="277">
        <f t="shared" si="15"/>
        <v>10689</v>
      </c>
      <c r="K13" s="297">
        <f t="shared" si="2"/>
        <v>0</v>
      </c>
      <c r="L13" s="277">
        <f t="shared" si="15"/>
        <v>237118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f t="shared" si="18"/>
        <v>11201</v>
      </c>
      <c r="S13" s="297">
        <f t="shared" si="5"/>
        <v>0</v>
      </c>
      <c r="T13" s="277">
        <f t="shared" si="18"/>
        <v>253331</v>
      </c>
      <c r="U13" s="297">
        <f t="shared" si="6"/>
        <v>0</v>
      </c>
      <c r="V13" s="297">
        <f t="shared" si="19"/>
        <v>0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0</v>
      </c>
      <c r="AA13" s="297">
        <f t="shared" si="21"/>
        <v>0</v>
      </c>
      <c r="AB13" s="297">
        <f t="shared" si="22"/>
        <v>0</v>
      </c>
      <c r="AC13" s="297">
        <f t="shared" si="23"/>
        <v>0</v>
      </c>
      <c r="AD13" s="74">
        <f>ELEC!Q13</f>
        <v>0</v>
      </c>
      <c r="AE13" s="74" t="e">
        <f t="shared" si="25"/>
        <v>#DIV/0!</v>
      </c>
      <c r="AF13" s="416" t="e">
        <f t="shared" si="26"/>
        <v>#DIV/0!</v>
      </c>
      <c r="AG13" s="417" t="e">
        <f t="shared" si="27"/>
        <v>#DIV/0!</v>
      </c>
      <c r="AH13" s="417" t="e">
        <f t="shared" si="24"/>
        <v>#DIV/0!</v>
      </c>
      <c r="AI13" s="74">
        <f t="shared" si="28"/>
        <v>0</v>
      </c>
      <c r="AJ13" s="299">
        <f t="shared" si="9"/>
        <v>0.25738396624472576</v>
      </c>
      <c r="AK13" s="299">
        <f t="shared" si="29"/>
        <v>0</v>
      </c>
    </row>
    <row r="14" spans="1:37">
      <c r="A14" s="4">
        <f>ELEC!C14</f>
        <v>43994</v>
      </c>
      <c r="B14" s="277">
        <f t="shared" si="11"/>
        <v>8659</v>
      </c>
      <c r="C14" s="297">
        <f t="shared" si="12"/>
        <v>0</v>
      </c>
      <c r="D14" s="277">
        <f t="shared" si="11"/>
        <v>153808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8770</v>
      </c>
      <c r="I14" s="297" t="str">
        <f t="shared" si="1"/>
        <v>ok</v>
      </c>
      <c r="J14" s="277">
        <f t="shared" si="15"/>
        <v>10689</v>
      </c>
      <c r="K14" s="297">
        <f t="shared" si="2"/>
        <v>0</v>
      </c>
      <c r="L14" s="277">
        <f t="shared" si="15"/>
        <v>237118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f t="shared" si="18"/>
        <v>11201</v>
      </c>
      <c r="S14" s="297">
        <f t="shared" si="5"/>
        <v>0</v>
      </c>
      <c r="T14" s="277">
        <f t="shared" si="18"/>
        <v>253331</v>
      </c>
      <c r="U14" s="297">
        <f t="shared" si="6"/>
        <v>0</v>
      </c>
      <c r="V14" s="297">
        <f t="shared" si="19"/>
        <v>0</v>
      </c>
      <c r="W14" s="200"/>
      <c r="X14" s="298">
        <f t="shared" si="20"/>
        <v>12069</v>
      </c>
      <c r="Y14" s="297" t="str">
        <f t="shared" si="7"/>
        <v>ok</v>
      </c>
      <c r="Z14" s="297">
        <f t="shared" si="8"/>
        <v>0</v>
      </c>
      <c r="AA14" s="297">
        <f t="shared" si="21"/>
        <v>0</v>
      </c>
      <c r="AB14" s="297">
        <f t="shared" si="22"/>
        <v>0</v>
      </c>
      <c r="AC14" s="297">
        <f t="shared" si="23"/>
        <v>0</v>
      </c>
      <c r="AD14" s="74">
        <f>ELEC!Q14</f>
        <v>0</v>
      </c>
      <c r="AE14" s="74" t="e">
        <f t="shared" si="25"/>
        <v>#DIV/0!</v>
      </c>
      <c r="AF14" s="416" t="e">
        <f t="shared" si="26"/>
        <v>#DIV/0!</v>
      </c>
      <c r="AG14" s="417" t="e">
        <f t="shared" si="27"/>
        <v>#DIV/0!</v>
      </c>
      <c r="AH14" s="417" t="e">
        <f t="shared" si="24"/>
        <v>#DIV/0!</v>
      </c>
      <c r="AI14" s="74">
        <f t="shared" si="28"/>
        <v>0</v>
      </c>
      <c r="AJ14" s="299">
        <f t="shared" si="9"/>
        <v>0.25738396624472576</v>
      </c>
      <c r="AK14" s="299">
        <f t="shared" si="29"/>
        <v>0</v>
      </c>
    </row>
    <row r="15" spans="1:37">
      <c r="A15" s="4">
        <f>ELEC!C15</f>
        <v>43995</v>
      </c>
      <c r="B15" s="277">
        <f t="shared" si="11"/>
        <v>8659</v>
      </c>
      <c r="C15" s="297">
        <f t="shared" si="12"/>
        <v>0</v>
      </c>
      <c r="D15" s="277">
        <f t="shared" si="11"/>
        <v>153808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8770</v>
      </c>
      <c r="I15" s="297" t="str">
        <f t="shared" si="1"/>
        <v>ok</v>
      </c>
      <c r="J15" s="277">
        <f t="shared" si="15"/>
        <v>10689</v>
      </c>
      <c r="K15" s="297">
        <f t="shared" si="2"/>
        <v>0</v>
      </c>
      <c r="L15" s="277">
        <f t="shared" si="15"/>
        <v>237118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f t="shared" si="18"/>
        <v>11201</v>
      </c>
      <c r="S15" s="297">
        <f t="shared" si="5"/>
        <v>0</v>
      </c>
      <c r="T15" s="277">
        <f t="shared" si="18"/>
        <v>253331</v>
      </c>
      <c r="U15" s="297">
        <f t="shared" si="6"/>
        <v>0</v>
      </c>
      <c r="V15" s="297">
        <f t="shared" si="19"/>
        <v>0</v>
      </c>
      <c r="W15" s="200"/>
      <c r="X15" s="298">
        <f t="shared" si="20"/>
        <v>12069</v>
      </c>
      <c r="Y15" s="297" t="str">
        <f t="shared" si="7"/>
        <v>ok</v>
      </c>
      <c r="Z15" s="297">
        <f t="shared" si="8"/>
        <v>0</v>
      </c>
      <c r="AA15" s="297">
        <f t="shared" si="21"/>
        <v>0</v>
      </c>
      <c r="AB15" s="297">
        <f t="shared" si="22"/>
        <v>0</v>
      </c>
      <c r="AC15" s="297">
        <f t="shared" si="23"/>
        <v>0</v>
      </c>
      <c r="AD15" s="74">
        <f>ELEC!Q15</f>
        <v>0</v>
      </c>
      <c r="AE15" s="74" t="e">
        <f t="shared" si="25"/>
        <v>#DIV/0!</v>
      </c>
      <c r="AF15" s="416" t="e">
        <f t="shared" si="26"/>
        <v>#DIV/0!</v>
      </c>
      <c r="AG15" s="417" t="e">
        <f t="shared" si="27"/>
        <v>#DIV/0!</v>
      </c>
      <c r="AH15" s="417" t="e">
        <f t="shared" si="24"/>
        <v>#DIV/0!</v>
      </c>
      <c r="AI15" s="74">
        <f t="shared" si="28"/>
        <v>0</v>
      </c>
      <c r="AJ15" s="299">
        <f t="shared" si="9"/>
        <v>0.25738396624472576</v>
      </c>
      <c r="AK15" s="299">
        <f t="shared" si="29"/>
        <v>0</v>
      </c>
    </row>
    <row r="16" spans="1:37">
      <c r="A16" s="4">
        <f>ELEC!C16</f>
        <v>43996</v>
      </c>
      <c r="B16" s="277">
        <f t="shared" si="11"/>
        <v>8659</v>
      </c>
      <c r="C16" s="297">
        <f t="shared" si="12"/>
        <v>0</v>
      </c>
      <c r="D16" s="277">
        <f t="shared" si="11"/>
        <v>153808</v>
      </c>
      <c r="E16" s="297">
        <f t="shared" si="13"/>
        <v>0</v>
      </c>
      <c r="F16" s="297">
        <f t="shared" si="0"/>
        <v>0</v>
      </c>
      <c r="G16" s="200"/>
      <c r="H16" s="298">
        <f t="shared" si="14"/>
        <v>8770</v>
      </c>
      <c r="I16" s="297" t="str">
        <f t="shared" si="1"/>
        <v>ok</v>
      </c>
      <c r="J16" s="277">
        <f t="shared" si="15"/>
        <v>10689</v>
      </c>
      <c r="K16" s="297">
        <f t="shared" si="2"/>
        <v>0</v>
      </c>
      <c r="L16" s="277">
        <f t="shared" si="15"/>
        <v>237118</v>
      </c>
      <c r="M16" s="297">
        <f t="shared" si="3"/>
        <v>0</v>
      </c>
      <c r="N16" s="297">
        <f t="shared" si="16"/>
        <v>0</v>
      </c>
      <c r="O16" s="200"/>
      <c r="P16" s="298">
        <f t="shared" si="17"/>
        <v>10873</v>
      </c>
      <c r="Q16" s="297" t="str">
        <f t="shared" si="4"/>
        <v>ok</v>
      </c>
      <c r="R16" s="277">
        <f t="shared" si="18"/>
        <v>11201</v>
      </c>
      <c r="S16" s="530">
        <f t="shared" si="5"/>
        <v>0</v>
      </c>
      <c r="T16" s="277">
        <f t="shared" si="18"/>
        <v>253331</v>
      </c>
      <c r="U16" s="297">
        <f t="shared" si="6"/>
        <v>0</v>
      </c>
      <c r="V16" s="297">
        <f t="shared" si="19"/>
        <v>0</v>
      </c>
      <c r="W16" s="200"/>
      <c r="X16" s="298">
        <f t="shared" si="20"/>
        <v>12069</v>
      </c>
      <c r="Y16" s="297" t="str">
        <f t="shared" si="7"/>
        <v>ok</v>
      </c>
      <c r="Z16" s="297">
        <f t="shared" si="8"/>
        <v>0</v>
      </c>
      <c r="AA16" s="297">
        <f t="shared" si="21"/>
        <v>0</v>
      </c>
      <c r="AB16" s="297">
        <f t="shared" si="22"/>
        <v>0</v>
      </c>
      <c r="AC16" s="297">
        <f t="shared" si="23"/>
        <v>0</v>
      </c>
      <c r="AD16" s="74">
        <f>ELEC!Q16</f>
        <v>0</v>
      </c>
      <c r="AE16" s="74" t="e">
        <f t="shared" si="25"/>
        <v>#DIV/0!</v>
      </c>
      <c r="AF16" s="416" t="e">
        <f t="shared" si="26"/>
        <v>#DIV/0!</v>
      </c>
      <c r="AG16" s="417" t="e">
        <f t="shared" si="27"/>
        <v>#DIV/0!</v>
      </c>
      <c r="AH16" s="417" t="e">
        <f t="shared" si="24"/>
        <v>#DIV/0!</v>
      </c>
      <c r="AI16" s="74">
        <f t="shared" si="28"/>
        <v>0</v>
      </c>
      <c r="AJ16" s="299">
        <f t="shared" si="9"/>
        <v>0.25738396624472576</v>
      </c>
      <c r="AK16" s="299">
        <f t="shared" si="29"/>
        <v>0</v>
      </c>
    </row>
    <row r="17" spans="1:37">
      <c r="A17" s="4">
        <f>ELEC!C17</f>
        <v>43997</v>
      </c>
      <c r="B17" s="277">
        <f t="shared" si="11"/>
        <v>8659</v>
      </c>
      <c r="C17" s="297">
        <f t="shared" si="12"/>
        <v>0</v>
      </c>
      <c r="D17" s="277">
        <f t="shared" si="11"/>
        <v>153808</v>
      </c>
      <c r="E17" s="297">
        <f t="shared" si="13"/>
        <v>0</v>
      </c>
      <c r="F17" s="297">
        <f t="shared" si="0"/>
        <v>0</v>
      </c>
      <c r="G17" s="200"/>
      <c r="H17" s="298">
        <f t="shared" si="14"/>
        <v>8770</v>
      </c>
      <c r="I17" s="297" t="str">
        <f t="shared" si="1"/>
        <v>ok</v>
      </c>
      <c r="J17" s="277">
        <f t="shared" si="15"/>
        <v>10689</v>
      </c>
      <c r="K17" s="297">
        <f t="shared" si="2"/>
        <v>0</v>
      </c>
      <c r="L17" s="277">
        <f t="shared" si="15"/>
        <v>237118</v>
      </c>
      <c r="M17" s="297">
        <f t="shared" si="3"/>
        <v>0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f t="shared" si="18"/>
        <v>11201</v>
      </c>
      <c r="S17" s="531">
        <f t="shared" si="5"/>
        <v>0</v>
      </c>
      <c r="T17" s="277">
        <f t="shared" si="18"/>
        <v>253331</v>
      </c>
      <c r="U17" s="297">
        <f t="shared" si="6"/>
        <v>0</v>
      </c>
      <c r="V17" s="297">
        <f t="shared" si="19"/>
        <v>0</v>
      </c>
      <c r="W17" s="200"/>
      <c r="X17" s="298">
        <f t="shared" si="20"/>
        <v>12069</v>
      </c>
      <c r="Y17" s="297" t="str">
        <f t="shared" si="7"/>
        <v>ok</v>
      </c>
      <c r="Z17" s="297">
        <f t="shared" si="8"/>
        <v>0</v>
      </c>
      <c r="AA17" s="297">
        <f t="shared" si="21"/>
        <v>0</v>
      </c>
      <c r="AB17" s="297">
        <f t="shared" si="22"/>
        <v>0</v>
      </c>
      <c r="AC17" s="297">
        <f t="shared" si="23"/>
        <v>0</v>
      </c>
      <c r="AD17" s="74">
        <f>ELEC!Q17</f>
        <v>0</v>
      </c>
      <c r="AE17" s="74" t="e">
        <f t="shared" si="25"/>
        <v>#DIV/0!</v>
      </c>
      <c r="AF17" s="416" t="e">
        <f t="shared" si="26"/>
        <v>#DIV/0!</v>
      </c>
      <c r="AG17" s="417" t="e">
        <f t="shared" si="27"/>
        <v>#DIV/0!</v>
      </c>
      <c r="AH17" s="417" t="e">
        <f t="shared" si="24"/>
        <v>#DIV/0!</v>
      </c>
      <c r="AI17" s="74">
        <f t="shared" si="28"/>
        <v>0</v>
      </c>
      <c r="AJ17" s="299">
        <f t="shared" si="9"/>
        <v>0.25738396624472576</v>
      </c>
      <c r="AK17" s="299">
        <f t="shared" ref="AK17:AK32" si="30">IF(Z17&gt;0,AI17/Z17,0)</f>
        <v>0</v>
      </c>
    </row>
    <row r="18" spans="1:37">
      <c r="A18" s="4">
        <f>ELEC!C18</f>
        <v>43998</v>
      </c>
      <c r="B18" s="277">
        <f t="shared" si="11"/>
        <v>8659</v>
      </c>
      <c r="C18" s="297">
        <f t="shared" si="12"/>
        <v>0</v>
      </c>
      <c r="D18" s="277">
        <f t="shared" si="11"/>
        <v>153808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8770</v>
      </c>
      <c r="I18" s="297" t="str">
        <f t="shared" si="1"/>
        <v>ok</v>
      </c>
      <c r="J18" s="277">
        <f t="shared" si="15"/>
        <v>10689</v>
      </c>
      <c r="K18" s="297">
        <f t="shared" si="2"/>
        <v>0</v>
      </c>
      <c r="L18" s="277">
        <f t="shared" si="15"/>
        <v>237118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f t="shared" si="18"/>
        <v>11201</v>
      </c>
      <c r="S18" s="297">
        <f t="shared" si="5"/>
        <v>0</v>
      </c>
      <c r="T18" s="277">
        <f t="shared" si="18"/>
        <v>253331</v>
      </c>
      <c r="U18" s="297">
        <f t="shared" si="6"/>
        <v>0</v>
      </c>
      <c r="V18" s="297">
        <f t="shared" si="19"/>
        <v>0</v>
      </c>
      <c r="W18" s="348"/>
      <c r="X18" s="298">
        <f t="shared" si="20"/>
        <v>12069</v>
      </c>
      <c r="Y18" s="297" t="str">
        <f t="shared" si="7"/>
        <v>ok</v>
      </c>
      <c r="Z18" s="297">
        <f t="shared" si="8"/>
        <v>0</v>
      </c>
      <c r="AA18" s="297">
        <f t="shared" si="21"/>
        <v>0</v>
      </c>
      <c r="AB18" s="297">
        <f t="shared" si="22"/>
        <v>0</v>
      </c>
      <c r="AC18" s="297">
        <f t="shared" si="23"/>
        <v>0</v>
      </c>
      <c r="AD18" s="74">
        <f>ELEC!Q18</f>
        <v>0</v>
      </c>
      <c r="AE18" s="74" t="e">
        <f t="shared" si="25"/>
        <v>#DIV/0!</v>
      </c>
      <c r="AF18" s="416" t="e">
        <f t="shared" si="26"/>
        <v>#DIV/0!</v>
      </c>
      <c r="AG18" s="417" t="e">
        <f t="shared" si="27"/>
        <v>#DIV/0!</v>
      </c>
      <c r="AH18" s="417" t="e">
        <f t="shared" si="24"/>
        <v>#DIV/0!</v>
      </c>
      <c r="AI18" s="74">
        <f t="shared" si="28"/>
        <v>0</v>
      </c>
      <c r="AJ18" s="299">
        <f t="shared" si="9"/>
        <v>0.25738396624472576</v>
      </c>
      <c r="AK18" s="299">
        <f t="shared" si="30"/>
        <v>0</v>
      </c>
    </row>
    <row r="19" spans="1:37">
      <c r="A19" s="4">
        <f>ELEC!C19</f>
        <v>43999</v>
      </c>
      <c r="B19" s="277">
        <f t="shared" si="11"/>
        <v>8659</v>
      </c>
      <c r="C19" s="297">
        <f t="shared" si="12"/>
        <v>0</v>
      </c>
      <c r="D19" s="277">
        <f t="shared" si="11"/>
        <v>153808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8770</v>
      </c>
      <c r="I19" s="297" t="str">
        <f t="shared" si="1"/>
        <v>ok</v>
      </c>
      <c r="J19" s="277">
        <f t="shared" si="15"/>
        <v>10689</v>
      </c>
      <c r="K19" s="297">
        <f t="shared" si="2"/>
        <v>0</v>
      </c>
      <c r="L19" s="277">
        <f t="shared" si="15"/>
        <v>237118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1">IF(J19-P19&lt;=0,"ok","oil change")</f>
        <v>ok</v>
      </c>
      <c r="R19" s="277">
        <f t="shared" si="18"/>
        <v>11201</v>
      </c>
      <c r="S19" s="297">
        <f t="shared" si="5"/>
        <v>0</v>
      </c>
      <c r="T19" s="277">
        <f t="shared" si="18"/>
        <v>253331</v>
      </c>
      <c r="U19" s="297">
        <f t="shared" si="6"/>
        <v>0</v>
      </c>
      <c r="V19" s="297">
        <f t="shared" si="19"/>
        <v>0</v>
      </c>
      <c r="W19" s="200"/>
      <c r="X19" s="298">
        <f t="shared" si="20"/>
        <v>12069</v>
      </c>
      <c r="Y19" s="297" t="str">
        <f t="shared" si="7"/>
        <v>ok</v>
      </c>
      <c r="Z19" s="297">
        <f t="shared" si="8"/>
        <v>0</v>
      </c>
      <c r="AA19" s="297">
        <f t="shared" si="21"/>
        <v>0</v>
      </c>
      <c r="AB19" s="297">
        <f t="shared" si="22"/>
        <v>0</v>
      </c>
      <c r="AC19" s="297">
        <f t="shared" si="23"/>
        <v>0</v>
      </c>
      <c r="AD19" s="74">
        <f>ELEC!Q19</f>
        <v>0</v>
      </c>
      <c r="AE19" s="74" t="e">
        <f t="shared" si="25"/>
        <v>#DIV/0!</v>
      </c>
      <c r="AF19" s="416" t="e">
        <f t="shared" si="26"/>
        <v>#DIV/0!</v>
      </c>
      <c r="AG19" s="417" t="e">
        <f t="shared" si="27"/>
        <v>#DIV/0!</v>
      </c>
      <c r="AH19" s="417" t="e">
        <f t="shared" si="24"/>
        <v>#DIV/0!</v>
      </c>
      <c r="AI19" s="74">
        <f t="shared" si="28"/>
        <v>0</v>
      </c>
      <c r="AJ19" s="299">
        <f t="shared" si="9"/>
        <v>0.25738396624472576</v>
      </c>
      <c r="AK19" s="299">
        <f t="shared" si="30"/>
        <v>0</v>
      </c>
    </row>
    <row r="20" spans="1:37">
      <c r="A20" s="4">
        <f>ELEC!C20</f>
        <v>44000</v>
      </c>
      <c r="B20" s="277">
        <f t="shared" si="11"/>
        <v>8659</v>
      </c>
      <c r="C20" s="297">
        <f>B20-B19</f>
        <v>0</v>
      </c>
      <c r="D20" s="277">
        <f t="shared" si="11"/>
        <v>153808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8770</v>
      </c>
      <c r="I20" s="297" t="str">
        <f t="shared" si="1"/>
        <v>ok</v>
      </c>
      <c r="J20" s="277">
        <f t="shared" si="15"/>
        <v>10689</v>
      </c>
      <c r="K20" s="297">
        <f t="shared" si="2"/>
        <v>0</v>
      </c>
      <c r="L20" s="277">
        <f t="shared" si="15"/>
        <v>237118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1"/>
        <v>ok</v>
      </c>
      <c r="R20" s="277">
        <f t="shared" si="18"/>
        <v>11201</v>
      </c>
      <c r="S20" s="297">
        <f t="shared" si="5"/>
        <v>0</v>
      </c>
      <c r="T20" s="277">
        <f t="shared" si="18"/>
        <v>253331</v>
      </c>
      <c r="U20" s="297">
        <f t="shared" ref="U20:U32" si="32">SUM(T20-T19)</f>
        <v>0</v>
      </c>
      <c r="V20" s="297">
        <f t="shared" si="19"/>
        <v>0</v>
      </c>
      <c r="W20" s="200"/>
      <c r="X20" s="298">
        <f t="shared" si="20"/>
        <v>12069</v>
      </c>
      <c r="Y20" s="297" t="str">
        <f t="shared" si="7"/>
        <v>ok</v>
      </c>
      <c r="Z20" s="297">
        <f t="shared" si="8"/>
        <v>0</v>
      </c>
      <c r="AA20" s="297">
        <f t="shared" si="21"/>
        <v>0</v>
      </c>
      <c r="AB20" s="297">
        <f t="shared" si="22"/>
        <v>0</v>
      </c>
      <c r="AC20" s="297">
        <f t="shared" si="23"/>
        <v>0</v>
      </c>
      <c r="AD20" s="74">
        <f>ELEC!Q20</f>
        <v>0</v>
      </c>
      <c r="AE20" s="74" t="e">
        <f t="shared" si="25"/>
        <v>#DIV/0!</v>
      </c>
      <c r="AF20" s="416" t="e">
        <f t="shared" si="26"/>
        <v>#DIV/0!</v>
      </c>
      <c r="AG20" s="417" t="e">
        <f t="shared" si="27"/>
        <v>#DIV/0!</v>
      </c>
      <c r="AH20" s="417" t="e">
        <f t="shared" si="24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44001</v>
      </c>
      <c r="B21" s="277">
        <f t="shared" si="11"/>
        <v>8659</v>
      </c>
      <c r="C21" s="297">
        <f t="shared" si="12"/>
        <v>0</v>
      </c>
      <c r="D21" s="277">
        <f t="shared" si="11"/>
        <v>153808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8770</v>
      </c>
      <c r="I21" s="297" t="str">
        <f t="shared" si="1"/>
        <v>ok</v>
      </c>
      <c r="J21" s="277">
        <f t="shared" si="15"/>
        <v>10689</v>
      </c>
      <c r="K21" s="297">
        <f t="shared" si="2"/>
        <v>0</v>
      </c>
      <c r="L21" s="277">
        <f t="shared" si="15"/>
        <v>237118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1"/>
        <v>ok</v>
      </c>
      <c r="R21" s="277">
        <f t="shared" si="18"/>
        <v>11201</v>
      </c>
      <c r="S21" s="297">
        <f t="shared" si="5"/>
        <v>0</v>
      </c>
      <c r="T21" s="277">
        <f t="shared" si="18"/>
        <v>253331</v>
      </c>
      <c r="U21" s="297">
        <f t="shared" si="32"/>
        <v>0</v>
      </c>
      <c r="V21" s="297">
        <f t="shared" si="19"/>
        <v>0</v>
      </c>
      <c r="W21" s="200"/>
      <c r="X21" s="298">
        <f t="shared" si="20"/>
        <v>12069</v>
      </c>
      <c r="Y21" s="297" t="str">
        <f>Y20</f>
        <v>ok</v>
      </c>
      <c r="Z21" s="297">
        <f t="shared" si="8"/>
        <v>0</v>
      </c>
      <c r="AA21" s="297">
        <f t="shared" si="21"/>
        <v>0</v>
      </c>
      <c r="AB21" s="297">
        <f t="shared" si="22"/>
        <v>0</v>
      </c>
      <c r="AC21" s="297">
        <f t="shared" si="23"/>
        <v>0</v>
      </c>
      <c r="AD21" s="74">
        <f>ELEC!Q21</f>
        <v>0</v>
      </c>
      <c r="AE21" s="74" t="e">
        <f t="shared" si="25"/>
        <v>#DIV/0!</v>
      </c>
      <c r="AF21" s="416" t="e">
        <f t="shared" si="26"/>
        <v>#DIV/0!</v>
      </c>
      <c r="AG21" s="417" t="e">
        <f t="shared" si="27"/>
        <v>#DIV/0!</v>
      </c>
      <c r="AH21" s="417" t="e">
        <f t="shared" si="24"/>
        <v>#DIV/0!</v>
      </c>
      <c r="AI21" s="74">
        <f t="shared" si="28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44002</v>
      </c>
      <c r="B22" s="277">
        <f t="shared" si="11"/>
        <v>8659</v>
      </c>
      <c r="C22" s="297">
        <f t="shared" si="12"/>
        <v>0</v>
      </c>
      <c r="D22" s="277">
        <f t="shared" si="11"/>
        <v>153808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8770</v>
      </c>
      <c r="I22" s="297" t="str">
        <f t="shared" si="1"/>
        <v>ok</v>
      </c>
      <c r="J22" s="277">
        <f t="shared" si="15"/>
        <v>10689</v>
      </c>
      <c r="K22" s="297">
        <f t="shared" si="2"/>
        <v>0</v>
      </c>
      <c r="L22" s="277">
        <f t="shared" si="15"/>
        <v>237118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1"/>
        <v>ok</v>
      </c>
      <c r="R22" s="277">
        <f t="shared" si="18"/>
        <v>11201</v>
      </c>
      <c r="S22" s="297">
        <f t="shared" si="5"/>
        <v>0</v>
      </c>
      <c r="T22" s="277">
        <f t="shared" si="18"/>
        <v>253331</v>
      </c>
      <c r="U22" s="297">
        <f t="shared" si="32"/>
        <v>0</v>
      </c>
      <c r="V22" s="297">
        <f t="shared" si="19"/>
        <v>0</v>
      </c>
      <c r="W22" s="200"/>
      <c r="X22" s="298">
        <f t="shared" si="20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1"/>
        <v>0</v>
      </c>
      <c r="AB22" s="297">
        <f t="shared" si="22"/>
        <v>0</v>
      </c>
      <c r="AC22" s="297">
        <f t="shared" si="23"/>
        <v>0</v>
      </c>
      <c r="AD22" s="74">
        <f>ELEC!Q22</f>
        <v>0</v>
      </c>
      <c r="AE22" s="74" t="e">
        <f t="shared" si="25"/>
        <v>#DIV/0!</v>
      </c>
      <c r="AF22" s="416" t="e">
        <f t="shared" si="26"/>
        <v>#DIV/0!</v>
      </c>
      <c r="AG22" s="417" t="e">
        <f t="shared" si="27"/>
        <v>#DIV/0!</v>
      </c>
      <c r="AH22" s="417" t="e">
        <f t="shared" si="24"/>
        <v>#DIV/0!</v>
      </c>
      <c r="AI22" s="74">
        <f t="shared" si="28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11"/>
        <v>8659</v>
      </c>
      <c r="C23" s="297">
        <f t="shared" si="12"/>
        <v>0</v>
      </c>
      <c r="D23" s="277">
        <f t="shared" si="11"/>
        <v>153808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8770</v>
      </c>
      <c r="I23" s="297" t="str">
        <f t="shared" si="1"/>
        <v>ok</v>
      </c>
      <c r="J23" s="277">
        <f t="shared" si="15"/>
        <v>10689</v>
      </c>
      <c r="K23" s="297">
        <f t="shared" si="2"/>
        <v>0</v>
      </c>
      <c r="L23" s="277">
        <f t="shared" si="15"/>
        <v>237118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1"/>
        <v>ok</v>
      </c>
      <c r="R23" s="277">
        <f t="shared" si="18"/>
        <v>11201</v>
      </c>
      <c r="S23" s="297">
        <f t="shared" si="5"/>
        <v>0</v>
      </c>
      <c r="T23" s="277">
        <f t="shared" si="18"/>
        <v>253331</v>
      </c>
      <c r="U23" s="297">
        <f t="shared" si="32"/>
        <v>0</v>
      </c>
      <c r="V23" s="297">
        <f t="shared" si="19"/>
        <v>0</v>
      </c>
      <c r="W23" s="200"/>
      <c r="X23" s="298">
        <f t="shared" si="20"/>
        <v>12069</v>
      </c>
      <c r="Y23" s="297" t="str">
        <f t="shared" si="33"/>
        <v>ok</v>
      </c>
      <c r="Z23" s="297">
        <f t="shared" si="8"/>
        <v>0</v>
      </c>
      <c r="AA23" s="297">
        <f t="shared" si="21"/>
        <v>0</v>
      </c>
      <c r="AB23" s="297">
        <f t="shared" si="22"/>
        <v>0</v>
      </c>
      <c r="AC23" s="297">
        <f t="shared" si="23"/>
        <v>0</v>
      </c>
      <c r="AD23" s="74">
        <f>ELEC!Q23</f>
        <v>0</v>
      </c>
      <c r="AE23" s="74" t="e">
        <f t="shared" si="25"/>
        <v>#DIV/0!</v>
      </c>
      <c r="AF23" s="416" t="e">
        <f t="shared" si="26"/>
        <v>#DIV/0!</v>
      </c>
      <c r="AG23" s="417" t="e">
        <f t="shared" si="27"/>
        <v>#DIV/0!</v>
      </c>
      <c r="AH23" s="417" t="e">
        <f t="shared" si="24"/>
        <v>#DIV/0!</v>
      </c>
      <c r="AI23" s="74">
        <f t="shared" si="28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11"/>
        <v>8659</v>
      </c>
      <c r="C24" s="297">
        <f t="shared" si="12"/>
        <v>0</v>
      </c>
      <c r="D24" s="277">
        <f t="shared" si="11"/>
        <v>153808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8770</v>
      </c>
      <c r="I24" s="297" t="str">
        <f t="shared" si="1"/>
        <v>ok</v>
      </c>
      <c r="J24" s="277">
        <f t="shared" si="15"/>
        <v>10689</v>
      </c>
      <c r="K24" s="297">
        <f t="shared" si="2"/>
        <v>0</v>
      </c>
      <c r="L24" s="277">
        <f t="shared" si="15"/>
        <v>237118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8"/>
        <v>11201</v>
      </c>
      <c r="S24" s="297">
        <f t="shared" si="5"/>
        <v>0</v>
      </c>
      <c r="T24" s="277">
        <f t="shared" si="18"/>
        <v>253331</v>
      </c>
      <c r="U24" s="297">
        <f t="shared" si="32"/>
        <v>0</v>
      </c>
      <c r="V24" s="297">
        <f t="shared" si="19"/>
        <v>0</v>
      </c>
      <c r="W24" s="200"/>
      <c r="X24" s="298">
        <f t="shared" si="20"/>
        <v>12069</v>
      </c>
      <c r="Y24" s="297" t="str">
        <f t="shared" si="33"/>
        <v>ok</v>
      </c>
      <c r="Z24" s="297">
        <f t="shared" si="8"/>
        <v>0</v>
      </c>
      <c r="AA24" s="297">
        <f t="shared" si="21"/>
        <v>0</v>
      </c>
      <c r="AB24" s="297">
        <f t="shared" si="22"/>
        <v>0</v>
      </c>
      <c r="AC24" s="297">
        <f t="shared" si="23"/>
        <v>0</v>
      </c>
      <c r="AD24" s="74">
        <f>ELEC!Q24</f>
        <v>0</v>
      </c>
      <c r="AE24" s="74" t="e">
        <f t="shared" si="25"/>
        <v>#DIV/0!</v>
      </c>
      <c r="AF24" s="416" t="e">
        <f t="shared" si="26"/>
        <v>#DIV/0!</v>
      </c>
      <c r="AG24" s="417" t="e">
        <f t="shared" si="27"/>
        <v>#DIV/0!</v>
      </c>
      <c r="AH24" s="417" t="e">
        <f t="shared" si="24"/>
        <v>#DIV/0!</v>
      </c>
      <c r="AI24" s="74">
        <f t="shared" si="28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11"/>
        <v>8659</v>
      </c>
      <c r="C25" s="297">
        <f t="shared" si="12"/>
        <v>0</v>
      </c>
      <c r="D25" s="277">
        <f t="shared" si="11"/>
        <v>153808</v>
      </c>
      <c r="E25" s="297">
        <f t="shared" si="13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5"/>
        <v>10689</v>
      </c>
      <c r="K25" s="297">
        <f t="shared" si="2"/>
        <v>0</v>
      </c>
      <c r="L25" s="277">
        <f t="shared" si="15"/>
        <v>237118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1"/>
        <v>ok</v>
      </c>
      <c r="R25" s="277">
        <f t="shared" si="18"/>
        <v>11201</v>
      </c>
      <c r="S25" s="297">
        <f t="shared" si="5"/>
        <v>0</v>
      </c>
      <c r="T25" s="277">
        <f t="shared" si="18"/>
        <v>253331</v>
      </c>
      <c r="U25" s="297">
        <f t="shared" si="32"/>
        <v>0</v>
      </c>
      <c r="V25" s="297">
        <f t="shared" si="19"/>
        <v>0</v>
      </c>
      <c r="W25" s="200"/>
      <c r="X25" s="298">
        <f t="shared" si="20"/>
        <v>12069</v>
      </c>
      <c r="Y25" s="297" t="str">
        <f t="shared" si="33"/>
        <v>ok</v>
      </c>
      <c r="Z25" s="297">
        <f t="shared" si="8"/>
        <v>0</v>
      </c>
      <c r="AA25" s="297">
        <f t="shared" si="21"/>
        <v>0</v>
      </c>
      <c r="AB25" s="297">
        <f t="shared" si="22"/>
        <v>0</v>
      </c>
      <c r="AC25" s="297">
        <f t="shared" si="23"/>
        <v>0</v>
      </c>
      <c r="AD25" s="74">
        <f>ELEC!Q25</f>
        <v>0</v>
      </c>
      <c r="AE25" s="74" t="e">
        <f t="shared" si="25"/>
        <v>#DIV/0!</v>
      </c>
      <c r="AF25" s="416" t="e">
        <f t="shared" si="26"/>
        <v>#DIV/0!</v>
      </c>
      <c r="AG25" s="417" t="e">
        <f t="shared" si="27"/>
        <v>#DIV/0!</v>
      </c>
      <c r="AH25" s="417" t="e">
        <f t="shared" si="24"/>
        <v>#DIV/0!</v>
      </c>
      <c r="AI25" s="74">
        <f t="shared" si="28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11"/>
        <v>8659</v>
      </c>
      <c r="C26" s="297">
        <f t="shared" si="12"/>
        <v>0</v>
      </c>
      <c r="D26" s="277">
        <f t="shared" si="11"/>
        <v>153808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8770</v>
      </c>
      <c r="I26" s="297" t="str">
        <f t="shared" si="1"/>
        <v>ok</v>
      </c>
      <c r="J26" s="277">
        <f t="shared" si="15"/>
        <v>10689</v>
      </c>
      <c r="K26" s="297">
        <f t="shared" si="2"/>
        <v>0</v>
      </c>
      <c r="L26" s="277">
        <f t="shared" si="15"/>
        <v>237118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1"/>
        <v>ok</v>
      </c>
      <c r="R26" s="277">
        <f t="shared" si="18"/>
        <v>11201</v>
      </c>
      <c r="S26" s="297">
        <f t="shared" si="5"/>
        <v>0</v>
      </c>
      <c r="T26" s="277">
        <f t="shared" si="18"/>
        <v>253331</v>
      </c>
      <c r="U26" s="297">
        <f t="shared" si="32"/>
        <v>0</v>
      </c>
      <c r="V26" s="297">
        <f t="shared" si="19"/>
        <v>0</v>
      </c>
      <c r="W26" s="200"/>
      <c r="X26" s="298">
        <f t="shared" si="20"/>
        <v>12069</v>
      </c>
      <c r="Y26" s="297" t="str">
        <f t="shared" si="33"/>
        <v>ok</v>
      </c>
      <c r="Z26" s="297">
        <f t="shared" si="8"/>
        <v>0</v>
      </c>
      <c r="AA26" s="297">
        <f t="shared" si="21"/>
        <v>0</v>
      </c>
      <c r="AB26" s="297">
        <f t="shared" si="22"/>
        <v>0</v>
      </c>
      <c r="AC26" s="297">
        <f t="shared" si="23"/>
        <v>0</v>
      </c>
      <c r="AD26" s="74">
        <f>ELEC!Q26</f>
        <v>0</v>
      </c>
      <c r="AE26" s="74" t="e">
        <f t="shared" si="25"/>
        <v>#DIV/0!</v>
      </c>
      <c r="AF26" s="416" t="e">
        <f t="shared" si="26"/>
        <v>#DIV/0!</v>
      </c>
      <c r="AG26" s="417" t="e">
        <f t="shared" si="27"/>
        <v>#DIV/0!</v>
      </c>
      <c r="AH26" s="417" t="e">
        <f t="shared" si="24"/>
        <v>#DIV/0!</v>
      </c>
      <c r="AI26" s="74">
        <f t="shared" si="28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11"/>
        <v>8659</v>
      </c>
      <c r="C27" s="297">
        <f t="shared" si="12"/>
        <v>0</v>
      </c>
      <c r="D27" s="277">
        <f t="shared" si="11"/>
        <v>153808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8770</v>
      </c>
      <c r="I27" s="297" t="str">
        <f>IF(B27-H27&lt;=0,"ok","oil change")</f>
        <v>ok</v>
      </c>
      <c r="J27" s="277">
        <f t="shared" si="15"/>
        <v>10689</v>
      </c>
      <c r="K27" s="297">
        <f t="shared" si="2"/>
        <v>0</v>
      </c>
      <c r="L27" s="277">
        <f t="shared" si="15"/>
        <v>237118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1"/>
        <v>ok</v>
      </c>
      <c r="R27" s="277">
        <f t="shared" si="18"/>
        <v>11201</v>
      </c>
      <c r="S27" s="297">
        <f t="shared" si="5"/>
        <v>0</v>
      </c>
      <c r="T27" s="277">
        <f t="shared" si="18"/>
        <v>253331</v>
      </c>
      <c r="U27" s="297">
        <f t="shared" si="32"/>
        <v>0</v>
      </c>
      <c r="V27" s="297">
        <f t="shared" si="19"/>
        <v>0</v>
      </c>
      <c r="W27" s="200"/>
      <c r="X27" s="298">
        <f t="shared" si="20"/>
        <v>12069</v>
      </c>
      <c r="Y27" s="297" t="str">
        <f t="shared" si="33"/>
        <v>ok</v>
      </c>
      <c r="Z27" s="297">
        <f t="shared" si="8"/>
        <v>0</v>
      </c>
      <c r="AA27" s="297">
        <f t="shared" si="21"/>
        <v>0</v>
      </c>
      <c r="AB27" s="297">
        <f t="shared" si="22"/>
        <v>0</v>
      </c>
      <c r="AC27" s="297">
        <f t="shared" si="23"/>
        <v>0</v>
      </c>
      <c r="AD27" s="74">
        <f>ELEC!Q27</f>
        <v>0</v>
      </c>
      <c r="AE27" s="74" t="e">
        <f t="shared" si="25"/>
        <v>#DIV/0!</v>
      </c>
      <c r="AF27" s="416" t="e">
        <f t="shared" si="26"/>
        <v>#DIV/0!</v>
      </c>
      <c r="AG27" s="417" t="e">
        <f t="shared" si="27"/>
        <v>#DIV/0!</v>
      </c>
      <c r="AH27" s="417" t="e">
        <f t="shared" si="24"/>
        <v>#DIV/0!</v>
      </c>
      <c r="AI27" s="74">
        <f t="shared" si="28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11"/>
        <v>8659</v>
      </c>
      <c r="C28" s="297">
        <f t="shared" si="12"/>
        <v>0</v>
      </c>
      <c r="D28" s="277">
        <f t="shared" si="11"/>
        <v>153808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8770</v>
      </c>
      <c r="I28" s="297" t="str">
        <f t="shared" si="1"/>
        <v>ok</v>
      </c>
      <c r="J28" s="277">
        <f t="shared" si="15"/>
        <v>10689</v>
      </c>
      <c r="K28" s="297">
        <f t="shared" si="2"/>
        <v>0</v>
      </c>
      <c r="L28" s="277">
        <f t="shared" si="15"/>
        <v>237118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1"/>
        <v>ok</v>
      </c>
      <c r="R28" s="277">
        <f t="shared" si="18"/>
        <v>11201</v>
      </c>
      <c r="S28" s="297">
        <f t="shared" si="5"/>
        <v>0</v>
      </c>
      <c r="T28" s="277">
        <f t="shared" si="18"/>
        <v>253331</v>
      </c>
      <c r="U28" s="297">
        <f t="shared" si="32"/>
        <v>0</v>
      </c>
      <c r="V28" s="297">
        <f t="shared" si="19"/>
        <v>0</v>
      </c>
      <c r="W28" s="200"/>
      <c r="X28" s="298">
        <f t="shared" si="20"/>
        <v>12069</v>
      </c>
      <c r="Y28" s="297" t="str">
        <f t="shared" si="33"/>
        <v>ok</v>
      </c>
      <c r="Z28" s="297">
        <f t="shared" si="8"/>
        <v>0</v>
      </c>
      <c r="AA28" s="297">
        <f t="shared" si="21"/>
        <v>0</v>
      </c>
      <c r="AB28" s="297">
        <f t="shared" si="22"/>
        <v>0</v>
      </c>
      <c r="AC28" s="297">
        <f t="shared" si="23"/>
        <v>0</v>
      </c>
      <c r="AD28" s="74">
        <f>ELEC!Q28</f>
        <v>0</v>
      </c>
      <c r="AE28" s="74" t="e">
        <f t="shared" si="25"/>
        <v>#DIV/0!</v>
      </c>
      <c r="AF28" s="416" t="e">
        <f t="shared" si="26"/>
        <v>#DIV/0!</v>
      </c>
      <c r="AG28" s="417" t="e">
        <f t="shared" si="27"/>
        <v>#DIV/0!</v>
      </c>
      <c r="AH28" s="417" t="e">
        <f t="shared" si="24"/>
        <v>#DIV/0!</v>
      </c>
      <c r="AI28" s="74">
        <f t="shared" si="28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11"/>
        <v>8659</v>
      </c>
      <c r="C29" s="297">
        <f t="shared" si="12"/>
        <v>0</v>
      </c>
      <c r="D29" s="277">
        <f t="shared" si="11"/>
        <v>153808</v>
      </c>
      <c r="E29" s="297">
        <f>SUM(D29-D28)</f>
        <v>0</v>
      </c>
      <c r="F29" s="297">
        <f t="shared" si="0"/>
        <v>0</v>
      </c>
      <c r="G29" s="200"/>
      <c r="H29" s="298">
        <f t="shared" si="14"/>
        <v>8770</v>
      </c>
      <c r="I29" s="297" t="str">
        <f t="shared" si="1"/>
        <v>ok</v>
      </c>
      <c r="J29" s="277">
        <f t="shared" si="15"/>
        <v>10689</v>
      </c>
      <c r="K29" s="297">
        <f t="shared" si="2"/>
        <v>0</v>
      </c>
      <c r="L29" s="277">
        <f t="shared" si="15"/>
        <v>237118</v>
      </c>
      <c r="M29" s="297">
        <f t="shared" si="3"/>
        <v>0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1"/>
        <v>ok</v>
      </c>
      <c r="R29" s="277">
        <f t="shared" si="18"/>
        <v>11201</v>
      </c>
      <c r="S29" s="297">
        <f t="shared" si="5"/>
        <v>0</v>
      </c>
      <c r="T29" s="277">
        <f t="shared" si="18"/>
        <v>253331</v>
      </c>
      <c r="U29" s="297">
        <f t="shared" si="32"/>
        <v>0</v>
      </c>
      <c r="V29" s="297">
        <f t="shared" si="19"/>
        <v>0</v>
      </c>
      <c r="W29" s="200"/>
      <c r="X29" s="298">
        <f t="shared" si="20"/>
        <v>12069</v>
      </c>
      <c r="Y29" s="297" t="str">
        <f t="shared" si="33"/>
        <v>ok</v>
      </c>
      <c r="Z29" s="297">
        <f t="shared" si="8"/>
        <v>0</v>
      </c>
      <c r="AA29" s="297">
        <f t="shared" si="21"/>
        <v>0</v>
      </c>
      <c r="AB29" s="297">
        <f t="shared" si="22"/>
        <v>0</v>
      </c>
      <c r="AC29" s="297">
        <f t="shared" si="23"/>
        <v>0</v>
      </c>
      <c r="AD29" s="74">
        <f>ELEC!Q29</f>
        <v>0</v>
      </c>
      <c r="AE29" s="74" t="e">
        <f t="shared" si="25"/>
        <v>#DIV/0!</v>
      </c>
      <c r="AF29" s="416" t="e">
        <f t="shared" si="26"/>
        <v>#DIV/0!</v>
      </c>
      <c r="AG29" s="417" t="e">
        <f t="shared" si="27"/>
        <v>#DIV/0!</v>
      </c>
      <c r="AH29" s="417" t="e">
        <f t="shared" si="24"/>
        <v>#DIV/0!</v>
      </c>
      <c r="AI29" s="74">
        <f t="shared" si="28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11"/>
        <v>8659</v>
      </c>
      <c r="C30" s="297">
        <f t="shared" si="12"/>
        <v>0</v>
      </c>
      <c r="D30" s="277">
        <f t="shared" si="11"/>
        <v>153808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8770</v>
      </c>
      <c r="I30" s="297" t="str">
        <f t="shared" si="1"/>
        <v>ok</v>
      </c>
      <c r="J30" s="277">
        <f t="shared" si="15"/>
        <v>10689</v>
      </c>
      <c r="K30" s="297">
        <f t="shared" si="2"/>
        <v>0</v>
      </c>
      <c r="L30" s="277">
        <f t="shared" si="15"/>
        <v>237118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1"/>
        <v>ok</v>
      </c>
      <c r="R30" s="277">
        <f t="shared" si="18"/>
        <v>11201</v>
      </c>
      <c r="S30" s="297">
        <f t="shared" si="5"/>
        <v>0</v>
      </c>
      <c r="T30" s="277">
        <f t="shared" si="18"/>
        <v>253331</v>
      </c>
      <c r="U30" s="297">
        <f t="shared" si="32"/>
        <v>0</v>
      </c>
      <c r="V30" s="297">
        <f t="shared" si="19"/>
        <v>0</v>
      </c>
      <c r="W30" s="295"/>
      <c r="X30" s="298">
        <f t="shared" si="20"/>
        <v>12069</v>
      </c>
      <c r="Y30" s="297" t="str">
        <f t="shared" si="33"/>
        <v>ok</v>
      </c>
      <c r="Z30" s="297">
        <f t="shared" si="8"/>
        <v>0</v>
      </c>
      <c r="AA30" s="297">
        <f t="shared" si="21"/>
        <v>0</v>
      </c>
      <c r="AB30" s="297">
        <f t="shared" si="22"/>
        <v>0</v>
      </c>
      <c r="AC30" s="297">
        <f t="shared" si="23"/>
        <v>0</v>
      </c>
      <c r="AD30" s="74">
        <f>ELEC!Q30</f>
        <v>0</v>
      </c>
      <c r="AE30" s="74" t="e">
        <f t="shared" si="25"/>
        <v>#DIV/0!</v>
      </c>
      <c r="AF30" s="416" t="e">
        <f t="shared" si="26"/>
        <v>#DIV/0!</v>
      </c>
      <c r="AG30" s="417" t="e">
        <f t="shared" si="27"/>
        <v>#DIV/0!</v>
      </c>
      <c r="AH30" s="417" t="e">
        <f t="shared" si="24"/>
        <v>#DIV/0!</v>
      </c>
      <c r="AI30" s="74">
        <f t="shared" si="28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11"/>
        <v>8659</v>
      </c>
      <c r="C31" s="297">
        <f t="shared" si="12"/>
        <v>0</v>
      </c>
      <c r="D31" s="277">
        <f t="shared" si="11"/>
        <v>153808</v>
      </c>
      <c r="E31" s="297">
        <f t="shared" si="13"/>
        <v>0</v>
      </c>
      <c r="F31" s="297">
        <f t="shared" si="0"/>
        <v>0</v>
      </c>
      <c r="G31" s="200"/>
      <c r="H31" s="298">
        <f t="shared" si="14"/>
        <v>8770</v>
      </c>
      <c r="I31" s="297" t="str">
        <f t="shared" si="1"/>
        <v>ok</v>
      </c>
      <c r="J31" s="277">
        <f t="shared" si="15"/>
        <v>10689</v>
      </c>
      <c r="K31" s="297">
        <f t="shared" si="2"/>
        <v>0</v>
      </c>
      <c r="L31" s="277">
        <f t="shared" si="15"/>
        <v>237118</v>
      </c>
      <c r="M31" s="297">
        <f t="shared" si="3"/>
        <v>0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1"/>
        <v>ok</v>
      </c>
      <c r="R31" s="277">
        <f t="shared" si="18"/>
        <v>11201</v>
      </c>
      <c r="S31" s="297">
        <f t="shared" si="5"/>
        <v>0</v>
      </c>
      <c r="T31" s="277">
        <f t="shared" si="18"/>
        <v>253331</v>
      </c>
      <c r="U31" s="297">
        <f t="shared" si="32"/>
        <v>0</v>
      </c>
      <c r="V31" s="297">
        <f t="shared" si="19"/>
        <v>0</v>
      </c>
      <c r="W31" s="200"/>
      <c r="X31" s="298">
        <f t="shared" si="20"/>
        <v>12069</v>
      </c>
      <c r="Y31" s="297" t="str">
        <f t="shared" si="33"/>
        <v>ok</v>
      </c>
      <c r="Z31" s="297">
        <f t="shared" si="8"/>
        <v>0</v>
      </c>
      <c r="AA31" s="297">
        <f t="shared" si="21"/>
        <v>0</v>
      </c>
      <c r="AB31" s="297">
        <f t="shared" si="22"/>
        <v>0</v>
      </c>
      <c r="AC31" s="297">
        <f t="shared" si="23"/>
        <v>0</v>
      </c>
      <c r="AD31" s="74">
        <f>ELEC!Q31</f>
        <v>0</v>
      </c>
      <c r="AE31" s="74" t="e">
        <f t="shared" si="25"/>
        <v>#DIV/0!</v>
      </c>
      <c r="AF31" s="416" t="e">
        <f t="shared" si="26"/>
        <v>#DIV/0!</v>
      </c>
      <c r="AG31" s="417" t="e">
        <f t="shared" si="27"/>
        <v>#DIV/0!</v>
      </c>
      <c r="AH31" s="417" t="e">
        <f t="shared" si="24"/>
        <v>#DIV/0!</v>
      </c>
      <c r="AI31" s="74">
        <f t="shared" si="28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11"/>
        <v>8659</v>
      </c>
      <c r="C32" s="297">
        <f t="shared" si="12"/>
        <v>0</v>
      </c>
      <c r="D32" s="277">
        <f t="shared" si="11"/>
        <v>153808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8770</v>
      </c>
      <c r="I32" s="297" t="str">
        <f t="shared" si="1"/>
        <v>ok</v>
      </c>
      <c r="J32" s="277">
        <f t="shared" si="15"/>
        <v>10689</v>
      </c>
      <c r="K32" s="297">
        <f>J32-J31</f>
        <v>0</v>
      </c>
      <c r="L32" s="277">
        <f t="shared" si="15"/>
        <v>237118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1"/>
        <v>ok</v>
      </c>
      <c r="R32" s="277">
        <f t="shared" si="18"/>
        <v>11201</v>
      </c>
      <c r="S32" s="297">
        <f t="shared" si="5"/>
        <v>0</v>
      </c>
      <c r="T32" s="277">
        <f t="shared" si="18"/>
        <v>253331</v>
      </c>
      <c r="U32" s="297">
        <f t="shared" si="32"/>
        <v>0</v>
      </c>
      <c r="V32" s="297">
        <f t="shared" si="19"/>
        <v>0</v>
      </c>
      <c r="W32" s="200"/>
      <c r="X32" s="298">
        <f t="shared" si="20"/>
        <v>12069</v>
      </c>
      <c r="Y32" s="297" t="str">
        <f t="shared" si="33"/>
        <v>ok</v>
      </c>
      <c r="Z32" s="297">
        <f t="shared" si="8"/>
        <v>0</v>
      </c>
      <c r="AA32" s="297">
        <f t="shared" si="21"/>
        <v>0</v>
      </c>
      <c r="AB32" s="297">
        <f t="shared" si="22"/>
        <v>0</v>
      </c>
      <c r="AC32" s="297">
        <f t="shared" si="23"/>
        <v>0</v>
      </c>
      <c r="AD32" s="74">
        <f>ELEC!Q32</f>
        <v>0</v>
      </c>
      <c r="AE32" s="74" t="e">
        <f t="shared" si="25"/>
        <v>#DIV/0!</v>
      </c>
      <c r="AF32" s="416" t="e">
        <f t="shared" si="26"/>
        <v>#DIV/0!</v>
      </c>
      <c r="AG32" s="417" t="e">
        <f t="shared" si="27"/>
        <v>#DIV/0!</v>
      </c>
      <c r="AH32" s="417" t="e">
        <f t="shared" si="24"/>
        <v>#DIV/0!</v>
      </c>
      <c r="AI32" s="74">
        <f t="shared" si="28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4</v>
      </c>
      <c r="V33" s="40"/>
      <c r="X33">
        <v>341</v>
      </c>
      <c r="Z33" s="435">
        <f>SUM(Z3:Z32)</f>
        <v>4</v>
      </c>
    </row>
    <row r="34" spans="3:26">
      <c r="C34" s="40">
        <f>SUM(C3:C32)</f>
        <v>4</v>
      </c>
      <c r="K34" s="40">
        <f>SUM(K3:K32)</f>
        <v>0</v>
      </c>
      <c r="S34" s="40">
        <f>SUM(S3:S32)</f>
        <v>0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0</v>
      </c>
      <c r="B3" s="3">
        <f>ELEC!AF4</f>
        <v>0</v>
      </c>
      <c r="C3" s="3">
        <f>ELEC!N4</f>
        <v>0</v>
      </c>
      <c r="D3" s="3">
        <f t="shared" ref="D3:D30" si="0">C3-E3</f>
        <v>0</v>
      </c>
      <c r="E3" s="3">
        <f>ELEC!Q4</f>
        <v>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-36.199999999999989</v>
      </c>
      <c r="J3" s="9">
        <f>'B5'!A5</f>
        <v>43983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43984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43985</v>
      </c>
    </row>
    <row r="6" spans="1:10">
      <c r="A6" s="3">
        <f>ELEC!T7+ELEC!X7+ELEC!AB7</f>
        <v>6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43986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43987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43988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43989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43990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43991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43992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43993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43994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43995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43996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43997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43998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20"/>
      <c r="B1" s="617" t="s">
        <v>119</v>
      </c>
      <c r="C1" s="617" t="s">
        <v>118</v>
      </c>
      <c r="D1" s="622" t="s">
        <v>113</v>
      </c>
      <c r="E1" s="622" t="s">
        <v>114</v>
      </c>
      <c r="F1" s="623" t="s">
        <v>120</v>
      </c>
      <c r="G1" s="624" t="s">
        <v>75</v>
      </c>
      <c r="H1" s="625" t="s">
        <v>115</v>
      </c>
      <c r="I1" s="626" t="s">
        <v>116</v>
      </c>
      <c r="J1" s="625" t="s">
        <v>117</v>
      </c>
      <c r="K1" s="619" t="s">
        <v>121</v>
      </c>
      <c r="L1" s="619" t="s">
        <v>122</v>
      </c>
      <c r="M1" s="619" t="s">
        <v>123</v>
      </c>
      <c r="N1" s="619" t="s">
        <v>124</v>
      </c>
    </row>
    <row r="2" spans="1:14">
      <c r="A2" s="621"/>
      <c r="B2" s="618"/>
      <c r="C2" s="618"/>
      <c r="D2" s="622"/>
      <c r="E2" s="622"/>
      <c r="F2" s="623"/>
      <c r="G2" s="624"/>
      <c r="H2" s="625"/>
      <c r="I2" s="627"/>
      <c r="J2" s="625"/>
      <c r="K2" s="619"/>
      <c r="L2" s="619"/>
      <c r="M2" s="619"/>
      <c r="N2" s="619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0</v>
      </c>
      <c r="C6" s="77">
        <f>'B5'!AH6</f>
        <v>0</v>
      </c>
      <c r="D6" s="77">
        <f>GEN!AI4</f>
        <v>0</v>
      </c>
      <c r="E6" s="248">
        <f t="shared" si="0"/>
        <v>0</v>
      </c>
      <c r="F6" s="76">
        <f>WATER!L6</f>
        <v>0</v>
      </c>
      <c r="G6" s="79">
        <f>WATER!BG6</f>
        <v>-25.199999999999989</v>
      </c>
      <c r="H6" s="80">
        <f>ELEC!AF4</f>
        <v>0</v>
      </c>
      <c r="I6" s="80">
        <f>ELEC!Q4</f>
        <v>0</v>
      </c>
      <c r="J6" s="80">
        <f>ELEC!R4</f>
        <v>0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0</v>
      </c>
      <c r="C7" s="77">
        <f>'B5'!AH7</f>
        <v>0</v>
      </c>
      <c r="D7" s="77">
        <f>GEN!AI5</f>
        <v>0</v>
      </c>
      <c r="E7" s="248">
        <f t="shared" si="0"/>
        <v>0</v>
      </c>
      <c r="F7" s="76">
        <f>WATER!L7</f>
        <v>0</v>
      </c>
      <c r="G7" s="79">
        <f>WATER!BG7</f>
        <v>0</v>
      </c>
      <c r="H7" s="80">
        <f>ELEC!AF5</f>
        <v>0</v>
      </c>
      <c r="I7" s="80">
        <f>ELEC!Q5</f>
        <v>0</v>
      </c>
      <c r="J7" s="80">
        <f>ELEC!R5</f>
        <v>0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0</v>
      </c>
      <c r="C8" s="77">
        <f>'B5'!AH8</f>
        <v>0</v>
      </c>
      <c r="D8" s="77">
        <f>GEN!AI6</f>
        <v>0</v>
      </c>
      <c r="E8" s="248">
        <f t="shared" si="0"/>
        <v>0</v>
      </c>
      <c r="F8" s="76">
        <f>WATER!L8</f>
        <v>0</v>
      </c>
      <c r="G8" s="79">
        <f>WATER!BG8</f>
        <v>0</v>
      </c>
      <c r="H8" s="80">
        <f>ELEC!AF6</f>
        <v>0</v>
      </c>
      <c r="I8" s="80">
        <f>ELEC!Q6</f>
        <v>0</v>
      </c>
      <c r="J8" s="80">
        <f>ELEC!R6</f>
        <v>0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0</v>
      </c>
      <c r="C9" s="77">
        <f>'B5'!AH9</f>
        <v>0</v>
      </c>
      <c r="D9" s="77">
        <f>GEN!AI7</f>
        <v>0</v>
      </c>
      <c r="E9" s="248">
        <f t="shared" si="0"/>
        <v>0</v>
      </c>
      <c r="F9" s="76">
        <f>WATER!L9</f>
        <v>0</v>
      </c>
      <c r="G9" s="79">
        <f>WATER!BG9</f>
        <v>0</v>
      </c>
      <c r="H9" s="80">
        <f>ELEC!AF7</f>
        <v>0</v>
      </c>
      <c r="I9" s="80">
        <f>ELEC!Q7</f>
        <v>0</v>
      </c>
      <c r="J9" s="80">
        <f>ELEC!R7</f>
        <v>0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0</v>
      </c>
      <c r="C10" s="77">
        <f>'B5'!AH10</f>
        <v>0</v>
      </c>
      <c r="D10" s="77">
        <f>GEN!AI8</f>
        <v>0</v>
      </c>
      <c r="E10" s="248">
        <f t="shared" si="0"/>
        <v>0</v>
      </c>
      <c r="F10" s="76">
        <f>WATER!L10</f>
        <v>0</v>
      </c>
      <c r="G10" s="79">
        <f>WATER!BG10</f>
        <v>0</v>
      </c>
      <c r="H10" s="80">
        <f>ELEC!AF8</f>
        <v>0</v>
      </c>
      <c r="I10" s="80">
        <f>ELEC!Q8</f>
        <v>0</v>
      </c>
      <c r="J10" s="80">
        <f>ELEC!R8</f>
        <v>0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0</v>
      </c>
      <c r="C11" s="77">
        <f>'B5'!AH11</f>
        <v>0</v>
      </c>
      <c r="D11" s="77">
        <f>GEN!AI9</f>
        <v>0</v>
      </c>
      <c r="E11" s="248">
        <f t="shared" si="0"/>
        <v>0</v>
      </c>
      <c r="F11" s="76">
        <f>WATER!L11</f>
        <v>0</v>
      </c>
      <c r="G11" s="79">
        <f>WATER!BG11</f>
        <v>0</v>
      </c>
      <c r="H11" s="80">
        <f>ELEC!AF9</f>
        <v>0</v>
      </c>
      <c r="I11" s="80">
        <f>ELEC!Q9</f>
        <v>0</v>
      </c>
      <c r="J11" s="80">
        <f>ELEC!R9</f>
        <v>0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0</v>
      </c>
      <c r="C12" s="77">
        <f>'B5'!AH12</f>
        <v>0</v>
      </c>
      <c r="D12" s="77">
        <f>GEN!AI10</f>
        <v>0</v>
      </c>
      <c r="E12" s="248">
        <f t="shared" si="0"/>
        <v>0</v>
      </c>
      <c r="F12" s="76">
        <f>WATER!L12</f>
        <v>0</v>
      </c>
      <c r="G12" s="79">
        <f>WATER!BG12</f>
        <v>0</v>
      </c>
      <c r="H12" s="80">
        <f>ELEC!AF10</f>
        <v>0</v>
      </c>
      <c r="I12" s="80">
        <f>ELEC!Q10</f>
        <v>0</v>
      </c>
      <c r="J12" s="80">
        <f>ELEC!R10</f>
        <v>0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0</v>
      </c>
      <c r="C13" s="77">
        <f>'B5'!AH13</f>
        <v>0</v>
      </c>
      <c r="D13" s="77">
        <f>GEN!AI11</f>
        <v>0</v>
      </c>
      <c r="E13" s="248">
        <f t="shared" si="0"/>
        <v>0</v>
      </c>
      <c r="F13" s="76">
        <f>WATER!L13</f>
        <v>0</v>
      </c>
      <c r="G13" s="79">
        <f>WATER!BG13</f>
        <v>0</v>
      </c>
      <c r="H13" s="80">
        <f>ELEC!AF11</f>
        <v>0</v>
      </c>
      <c r="I13" s="80">
        <f>ELEC!Q11</f>
        <v>0</v>
      </c>
      <c r="J13" s="80">
        <f>ELEC!R11</f>
        <v>0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0</v>
      </c>
      <c r="C14" s="77">
        <f>'B5'!AH14</f>
        <v>0</v>
      </c>
      <c r="D14" s="77">
        <f>GEN!AI12</f>
        <v>0</v>
      </c>
      <c r="E14" s="248">
        <f t="shared" si="0"/>
        <v>0</v>
      </c>
      <c r="F14" s="76">
        <f>WATER!L14</f>
        <v>0</v>
      </c>
      <c r="G14" s="79">
        <f>WATER!BG14</f>
        <v>0</v>
      </c>
      <c r="H14" s="80">
        <f>ELEC!AF12</f>
        <v>0</v>
      </c>
      <c r="I14" s="80">
        <f>ELEC!Q12</f>
        <v>0</v>
      </c>
      <c r="J14" s="80">
        <f>ELEC!R12</f>
        <v>0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0</v>
      </c>
      <c r="C15" s="77">
        <f>'B5'!AH15</f>
        <v>0</v>
      </c>
      <c r="D15" s="77">
        <f>GEN!AI13</f>
        <v>0</v>
      </c>
      <c r="E15" s="248">
        <f t="shared" si="0"/>
        <v>0</v>
      </c>
      <c r="F15" s="76">
        <f>WATER!L15</f>
        <v>0</v>
      </c>
      <c r="G15" s="79">
        <f>WATER!BG15</f>
        <v>0</v>
      </c>
      <c r="H15" s="80">
        <f>ELEC!AF13</f>
        <v>0</v>
      </c>
      <c r="I15" s="80">
        <f>ELEC!Q13</f>
        <v>0</v>
      </c>
      <c r="J15" s="80">
        <f>ELEC!R13</f>
        <v>0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0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8" t="s">
        <v>151</v>
      </c>
      <c r="U3" s="628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J4" sqref="J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1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1">
        <v>8029660</v>
      </c>
      <c r="G4" s="161">
        <f t="shared" ref="G4:G32" si="0">F4-F3</f>
        <v>897</v>
      </c>
      <c r="H4" s="581">
        <v>24627769</v>
      </c>
      <c r="I4" s="162">
        <f t="shared" ref="I4:I33" si="1">H4-H3</f>
        <v>3020</v>
      </c>
      <c r="J4" s="583">
        <v>17337622</v>
      </c>
      <c r="K4" s="163">
        <f t="shared" ref="K4:K33" si="2">J4-J3</f>
        <v>2481</v>
      </c>
      <c r="L4" s="306">
        <f>SUM(G4*$Y$28)/1507.5</f>
        <v>190.40796019900498</v>
      </c>
      <c r="M4" s="306">
        <f>SUM(I4*$Y$27)/1507.5</f>
        <v>224.37147595356549</v>
      </c>
      <c r="N4" s="306">
        <f>SUM(K4*$Y$26)/1507.5</f>
        <v>131.66169154228857</v>
      </c>
      <c r="O4" s="306">
        <f>($AC$31/$A$38)/1507.5</f>
        <v>5.3321046618758059</v>
      </c>
      <c r="P4" s="307">
        <f>SUM(L4:O4)</f>
        <v>551.77323235673487</v>
      </c>
      <c r="Q4" s="307">
        <f>SUM(-tanks!AX6*tanks!$AU$36)</f>
        <v>77.480967741937775</v>
      </c>
      <c r="R4" s="307">
        <f>SUM(P4:Q4)</f>
        <v>629.25420009867264</v>
      </c>
      <c r="S4" s="309">
        <f>SUM(ELEC!N3)</f>
        <v>14293</v>
      </c>
      <c r="T4" s="346">
        <f>IF(S4&gt;0,R4/S4,0)</f>
        <v>4.4025341082954778E-2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39"/>
      <c r="AC4" s="640"/>
    </row>
    <row r="5" spans="1:30">
      <c r="A5" s="164">
        <f>ELEC!C4</f>
        <v>43984</v>
      </c>
      <c r="B5" s="568">
        <f t="shared" ref="B5:B33" si="3">B4</f>
        <v>49995052</v>
      </c>
      <c r="C5" s="271">
        <f t="shared" ref="C5:C33" si="4">SUM(B5-B4)</f>
        <v>0</v>
      </c>
      <c r="D5" s="318">
        <f t="shared" ref="D5:D33" si="5">SUM(G5+I5+K5)</f>
        <v>0</v>
      </c>
      <c r="E5" s="318">
        <f>B4+D5</f>
        <v>49995052</v>
      </c>
      <c r="F5" s="568">
        <f t="shared" ref="F5:J33" si="6">F4</f>
        <v>8029660</v>
      </c>
      <c r="G5" s="161">
        <f t="shared" si="0"/>
        <v>0</v>
      </c>
      <c r="H5" s="568">
        <f t="shared" si="6"/>
        <v>24627769</v>
      </c>
      <c r="I5" s="162">
        <f t="shared" si="1"/>
        <v>0</v>
      </c>
      <c r="J5" s="568">
        <f t="shared" si="6"/>
        <v>17337622</v>
      </c>
      <c r="K5" s="163">
        <f t="shared" si="2"/>
        <v>0</v>
      </c>
      <c r="L5" s="306">
        <f t="shared" ref="L5:L32" si="7">SUM(G5*$Y$28)/1507.5</f>
        <v>0</v>
      </c>
      <c r="M5" s="306">
        <f t="shared" ref="M5:M33" si="8">SUM(I5*$Y$27)/1507.5</f>
        <v>0</v>
      </c>
      <c r="N5" s="306">
        <f t="shared" ref="N5:N33" si="9">SUM(K5*$Y$26)/1507.5</f>
        <v>0</v>
      </c>
      <c r="O5" s="306">
        <f t="shared" ref="O5:O33" si="10">($AC$31/$A$38)/1507.5</f>
        <v>5.3321046618758059</v>
      </c>
      <c r="P5" s="307">
        <f t="shared" ref="P5:P32" si="11">SUM(L5:O5)</f>
        <v>5.3321046618758059</v>
      </c>
      <c r="Q5" s="307">
        <f>SUM(-tanks!AX7*tanks!$AU$36)</f>
        <v>0</v>
      </c>
      <c r="R5" s="307">
        <f t="shared" ref="R5:R32" si="12">SUM(P5:Q5)</f>
        <v>5.3321046618758059</v>
      </c>
      <c r="S5" s="309">
        <f>SUM(ELEC!N4)</f>
        <v>0</v>
      </c>
      <c r="T5" s="346">
        <f>IF(S5&gt;0,R5/S5,0)</f>
        <v>0</v>
      </c>
      <c r="U5" s="256"/>
      <c r="V5" s="633"/>
      <c r="W5" s="634"/>
      <c r="X5" s="634"/>
      <c r="Y5" s="635"/>
      <c r="Z5" s="26" t="s">
        <v>203</v>
      </c>
      <c r="AA5" s="271">
        <f>'[2]EDl log'!AA22</f>
        <v>5000</v>
      </c>
      <c r="AB5" s="641"/>
      <c r="AC5" s="642"/>
    </row>
    <row r="6" spans="1:30">
      <c r="A6" s="164">
        <f>ELEC!C5</f>
        <v>43985</v>
      </c>
      <c r="B6" s="568">
        <f t="shared" si="3"/>
        <v>49995052</v>
      </c>
      <c r="C6" s="271">
        <f t="shared" si="4"/>
        <v>0</v>
      </c>
      <c r="D6" s="318">
        <f t="shared" si="5"/>
        <v>0</v>
      </c>
      <c r="E6" s="318">
        <f t="shared" ref="E6:E33" si="13">B5+D6</f>
        <v>49995052</v>
      </c>
      <c r="F6" s="568">
        <f t="shared" si="6"/>
        <v>8029660</v>
      </c>
      <c r="G6" s="161">
        <f t="shared" si="0"/>
        <v>0</v>
      </c>
      <c r="H6" s="568">
        <f t="shared" si="6"/>
        <v>24627769</v>
      </c>
      <c r="I6" s="162">
        <f t="shared" si="1"/>
        <v>0</v>
      </c>
      <c r="J6" s="568">
        <f t="shared" si="6"/>
        <v>17337622</v>
      </c>
      <c r="K6" s="163">
        <f t="shared" si="2"/>
        <v>0</v>
      </c>
      <c r="L6" s="306">
        <f t="shared" si="7"/>
        <v>0</v>
      </c>
      <c r="M6" s="306">
        <f t="shared" si="8"/>
        <v>0</v>
      </c>
      <c r="N6" s="306">
        <f t="shared" si="9"/>
        <v>0</v>
      </c>
      <c r="O6" s="306">
        <f t="shared" si="10"/>
        <v>5.3321046618758059</v>
      </c>
      <c r="P6" s="307">
        <f t="shared" si="11"/>
        <v>5.3321046618758059</v>
      </c>
      <c r="Q6" s="307">
        <f>SUM(-tanks!AX8*tanks!$AU$36)</f>
        <v>0</v>
      </c>
      <c r="R6" s="307">
        <f t="shared" si="12"/>
        <v>5.3321046618758059</v>
      </c>
      <c r="S6" s="309">
        <f>SUM(ELEC!N5)</f>
        <v>0</v>
      </c>
      <c r="T6" s="346">
        <f t="shared" ref="T6:T32" si="14">IF(S6&gt;0,R6/S6,0)</f>
        <v>0</v>
      </c>
      <c r="V6" s="636"/>
      <c r="W6" s="637"/>
      <c r="X6" s="637"/>
      <c r="Y6" s="638"/>
      <c r="Z6" s="3"/>
      <c r="AA6" s="3"/>
      <c r="AB6" s="641"/>
      <c r="AC6" s="642"/>
    </row>
    <row r="7" spans="1:30" ht="15" customHeight="1">
      <c r="A7" s="164">
        <f>ELEC!C6</f>
        <v>43986</v>
      </c>
      <c r="B7" s="568">
        <f t="shared" si="3"/>
        <v>49995052</v>
      </c>
      <c r="C7" s="271">
        <f t="shared" si="4"/>
        <v>0</v>
      </c>
      <c r="D7" s="318">
        <f t="shared" si="5"/>
        <v>0</v>
      </c>
      <c r="E7" s="318">
        <f t="shared" si="13"/>
        <v>49995052</v>
      </c>
      <c r="F7" s="568">
        <f t="shared" si="6"/>
        <v>8029660</v>
      </c>
      <c r="G7" s="161">
        <f t="shared" si="0"/>
        <v>0</v>
      </c>
      <c r="H7" s="568">
        <f t="shared" si="6"/>
        <v>24627769</v>
      </c>
      <c r="I7" s="162">
        <f t="shared" si="1"/>
        <v>0</v>
      </c>
      <c r="J7" s="568">
        <f t="shared" si="6"/>
        <v>17337622</v>
      </c>
      <c r="K7" s="163">
        <f t="shared" si="2"/>
        <v>0</v>
      </c>
      <c r="L7" s="306">
        <f t="shared" si="7"/>
        <v>0</v>
      </c>
      <c r="M7" s="306">
        <f t="shared" si="8"/>
        <v>0</v>
      </c>
      <c r="N7" s="306">
        <f t="shared" si="9"/>
        <v>0</v>
      </c>
      <c r="O7" s="306">
        <f t="shared" si="10"/>
        <v>5.3321046618758059</v>
      </c>
      <c r="P7" s="307">
        <f t="shared" si="11"/>
        <v>5.3321046618758059</v>
      </c>
      <c r="Q7" s="307">
        <f>SUM(-tanks!AX9*tanks!$AU$36)</f>
        <v>0</v>
      </c>
      <c r="R7" s="307">
        <f t="shared" si="12"/>
        <v>5.3321046618758059</v>
      </c>
      <c r="S7" s="309">
        <f>SUM(ELEC!N6)</f>
        <v>0</v>
      </c>
      <c r="T7" s="346">
        <f t="shared" si="14"/>
        <v>0</v>
      </c>
      <c r="V7" s="629" t="s">
        <v>204</v>
      </c>
      <c r="W7" s="630"/>
      <c r="X7" s="631" t="s">
        <v>205</v>
      </c>
      <c r="Y7" s="632"/>
      <c r="Z7" s="630"/>
      <c r="AA7" s="26"/>
      <c r="AB7" s="643"/>
      <c r="AC7" s="644"/>
    </row>
    <row r="8" spans="1:30" ht="15.75" customHeight="1">
      <c r="A8" s="164">
        <f>ELEC!C7</f>
        <v>43987</v>
      </c>
      <c r="B8" s="568">
        <f t="shared" si="3"/>
        <v>49995052</v>
      </c>
      <c r="C8" s="271">
        <f t="shared" si="4"/>
        <v>0</v>
      </c>
      <c r="D8" s="318">
        <f t="shared" si="5"/>
        <v>0</v>
      </c>
      <c r="E8" s="318">
        <f t="shared" si="13"/>
        <v>49995052</v>
      </c>
      <c r="F8" s="568">
        <f t="shared" si="6"/>
        <v>8029660</v>
      </c>
      <c r="G8" s="161">
        <f t="shared" si="0"/>
        <v>0</v>
      </c>
      <c r="H8" s="568">
        <f t="shared" si="6"/>
        <v>24627769</v>
      </c>
      <c r="I8" s="162">
        <f t="shared" si="1"/>
        <v>0</v>
      </c>
      <c r="J8" s="568">
        <f t="shared" si="6"/>
        <v>17337622</v>
      </c>
      <c r="K8" s="163">
        <f>J8-J7</f>
        <v>0</v>
      </c>
      <c r="L8" s="306">
        <f>SUM(G8*$Y$28)/1507.5</f>
        <v>0</v>
      </c>
      <c r="M8" s="306">
        <f>SUM(I8*$Y$27)/1507.5</f>
        <v>0</v>
      </c>
      <c r="N8" s="306">
        <f>SUM(K8*$Y$26)/1507.5</f>
        <v>0</v>
      </c>
      <c r="O8" s="306">
        <f t="shared" si="10"/>
        <v>5.3321046618758059</v>
      </c>
      <c r="P8" s="307">
        <f t="shared" si="11"/>
        <v>5.3321046618758059</v>
      </c>
      <c r="Q8" s="307">
        <f>SUM(-tanks!AX10*tanks!$AU$36)</f>
        <v>0</v>
      </c>
      <c r="R8" s="307">
        <f t="shared" si="12"/>
        <v>5.3321046618758059</v>
      </c>
      <c r="S8" s="309">
        <f>SUM(ELEC!N7)</f>
        <v>0</v>
      </c>
      <c r="T8" s="346">
        <f>IF(S8&gt;0,R8/S8,0)</f>
        <v>0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6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8">
        <f t="shared" si="3"/>
        <v>49995052</v>
      </c>
      <c r="C9" s="271">
        <f t="shared" si="4"/>
        <v>0</v>
      </c>
      <c r="D9" s="318">
        <f t="shared" si="5"/>
        <v>0</v>
      </c>
      <c r="E9" s="318">
        <f t="shared" si="13"/>
        <v>49995052</v>
      </c>
      <c r="F9" s="568">
        <f t="shared" si="6"/>
        <v>8029660</v>
      </c>
      <c r="G9" s="161">
        <f t="shared" si="0"/>
        <v>0</v>
      </c>
      <c r="H9" s="568">
        <f t="shared" si="6"/>
        <v>24627769</v>
      </c>
      <c r="I9" s="162">
        <f t="shared" si="1"/>
        <v>0</v>
      </c>
      <c r="J9" s="568">
        <f t="shared" si="6"/>
        <v>17337622</v>
      </c>
      <c r="K9" s="163">
        <f>J9-J8</f>
        <v>0</v>
      </c>
      <c r="L9" s="306">
        <f>SUM(G9*$Y$28)/1507.5</f>
        <v>0</v>
      </c>
      <c r="M9" s="306">
        <f>SUM(I9*$Y$27)/1507.5</f>
        <v>0</v>
      </c>
      <c r="N9" s="306">
        <f>SUM(K9*$Y$26)/1507.5</f>
        <v>0</v>
      </c>
      <c r="O9" s="306">
        <f t="shared" si="10"/>
        <v>5.3321046618758059</v>
      </c>
      <c r="P9" s="307">
        <f t="shared" si="11"/>
        <v>5.3321046618758059</v>
      </c>
      <c r="Q9" s="307">
        <f>SUM(-tanks!AX11*tanks!$AU$36)</f>
        <v>0</v>
      </c>
      <c r="R9" s="307">
        <f>SUM(P9:Q9)</f>
        <v>5.3321046618758059</v>
      </c>
      <c r="S9" s="309">
        <f>SUM(ELEC!N8)</f>
        <v>0</v>
      </c>
      <c r="T9" s="346">
        <f t="shared" si="14"/>
        <v>0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8">
        <f t="shared" si="3"/>
        <v>49995052</v>
      </c>
      <c r="C10" s="271">
        <f t="shared" si="4"/>
        <v>0</v>
      </c>
      <c r="D10" s="318">
        <f t="shared" si="5"/>
        <v>0</v>
      </c>
      <c r="E10" s="318">
        <f t="shared" si="13"/>
        <v>49995052</v>
      </c>
      <c r="F10" s="568">
        <f t="shared" si="6"/>
        <v>8029660</v>
      </c>
      <c r="G10" s="161">
        <f t="shared" si="0"/>
        <v>0</v>
      </c>
      <c r="H10" s="568">
        <f t="shared" si="6"/>
        <v>24627769</v>
      </c>
      <c r="I10" s="162">
        <f t="shared" si="1"/>
        <v>0</v>
      </c>
      <c r="J10" s="568">
        <f t="shared" si="6"/>
        <v>17337622</v>
      </c>
      <c r="K10" s="163">
        <f t="shared" si="2"/>
        <v>0</v>
      </c>
      <c r="L10" s="306">
        <f t="shared" si="7"/>
        <v>0</v>
      </c>
      <c r="M10" s="306">
        <f t="shared" si="8"/>
        <v>0</v>
      </c>
      <c r="N10" s="306">
        <f t="shared" si="9"/>
        <v>0</v>
      </c>
      <c r="O10" s="306">
        <f t="shared" si="10"/>
        <v>5.3321046618758059</v>
      </c>
      <c r="P10" s="307">
        <f t="shared" si="11"/>
        <v>5.3321046618758059</v>
      </c>
      <c r="Q10" s="307">
        <f>SUM(-tanks!AX12*tanks!$AU$36)</f>
        <v>0</v>
      </c>
      <c r="R10" s="307">
        <f t="shared" si="12"/>
        <v>5.3321046618758059</v>
      </c>
      <c r="S10" s="309">
        <f>SUM(ELEC!N9)</f>
        <v>0</v>
      </c>
      <c r="T10" s="346">
        <f t="shared" si="14"/>
        <v>0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68">
        <f t="shared" si="3"/>
        <v>49995052</v>
      </c>
      <c r="C11" s="271">
        <f t="shared" si="4"/>
        <v>0</v>
      </c>
      <c r="D11" s="318">
        <f>SUM(G11+I11+K11)</f>
        <v>0</v>
      </c>
      <c r="E11" s="318">
        <f t="shared" si="13"/>
        <v>49995052</v>
      </c>
      <c r="F11" s="568">
        <f t="shared" si="6"/>
        <v>8029660</v>
      </c>
      <c r="G11" s="161">
        <f t="shared" si="0"/>
        <v>0</v>
      </c>
      <c r="H11" s="568">
        <f t="shared" si="6"/>
        <v>24627769</v>
      </c>
      <c r="I11" s="162">
        <f t="shared" si="1"/>
        <v>0</v>
      </c>
      <c r="J11" s="568">
        <f t="shared" si="6"/>
        <v>17337622</v>
      </c>
      <c r="K11" s="163">
        <f t="shared" si="2"/>
        <v>0</v>
      </c>
      <c r="L11" s="306">
        <f t="shared" si="7"/>
        <v>0</v>
      </c>
      <c r="M11" s="306">
        <f t="shared" si="8"/>
        <v>0</v>
      </c>
      <c r="N11" s="306">
        <f t="shared" si="9"/>
        <v>0</v>
      </c>
      <c r="O11" s="306">
        <f t="shared" si="10"/>
        <v>5.3321046618758059</v>
      </c>
      <c r="P11" s="307">
        <f t="shared" si="11"/>
        <v>5.3321046618758059</v>
      </c>
      <c r="Q11" s="307">
        <f>SUM(-tanks!AX13*tanks!$AU$36)</f>
        <v>0</v>
      </c>
      <c r="R11" s="307">
        <f t="shared" si="12"/>
        <v>5.3321046618758059</v>
      </c>
      <c r="S11" s="309">
        <f>SUM(ELEC!N10)</f>
        <v>0</v>
      </c>
      <c r="T11" s="346">
        <f t="shared" si="14"/>
        <v>0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8">
        <f t="shared" si="3"/>
        <v>49995052</v>
      </c>
      <c r="C12" s="271">
        <f t="shared" si="4"/>
        <v>0</v>
      </c>
      <c r="D12" s="318">
        <f t="shared" si="5"/>
        <v>0</v>
      </c>
      <c r="E12" s="318">
        <f t="shared" si="13"/>
        <v>49995052</v>
      </c>
      <c r="F12" s="568">
        <f t="shared" si="6"/>
        <v>8029660</v>
      </c>
      <c r="G12" s="161">
        <f t="shared" si="0"/>
        <v>0</v>
      </c>
      <c r="H12" s="568">
        <f t="shared" si="6"/>
        <v>24627769</v>
      </c>
      <c r="I12" s="162">
        <f t="shared" si="1"/>
        <v>0</v>
      </c>
      <c r="J12" s="568">
        <f t="shared" si="6"/>
        <v>17337622</v>
      </c>
      <c r="K12" s="163">
        <f t="shared" si="2"/>
        <v>0</v>
      </c>
      <c r="L12" s="306">
        <f t="shared" si="7"/>
        <v>0</v>
      </c>
      <c r="M12" s="306">
        <f t="shared" si="8"/>
        <v>0</v>
      </c>
      <c r="N12" s="306">
        <f t="shared" si="9"/>
        <v>0</v>
      </c>
      <c r="O12" s="306">
        <f t="shared" si="10"/>
        <v>5.3321046618758059</v>
      </c>
      <c r="P12" s="307">
        <f t="shared" si="11"/>
        <v>5.3321046618758059</v>
      </c>
      <c r="Q12" s="307">
        <f>SUM(-tanks!AX14*tanks!$AU$36)</f>
        <v>0</v>
      </c>
      <c r="R12" s="307">
        <f t="shared" si="12"/>
        <v>5.3321046618758059</v>
      </c>
      <c r="S12" s="309">
        <f>SUM(ELEC!N11)</f>
        <v>0</v>
      </c>
      <c r="T12" s="346">
        <f t="shared" si="14"/>
        <v>0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8">
        <f t="shared" si="3"/>
        <v>49995052</v>
      </c>
      <c r="C13" s="271">
        <f t="shared" si="4"/>
        <v>0</v>
      </c>
      <c r="D13" s="318">
        <f t="shared" si="5"/>
        <v>0</v>
      </c>
      <c r="E13" s="318">
        <f t="shared" si="13"/>
        <v>49995052</v>
      </c>
      <c r="F13" s="568">
        <f t="shared" si="6"/>
        <v>8029660</v>
      </c>
      <c r="G13" s="161">
        <f t="shared" si="0"/>
        <v>0</v>
      </c>
      <c r="H13" s="568">
        <f t="shared" si="6"/>
        <v>24627769</v>
      </c>
      <c r="I13" s="162">
        <f t="shared" si="1"/>
        <v>0</v>
      </c>
      <c r="J13" s="568">
        <f t="shared" si="6"/>
        <v>17337622</v>
      </c>
      <c r="K13" s="163">
        <f t="shared" si="2"/>
        <v>0</v>
      </c>
      <c r="L13" s="306">
        <f t="shared" si="7"/>
        <v>0</v>
      </c>
      <c r="M13" s="306">
        <f t="shared" si="8"/>
        <v>0</v>
      </c>
      <c r="N13" s="306">
        <f t="shared" si="9"/>
        <v>0</v>
      </c>
      <c r="O13" s="306">
        <f t="shared" si="10"/>
        <v>5.3321046618758059</v>
      </c>
      <c r="P13" s="307">
        <f t="shared" si="11"/>
        <v>5.3321046618758059</v>
      </c>
      <c r="Q13" s="307">
        <f>SUM(-tanks!AX15*tanks!$AU$36)</f>
        <v>0</v>
      </c>
      <c r="R13" s="307">
        <f t="shared" si="12"/>
        <v>5.3321046618758059</v>
      </c>
      <c r="S13" s="309">
        <f>SUM(ELEC!N12)</f>
        <v>0</v>
      </c>
      <c r="T13" s="346">
        <f t="shared" si="14"/>
        <v>0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164">
        <f>ELEC!C13</f>
        <v>43993</v>
      </c>
      <c r="B14" s="568">
        <f t="shared" si="3"/>
        <v>49995052</v>
      </c>
      <c r="C14" s="271">
        <f t="shared" si="4"/>
        <v>0</v>
      </c>
      <c r="D14" s="318">
        <f t="shared" si="5"/>
        <v>0</v>
      </c>
      <c r="E14" s="318">
        <f t="shared" si="13"/>
        <v>49995052</v>
      </c>
      <c r="F14" s="568">
        <f t="shared" si="6"/>
        <v>8029660</v>
      </c>
      <c r="G14" s="161">
        <f t="shared" si="0"/>
        <v>0</v>
      </c>
      <c r="H14" s="568">
        <f t="shared" si="6"/>
        <v>24627769</v>
      </c>
      <c r="I14" s="162">
        <f t="shared" si="1"/>
        <v>0</v>
      </c>
      <c r="J14" s="568">
        <f t="shared" si="6"/>
        <v>17337622</v>
      </c>
      <c r="K14" s="163">
        <f t="shared" si="2"/>
        <v>0</v>
      </c>
      <c r="L14" s="306">
        <f t="shared" si="7"/>
        <v>0</v>
      </c>
      <c r="M14" s="306">
        <f t="shared" si="8"/>
        <v>0</v>
      </c>
      <c r="N14" s="306">
        <f t="shared" si="9"/>
        <v>0</v>
      </c>
      <c r="O14" s="306">
        <f t="shared" si="10"/>
        <v>5.3321046618758059</v>
      </c>
      <c r="P14" s="307">
        <f t="shared" si="11"/>
        <v>5.3321046618758059</v>
      </c>
      <c r="Q14" s="307">
        <f>SUM(-tanks!AX16*tanks!$AU$36)</f>
        <v>0</v>
      </c>
      <c r="R14" s="307">
        <f>SUM(P14:Q14)</f>
        <v>5.3321046618758059</v>
      </c>
      <c r="S14" s="309">
        <f>SUM(ELEC!N13)</f>
        <v>0</v>
      </c>
      <c r="T14" s="346">
        <f t="shared" si="14"/>
        <v>0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164">
        <f>ELEC!C14</f>
        <v>43994</v>
      </c>
      <c r="B15" s="568">
        <f t="shared" si="3"/>
        <v>49995052</v>
      </c>
      <c r="C15" s="271">
        <f t="shared" si="4"/>
        <v>0</v>
      </c>
      <c r="D15" s="318">
        <f t="shared" si="5"/>
        <v>0</v>
      </c>
      <c r="E15" s="318">
        <f t="shared" si="13"/>
        <v>49995052</v>
      </c>
      <c r="F15" s="568">
        <f t="shared" si="6"/>
        <v>8029660</v>
      </c>
      <c r="G15" s="161">
        <f t="shared" si="0"/>
        <v>0</v>
      </c>
      <c r="H15" s="568">
        <f t="shared" si="6"/>
        <v>24627769</v>
      </c>
      <c r="I15" s="162">
        <f t="shared" si="1"/>
        <v>0</v>
      </c>
      <c r="J15" s="568">
        <f t="shared" si="6"/>
        <v>17337622</v>
      </c>
      <c r="K15" s="163">
        <f t="shared" si="2"/>
        <v>0</v>
      </c>
      <c r="L15" s="306">
        <f t="shared" si="7"/>
        <v>0</v>
      </c>
      <c r="M15" s="306">
        <f t="shared" si="8"/>
        <v>0</v>
      </c>
      <c r="N15" s="306">
        <f t="shared" si="9"/>
        <v>0</v>
      </c>
      <c r="O15" s="306">
        <f t="shared" si="10"/>
        <v>5.3321046618758059</v>
      </c>
      <c r="P15" s="307">
        <f t="shared" si="11"/>
        <v>5.3321046618758059</v>
      </c>
      <c r="Q15" s="307">
        <f>SUM(-tanks!AX17*tanks!$AU$36)</f>
        <v>0</v>
      </c>
      <c r="R15" s="307">
        <f t="shared" si="12"/>
        <v>5.3321046618758059</v>
      </c>
      <c r="S15" s="309">
        <f>SUM(ELEC!N14)</f>
        <v>0</v>
      </c>
      <c r="T15" s="346">
        <f t="shared" si="14"/>
        <v>0</v>
      </c>
      <c r="V15" s="271" t="str">
        <f>'[2]EDl log'!V32</f>
        <v>H Deg</v>
      </c>
      <c r="W15" s="271">
        <f>'[2]EDl log'!W32</f>
        <v>-549.00000000000011</v>
      </c>
      <c r="X15" s="271">
        <f>'[2]EDl log'!X32</f>
        <v>0</v>
      </c>
      <c r="Y15" s="271">
        <f>'[2]EDl log'!Y32</f>
        <v>0</v>
      </c>
      <c r="Z15" s="3"/>
      <c r="AA15" s="3"/>
      <c r="AB15" s="271">
        <f>'[2]EDl log'!AB32</f>
        <v>0</v>
      </c>
      <c r="AC15" s="271">
        <f>'[2]EDl log'!AC32</f>
        <v>0</v>
      </c>
    </row>
    <row r="16" spans="1:30">
      <c r="A16" s="164">
        <f>ELEC!C15</f>
        <v>43995</v>
      </c>
      <c r="B16" s="568">
        <f t="shared" si="3"/>
        <v>49995052</v>
      </c>
      <c r="C16" s="271">
        <f t="shared" si="4"/>
        <v>0</v>
      </c>
      <c r="D16" s="318">
        <f t="shared" si="5"/>
        <v>0</v>
      </c>
      <c r="E16" s="318">
        <f t="shared" si="13"/>
        <v>49995052</v>
      </c>
      <c r="F16" s="568">
        <f t="shared" si="6"/>
        <v>8029660</v>
      </c>
      <c r="G16" s="161">
        <f t="shared" si="0"/>
        <v>0</v>
      </c>
      <c r="H16" s="568">
        <f t="shared" si="6"/>
        <v>24627769</v>
      </c>
      <c r="I16" s="162">
        <f t="shared" si="1"/>
        <v>0</v>
      </c>
      <c r="J16" s="568">
        <f t="shared" si="6"/>
        <v>17337622</v>
      </c>
      <c r="K16" s="163">
        <f t="shared" si="2"/>
        <v>0</v>
      </c>
      <c r="L16" s="306">
        <f t="shared" si="7"/>
        <v>0</v>
      </c>
      <c r="M16" s="306">
        <f t="shared" si="8"/>
        <v>0</v>
      </c>
      <c r="N16" s="306">
        <f t="shared" si="9"/>
        <v>0</v>
      </c>
      <c r="O16" s="306">
        <f t="shared" si="10"/>
        <v>5.3321046618758059</v>
      </c>
      <c r="P16" s="307">
        <f t="shared" si="11"/>
        <v>5.3321046618758059</v>
      </c>
      <c r="Q16" s="307">
        <f>SUM(-tanks!AX18*tanks!$AU$36)</f>
        <v>0</v>
      </c>
      <c r="R16" s="307">
        <f t="shared" si="12"/>
        <v>5.3321046618758059</v>
      </c>
      <c r="S16" s="309">
        <f>SUM(ELEC!N15)</f>
        <v>0</v>
      </c>
      <c r="T16" s="346">
        <f t="shared" si="14"/>
        <v>0</v>
      </c>
      <c r="V16" s="271" t="str">
        <f>'[2]EDl log'!V33</f>
        <v>C Deg</v>
      </c>
      <c r="W16" s="271">
        <f>'[2]EDl log'!W33</f>
        <v>0</v>
      </c>
      <c r="X16" s="271">
        <f>'[2]EDl log'!X33</f>
        <v>0</v>
      </c>
      <c r="Y16" s="271">
        <f>'[2]EDl log'!Y33</f>
        <v>0</v>
      </c>
      <c r="Z16" s="3"/>
      <c r="AA16" s="3"/>
      <c r="AB16" s="271">
        <f>'[2]EDl log'!AB33</f>
        <v>0</v>
      </c>
      <c r="AC16" s="271">
        <f>'[2]EDl log'!AC33</f>
        <v>0</v>
      </c>
    </row>
    <row r="17" spans="1:32">
      <c r="A17" s="164">
        <f>ELEC!C16</f>
        <v>43996</v>
      </c>
      <c r="B17" s="568">
        <f t="shared" si="3"/>
        <v>49995052</v>
      </c>
      <c r="C17" s="271">
        <f t="shared" si="4"/>
        <v>0</v>
      </c>
      <c r="D17" s="318">
        <f t="shared" si="5"/>
        <v>0</v>
      </c>
      <c r="E17" s="318">
        <f t="shared" si="13"/>
        <v>49995052</v>
      </c>
      <c r="F17" s="568">
        <f t="shared" si="6"/>
        <v>8029660</v>
      </c>
      <c r="G17" s="161">
        <f t="shared" si="0"/>
        <v>0</v>
      </c>
      <c r="H17" s="568">
        <f t="shared" si="6"/>
        <v>24627769</v>
      </c>
      <c r="I17" s="162">
        <f t="shared" si="1"/>
        <v>0</v>
      </c>
      <c r="J17" s="568">
        <f t="shared" si="6"/>
        <v>17337622</v>
      </c>
      <c r="K17" s="163">
        <f t="shared" si="2"/>
        <v>0</v>
      </c>
      <c r="L17" s="306">
        <f t="shared" si="7"/>
        <v>0</v>
      </c>
      <c r="M17" s="306">
        <f t="shared" si="8"/>
        <v>0</v>
      </c>
      <c r="N17" s="306">
        <f t="shared" si="9"/>
        <v>0</v>
      </c>
      <c r="O17" s="306">
        <f t="shared" si="10"/>
        <v>5.3321046618758059</v>
      </c>
      <c r="P17" s="307">
        <f t="shared" si="11"/>
        <v>5.3321046618758059</v>
      </c>
      <c r="Q17" s="307">
        <f>SUM(-tanks!AX19*tanks!$AU$36)</f>
        <v>0</v>
      </c>
      <c r="R17" s="307">
        <f t="shared" si="12"/>
        <v>5.3321046618758059</v>
      </c>
      <c r="S17" s="309">
        <f>SUM(ELEC!N16)</f>
        <v>0</v>
      </c>
      <c r="T17" s="346">
        <f t="shared" si="14"/>
        <v>0</v>
      </c>
      <c r="V17" s="259"/>
      <c r="W17" s="271">
        <f>'[6]EDl log'!W34</f>
        <v>0</v>
      </c>
      <c r="X17" s="17"/>
      <c r="Y17" s="446"/>
      <c r="Z17" s="525"/>
      <c r="AA17" s="525"/>
      <c r="AB17" s="271"/>
      <c r="AC17" s="556"/>
    </row>
    <row r="18" spans="1:32" ht="15.75" thickBot="1">
      <c r="A18" s="164">
        <f>ELEC!C17</f>
        <v>43997</v>
      </c>
      <c r="B18" s="568">
        <f t="shared" si="3"/>
        <v>49995052</v>
      </c>
      <c r="C18" s="271">
        <f t="shared" si="4"/>
        <v>0</v>
      </c>
      <c r="D18" s="318">
        <f t="shared" si="5"/>
        <v>0</v>
      </c>
      <c r="E18" s="318">
        <f t="shared" si="13"/>
        <v>49995052</v>
      </c>
      <c r="F18" s="568">
        <f t="shared" si="6"/>
        <v>8029660</v>
      </c>
      <c r="G18" s="161">
        <f t="shared" si="0"/>
        <v>0</v>
      </c>
      <c r="H18" s="568">
        <f t="shared" si="6"/>
        <v>24627769</v>
      </c>
      <c r="I18" s="162">
        <f t="shared" si="1"/>
        <v>0</v>
      </c>
      <c r="J18" s="568">
        <f t="shared" si="6"/>
        <v>17337622</v>
      </c>
      <c r="K18" s="163">
        <f t="shared" si="2"/>
        <v>0</v>
      </c>
      <c r="L18" s="306">
        <f t="shared" si="7"/>
        <v>0</v>
      </c>
      <c r="M18" s="306">
        <f t="shared" si="8"/>
        <v>0</v>
      </c>
      <c r="N18" s="306">
        <f t="shared" si="9"/>
        <v>0</v>
      </c>
      <c r="O18" s="306">
        <f t="shared" si="10"/>
        <v>5.3321046618758059</v>
      </c>
      <c r="P18" s="307">
        <f t="shared" si="11"/>
        <v>5.3321046618758059</v>
      </c>
      <c r="Q18" s="307">
        <f>SUM(-tanks!AX20*tanks!$AU$36)</f>
        <v>0</v>
      </c>
      <c r="R18" s="307">
        <f t="shared" si="12"/>
        <v>5.3321046618758059</v>
      </c>
      <c r="S18" s="309">
        <f>SUM(ELEC!N17)</f>
        <v>0</v>
      </c>
      <c r="T18" s="346">
        <f t="shared" si="14"/>
        <v>0</v>
      </c>
      <c r="V18" s="233"/>
      <c r="W18" s="234"/>
      <c r="X18" s="234"/>
      <c r="Y18" s="446"/>
      <c r="Z18" s="525" t="str">
        <f>'[2]EDl log'!Z35</f>
        <v xml:space="preserve">VAT </v>
      </c>
      <c r="AA18" s="525">
        <f>'[2]EDl log'!AA35</f>
        <v>0.11</v>
      </c>
      <c r="AB18" s="271">
        <f>'[2]EDl log'!AB35</f>
        <v>3181861.43</v>
      </c>
      <c r="AC18" s="556">
        <f>'[5]EDl log'!AC35</f>
        <v>0</v>
      </c>
    </row>
    <row r="19" spans="1:32" ht="15.75" thickBot="1">
      <c r="A19" s="164">
        <f>ELEC!C18</f>
        <v>43998</v>
      </c>
      <c r="B19" s="568">
        <f t="shared" si="3"/>
        <v>49995052</v>
      </c>
      <c r="C19" s="271">
        <f t="shared" si="4"/>
        <v>0</v>
      </c>
      <c r="D19" s="318">
        <f t="shared" si="5"/>
        <v>0</v>
      </c>
      <c r="E19" s="318">
        <f t="shared" si="13"/>
        <v>49995052</v>
      </c>
      <c r="F19" s="568">
        <f t="shared" si="6"/>
        <v>8029660</v>
      </c>
      <c r="G19" s="161">
        <f>F19-F18</f>
        <v>0</v>
      </c>
      <c r="H19" s="568">
        <f t="shared" si="6"/>
        <v>24627769</v>
      </c>
      <c r="I19" s="162">
        <f t="shared" si="1"/>
        <v>0</v>
      </c>
      <c r="J19" s="568">
        <f t="shared" si="6"/>
        <v>17337622</v>
      </c>
      <c r="K19" s="163">
        <f t="shared" si="2"/>
        <v>0</v>
      </c>
      <c r="L19" s="306">
        <f t="shared" si="7"/>
        <v>0</v>
      </c>
      <c r="M19" s="306">
        <f t="shared" si="8"/>
        <v>0</v>
      </c>
      <c r="N19" s="306">
        <f t="shared" si="9"/>
        <v>0</v>
      </c>
      <c r="O19" s="306">
        <f t="shared" si="10"/>
        <v>5.3321046618758059</v>
      </c>
      <c r="P19" s="307">
        <f t="shared" si="11"/>
        <v>5.3321046618758059</v>
      </c>
      <c r="Q19" s="307">
        <f>SUM(-tanks!AX21*tanks!$AU$36)</f>
        <v>0</v>
      </c>
      <c r="R19" s="307">
        <f t="shared" si="12"/>
        <v>5.3321046618758059</v>
      </c>
      <c r="S19" s="309">
        <f>SUM(ELEC!N18)</f>
        <v>0</v>
      </c>
      <c r="T19" s="346">
        <f t="shared" si="14"/>
        <v>0</v>
      </c>
      <c r="V19" s="233"/>
      <c r="W19" s="234"/>
      <c r="X19" s="234"/>
      <c r="Y19" s="446"/>
      <c r="Z19" s="446"/>
      <c r="AA19" s="271"/>
      <c r="AB19" s="271">
        <f>'[2]EDl log'!AB36</f>
        <v>32107874.43</v>
      </c>
      <c r="AC19" s="271">
        <f>'[2]EDl log'!AC36</f>
        <v>0</v>
      </c>
    </row>
    <row r="20" spans="1:32" ht="15.75" thickBot="1">
      <c r="A20" s="164">
        <f>ELEC!C19</f>
        <v>43999</v>
      </c>
      <c r="B20" s="568">
        <f t="shared" si="3"/>
        <v>49995052</v>
      </c>
      <c r="C20" s="271">
        <f t="shared" si="4"/>
        <v>0</v>
      </c>
      <c r="D20" s="318">
        <f t="shared" si="5"/>
        <v>0</v>
      </c>
      <c r="E20" s="318">
        <f t="shared" si="13"/>
        <v>49995052</v>
      </c>
      <c r="F20" s="568">
        <f t="shared" si="6"/>
        <v>8029660</v>
      </c>
      <c r="G20" s="161">
        <f t="shared" si="0"/>
        <v>0</v>
      </c>
      <c r="H20" s="568">
        <f t="shared" si="6"/>
        <v>24627769</v>
      </c>
      <c r="I20" s="162">
        <f t="shared" si="1"/>
        <v>0</v>
      </c>
      <c r="J20" s="568">
        <f t="shared" si="6"/>
        <v>17337622</v>
      </c>
      <c r="K20" s="163">
        <f t="shared" si="2"/>
        <v>0</v>
      </c>
      <c r="L20" s="306">
        <f t="shared" si="7"/>
        <v>0</v>
      </c>
      <c r="M20" s="306">
        <f t="shared" si="8"/>
        <v>0</v>
      </c>
      <c r="N20" s="306">
        <f t="shared" si="9"/>
        <v>0</v>
      </c>
      <c r="O20" s="306">
        <f t="shared" si="10"/>
        <v>5.3321046618758059</v>
      </c>
      <c r="P20" s="307">
        <f t="shared" si="11"/>
        <v>5.3321046618758059</v>
      </c>
      <c r="Q20" s="307">
        <f>SUM(-tanks!AX22*tanks!$AU$36)</f>
        <v>0</v>
      </c>
      <c r="R20" s="307">
        <f t="shared" si="12"/>
        <v>5.3321046618758059</v>
      </c>
      <c r="S20" s="309">
        <f>SUM(ELEC!N19)</f>
        <v>0</v>
      </c>
      <c r="T20" s="346">
        <f t="shared" si="14"/>
        <v>0</v>
      </c>
      <c r="AB20" s="271"/>
    </row>
    <row r="21" spans="1:32">
      <c r="A21" s="164">
        <f>ELEC!C20</f>
        <v>44000</v>
      </c>
      <c r="B21" s="568">
        <f t="shared" si="3"/>
        <v>49995052</v>
      </c>
      <c r="C21" s="271">
        <f t="shared" si="4"/>
        <v>0</v>
      </c>
      <c r="D21" s="318">
        <f t="shared" si="5"/>
        <v>0</v>
      </c>
      <c r="E21" s="318">
        <f t="shared" si="13"/>
        <v>49995052</v>
      </c>
      <c r="F21" s="568">
        <f t="shared" si="6"/>
        <v>8029660</v>
      </c>
      <c r="G21" s="161">
        <f t="shared" si="0"/>
        <v>0</v>
      </c>
      <c r="H21" s="568">
        <f t="shared" si="6"/>
        <v>24627769</v>
      </c>
      <c r="I21" s="162">
        <f t="shared" si="1"/>
        <v>0</v>
      </c>
      <c r="J21" s="568">
        <f t="shared" si="6"/>
        <v>17337622</v>
      </c>
      <c r="K21" s="163">
        <f t="shared" si="2"/>
        <v>0</v>
      </c>
      <c r="L21" s="306">
        <f t="shared" si="7"/>
        <v>0</v>
      </c>
      <c r="M21" s="306">
        <f t="shared" si="8"/>
        <v>0</v>
      </c>
      <c r="N21" s="306">
        <f t="shared" si="9"/>
        <v>0</v>
      </c>
      <c r="O21" s="306">
        <f t="shared" si="10"/>
        <v>5.3321046618758059</v>
      </c>
      <c r="P21" s="307">
        <f t="shared" si="11"/>
        <v>5.3321046618758059</v>
      </c>
      <c r="Q21" s="307">
        <f>SUM(-tanks!AX23*tanks!$AU$36)</f>
        <v>0</v>
      </c>
      <c r="R21" s="307">
        <f t="shared" si="12"/>
        <v>5.3321046618758059</v>
      </c>
      <c r="S21" s="309">
        <f>SUM(ELEC!N20)</f>
        <v>0</v>
      </c>
      <c r="T21" s="346">
        <f t="shared" si="14"/>
        <v>0</v>
      </c>
      <c r="V21" s="167" t="s">
        <v>201</v>
      </c>
      <c r="W21" s="168">
        <v>44002</v>
      </c>
      <c r="X21" s="169"/>
      <c r="Y21" s="169"/>
      <c r="Z21" s="170" t="s">
        <v>202</v>
      </c>
      <c r="AA21" s="169"/>
      <c r="AB21" s="639"/>
      <c r="AC21" s="640"/>
    </row>
    <row r="22" spans="1:32">
      <c r="A22" s="164">
        <f>ELEC!C21</f>
        <v>44001</v>
      </c>
      <c r="B22" s="568">
        <f t="shared" si="3"/>
        <v>49995052</v>
      </c>
      <c r="C22" s="271">
        <f t="shared" si="4"/>
        <v>0</v>
      </c>
      <c r="D22" s="318">
        <f t="shared" si="5"/>
        <v>0</v>
      </c>
      <c r="E22" s="318">
        <f t="shared" si="13"/>
        <v>49995052</v>
      </c>
      <c r="F22" s="568">
        <f t="shared" si="6"/>
        <v>8029660</v>
      </c>
      <c r="G22" s="161">
        <f t="shared" si="0"/>
        <v>0</v>
      </c>
      <c r="H22" s="568">
        <f t="shared" si="6"/>
        <v>24627769</v>
      </c>
      <c r="I22" s="162">
        <f t="shared" si="1"/>
        <v>0</v>
      </c>
      <c r="J22" s="568">
        <f t="shared" si="6"/>
        <v>17337622</v>
      </c>
      <c r="K22" s="163">
        <f t="shared" si="2"/>
        <v>0</v>
      </c>
      <c r="L22" s="306">
        <f t="shared" si="7"/>
        <v>0</v>
      </c>
      <c r="M22" s="306">
        <f t="shared" si="8"/>
        <v>0</v>
      </c>
      <c r="N22" s="306">
        <f t="shared" si="9"/>
        <v>0</v>
      </c>
      <c r="O22" s="306">
        <f t="shared" si="10"/>
        <v>5.3321046618758059</v>
      </c>
      <c r="P22" s="307">
        <f t="shared" si="11"/>
        <v>5.3321046618758059</v>
      </c>
      <c r="Q22" s="307">
        <f>SUM(-tanks!AX24*tanks!$AU$36)</f>
        <v>0</v>
      </c>
      <c r="R22" s="307">
        <f t="shared" si="12"/>
        <v>5.3321046618758059</v>
      </c>
      <c r="S22" s="309">
        <f>SUM(ELEC!N21)</f>
        <v>0</v>
      </c>
      <c r="T22" s="346">
        <f t="shared" si="14"/>
        <v>0</v>
      </c>
      <c r="V22" s="645"/>
      <c r="W22" s="646"/>
      <c r="X22" s="646"/>
      <c r="Y22" s="647"/>
      <c r="Z22" s="26" t="s">
        <v>203</v>
      </c>
      <c r="AA22" s="26">
        <v>5000</v>
      </c>
      <c r="AB22" s="641"/>
      <c r="AC22" s="642"/>
    </row>
    <row r="23" spans="1:32">
      <c r="A23" s="164">
        <f>ELEC!C22</f>
        <v>44002</v>
      </c>
      <c r="B23" s="568">
        <f t="shared" si="3"/>
        <v>49995052</v>
      </c>
      <c r="C23" s="271">
        <f t="shared" si="4"/>
        <v>0</v>
      </c>
      <c r="D23" s="318">
        <f t="shared" si="5"/>
        <v>0</v>
      </c>
      <c r="E23" s="318">
        <f t="shared" si="13"/>
        <v>49995052</v>
      </c>
      <c r="F23" s="568">
        <f t="shared" si="6"/>
        <v>8029660</v>
      </c>
      <c r="G23" s="161">
        <f t="shared" si="0"/>
        <v>0</v>
      </c>
      <c r="H23" s="568">
        <f t="shared" si="6"/>
        <v>24627769</v>
      </c>
      <c r="I23" s="162">
        <f t="shared" si="1"/>
        <v>0</v>
      </c>
      <c r="J23" s="568">
        <f t="shared" si="6"/>
        <v>17337622</v>
      </c>
      <c r="K23" s="163">
        <f t="shared" si="2"/>
        <v>0</v>
      </c>
      <c r="L23" s="306">
        <f t="shared" si="7"/>
        <v>0</v>
      </c>
      <c r="M23" s="306">
        <f t="shared" si="8"/>
        <v>0</v>
      </c>
      <c r="N23" s="306">
        <f t="shared" si="9"/>
        <v>0</v>
      </c>
      <c r="O23" s="306">
        <f t="shared" si="10"/>
        <v>5.3321046618758059</v>
      </c>
      <c r="P23" s="307">
        <f t="shared" si="11"/>
        <v>5.3321046618758059</v>
      </c>
      <c r="Q23" s="307">
        <f>SUM(-tanks!AX25*tanks!$AU$36)</f>
        <v>0</v>
      </c>
      <c r="R23" s="307">
        <f t="shared" si="12"/>
        <v>5.3321046618758059</v>
      </c>
      <c r="S23" s="309">
        <f>SUM(ELEC!N22)</f>
        <v>0</v>
      </c>
      <c r="T23" s="346">
        <f t="shared" si="14"/>
        <v>0</v>
      </c>
      <c r="V23" s="648"/>
      <c r="W23" s="649"/>
      <c r="X23" s="649"/>
      <c r="Y23" s="650"/>
      <c r="Z23" s="651"/>
      <c r="AA23" s="652"/>
      <c r="AB23" s="641"/>
      <c r="AC23" s="642"/>
    </row>
    <row r="24" spans="1:32" ht="15" customHeight="1">
      <c r="A24" s="164">
        <f>ELEC!C23</f>
        <v>44003</v>
      </c>
      <c r="B24" s="568">
        <f t="shared" si="3"/>
        <v>49995052</v>
      </c>
      <c r="C24" s="271">
        <f t="shared" si="4"/>
        <v>0</v>
      </c>
      <c r="D24" s="318">
        <f t="shared" si="5"/>
        <v>0</v>
      </c>
      <c r="E24" s="318">
        <f t="shared" si="13"/>
        <v>49995052</v>
      </c>
      <c r="F24" s="568">
        <f t="shared" si="6"/>
        <v>8029660</v>
      </c>
      <c r="G24" s="161">
        <f t="shared" si="0"/>
        <v>0</v>
      </c>
      <c r="H24" s="568">
        <f t="shared" si="6"/>
        <v>24627769</v>
      </c>
      <c r="I24" s="162">
        <f t="shared" si="1"/>
        <v>0</v>
      </c>
      <c r="J24" s="568">
        <f t="shared" si="6"/>
        <v>17337622</v>
      </c>
      <c r="K24" s="163">
        <f t="shared" si="2"/>
        <v>0</v>
      </c>
      <c r="L24" s="306">
        <f t="shared" si="7"/>
        <v>0</v>
      </c>
      <c r="M24" s="306">
        <f t="shared" si="8"/>
        <v>0</v>
      </c>
      <c r="N24" s="306">
        <f t="shared" si="9"/>
        <v>0</v>
      </c>
      <c r="O24" s="306">
        <f t="shared" si="10"/>
        <v>5.3321046618758059</v>
      </c>
      <c r="P24" s="307">
        <f t="shared" si="11"/>
        <v>5.3321046618758059</v>
      </c>
      <c r="Q24" s="307">
        <f>SUM(-tanks!AX26*tanks!$AU$36)</f>
        <v>0</v>
      </c>
      <c r="R24" s="307">
        <f t="shared" si="12"/>
        <v>5.3321046618758059</v>
      </c>
      <c r="S24" s="309">
        <f>SUM(ELEC!N23)</f>
        <v>0</v>
      </c>
      <c r="T24" s="346">
        <f t="shared" si="14"/>
        <v>0</v>
      </c>
      <c r="V24" s="653" t="s">
        <v>204</v>
      </c>
      <c r="W24" s="654"/>
      <c r="X24" s="655" t="s">
        <v>205</v>
      </c>
      <c r="Y24" s="656"/>
      <c r="Z24" s="657"/>
      <c r="AA24" s="171"/>
      <c r="AB24" s="643"/>
      <c r="AC24" s="644"/>
    </row>
    <row r="25" spans="1:32" ht="17.25" customHeight="1">
      <c r="A25" s="164">
        <f>ELEC!C24</f>
        <v>44004</v>
      </c>
      <c r="B25" s="568">
        <f t="shared" si="3"/>
        <v>49995052</v>
      </c>
      <c r="C25" s="271">
        <f t="shared" si="4"/>
        <v>0</v>
      </c>
      <c r="D25" s="318">
        <f t="shared" si="5"/>
        <v>0</v>
      </c>
      <c r="E25" s="318">
        <f t="shared" si="13"/>
        <v>49995052</v>
      </c>
      <c r="F25" s="568">
        <f t="shared" si="6"/>
        <v>8029660</v>
      </c>
      <c r="G25" s="161">
        <f t="shared" si="0"/>
        <v>0</v>
      </c>
      <c r="H25" s="568">
        <f t="shared" si="6"/>
        <v>24627769</v>
      </c>
      <c r="I25" s="162">
        <f t="shared" si="1"/>
        <v>0</v>
      </c>
      <c r="J25" s="568">
        <f t="shared" si="6"/>
        <v>17337622</v>
      </c>
      <c r="K25" s="163">
        <f t="shared" si="2"/>
        <v>0</v>
      </c>
      <c r="L25" s="306">
        <f t="shared" si="7"/>
        <v>0</v>
      </c>
      <c r="M25" s="306">
        <f t="shared" si="8"/>
        <v>0</v>
      </c>
      <c r="N25" s="306">
        <f t="shared" si="9"/>
        <v>0</v>
      </c>
      <c r="O25" s="306">
        <f t="shared" si="10"/>
        <v>5.3321046618758059</v>
      </c>
      <c r="P25" s="307">
        <f t="shared" si="11"/>
        <v>5.3321046618758059</v>
      </c>
      <c r="Q25" s="307">
        <f>SUM(-tanks!AX27*tanks!$AU$36)</f>
        <v>0</v>
      </c>
      <c r="R25" s="307">
        <f t="shared" si="12"/>
        <v>5.3321046618758059</v>
      </c>
      <c r="S25" s="309">
        <f>SUM(ELEC!N24)</f>
        <v>0</v>
      </c>
      <c r="T25" s="346">
        <f t="shared" si="14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44005</v>
      </c>
      <c r="B26" s="568">
        <f t="shared" si="3"/>
        <v>49995052</v>
      </c>
      <c r="C26" s="271">
        <f t="shared" si="4"/>
        <v>0</v>
      </c>
      <c r="D26" s="318">
        <f t="shared" si="5"/>
        <v>0</v>
      </c>
      <c r="E26" s="318">
        <f t="shared" si="13"/>
        <v>49995052</v>
      </c>
      <c r="F26" s="568">
        <f t="shared" si="6"/>
        <v>8029660</v>
      </c>
      <c r="G26" s="161">
        <f t="shared" si="0"/>
        <v>0</v>
      </c>
      <c r="H26" s="568">
        <f t="shared" si="6"/>
        <v>24627769</v>
      </c>
      <c r="I26" s="162">
        <f t="shared" si="1"/>
        <v>0</v>
      </c>
      <c r="J26" s="568">
        <f t="shared" si="6"/>
        <v>17337622</v>
      </c>
      <c r="K26" s="163">
        <f t="shared" si="2"/>
        <v>0</v>
      </c>
      <c r="L26" s="306">
        <f t="shared" si="7"/>
        <v>0</v>
      </c>
      <c r="M26" s="306">
        <f t="shared" si="8"/>
        <v>0</v>
      </c>
      <c r="N26" s="306">
        <f t="shared" si="9"/>
        <v>0</v>
      </c>
      <c r="O26" s="306">
        <f t="shared" si="10"/>
        <v>5.3321046618758059</v>
      </c>
      <c r="P26" s="307">
        <f t="shared" si="11"/>
        <v>5.3321046618758059</v>
      </c>
      <c r="Q26" s="307">
        <f>SUM(-tanks!AX28*tanks!$AU$36)</f>
        <v>0</v>
      </c>
      <c r="R26" s="307">
        <f t="shared" si="12"/>
        <v>5.3321046618758059</v>
      </c>
      <c r="S26" s="309">
        <f>SUM(ELEC!N25)</f>
        <v>0</v>
      </c>
      <c r="T26" s="346">
        <f t="shared" si="14"/>
        <v>0</v>
      </c>
      <c r="V26" s="260">
        <f>W9</f>
        <v>17335141</v>
      </c>
      <c r="W26" s="171">
        <f>J33</f>
        <v>17337622</v>
      </c>
      <c r="X26" s="173" t="s">
        <v>199</v>
      </c>
      <c r="Y26" s="173">
        <v>80</v>
      </c>
      <c r="Z26" s="173">
        <v>1</v>
      </c>
      <c r="AA26" s="200">
        <f>(W26-V26)*Z26</f>
        <v>2481</v>
      </c>
      <c r="AB26" s="200">
        <f>AA26*Y26</f>
        <v>198480</v>
      </c>
      <c r="AC26" s="255">
        <f>AC9</f>
        <v>1033333</v>
      </c>
      <c r="AD26" s="216">
        <f>SUM(K37)</f>
        <v>0</v>
      </c>
    </row>
    <row r="27" spans="1:32">
      <c r="A27" s="164">
        <f>ELEC!C26</f>
        <v>44006</v>
      </c>
      <c r="B27" s="568">
        <f t="shared" si="3"/>
        <v>49995052</v>
      </c>
      <c r="C27" s="271">
        <f t="shared" si="4"/>
        <v>0</v>
      </c>
      <c r="D27" s="318">
        <f t="shared" si="5"/>
        <v>0</v>
      </c>
      <c r="E27" s="318">
        <f t="shared" si="13"/>
        <v>49995052</v>
      </c>
      <c r="F27" s="568">
        <f t="shared" si="6"/>
        <v>8029660</v>
      </c>
      <c r="G27" s="161">
        <f t="shared" si="0"/>
        <v>0</v>
      </c>
      <c r="H27" s="568">
        <f t="shared" si="6"/>
        <v>24627769</v>
      </c>
      <c r="I27" s="162">
        <f t="shared" si="1"/>
        <v>0</v>
      </c>
      <c r="J27" s="568">
        <f t="shared" si="6"/>
        <v>17337622</v>
      </c>
      <c r="K27" s="163">
        <f t="shared" si="2"/>
        <v>0</v>
      </c>
      <c r="L27" s="306">
        <f t="shared" si="7"/>
        <v>0</v>
      </c>
      <c r="M27" s="306">
        <f t="shared" si="8"/>
        <v>0</v>
      </c>
      <c r="N27" s="306">
        <f t="shared" si="9"/>
        <v>0</v>
      </c>
      <c r="O27" s="306">
        <f t="shared" si="10"/>
        <v>5.3321046618758059</v>
      </c>
      <c r="P27" s="307">
        <f t="shared" si="11"/>
        <v>5.3321046618758059</v>
      </c>
      <c r="Q27" s="307">
        <f>SUM(-tanks!AX29*tanks!$AU$36)</f>
        <v>0</v>
      </c>
      <c r="R27" s="307">
        <f t="shared" si="12"/>
        <v>5.3321046618758059</v>
      </c>
      <c r="S27" s="309">
        <f>SUM(ELEC!N26)</f>
        <v>0</v>
      </c>
      <c r="T27" s="346">
        <f t="shared" si="14"/>
        <v>0</v>
      </c>
      <c r="V27" s="260">
        <f>W10</f>
        <v>24624749</v>
      </c>
      <c r="W27" s="171">
        <f>H33</f>
        <v>24627769</v>
      </c>
      <c r="X27" s="173" t="s">
        <v>213</v>
      </c>
      <c r="Y27" s="173">
        <v>112</v>
      </c>
      <c r="Z27" s="173">
        <v>1</v>
      </c>
      <c r="AA27" s="200">
        <f>(W27-V27)*Z27</f>
        <v>3020</v>
      </c>
      <c r="AB27" s="200">
        <f>SUM(AA27*Y27)</f>
        <v>338240</v>
      </c>
      <c r="AC27" s="255">
        <f>AC10</f>
        <v>6200000</v>
      </c>
      <c r="AD27" s="216">
        <f>SUM(I37)</f>
        <v>0.47187499999999999</v>
      </c>
    </row>
    <row r="28" spans="1:32">
      <c r="A28" s="164">
        <f>ELEC!C27</f>
        <v>44007</v>
      </c>
      <c r="B28" s="568">
        <f t="shared" si="3"/>
        <v>49995052</v>
      </c>
      <c r="C28" s="271">
        <f t="shared" si="4"/>
        <v>0</v>
      </c>
      <c r="D28" s="318">
        <f t="shared" si="5"/>
        <v>0</v>
      </c>
      <c r="E28" s="318">
        <f t="shared" si="13"/>
        <v>49995052</v>
      </c>
      <c r="F28" s="568">
        <f t="shared" si="6"/>
        <v>8029660</v>
      </c>
      <c r="G28" s="161">
        <f t="shared" si="0"/>
        <v>0</v>
      </c>
      <c r="H28" s="568">
        <f t="shared" si="6"/>
        <v>24627769</v>
      </c>
      <c r="I28" s="162">
        <f t="shared" si="1"/>
        <v>0</v>
      </c>
      <c r="J28" s="568">
        <f t="shared" si="6"/>
        <v>17337622</v>
      </c>
      <c r="K28" s="163">
        <f t="shared" si="2"/>
        <v>0</v>
      </c>
      <c r="L28" s="306">
        <f t="shared" si="7"/>
        <v>0</v>
      </c>
      <c r="M28" s="306">
        <f t="shared" si="8"/>
        <v>0</v>
      </c>
      <c r="N28" s="306">
        <f t="shared" si="9"/>
        <v>0</v>
      </c>
      <c r="O28" s="306">
        <f t="shared" si="10"/>
        <v>5.3321046618758059</v>
      </c>
      <c r="P28" s="307">
        <f t="shared" si="11"/>
        <v>5.3321046618758059</v>
      </c>
      <c r="Q28" s="307">
        <f>SUM(-tanks!AX30*tanks!$AU$36)</f>
        <v>0</v>
      </c>
      <c r="R28" s="307">
        <f t="shared" si="12"/>
        <v>5.3321046618758059</v>
      </c>
      <c r="S28" s="309">
        <f>SUM(ELEC!N27)</f>
        <v>0</v>
      </c>
      <c r="T28" s="346">
        <f t="shared" si="14"/>
        <v>0</v>
      </c>
      <c r="V28" s="260">
        <f>W11</f>
        <v>8028763</v>
      </c>
      <c r="W28" s="171">
        <f>F33</f>
        <v>8029660</v>
      </c>
      <c r="X28" s="173" t="s">
        <v>197</v>
      </c>
      <c r="Y28" s="173">
        <v>320</v>
      </c>
      <c r="Z28" s="173">
        <v>1</v>
      </c>
      <c r="AA28" s="200">
        <f>(W28-V28)*Z28</f>
        <v>897</v>
      </c>
      <c r="AB28" s="200">
        <f>SUM(AA28*Y28)</f>
        <v>287040</v>
      </c>
      <c r="AC28" s="255">
        <f>AC11</f>
        <v>1000</v>
      </c>
      <c r="AD28" s="216">
        <f>SUM(G37)</f>
        <v>0.14015625000000001</v>
      </c>
      <c r="AE28" s="40">
        <f>SUM(AB28*5%)</f>
        <v>14352</v>
      </c>
      <c r="AF28" s="83">
        <f>SUM(AE28/7)*31</f>
        <v>63558.857142857138</v>
      </c>
    </row>
    <row r="29" spans="1:32">
      <c r="A29" s="164">
        <f>ELEC!C28</f>
        <v>44008</v>
      </c>
      <c r="B29" s="568">
        <f t="shared" si="3"/>
        <v>49995052</v>
      </c>
      <c r="C29" s="271">
        <f t="shared" si="4"/>
        <v>0</v>
      </c>
      <c r="D29" s="318">
        <f t="shared" si="5"/>
        <v>0</v>
      </c>
      <c r="E29" s="318">
        <f t="shared" si="13"/>
        <v>49995052</v>
      </c>
      <c r="F29" s="568">
        <f t="shared" si="6"/>
        <v>8029660</v>
      </c>
      <c r="G29" s="161">
        <f t="shared" si="0"/>
        <v>0</v>
      </c>
      <c r="H29" s="568">
        <f t="shared" si="6"/>
        <v>24627769</v>
      </c>
      <c r="I29" s="162">
        <f t="shared" si="1"/>
        <v>0</v>
      </c>
      <c r="J29" s="568">
        <f t="shared" si="6"/>
        <v>17337622</v>
      </c>
      <c r="K29" s="163">
        <f t="shared" si="2"/>
        <v>0</v>
      </c>
      <c r="L29" s="306">
        <f t="shared" si="7"/>
        <v>0</v>
      </c>
      <c r="M29" s="306">
        <f t="shared" si="8"/>
        <v>0</v>
      </c>
      <c r="N29" s="306">
        <f t="shared" si="9"/>
        <v>0</v>
      </c>
      <c r="O29" s="306">
        <f t="shared" si="10"/>
        <v>5.3321046618758059</v>
      </c>
      <c r="P29" s="307">
        <f t="shared" si="11"/>
        <v>5.3321046618758059</v>
      </c>
      <c r="Q29" s="307">
        <f>SUM(-tanks!AX31*tanks!$AU$36)</f>
        <v>0</v>
      </c>
      <c r="R29" s="307">
        <f t="shared" si="12"/>
        <v>5.3321046618758059</v>
      </c>
      <c r="S29" s="309">
        <f>SUM(ELEC!N28)</f>
        <v>0</v>
      </c>
      <c r="T29" s="346">
        <f t="shared" si="14"/>
        <v>0</v>
      </c>
      <c r="V29" s="217"/>
      <c r="W29" s="218"/>
      <c r="X29" s="218"/>
      <c r="Y29" s="219"/>
      <c r="Z29" s="3"/>
      <c r="AA29" s="295">
        <f>SUM(AA26:AA28)</f>
        <v>6398</v>
      </c>
      <c r="AB29" s="200"/>
      <c r="AC29" s="255"/>
    </row>
    <row r="30" spans="1:32" ht="14.25" customHeight="1">
      <c r="A30" s="164">
        <f>ELEC!C29</f>
        <v>44009</v>
      </c>
      <c r="B30" s="568">
        <f t="shared" si="3"/>
        <v>49995052</v>
      </c>
      <c r="C30" s="271">
        <f t="shared" si="4"/>
        <v>0</v>
      </c>
      <c r="D30" s="318">
        <f t="shared" si="5"/>
        <v>0</v>
      </c>
      <c r="E30" s="318">
        <f t="shared" si="13"/>
        <v>49995052</v>
      </c>
      <c r="F30" s="568">
        <f t="shared" si="6"/>
        <v>8029660</v>
      </c>
      <c r="G30" s="161">
        <f t="shared" si="0"/>
        <v>0</v>
      </c>
      <c r="H30" s="568">
        <f t="shared" si="6"/>
        <v>24627769</v>
      </c>
      <c r="I30" s="162">
        <f t="shared" si="1"/>
        <v>0</v>
      </c>
      <c r="J30" s="568">
        <f t="shared" si="6"/>
        <v>17337622</v>
      </c>
      <c r="K30" s="163">
        <f t="shared" si="2"/>
        <v>0</v>
      </c>
      <c r="L30" s="306">
        <f t="shared" si="7"/>
        <v>0</v>
      </c>
      <c r="M30" s="306">
        <f t="shared" si="8"/>
        <v>0</v>
      </c>
      <c r="N30" s="306">
        <f t="shared" si="9"/>
        <v>0</v>
      </c>
      <c r="O30" s="306">
        <f t="shared" si="10"/>
        <v>5.3321046618758059</v>
      </c>
      <c r="P30" s="307">
        <f t="shared" si="11"/>
        <v>5.3321046618758059</v>
      </c>
      <c r="Q30" s="307">
        <f>SUM(-tanks!AX32*tanks!$AU$36)</f>
        <v>0</v>
      </c>
      <c r="R30" s="307">
        <f t="shared" si="12"/>
        <v>5.3321046618758059</v>
      </c>
      <c r="S30" s="309">
        <f>SUM(ELEC!N29)</f>
        <v>0</v>
      </c>
      <c r="T30" s="346">
        <f t="shared" si="14"/>
        <v>0</v>
      </c>
      <c r="V30" s="220" t="s">
        <v>317</v>
      </c>
      <c r="W30" s="459">
        <f>'General information '!F36</f>
        <v>2.1700000000000001E-2</v>
      </c>
      <c r="X30" s="221"/>
      <c r="Y30" s="222" t="s">
        <v>333</v>
      </c>
      <c r="Z30" s="3"/>
      <c r="AA30" s="295"/>
      <c r="AB30" s="200">
        <f>SUM(AB26:AB29)</f>
        <v>823760</v>
      </c>
      <c r="AC30" s="255">
        <f>SUM(AC26:AC29)/A38*A36</f>
        <v>241144.43333333332</v>
      </c>
    </row>
    <row r="31" spans="1:32">
      <c r="A31" s="164">
        <f>ELEC!C30</f>
        <v>44010</v>
      </c>
      <c r="B31" s="568">
        <f t="shared" si="3"/>
        <v>49995052</v>
      </c>
      <c r="C31" s="271">
        <f t="shared" si="4"/>
        <v>0</v>
      </c>
      <c r="D31" s="318">
        <f t="shared" si="5"/>
        <v>0</v>
      </c>
      <c r="E31" s="318">
        <f t="shared" si="13"/>
        <v>49995052</v>
      </c>
      <c r="F31" s="568">
        <f t="shared" si="6"/>
        <v>8029660</v>
      </c>
      <c r="G31" s="161">
        <f t="shared" si="0"/>
        <v>0</v>
      </c>
      <c r="H31" s="568">
        <f t="shared" si="6"/>
        <v>24627769</v>
      </c>
      <c r="I31" s="162">
        <f t="shared" si="1"/>
        <v>0</v>
      </c>
      <c r="J31" s="568">
        <f t="shared" si="6"/>
        <v>17337622</v>
      </c>
      <c r="K31" s="163">
        <f t="shared" si="2"/>
        <v>0</v>
      </c>
      <c r="L31" s="306">
        <f t="shared" si="7"/>
        <v>0</v>
      </c>
      <c r="M31" s="306">
        <f t="shared" si="8"/>
        <v>0</v>
      </c>
      <c r="N31" s="306">
        <f t="shared" si="9"/>
        <v>0</v>
      </c>
      <c r="O31" s="306">
        <f t="shared" si="10"/>
        <v>5.3321046618758059</v>
      </c>
      <c r="P31" s="307">
        <f t="shared" si="11"/>
        <v>5.3321046618758059</v>
      </c>
      <c r="Q31" s="307">
        <f>SUM(-tanks!AX33*tanks!$AU$36)</f>
        <v>0</v>
      </c>
      <c r="R31" s="307">
        <f t="shared" si="12"/>
        <v>5.3321046618758059</v>
      </c>
      <c r="S31" s="309">
        <f>SUM(ELEC!N30)</f>
        <v>0</v>
      </c>
      <c r="T31" s="346">
        <f t="shared" si="14"/>
        <v>0</v>
      </c>
      <c r="V31" s="220" t="s">
        <v>318</v>
      </c>
      <c r="W31" s="221">
        <f>SUM(GEN!U33)</f>
        <v>4</v>
      </c>
      <c r="X31" s="226">
        <f>SUM(W31/A36)</f>
        <v>4</v>
      </c>
      <c r="Y31" s="267">
        <f>SUM(X31/2)</f>
        <v>2</v>
      </c>
      <c r="Z31" s="3"/>
      <c r="AA31" s="3"/>
      <c r="AB31" s="200">
        <f>SUM(AB30+AC31)</f>
        <v>1064904.4333333333</v>
      </c>
      <c r="AC31" s="255">
        <f>SUM(AC30)</f>
        <v>241144.43333333332</v>
      </c>
    </row>
    <row r="32" spans="1:32">
      <c r="A32" s="164">
        <f>ELEC!C31</f>
        <v>44011</v>
      </c>
      <c r="B32" s="568">
        <f t="shared" si="3"/>
        <v>49995052</v>
      </c>
      <c r="C32" s="271">
        <f t="shared" si="4"/>
        <v>0</v>
      </c>
      <c r="D32" s="318">
        <f t="shared" si="5"/>
        <v>0</v>
      </c>
      <c r="E32" s="318">
        <f t="shared" si="13"/>
        <v>49995052</v>
      </c>
      <c r="F32" s="568">
        <f t="shared" si="6"/>
        <v>8029660</v>
      </c>
      <c r="G32" s="161">
        <f t="shared" si="0"/>
        <v>0</v>
      </c>
      <c r="H32" s="568">
        <f t="shared" si="6"/>
        <v>24627769</v>
      </c>
      <c r="I32" s="162">
        <f t="shared" si="1"/>
        <v>0</v>
      </c>
      <c r="J32" s="568">
        <f t="shared" si="6"/>
        <v>17337622</v>
      </c>
      <c r="K32" s="163">
        <f t="shared" si="2"/>
        <v>0</v>
      </c>
      <c r="L32" s="306">
        <f t="shared" si="7"/>
        <v>0</v>
      </c>
      <c r="M32" s="306">
        <f t="shared" si="8"/>
        <v>0</v>
      </c>
      <c r="N32" s="306">
        <f t="shared" si="9"/>
        <v>0</v>
      </c>
      <c r="O32" s="306">
        <f t="shared" si="10"/>
        <v>5.3321046618758059</v>
      </c>
      <c r="P32" s="307">
        <f t="shared" si="11"/>
        <v>5.3321046618758059</v>
      </c>
      <c r="Q32" s="307">
        <f>SUM(-tanks!AX34*tanks!$AU$36)</f>
        <v>0</v>
      </c>
      <c r="R32" s="307">
        <f t="shared" si="12"/>
        <v>5.3321046618758059</v>
      </c>
      <c r="S32" s="309">
        <f>SUM(ELEC!N31)</f>
        <v>0</v>
      </c>
      <c r="T32" s="346">
        <f t="shared" si="14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44012</v>
      </c>
      <c r="B33" s="568">
        <f t="shared" si="3"/>
        <v>49995052</v>
      </c>
      <c r="C33" s="271">
        <f t="shared" si="4"/>
        <v>0</v>
      </c>
      <c r="D33" s="318">
        <f t="shared" si="5"/>
        <v>0</v>
      </c>
      <c r="E33" s="318">
        <f t="shared" si="13"/>
        <v>49995052</v>
      </c>
      <c r="F33" s="568">
        <f t="shared" si="6"/>
        <v>8029660</v>
      </c>
      <c r="G33" s="161">
        <f>F33-F32</f>
        <v>0</v>
      </c>
      <c r="H33" s="568">
        <f t="shared" si="6"/>
        <v>24627769</v>
      </c>
      <c r="I33" s="162">
        <f t="shared" si="1"/>
        <v>0</v>
      </c>
      <c r="J33" s="568">
        <f t="shared" si="6"/>
        <v>17337622</v>
      </c>
      <c r="K33" s="163">
        <f t="shared" si="2"/>
        <v>0</v>
      </c>
      <c r="L33" s="306">
        <f>SUM(G33*$Y$28)/1507.5</f>
        <v>0</v>
      </c>
      <c r="M33" s="306">
        <f t="shared" si="8"/>
        <v>0</v>
      </c>
      <c r="N33" s="306">
        <f t="shared" si="9"/>
        <v>0</v>
      </c>
      <c r="O33" s="306">
        <f t="shared" si="10"/>
        <v>5.3321046618758059</v>
      </c>
      <c r="P33" s="307">
        <f>SUM(L33:O33)</f>
        <v>5.3321046618758059</v>
      </c>
      <c r="Q33" s="307">
        <f>SUM(-tanks!AX35*tanks!$AU$36)</f>
        <v>0</v>
      </c>
      <c r="R33" s="307">
        <f>SUM(P33:Q33)</f>
        <v>5.3321046618758059</v>
      </c>
      <c r="S33" s="309">
        <f>SUM(ELEC!N32)</f>
        <v>0</v>
      </c>
      <c r="T33" s="346">
        <f>IF(S33&gt;0,R33/S33,0)</f>
        <v>0</v>
      </c>
      <c r="V33" s="220" t="s">
        <v>320</v>
      </c>
      <c r="W33" s="221">
        <f>SUM('Degree Days 2020'!K81)</f>
        <v>0</v>
      </c>
      <c r="X33" s="221"/>
      <c r="Y33" s="222"/>
      <c r="Z33" s="3"/>
      <c r="AA33" s="3"/>
      <c r="AB33" s="3"/>
      <c r="AC33" s="174"/>
    </row>
    <row r="34" spans="1:29">
      <c r="A34" s="571"/>
      <c r="B34" s="572"/>
      <c r="C34" s="573"/>
      <c r="D34" s="572"/>
      <c r="E34" s="572"/>
      <c r="F34" s="572"/>
      <c r="G34" s="572"/>
      <c r="H34" s="572"/>
      <c r="I34" s="572"/>
      <c r="J34" s="572"/>
      <c r="K34" s="572"/>
      <c r="L34" s="574"/>
      <c r="M34" s="574"/>
      <c r="N34" s="574"/>
      <c r="O34" s="574"/>
      <c r="P34" s="575"/>
      <c r="Q34" s="575"/>
      <c r="R34" s="575"/>
      <c r="S34" s="576"/>
      <c r="T34" s="577"/>
      <c r="V34" s="220"/>
      <c r="W34" s="221"/>
      <c r="X34" s="221"/>
      <c r="Y34" s="221"/>
      <c r="Z34" s="3"/>
      <c r="AA34" s="3"/>
      <c r="AB34" s="3"/>
      <c r="AC34" s="247"/>
    </row>
    <row r="35" spans="1:29">
      <c r="A35" s="571"/>
      <c r="B35" s="572"/>
      <c r="C35" s="573"/>
      <c r="D35" s="573"/>
      <c r="E35" s="573"/>
      <c r="F35" s="572"/>
      <c r="G35" s="572"/>
      <c r="H35" s="572"/>
      <c r="I35" s="572"/>
      <c r="J35" s="572"/>
      <c r="K35" s="578"/>
      <c r="L35" s="575"/>
      <c r="M35" s="575"/>
      <c r="N35" s="575"/>
      <c r="O35" s="575"/>
      <c r="P35" s="576"/>
      <c r="Q35" s="576"/>
      <c r="R35" s="576"/>
      <c r="S35" s="576"/>
      <c r="T35" s="577"/>
      <c r="V35" s="259"/>
      <c r="W35" s="17"/>
      <c r="X35" s="17"/>
      <c r="Y35" s="17"/>
      <c r="Z35" s="3" t="s">
        <v>214</v>
      </c>
      <c r="AA35" s="286">
        <v>0.11</v>
      </c>
      <c r="AB35" s="301">
        <f>SUM(AB31*AA35)</f>
        <v>117139.48766666667</v>
      </c>
      <c r="AC35" s="288"/>
    </row>
    <row r="36" spans="1:29" ht="15.75" thickBot="1">
      <c r="A36" s="570">
        <f>A38-COUNTIF(C4:C34,0)</f>
        <v>1</v>
      </c>
      <c r="C36" s="177">
        <f>SUM(C4:C34)/A36</f>
        <v>6400</v>
      </c>
      <c r="D36" s="177"/>
      <c r="E36" s="177"/>
      <c r="G36" s="177">
        <f>SUM(G4:G34)/A36</f>
        <v>897</v>
      </c>
      <c r="I36" s="177">
        <f>SUM(I4:I34)/A36</f>
        <v>3020</v>
      </c>
      <c r="K36" s="177"/>
      <c r="L36" s="177">
        <f>SUM(L35*1507.5)</f>
        <v>0</v>
      </c>
      <c r="M36" s="177">
        <f>SUM(M35*1507.5)</f>
        <v>0</v>
      </c>
      <c r="N36" s="177">
        <f>SUM(N35*1507.5)</f>
        <v>0</v>
      </c>
      <c r="O36" s="177">
        <f>SUM(O35*1507.5)</f>
        <v>0</v>
      </c>
      <c r="P36" s="177"/>
      <c r="Q36" s="177"/>
      <c r="R36" s="177"/>
      <c r="S36" s="310"/>
      <c r="V36" s="233"/>
      <c r="W36" s="234"/>
      <c r="X36" s="234"/>
      <c r="Y36" s="234"/>
      <c r="Z36" s="3"/>
      <c r="AA36" s="45"/>
      <c r="AB36" s="301">
        <f>SUM(AB31+AB35)</f>
        <v>1182043.9210000001</v>
      </c>
      <c r="AC36" s="288"/>
    </row>
    <row r="37" spans="1:29" ht="15.75" thickBot="1">
      <c r="A37" s="214"/>
      <c r="C37" s="216">
        <f>SUM(G37:K37)</f>
        <v>0.61203125000000003</v>
      </c>
      <c r="G37" s="229">
        <f>IF(C36&gt;0,G36/C36,0)</f>
        <v>0.14015625000000001</v>
      </c>
      <c r="H37" s="216"/>
      <c r="I37" s="229">
        <f>SUM(I36/C36)</f>
        <v>0.47187499999999999</v>
      </c>
      <c r="J37" s="216"/>
      <c r="K37" s="229">
        <f>SUM(K35/C36)</f>
        <v>0</v>
      </c>
      <c r="L37" s="229"/>
      <c r="M37" s="229"/>
      <c r="N37" s="229"/>
      <c r="O37" s="229"/>
      <c r="P37" s="229"/>
      <c r="Q37" s="229"/>
      <c r="R37" s="229"/>
      <c r="S37" s="311"/>
      <c r="V37" s="233"/>
      <c r="W37" s="234"/>
      <c r="X37" s="234"/>
      <c r="Y37" s="234"/>
      <c r="Z37" s="234"/>
      <c r="AA37" s="234" t="s">
        <v>215</v>
      </c>
      <c r="AB37" s="301">
        <f>SUM(AB31/1507.5)</f>
        <v>706.40426755113322</v>
      </c>
      <c r="AC37" s="288"/>
    </row>
    <row r="38" spans="1:29" ht="15.75" thickBot="1">
      <c r="A38">
        <v>30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160.76295555555555</v>
      </c>
      <c r="Z39" s="40"/>
      <c r="AA39" s="302" t="s">
        <v>215</v>
      </c>
      <c r="AB39" s="303">
        <f>SUM(AB37)</f>
        <v>706.40426755113322</v>
      </c>
    </row>
    <row r="40" spans="1:29">
      <c r="V40" s="221"/>
      <c r="W40" s="83">
        <f>AB30/1500</f>
        <v>549.17333333333329</v>
      </c>
      <c r="Z40" s="304">
        <f>SUM(AB39)</f>
        <v>706.40426755113322</v>
      </c>
      <c r="AA40" s="303"/>
      <c r="AB40" s="303"/>
    </row>
    <row r="41" spans="1:29">
      <c r="V41" s="17"/>
      <c r="W41" s="83">
        <f>SUM(W39:W40)</f>
        <v>709.93628888888884</v>
      </c>
      <c r="Y41" s="83"/>
      <c r="Z41" s="304">
        <f>SUM(-tanks!AX36)*tanks!AU36</f>
        <v>77.480967741937775</v>
      </c>
      <c r="AA41" s="102">
        <f>SUM(AB31/A36)</f>
        <v>1064904.4333333333</v>
      </c>
      <c r="AB41" s="361">
        <f>SUM(AA41*A38)</f>
        <v>31947133</v>
      </c>
    </row>
    <row r="42" spans="1:29" ht="18.75">
      <c r="W42" s="83">
        <f>AB30/1500</f>
        <v>549.17333333333329</v>
      </c>
      <c r="Z42" s="284">
        <f>SUM(Z40:Z41)</f>
        <v>783.88523529307099</v>
      </c>
      <c r="AA42" s="303">
        <f>SUM(AA41/1507.5)</f>
        <v>706.40426755113322</v>
      </c>
      <c r="AB42" s="360">
        <f>SUM(AB41/1507.5)</f>
        <v>21192.128026533996</v>
      </c>
    </row>
    <row r="43" spans="1:29">
      <c r="D43" s="541"/>
      <c r="E43" s="541"/>
      <c r="F43" s="541"/>
      <c r="W43" s="83">
        <f>SUM(W41:W42)</f>
        <v>1259.1096222222222</v>
      </c>
      <c r="Z43" s="305" t="e">
        <f>SUM(ELEC!#REF!)</f>
        <v>#REF!</v>
      </c>
    </row>
    <row r="44" spans="1:29">
      <c r="Z44" s="303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2" activePane="bottomLeft" state="frozen"/>
      <selection pane="bottomLeft" activeCell="B6" sqref="B6:H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2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58" t="s">
        <v>51</v>
      </c>
      <c r="B1" s="670" t="s">
        <v>321</v>
      </c>
      <c r="C1" s="671"/>
      <c r="D1" s="673"/>
      <c r="E1" s="670" t="s">
        <v>322</v>
      </c>
      <c r="F1" s="671"/>
      <c r="G1" s="672"/>
      <c r="H1" s="667" t="s">
        <v>327</v>
      </c>
      <c r="I1" s="664" t="s">
        <v>328</v>
      </c>
      <c r="J1" s="661" t="s">
        <v>43</v>
      </c>
    </row>
    <row r="2" spans="1:18" ht="38.25" thickBot="1">
      <c r="A2" s="659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8"/>
      <c r="I2" s="665"/>
      <c r="J2" s="662"/>
    </row>
    <row r="3" spans="1:18" ht="24" customHeight="1" thickBot="1">
      <c r="A3" s="660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9"/>
      <c r="I3" s="666"/>
      <c r="J3" s="663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9">
        <f>'[7]Swimming Pool quality check '!J36</f>
        <v>0.33333333333333398</v>
      </c>
      <c r="K5" s="420">
        <v>0</v>
      </c>
      <c r="L5" s="557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80">
        <v>5.5</v>
      </c>
      <c r="C6" s="581">
        <v>7.84</v>
      </c>
      <c r="D6" s="582">
        <v>29</v>
      </c>
      <c r="E6" s="582">
        <v>4</v>
      </c>
      <c r="F6" s="582">
        <v>8</v>
      </c>
      <c r="G6" s="582">
        <v>35</v>
      </c>
      <c r="H6" s="582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28"/>
      <c r="C7" s="528"/>
      <c r="D7" s="528"/>
      <c r="E7" s="528"/>
      <c r="F7" s="528"/>
      <c r="G7" s="528"/>
      <c r="H7" s="579">
        <f t="shared" ref="H7:H35" si="2">H6</f>
        <v>6212</v>
      </c>
      <c r="I7" s="528">
        <f t="shared" ref="I7:I35" si="3">H7-H6</f>
        <v>0</v>
      </c>
      <c r="J7" s="506">
        <v>0.29166666666666669</v>
      </c>
      <c r="L7" s="100">
        <f t="shared" si="0"/>
        <v>43984</v>
      </c>
      <c r="M7" s="3">
        <f t="shared" ref="M7:M35" si="4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1"/>
      <c r="C8" s="560"/>
      <c r="D8" s="171"/>
      <c r="E8" s="171"/>
      <c r="F8" s="171"/>
      <c r="G8" s="171"/>
      <c r="H8" s="579">
        <f t="shared" si="2"/>
        <v>6212</v>
      </c>
      <c r="I8" s="528">
        <f t="shared" si="3"/>
        <v>0</v>
      </c>
      <c r="J8" s="506">
        <v>0.29166666666666669</v>
      </c>
      <c r="L8" s="100">
        <f t="shared" si="0"/>
        <v>43985</v>
      </c>
      <c r="M8" s="3">
        <f t="shared" si="4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1"/>
      <c r="C9" s="560"/>
      <c r="D9" s="171"/>
      <c r="E9" s="171"/>
      <c r="F9" s="171"/>
      <c r="G9" s="171"/>
      <c r="H9" s="579">
        <f t="shared" si="2"/>
        <v>6212</v>
      </c>
      <c r="I9" s="528">
        <f t="shared" si="3"/>
        <v>0</v>
      </c>
      <c r="J9" s="506">
        <v>0.29166666666666669</v>
      </c>
      <c r="L9" s="100">
        <f t="shared" si="0"/>
        <v>43986</v>
      </c>
      <c r="M9" s="3">
        <f t="shared" si="4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/>
      <c r="C10" s="528"/>
      <c r="D10" s="528"/>
      <c r="E10" s="171"/>
      <c r="F10" s="171"/>
      <c r="G10" s="171"/>
      <c r="H10" s="579">
        <f t="shared" si="2"/>
        <v>6212</v>
      </c>
      <c r="I10" s="528">
        <f t="shared" si="3"/>
        <v>0</v>
      </c>
      <c r="J10" s="506">
        <v>0.29166666666666669</v>
      </c>
      <c r="L10" s="100">
        <f t="shared" si="0"/>
        <v>43987</v>
      </c>
      <c r="M10" s="3">
        <f t="shared" si="4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/>
      <c r="C11" s="528"/>
      <c r="D11" s="528"/>
      <c r="E11" s="528"/>
      <c r="F11" s="528"/>
      <c r="G11" s="528"/>
      <c r="H11" s="579">
        <f t="shared" si="2"/>
        <v>6212</v>
      </c>
      <c r="I11" s="528">
        <f t="shared" si="3"/>
        <v>0</v>
      </c>
      <c r="J11" s="506">
        <v>0.29166666666666669</v>
      </c>
      <c r="L11" s="100">
        <f t="shared" si="0"/>
        <v>43988</v>
      </c>
      <c r="M11" s="3">
        <f t="shared" si="4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/>
      <c r="C12" s="528"/>
      <c r="D12" s="528"/>
      <c r="E12" s="528"/>
      <c r="F12" s="528"/>
      <c r="G12" s="528"/>
      <c r="H12" s="579">
        <f t="shared" si="2"/>
        <v>6212</v>
      </c>
      <c r="I12" s="528">
        <f t="shared" si="3"/>
        <v>0</v>
      </c>
      <c r="J12" s="506">
        <v>0.29166666666666669</v>
      </c>
      <c r="L12" s="100">
        <f t="shared" si="0"/>
        <v>43989</v>
      </c>
      <c r="M12" s="3">
        <f t="shared" si="4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28"/>
      <c r="C13" s="528"/>
      <c r="D13" s="528"/>
      <c r="E13" s="528"/>
      <c r="F13" s="528"/>
      <c r="G13" s="528"/>
      <c r="H13" s="579">
        <f t="shared" si="2"/>
        <v>6212</v>
      </c>
      <c r="I13" s="528">
        <f t="shared" si="3"/>
        <v>0</v>
      </c>
      <c r="J13" s="506">
        <v>0.29166666666666669</v>
      </c>
      <c r="L13" s="100">
        <f t="shared" si="0"/>
        <v>43990</v>
      </c>
      <c r="M13" s="3">
        <f t="shared" si="4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/>
      <c r="C14" s="563"/>
      <c r="D14" s="171"/>
      <c r="E14" s="171"/>
      <c r="F14" s="171"/>
      <c r="G14" s="171"/>
      <c r="H14" s="579">
        <f t="shared" si="2"/>
        <v>6212</v>
      </c>
      <c r="I14" s="528">
        <f t="shared" si="3"/>
        <v>0</v>
      </c>
      <c r="J14" s="506">
        <v>0.29166666666666669</v>
      </c>
      <c r="L14" s="100">
        <f t="shared" si="0"/>
        <v>43991</v>
      </c>
      <c r="M14" s="3">
        <f t="shared" si="4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/>
      <c r="C15" s="564"/>
      <c r="D15" s="171"/>
      <c r="E15" s="171"/>
      <c r="F15" s="171"/>
      <c r="G15" s="171"/>
      <c r="H15" s="579">
        <f t="shared" si="2"/>
        <v>6212</v>
      </c>
      <c r="I15" s="528">
        <f t="shared" si="3"/>
        <v>0</v>
      </c>
      <c r="J15" s="506">
        <v>0.29166666666666669</v>
      </c>
      <c r="L15" s="100">
        <f t="shared" si="0"/>
        <v>43992</v>
      </c>
      <c r="M15" s="3">
        <f t="shared" si="4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/>
      <c r="C16" s="565"/>
      <c r="D16" s="171"/>
      <c r="E16" s="171"/>
      <c r="F16" s="171"/>
      <c r="G16" s="171"/>
      <c r="H16" s="579">
        <f t="shared" si="2"/>
        <v>6212</v>
      </c>
      <c r="I16" s="528">
        <f t="shared" si="3"/>
        <v>0</v>
      </c>
      <c r="J16" s="506">
        <v>0.29166666666666669</v>
      </c>
      <c r="L16" s="100">
        <f t="shared" si="0"/>
        <v>43993</v>
      </c>
      <c r="M16" s="3">
        <f t="shared" si="4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/>
      <c r="C17" s="528"/>
      <c r="D17" s="528"/>
      <c r="E17" s="528"/>
      <c r="F17" s="528"/>
      <c r="G17" s="528"/>
      <c r="H17" s="579">
        <f t="shared" si="2"/>
        <v>6212</v>
      </c>
      <c r="I17" s="528">
        <f t="shared" si="3"/>
        <v>0</v>
      </c>
      <c r="J17" s="506">
        <v>0.29166666666666669</v>
      </c>
      <c r="L17" s="100">
        <f t="shared" si="0"/>
        <v>43994</v>
      </c>
      <c r="M17" s="3">
        <f t="shared" si="4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/>
      <c r="C18" s="528"/>
      <c r="D18" s="528"/>
      <c r="E18" s="528"/>
      <c r="F18" s="528"/>
      <c r="G18" s="528"/>
      <c r="H18" s="579">
        <f t="shared" si="2"/>
        <v>6212</v>
      </c>
      <c r="I18" s="528">
        <f t="shared" si="3"/>
        <v>0</v>
      </c>
      <c r="J18" s="506">
        <v>0.29166666666666669</v>
      </c>
      <c r="L18" s="100">
        <f t="shared" si="0"/>
        <v>43995</v>
      </c>
      <c r="M18" s="3">
        <f t="shared" si="4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528"/>
      <c r="C19" s="528"/>
      <c r="D19" s="528"/>
      <c r="E19" s="528"/>
      <c r="F19" s="528"/>
      <c r="G19" s="538"/>
      <c r="H19" s="579">
        <f t="shared" si="2"/>
        <v>6212</v>
      </c>
      <c r="I19" s="528">
        <f t="shared" si="3"/>
        <v>0</v>
      </c>
      <c r="J19" s="506">
        <v>0.29166666666666669</v>
      </c>
      <c r="L19" s="100">
        <f t="shared" si="0"/>
        <v>43996</v>
      </c>
      <c r="M19" s="3">
        <f t="shared" si="4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/>
      <c r="C20" s="528"/>
      <c r="D20" s="528"/>
      <c r="E20" s="528"/>
      <c r="F20" s="528"/>
      <c r="G20" s="528"/>
      <c r="H20" s="579">
        <f t="shared" si="2"/>
        <v>6212</v>
      </c>
      <c r="I20" s="528">
        <f t="shared" si="3"/>
        <v>0</v>
      </c>
      <c r="J20" s="506">
        <v>0.29166666666666669</v>
      </c>
      <c r="L20" s="100">
        <f t="shared" si="0"/>
        <v>43997</v>
      </c>
      <c r="M20" s="3">
        <f t="shared" si="4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28"/>
      <c r="C21" s="528"/>
      <c r="D21" s="528"/>
      <c r="E21" s="528"/>
      <c r="F21" s="528"/>
      <c r="G21" s="528"/>
      <c r="H21" s="579">
        <f t="shared" si="2"/>
        <v>6212</v>
      </c>
      <c r="I21" s="528">
        <f t="shared" si="3"/>
        <v>0</v>
      </c>
      <c r="J21" s="506">
        <v>0.29166666666666669</v>
      </c>
      <c r="L21" s="100">
        <f t="shared" si="0"/>
        <v>43998</v>
      </c>
      <c r="M21" s="3">
        <f t="shared" si="4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/>
      <c r="C22" s="566"/>
      <c r="D22" s="171"/>
      <c r="E22" s="171"/>
      <c r="F22" s="171"/>
      <c r="G22" s="171"/>
      <c r="H22" s="579">
        <f t="shared" si="2"/>
        <v>6212</v>
      </c>
      <c r="I22" s="528">
        <f t="shared" si="3"/>
        <v>0</v>
      </c>
      <c r="J22" s="506">
        <v>0.29166666666666669</v>
      </c>
      <c r="L22" s="100">
        <f t="shared" si="0"/>
        <v>43999</v>
      </c>
      <c r="M22" s="3">
        <f t="shared" si="4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/>
      <c r="C23" s="171"/>
      <c r="D23" s="171"/>
      <c r="E23" s="171"/>
      <c r="F23" s="171"/>
      <c r="G23" s="171"/>
      <c r="H23" s="579">
        <f t="shared" si="2"/>
        <v>6212</v>
      </c>
      <c r="I23" s="528">
        <f t="shared" si="3"/>
        <v>0</v>
      </c>
      <c r="J23" s="506">
        <v>0.29166666666666669</v>
      </c>
      <c r="L23" s="100">
        <f t="shared" si="0"/>
        <v>44000</v>
      </c>
      <c r="M23" s="3">
        <f t="shared" si="4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/>
      <c r="C24" s="528"/>
      <c r="D24" s="528"/>
      <c r="E24" s="528"/>
      <c r="F24" s="528"/>
      <c r="G24" s="528"/>
      <c r="H24" s="579">
        <f t="shared" si="2"/>
        <v>6212</v>
      </c>
      <c r="I24" s="528">
        <f t="shared" si="3"/>
        <v>0</v>
      </c>
      <c r="J24" s="506">
        <v>0.29166666666666702</v>
      </c>
      <c r="L24" s="100">
        <f t="shared" si="0"/>
        <v>44001</v>
      </c>
      <c r="M24" s="3">
        <f t="shared" si="4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9">
        <f t="shared" si="2"/>
        <v>6212</v>
      </c>
      <c r="I25" s="528">
        <f t="shared" si="3"/>
        <v>0</v>
      </c>
      <c r="J25" s="506">
        <v>0.29166666666666702</v>
      </c>
      <c r="L25" s="100">
        <f t="shared" si="0"/>
        <v>44002</v>
      </c>
      <c r="M25" s="3">
        <f t="shared" si="4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9">
        <f t="shared" si="2"/>
        <v>6212</v>
      </c>
      <c r="I26" s="528">
        <f t="shared" si="3"/>
        <v>0</v>
      </c>
      <c r="J26" s="506">
        <v>0.29166666666666702</v>
      </c>
      <c r="L26" s="100">
        <f t="shared" si="0"/>
        <v>44003</v>
      </c>
      <c r="M26" s="3">
        <f t="shared" si="4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9">
        <f t="shared" si="2"/>
        <v>6212</v>
      </c>
      <c r="I27" s="528">
        <f t="shared" si="3"/>
        <v>0</v>
      </c>
      <c r="J27" s="506">
        <v>0.29166666666666702</v>
      </c>
      <c r="L27" s="100">
        <f t="shared" si="0"/>
        <v>44004</v>
      </c>
      <c r="M27" s="3">
        <f t="shared" si="4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9">
        <f t="shared" si="2"/>
        <v>6212</v>
      </c>
      <c r="I28" s="528">
        <f t="shared" si="3"/>
        <v>0</v>
      </c>
      <c r="J28" s="507">
        <v>0.29166666666666702</v>
      </c>
      <c r="L28" s="100">
        <f t="shared" si="0"/>
        <v>44005</v>
      </c>
      <c r="M28" s="3">
        <f t="shared" si="4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9">
        <f t="shared" si="2"/>
        <v>6212</v>
      </c>
      <c r="I29" s="528">
        <f t="shared" si="3"/>
        <v>0</v>
      </c>
      <c r="J29" s="506">
        <v>0.29166666666666702</v>
      </c>
      <c r="L29" s="100">
        <f t="shared" si="0"/>
        <v>44006</v>
      </c>
      <c r="M29" s="3">
        <f t="shared" si="4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7"/>
      <c r="D30" s="171"/>
      <c r="E30" s="171"/>
      <c r="F30" s="171"/>
      <c r="G30" s="171"/>
      <c r="H30" s="579">
        <f t="shared" si="2"/>
        <v>6212</v>
      </c>
      <c r="I30" s="528">
        <f t="shared" si="3"/>
        <v>0</v>
      </c>
      <c r="J30" s="506">
        <v>0.29166666666666702</v>
      </c>
      <c r="L30" s="100">
        <f t="shared" si="0"/>
        <v>44007</v>
      </c>
      <c r="M30" s="3">
        <f t="shared" si="4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7"/>
      <c r="D31" s="171"/>
      <c r="E31" s="171"/>
      <c r="F31" s="171"/>
      <c r="G31" s="171"/>
      <c r="H31" s="579">
        <f t="shared" si="2"/>
        <v>6212</v>
      </c>
      <c r="I31" s="528">
        <f t="shared" si="3"/>
        <v>0</v>
      </c>
      <c r="J31" s="506">
        <v>0.29166666666666702</v>
      </c>
      <c r="L31" s="100">
        <f t="shared" si="0"/>
        <v>44008</v>
      </c>
      <c r="M31" s="3">
        <f t="shared" si="4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9">
        <f t="shared" si="2"/>
        <v>6212</v>
      </c>
      <c r="I32" s="528">
        <f t="shared" si="3"/>
        <v>0</v>
      </c>
      <c r="J32" s="506">
        <v>0.29166666666666702</v>
      </c>
      <c r="L32" s="100">
        <f t="shared" si="0"/>
        <v>44009</v>
      </c>
      <c r="M32" s="3">
        <f t="shared" si="4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9">
        <f t="shared" si="2"/>
        <v>6212</v>
      </c>
      <c r="I33" s="528">
        <f t="shared" si="3"/>
        <v>0</v>
      </c>
      <c r="J33" s="506">
        <v>0.29166666666666702</v>
      </c>
      <c r="L33" s="100">
        <f t="shared" si="0"/>
        <v>44010</v>
      </c>
      <c r="M33" s="3">
        <f t="shared" si="4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9">
        <f t="shared" si="2"/>
        <v>6212</v>
      </c>
      <c r="I34" s="528">
        <f t="shared" si="3"/>
        <v>0</v>
      </c>
      <c r="J34" s="506">
        <v>0.29166666666666702</v>
      </c>
      <c r="L34" s="100">
        <f t="shared" si="0"/>
        <v>44011</v>
      </c>
      <c r="M34" s="3">
        <f t="shared" si="4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9">
        <f t="shared" si="2"/>
        <v>6212</v>
      </c>
      <c r="I35" s="528">
        <f t="shared" si="3"/>
        <v>0</v>
      </c>
      <c r="J35" s="508">
        <v>0.29166666666666702</v>
      </c>
      <c r="L35" s="100">
        <f t="shared" si="0"/>
        <v>44012</v>
      </c>
      <c r="M35" s="3">
        <f t="shared" si="4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3" zoomScale="80" zoomScaleNormal="80" workbookViewId="0">
      <selection activeCell="C50" sqref="C5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74" t="s">
        <v>161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</row>
    <row r="2" spans="1:28" ht="19.5">
      <c r="A2" s="675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</row>
    <row r="3" spans="1:28" ht="19.5">
      <c r="A3" s="675" t="s">
        <v>162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75" t="s">
        <v>412</v>
      </c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</row>
    <row r="6" spans="1:28" ht="15.75" thickBot="1">
      <c r="A6" s="676"/>
      <c r="B6" s="676"/>
      <c r="C6" s="676"/>
      <c r="D6" s="676"/>
      <c r="E6" s="676"/>
      <c r="F6" s="676"/>
      <c r="G6" s="676"/>
      <c r="H6" s="676"/>
      <c r="I6" s="676"/>
      <c r="J6" s="676"/>
      <c r="K6" s="676"/>
      <c r="L6" s="676"/>
      <c r="M6" s="676"/>
      <c r="N6" s="676"/>
      <c r="O6" s="676"/>
      <c r="P6" s="676"/>
      <c r="Q6" s="676"/>
      <c r="R6" s="676"/>
      <c r="S6" s="676"/>
      <c r="T6" s="676"/>
      <c r="U6" s="676"/>
      <c r="V6" s="676"/>
      <c r="W6" s="676"/>
      <c r="X6" s="676"/>
    </row>
    <row r="7" spans="1:28" ht="15.75" thickBot="1">
      <c r="A7" s="678" t="s">
        <v>163</v>
      </c>
      <c r="B7" s="679"/>
      <c r="C7" s="680" t="s">
        <v>164</v>
      </c>
      <c r="D7" s="681"/>
      <c r="E7" s="681"/>
      <c r="F7" s="681"/>
      <c r="G7" s="681"/>
      <c r="H7" s="681"/>
      <c r="I7" s="681"/>
      <c r="J7" s="681"/>
      <c r="K7" s="682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'[5]Degree Days 2018'!D10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'[5]Degree Days 2018'!H10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'[5]Degree Days 2018'!L10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'[5]Degree Days 2018'!P10</f>
        <v>-1.8000000000000007</v>
      </c>
      <c r="Q10" s="553">
        <v>1</v>
      </c>
      <c r="R10" s="279">
        <f>'[2]Degree Days 2018'!R10</f>
        <v>22</v>
      </c>
      <c r="S10" s="279">
        <f>'[2]Degree Days 2018'!S10</f>
        <v>16</v>
      </c>
      <c r="T10" s="279">
        <f>'[5]Degree Days 2018'!T10</f>
        <v>0</v>
      </c>
      <c r="U10" s="553">
        <v>1</v>
      </c>
      <c r="V10" s="279">
        <f>'General information '!B6</f>
        <v>25</v>
      </c>
      <c r="W10" s="279">
        <f>'General information '!C6</f>
        <v>20</v>
      </c>
      <c r="X10" s="279">
        <f>'[5]Degree Days 2018'!X10</f>
        <v>0</v>
      </c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>'[5]Degree Days 2018'!D11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>'[5]Degree Days 2018'!H11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>'[5]Degree Days 2018'!L11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>'[5]Degree Days 2018'!P11</f>
        <v>-1.3000000000000007</v>
      </c>
      <c r="Q11" s="553">
        <v>2</v>
      </c>
      <c r="R11" s="279">
        <f>'[2]Degree Days 2018'!R11</f>
        <v>21</v>
      </c>
      <c r="S11" s="279">
        <f>'[2]Degree Days 2018'!S11</f>
        <v>14</v>
      </c>
      <c r="T11" s="279">
        <f>'[5]Degree Days 2018'!T11</f>
        <v>0</v>
      </c>
      <c r="U11" s="553">
        <v>2</v>
      </c>
      <c r="V11" s="279">
        <f>'General information '!B7</f>
        <v>0</v>
      </c>
      <c r="W11" s="279">
        <f>'General information '!C7</f>
        <v>0</v>
      </c>
      <c r="X11" s="279">
        <f>'[5]Degree Days 2018'!X11</f>
        <v>0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>'[5]Degree Days 2018'!D12</f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>'[5]Degree Days 2018'!H12</f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>'[5]Degree Days 2018'!L12</f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>'[5]Degree Days 2018'!P12</f>
        <v>-1.3000000000000007</v>
      </c>
      <c r="Q12" s="553">
        <v>3</v>
      </c>
      <c r="R12" s="279">
        <f>'[2]Degree Days 2018'!R12</f>
        <v>24</v>
      </c>
      <c r="S12" s="279">
        <f>'[2]Degree Days 2018'!S12</f>
        <v>17</v>
      </c>
      <c r="T12" s="279">
        <f>'[5]Degree Days 2018'!T12</f>
        <v>0</v>
      </c>
      <c r="U12" s="553">
        <v>3</v>
      </c>
      <c r="V12" s="279">
        <f>'General information '!B8</f>
        <v>0</v>
      </c>
      <c r="W12" s="279">
        <f>'General information '!C8</f>
        <v>0</v>
      </c>
      <c r="X12" s="279">
        <f>'[5]Degree Days 2018'!X12</f>
        <v>0</v>
      </c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>'[5]Degree Days 2018'!D13</f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>'[5]Degree Days 2018'!H13</f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>'[5]Degree Days 2018'!L13</f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>'[5]Degree Days 2018'!P13</f>
        <v>0.19999999999999929</v>
      </c>
      <c r="Q13" s="553">
        <v>4</v>
      </c>
      <c r="R13" s="279">
        <f>'[2]Degree Days 2018'!R13</f>
        <v>23</v>
      </c>
      <c r="S13" s="279">
        <f>'[2]Degree Days 2018'!S13</f>
        <v>17</v>
      </c>
      <c r="T13" s="279">
        <f>'[5]Degree Days 2018'!T13</f>
        <v>0</v>
      </c>
      <c r="U13" s="553">
        <v>4</v>
      </c>
      <c r="V13" s="279">
        <f>'General information '!B9</f>
        <v>0</v>
      </c>
      <c r="W13" s="279">
        <f>'General information '!C9</f>
        <v>0</v>
      </c>
      <c r="X13" s="279">
        <f>'[5]Degree Days 2018'!X13</f>
        <v>0</v>
      </c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>'[5]Degree Days 2018'!D14</f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>'[5]Degree Days 2018'!H14</f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>'[5]Degree Days 2018'!L14</f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>'[5]Degree Days 2018'!P14</f>
        <v>7.1999999999999993</v>
      </c>
      <c r="Q14" s="553">
        <v>5</v>
      </c>
      <c r="R14" s="279">
        <f>'[2]Degree Days 2018'!R14</f>
        <v>22</v>
      </c>
      <c r="S14" s="279">
        <f>'[2]Degree Days 2018'!S14</f>
        <v>18</v>
      </c>
      <c r="T14" s="279">
        <f>'[5]Degree Days 2018'!T14</f>
        <v>0</v>
      </c>
      <c r="U14" s="553">
        <v>5</v>
      </c>
      <c r="V14" s="279">
        <f>'General information '!B10</f>
        <v>0</v>
      </c>
      <c r="W14" s="279">
        <f>'General information '!C10</f>
        <v>0</v>
      </c>
      <c r="X14" s="279">
        <f>'[5]Degree Days 2018'!X14</f>
        <v>0</v>
      </c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>'[5]Degree Days 2018'!D15</f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>'[5]Degree Days 2018'!H15</f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>'[5]Degree Days 2018'!L15</f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>'[5]Degree Days 2018'!P15</f>
        <v>-0.30000000000000071</v>
      </c>
      <c r="Q15" s="553">
        <v>6</v>
      </c>
      <c r="R15" s="279">
        <f>'[2]Degree Days 2018'!R15</f>
        <v>23</v>
      </c>
      <c r="S15" s="279">
        <f>'[2]Degree Days 2018'!S15</f>
        <v>17</v>
      </c>
      <c r="T15" s="279">
        <f>'[5]Degree Days 2018'!T15</f>
        <v>0</v>
      </c>
      <c r="U15" s="553">
        <v>6</v>
      </c>
      <c r="V15" s="279">
        <f>'General information '!B11</f>
        <v>0</v>
      </c>
      <c r="W15" s="279">
        <f>'General information '!C11</f>
        <v>0</v>
      </c>
      <c r="X15" s="279">
        <f>'[5]Degree Days 2018'!X15</f>
        <v>0</v>
      </c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>'[5]Degree Days 2018'!D16</f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>'[5]Degree Days 2018'!H16</f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>'[5]Degree Days 2018'!L16</f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>'[5]Degree Days 2018'!P16</f>
        <v>-0.30000000000000071</v>
      </c>
      <c r="Q16" s="553">
        <v>7</v>
      </c>
      <c r="R16" s="279">
        <f>'[2]Degree Days 2018'!R16</f>
        <v>25</v>
      </c>
      <c r="S16" s="279">
        <f>'[2]Degree Days 2018'!S16</f>
        <v>18</v>
      </c>
      <c r="T16" s="279">
        <f>'[5]Degree Days 2018'!T16</f>
        <v>0</v>
      </c>
      <c r="U16" s="553">
        <v>7</v>
      </c>
      <c r="V16" s="279">
        <f>'General information '!B12</f>
        <v>0</v>
      </c>
      <c r="W16" s="279">
        <f>'General information '!C12</f>
        <v>0</v>
      </c>
      <c r="X16" s="279">
        <f>'[5]Degree Days 2018'!X16</f>
        <v>0</v>
      </c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>'[5]Degree Days 2018'!D17</f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>'[5]Degree Days 2018'!H17</f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>'[5]Degree Days 2018'!L17</f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>'[5]Degree Days 2018'!P17</f>
        <v>-1.3000000000000007</v>
      </c>
      <c r="Q17" s="553">
        <v>8</v>
      </c>
      <c r="R17" s="279">
        <f>'[2]Degree Days 2018'!R17</f>
        <v>23</v>
      </c>
      <c r="S17" s="279">
        <f>'[2]Degree Days 2018'!S17</f>
        <v>17</v>
      </c>
      <c r="T17" s="279">
        <f>'[5]Degree Days 2018'!T17</f>
        <v>0</v>
      </c>
      <c r="U17" s="553">
        <v>8</v>
      </c>
      <c r="V17" s="279">
        <f>'General information '!B13</f>
        <v>0</v>
      </c>
      <c r="W17" s="279">
        <f>'General information '!C13</f>
        <v>0</v>
      </c>
      <c r="X17" s="279">
        <f>'[5]Degree Days 2018'!X17</f>
        <v>0</v>
      </c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>'[5]Degree Days 2018'!D18</f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>'[5]Degree Days 2018'!H18</f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>'[5]Degree Days 2018'!L18</f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>'[5]Degree Days 2018'!P18</f>
        <v>-1.8000000000000007</v>
      </c>
      <c r="Q18" s="553">
        <v>9</v>
      </c>
      <c r="R18" s="279">
        <f>'[2]Degree Days 2018'!R18</f>
        <v>24</v>
      </c>
      <c r="S18" s="279">
        <f>'[2]Degree Days 2018'!S18</f>
        <v>18</v>
      </c>
      <c r="T18" s="279">
        <f>'[5]Degree Days 2018'!T18</f>
        <v>0</v>
      </c>
      <c r="U18" s="553">
        <v>9</v>
      </c>
      <c r="V18" s="279">
        <f>'General information '!B14</f>
        <v>0</v>
      </c>
      <c r="W18" s="279">
        <f>'General information '!C14</f>
        <v>0</v>
      </c>
      <c r="X18" s="279">
        <f>'[5]Degree Days 2018'!X18</f>
        <v>0</v>
      </c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>'[5]Degree Days 2018'!D19</f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>'[5]Degree Days 2018'!H19</f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>'[5]Degree Days 2018'!L19</f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>'[5]Degree Days 2018'!P19</f>
        <v>-3.8000000000000007</v>
      </c>
      <c r="Q19" s="553">
        <v>10</v>
      </c>
      <c r="R19" s="279">
        <f>'[2]Degree Days 2018'!R19</f>
        <v>23</v>
      </c>
      <c r="S19" s="279">
        <f>'[2]Degree Days 2018'!S19</f>
        <v>17</v>
      </c>
      <c r="T19" s="279">
        <f>'[5]Degree Days 2018'!T19</f>
        <v>0</v>
      </c>
      <c r="U19" s="553">
        <v>10</v>
      </c>
      <c r="V19" s="279">
        <f>'General information '!B15</f>
        <v>0</v>
      </c>
      <c r="W19" s="279">
        <f>'General information '!C15</f>
        <v>0</v>
      </c>
      <c r="X19" s="279">
        <f>'[5]Degree Days 2018'!X19</f>
        <v>0</v>
      </c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>'[5]Degree Days 2018'!D20</f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>'[5]Degree Days 2018'!H20</f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>'[5]Degree Days 2018'!L20</f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>'[5]Degree Days 2018'!P20</f>
        <v>-2.8000000000000007</v>
      </c>
      <c r="Q20" s="553">
        <v>11</v>
      </c>
      <c r="R20" s="279">
        <f>'[2]Degree Days 2018'!R20</f>
        <v>23</v>
      </c>
      <c r="S20" s="279">
        <f>'[2]Degree Days 2018'!S20</f>
        <v>18</v>
      </c>
      <c r="T20" s="279">
        <f>'[5]Degree Days 2018'!T20</f>
        <v>0</v>
      </c>
      <c r="U20" s="553">
        <v>11</v>
      </c>
      <c r="V20" s="279">
        <f>'General information '!B16</f>
        <v>0</v>
      </c>
      <c r="W20" s="279">
        <f>'General information '!C16</f>
        <v>0</v>
      </c>
      <c r="X20" s="279">
        <f>'[5]Degree Days 2018'!X20</f>
        <v>0</v>
      </c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>'[5]Degree Days 2018'!D21</f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>'[5]Degree Days 2018'!H21</f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>'[5]Degree Days 2018'!L21</f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>'[5]Degree Days 2018'!P21</f>
        <v>-1.3000000000000007</v>
      </c>
      <c r="Q21" s="553">
        <v>12</v>
      </c>
      <c r="R21" s="279">
        <f>'[2]Degree Days 2018'!R21</f>
        <v>24</v>
      </c>
      <c r="S21" s="279">
        <f>'[2]Degree Days 2018'!S21</f>
        <v>18</v>
      </c>
      <c r="T21" s="279">
        <f>'[5]Degree Days 2018'!T21</f>
        <v>0</v>
      </c>
      <c r="U21" s="553">
        <v>12</v>
      </c>
      <c r="V21" s="279">
        <f>'General information '!B17</f>
        <v>0</v>
      </c>
      <c r="W21" s="279">
        <f>'General information '!C17</f>
        <v>0</v>
      </c>
      <c r="X21" s="279">
        <f>'[5]Degree Days 2018'!X21</f>
        <v>0</v>
      </c>
      <c r="Z21" t="s">
        <v>181</v>
      </c>
      <c r="AA21" s="135">
        <f t="shared" ref="AA21" si="0">SUM(B54)</f>
        <v>0</v>
      </c>
      <c r="AB21" s="135">
        <f t="shared" ref="AB21" si="1">SUM(C54)</f>
        <v>0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>'[5]Degree Days 2018'!D22</f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>'[5]Degree Days 2018'!H22</f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>'[5]Degree Days 2018'!L22</f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>'[5]Degree Days 2018'!P22</f>
        <v>-0.30000000000000071</v>
      </c>
      <c r="Q22" s="553">
        <v>13</v>
      </c>
      <c r="R22" s="279">
        <f>'[2]Degree Days 2018'!R22</f>
        <v>27</v>
      </c>
      <c r="S22" s="279">
        <f>'[2]Degree Days 2018'!S22</f>
        <v>21</v>
      </c>
      <c r="T22" s="279">
        <f>'[5]Degree Days 2018'!T22</f>
        <v>0</v>
      </c>
      <c r="U22" s="553">
        <v>13</v>
      </c>
      <c r="V22" s="279">
        <f>'General information '!B18</f>
        <v>0</v>
      </c>
      <c r="W22" s="279">
        <f>'General information '!C18</f>
        <v>0</v>
      </c>
      <c r="X22" s="279">
        <f>'[5]Degree Days 2018'!X22</f>
        <v>0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>'[5]Degree Days 2018'!D23</f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>'[5]Degree Days 2018'!H23</f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>'[5]Degree Days 2018'!L23</f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>'[5]Degree Days 2018'!P23</f>
        <v>0.69999999999999929</v>
      </c>
      <c r="Q23" s="553">
        <v>14</v>
      </c>
      <c r="R23" s="279">
        <f>'[2]Degree Days 2018'!R23</f>
        <v>29</v>
      </c>
      <c r="S23" s="279">
        <f>'[2]Degree Days 2018'!S23</f>
        <v>22</v>
      </c>
      <c r="T23" s="279">
        <f>'[5]Degree Days 2018'!T23</f>
        <v>0</v>
      </c>
      <c r="U23" s="553">
        <v>14</v>
      </c>
      <c r="V23" s="279">
        <f>'General information '!B19</f>
        <v>0</v>
      </c>
      <c r="W23" s="279">
        <f>'General information '!C19</f>
        <v>0</v>
      </c>
      <c r="X23" s="279">
        <f>'[5]Degree Days 2018'!X23</f>
        <v>0</v>
      </c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>'[5]Degree Days 2018'!D24</f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>'[5]Degree Days 2018'!H24</f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>'[5]Degree Days 2018'!L24</f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>'[5]Degree Days 2018'!P24</f>
        <v>-0.30000000000000071</v>
      </c>
      <c r="Q24" s="553">
        <v>15</v>
      </c>
      <c r="R24" s="279">
        <f>'[2]Degree Days 2018'!R24</f>
        <v>30</v>
      </c>
      <c r="S24" s="279">
        <f>'[2]Degree Days 2018'!S24</f>
        <v>23</v>
      </c>
      <c r="T24" s="279">
        <f>'[5]Degree Days 2018'!T24</f>
        <v>0</v>
      </c>
      <c r="U24" s="553">
        <v>15</v>
      </c>
      <c r="V24" s="279">
        <f>'General information '!B20</f>
        <v>0</v>
      </c>
      <c r="W24" s="279">
        <f>'General information '!C20</f>
        <v>0</v>
      </c>
      <c r="X24" s="279">
        <f>'[5]Degree Days 2018'!X24</f>
        <v>0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>'[5]Degree Days 2018'!D25</f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>'[5]Degree Days 2018'!H25</f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>'[5]Degree Days 2018'!L25</f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>'[5]Degree Days 2018'!P25</f>
        <v>-0.80000000000000071</v>
      </c>
      <c r="Q25" s="553">
        <v>16</v>
      </c>
      <c r="R25" s="279">
        <f>'[2]Degree Days 2018'!R25</f>
        <v>32</v>
      </c>
      <c r="S25" s="279">
        <f>'[2]Degree Days 2018'!S25</f>
        <v>24</v>
      </c>
      <c r="T25" s="279">
        <f>'[5]Degree Days 2018'!T25</f>
        <v>0</v>
      </c>
      <c r="U25" s="553">
        <v>16</v>
      </c>
      <c r="V25" s="279">
        <f>'General information '!B21</f>
        <v>0</v>
      </c>
      <c r="W25" s="279">
        <f>'General information '!C21</f>
        <v>0</v>
      </c>
      <c r="X25" s="279">
        <f>'[5]Degree Days 2018'!X25</f>
        <v>0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>'[5]Degree Days 2018'!D26</f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>'[5]Degree Days 2018'!H26</f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>'[5]Degree Days 2018'!L26</f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>'[5]Degree Days 2018'!P26</f>
        <v>1.1999999999999993</v>
      </c>
      <c r="Q26" s="553">
        <v>17</v>
      </c>
      <c r="R26" s="279">
        <f>'[2]Degree Days 2018'!R26</f>
        <v>36</v>
      </c>
      <c r="S26" s="279">
        <f>'[2]Degree Days 2018'!S26</f>
        <v>26</v>
      </c>
      <c r="T26" s="279">
        <f>'[5]Degree Days 2018'!T26</f>
        <v>0</v>
      </c>
      <c r="U26" s="553">
        <v>17</v>
      </c>
      <c r="V26" s="279">
        <f>'General information '!B22</f>
        <v>0</v>
      </c>
      <c r="W26" s="279">
        <f>'General information '!C22</f>
        <v>0</v>
      </c>
      <c r="X26" s="279">
        <f>'[5]Degree Days 2018'!X26</f>
        <v>0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>'[5]Degree Days 2018'!D27</f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>'[5]Degree Days 2018'!H27</f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>'[5]Degree Days 2018'!L27</f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>'[5]Degree Days 2018'!P27</f>
        <v>2.1999999999999993</v>
      </c>
      <c r="Q27" s="553">
        <v>18</v>
      </c>
      <c r="R27" s="279">
        <f>'[2]Degree Days 2018'!R27</f>
        <v>32</v>
      </c>
      <c r="S27" s="279">
        <f>'[2]Degree Days 2018'!S27</f>
        <v>24</v>
      </c>
      <c r="T27" s="279">
        <f>'[5]Degree Days 2018'!T27</f>
        <v>0</v>
      </c>
      <c r="U27" s="553">
        <v>18</v>
      </c>
      <c r="V27" s="279">
        <f>'General information '!B23</f>
        <v>0</v>
      </c>
      <c r="W27" s="279">
        <f>'General information '!C23</f>
        <v>0</v>
      </c>
      <c r="X27" s="279">
        <f>'[5]Degree Days 2018'!X27</f>
        <v>0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>'[5]Degree Days 2018'!D28</f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>'[5]Degree Days 2018'!H28</f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>'[5]Degree Days 2018'!L28</f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>'[5]Degree Days 2018'!P28</f>
        <v>2.1999999999999993</v>
      </c>
      <c r="Q28" s="553">
        <v>19</v>
      </c>
      <c r="R28" s="279">
        <f>'[2]Degree Days 2018'!R28</f>
        <v>34</v>
      </c>
      <c r="S28" s="279">
        <f>'[2]Degree Days 2018'!S28</f>
        <v>27</v>
      </c>
      <c r="T28" s="279">
        <f>'[5]Degree Days 2018'!T28</f>
        <v>0</v>
      </c>
      <c r="U28" s="553">
        <v>19</v>
      </c>
      <c r="V28" s="279">
        <f>'General information '!B24</f>
        <v>0</v>
      </c>
      <c r="W28" s="279">
        <f>'General information '!C24</f>
        <v>0</v>
      </c>
      <c r="X28" s="279">
        <f>'[5]Degree Days 2018'!X28</f>
        <v>0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>'[5]Degree Days 2018'!D29</f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>'[5]Degree Days 2018'!H29</f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>'[5]Degree Days 2018'!L29</f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>'[5]Degree Days 2018'!P29</f>
        <v>2.1999999999999993</v>
      </c>
      <c r="Q29" s="553">
        <v>20</v>
      </c>
      <c r="R29" s="279">
        <f>'[2]Degree Days 2018'!R29</f>
        <v>30</v>
      </c>
      <c r="S29" s="279">
        <f>'[2]Degree Days 2018'!S29</f>
        <v>22</v>
      </c>
      <c r="T29" s="279">
        <f>'[5]Degree Days 2018'!T29</f>
        <v>0</v>
      </c>
      <c r="U29" s="553">
        <v>20</v>
      </c>
      <c r="V29" s="279">
        <f>'General information '!B25</f>
        <v>0</v>
      </c>
      <c r="W29" s="279">
        <f>'General information '!C25</f>
        <v>0</v>
      </c>
      <c r="X29" s="279">
        <f>'[5]Degree Days 2018'!X29</f>
        <v>0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>'[5]Degree Days 2018'!D30</f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>'[5]Degree Days 2018'!H30</f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>'[5]Degree Days 2018'!L30</f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>'[5]Degree Days 2018'!P30</f>
        <v>2.6999999999999993</v>
      </c>
      <c r="Q30" s="553">
        <v>21</v>
      </c>
      <c r="R30" s="279">
        <f>'[2]Degree Days 2018'!R30</f>
        <v>31</v>
      </c>
      <c r="S30" s="279">
        <f>'[2]Degree Days 2018'!S30</f>
        <v>23</v>
      </c>
      <c r="T30" s="279">
        <f>'[5]Degree Days 2018'!T30</f>
        <v>0</v>
      </c>
      <c r="U30" s="553">
        <v>21</v>
      </c>
      <c r="V30" s="279">
        <f>'General information '!B26</f>
        <v>0</v>
      </c>
      <c r="W30" s="279">
        <f>'General information '!C26</f>
        <v>0</v>
      </c>
      <c r="X30" s="279">
        <f>'[5]Degree Days 2018'!X30</f>
        <v>0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>'[5]Degree Days 2018'!D31</f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>'[5]Degree Days 2018'!H31</f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>'[5]Degree Days 2018'!L31</f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>'[5]Degree Days 2018'!P31</f>
        <v>3.1999999999999993</v>
      </c>
      <c r="Q31" s="553">
        <v>22</v>
      </c>
      <c r="R31" s="279">
        <f>'[2]Degree Days 2018'!R31</f>
        <v>25</v>
      </c>
      <c r="S31" s="279">
        <f>'[2]Degree Days 2018'!S31</f>
        <v>16</v>
      </c>
      <c r="T31" s="279">
        <f>'[5]Degree Days 2018'!T31</f>
        <v>0</v>
      </c>
      <c r="U31" s="553">
        <v>22</v>
      </c>
      <c r="V31" s="279">
        <f>'General information '!B27</f>
        <v>0</v>
      </c>
      <c r="W31" s="279">
        <f>'General information '!C27</f>
        <v>0</v>
      </c>
      <c r="X31" s="279">
        <f>'[5]Degree Days 2018'!X31</f>
        <v>0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>'[5]Degree Days 2018'!D32</f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>'[5]Degree Days 2018'!H32</f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>'[5]Degree Days 2018'!L32</f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>'[5]Degree Days 2018'!P32</f>
        <v>0.69999999999999929</v>
      </c>
      <c r="Q32" s="553">
        <v>23</v>
      </c>
      <c r="R32" s="279">
        <f>'[2]Degree Days 2018'!R32</f>
        <v>22</v>
      </c>
      <c r="S32" s="279">
        <f>'[2]Degree Days 2018'!S32</f>
        <v>19</v>
      </c>
      <c r="T32" s="279">
        <f>'[5]Degree Days 2018'!T32</f>
        <v>0</v>
      </c>
      <c r="U32" s="553">
        <v>23</v>
      </c>
      <c r="V32" s="279">
        <f>'General information '!B28</f>
        <v>0</v>
      </c>
      <c r="W32" s="279">
        <f>'General information '!C28</f>
        <v>0</v>
      </c>
      <c r="X32" s="279">
        <f>'[5]Degree Days 2018'!X32</f>
        <v>0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>'[5]Degree Days 2018'!D33</f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>'[5]Degree Days 2018'!H33</f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>'[5]Degree Days 2018'!L33</f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>'[5]Degree Days 2018'!P33</f>
        <v>1.1999999999999993</v>
      </c>
      <c r="Q33" s="553">
        <v>24</v>
      </c>
      <c r="R33" s="279">
        <f>'[2]Degree Days 2018'!R33</f>
        <v>24</v>
      </c>
      <c r="S33" s="279">
        <f>'[2]Degree Days 2018'!S33</f>
        <v>16</v>
      </c>
      <c r="T33" s="279">
        <f>'[5]Degree Days 2018'!T33</f>
        <v>0</v>
      </c>
      <c r="U33" s="553">
        <v>24</v>
      </c>
      <c r="V33" s="279">
        <f>'General information '!B29</f>
        <v>0</v>
      </c>
      <c r="W33" s="279">
        <f>'General information '!C29</f>
        <v>0</v>
      </c>
      <c r="X33" s="279">
        <f>'[5]Degree Days 2018'!X33</f>
        <v>0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>'[5]Degree Days 2018'!D34</f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>'[5]Degree Days 2018'!H34</f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>'[5]Degree Days 2018'!L34</f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>'[5]Degree Days 2018'!P34</f>
        <v>-0.30000000000000071</v>
      </c>
      <c r="Q34" s="553">
        <v>25</v>
      </c>
      <c r="R34" s="279">
        <f>'[2]Degree Days 2018'!R34</f>
        <v>24</v>
      </c>
      <c r="S34" s="279">
        <f>'[2]Degree Days 2018'!S34</f>
        <v>18</v>
      </c>
      <c r="T34" s="279">
        <f>'[5]Degree Days 2018'!T34</f>
        <v>0</v>
      </c>
      <c r="U34" s="553">
        <v>25</v>
      </c>
      <c r="V34" s="279">
        <f>'General information '!B30</f>
        <v>0</v>
      </c>
      <c r="W34" s="279">
        <f>'General information '!C30</f>
        <v>0</v>
      </c>
      <c r="X34" s="279">
        <f>'[5]Degree Days 2018'!X34</f>
        <v>0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>'[5]Degree Days 2018'!D35</f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>'[5]Degree Days 2018'!H35</f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>'[5]Degree Days 2018'!L35</f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>'[5]Degree Days 2018'!P35</f>
        <v>0.69999999999999929</v>
      </c>
      <c r="Q35" s="553">
        <v>26</v>
      </c>
      <c r="R35" s="279">
        <f>'[2]Degree Days 2018'!R35</f>
        <v>25</v>
      </c>
      <c r="S35" s="279">
        <f>'[2]Degree Days 2018'!S35</f>
        <v>20</v>
      </c>
      <c r="T35" s="279">
        <f>'[5]Degree Days 2018'!T35</f>
        <v>0</v>
      </c>
      <c r="U35" s="553">
        <v>26</v>
      </c>
      <c r="V35" s="279">
        <f>'General information '!B31</f>
        <v>0</v>
      </c>
      <c r="W35" s="279">
        <f>'General information '!C31</f>
        <v>0</v>
      </c>
      <c r="X35" s="279">
        <f>'[5]Degree Days 2018'!X35</f>
        <v>0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>'[5]Degree Days 2018'!D36</f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>'[5]Degree Days 2018'!H36</f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>'[5]Degree Days 2018'!L36</f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>'[5]Degree Days 2018'!P36</f>
        <v>-0.30000000000000071</v>
      </c>
      <c r="Q36" s="553">
        <v>27</v>
      </c>
      <c r="R36" s="279">
        <f>'[2]Degree Days 2018'!R36</f>
        <v>27</v>
      </c>
      <c r="S36" s="279">
        <f>'[2]Degree Days 2018'!S36</f>
        <v>19</v>
      </c>
      <c r="T36" s="279">
        <f>'[5]Degree Days 2018'!T36</f>
        <v>0</v>
      </c>
      <c r="U36" s="553">
        <v>27</v>
      </c>
      <c r="V36" s="279">
        <f>'General information '!B32</f>
        <v>0</v>
      </c>
      <c r="W36" s="279">
        <f>'General information '!C32</f>
        <v>0</v>
      </c>
      <c r="X36" s="279">
        <f>'[5]Degree Days 2018'!X36</f>
        <v>0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>'[5]Degree Days 2018'!D37</f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>'[5]Degree Days 2018'!H37</f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>'[5]Degree Days 2018'!L37</f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>'[5]Degree Days 2018'!P37</f>
        <v>0.19999999999999929</v>
      </c>
      <c r="Q37" s="553">
        <v>28</v>
      </c>
      <c r="R37" s="279">
        <f>'[2]Degree Days 2018'!R37</f>
        <v>27</v>
      </c>
      <c r="S37" s="279">
        <f>'[2]Degree Days 2018'!S37</f>
        <v>19</v>
      </c>
      <c r="T37" s="279">
        <f>'[5]Degree Days 2018'!T37</f>
        <v>0</v>
      </c>
      <c r="U37" s="553">
        <v>28</v>
      </c>
      <c r="V37" s="279">
        <f>'General information '!B33</f>
        <v>0</v>
      </c>
      <c r="W37" s="279">
        <f>'General information '!C33</f>
        <v>0</v>
      </c>
      <c r="X37" s="279">
        <f>'[5]Degree Days 2018'!X37</f>
        <v>0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>'[5]Degree Days 2018'!D38</f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>'[5]Degree Days 2018'!H38</f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>'[5]Degree Days 2018'!L38</f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>'[5]Degree Days 2018'!P38</f>
        <v>0.69999999999999929</v>
      </c>
      <c r="Q38" s="553">
        <v>29</v>
      </c>
      <c r="R38" s="279">
        <f>'[2]Degree Days 2018'!R38</f>
        <v>23</v>
      </c>
      <c r="S38" s="279">
        <f>'[2]Degree Days 2018'!S38</f>
        <v>14</v>
      </c>
      <c r="T38" s="279">
        <f>'[5]Degree Days 2018'!T38</f>
        <v>0</v>
      </c>
      <c r="U38" s="553">
        <v>29</v>
      </c>
      <c r="V38" s="279">
        <f>'General information '!B34</f>
        <v>0</v>
      </c>
      <c r="W38" s="279">
        <f>'General information '!C34</f>
        <v>0</v>
      </c>
      <c r="X38" s="279">
        <f>'[5]Degree Days 2018'!X38</f>
        <v>0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>'[5]Degree Days 2018'!D39</f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>'[5]Degree Days 2018'!H39</f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>'[5]Degree Days 2018'!L39</f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>'[5]Degree Days 2018'!P39</f>
        <v>-18.3</v>
      </c>
      <c r="Q39" s="553">
        <v>30</v>
      </c>
      <c r="R39" s="279">
        <f>'[2]Degree Days 2018'!R39</f>
        <v>23</v>
      </c>
      <c r="S39" s="279">
        <f>'[2]Degree Days 2018'!S39</f>
        <v>17</v>
      </c>
      <c r="T39" s="279">
        <f>'[5]Degree Days 2018'!T39</f>
        <v>0</v>
      </c>
      <c r="U39" s="553">
        <v>30</v>
      </c>
      <c r="V39" s="279">
        <f>'General information '!B35</f>
        <v>0</v>
      </c>
      <c r="W39" s="279">
        <f>'General information '!C35</f>
        <v>0</v>
      </c>
      <c r="X39" s="279">
        <f>'[5]Degree Days 2018'!X39</f>
        <v>0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>'[5]Degree Days 2018'!D40</f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>'[5]Degree Days 2018'!H40</f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>'[5]Degree Days 2018'!L40</f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>'[5]Degree Days 2018'!P40</f>
        <v>-18.3</v>
      </c>
      <c r="Q40" s="553">
        <v>31</v>
      </c>
      <c r="R40" s="279">
        <f>'[2]Degree Days 2018'!R40</f>
        <v>24</v>
      </c>
      <c r="S40" s="279">
        <f>'[2]Degree Days 2018'!S40</f>
        <v>19</v>
      </c>
      <c r="T40" s="279">
        <f>'[5]Degree Days 2018'!T40</f>
        <v>0</v>
      </c>
      <c r="U40" s="279"/>
      <c r="V40" s="279" t="e">
        <f>'General information '!#REF!</f>
        <v>#REF!</v>
      </c>
      <c r="W40" s="279" t="e">
        <f>'General information '!#REF!</f>
        <v>#REF!</v>
      </c>
      <c r="X40" s="279">
        <f>'[5]Degree Days 2018'!X40</f>
        <v>0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2">(B48+C48)/2-18.3</f>
        <v>4.1999999999999993</v>
      </c>
      <c r="E48" s="118">
        <v>1</v>
      </c>
      <c r="F48" s="279"/>
      <c r="G48" s="279"/>
      <c r="H48" s="120">
        <f t="shared" ref="H48:H78" si="3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4">(V48+W48)/2-18.3</f>
        <v>-18.3</v>
      </c>
    </row>
    <row r="49" spans="1:24">
      <c r="A49" s="118">
        <v>2</v>
      </c>
      <c r="B49" s="279">
        <f>'General information '!B7</f>
        <v>0</v>
      </c>
      <c r="C49" s="279">
        <f>'General information '!C7</f>
        <v>0</v>
      </c>
      <c r="D49" s="120">
        <f t="shared" si="2"/>
        <v>-18.3</v>
      </c>
      <c r="E49" s="118">
        <v>2</v>
      </c>
      <c r="F49" s="279"/>
      <c r="G49" s="279"/>
      <c r="H49" s="120">
        <f t="shared" si="3"/>
        <v>-18.3</v>
      </c>
      <c r="I49" s="118">
        <v>2</v>
      </c>
      <c r="J49" s="279"/>
      <c r="K49" s="279"/>
      <c r="L49" s="120">
        <f t="shared" ref="L49:L77" si="5">(J49+K49)/2-18.3</f>
        <v>-18.3</v>
      </c>
      <c r="M49" s="118">
        <v>2</v>
      </c>
      <c r="N49" s="279"/>
      <c r="O49" s="279"/>
      <c r="P49" s="120">
        <f t="shared" ref="P49:P78" si="6">(N49+O49)/2-18.3</f>
        <v>-18.3</v>
      </c>
      <c r="Q49" s="118">
        <v>2</v>
      </c>
      <c r="R49" s="279"/>
      <c r="S49" s="279"/>
      <c r="T49" s="120">
        <f t="shared" ref="T49:T77" si="7">(R49+S49)/2-18.3</f>
        <v>-18.3</v>
      </c>
      <c r="U49" s="118">
        <v>2</v>
      </c>
      <c r="V49" s="279"/>
      <c r="W49" s="279"/>
      <c r="X49" s="120">
        <f t="shared" si="4"/>
        <v>-18.3</v>
      </c>
    </row>
    <row r="50" spans="1:24">
      <c r="A50" s="118">
        <v>3</v>
      </c>
      <c r="B50" s="279">
        <f>'General information '!B8</f>
        <v>0</v>
      </c>
      <c r="C50" s="279">
        <f>'General information '!C8</f>
        <v>0</v>
      </c>
      <c r="D50" s="120">
        <f t="shared" si="2"/>
        <v>-18.3</v>
      </c>
      <c r="E50" s="118">
        <v>3</v>
      </c>
      <c r="F50" s="279"/>
      <c r="G50" s="279"/>
      <c r="H50" s="120">
        <f t="shared" si="3"/>
        <v>-18.3</v>
      </c>
      <c r="I50" s="118">
        <v>3</v>
      </c>
      <c r="J50" s="279"/>
      <c r="K50" s="279"/>
      <c r="L50" s="120">
        <f t="shared" si="5"/>
        <v>-18.3</v>
      </c>
      <c r="M50" s="118">
        <v>3</v>
      </c>
      <c r="N50" s="279"/>
      <c r="O50" s="279"/>
      <c r="P50" s="120">
        <f t="shared" si="6"/>
        <v>-18.3</v>
      </c>
      <c r="Q50" s="118">
        <v>3</v>
      </c>
      <c r="R50" s="279"/>
      <c r="S50" s="279"/>
      <c r="T50" s="120">
        <f t="shared" si="7"/>
        <v>-18.3</v>
      </c>
      <c r="U50" s="118">
        <v>3</v>
      </c>
      <c r="V50" s="279"/>
      <c r="W50" s="279"/>
      <c r="X50" s="120">
        <f t="shared" si="4"/>
        <v>-18.3</v>
      </c>
    </row>
    <row r="51" spans="1:24">
      <c r="A51" s="118">
        <v>4</v>
      </c>
      <c r="B51" s="279">
        <f>'General information '!B9</f>
        <v>0</v>
      </c>
      <c r="C51" s="279">
        <f>'General information '!C9</f>
        <v>0</v>
      </c>
      <c r="D51" s="120">
        <f t="shared" si="2"/>
        <v>-18.3</v>
      </c>
      <c r="E51" s="118">
        <v>4</v>
      </c>
      <c r="F51" s="279"/>
      <c r="G51" s="279"/>
      <c r="H51" s="120">
        <f t="shared" si="3"/>
        <v>-18.3</v>
      </c>
      <c r="I51" s="118">
        <v>4</v>
      </c>
      <c r="J51" s="279"/>
      <c r="K51" s="279"/>
      <c r="L51" s="120">
        <f t="shared" si="5"/>
        <v>-18.3</v>
      </c>
      <c r="M51" s="118">
        <v>4</v>
      </c>
      <c r="N51" s="279"/>
      <c r="O51" s="279"/>
      <c r="P51" s="120">
        <f t="shared" si="6"/>
        <v>-18.3</v>
      </c>
      <c r="Q51" s="118">
        <v>4</v>
      </c>
      <c r="R51" s="279"/>
      <c r="S51" s="279"/>
      <c r="T51" s="120">
        <f t="shared" si="7"/>
        <v>-18.3</v>
      </c>
      <c r="U51" s="118">
        <v>4</v>
      </c>
      <c r="V51" s="279"/>
      <c r="W51" s="279"/>
      <c r="X51" s="120">
        <f t="shared" si="4"/>
        <v>-18.3</v>
      </c>
    </row>
    <row r="52" spans="1:24">
      <c r="A52" s="118">
        <v>5</v>
      </c>
      <c r="B52" s="279">
        <f>'General information '!B10</f>
        <v>0</v>
      </c>
      <c r="C52" s="279">
        <f>'General information '!C10</f>
        <v>0</v>
      </c>
      <c r="D52" s="120">
        <f t="shared" si="2"/>
        <v>-18.3</v>
      </c>
      <c r="E52" s="118">
        <v>5</v>
      </c>
      <c r="F52" s="279"/>
      <c r="G52" s="279"/>
      <c r="H52" s="120">
        <f t="shared" si="3"/>
        <v>-18.3</v>
      </c>
      <c r="I52" s="118">
        <v>5</v>
      </c>
      <c r="J52" s="279"/>
      <c r="K52" s="279"/>
      <c r="L52" s="120">
        <f t="shared" si="5"/>
        <v>-18.3</v>
      </c>
      <c r="M52" s="118">
        <v>5</v>
      </c>
      <c r="N52" s="279"/>
      <c r="O52" s="279"/>
      <c r="P52" s="120">
        <f t="shared" si="6"/>
        <v>-18.3</v>
      </c>
      <c r="Q52" s="118">
        <v>5</v>
      </c>
      <c r="R52" s="279"/>
      <c r="S52" s="279"/>
      <c r="T52" s="120">
        <f t="shared" si="7"/>
        <v>-18.3</v>
      </c>
      <c r="U52" s="118">
        <v>5</v>
      </c>
      <c r="V52" s="279"/>
      <c r="W52" s="279"/>
      <c r="X52" s="120">
        <f t="shared" si="4"/>
        <v>-18.3</v>
      </c>
    </row>
    <row r="53" spans="1:24">
      <c r="A53" s="118">
        <v>6</v>
      </c>
      <c r="B53" s="279">
        <f>'General information '!B11</f>
        <v>0</v>
      </c>
      <c r="C53" s="279">
        <f>'General information '!C11</f>
        <v>0</v>
      </c>
      <c r="D53" s="120">
        <f t="shared" si="2"/>
        <v>-18.3</v>
      </c>
      <c r="E53" s="118">
        <v>6</v>
      </c>
      <c r="F53" s="279"/>
      <c r="G53" s="279"/>
      <c r="H53" s="120">
        <f t="shared" si="3"/>
        <v>-18.3</v>
      </c>
      <c r="I53" s="118">
        <v>6</v>
      </c>
      <c r="J53" s="279"/>
      <c r="K53" s="279"/>
      <c r="L53" s="120">
        <f t="shared" si="5"/>
        <v>-18.3</v>
      </c>
      <c r="M53" s="118">
        <v>6</v>
      </c>
      <c r="N53" s="279"/>
      <c r="O53" s="279"/>
      <c r="P53" s="120">
        <f t="shared" si="6"/>
        <v>-18.3</v>
      </c>
      <c r="Q53" s="118">
        <v>6</v>
      </c>
      <c r="R53" s="279"/>
      <c r="S53" s="279"/>
      <c r="T53" s="120">
        <f t="shared" si="7"/>
        <v>-18.3</v>
      </c>
      <c r="U53" s="118">
        <v>6</v>
      </c>
      <c r="V53" s="279"/>
      <c r="W53" s="279"/>
      <c r="X53" s="120">
        <f t="shared" si="4"/>
        <v>-18.3</v>
      </c>
    </row>
    <row r="54" spans="1:24">
      <c r="A54" s="118">
        <v>7</v>
      </c>
      <c r="B54" s="279">
        <f>'General information '!B12</f>
        <v>0</v>
      </c>
      <c r="C54" s="279">
        <f>'General information '!C12</f>
        <v>0</v>
      </c>
      <c r="D54" s="120">
        <f t="shared" si="2"/>
        <v>-18.3</v>
      </c>
      <c r="E54" s="118">
        <v>7</v>
      </c>
      <c r="F54" s="279"/>
      <c r="G54" s="279"/>
      <c r="H54" s="120">
        <f t="shared" si="3"/>
        <v>-18.3</v>
      </c>
      <c r="I54" s="118">
        <v>7</v>
      </c>
      <c r="J54" s="279"/>
      <c r="K54" s="279"/>
      <c r="L54" s="120">
        <f t="shared" si="5"/>
        <v>-18.3</v>
      </c>
      <c r="M54" s="118">
        <v>7</v>
      </c>
      <c r="N54" s="279"/>
      <c r="O54" s="279"/>
      <c r="P54" s="120">
        <f t="shared" si="6"/>
        <v>-18.3</v>
      </c>
      <c r="Q54" s="118">
        <v>7</v>
      </c>
      <c r="R54" s="279"/>
      <c r="S54" s="279"/>
      <c r="T54" s="120">
        <f t="shared" si="7"/>
        <v>-18.3</v>
      </c>
      <c r="U54" s="118">
        <v>7</v>
      </c>
      <c r="V54" s="279"/>
      <c r="W54" s="279"/>
      <c r="X54" s="120">
        <f t="shared" si="4"/>
        <v>-18.3</v>
      </c>
    </row>
    <row r="55" spans="1:24">
      <c r="A55" s="118">
        <v>8</v>
      </c>
      <c r="B55" s="279">
        <f>'General information '!B13</f>
        <v>0</v>
      </c>
      <c r="C55" s="279">
        <f>'General information '!C13</f>
        <v>0</v>
      </c>
      <c r="D55" s="120">
        <f t="shared" si="2"/>
        <v>-18.3</v>
      </c>
      <c r="E55" s="118">
        <v>8</v>
      </c>
      <c r="F55" s="279"/>
      <c r="G55" s="279"/>
      <c r="H55" s="120">
        <f t="shared" si="3"/>
        <v>-18.3</v>
      </c>
      <c r="I55" s="118">
        <v>8</v>
      </c>
      <c r="J55" s="279"/>
      <c r="K55" s="279"/>
      <c r="L55" s="120">
        <f t="shared" si="5"/>
        <v>-18.3</v>
      </c>
      <c r="M55" s="118">
        <v>8</v>
      </c>
      <c r="N55" s="279"/>
      <c r="O55" s="279"/>
      <c r="P55" s="120">
        <f t="shared" si="6"/>
        <v>-18.3</v>
      </c>
      <c r="Q55" s="118">
        <v>8</v>
      </c>
      <c r="R55" s="279"/>
      <c r="S55" s="279"/>
      <c r="T55" s="120">
        <f t="shared" si="7"/>
        <v>-18.3</v>
      </c>
      <c r="U55" s="118">
        <v>8</v>
      </c>
      <c r="V55" s="279"/>
      <c r="W55" s="279"/>
      <c r="X55" s="120">
        <f t="shared" si="4"/>
        <v>-18.3</v>
      </c>
    </row>
    <row r="56" spans="1:24">
      <c r="A56" s="118">
        <v>9</v>
      </c>
      <c r="B56" s="279">
        <f>'General information '!B14</f>
        <v>0</v>
      </c>
      <c r="C56" s="279">
        <f>'General information '!C14</f>
        <v>0</v>
      </c>
      <c r="D56" s="120">
        <f t="shared" si="2"/>
        <v>-18.3</v>
      </c>
      <c r="E56" s="118">
        <v>9</v>
      </c>
      <c r="F56" s="279"/>
      <c r="G56" s="279"/>
      <c r="H56" s="120">
        <f t="shared" si="3"/>
        <v>-18.3</v>
      </c>
      <c r="I56" s="118">
        <v>9</v>
      </c>
      <c r="J56" s="279"/>
      <c r="K56" s="279"/>
      <c r="L56" s="120">
        <f t="shared" si="5"/>
        <v>-18.3</v>
      </c>
      <c r="M56" s="118">
        <v>9</v>
      </c>
      <c r="N56" s="279"/>
      <c r="O56" s="279"/>
      <c r="P56" s="120">
        <f t="shared" si="6"/>
        <v>-18.3</v>
      </c>
      <c r="Q56" s="118">
        <v>9</v>
      </c>
      <c r="R56" s="279"/>
      <c r="S56" s="279"/>
      <c r="T56" s="120">
        <f t="shared" si="7"/>
        <v>-18.3</v>
      </c>
      <c r="U56" s="118">
        <v>9</v>
      </c>
      <c r="V56" s="279"/>
      <c r="W56" s="279"/>
      <c r="X56" s="120">
        <f t="shared" si="4"/>
        <v>-18.3</v>
      </c>
    </row>
    <row r="57" spans="1:24">
      <c r="A57" s="118">
        <v>10</v>
      </c>
      <c r="B57" s="279">
        <f>'General information '!B15</f>
        <v>0</v>
      </c>
      <c r="C57" s="279">
        <f>'General information '!C15</f>
        <v>0</v>
      </c>
      <c r="D57" s="120">
        <f t="shared" ref="D57:D78" si="8">(B57+C57)/2-18.3</f>
        <v>-18.3</v>
      </c>
      <c r="E57" s="118">
        <v>10</v>
      </c>
      <c r="F57" s="279"/>
      <c r="G57" s="279"/>
      <c r="H57" s="120">
        <f t="shared" si="3"/>
        <v>-18.3</v>
      </c>
      <c r="I57" s="118">
        <v>10</v>
      </c>
      <c r="J57" s="279"/>
      <c r="K57" s="279"/>
      <c r="L57" s="120">
        <f t="shared" si="5"/>
        <v>-18.3</v>
      </c>
      <c r="M57" s="118">
        <v>10</v>
      </c>
      <c r="N57" s="279"/>
      <c r="O57" s="279"/>
      <c r="P57" s="120">
        <f t="shared" si="6"/>
        <v>-18.3</v>
      </c>
      <c r="Q57" s="118">
        <v>10</v>
      </c>
      <c r="R57" s="279"/>
      <c r="S57" s="279"/>
      <c r="T57" s="120">
        <f t="shared" si="7"/>
        <v>-18.3</v>
      </c>
      <c r="U57" s="118">
        <v>10</v>
      </c>
      <c r="V57" s="279"/>
      <c r="W57" s="279"/>
      <c r="X57" s="120">
        <f t="shared" si="4"/>
        <v>-18.3</v>
      </c>
    </row>
    <row r="58" spans="1:24">
      <c r="A58" s="118">
        <v>11</v>
      </c>
      <c r="B58" s="279">
        <f>'General information '!B16</f>
        <v>0</v>
      </c>
      <c r="C58" s="279">
        <f>'General information '!C16</f>
        <v>0</v>
      </c>
      <c r="D58" s="120">
        <f t="shared" si="8"/>
        <v>-18.3</v>
      </c>
      <c r="E58" s="118">
        <v>11</v>
      </c>
      <c r="F58" s="279"/>
      <c r="G58" s="279"/>
      <c r="H58" s="120">
        <f t="shared" si="3"/>
        <v>-18.3</v>
      </c>
      <c r="I58" s="118">
        <v>11</v>
      </c>
      <c r="J58" s="279"/>
      <c r="K58" s="279"/>
      <c r="L58" s="120">
        <f t="shared" si="5"/>
        <v>-18.3</v>
      </c>
      <c r="M58" s="118">
        <v>11</v>
      </c>
      <c r="N58" s="279"/>
      <c r="O58" s="279"/>
      <c r="P58" s="120">
        <f t="shared" si="6"/>
        <v>-18.3</v>
      </c>
      <c r="Q58" s="118">
        <v>11</v>
      </c>
      <c r="R58" s="279"/>
      <c r="S58" s="279"/>
      <c r="T58" s="120">
        <f t="shared" si="7"/>
        <v>-18.3</v>
      </c>
      <c r="U58" s="118">
        <v>11</v>
      </c>
      <c r="V58" s="279"/>
      <c r="W58" s="279"/>
      <c r="X58" s="120">
        <f t="shared" si="4"/>
        <v>-18.3</v>
      </c>
    </row>
    <row r="59" spans="1:24">
      <c r="A59" s="118">
        <v>12</v>
      </c>
      <c r="B59" s="279">
        <f>'General information '!B17</f>
        <v>0</v>
      </c>
      <c r="C59" s="279">
        <f>'General information '!C17</f>
        <v>0</v>
      </c>
      <c r="D59" s="120">
        <f t="shared" si="8"/>
        <v>-18.3</v>
      </c>
      <c r="E59" s="118">
        <v>12</v>
      </c>
      <c r="F59" s="279"/>
      <c r="G59" s="279"/>
      <c r="H59" s="120">
        <f t="shared" si="3"/>
        <v>-18.3</v>
      </c>
      <c r="I59" s="118">
        <v>12</v>
      </c>
      <c r="J59" s="279"/>
      <c r="K59" s="279"/>
      <c r="L59" s="120">
        <f t="shared" si="5"/>
        <v>-18.3</v>
      </c>
      <c r="M59" s="118">
        <v>12</v>
      </c>
      <c r="N59" s="279"/>
      <c r="O59" s="279"/>
      <c r="P59" s="120">
        <f t="shared" si="6"/>
        <v>-18.3</v>
      </c>
      <c r="Q59" s="118">
        <v>12</v>
      </c>
      <c r="R59" s="279"/>
      <c r="S59" s="279"/>
      <c r="T59" s="120">
        <f t="shared" si="7"/>
        <v>-18.3</v>
      </c>
      <c r="U59" s="118">
        <v>12</v>
      </c>
      <c r="V59" s="279"/>
      <c r="W59" s="279"/>
      <c r="X59" s="120">
        <f t="shared" si="4"/>
        <v>-18.3</v>
      </c>
    </row>
    <row r="60" spans="1:24">
      <c r="A60" s="118">
        <v>13</v>
      </c>
      <c r="B60" s="279">
        <f>'General information '!B18</f>
        <v>0</v>
      </c>
      <c r="C60" s="279">
        <f>'General information '!C18</f>
        <v>0</v>
      </c>
      <c r="D60" s="120">
        <f t="shared" si="8"/>
        <v>-18.3</v>
      </c>
      <c r="E60" s="118">
        <v>13</v>
      </c>
      <c r="F60" s="279"/>
      <c r="G60" s="279"/>
      <c r="H60" s="120">
        <f t="shared" si="3"/>
        <v>-18.3</v>
      </c>
      <c r="I60" s="118">
        <v>13</v>
      </c>
      <c r="J60" s="279"/>
      <c r="K60" s="279"/>
      <c r="L60" s="120">
        <f t="shared" si="5"/>
        <v>-18.3</v>
      </c>
      <c r="M60" s="118">
        <v>13</v>
      </c>
      <c r="N60" s="279"/>
      <c r="O60" s="279"/>
      <c r="P60" s="120">
        <f t="shared" si="6"/>
        <v>-18.3</v>
      </c>
      <c r="Q60" s="118">
        <v>13</v>
      </c>
      <c r="R60" s="279"/>
      <c r="S60" s="279"/>
      <c r="T60" s="120">
        <f t="shared" si="7"/>
        <v>-18.3</v>
      </c>
      <c r="U60" s="118">
        <v>13</v>
      </c>
      <c r="V60" s="279"/>
      <c r="W60" s="279"/>
      <c r="X60" s="120">
        <f t="shared" si="4"/>
        <v>-18.3</v>
      </c>
    </row>
    <row r="61" spans="1:24">
      <c r="A61" s="118">
        <v>14</v>
      </c>
      <c r="B61" s="279">
        <f>'General information '!B19</f>
        <v>0</v>
      </c>
      <c r="C61" s="279">
        <f>'General information '!C19</f>
        <v>0</v>
      </c>
      <c r="D61" s="120">
        <f t="shared" si="8"/>
        <v>-18.3</v>
      </c>
      <c r="E61" s="118">
        <v>14</v>
      </c>
      <c r="F61" s="279"/>
      <c r="G61" s="279"/>
      <c r="H61" s="120">
        <f t="shared" si="3"/>
        <v>-18.3</v>
      </c>
      <c r="I61" s="118">
        <v>14</v>
      </c>
      <c r="J61" s="279"/>
      <c r="K61" s="279"/>
      <c r="L61" s="120">
        <f t="shared" si="5"/>
        <v>-18.3</v>
      </c>
      <c r="M61" s="118">
        <v>14</v>
      </c>
      <c r="N61" s="279"/>
      <c r="O61" s="279"/>
      <c r="P61" s="120">
        <f t="shared" si="6"/>
        <v>-18.3</v>
      </c>
      <c r="Q61" s="118">
        <v>14</v>
      </c>
      <c r="R61" s="279"/>
      <c r="S61" s="279"/>
      <c r="T61" s="120">
        <f t="shared" si="7"/>
        <v>-18.3</v>
      </c>
      <c r="U61" s="118">
        <v>14</v>
      </c>
      <c r="V61" s="279"/>
      <c r="W61" s="279"/>
      <c r="X61" s="120">
        <f t="shared" si="4"/>
        <v>-18.3</v>
      </c>
    </row>
    <row r="62" spans="1:24">
      <c r="A62" s="118">
        <v>15</v>
      </c>
      <c r="B62" s="279">
        <f>'General information '!B20</f>
        <v>0</v>
      </c>
      <c r="C62" s="279">
        <f>'General information '!C20</f>
        <v>0</v>
      </c>
      <c r="D62" s="120">
        <f t="shared" si="8"/>
        <v>-18.3</v>
      </c>
      <c r="E62" s="118">
        <v>15</v>
      </c>
      <c r="F62" s="279"/>
      <c r="G62" s="279"/>
      <c r="H62" s="120">
        <f t="shared" si="3"/>
        <v>-18.3</v>
      </c>
      <c r="I62" s="118">
        <v>15</v>
      </c>
      <c r="J62" s="279"/>
      <c r="K62" s="279"/>
      <c r="L62" s="120">
        <f t="shared" si="5"/>
        <v>-18.3</v>
      </c>
      <c r="M62" s="118">
        <v>15</v>
      </c>
      <c r="N62" s="279"/>
      <c r="O62" s="279"/>
      <c r="P62" s="120">
        <f t="shared" si="6"/>
        <v>-18.3</v>
      </c>
      <c r="Q62" s="118">
        <v>15</v>
      </c>
      <c r="R62" s="279"/>
      <c r="S62" s="279"/>
      <c r="T62" s="120">
        <f t="shared" si="7"/>
        <v>-18.3</v>
      </c>
      <c r="U62" s="118">
        <v>15</v>
      </c>
      <c r="V62" s="279"/>
      <c r="W62" s="279"/>
      <c r="X62" s="120">
        <f t="shared" si="4"/>
        <v>-18.3</v>
      </c>
    </row>
    <row r="63" spans="1:24">
      <c r="A63" s="118">
        <v>16</v>
      </c>
      <c r="B63" s="279">
        <f>'General information '!B21</f>
        <v>0</v>
      </c>
      <c r="C63" s="279">
        <f>'General information '!C21</f>
        <v>0</v>
      </c>
      <c r="D63" s="120">
        <f t="shared" si="8"/>
        <v>-18.3</v>
      </c>
      <c r="E63" s="118">
        <v>16</v>
      </c>
      <c r="F63" s="279"/>
      <c r="G63" s="279"/>
      <c r="H63" s="120">
        <f t="shared" si="3"/>
        <v>-18.3</v>
      </c>
      <c r="I63" s="118">
        <v>16</v>
      </c>
      <c r="J63" s="279"/>
      <c r="K63" s="279"/>
      <c r="L63" s="120">
        <f t="shared" si="5"/>
        <v>-18.3</v>
      </c>
      <c r="M63" s="118">
        <v>16</v>
      </c>
      <c r="N63" s="279"/>
      <c r="O63" s="279"/>
      <c r="P63" s="120">
        <f t="shared" si="6"/>
        <v>-18.3</v>
      </c>
      <c r="Q63" s="118">
        <v>16</v>
      </c>
      <c r="R63" s="279"/>
      <c r="S63" s="279"/>
      <c r="T63" s="120">
        <f t="shared" si="7"/>
        <v>-18.3</v>
      </c>
      <c r="U63" s="118">
        <v>16</v>
      </c>
      <c r="V63" s="279"/>
      <c r="W63" s="279"/>
      <c r="X63" s="120">
        <f t="shared" si="4"/>
        <v>-18.3</v>
      </c>
    </row>
    <row r="64" spans="1:24">
      <c r="A64" s="118">
        <v>17</v>
      </c>
      <c r="B64" s="279">
        <f>'General information '!B22</f>
        <v>0</v>
      </c>
      <c r="C64" s="279">
        <f>'General information '!C22</f>
        <v>0</v>
      </c>
      <c r="D64" s="120">
        <f t="shared" si="8"/>
        <v>-18.3</v>
      </c>
      <c r="E64" s="118">
        <v>17</v>
      </c>
      <c r="F64" s="279"/>
      <c r="G64" s="279"/>
      <c r="H64" s="120">
        <f t="shared" si="3"/>
        <v>-18.3</v>
      </c>
      <c r="I64" s="118">
        <v>17</v>
      </c>
      <c r="J64" s="279"/>
      <c r="K64" s="279"/>
      <c r="L64" s="120">
        <f t="shared" si="5"/>
        <v>-18.3</v>
      </c>
      <c r="M64" s="118">
        <v>17</v>
      </c>
      <c r="N64" s="279"/>
      <c r="O64" s="279"/>
      <c r="P64" s="120">
        <f t="shared" si="6"/>
        <v>-18.3</v>
      </c>
      <c r="Q64" s="118">
        <v>17</v>
      </c>
      <c r="R64" s="279"/>
      <c r="S64" s="279"/>
      <c r="T64" s="120">
        <f t="shared" si="7"/>
        <v>-18.3</v>
      </c>
      <c r="U64" s="118">
        <v>17</v>
      </c>
      <c r="V64" s="279"/>
      <c r="W64" s="279"/>
      <c r="X64" s="120">
        <f t="shared" si="4"/>
        <v>-18.3</v>
      </c>
    </row>
    <row r="65" spans="1:24">
      <c r="A65" s="118">
        <v>18</v>
      </c>
      <c r="B65" s="279">
        <f>'General information '!B23</f>
        <v>0</v>
      </c>
      <c r="C65" s="279">
        <f>'General information '!C23</f>
        <v>0</v>
      </c>
      <c r="D65" s="120">
        <f t="shared" si="8"/>
        <v>-18.3</v>
      </c>
      <c r="E65" s="118">
        <v>18</v>
      </c>
      <c r="F65" s="279"/>
      <c r="G65" s="279"/>
      <c r="H65" s="120">
        <f t="shared" si="3"/>
        <v>-18.3</v>
      </c>
      <c r="I65" s="118">
        <v>18</v>
      </c>
      <c r="J65" s="279"/>
      <c r="K65" s="279"/>
      <c r="L65" s="120">
        <f t="shared" si="5"/>
        <v>-18.3</v>
      </c>
      <c r="M65" s="118">
        <v>18</v>
      </c>
      <c r="N65" s="279"/>
      <c r="O65" s="279"/>
      <c r="P65" s="120">
        <f t="shared" si="6"/>
        <v>-18.3</v>
      </c>
      <c r="Q65" s="118">
        <v>18</v>
      </c>
      <c r="R65" s="279"/>
      <c r="S65" s="279"/>
      <c r="T65" s="120">
        <f t="shared" si="7"/>
        <v>-18.3</v>
      </c>
      <c r="U65" s="118">
        <v>18</v>
      </c>
      <c r="V65" s="279"/>
      <c r="W65" s="279"/>
      <c r="X65" s="120">
        <f t="shared" si="4"/>
        <v>-18.3</v>
      </c>
    </row>
    <row r="66" spans="1:24">
      <c r="A66" s="118">
        <v>19</v>
      </c>
      <c r="B66" s="279">
        <f>'General information '!B24</f>
        <v>0</v>
      </c>
      <c r="C66" s="279">
        <f>'General information '!C24</f>
        <v>0</v>
      </c>
      <c r="D66" s="120">
        <f t="shared" si="8"/>
        <v>-18.3</v>
      </c>
      <c r="E66" s="118">
        <v>19</v>
      </c>
      <c r="F66" s="279"/>
      <c r="G66" s="279"/>
      <c r="H66" s="120">
        <f t="shared" si="3"/>
        <v>-18.3</v>
      </c>
      <c r="I66" s="118">
        <v>19</v>
      </c>
      <c r="J66" s="279"/>
      <c r="K66" s="279"/>
      <c r="L66" s="120">
        <f t="shared" si="5"/>
        <v>-18.3</v>
      </c>
      <c r="M66" s="118">
        <v>19</v>
      </c>
      <c r="N66" s="279"/>
      <c r="O66" s="279"/>
      <c r="P66" s="120">
        <f t="shared" si="6"/>
        <v>-18.3</v>
      </c>
      <c r="Q66" s="118">
        <v>19</v>
      </c>
      <c r="R66" s="279"/>
      <c r="S66" s="279"/>
      <c r="T66" s="120">
        <f t="shared" si="7"/>
        <v>-18.3</v>
      </c>
      <c r="U66" s="118">
        <v>19</v>
      </c>
      <c r="V66" s="279"/>
      <c r="W66" s="279"/>
      <c r="X66" s="120">
        <f t="shared" si="4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8"/>
        <v>-18.3</v>
      </c>
      <c r="E67" s="118">
        <v>20</v>
      </c>
      <c r="F67" s="279"/>
      <c r="G67" s="279"/>
      <c r="H67" s="120">
        <f t="shared" si="3"/>
        <v>-18.3</v>
      </c>
      <c r="I67" s="118">
        <v>20</v>
      </c>
      <c r="J67" s="279"/>
      <c r="K67" s="279"/>
      <c r="L67" s="120">
        <f t="shared" si="5"/>
        <v>-18.3</v>
      </c>
      <c r="M67" s="118">
        <v>20</v>
      </c>
      <c r="N67" s="279"/>
      <c r="O67" s="279"/>
      <c r="P67" s="120">
        <f t="shared" si="6"/>
        <v>-18.3</v>
      </c>
      <c r="Q67" s="118">
        <v>20</v>
      </c>
      <c r="R67" s="279"/>
      <c r="S67" s="279"/>
      <c r="T67" s="120">
        <f t="shared" si="7"/>
        <v>-18.3</v>
      </c>
      <c r="U67" s="118">
        <v>20</v>
      </c>
      <c r="V67" s="279"/>
      <c r="W67" s="279"/>
      <c r="X67" s="120">
        <f t="shared" si="4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8"/>
        <v>-18.3</v>
      </c>
      <c r="E68" s="118">
        <v>21</v>
      </c>
      <c r="F68" s="279"/>
      <c r="G68" s="279"/>
      <c r="H68" s="120">
        <f t="shared" si="3"/>
        <v>-18.3</v>
      </c>
      <c r="I68" s="118">
        <v>21</v>
      </c>
      <c r="J68" s="279"/>
      <c r="K68" s="279"/>
      <c r="L68" s="120">
        <f t="shared" si="5"/>
        <v>-18.3</v>
      </c>
      <c r="M68" s="118">
        <v>21</v>
      </c>
      <c r="N68" s="279"/>
      <c r="O68" s="279"/>
      <c r="P68" s="120">
        <f t="shared" si="6"/>
        <v>-18.3</v>
      </c>
      <c r="Q68" s="118">
        <v>21</v>
      </c>
      <c r="R68" s="279"/>
      <c r="S68" s="279"/>
      <c r="T68" s="120">
        <f t="shared" si="7"/>
        <v>-18.3</v>
      </c>
      <c r="U68" s="118">
        <v>21</v>
      </c>
      <c r="V68" s="279"/>
      <c r="W68" s="279"/>
      <c r="X68" s="120">
        <f t="shared" si="4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8"/>
        <v>-18.3</v>
      </c>
      <c r="E69" s="118">
        <v>22</v>
      </c>
      <c r="F69" s="279"/>
      <c r="G69" s="279"/>
      <c r="H69" s="120">
        <f t="shared" si="3"/>
        <v>-18.3</v>
      </c>
      <c r="I69" s="118">
        <v>22</v>
      </c>
      <c r="J69" s="279"/>
      <c r="K69" s="279"/>
      <c r="L69" s="120">
        <f t="shared" si="5"/>
        <v>-18.3</v>
      </c>
      <c r="M69" s="118">
        <v>22</v>
      </c>
      <c r="N69" s="279"/>
      <c r="O69" s="279"/>
      <c r="P69" s="120">
        <f t="shared" si="6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4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8"/>
        <v>-18.3</v>
      </c>
      <c r="E70" s="118">
        <v>23</v>
      </c>
      <c r="F70" s="279"/>
      <c r="G70" s="279"/>
      <c r="H70" s="120">
        <f t="shared" si="3"/>
        <v>-18.3</v>
      </c>
      <c r="I70" s="118">
        <v>23</v>
      </c>
      <c r="J70" s="279"/>
      <c r="K70" s="279"/>
      <c r="L70" s="120">
        <f t="shared" si="5"/>
        <v>-18.3</v>
      </c>
      <c r="M70" s="118">
        <v>23</v>
      </c>
      <c r="N70" s="279"/>
      <c r="O70" s="279"/>
      <c r="P70" s="120">
        <f t="shared" si="6"/>
        <v>-18.3</v>
      </c>
      <c r="Q70" s="118">
        <v>23</v>
      </c>
      <c r="R70" s="279"/>
      <c r="S70" s="279"/>
      <c r="T70" s="120">
        <f t="shared" si="7"/>
        <v>-18.3</v>
      </c>
      <c r="U70" s="118">
        <v>23</v>
      </c>
      <c r="V70" s="279"/>
      <c r="W70" s="279"/>
      <c r="X70" s="120">
        <f t="shared" si="4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8"/>
        <v>-18.3</v>
      </c>
      <c r="E71" s="118">
        <v>24</v>
      </c>
      <c r="F71" s="279"/>
      <c r="G71" s="279"/>
      <c r="H71" s="120">
        <f t="shared" si="3"/>
        <v>-18.3</v>
      </c>
      <c r="I71" s="118">
        <v>24</v>
      </c>
      <c r="J71" s="279"/>
      <c r="K71" s="279"/>
      <c r="L71" s="120">
        <f t="shared" si="5"/>
        <v>-18.3</v>
      </c>
      <c r="M71" s="118">
        <v>24</v>
      </c>
      <c r="N71" s="279"/>
      <c r="O71" s="279"/>
      <c r="P71" s="120">
        <f t="shared" si="6"/>
        <v>-18.3</v>
      </c>
      <c r="Q71" s="118">
        <v>24</v>
      </c>
      <c r="R71" s="279"/>
      <c r="S71" s="279"/>
      <c r="T71" s="120">
        <f t="shared" si="7"/>
        <v>-18.3</v>
      </c>
      <c r="U71" s="118">
        <v>24</v>
      </c>
      <c r="V71" s="279"/>
      <c r="W71" s="279"/>
      <c r="X71" s="120">
        <f t="shared" si="4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8"/>
        <v>-18.3</v>
      </c>
      <c r="E72" s="118">
        <v>25</v>
      </c>
      <c r="F72" s="279"/>
      <c r="G72" s="279"/>
      <c r="H72" s="120">
        <f t="shared" si="3"/>
        <v>-18.3</v>
      </c>
      <c r="I72" s="118">
        <v>25</v>
      </c>
      <c r="J72" s="279"/>
      <c r="K72" s="279"/>
      <c r="L72" s="120">
        <f t="shared" si="5"/>
        <v>-18.3</v>
      </c>
      <c r="M72" s="118">
        <v>25</v>
      </c>
      <c r="N72" s="279"/>
      <c r="O72" s="279"/>
      <c r="P72" s="120">
        <f t="shared" si="6"/>
        <v>-18.3</v>
      </c>
      <c r="Q72" s="118">
        <v>25</v>
      </c>
      <c r="R72" s="279"/>
      <c r="S72" s="279"/>
      <c r="T72" s="120">
        <f t="shared" si="7"/>
        <v>-18.3</v>
      </c>
      <c r="U72" s="118">
        <v>25</v>
      </c>
      <c r="V72" s="279"/>
      <c r="W72" s="279"/>
      <c r="X72" s="120">
        <f t="shared" si="4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8"/>
        <v>-18.3</v>
      </c>
      <c r="E73" s="118">
        <v>26</v>
      </c>
      <c r="F73" s="279"/>
      <c r="G73" s="279"/>
      <c r="H73" s="120">
        <f t="shared" si="3"/>
        <v>-18.3</v>
      </c>
      <c r="I73" s="118">
        <v>26</v>
      </c>
      <c r="J73" s="279"/>
      <c r="K73" s="279"/>
      <c r="L73" s="120">
        <f t="shared" si="5"/>
        <v>-18.3</v>
      </c>
      <c r="M73" s="118">
        <v>26</v>
      </c>
      <c r="N73" s="279"/>
      <c r="O73" s="279"/>
      <c r="P73" s="120">
        <f t="shared" si="6"/>
        <v>-18.3</v>
      </c>
      <c r="Q73" s="118">
        <v>26</v>
      </c>
      <c r="R73" s="279"/>
      <c r="S73" s="279"/>
      <c r="T73" s="120">
        <f t="shared" si="7"/>
        <v>-18.3</v>
      </c>
      <c r="U73" s="118">
        <v>26</v>
      </c>
      <c r="V73" s="279"/>
      <c r="W73" s="279"/>
      <c r="X73" s="120">
        <f t="shared" si="4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8"/>
        <v>-18.3</v>
      </c>
      <c r="E74" s="118">
        <v>27</v>
      </c>
      <c r="F74" s="279"/>
      <c r="G74" s="279"/>
      <c r="H74" s="120">
        <f t="shared" si="3"/>
        <v>-18.3</v>
      </c>
      <c r="I74" s="118">
        <v>27</v>
      </c>
      <c r="J74" s="279"/>
      <c r="K74" s="279"/>
      <c r="L74" s="120">
        <f t="shared" si="5"/>
        <v>-18.3</v>
      </c>
      <c r="M74" s="118">
        <v>27</v>
      </c>
      <c r="N74" s="279"/>
      <c r="O74" s="279"/>
      <c r="P74" s="120">
        <f t="shared" si="6"/>
        <v>-18.3</v>
      </c>
      <c r="Q74" s="118">
        <v>27</v>
      </c>
      <c r="R74" s="279"/>
      <c r="S74" s="279"/>
      <c r="T74" s="120">
        <f t="shared" si="7"/>
        <v>-18.3</v>
      </c>
      <c r="U74" s="118">
        <v>27</v>
      </c>
      <c r="V74" s="279"/>
      <c r="W74" s="279"/>
      <c r="X74" s="120">
        <f t="shared" si="4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8"/>
        <v>-18.3</v>
      </c>
      <c r="E75" s="118">
        <v>28</v>
      </c>
      <c r="F75" s="279"/>
      <c r="G75" s="279"/>
      <c r="H75" s="120">
        <f t="shared" si="3"/>
        <v>-18.3</v>
      </c>
      <c r="I75" s="118">
        <v>28</v>
      </c>
      <c r="J75" s="279"/>
      <c r="K75" s="279"/>
      <c r="L75" s="120">
        <f t="shared" si="5"/>
        <v>-18.3</v>
      </c>
      <c r="M75" s="118">
        <v>28</v>
      </c>
      <c r="N75" s="279"/>
      <c r="O75" s="279"/>
      <c r="P75" s="120">
        <f t="shared" si="6"/>
        <v>-18.3</v>
      </c>
      <c r="Q75" s="118">
        <v>28</v>
      </c>
      <c r="R75" s="279"/>
      <c r="S75" s="279"/>
      <c r="T75" s="120">
        <f t="shared" si="7"/>
        <v>-18.3</v>
      </c>
      <c r="U75" s="118">
        <v>28</v>
      </c>
      <c r="V75" s="279"/>
      <c r="W75" s="279"/>
      <c r="X75" s="120">
        <f t="shared" si="4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8"/>
        <v>-18.3</v>
      </c>
      <c r="E76" s="118">
        <v>29</v>
      </c>
      <c r="F76" s="279"/>
      <c r="G76" s="279"/>
      <c r="H76" s="120">
        <f t="shared" si="3"/>
        <v>-18.3</v>
      </c>
      <c r="I76" s="118">
        <v>29</v>
      </c>
      <c r="J76" s="279"/>
      <c r="K76" s="279"/>
      <c r="L76" s="120">
        <f t="shared" si="5"/>
        <v>-18.3</v>
      </c>
      <c r="M76" s="118">
        <v>29</v>
      </c>
      <c r="N76" s="279"/>
      <c r="O76" s="279"/>
      <c r="P76" s="120">
        <f t="shared" si="6"/>
        <v>-18.3</v>
      </c>
      <c r="Q76" s="118">
        <v>29</v>
      </c>
      <c r="R76" s="279"/>
      <c r="S76" s="279"/>
      <c r="T76" s="120">
        <f t="shared" si="7"/>
        <v>-18.3</v>
      </c>
      <c r="U76" s="118">
        <v>29</v>
      </c>
      <c r="V76" s="279"/>
      <c r="W76" s="279"/>
      <c r="X76" s="120">
        <f t="shared" si="4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8"/>
        <v>-18.3</v>
      </c>
      <c r="E77" s="118">
        <v>30</v>
      </c>
      <c r="F77" s="279"/>
      <c r="G77" s="279"/>
      <c r="H77" s="120">
        <f t="shared" si="3"/>
        <v>-18.3</v>
      </c>
      <c r="I77" s="118">
        <v>30</v>
      </c>
      <c r="J77" s="279"/>
      <c r="K77" s="279"/>
      <c r="L77" s="120">
        <f t="shared" si="5"/>
        <v>-18.3</v>
      </c>
      <c r="M77" s="118">
        <v>30</v>
      </c>
      <c r="N77" s="279"/>
      <c r="O77" s="279"/>
      <c r="P77" s="120">
        <f t="shared" si="6"/>
        <v>-18.3</v>
      </c>
      <c r="Q77" s="118">
        <v>30</v>
      </c>
      <c r="R77" s="279"/>
      <c r="S77" s="279"/>
      <c r="T77" s="120">
        <f t="shared" si="7"/>
        <v>-18.3</v>
      </c>
      <c r="U77" s="118">
        <v>30</v>
      </c>
      <c r="V77" s="279"/>
      <c r="W77" s="279"/>
      <c r="X77" s="120">
        <f t="shared" si="4"/>
        <v>-18.3</v>
      </c>
    </row>
    <row r="78" spans="1:24">
      <c r="A78" s="121">
        <v>31</v>
      </c>
      <c r="B78" s="279"/>
      <c r="C78" s="279"/>
      <c r="D78" s="120">
        <f t="shared" si="8"/>
        <v>-18.3</v>
      </c>
      <c r="E78" s="121">
        <v>31</v>
      </c>
      <c r="F78" s="279"/>
      <c r="G78" s="279"/>
      <c r="H78" s="120">
        <f t="shared" si="3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6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-549.00000000000011</v>
      </c>
      <c r="C81" s="120">
        <f>SUMIF(D48:D78,"&gt;0")</f>
        <v>4.1999999999999993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83" t="s">
        <v>174</v>
      </c>
      <c r="O84" s="683" t="s">
        <v>175</v>
      </c>
      <c r="P84" s="135"/>
      <c r="T84" s="135"/>
      <c r="X84" s="135"/>
    </row>
    <row r="85" spans="1:24" ht="20.25" thickBot="1">
      <c r="D85" s="135"/>
      <c r="I85" s="685" t="s">
        <v>182</v>
      </c>
      <c r="J85" s="686"/>
      <c r="K85" s="686"/>
      <c r="L85" s="686"/>
      <c r="N85" s="684"/>
      <c r="O85" s="684"/>
      <c r="P85" s="135"/>
      <c r="R85" s="17"/>
      <c r="S85" s="17"/>
      <c r="T85" s="141"/>
      <c r="U85" s="142"/>
      <c r="X85" s="135"/>
    </row>
    <row r="86" spans="1:24" ht="18.75" thickBot="1">
      <c r="D86" s="135"/>
      <c r="I86" s="687" t="s">
        <v>183</v>
      </c>
      <c r="J86" s="687"/>
      <c r="K86" s="687"/>
      <c r="L86" s="687"/>
      <c r="N86" s="143">
        <f>B43+F43+J43+N43+R43+V43+B81+F81+J81+N81+R81+V81</f>
        <v>-3749.3</v>
      </c>
      <c r="O86" s="143">
        <f>C43+G43+K43+O43+S43+W43+C81+G81+K81+O81+S81+W81</f>
        <v>41.699999999999989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77"/>
      <c r="C88" s="677"/>
      <c r="D88" s="677"/>
      <c r="E88" s="677"/>
      <c r="F88" s="677"/>
      <c r="G88" s="677"/>
      <c r="H88" s="677"/>
      <c r="I88" s="677"/>
      <c r="J88" s="677"/>
      <c r="K88" s="677"/>
      <c r="L88" s="677"/>
      <c r="M88" s="677"/>
      <c r="N88" s="677"/>
      <c r="O88" s="677"/>
      <c r="P88" s="677"/>
      <c r="Q88" s="677"/>
      <c r="R88" s="677"/>
      <c r="S88" s="677"/>
      <c r="T88" s="677"/>
      <c r="U88" s="677"/>
      <c r="V88" s="677"/>
      <c r="W88" s="677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88" t="s">
        <v>216</v>
      </c>
      <c r="B2" s="688"/>
      <c r="C2" s="688"/>
      <c r="D2" s="688"/>
      <c r="E2" s="688"/>
      <c r="F2" s="688"/>
      <c r="G2" s="688"/>
      <c r="H2" s="688"/>
      <c r="I2" s="688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1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11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250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0.1</v>
      </c>
      <c r="C8" s="512">
        <f>SUM(tanks!AU36)</f>
        <v>0.1</v>
      </c>
      <c r="D8" s="195">
        <f>SUM(B8*C8)*D4</f>
        <v>15.075000000000003</v>
      </c>
      <c r="E8" s="196">
        <f>SUM(D8/D4/F4)</f>
        <v>1.0000000000000002E-2</v>
      </c>
      <c r="F8" s="196">
        <f>SUM(E8*F4)</f>
        <v>1.0000000000000002E-2</v>
      </c>
      <c r="G8" s="529">
        <f>E8*$G$4</f>
        <v>0.30000000000000004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0</v>
      </c>
      <c r="C9" s="362">
        <v>0.7</v>
      </c>
      <c r="D9" s="192">
        <f>SUM(B9*C9)*D4</f>
        <v>0</v>
      </c>
      <c r="E9" s="193">
        <f>SUM(C9*B9)/F4</f>
        <v>0</v>
      </c>
      <c r="F9" s="193">
        <f>SUM(E9*F4)</f>
        <v>0</v>
      </c>
      <c r="G9" s="529">
        <f>E9*$G$4</f>
        <v>0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log'!AB31)</f>
        <v>1064904.4333333333</v>
      </c>
      <c r="E10" s="186">
        <f>SUM(D10/D4/F4)</f>
        <v>706.40426755113322</v>
      </c>
      <c r="F10" s="186">
        <f>SUM(E10*F4)</f>
        <v>706.40426755113322</v>
      </c>
      <c r="G10" s="529">
        <f>E10*$G$4</f>
        <v>21192.128026533996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956.41426755113321</v>
      </c>
      <c r="F12" s="184">
        <f>SUM(F6:F10)</f>
        <v>956.41426755113321</v>
      </c>
      <c r="G12" s="183">
        <f>SUM(G6:G10)</f>
        <v>28692.428026533995</v>
      </c>
      <c r="H12" s="183">
        <f>SUM(H6:H11)</f>
        <v>59307.507849999995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2020'!AB12</f>
        <v>0</v>
      </c>
      <c r="C14" s="448">
        <f>'[8]Utility Cost '!C14</f>
        <v>151</v>
      </c>
      <c r="D14" s="171"/>
      <c r="E14" s="171">
        <f t="shared" ref="E14:E18" si="0">B14-C14</f>
        <v>-151</v>
      </c>
      <c r="F14" s="528">
        <v>0</v>
      </c>
      <c r="G14" s="436"/>
      <c r="H14" s="437">
        <f>SUM(G12-H12)</f>
        <v>-30615.079823466</v>
      </c>
      <c r="I14" s="437">
        <f>SUM(G12-I12)</f>
        <v>-51807.571973466009</v>
      </c>
    </row>
    <row r="15" spans="1:11">
      <c r="A15" s="465" t="s">
        <v>304</v>
      </c>
      <c r="B15" s="98">
        <f>'Degree Days 2020'!AA12</f>
        <v>-87.799999999999955</v>
      </c>
      <c r="C15" s="448">
        <f>'[8]Utility Cost '!C15</f>
        <v>-18.3</v>
      </c>
      <c r="D15" s="171"/>
      <c r="E15" s="171">
        <f t="shared" si="0"/>
        <v>-69.499999999999957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22.5</v>
      </c>
      <c r="C16" s="448">
        <f>'[8]Utility Cost '!C16</f>
        <v>26.483333333333334</v>
      </c>
      <c r="D16" s="448"/>
      <c r="E16" s="449">
        <f t="shared" si="0"/>
        <v>-3.9833333333333343</v>
      </c>
      <c r="F16" s="551">
        <v>0</v>
      </c>
      <c r="G16" s="436"/>
      <c r="H16" s="17"/>
      <c r="I16" s="17"/>
      <c r="J16" s="17"/>
    </row>
    <row r="17" spans="1:10">
      <c r="A17" s="543" t="s">
        <v>317</v>
      </c>
      <c r="B17" s="546">
        <f>'General information '!F36</f>
        <v>2.1700000000000001E-2</v>
      </c>
      <c r="C17" s="448">
        <f>'[8]Utility Cost '!C17</f>
        <v>0.78620999999999996</v>
      </c>
      <c r="D17" s="495">
        <f>'[9]Other Fuel Calculation 2020'!$G$62</f>
        <v>0.59360000000000002</v>
      </c>
      <c r="E17" s="545">
        <f t="shared" si="0"/>
        <v>-0.76450999999999991</v>
      </c>
      <c r="F17" s="549">
        <f>B17-D17</f>
        <v>-0.57189999999999996</v>
      </c>
      <c r="G17" s="17"/>
      <c r="H17" s="17"/>
      <c r="I17" s="17"/>
      <c r="J17" s="17"/>
    </row>
    <row r="18" spans="1:10">
      <c r="A18" s="544" t="s">
        <v>389</v>
      </c>
      <c r="B18" s="548">
        <f>GEN!Z33</f>
        <v>4</v>
      </c>
      <c r="C18" s="448">
        <f>'[8]Utility Cost '!C18</f>
        <v>225</v>
      </c>
      <c r="D18" s="446">
        <f>'[9]Other Fuel Calculation 2020'!$G$60</f>
        <v>217</v>
      </c>
      <c r="E18" s="547">
        <f t="shared" si="0"/>
        <v>-221</v>
      </c>
      <c r="F18" s="550">
        <f>B18-D18</f>
        <v>-213</v>
      </c>
    </row>
    <row r="19" spans="1:10">
      <c r="A19" s="544" t="s">
        <v>414</v>
      </c>
      <c r="B19" s="542">
        <f>SUM(B18/$F$4)</f>
        <v>4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2020-06-02T04:28:38Z</dcterms:modified>
</cp:coreProperties>
</file>