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05" yWindow="105" windowWidth="15840" windowHeight="11265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F35" i="1"/>
  <c r="R32" i="2"/>
  <c r="F28" i="1"/>
  <c r="AG25" i="5"/>
  <c r="AG26" s="1"/>
  <c r="L24" i="1" l="1"/>
  <c r="H36" i="79" l="1"/>
  <c r="AL19" i="1"/>
  <c r="AL18"/>
  <c r="J16" i="3"/>
  <c r="F13" i="1"/>
  <c r="D17" i="77"/>
  <c r="D18"/>
  <c r="C19" l="1"/>
  <c r="C18"/>
  <c r="C17"/>
  <c r="C16"/>
  <c r="C15"/>
  <c r="C14"/>
  <c r="H9" l="1"/>
  <c r="H10"/>
  <c r="H8"/>
  <c r="I6"/>
  <c r="B2" i="2"/>
  <c r="N49" i="74" l="1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6" i="76"/>
  <c r="W14"/>
  <c r="Y14"/>
  <c r="X14"/>
  <c r="W15"/>
  <c r="W13"/>
  <c r="AB12"/>
  <c r="AC12"/>
  <c r="AB13"/>
  <c r="AC13"/>
  <c r="AB14"/>
  <c r="AC14"/>
  <c r="AB15"/>
  <c r="AC15"/>
  <c r="AB16"/>
  <c r="AC16"/>
  <c r="AB17"/>
  <c r="AC17"/>
  <c r="AB18"/>
  <c r="AC18"/>
  <c r="AB19"/>
  <c r="AC19"/>
  <c r="AB10"/>
  <c r="AC10"/>
  <c r="AD10"/>
  <c r="AB11"/>
  <c r="AC11"/>
  <c r="AD11"/>
  <c r="AC9"/>
  <c r="AD9"/>
  <c r="AB9"/>
  <c r="AA10"/>
  <c r="AA11"/>
  <c r="AA12"/>
  <c r="Z10"/>
  <c r="Z11"/>
  <c r="Y10"/>
  <c r="Y11"/>
  <c r="W10"/>
  <c r="W11"/>
  <c r="V10"/>
  <c r="V11"/>
  <c r="W9"/>
  <c r="X9"/>
  <c r="Y9"/>
  <c r="Z9"/>
  <c r="AA9"/>
  <c r="V9"/>
  <c r="C3"/>
  <c r="D3"/>
  <c r="E3"/>
  <c r="F3"/>
  <c r="F34" s="1"/>
  <c r="G34" s="1"/>
  <c r="G3"/>
  <c r="H3"/>
  <c r="H34" s="1"/>
  <c r="I34" s="1"/>
  <c r="M34" s="1"/>
  <c r="I3"/>
  <c r="J3"/>
  <c r="J34" s="1"/>
  <c r="K34" s="1"/>
  <c r="N34" s="1"/>
  <c r="K3"/>
  <c r="L3"/>
  <c r="M3"/>
  <c r="N3"/>
  <c r="O3"/>
  <c r="P3"/>
  <c r="Q3"/>
  <c r="R3"/>
  <c r="S3"/>
  <c r="T3"/>
  <c r="B3"/>
  <c r="B34" s="1"/>
  <c r="C34" s="1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B4" i="3"/>
  <c r="B33" s="1"/>
  <c r="C2"/>
  <c r="D2"/>
  <c r="D4" s="1"/>
  <c r="D33" s="1"/>
  <c r="E2"/>
  <c r="F2"/>
  <c r="G2"/>
  <c r="H2"/>
  <c r="I2"/>
  <c r="J2"/>
  <c r="J3" s="1"/>
  <c r="J4" s="1"/>
  <c r="J5" s="1"/>
  <c r="J6" s="1"/>
  <c r="J7" s="1"/>
  <c r="J8" s="1"/>
  <c r="J10" s="1"/>
  <c r="J11" s="1"/>
  <c r="J12" s="1"/>
  <c r="J13" s="1"/>
  <c r="J14" s="1"/>
  <c r="J15" s="1"/>
  <c r="J17" s="1"/>
  <c r="J18" s="1"/>
  <c r="J19" s="1"/>
  <c r="J20" s="1"/>
  <c r="J21" s="1"/>
  <c r="J22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3" s="1"/>
  <c r="R4" s="1"/>
  <c r="R5" s="1"/>
  <c r="R6" s="1"/>
  <c r="R8" s="1"/>
  <c r="R9" s="1"/>
  <c r="R10" s="1"/>
  <c r="R12" s="1"/>
  <c r="R13" s="1"/>
  <c r="R14" s="1"/>
  <c r="R15" s="1"/>
  <c r="R17" s="1"/>
  <c r="R18" s="1"/>
  <c r="R19" s="1"/>
  <c r="R20" s="1"/>
  <c r="R21" s="1"/>
  <c r="R22" s="1"/>
  <c r="R24" s="1"/>
  <c r="R25" s="1"/>
  <c r="R26" s="1"/>
  <c r="R29" s="1"/>
  <c r="R30" s="1"/>
  <c r="R31" s="1"/>
  <c r="R32" s="1"/>
  <c r="R33" s="1"/>
  <c r="S2"/>
  <c r="T2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34" i="76" l="1"/>
  <c r="E34" s="1"/>
  <c r="L34"/>
  <c r="G6" i="5" l="1"/>
  <c r="G8" s="1"/>
  <c r="G12" s="1"/>
  <c r="G13" s="1"/>
  <c r="G16" s="1"/>
  <c r="G18" s="1"/>
  <c r="G21" s="1"/>
  <c r="G22" s="1"/>
  <c r="G23" s="1"/>
  <c r="G24" s="1"/>
  <c r="G26" s="1"/>
  <c r="G28" s="1"/>
  <c r="G32" s="1"/>
  <c r="G34" s="1"/>
  <c r="G36" s="1"/>
  <c r="C5"/>
  <c r="D5"/>
  <c r="E5"/>
  <c r="F5"/>
  <c r="G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6"/>
  <c r="T25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6" s="1"/>
  <c r="X9" s="1"/>
  <c r="X12" s="1"/>
  <c r="X13" s="1"/>
  <c r="X14" s="1"/>
  <c r="X16" s="1"/>
  <c r="X18" s="1"/>
  <c r="X22" s="1"/>
  <c r="X24" s="1"/>
  <c r="X25" s="1"/>
  <c r="X26" s="1"/>
  <c r="X28" s="1"/>
  <c r="X30" s="1"/>
  <c r="X32" s="1"/>
  <c r="X36" s="1"/>
  <c r="Y5"/>
  <c r="Z5"/>
  <c r="Z6" s="1"/>
  <c r="Z9" s="1"/>
  <c r="Z12" s="1"/>
  <c r="Z14" s="1"/>
  <c r="Z16" s="1"/>
  <c r="Z20" s="1"/>
  <c r="Z24" s="1"/>
  <c r="Z25" s="1"/>
  <c r="Z26" s="1"/>
  <c r="Z28" s="1"/>
  <c r="Z30" s="1"/>
  <c r="Z32" s="1"/>
  <c r="Z33" s="1"/>
  <c r="Z35" s="1"/>
  <c r="Z36" s="1"/>
  <c r="AA5"/>
  <c r="AB5"/>
  <c r="AB6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4" s="1"/>
  <c r="AE25" s="1"/>
  <c r="AE26" s="1"/>
  <c r="AE27" s="1"/>
  <c r="AE28" s="1"/>
  <c r="AE29" s="1"/>
  <c r="AE30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4" s="1"/>
  <c r="AG28" s="1"/>
  <c r="AG29" s="1"/>
  <c r="AG30" s="1"/>
  <c r="AG32" s="1"/>
  <c r="AG33" s="1"/>
  <c r="AG34" s="1"/>
  <c r="AG36" s="1"/>
  <c r="AH5"/>
  <c r="AI5"/>
  <c r="AJ5"/>
  <c r="AK5"/>
  <c r="AL5"/>
  <c r="AM5"/>
  <c r="AN5"/>
  <c r="AO5"/>
  <c r="AP5"/>
  <c r="AQ5"/>
  <c r="AR5"/>
  <c r="AS5"/>
  <c r="AT5"/>
  <c r="AT12" s="1"/>
  <c r="AT14" s="1"/>
  <c r="AT28" s="1"/>
  <c r="AT32" s="1"/>
  <c r="AT36" s="1"/>
  <c r="AU5"/>
  <c r="AV5"/>
  <c r="AV27" s="1"/>
  <c r="AV29" s="1"/>
  <c r="AV32" s="1"/>
  <c r="AV36" s="1"/>
  <c r="AW5"/>
  <c r="AX5"/>
  <c r="AX32" s="1"/>
  <c r="AX36" s="1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4" s="1"/>
  <c r="B15" s="1"/>
  <c r="B16" s="1"/>
  <c r="B17" s="1"/>
  <c r="B18" s="1"/>
  <c r="B20" s="1"/>
  <c r="B21" s="1"/>
  <c r="B22" s="1"/>
  <c r="B23" s="1"/>
  <c r="B24" s="1"/>
  <c r="B25" s="1"/>
  <c r="B26" s="1"/>
  <c r="B27" s="1"/>
  <c r="B28" s="1"/>
  <c r="B29" s="1"/>
  <c r="B30" s="1"/>
  <c r="B32" s="1"/>
  <c r="B33" s="1"/>
  <c r="B35" s="1"/>
  <c r="B36" s="1"/>
  <c r="E2" i="2"/>
  <c r="F2"/>
  <c r="G2"/>
  <c r="H2"/>
  <c r="H33" s="1"/>
  <c r="I2"/>
  <c r="J2"/>
  <c r="J33" s="1"/>
  <c r="K2"/>
  <c r="L2"/>
  <c r="M2"/>
  <c r="N2"/>
  <c r="O2"/>
  <c r="P2"/>
  <c r="P33" s="1"/>
  <c r="Q2"/>
  <c r="R2"/>
  <c r="S2"/>
  <c r="S11" s="1"/>
  <c r="S33" s="1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D2"/>
  <c r="D33" s="1"/>
  <c r="C4" i="1"/>
  <c r="C34" s="1"/>
  <c r="D4"/>
  <c r="E4"/>
  <c r="F4"/>
  <c r="F5" s="1"/>
  <c r="F6" s="1"/>
  <c r="F7" s="1"/>
  <c r="F8" s="1"/>
  <c r="F9" s="1"/>
  <c r="F12" s="1"/>
  <c r="F14" s="1"/>
  <c r="F16" s="1"/>
  <c r="F17" s="1"/>
  <c r="F19" s="1"/>
  <c r="F20" s="1"/>
  <c r="F21" s="1"/>
  <c r="F22" s="1"/>
  <c r="F23" s="1"/>
  <c r="F24" s="1"/>
  <c r="F26" s="1"/>
  <c r="F27" s="1"/>
  <c r="F31" s="1"/>
  <c r="F32" s="1"/>
  <c r="F34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14" s="1"/>
  <c r="K17" s="1"/>
  <c r="K20" s="1"/>
  <c r="K34" s="1"/>
  <c r="L4"/>
  <c r="M4"/>
  <c r="M5" s="1"/>
  <c r="M14" s="1"/>
  <c r="M17" s="1"/>
  <c r="M20" s="1"/>
  <c r="M34" s="1"/>
  <c r="N4"/>
  <c r="O4"/>
  <c r="P4"/>
  <c r="P5" s="1"/>
  <c r="P6" s="1"/>
  <c r="P9" s="1"/>
  <c r="P12" s="1"/>
  <c r="P17" s="1"/>
  <c r="P24" s="1"/>
  <c r="P27" s="1"/>
  <c r="P28" s="1"/>
  <c r="P31" s="1"/>
  <c r="P34" s="1"/>
  <c r="P35" s="1"/>
  <c r="Q4"/>
  <c r="Q5" s="1"/>
  <c r="Q6" s="1"/>
  <c r="Q9" s="1"/>
  <c r="Q12" s="1"/>
  <c r="Q17" s="1"/>
  <c r="Q24" s="1"/>
  <c r="Q27" s="1"/>
  <c r="Q28" s="1"/>
  <c r="Q31" s="1"/>
  <c r="Q34" s="1"/>
  <c r="Q35" s="1"/>
  <c r="R4"/>
  <c r="S4"/>
  <c r="T4"/>
  <c r="U4"/>
  <c r="V4"/>
  <c r="W4"/>
  <c r="X4"/>
  <c r="X5" s="1"/>
  <c r="X6" s="1"/>
  <c r="X7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5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AX4"/>
  <c r="B4"/>
  <c r="B34" s="1"/>
  <c r="AC3" i="2"/>
  <c r="AC4" s="1"/>
  <c r="AC5" s="1"/>
  <c r="AC6" s="1"/>
  <c r="AC7" s="1"/>
  <c r="AC8" s="1"/>
  <c r="AC9" s="1"/>
  <c r="AC10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3"/>
  <c r="AA4" s="1"/>
  <c r="AA5" s="1"/>
  <c r="AA6" s="1"/>
  <c r="AA7" s="1"/>
  <c r="AA8" s="1"/>
  <c r="AA9" s="1"/>
  <c r="AA10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U11"/>
  <c r="U33" s="1"/>
  <c r="L33"/>
  <c r="F33"/>
  <c r="B32" i="82" l="1"/>
  <c r="B32" i="81"/>
  <c r="W29" i="2"/>
  <c r="H25" i="3"/>
  <c r="H26" s="1"/>
  <c r="H27" s="1"/>
  <c r="H28" s="1"/>
  <c r="H29" s="1"/>
  <c r="H30" s="1"/>
  <c r="H31" s="1"/>
  <c r="H32" s="1"/>
  <c r="H33" s="1"/>
  <c r="H24"/>
  <c r="A21" i="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7" i="77"/>
  <c r="H6" s="1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H3" i="3"/>
  <c r="AB36" i="5"/>
  <c r="Y4" i="2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30" s="1"/>
  <c r="W31" s="1"/>
  <c r="W32" s="1"/>
  <c r="W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B3" s="1"/>
  <c r="A2"/>
  <c r="B33"/>
  <c r="O32" i="81" l="1"/>
  <c r="L32" i="82"/>
  <c r="Y6" i="5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I5" i="79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6" i="5"/>
  <c r="K35"/>
  <c r="K34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J32" l="1"/>
  <c r="C29" i="76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S34" i="76" s="1"/>
  <c r="T34" s="1"/>
  <c r="F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E32" i="81"/>
  <c r="C30" i="76"/>
  <c r="AL36" i="5"/>
  <c r="J36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35" i="1"/>
  <c r="AH35" s="1"/>
  <c r="AA8"/>
  <c r="AH31" i="5"/>
  <c r="U8"/>
  <c r="AI35" i="1" l="1"/>
  <c r="X31" i="2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D27" i="76" l="1"/>
  <c r="E27" s="1"/>
  <c r="G32" i="81"/>
  <c r="AJ35" i="1"/>
  <c r="AK35" s="1"/>
  <c r="M27" i="76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36" i="76" l="1"/>
  <c r="J6" i="82"/>
  <c r="J9"/>
  <c r="J11"/>
  <c r="J8"/>
  <c r="J5"/>
  <c r="J7"/>
  <c r="J10"/>
  <c r="L4" i="76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6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AG17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C18" i="65" l="1"/>
  <c r="J15" i="82"/>
  <c r="AN6" i="7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AD19"/>
  <c r="AM18"/>
  <c r="F19" i="75" s="1"/>
  <c r="G19" s="1"/>
  <c r="AG18" i="1"/>
  <c r="R19"/>
  <c r="S20"/>
  <c r="I21"/>
  <c r="G19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9" i="65" l="1"/>
  <c r="T20" i="1"/>
  <c r="AL20"/>
  <c r="J16" i="82"/>
  <c r="S16" i="76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I22"/>
  <c r="D20" i="75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AL21"/>
  <c r="J17" i="82"/>
  <c r="S17" i="76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I23"/>
  <c r="G2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AL22"/>
  <c r="J18" i="82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I24"/>
  <c r="G22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T23" i="1" l="1"/>
  <c r="AL23"/>
  <c r="J19" i="82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I25"/>
  <c r="G23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T24" i="1" l="1"/>
  <c r="AL24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I26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T27" i="1" l="1"/>
  <c r="J23" i="82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I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T28" i="1" l="1"/>
  <c r="J24" i="82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W19" i="7"/>
  <c r="AJ18" i="1" s="1"/>
  <c r="N19"/>
  <c r="V19" s="1"/>
  <c r="AI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T29" i="1" l="1"/>
  <c r="J25" i="82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K18" i="1"/>
  <c r="G15" i="81"/>
  <c r="B19" i="65"/>
  <c r="E19" s="1"/>
  <c r="AW20" i="7"/>
  <c r="AJ19" i="1" s="1"/>
  <c r="N20"/>
  <c r="V20" s="1"/>
  <c r="AI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1" s="1"/>
  <c r="AW21" i="7"/>
  <c r="AJ20" i="1" s="1"/>
  <c r="B20" i="65"/>
  <c r="E20" s="1"/>
  <c r="G16" i="81"/>
  <c r="AK19" i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O26" i="2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W22" i="7"/>
  <c r="AJ21" i="1" s="1"/>
  <c r="B21" i="65"/>
  <c r="E21" s="1"/>
  <c r="N22" i="1"/>
  <c r="V22" s="1"/>
  <c r="AI22" s="1"/>
  <c r="G17" i="81"/>
  <c r="AK20" i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T32" i="1" l="1"/>
  <c r="O27" i="2"/>
  <c r="S28" i="76"/>
  <c r="I21" i="3"/>
  <c r="H22"/>
  <c r="J28" i="82"/>
  <c r="I29" i="3"/>
  <c r="AN25" i="7"/>
  <c r="P23" i="3"/>
  <c r="AU29" i="5"/>
  <c r="AZ28"/>
  <c r="BC28" s="1"/>
  <c r="AB27" i="3"/>
  <c r="V28"/>
  <c r="G18" i="81"/>
  <c r="AK21" i="1"/>
  <c r="N23"/>
  <c r="V23" s="1"/>
  <c r="AI23" s="1"/>
  <c r="B22" i="65"/>
  <c r="E22" s="1"/>
  <c r="AW23" i="7"/>
  <c r="AJ22" i="1" s="1"/>
  <c r="Y22" i="7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L32" i="1" l="1"/>
  <c r="D33" i="75" s="1"/>
  <c r="E33" s="1"/>
  <c r="O28" i="2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W24" i="7"/>
  <c r="AJ23" i="1" s="1"/>
  <c r="B23" i="65"/>
  <c r="E23" s="1"/>
  <c r="N24" i="1"/>
  <c r="V24" s="1"/>
  <c r="AI24" s="1"/>
  <c r="AK22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L33" i="1" l="1"/>
  <c r="D34" i="75" s="1"/>
  <c r="E34" s="1"/>
  <c r="J30" i="82"/>
  <c r="O29" i="2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AI25" s="1"/>
  <c r="B24" i="65"/>
  <c r="E24" s="1"/>
  <c r="AW25" i="7"/>
  <c r="AJ24" i="1" s="1"/>
  <c r="AK23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AL34" i="1" l="1"/>
  <c r="J31" i="82"/>
  <c r="C34" i="65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W26" i="7"/>
  <c r="AJ25" i="1" s="1"/>
  <c r="AK24"/>
  <c r="G21" i="81"/>
  <c r="N26" i="1"/>
  <c r="V26" s="1"/>
  <c r="AI26" s="1"/>
  <c r="AO29" i="7"/>
  <c r="Y25"/>
  <c r="AR25" s="1"/>
  <c r="C35" i="3"/>
  <c r="Y37" i="5"/>
  <c r="M36" i="76"/>
  <c r="U32" i="3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W27" i="7"/>
  <c r="AJ26" i="1" s="1"/>
  <c r="N27"/>
  <c r="V27" s="1"/>
  <c r="AI27" s="1"/>
  <c r="AK25"/>
  <c r="G22" i="81"/>
  <c r="AU36" i="1"/>
  <c r="Y26" i="7"/>
  <c r="AR26" s="1"/>
  <c r="AO30"/>
  <c r="L36" i="76"/>
  <c r="AK31" i="3"/>
  <c r="F31" i="63"/>
  <c r="Z32" i="3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W28" i="7"/>
  <c r="AJ27" i="1" s="1"/>
  <c r="G23" i="81"/>
  <c r="AK26" i="1"/>
  <c r="N28"/>
  <c r="V28" s="1"/>
  <c r="AI28" s="1"/>
  <c r="AK32" i="3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9" s="1"/>
  <c r="AW29" i="7"/>
  <c r="AJ28" i="1" s="1"/>
  <c r="B28" i="65"/>
  <c r="E28" s="1"/>
  <c r="K39" i="5"/>
  <c r="F8" i="77"/>
  <c r="Z34" i="3"/>
  <c r="B18" i="77" s="1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E18" i="77"/>
  <c r="P30" i="3"/>
  <c r="Q29"/>
  <c r="Y31" i="76"/>
  <c r="F6" i="77"/>
  <c r="AZ35" i="5"/>
  <c r="F9" i="77"/>
  <c r="C37" i="76"/>
  <c r="AK27" i="1"/>
  <c r="G24" i="81"/>
  <c r="AK28" i="1"/>
  <c r="G25" i="81"/>
  <c r="B29" i="65"/>
  <c r="E29" s="1"/>
  <c r="N30" i="1"/>
  <c r="V30" s="1"/>
  <c r="AI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AJ29" i="1" s="1"/>
  <c r="N31"/>
  <c r="V31" s="1"/>
  <c r="AI31" s="1"/>
  <c r="B30" i="65"/>
  <c r="E30" s="1"/>
  <c r="AW31" i="7"/>
  <c r="AJ30" i="1" s="1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AI32" s="1"/>
  <c r="G27" i="81"/>
  <c r="AK30" i="1"/>
  <c r="B31" i="65"/>
  <c r="E31" s="1"/>
  <c r="G26" i="81"/>
  <c r="AK29" i="1"/>
  <c r="Y31" i="7"/>
  <c r="AR31" s="1"/>
  <c r="P35"/>
  <c r="O35"/>
  <c r="Q34"/>
  <c r="R34"/>
  <c r="T33"/>
  <c r="S33"/>
  <c r="V32"/>
  <c r="W32" s="1"/>
  <c r="U32"/>
  <c r="AN35" l="1"/>
  <c r="AW33"/>
  <c r="AJ32" i="1" s="1"/>
  <c r="B32" i="65"/>
  <c r="E32" s="1"/>
  <c r="AW32" i="7"/>
  <c r="AJ31" i="1" s="1"/>
  <c r="N33"/>
  <c r="V33" s="1"/>
  <c r="AI33" s="1"/>
  <c r="Y32" i="7"/>
  <c r="AR32" s="1"/>
  <c r="X31"/>
  <c r="T34"/>
  <c r="S34"/>
  <c r="U33"/>
  <c r="V33"/>
  <c r="W33" s="1"/>
  <c r="R35"/>
  <c r="Q35"/>
  <c r="X32" l="1"/>
  <c r="AK32" i="1"/>
  <c r="G29" i="81"/>
  <c r="N34" i="1"/>
  <c r="V34" s="1"/>
  <c r="B33" i="65"/>
  <c r="E33" s="1"/>
  <c r="G28" i="81"/>
  <c r="AK31" i="1"/>
  <c r="Y33" i="7"/>
  <c r="AR33" s="1"/>
  <c r="V34"/>
  <c r="W34" s="1"/>
  <c r="U34"/>
  <c r="T35"/>
  <c r="S35"/>
  <c r="V36" i="1" l="1"/>
  <c r="AI34"/>
  <c r="AW35" i="7" s="1"/>
  <c r="AJ34" i="1" s="1"/>
  <c r="B34" i="65"/>
  <c r="E34" s="1"/>
  <c r="AW34" i="7"/>
  <c r="AJ33" i="1" s="1"/>
  <c r="X33" i="7"/>
  <c r="Y34"/>
  <c r="AR34" s="1"/>
  <c r="U35"/>
  <c r="V35"/>
  <c r="W35" s="1"/>
  <c r="Y35" l="1"/>
  <c r="AR35" s="1"/>
  <c r="AI37" i="1"/>
  <c r="AK34"/>
  <c r="G31" i="81"/>
  <c r="AK33" i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AK21" i="5"/>
  <c r="H26" i="63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10" i="74" l="1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Q34" i="76" s="1"/>
  <c r="AS21" i="7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C32" s="1"/>
  <c r="AH32" s="1"/>
  <c r="AS6" i="7" l="1"/>
  <c r="AX6" l="1"/>
  <c r="AS40"/>
  <c r="AY6" l="1"/>
  <c r="AY37" s="1"/>
  <c r="Q4" i="76"/>
  <c r="AX37" i="7"/>
  <c r="Z41" i="76" s="1"/>
  <c r="AV6" i="7" l="1"/>
  <c r="AV7" l="1"/>
  <c r="H2" i="81"/>
  <c r="O5" i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AX5" i="1" l="1"/>
  <c r="AX6" l="1"/>
  <c r="J2" i="81"/>
  <c r="J3" l="1"/>
  <c r="AX7" i="1"/>
  <c r="J4" i="81" l="1"/>
  <c r="AX8" i="1"/>
  <c r="J5" i="81" l="1"/>
  <c r="AX9" i="1"/>
  <c r="AX10" l="1"/>
  <c r="J6" i="81"/>
  <c r="AC28" i="76"/>
  <c r="AC27"/>
  <c r="AC26"/>
  <c r="J7" i="81" l="1"/>
  <c r="AX11" i="1"/>
  <c r="AC30" i="76"/>
  <c r="AX12" i="1" l="1"/>
  <c r="J8" i="81"/>
  <c r="AC31" i="76"/>
  <c r="O34" s="1"/>
  <c r="P34" s="1"/>
  <c r="R34" s="1"/>
  <c r="W39"/>
  <c r="W41" s="1"/>
  <c r="W43" s="1"/>
  <c r="AB31" l="1"/>
  <c r="O29"/>
  <c r="P29" s="1"/>
  <c r="R29" s="1"/>
  <c r="T29" s="1"/>
  <c r="F27" i="81" s="1"/>
  <c r="O33" i="76"/>
  <c r="P33" s="1"/>
  <c r="R33" s="1"/>
  <c r="T33" s="1"/>
  <c r="F31" i="81" s="1"/>
  <c r="O25" i="76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T32" s="1"/>
  <c r="F30" i="81" s="1"/>
  <c r="O26" i="7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T30" s="1"/>
  <c r="F28" i="81" s="1"/>
  <c r="O14" i="76"/>
  <c r="P14" s="1"/>
  <c r="R14" s="1"/>
  <c r="T14" s="1"/>
  <c r="F12" i="81" s="1"/>
  <c r="O28" i="76"/>
  <c r="P28" s="1"/>
  <c r="R28" s="1"/>
  <c r="T28" s="1"/>
  <c r="F26" i="81" s="1"/>
  <c r="O23" i="76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T31" s="1"/>
  <c r="F29" i="81" s="1"/>
  <c r="O22" i="76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J11" i="81" l="1"/>
  <c r="AX15" i="1"/>
  <c r="F10" i="77"/>
  <c r="F12" s="1"/>
  <c r="G10"/>
  <c r="G12" s="1"/>
  <c r="AB41" i="76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J32" i="81" s="1"/>
  <c r="N6" i="5" l="1"/>
  <c r="P6"/>
  <c r="Q6" l="1"/>
  <c r="M2" i="81" s="1"/>
  <c r="N7" i="5"/>
  <c r="P7"/>
  <c r="N8" l="1"/>
  <c r="P8"/>
  <c r="Q7"/>
  <c r="M3" i="81" s="1"/>
  <c r="N9" i="5" l="1"/>
  <c r="P9"/>
  <c r="Q8"/>
  <c r="M4" i="81" s="1"/>
  <c r="N10" i="5" l="1"/>
  <c r="P10"/>
  <c r="Q9"/>
  <c r="P11" l="1"/>
  <c r="Q11" s="1"/>
  <c r="M7" i="81" s="1"/>
  <c r="M5"/>
  <c r="Q10" i="5"/>
  <c r="M6" i="81" s="1"/>
  <c r="N11" i="5"/>
  <c r="P12" l="1"/>
  <c r="Q12" s="1"/>
  <c r="N12"/>
  <c r="P13" l="1"/>
  <c r="Q13" s="1"/>
  <c r="M9" i="81" s="1"/>
  <c r="M8"/>
  <c r="N13" i="5"/>
  <c r="P14" l="1"/>
  <c r="Q14" s="1"/>
  <c r="M10" i="81" s="1"/>
  <c r="N14" i="5"/>
  <c r="P15" l="1"/>
  <c r="Q15" s="1"/>
  <c r="M11" i="81" s="1"/>
  <c r="N15" i="5"/>
  <c r="P16" l="1"/>
  <c r="Q16" s="1"/>
  <c r="M12" i="81" s="1"/>
  <c r="N16" i="5"/>
  <c r="N17" l="1"/>
  <c r="P17"/>
  <c r="N18" l="1"/>
  <c r="P18"/>
  <c r="Q17"/>
  <c r="M13" i="81" s="1"/>
  <c r="N19" i="5" l="1"/>
  <c r="Q18"/>
  <c r="M14" i="81" s="1"/>
  <c r="P19" i="5"/>
  <c r="N20" l="1"/>
  <c r="P20"/>
  <c r="Q19"/>
  <c r="M15" i="81" s="1"/>
  <c r="N21" i="5" l="1"/>
  <c r="P21"/>
  <c r="Q20"/>
  <c r="M16" i="81" s="1"/>
  <c r="Q21" i="5" l="1"/>
  <c r="M17" i="81" s="1"/>
  <c r="N22" i="5"/>
  <c r="P22"/>
  <c r="N23" l="1"/>
  <c r="P23"/>
  <c r="Q22"/>
  <c r="M18" i="81" s="1"/>
  <c r="P24" i="5" l="1"/>
  <c r="N24"/>
  <c r="Q23"/>
  <c r="M19" i="81" s="1"/>
  <c r="Q24" i="5" l="1"/>
  <c r="M20" i="81" s="1"/>
  <c r="P25" i="5"/>
  <c r="Q25" s="1"/>
  <c r="M21" i="81" s="1"/>
  <c r="N25" i="5"/>
  <c r="P26" l="1"/>
  <c r="Q26" s="1"/>
  <c r="M22" i="81" s="1"/>
  <c r="N26" i="5"/>
  <c r="P27" l="1"/>
  <c r="Q27" s="1"/>
  <c r="M23" i="81" s="1"/>
  <c r="N27" i="5"/>
  <c r="P28" l="1"/>
  <c r="Q28" s="1"/>
  <c r="M24" i="81" s="1"/>
  <c r="N28" i="5"/>
  <c r="P29" l="1"/>
  <c r="Q29" s="1"/>
  <c r="M25" i="81" s="1"/>
  <c r="N29" i="5"/>
  <c r="P30" l="1"/>
  <c r="N30"/>
  <c r="Q30" l="1"/>
  <c r="M26" i="81" s="1"/>
  <c r="P31" i="5"/>
  <c r="N31"/>
  <c r="P32" l="1"/>
  <c r="Q31"/>
  <c r="M27" i="81" s="1"/>
  <c r="N32" i="5"/>
  <c r="N33" l="1"/>
  <c r="Q32"/>
  <c r="M28" i="81" s="1"/>
  <c r="P33" i="5"/>
  <c r="N34" l="1"/>
  <c r="P34"/>
  <c r="Q33"/>
  <c r="M29" i="81" s="1"/>
  <c r="P36" i="5" l="1"/>
  <c r="Q36" s="1"/>
  <c r="M32" i="81" s="1"/>
  <c r="P35" i="5"/>
  <c r="Q35" s="1"/>
  <c r="Q34"/>
  <c r="M30" i="81" s="1"/>
  <c r="N36" i="5"/>
  <c r="N35"/>
  <c r="M31" i="81" l="1"/>
  <c r="Q37" i="5"/>
  <c r="O38" s="1"/>
  <c r="X3" i="3"/>
  <c r="X4" l="1"/>
  <c r="Y3"/>
  <c r="X5" l="1"/>
  <c r="Y4"/>
  <c r="Y5" l="1"/>
  <c r="X6"/>
  <c r="X7" l="1"/>
  <c r="Y6"/>
  <c r="AS6" i="5"/>
  <c r="X8" i="3" l="1"/>
  <c r="Y7"/>
  <c r="AS7" i="5"/>
  <c r="AY6"/>
  <c r="AY7" l="1"/>
  <c r="BB7" s="1"/>
  <c r="BE7" s="1"/>
  <c r="AS8"/>
  <c r="BB6"/>
  <c r="BE6" s="1"/>
  <c r="X9" i="3"/>
  <c r="Y8"/>
  <c r="AS9" i="5" l="1"/>
  <c r="AY8"/>
  <c r="BB8" s="1"/>
  <c r="BE8" s="1"/>
  <c r="I2" i="63"/>
  <c r="BF6" i="5"/>
  <c r="BG6" s="1"/>
  <c r="G6" i="65" s="1"/>
  <c r="Y9" i="3"/>
  <c r="X10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G5" i="6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<sst xmlns="http://schemas.openxmlformats.org/spreadsheetml/2006/main" count="653" uniqueCount="418">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</sst>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1" fontId="0" fillId="31" borderId="7" xfId="1" applyNumberFormat="1" applyFont="1" applyFill="1" applyBorder="1" applyAlignment="1">
      <alignment horizontal="left"/>
    </xf>
    <xf numFmtId="0" fontId="23" fillId="5" borderId="1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1" fontId="0" fillId="8" borderId="1" xfId="0" applyNumberForma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10551</c:v>
                </c:pt>
                <c:pt idx="12">
                  <c:v>11193</c:v>
                </c:pt>
                <c:pt idx="13">
                  <c:v>11177</c:v>
                </c:pt>
                <c:pt idx="14">
                  <c:v>10182</c:v>
                </c:pt>
                <c:pt idx="15">
                  <c:v>9917</c:v>
                </c:pt>
                <c:pt idx="16">
                  <c:v>9359</c:v>
                </c:pt>
                <c:pt idx="17">
                  <c:v>9178</c:v>
                </c:pt>
                <c:pt idx="18">
                  <c:v>8824</c:v>
                </c:pt>
                <c:pt idx="19">
                  <c:v>9544</c:v>
                </c:pt>
                <c:pt idx="20">
                  <c:v>9684</c:v>
                </c:pt>
                <c:pt idx="21">
                  <c:v>9285</c:v>
                </c:pt>
                <c:pt idx="22">
                  <c:v>10813</c:v>
                </c:pt>
                <c:pt idx="23">
                  <c:v>11168</c:v>
                </c:pt>
                <c:pt idx="24">
                  <c:v>9035</c:v>
                </c:pt>
                <c:pt idx="25">
                  <c:v>10172</c:v>
                </c:pt>
                <c:pt idx="26">
                  <c:v>9306</c:v>
                </c:pt>
                <c:pt idx="27">
                  <c:v>10645</c:v>
                </c:pt>
                <c:pt idx="28">
                  <c:v>10433</c:v>
                </c:pt>
                <c:pt idx="29">
                  <c:v>10482</c:v>
                </c:pt>
                <c:pt idx="30">
                  <c:v>10489</c:v>
                </c:pt>
              </c:numCache>
            </c:numRef>
          </c:val>
        </c:ser>
        <c:marker val="1"/>
        <c:axId val="144500224"/>
        <c:axId val="144501760"/>
      </c:lineChart>
      <c:catAx>
        <c:axId val="14450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01760"/>
        <c:crosses val="autoZero"/>
        <c:auto val="1"/>
        <c:lblAlgn val="ctr"/>
        <c:lblOffset val="100"/>
      </c:catAx>
      <c:valAx>
        <c:axId val="1445017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0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721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3724</c:v>
                </c:pt>
                <c:pt idx="19">
                  <c:v>4185</c:v>
                </c:pt>
                <c:pt idx="20">
                  <c:v>3745</c:v>
                </c:pt>
                <c:pt idx="21">
                  <c:v>3521</c:v>
                </c:pt>
                <c:pt idx="22">
                  <c:v>3844</c:v>
                </c:pt>
                <c:pt idx="23">
                  <c:v>4820</c:v>
                </c:pt>
                <c:pt idx="24">
                  <c:v>3887</c:v>
                </c:pt>
                <c:pt idx="25">
                  <c:v>4326</c:v>
                </c:pt>
                <c:pt idx="26">
                  <c:v>3661</c:v>
                </c:pt>
                <c:pt idx="27">
                  <c:v>4084</c:v>
                </c:pt>
                <c:pt idx="28">
                  <c:v>4531</c:v>
                </c:pt>
                <c:pt idx="29">
                  <c:v>4550</c:v>
                </c:pt>
                <c:pt idx="30">
                  <c:v>4760</c:v>
                </c:pt>
              </c:numCache>
            </c:numRef>
          </c:val>
        </c:ser>
        <c:marker val="1"/>
        <c:axId val="145665024"/>
        <c:axId val="145666816"/>
      </c:lineChart>
      <c:catAx>
        <c:axId val="145665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66816"/>
        <c:crosses val="autoZero"/>
        <c:auto val="1"/>
        <c:lblAlgn val="ctr"/>
        <c:lblOffset val="100"/>
      </c:catAx>
      <c:valAx>
        <c:axId val="145666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6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789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678720"/>
        <c:axId val="145680256"/>
      </c:lineChart>
      <c:catAx>
        <c:axId val="14567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80256"/>
        <c:crosses val="autoZero"/>
        <c:auto val="1"/>
        <c:lblAlgn val="ctr"/>
        <c:lblOffset val="100"/>
      </c:catAx>
      <c:valAx>
        <c:axId val="1456802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7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6148"/>
          <c:y val="0.62975887529635965"/>
          <c:w val="7.9124755870162669E-2"/>
          <c:h val="4.498269896194721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602048"/>
        <c:axId val="145603584"/>
      </c:lineChart>
      <c:catAx>
        <c:axId val="14560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03584"/>
        <c:crosses val="autoZero"/>
        <c:auto val="1"/>
        <c:lblAlgn val="ctr"/>
        <c:lblOffset val="100"/>
      </c:catAx>
      <c:valAx>
        <c:axId val="1456035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0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4278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222.7</c:v>
                </c:pt>
                <c:pt idx="11">
                  <c:v>224.72727272727272</c:v>
                </c:pt>
                <c:pt idx="12">
                  <c:v>227.3</c:v>
                </c:pt>
                <c:pt idx="13">
                  <c:v>245</c:v>
                </c:pt>
                <c:pt idx="14">
                  <c:v>260.625</c:v>
                </c:pt>
                <c:pt idx="15">
                  <c:v>207.25</c:v>
                </c:pt>
                <c:pt idx="16">
                  <c:v>181.11111111111111</c:v>
                </c:pt>
                <c:pt idx="17">
                  <c:v>272.39999999999998</c:v>
                </c:pt>
                <c:pt idx="18">
                  <c:v>270.2</c:v>
                </c:pt>
                <c:pt idx="19">
                  <c:v>258.88888888888891</c:v>
                </c:pt>
                <c:pt idx="20">
                  <c:v>254.5</c:v>
                </c:pt>
                <c:pt idx="21">
                  <c:v>266.66666666666669</c:v>
                </c:pt>
                <c:pt idx="22">
                  <c:v>212.78571428571428</c:v>
                </c:pt>
                <c:pt idx="23">
                  <c:v>308.39999999999998</c:v>
                </c:pt>
                <c:pt idx="24">
                  <c:v>236.22222222222223</c:v>
                </c:pt>
                <c:pt idx="25">
                  <c:v>256.28571428571428</c:v>
                </c:pt>
                <c:pt idx="26">
                  <c:v>276.875</c:v>
                </c:pt>
                <c:pt idx="27">
                  <c:v>229.66666666666666</c:v>
                </c:pt>
                <c:pt idx="28">
                  <c:v>205.16666666666666</c:v>
                </c:pt>
                <c:pt idx="29">
                  <c:v>192.25</c:v>
                </c:pt>
              </c:numCache>
            </c:numRef>
          </c:val>
        </c:ser>
        <c:marker val="1"/>
        <c:axId val="145615488"/>
        <c:axId val="146231680"/>
      </c:lineChart>
      <c:catAx>
        <c:axId val="14561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231680"/>
        <c:crosses val="autoZero"/>
        <c:auto val="1"/>
        <c:lblAlgn val="ctr"/>
        <c:lblOffset val="100"/>
      </c:catAx>
      <c:valAx>
        <c:axId val="1462316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1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41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7</c:v>
                </c:pt>
                <c:pt idx="21">
                  <c:v>4</c:v>
                </c:pt>
                <c:pt idx="22">
                  <c:v>3</c:v>
                </c:pt>
                <c:pt idx="23">
                  <c:v>7</c:v>
                </c:pt>
                <c:pt idx="24">
                  <c:v>13</c:v>
                </c:pt>
                <c:pt idx="25">
                  <c:v>12</c:v>
                </c:pt>
                <c:pt idx="26">
                  <c:v>6</c:v>
                </c:pt>
                <c:pt idx="27">
                  <c:v>7</c:v>
                </c:pt>
                <c:pt idx="28">
                  <c:v>14</c:v>
                </c:pt>
                <c:pt idx="29">
                  <c:v>5</c:v>
                </c:pt>
              </c:numCache>
            </c:numRef>
          </c:val>
        </c:ser>
        <c:marker val="1"/>
        <c:axId val="146379136"/>
        <c:axId val="146380672"/>
      </c:lineChart>
      <c:catAx>
        <c:axId val="14637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380672"/>
        <c:crosses val="autoZero"/>
        <c:auto val="1"/>
        <c:lblAlgn val="ctr"/>
        <c:lblOffset val="100"/>
      </c:catAx>
      <c:valAx>
        <c:axId val="146380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37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30</c:v>
                </c:pt>
                <c:pt idx="26">
                  <c:v>0</c:v>
                </c:pt>
                <c:pt idx="27">
                  <c:v>0</c:v>
                </c:pt>
                <c:pt idx="28">
                  <c:v>95</c:v>
                </c:pt>
                <c:pt idx="29">
                  <c:v>0</c:v>
                </c:pt>
              </c:numCache>
            </c:numRef>
          </c:val>
        </c:ser>
        <c:marker val="1"/>
        <c:axId val="146544128"/>
        <c:axId val="146545664"/>
      </c:lineChart>
      <c:catAx>
        <c:axId val="14654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45664"/>
        <c:crosses val="autoZero"/>
        <c:auto val="1"/>
        <c:lblAlgn val="ctr"/>
        <c:lblOffset val="100"/>
      </c:catAx>
      <c:valAx>
        <c:axId val="14654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4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96</c:v>
                </c:pt>
                <c:pt idx="12">
                  <c:v>0</c:v>
                </c:pt>
                <c:pt idx="13">
                  <c:v>143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428</c:v>
                </c:pt>
                <c:pt idx="20">
                  <c:v>0</c:v>
                </c:pt>
                <c:pt idx="21">
                  <c:v>110</c:v>
                </c:pt>
                <c:pt idx="22">
                  <c:v>0</c:v>
                </c:pt>
                <c:pt idx="23">
                  <c:v>110</c:v>
                </c:pt>
                <c:pt idx="24">
                  <c:v>0</c:v>
                </c:pt>
                <c:pt idx="25">
                  <c:v>168</c:v>
                </c:pt>
                <c:pt idx="26">
                  <c:v>0</c:v>
                </c:pt>
                <c:pt idx="27">
                  <c:v>106</c:v>
                </c:pt>
                <c:pt idx="28">
                  <c:v>0</c:v>
                </c:pt>
                <c:pt idx="29">
                  <c:v>98</c:v>
                </c:pt>
              </c:numCache>
            </c:numRef>
          </c:val>
        </c:ser>
        <c:marker val="1"/>
        <c:axId val="146565376"/>
        <c:axId val="146575360"/>
      </c:lineChart>
      <c:catAx>
        <c:axId val="14656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75360"/>
        <c:crosses val="autoZero"/>
        <c:auto val="1"/>
        <c:lblAlgn val="ctr"/>
        <c:lblOffset val="100"/>
      </c:catAx>
      <c:valAx>
        <c:axId val="14657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6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26</c:v>
                </c:pt>
                <c:pt idx="18">
                  <c:v>27.5</c:v>
                </c:pt>
                <c:pt idx="19">
                  <c:v>27</c:v>
                </c:pt>
                <c:pt idx="20">
                  <c:v>26.5</c:v>
                </c:pt>
                <c:pt idx="21">
                  <c:v>26</c:v>
                </c:pt>
                <c:pt idx="22">
                  <c:v>25.5</c:v>
                </c:pt>
                <c:pt idx="23">
                  <c:v>26.5</c:v>
                </c:pt>
                <c:pt idx="24">
                  <c:v>30</c:v>
                </c:pt>
                <c:pt idx="25">
                  <c:v>30</c:v>
                </c:pt>
                <c:pt idx="26">
                  <c:v>26</c:v>
                </c:pt>
                <c:pt idx="27">
                  <c:v>25.5</c:v>
                </c:pt>
                <c:pt idx="28">
                  <c:v>24</c:v>
                </c:pt>
                <c:pt idx="29">
                  <c:v>24.5</c:v>
                </c:pt>
              </c:numCache>
            </c:numRef>
          </c:val>
        </c:ser>
        <c:marker val="1"/>
        <c:axId val="146607488"/>
        <c:axId val="146621568"/>
      </c:lineChart>
      <c:catAx>
        <c:axId val="14660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21568"/>
        <c:crosses val="autoZero"/>
        <c:auto val="1"/>
        <c:lblAlgn val="ctr"/>
        <c:lblOffset val="100"/>
      </c:catAx>
      <c:valAx>
        <c:axId val="1466215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0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518"/>
          <c:w val="0.1272403315177291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649856"/>
        <c:axId val="146651392"/>
      </c:lineChart>
      <c:catAx>
        <c:axId val="14664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51392"/>
        <c:crosses val="autoZero"/>
        <c:auto val="1"/>
        <c:lblAlgn val="ctr"/>
        <c:lblOffset val="100"/>
      </c:catAx>
      <c:valAx>
        <c:axId val="14665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4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0</c:v>
                </c:pt>
                <c:pt idx="1">
                  <c:v>1.7999999999883585</c:v>
                </c:pt>
                <c:pt idx="2">
                  <c:v>232</c:v>
                </c:pt>
                <c:pt idx="3">
                  <c:v>116</c:v>
                </c:pt>
                <c:pt idx="4">
                  <c:v>53</c:v>
                </c:pt>
                <c:pt idx="5">
                  <c:v>96</c:v>
                </c:pt>
                <c:pt idx="6">
                  <c:v>145</c:v>
                </c:pt>
                <c:pt idx="7">
                  <c:v>146</c:v>
                </c:pt>
                <c:pt idx="8">
                  <c:v>115</c:v>
                </c:pt>
                <c:pt idx="9">
                  <c:v>110</c:v>
                </c:pt>
                <c:pt idx="10">
                  <c:v>115</c:v>
                </c:pt>
                <c:pt idx="11">
                  <c:v>132</c:v>
                </c:pt>
                <c:pt idx="12">
                  <c:v>111</c:v>
                </c:pt>
                <c:pt idx="13">
                  <c:v>0</c:v>
                </c:pt>
                <c:pt idx="14">
                  <c:v>126</c:v>
                </c:pt>
                <c:pt idx="15">
                  <c:v>211</c:v>
                </c:pt>
                <c:pt idx="16">
                  <c:v>79</c:v>
                </c:pt>
                <c:pt idx="17">
                  <c:v>173</c:v>
                </c:pt>
                <c:pt idx="18">
                  <c:v>141</c:v>
                </c:pt>
                <c:pt idx="19">
                  <c:v>121</c:v>
                </c:pt>
                <c:pt idx="20">
                  <c:v>122</c:v>
                </c:pt>
                <c:pt idx="21">
                  <c:v>136</c:v>
                </c:pt>
                <c:pt idx="22">
                  <c:v>114</c:v>
                </c:pt>
                <c:pt idx="23">
                  <c:v>121</c:v>
                </c:pt>
                <c:pt idx="24">
                  <c:v>85</c:v>
                </c:pt>
                <c:pt idx="25">
                  <c:v>148</c:v>
                </c:pt>
                <c:pt idx="26">
                  <c:v>159</c:v>
                </c:pt>
                <c:pt idx="27">
                  <c:v>165</c:v>
                </c:pt>
                <c:pt idx="28">
                  <c:v>172</c:v>
                </c:pt>
                <c:pt idx="29">
                  <c:v>165</c:v>
                </c:pt>
                <c:pt idx="30">
                  <c:v>0</c:v>
                </c:pt>
              </c:numCache>
            </c:numRef>
          </c:val>
        </c:ser>
        <c:marker val="1"/>
        <c:axId val="146687872"/>
        <c:axId val="146689408"/>
      </c:lineChart>
      <c:catAx>
        <c:axId val="14668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89408"/>
        <c:crosses val="autoZero"/>
        <c:auto val="1"/>
        <c:lblAlgn val="ctr"/>
        <c:lblOffset val="100"/>
      </c:catAx>
      <c:valAx>
        <c:axId val="146689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8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518"/>
          <c:w val="0.1354168853893502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701312"/>
        <c:axId val="146727680"/>
      </c:lineChart>
      <c:catAx>
        <c:axId val="14670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27680"/>
        <c:crosses val="autoZero"/>
        <c:auto val="1"/>
        <c:lblAlgn val="ctr"/>
        <c:lblOffset val="100"/>
      </c:catAx>
      <c:valAx>
        <c:axId val="1467276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0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51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10551</c:v>
                </c:pt>
                <c:pt idx="12">
                  <c:v>11193</c:v>
                </c:pt>
                <c:pt idx="13">
                  <c:v>11177</c:v>
                </c:pt>
                <c:pt idx="14">
                  <c:v>10182</c:v>
                </c:pt>
                <c:pt idx="15">
                  <c:v>9917</c:v>
                </c:pt>
                <c:pt idx="16">
                  <c:v>9359</c:v>
                </c:pt>
                <c:pt idx="17">
                  <c:v>9178</c:v>
                </c:pt>
                <c:pt idx="18">
                  <c:v>8824</c:v>
                </c:pt>
                <c:pt idx="19">
                  <c:v>9544</c:v>
                </c:pt>
                <c:pt idx="20">
                  <c:v>9684</c:v>
                </c:pt>
                <c:pt idx="21">
                  <c:v>9285</c:v>
                </c:pt>
                <c:pt idx="22">
                  <c:v>10813</c:v>
                </c:pt>
                <c:pt idx="23">
                  <c:v>11168</c:v>
                </c:pt>
                <c:pt idx="24">
                  <c:v>9035</c:v>
                </c:pt>
                <c:pt idx="25">
                  <c:v>10172</c:v>
                </c:pt>
                <c:pt idx="26">
                  <c:v>9306</c:v>
                </c:pt>
                <c:pt idx="27">
                  <c:v>10645</c:v>
                </c:pt>
                <c:pt idx="28">
                  <c:v>10433</c:v>
                </c:pt>
                <c:pt idx="29">
                  <c:v>10482</c:v>
                </c:pt>
                <c:pt idx="30">
                  <c:v>10489</c:v>
                </c:pt>
              </c:numCache>
            </c:numRef>
          </c:val>
        </c:ser>
        <c:marker val="1"/>
        <c:axId val="145060608"/>
        <c:axId val="145062144"/>
      </c:lineChart>
      <c:catAx>
        <c:axId val="145060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62144"/>
        <c:crosses val="autoZero"/>
        <c:auto val="1"/>
        <c:lblAlgn val="ctr"/>
        <c:lblOffset val="100"/>
      </c:catAx>
      <c:valAx>
        <c:axId val="1450621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6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718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3724</c:v>
                </c:pt>
                <c:pt idx="19">
                  <c:v>4185</c:v>
                </c:pt>
                <c:pt idx="20">
                  <c:v>3745</c:v>
                </c:pt>
                <c:pt idx="21">
                  <c:v>3521</c:v>
                </c:pt>
                <c:pt idx="22">
                  <c:v>3844</c:v>
                </c:pt>
                <c:pt idx="23">
                  <c:v>4820</c:v>
                </c:pt>
                <c:pt idx="24">
                  <c:v>3887</c:v>
                </c:pt>
                <c:pt idx="25">
                  <c:v>4326</c:v>
                </c:pt>
                <c:pt idx="26">
                  <c:v>3661</c:v>
                </c:pt>
                <c:pt idx="27">
                  <c:v>4084</c:v>
                </c:pt>
                <c:pt idx="28">
                  <c:v>4531</c:v>
                </c:pt>
                <c:pt idx="29">
                  <c:v>4550</c:v>
                </c:pt>
                <c:pt idx="30">
                  <c:v>4760</c:v>
                </c:pt>
              </c:numCache>
            </c:numRef>
          </c:val>
        </c:ser>
        <c:marker val="1"/>
        <c:axId val="145094528"/>
        <c:axId val="145096064"/>
      </c:lineChart>
      <c:catAx>
        <c:axId val="14509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96064"/>
        <c:crosses val="autoZero"/>
        <c:auto val="1"/>
        <c:lblAlgn val="ctr"/>
        <c:lblOffset val="100"/>
      </c:catAx>
      <c:valAx>
        <c:axId val="145096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9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518"/>
          <c:w val="0.1354168853893502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</c:ser>
        <c:marker val="1"/>
        <c:axId val="146816000"/>
        <c:axId val="146830080"/>
      </c:lineChart>
      <c:catAx>
        <c:axId val="14681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30080"/>
        <c:crosses val="autoZero"/>
        <c:auto val="1"/>
        <c:lblAlgn val="ctr"/>
        <c:lblOffset val="100"/>
      </c:catAx>
      <c:valAx>
        <c:axId val="1468300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1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416"/>
          <c:y val="0.54325368498487869"/>
          <c:w val="0.11458355205599259"/>
          <c:h val="4.49826989619466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-613.35483870968164</c:v>
                </c:pt>
                <c:pt idx="1">
                  <c:v>-271.67741935483355</c:v>
                </c:pt>
                <c:pt idx="2">
                  <c:v>-586.0161290322576</c:v>
                </c:pt>
                <c:pt idx="3">
                  <c:v>-745.69354838707659</c:v>
                </c:pt>
                <c:pt idx="4">
                  <c:v>-592.3548387096962</c:v>
                </c:pt>
                <c:pt idx="5">
                  <c:v>-871.03225806452974</c:v>
                </c:pt>
                <c:pt idx="6">
                  <c:v>-669.35483870968164</c:v>
                </c:pt>
                <c:pt idx="7">
                  <c:v>-794.03225806450064</c:v>
                </c:pt>
                <c:pt idx="8">
                  <c:v>-920.03225806451519</c:v>
                </c:pt>
                <c:pt idx="9">
                  <c:v>-591.35161290323595</c:v>
                </c:pt>
                <c:pt idx="10">
                  <c:v>-658.02258064514899</c:v>
                </c:pt>
                <c:pt idx="11">
                  <c:v>-660.69032258065999</c:v>
                </c:pt>
                <c:pt idx="12">
                  <c:v>-920.03225806451519</c:v>
                </c:pt>
                <c:pt idx="13">
                  <c:v>-882.36451612904784</c:v>
                </c:pt>
                <c:pt idx="14">
                  <c:v>-816.69677419350774</c:v>
                </c:pt>
                <c:pt idx="15">
                  <c:v>-754.35806451614189</c:v>
                </c:pt>
                <c:pt idx="16">
                  <c:v>-496.01935483871785</c:v>
                </c:pt>
                <c:pt idx="17">
                  <c:v>-967.36774193546444</c:v>
                </c:pt>
                <c:pt idx="18">
                  <c:v>-376.67741935486265</c:v>
                </c:pt>
                <c:pt idx="19">
                  <c:v>-1156.7096774193487</c:v>
                </c:pt>
                <c:pt idx="20">
                  <c:v>526.67741935483355</c:v>
                </c:pt>
                <c:pt idx="21">
                  <c:v>-1533.3870967741823</c:v>
                </c:pt>
                <c:pt idx="22">
                  <c:v>-613.35483870966709</c:v>
                </c:pt>
                <c:pt idx="23">
                  <c:v>-613.35483870968164</c:v>
                </c:pt>
                <c:pt idx="24">
                  <c:v>-920.03225806452974</c:v>
                </c:pt>
                <c:pt idx="25">
                  <c:v>-906.03225806452974</c:v>
                </c:pt>
                <c:pt idx="26">
                  <c:v>-1240.7096774193342</c:v>
                </c:pt>
                <c:pt idx="27">
                  <c:v>934.35483870966709</c:v>
                </c:pt>
                <c:pt idx="28">
                  <c:v>-920.03225806451519</c:v>
                </c:pt>
                <c:pt idx="29">
                  <c:v>0</c:v>
                </c:pt>
              </c:numCache>
            </c:numRef>
          </c:val>
        </c:ser>
        <c:marker val="1"/>
        <c:axId val="146862464"/>
        <c:axId val="146864000"/>
      </c:lineChart>
      <c:catAx>
        <c:axId val="14686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64000"/>
        <c:crosses val="autoZero"/>
        <c:auto val="1"/>
        <c:lblAlgn val="ctr"/>
        <c:lblOffset val="100"/>
      </c:catAx>
      <c:valAx>
        <c:axId val="1468640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6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40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7</c:v>
                </c:pt>
                <c:pt idx="21">
                  <c:v>4</c:v>
                </c:pt>
                <c:pt idx="22">
                  <c:v>3</c:v>
                </c:pt>
                <c:pt idx="23">
                  <c:v>7</c:v>
                </c:pt>
                <c:pt idx="24">
                  <c:v>13</c:v>
                </c:pt>
                <c:pt idx="25">
                  <c:v>12</c:v>
                </c:pt>
                <c:pt idx="26">
                  <c:v>6</c:v>
                </c:pt>
                <c:pt idx="27">
                  <c:v>7</c:v>
                </c:pt>
                <c:pt idx="28">
                  <c:v>14</c:v>
                </c:pt>
                <c:pt idx="29">
                  <c:v>5</c:v>
                </c:pt>
              </c:numCache>
            </c:numRef>
          </c:val>
        </c:ser>
        <c:marker val="1"/>
        <c:axId val="146892672"/>
        <c:axId val="146894208"/>
      </c:lineChart>
      <c:catAx>
        <c:axId val="14689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94208"/>
        <c:crosses val="autoZero"/>
        <c:auto val="1"/>
        <c:lblAlgn val="ctr"/>
        <c:lblOffset val="100"/>
      </c:catAx>
      <c:valAx>
        <c:axId val="146894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9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057"/>
          <c:h val="4.498269896194718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922496"/>
        <c:axId val="146998016"/>
      </c:lineChart>
      <c:catAx>
        <c:axId val="14692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98016"/>
        <c:crosses val="autoZero"/>
        <c:auto val="1"/>
        <c:lblAlgn val="ctr"/>
        <c:lblOffset val="100"/>
      </c:catAx>
      <c:valAx>
        <c:axId val="1469980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2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718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35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050880"/>
        <c:axId val="147052416"/>
      </c:lineChart>
      <c:catAx>
        <c:axId val="14705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52416"/>
        <c:crosses val="autoZero"/>
        <c:auto val="1"/>
        <c:lblAlgn val="ctr"/>
        <c:lblOffset val="100"/>
      </c:catAx>
      <c:valAx>
        <c:axId val="1470524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5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718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30</c:v>
                </c:pt>
                <c:pt idx="26">
                  <c:v>0</c:v>
                </c:pt>
                <c:pt idx="27">
                  <c:v>0</c:v>
                </c:pt>
                <c:pt idx="28">
                  <c:v>95</c:v>
                </c:pt>
                <c:pt idx="29">
                  <c:v>0</c:v>
                </c:pt>
              </c:numCache>
            </c:numRef>
          </c:val>
        </c:ser>
        <c:marker val="1"/>
        <c:axId val="147142144"/>
        <c:axId val="147143680"/>
      </c:lineChart>
      <c:catAx>
        <c:axId val="147142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43680"/>
        <c:crosses val="autoZero"/>
        <c:auto val="1"/>
        <c:lblAlgn val="ctr"/>
        <c:lblOffset val="100"/>
      </c:catAx>
      <c:valAx>
        <c:axId val="147143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42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189"/>
          <c:y val="0.62975887529635965"/>
          <c:w val="0.13250539334757044"/>
          <c:h val="4.498269896194718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96</c:v>
                </c:pt>
                <c:pt idx="12">
                  <c:v>0</c:v>
                </c:pt>
                <c:pt idx="13">
                  <c:v>143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428</c:v>
                </c:pt>
                <c:pt idx="20">
                  <c:v>0</c:v>
                </c:pt>
                <c:pt idx="21">
                  <c:v>110</c:v>
                </c:pt>
                <c:pt idx="22">
                  <c:v>0</c:v>
                </c:pt>
                <c:pt idx="23">
                  <c:v>110</c:v>
                </c:pt>
                <c:pt idx="24">
                  <c:v>0</c:v>
                </c:pt>
                <c:pt idx="25">
                  <c:v>168</c:v>
                </c:pt>
                <c:pt idx="26">
                  <c:v>0</c:v>
                </c:pt>
                <c:pt idx="27">
                  <c:v>106</c:v>
                </c:pt>
                <c:pt idx="28">
                  <c:v>0</c:v>
                </c:pt>
                <c:pt idx="29">
                  <c:v>98</c:v>
                </c:pt>
              </c:numCache>
            </c:numRef>
          </c:val>
        </c:ser>
        <c:marker val="1"/>
        <c:axId val="147171968"/>
        <c:axId val="147181952"/>
      </c:lineChart>
      <c:catAx>
        <c:axId val="14717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81952"/>
        <c:crosses val="autoZero"/>
        <c:auto val="1"/>
        <c:lblAlgn val="ctr"/>
        <c:lblOffset val="100"/>
      </c:catAx>
      <c:valAx>
        <c:axId val="147181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7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51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26</c:v>
                </c:pt>
                <c:pt idx="18">
                  <c:v>27.5</c:v>
                </c:pt>
                <c:pt idx="19">
                  <c:v>27</c:v>
                </c:pt>
                <c:pt idx="20">
                  <c:v>26.5</c:v>
                </c:pt>
                <c:pt idx="21">
                  <c:v>26</c:v>
                </c:pt>
                <c:pt idx="22">
                  <c:v>25.5</c:v>
                </c:pt>
                <c:pt idx="23">
                  <c:v>26.5</c:v>
                </c:pt>
                <c:pt idx="24">
                  <c:v>30</c:v>
                </c:pt>
                <c:pt idx="25">
                  <c:v>30</c:v>
                </c:pt>
                <c:pt idx="26">
                  <c:v>26</c:v>
                </c:pt>
                <c:pt idx="27">
                  <c:v>25.5</c:v>
                </c:pt>
                <c:pt idx="28">
                  <c:v>24</c:v>
                </c:pt>
                <c:pt idx="29">
                  <c:v>24.5</c:v>
                </c:pt>
              </c:numCache>
            </c:numRef>
          </c:val>
        </c:ser>
        <c:marker val="1"/>
        <c:axId val="147283968"/>
        <c:axId val="147285504"/>
      </c:lineChart>
      <c:catAx>
        <c:axId val="14728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85504"/>
        <c:crosses val="autoZero"/>
        <c:auto val="1"/>
        <c:lblAlgn val="ctr"/>
        <c:lblOffset val="100"/>
      </c:catAx>
      <c:valAx>
        <c:axId val="147285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8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4278"/>
          <c:w val="0.1234311819809271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-18.3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47318656"/>
        <c:axId val="147320192"/>
      </c:lineChart>
      <c:catAx>
        <c:axId val="1473186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20192"/>
        <c:crosses val="autoZero"/>
        <c:auto val="1"/>
        <c:lblAlgn val="ctr"/>
        <c:lblOffset val="100"/>
      </c:catAx>
      <c:valAx>
        <c:axId val="1473201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1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44"/>
          <c:w val="0.1569039853282149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222.7</c:v>
                </c:pt>
                <c:pt idx="11">
                  <c:v>224.72727272727272</c:v>
                </c:pt>
                <c:pt idx="12">
                  <c:v>227.3</c:v>
                </c:pt>
                <c:pt idx="13">
                  <c:v>245</c:v>
                </c:pt>
                <c:pt idx="14">
                  <c:v>260.625</c:v>
                </c:pt>
                <c:pt idx="15">
                  <c:v>207.25</c:v>
                </c:pt>
                <c:pt idx="16">
                  <c:v>181.11111111111111</c:v>
                </c:pt>
                <c:pt idx="17">
                  <c:v>272.39999999999998</c:v>
                </c:pt>
                <c:pt idx="18">
                  <c:v>270.2</c:v>
                </c:pt>
                <c:pt idx="19">
                  <c:v>258.88888888888891</c:v>
                </c:pt>
                <c:pt idx="20">
                  <c:v>254.5</c:v>
                </c:pt>
                <c:pt idx="21">
                  <c:v>266.66666666666669</c:v>
                </c:pt>
                <c:pt idx="22">
                  <c:v>212.78571428571428</c:v>
                </c:pt>
                <c:pt idx="23">
                  <c:v>308.39999999999998</c:v>
                </c:pt>
                <c:pt idx="24">
                  <c:v>236.22222222222223</c:v>
                </c:pt>
                <c:pt idx="25">
                  <c:v>256.28571428571428</c:v>
                </c:pt>
                <c:pt idx="26">
                  <c:v>276.875</c:v>
                </c:pt>
                <c:pt idx="27">
                  <c:v>229.66666666666666</c:v>
                </c:pt>
                <c:pt idx="28">
                  <c:v>205.16666666666666</c:v>
                </c:pt>
                <c:pt idx="29">
                  <c:v>192.25</c:v>
                </c:pt>
              </c:numCache>
            </c:numRef>
          </c:val>
        </c:ser>
        <c:marker val="1"/>
        <c:axId val="147196544"/>
        <c:axId val="147222912"/>
      </c:lineChart>
      <c:catAx>
        <c:axId val="14719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22912"/>
        <c:crosses val="autoZero"/>
        <c:auto val="1"/>
        <c:lblAlgn val="ctr"/>
        <c:lblOffset val="100"/>
      </c:catAx>
      <c:valAx>
        <c:axId val="1472229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9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151"/>
          <c:h val="4.49826989619474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26</c:v>
                </c:pt>
                <c:pt idx="18">
                  <c:v>27.5</c:v>
                </c:pt>
                <c:pt idx="19">
                  <c:v>27</c:v>
                </c:pt>
                <c:pt idx="20">
                  <c:v>26.5</c:v>
                </c:pt>
                <c:pt idx="21">
                  <c:v>26</c:v>
                </c:pt>
                <c:pt idx="22">
                  <c:v>25.5</c:v>
                </c:pt>
                <c:pt idx="23">
                  <c:v>26.5</c:v>
                </c:pt>
                <c:pt idx="24">
                  <c:v>30</c:v>
                </c:pt>
                <c:pt idx="25">
                  <c:v>30</c:v>
                </c:pt>
                <c:pt idx="26">
                  <c:v>26</c:v>
                </c:pt>
                <c:pt idx="27">
                  <c:v>25.5</c:v>
                </c:pt>
                <c:pt idx="28">
                  <c:v>24</c:v>
                </c:pt>
                <c:pt idx="29">
                  <c:v>24.5</c:v>
                </c:pt>
              </c:numCache>
            </c:numRef>
          </c:val>
        </c:ser>
        <c:marker val="1"/>
        <c:axId val="147382656"/>
        <c:axId val="147384192"/>
      </c:lineChart>
      <c:catAx>
        <c:axId val="14738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84192"/>
        <c:crosses val="autoZero"/>
        <c:auto val="1"/>
        <c:lblAlgn val="ctr"/>
        <c:lblOffset val="100"/>
      </c:catAx>
      <c:valAx>
        <c:axId val="147384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8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6085"/>
          <c:y val="0.62975887529635965"/>
          <c:w val="0.12164948453608219"/>
          <c:h val="4.49826989619474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</c:ser>
        <c:marker val="1"/>
        <c:axId val="147998976"/>
        <c:axId val="148004864"/>
      </c:lineChart>
      <c:catAx>
        <c:axId val="14799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004864"/>
        <c:crosses val="autoZero"/>
        <c:auto val="1"/>
        <c:lblAlgn val="ctr"/>
        <c:lblOffset val="100"/>
      </c:catAx>
      <c:valAx>
        <c:axId val="1480048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99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3724</c:v>
                </c:pt>
                <c:pt idx="19">
                  <c:v>4185</c:v>
                </c:pt>
                <c:pt idx="20">
                  <c:v>3745</c:v>
                </c:pt>
                <c:pt idx="21">
                  <c:v>3521</c:v>
                </c:pt>
                <c:pt idx="22">
                  <c:v>3844</c:v>
                </c:pt>
                <c:pt idx="23">
                  <c:v>4820</c:v>
                </c:pt>
                <c:pt idx="24">
                  <c:v>3887</c:v>
                </c:pt>
                <c:pt idx="25">
                  <c:v>4326</c:v>
                </c:pt>
                <c:pt idx="26">
                  <c:v>3661</c:v>
                </c:pt>
                <c:pt idx="27">
                  <c:v>4084</c:v>
                </c:pt>
                <c:pt idx="28">
                  <c:v>4531</c:v>
                </c:pt>
                <c:pt idx="29">
                  <c:v>4550</c:v>
                </c:pt>
                <c:pt idx="30">
                  <c:v>4760</c:v>
                </c:pt>
              </c:numCache>
            </c:numRef>
          </c:val>
        </c:ser>
        <c:marker val="1"/>
        <c:axId val="148012416"/>
        <c:axId val="147850368"/>
      </c:lineChart>
      <c:catAx>
        <c:axId val="14801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50368"/>
        <c:crosses val="autoZero"/>
        <c:auto val="1"/>
        <c:lblAlgn val="ctr"/>
        <c:lblOffset val="100"/>
      </c:catAx>
      <c:valAx>
        <c:axId val="147850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01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464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-18.3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49829504"/>
        <c:axId val="149831040"/>
      </c:lineChart>
      <c:catAx>
        <c:axId val="1498295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31040"/>
        <c:crosses val="autoZero"/>
        <c:auto val="1"/>
        <c:lblAlgn val="ctr"/>
        <c:lblOffset val="100"/>
      </c:catAx>
      <c:valAx>
        <c:axId val="1498310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2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4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OC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  <cell r="D32">
            <v>32287200</v>
          </cell>
          <cell r="E32">
            <v>3568</v>
          </cell>
          <cell r="F32">
            <v>3872020</v>
          </cell>
          <cell r="G32">
            <v>794</v>
          </cell>
          <cell r="H32">
            <v>17670874</v>
          </cell>
          <cell r="I32">
            <v>940</v>
          </cell>
          <cell r="J32">
            <v>28719638</v>
          </cell>
          <cell r="K32">
            <v>1056</v>
          </cell>
          <cell r="L32">
            <v>23688570</v>
          </cell>
          <cell r="M32">
            <v>5496</v>
          </cell>
          <cell r="N32">
            <v>11854</v>
          </cell>
          <cell r="O32">
            <v>0</v>
          </cell>
          <cell r="P32">
            <v>16346</v>
          </cell>
          <cell r="Q32">
            <v>4000</v>
          </cell>
          <cell r="R32">
            <v>7854</v>
          </cell>
          <cell r="S32">
            <v>9708</v>
          </cell>
          <cell r="T32">
            <v>13</v>
          </cell>
          <cell r="U32">
            <v>333763</v>
          </cell>
          <cell r="V32">
            <v>3020</v>
          </cell>
          <cell r="W32">
            <v>32049</v>
          </cell>
          <cell r="X32">
            <v>0</v>
          </cell>
          <cell r="Y32">
            <v>673052</v>
          </cell>
          <cell r="Z32">
            <v>0</v>
          </cell>
          <cell r="AA32">
            <v>35607</v>
          </cell>
          <cell r="AB32">
            <v>0</v>
          </cell>
          <cell r="AC32">
            <v>899488</v>
          </cell>
          <cell r="AD32">
            <v>0</v>
          </cell>
          <cell r="AE32">
            <v>13</v>
          </cell>
          <cell r="AF32">
            <v>3020</v>
          </cell>
          <cell r="AG32">
            <v>232.30769230769232</v>
          </cell>
          <cell r="AI32">
            <v>-448502</v>
          </cell>
        </row>
      </sheetData>
      <sheetData sheetId="3">
        <row r="34">
          <cell r="B34">
            <v>251</v>
          </cell>
          <cell r="C34">
            <v>257</v>
          </cell>
          <cell r="D34">
            <v>4</v>
          </cell>
          <cell r="E34">
            <v>33.520000000000003</v>
          </cell>
          <cell r="F34">
            <v>1648</v>
          </cell>
          <cell r="G34">
            <v>0</v>
          </cell>
          <cell r="H34">
            <v>357868</v>
          </cell>
          <cell r="I34">
            <v>0</v>
          </cell>
          <cell r="J34">
            <v>0</v>
          </cell>
          <cell r="K34">
            <v>2110</v>
          </cell>
          <cell r="L34">
            <v>0</v>
          </cell>
          <cell r="M34">
            <v>154820</v>
          </cell>
          <cell r="N34">
            <v>0</v>
          </cell>
          <cell r="O34">
            <v>211.87499999999994</v>
          </cell>
          <cell r="P34">
            <v>1839</v>
          </cell>
          <cell r="Q34">
            <v>156094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2448</v>
          </cell>
          <cell r="Y34">
            <v>0</v>
          </cell>
          <cell r="Z34">
            <v>137506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365210.2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62</v>
          </cell>
          <cell r="AO34">
            <v>1860</v>
          </cell>
          <cell r="AQ34">
            <v>1530</v>
          </cell>
          <cell r="AR34">
            <v>68</v>
          </cell>
          <cell r="AS34">
            <v>2040.0000000000002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109096</v>
          </cell>
          <cell r="C35">
            <v>0</v>
          </cell>
          <cell r="D35">
            <v>0</v>
          </cell>
          <cell r="E35">
            <v>250</v>
          </cell>
          <cell r="G35">
            <v>608742</v>
          </cell>
          <cell r="H35">
            <v>0</v>
          </cell>
          <cell r="I35">
            <v>0</v>
          </cell>
          <cell r="J35">
            <v>0</v>
          </cell>
          <cell r="K35">
            <v>6555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U35">
            <v>3</v>
          </cell>
          <cell r="V35">
            <v>452</v>
          </cell>
          <cell r="W35">
            <v>0</v>
          </cell>
          <cell r="X35">
            <v>147647</v>
          </cell>
          <cell r="Y35">
            <v>60</v>
          </cell>
          <cell r="Z35">
            <v>97058</v>
          </cell>
          <cell r="AA35">
            <v>23</v>
          </cell>
          <cell r="AB35">
            <v>264</v>
          </cell>
          <cell r="AC35">
            <v>698</v>
          </cell>
          <cell r="AD35">
            <v>0</v>
          </cell>
          <cell r="AE35">
            <v>217.84</v>
          </cell>
          <cell r="AF35">
            <v>0</v>
          </cell>
          <cell r="AG35">
            <v>2176.58</v>
          </cell>
          <cell r="AH35">
            <v>0</v>
          </cell>
          <cell r="AI35">
            <v>0</v>
          </cell>
          <cell r="AJ35">
            <v>23</v>
          </cell>
          <cell r="AK35">
            <v>60</v>
          </cell>
          <cell r="AL35">
            <v>23</v>
          </cell>
          <cell r="AM35">
            <v>28.5</v>
          </cell>
          <cell r="AN35">
            <v>0</v>
          </cell>
          <cell r="AP35">
            <v>0</v>
          </cell>
          <cell r="AR35">
            <v>44104</v>
          </cell>
          <cell r="AS35">
            <v>0.9</v>
          </cell>
          <cell r="AT35">
            <v>63</v>
          </cell>
          <cell r="AU35">
            <v>1.1000000000000001</v>
          </cell>
          <cell r="AV35">
            <v>41</v>
          </cell>
          <cell r="AW35">
            <v>2.9</v>
          </cell>
          <cell r="AX35">
            <v>44</v>
          </cell>
          <cell r="AY35">
            <v>56.7</v>
          </cell>
          <cell r="AZ35">
            <v>45.1</v>
          </cell>
          <cell r="BA35">
            <v>127.6</v>
          </cell>
          <cell r="BB35">
            <v>-98.100000000000009</v>
          </cell>
          <cell r="BC35">
            <v>12.100000000000001</v>
          </cell>
          <cell r="BD35">
            <v>31.899999999999991</v>
          </cell>
          <cell r="BE35">
            <v>-54.100000000000009</v>
          </cell>
          <cell r="BF35">
            <v>54.100000000000009</v>
          </cell>
          <cell r="BG35">
            <v>-54.100000000000009</v>
          </cell>
        </row>
      </sheetData>
      <sheetData sheetId="5"/>
      <sheetData sheetId="6"/>
      <sheetData sheetId="7">
        <row r="35">
          <cell r="B35">
            <v>251</v>
          </cell>
          <cell r="C35">
            <v>5400.5483870967737</v>
          </cell>
          <cell r="D35">
            <v>251</v>
          </cell>
          <cell r="E35">
            <v>5400.5483870967737</v>
          </cell>
          <cell r="F35">
            <v>251</v>
          </cell>
          <cell r="G35">
            <v>5400.5483870967737</v>
          </cell>
          <cell r="H35">
            <v>251</v>
          </cell>
          <cell r="I35">
            <v>5400.5483870967737</v>
          </cell>
          <cell r="J35">
            <v>251</v>
          </cell>
          <cell r="K35">
            <v>5400.5483870967737</v>
          </cell>
          <cell r="L35">
            <v>251</v>
          </cell>
          <cell r="M35">
            <v>5400.5483870967737</v>
          </cell>
          <cell r="N35">
            <v>251</v>
          </cell>
          <cell r="O35">
            <v>5400.5483870967737</v>
          </cell>
          <cell r="P35">
            <v>251</v>
          </cell>
          <cell r="Q35">
            <v>5400.5483870967737</v>
          </cell>
          <cell r="R35">
            <v>251</v>
          </cell>
          <cell r="S35">
            <v>5400.5483870967737</v>
          </cell>
          <cell r="T35">
            <v>251</v>
          </cell>
          <cell r="U35">
            <v>5400.5483870967737</v>
          </cell>
          <cell r="V35">
            <v>251</v>
          </cell>
          <cell r="W35">
            <v>5400.5483870967737</v>
          </cell>
          <cell r="X35">
            <v>0.80967741935483861</v>
          </cell>
          <cell r="Y35">
            <v>59406.032258064508</v>
          </cell>
          <cell r="Z35">
            <v>257</v>
          </cell>
          <cell r="AA35">
            <v>2570</v>
          </cell>
          <cell r="AB35">
            <v>257</v>
          </cell>
          <cell r="AC35">
            <v>2570</v>
          </cell>
          <cell r="AD35">
            <v>257</v>
          </cell>
          <cell r="AE35">
            <v>2570</v>
          </cell>
          <cell r="AF35">
            <v>257</v>
          </cell>
          <cell r="AG35">
            <v>2570</v>
          </cell>
          <cell r="AH35">
            <v>257</v>
          </cell>
          <cell r="AI35">
            <v>2570</v>
          </cell>
          <cell r="AJ35">
            <v>257</v>
          </cell>
          <cell r="AK35">
            <v>2570</v>
          </cell>
          <cell r="AL35">
            <v>257</v>
          </cell>
          <cell r="AM35">
            <v>2570</v>
          </cell>
          <cell r="AN35">
            <v>0.91785714285714282</v>
          </cell>
          <cell r="AO35">
            <v>17990</v>
          </cell>
          <cell r="AQ35">
            <v>0.83248394383203739</v>
          </cell>
          <cell r="AR35">
            <v>77396.032258064515</v>
          </cell>
          <cell r="AS35">
            <v>-1274.0451612903271</v>
          </cell>
          <cell r="AV35">
            <v>0.503</v>
          </cell>
          <cell r="AW35">
            <v>0</v>
          </cell>
          <cell r="AX35">
            <v>-1274.0451612903271</v>
          </cell>
          <cell r="AY35">
            <v>-1274.0451612903271</v>
          </cell>
          <cell r="AZ35">
            <v>0</v>
          </cell>
          <cell r="BA35">
            <v>28.5</v>
          </cell>
          <cell r="BB35">
            <v>0.65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  <cell r="C32">
            <v>6</v>
          </cell>
          <cell r="D32">
            <v>244563</v>
          </cell>
          <cell r="E32">
            <v>1004</v>
          </cell>
          <cell r="F32">
            <v>167.33333333333334</v>
          </cell>
          <cell r="H32">
            <v>9298</v>
          </cell>
          <cell r="I32" t="str">
            <v>ok</v>
          </cell>
          <cell r="J32">
            <v>10698</v>
          </cell>
          <cell r="K32">
            <v>0</v>
          </cell>
          <cell r="L32">
            <v>238500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11705</v>
          </cell>
          <cell r="S32">
            <v>0</v>
          </cell>
          <cell r="T32">
            <v>357658</v>
          </cell>
          <cell r="U32">
            <v>0</v>
          </cell>
          <cell r="V32">
            <v>0</v>
          </cell>
          <cell r="X32">
            <v>12609</v>
          </cell>
          <cell r="Y32" t="str">
            <v>ok</v>
          </cell>
          <cell r="Z32">
            <v>6</v>
          </cell>
          <cell r="AA32">
            <v>1004</v>
          </cell>
          <cell r="AB32">
            <v>167.33333333333334</v>
          </cell>
          <cell r="AC32">
            <v>167.33333333333334</v>
          </cell>
          <cell r="AD32">
            <v>4000</v>
          </cell>
          <cell r="AE32">
            <v>666.66666666666663</v>
          </cell>
          <cell r="AF32">
            <v>0.41666666666666663</v>
          </cell>
          <cell r="AG32">
            <v>133.33333333333331</v>
          </cell>
          <cell r="AH32">
            <v>34.000000000000028</v>
          </cell>
          <cell r="AI32">
            <v>1029.535864978903</v>
          </cell>
          <cell r="AJ32">
            <v>0.25738396624472576</v>
          </cell>
          <cell r="AK32">
            <v>171.58931082981715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V26">
            <v>119653</v>
          </cell>
          <cell r="W26">
            <v>164328</v>
          </cell>
          <cell r="X26" t="str">
            <v>Night</v>
          </cell>
          <cell r="Y26">
            <v>80</v>
          </cell>
          <cell r="Z26">
            <v>1</v>
          </cell>
          <cell r="AA26">
            <v>44675</v>
          </cell>
          <cell r="AB26">
            <v>3574000</v>
          </cell>
          <cell r="AC26">
            <v>1033333</v>
          </cell>
          <cell r="AD26">
            <v>0.37081458855558691</v>
          </cell>
        </row>
        <row r="27">
          <cell r="V27">
            <v>182116</v>
          </cell>
          <cell r="W27">
            <v>242131</v>
          </cell>
          <cell r="Y27">
            <v>112</v>
          </cell>
          <cell r="Z27">
            <v>1</v>
          </cell>
          <cell r="AA27">
            <v>60015</v>
          </cell>
          <cell r="AB27">
            <v>6721680</v>
          </cell>
          <cell r="AC27">
            <v>6200000</v>
          </cell>
          <cell r="AD27">
            <v>0.49814073938810405</v>
          </cell>
        </row>
        <row r="28">
          <cell r="V28">
            <v>47510</v>
          </cell>
          <cell r="W28">
            <v>63298</v>
          </cell>
          <cell r="Y28">
            <v>320</v>
          </cell>
          <cell r="Z28">
            <v>1</v>
          </cell>
          <cell r="AA28">
            <v>15788</v>
          </cell>
          <cell r="AB28">
            <v>5052160</v>
          </cell>
          <cell r="AC28">
            <v>1000</v>
          </cell>
          <cell r="AD28">
            <v>0.13104467205630904</v>
          </cell>
        </row>
        <row r="29">
          <cell r="AA29">
            <v>120478</v>
          </cell>
        </row>
        <row r="30">
          <cell r="W30">
            <v>0</v>
          </cell>
          <cell r="AB30">
            <v>15347840</v>
          </cell>
          <cell r="AC30">
            <v>7234333</v>
          </cell>
        </row>
        <row r="31">
          <cell r="W31">
            <v>151</v>
          </cell>
          <cell r="Y31">
            <v>2.5166666666666666</v>
          </cell>
          <cell r="AB31">
            <v>22582173</v>
          </cell>
          <cell r="AC31">
            <v>7234333</v>
          </cell>
        </row>
        <row r="32">
          <cell r="W32">
            <v>0</v>
          </cell>
        </row>
        <row r="33">
          <cell r="B33">
            <v>469756</v>
          </cell>
          <cell r="C33">
            <v>4253</v>
          </cell>
          <cell r="D33">
            <v>4254</v>
          </cell>
          <cell r="E33">
            <v>469757</v>
          </cell>
          <cell r="F33">
            <v>63298</v>
          </cell>
          <cell r="G33">
            <v>695</v>
          </cell>
          <cell r="H33">
            <v>242131</v>
          </cell>
          <cell r="I33">
            <v>1832</v>
          </cell>
          <cell r="J33">
            <v>164328</v>
          </cell>
          <cell r="K33">
            <v>1727</v>
          </cell>
          <cell r="L33">
            <v>147.5290215588723</v>
          </cell>
          <cell r="M33">
            <v>136.10878938640133</v>
          </cell>
          <cell r="N33">
            <v>91.64842454394693</v>
          </cell>
          <cell r="O33">
            <v>159.96313985627418</v>
          </cell>
          <cell r="P33">
            <v>535.24937534549474</v>
          </cell>
          <cell r="Q33">
            <v>656.55793978494864</v>
          </cell>
          <cell r="R33">
            <v>1191.8073151304434</v>
          </cell>
          <cell r="S33">
            <v>11854</v>
          </cell>
          <cell r="T33">
            <v>0.100540519245018</v>
          </cell>
          <cell r="W33">
            <v>306.99999999999983</v>
          </cell>
        </row>
        <row r="35">
          <cell r="AB35">
            <v>2484039.0299999998</v>
          </cell>
        </row>
        <row r="36">
          <cell r="AB36">
            <v>25066212.030000001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/>
      <sheetData sheetId="9"/>
      <sheetData sheetId="10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D6">
            <v>19000</v>
          </cell>
        </row>
        <row r="7">
          <cell r="D7">
            <v>1000</v>
          </cell>
        </row>
        <row r="8">
          <cell r="D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>
        <row r="36">
          <cell r="V36">
            <v>8180</v>
          </cell>
        </row>
      </sheetData>
      <sheetData sheetId="4" refreshError="1"/>
      <sheetData sheetId="5" refreshError="1"/>
      <sheetData sheetId="6" refreshError="1"/>
      <sheetData sheetId="7">
        <row r="37">
          <cell r="AX37">
            <v>-53404.048387096751</v>
          </cell>
        </row>
      </sheetData>
      <sheetData sheetId="8">
        <row r="34">
          <cell r="Z34">
            <v>247.5</v>
          </cell>
        </row>
      </sheetData>
      <sheetData sheetId="9" refreshError="1"/>
      <sheetData sheetId="10" refreshError="1"/>
      <sheetData sheetId="11" refreshError="1"/>
      <sheetData sheetId="12">
        <row r="29">
          <cell r="AA29">
            <v>327482</v>
          </cell>
        </row>
      </sheetData>
      <sheetData sheetId="13" refreshError="1"/>
      <sheetData sheetId="14">
        <row r="6">
          <cell r="C6">
            <v>3527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25.306451612903224</v>
          </cell>
        </row>
        <row r="17">
          <cell r="C17">
            <v>0.45897096774193541</v>
          </cell>
        </row>
        <row r="18">
          <cell r="C18">
            <v>247.5</v>
          </cell>
        </row>
        <row r="19">
          <cell r="C19">
            <v>7.9838709677419351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31" sqref="O3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7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4" t="s">
        <v>403</v>
      </c>
      <c r="N1" s="505" t="s">
        <v>404</v>
      </c>
      <c r="O1" s="275" t="s">
        <v>346</v>
      </c>
    </row>
    <row r="2" spans="1:15">
      <c r="A2" t="s">
        <v>347</v>
      </c>
      <c r="B2">
        <v>1</v>
      </c>
      <c r="C2">
        <v>10</v>
      </c>
      <c r="D2">
        <v>2020</v>
      </c>
      <c r="E2" s="204">
        <f>ELEC!N3</f>
        <v>10203</v>
      </c>
      <c r="F2" s="333">
        <f>SUM('EDl log'!T4)</f>
        <v>8.3361968137023776E-2</v>
      </c>
      <c r="G2" s="204">
        <f>-tanks!AW6</f>
        <v>1.7999999999883585</v>
      </c>
      <c r="H2" s="333">
        <f>SUM(tanks!AV6)</f>
        <v>0.503</v>
      </c>
      <c r="I2" s="10">
        <f>('B5'!AU5)*0.51</f>
        <v>-15.3</v>
      </c>
      <c r="J2" s="312">
        <f>'B5'!AX5/0.51</f>
        <v>1.5686274509803921</v>
      </c>
      <c r="K2" s="204">
        <f>WATER!I6</f>
        <v>0</v>
      </c>
      <c r="L2" s="334">
        <f>SUM(WATER!J6)</f>
        <v>0</v>
      </c>
      <c r="M2" s="334">
        <f>WATER!Q6</f>
        <v>0</v>
      </c>
      <c r="N2" s="506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10</v>
      </c>
      <c r="D3">
        <v>2020</v>
      </c>
      <c r="E3" s="204">
        <f>ELEC!N4</f>
        <v>10041</v>
      </c>
      <c r="F3" s="333">
        <f>SUM('EDl log'!T5)</f>
        <v>6.3172544846351888E-2</v>
      </c>
      <c r="G3" s="204">
        <f>-tanks!AW7</f>
        <v>232</v>
      </c>
      <c r="H3" s="333">
        <f>SUM(tanks!AV7)</f>
        <v>0.503</v>
      </c>
      <c r="I3" s="10">
        <f>('B5'!AU6)*0.51</f>
        <v>0</v>
      </c>
      <c r="J3" s="312">
        <f>'B5'!AX6/0.51</f>
        <v>1.5686274509803921</v>
      </c>
      <c r="K3" s="204">
        <f>WATER!I7</f>
        <v>90</v>
      </c>
      <c r="L3" s="334">
        <f>SUM(WATER!J7)</f>
        <v>2.6881720430107525</v>
      </c>
      <c r="M3" s="334">
        <f>WATER!Q7</f>
        <v>0</v>
      </c>
      <c r="N3" s="506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ELEC!N5</f>
        <v>8684</v>
      </c>
      <c r="F4" s="333">
        <f>SUM('EDl log'!T6)</f>
        <v>8.7848016870361173E-2</v>
      </c>
      <c r="G4" s="204">
        <f>-tanks!AW8</f>
        <v>116</v>
      </c>
      <c r="H4" s="333">
        <f>SUM(tanks!AV8)</f>
        <v>0.503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6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10</v>
      </c>
      <c r="D5">
        <v>2020</v>
      </c>
      <c r="E5" s="204">
        <f>ELEC!N6</f>
        <v>7992</v>
      </c>
      <c r="F5" s="333">
        <f>SUM('EDl log'!T7)</f>
        <v>0.10340537685509388</v>
      </c>
      <c r="G5" s="204">
        <f>-tanks!AW9</f>
        <v>53</v>
      </c>
      <c r="H5" s="333">
        <f>SUM(tanks!AV9)</f>
        <v>0.503</v>
      </c>
      <c r="I5" s="10">
        <f>('B5'!AU8)*0.51</f>
        <v>0</v>
      </c>
      <c r="J5" s="312">
        <f>'B5'!AX8/0.51</f>
        <v>1.5686274509803921</v>
      </c>
      <c r="K5" s="204">
        <f>WATER!I9</f>
        <v>98</v>
      </c>
      <c r="L5" s="334">
        <f>SUM(WATER!J9)</f>
        <v>2.4687294272547731</v>
      </c>
      <c r="M5" s="334">
        <f>WATER!Q9</f>
        <v>0</v>
      </c>
      <c r="N5" s="506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10</v>
      </c>
      <c r="D6">
        <v>2020</v>
      </c>
      <c r="E6" s="204">
        <f>ELEC!N7</f>
        <v>9176</v>
      </c>
      <c r="F6" s="333">
        <f>SUM('EDl log'!T8)</f>
        <v>8.4698829852470278E-2</v>
      </c>
      <c r="G6" s="204">
        <f>-tanks!AW10</f>
        <v>96</v>
      </c>
      <c r="H6" s="333">
        <f>SUM(tanks!AV10)</f>
        <v>0.503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6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10</v>
      </c>
      <c r="D7">
        <v>2020</v>
      </c>
      <c r="E7" s="204">
        <f>ELEC!N8</f>
        <v>10962</v>
      </c>
      <c r="F7" s="333">
        <f>SUM('EDl log'!T9)</f>
        <v>7.0258535788812901E-2</v>
      </c>
      <c r="G7" s="204">
        <f>-tanks!AW11</f>
        <v>145</v>
      </c>
      <c r="H7" s="333">
        <f>SUM(tanks!AV11)</f>
        <v>0.503</v>
      </c>
      <c r="I7" s="10">
        <f>('B5'!AU10)*0.51</f>
        <v>0</v>
      </c>
      <c r="J7" s="312">
        <f>'B5'!AX10/0.51</f>
        <v>1.5686274509803921</v>
      </c>
      <c r="K7" s="204">
        <f>WATER!I11</f>
        <v>90</v>
      </c>
      <c r="L7" s="334">
        <f>SUM(WATER!J11)</f>
        <v>2.6881720430107525</v>
      </c>
      <c r="M7" s="334">
        <f>WATER!Q11</f>
        <v>0</v>
      </c>
      <c r="N7" s="506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10</v>
      </c>
      <c r="D8">
        <v>2020</v>
      </c>
      <c r="E8" s="204">
        <f>ELEC!N9</f>
        <v>11040</v>
      </c>
      <c r="F8" s="333">
        <f>SUM('EDl log'!T10)</f>
        <v>9.1487366462364314E-2</v>
      </c>
      <c r="G8" s="204">
        <f>-tanks!AW12</f>
        <v>146</v>
      </c>
      <c r="H8" s="333">
        <f>SUM(tanks!AV12)</f>
        <v>0.503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6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10</v>
      </c>
      <c r="D9">
        <v>2020</v>
      </c>
      <c r="E9" s="204">
        <f>ELEC!N10</f>
        <v>11456</v>
      </c>
      <c r="F9" s="333">
        <f>SUM('EDl log'!T11)</f>
        <v>8.5587346930113481E-2</v>
      </c>
      <c r="G9" s="204">
        <f>-tanks!AW13</f>
        <v>115</v>
      </c>
      <c r="H9" s="333">
        <f>SUM(tanks!AV13)</f>
        <v>0.503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6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10</v>
      </c>
      <c r="D10">
        <v>2020</v>
      </c>
      <c r="E10" s="204">
        <f>ELEC!N11</f>
        <v>10070</v>
      </c>
      <c r="F10" s="333">
        <f>SUM('EDl log'!T12)</f>
        <v>9.5535214328576687E-2</v>
      </c>
      <c r="G10" s="204">
        <f>-tanks!AW14</f>
        <v>110</v>
      </c>
      <c r="H10" s="333">
        <f>SUM(tanks!AV14)</f>
        <v>0.503</v>
      </c>
      <c r="I10" s="10">
        <f>('B5'!AU13)*0.51</f>
        <v>0</v>
      </c>
      <c r="J10" s="312">
        <f>'B5'!AX13/0.51</f>
        <v>1.5686274509803921</v>
      </c>
      <c r="K10" s="204">
        <f>WATER!I14</f>
        <v>87</v>
      </c>
      <c r="L10" s="334">
        <f>SUM(WATER!J14)</f>
        <v>2.7808676307007785</v>
      </c>
      <c r="M10" s="334">
        <f>WATER!Q14</f>
        <v>0</v>
      </c>
      <c r="N10" s="506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10</v>
      </c>
      <c r="D11">
        <v>2020</v>
      </c>
      <c r="E11" s="204">
        <f>ELEC!N12</f>
        <v>9759</v>
      </c>
      <c r="F11" s="333">
        <f>SUM('EDl log'!T13)</f>
        <v>8.0451157300847356E-2</v>
      </c>
      <c r="G11" s="204">
        <f>-tanks!AW15</f>
        <v>115</v>
      </c>
      <c r="H11" s="333">
        <f>SUM(tanks!AV15)</f>
        <v>0.503</v>
      </c>
      <c r="I11" s="10">
        <f>('B5'!AU14)*0.51</f>
        <v>0</v>
      </c>
      <c r="J11" s="312">
        <f>'B5'!AX14/0.51</f>
        <v>1.5686274509803921</v>
      </c>
      <c r="K11" s="204">
        <f>WATER!I15</f>
        <v>105</v>
      </c>
      <c r="L11" s="334">
        <f>SUM(WATER!J15)</f>
        <v>2.3041474654377883</v>
      </c>
      <c r="M11" s="334">
        <f>WATER!Q15</f>
        <v>0</v>
      </c>
      <c r="N11" s="506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10</v>
      </c>
      <c r="D12">
        <v>2020</v>
      </c>
      <c r="E12" s="204">
        <f>ELEC!N13</f>
        <v>10551</v>
      </c>
      <c r="F12" s="333">
        <f>SUM('EDl log'!T14)</f>
        <v>7.7669150802608611E-2</v>
      </c>
      <c r="G12" s="204">
        <f>-tanks!AW16</f>
        <v>132</v>
      </c>
      <c r="H12" s="333">
        <f>SUM(tanks!AV16)</f>
        <v>0.503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6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10</v>
      </c>
      <c r="D13">
        <v>2020</v>
      </c>
      <c r="E13" s="204">
        <f>ELEC!N14</f>
        <v>11193</v>
      </c>
      <c r="F13" s="333">
        <f>SUM('EDl log'!T15)</f>
        <v>7.9304085365302007E-2</v>
      </c>
      <c r="G13" s="204">
        <f>-tanks!AW17</f>
        <v>111</v>
      </c>
      <c r="H13" s="333">
        <f>SUM(tanks!AV17)</f>
        <v>0.503</v>
      </c>
      <c r="I13" s="10">
        <f>('B5'!AU16)*0.51</f>
        <v>0</v>
      </c>
      <c r="J13" s="312">
        <f>'B5'!AX16/0.51</f>
        <v>1.5686274509803921</v>
      </c>
      <c r="K13" s="204">
        <f>WATER!I17</f>
        <v>96</v>
      </c>
      <c r="L13" s="334">
        <f>SUM(WATER!J17)</f>
        <v>2.5201612903225805</v>
      </c>
      <c r="M13" s="334">
        <f>WATER!Q17</f>
        <v>0</v>
      </c>
      <c r="N13" s="506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10</v>
      </c>
      <c r="D14">
        <v>2020</v>
      </c>
      <c r="E14" s="204">
        <f>ELEC!N15</f>
        <v>11177</v>
      </c>
      <c r="F14" s="333">
        <f>SUM('EDl log'!T16)</f>
        <v>9.9423164485070215E-2</v>
      </c>
      <c r="G14" s="204">
        <f>-tanks!AW18</f>
        <v>0</v>
      </c>
      <c r="H14" s="333">
        <f>SUM(tanks!AV18)</f>
        <v>0.503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6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10</v>
      </c>
      <c r="D15">
        <v>2020</v>
      </c>
      <c r="E15" s="204">
        <f>ELEC!N16</f>
        <v>10182</v>
      </c>
      <c r="F15" s="333">
        <f>SUM('EDl log'!T17)</f>
        <v>8.6701020387604369E-2</v>
      </c>
      <c r="G15" s="204">
        <f>-tanks!AW19</f>
        <v>126</v>
      </c>
      <c r="H15" s="333">
        <f>SUM(tanks!AV19)</f>
        <v>0.503</v>
      </c>
      <c r="I15" s="10">
        <f>('B5'!AU18)*0.51</f>
        <v>0</v>
      </c>
      <c r="J15" s="312">
        <f>'B5'!AX18/0.51</f>
        <v>1.5686274509803921</v>
      </c>
      <c r="K15" s="204">
        <f>WATER!I19</f>
        <v>239</v>
      </c>
      <c r="L15" s="334">
        <f>SUM(WATER!J19)</f>
        <v>1.679060601970576</v>
      </c>
      <c r="M15" s="334">
        <f>WATER!Q19</f>
        <v>0</v>
      </c>
      <c r="N15" s="506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10</v>
      </c>
      <c r="D16">
        <v>2020</v>
      </c>
      <c r="E16" s="204">
        <f>ELEC!N17</f>
        <v>9917</v>
      </c>
      <c r="F16" s="333">
        <f>SUM('EDl log'!T18)</f>
        <v>8.6955661082051633E-2</v>
      </c>
      <c r="G16" s="204">
        <f>-tanks!AW20</f>
        <v>211</v>
      </c>
      <c r="H16" s="333">
        <f>SUM(tanks!AV20)</f>
        <v>0.503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6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10</v>
      </c>
      <c r="D17">
        <v>2020</v>
      </c>
      <c r="E17" s="204">
        <f>ELEC!N18</f>
        <v>9359</v>
      </c>
      <c r="F17" s="333">
        <f>SUM('EDl log'!T19)</f>
        <v>9.5855645208830567E-2</v>
      </c>
      <c r="G17" s="204">
        <f>-tanks!AW21</f>
        <v>79</v>
      </c>
      <c r="H17" s="333">
        <f>SUM(tanks!AV21)</f>
        <v>0.503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6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10</v>
      </c>
      <c r="D18">
        <v>2020</v>
      </c>
      <c r="E18" s="204">
        <f>ELEC!N19</f>
        <v>9178</v>
      </c>
      <c r="F18" s="333">
        <f>SUM('EDl log'!T20)</f>
        <v>7.5311032125834329E-2</v>
      </c>
      <c r="G18" s="204">
        <f>-tanks!AW22</f>
        <v>173</v>
      </c>
      <c r="H18" s="333">
        <f>SUM(tanks!AV22)</f>
        <v>0.503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6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10</v>
      </c>
      <c r="D19">
        <v>2020</v>
      </c>
      <c r="E19" s="204">
        <f>ELEC!N20</f>
        <v>8824</v>
      </c>
      <c r="F19" s="333">
        <f>SUM('EDl log'!T21)</f>
        <v>9.9846629490985633E-2</v>
      </c>
      <c r="G19" s="204">
        <f>-tanks!AW23</f>
        <v>141</v>
      </c>
      <c r="H19" s="333">
        <f>SUM(tanks!AV23)</f>
        <v>0.503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6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10</v>
      </c>
      <c r="D20">
        <v>2020</v>
      </c>
      <c r="E20" s="204">
        <f>ELEC!N21</f>
        <v>9544</v>
      </c>
      <c r="F20" s="333">
        <f>SUM('EDl log'!T22)</f>
        <v>6.943049843158948E-2</v>
      </c>
      <c r="G20" s="204">
        <f>-tanks!AW24</f>
        <v>121</v>
      </c>
      <c r="H20" s="333">
        <f>SUM(tanks!AV24)</f>
        <v>0.503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6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10</v>
      </c>
      <c r="D21">
        <v>2020</v>
      </c>
      <c r="E21" s="204">
        <f>ELEC!N22</f>
        <v>9684</v>
      </c>
      <c r="F21" s="333">
        <f>SUM('EDl log'!T23)</f>
        <v>0.10665359190765138</v>
      </c>
      <c r="G21" s="204">
        <f>-tanks!AW25</f>
        <v>122</v>
      </c>
      <c r="H21" s="333">
        <f>SUM(tanks!AV25)</f>
        <v>0.503</v>
      </c>
      <c r="I21" s="10">
        <f>('B5'!AU24)*0.51</f>
        <v>0</v>
      </c>
      <c r="J21" s="312">
        <f>'B5'!AX24/0.51</f>
        <v>1.5686274509803921</v>
      </c>
      <c r="K21" s="204">
        <f>WATER!I25</f>
        <v>428</v>
      </c>
      <c r="L21" s="334">
        <f>SUM(WATER!J25)</f>
        <v>0.56526982212842936</v>
      </c>
      <c r="M21" s="334">
        <f>WATER!Q25</f>
        <v>0</v>
      </c>
      <c r="N21" s="506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10</v>
      </c>
      <c r="D22">
        <v>2020</v>
      </c>
      <c r="E22" s="204">
        <f>ELEC!N23</f>
        <v>9285</v>
      </c>
      <c r="F22" s="333">
        <f>SUM('EDl log'!T24)</f>
        <v>1.6921366368901205E-2</v>
      </c>
      <c r="G22" s="204">
        <f>-tanks!AW26</f>
        <v>136</v>
      </c>
      <c r="H22" s="333">
        <f>SUM(tanks!AV26)</f>
        <v>0.52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6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10</v>
      </c>
      <c r="D23">
        <v>2020</v>
      </c>
      <c r="E23" s="204">
        <f>ELEC!N24</f>
        <v>10813</v>
      </c>
      <c r="F23" s="333">
        <f>SUM('EDl log'!T25)</f>
        <v>0.10937083400570295</v>
      </c>
      <c r="G23" s="204">
        <f>-tanks!AW27</f>
        <v>114</v>
      </c>
      <c r="H23" s="333">
        <f>SUM(tanks!AV27)</f>
        <v>0.52</v>
      </c>
      <c r="I23" s="10">
        <f>('B5'!AU26)*0.51</f>
        <v>0</v>
      </c>
      <c r="J23" s="312">
        <f>'B5'!AX26/0.51</f>
        <v>1.5686274509803921</v>
      </c>
      <c r="K23" s="204">
        <f>WATER!I27</f>
        <v>110</v>
      </c>
      <c r="L23" s="334">
        <f>SUM(WATER!J27)</f>
        <v>2.1994134897360702</v>
      </c>
      <c r="M23" s="334">
        <f>WATER!Q27</f>
        <v>0</v>
      </c>
      <c r="N23" s="506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10</v>
      </c>
      <c r="D24">
        <v>2020</v>
      </c>
      <c r="E24" s="204">
        <f>ELEC!N25</f>
        <v>11168</v>
      </c>
      <c r="F24" s="333">
        <f>SUM('EDl log'!T26)</f>
        <v>7.786879639290567E-2</v>
      </c>
      <c r="G24" s="204">
        <f>-tanks!AW28</f>
        <v>121</v>
      </c>
      <c r="H24" s="333">
        <f>SUM(tanks!AV28)</f>
        <v>0.52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6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10</v>
      </c>
      <c r="D25">
        <v>2020</v>
      </c>
      <c r="E25" s="204">
        <f>ELEC!N26</f>
        <v>9035</v>
      </c>
      <c r="F25" s="333">
        <f>SUM('EDl log'!T27)</f>
        <v>8.4408510302928216E-2</v>
      </c>
      <c r="G25" s="204">
        <f>-tanks!AW29</f>
        <v>85</v>
      </c>
      <c r="H25" s="333">
        <f>SUM(tanks!AV29)</f>
        <v>0.52</v>
      </c>
      <c r="I25" s="10">
        <f>('B5'!AU28)*0.51</f>
        <v>0</v>
      </c>
      <c r="J25" s="312">
        <f>'B5'!AX28/0.51</f>
        <v>1.5686274509803921</v>
      </c>
      <c r="K25" s="204">
        <f>WATER!I29</f>
        <v>110</v>
      </c>
      <c r="L25" s="334">
        <f>SUM(WATER!J29)</f>
        <v>2.1994134897360702</v>
      </c>
      <c r="M25" s="334">
        <f>WATER!Q29</f>
        <v>0</v>
      </c>
      <c r="N25" s="506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10</v>
      </c>
      <c r="D26">
        <v>2020</v>
      </c>
      <c r="E26" s="204">
        <f>ELEC!N27</f>
        <v>10172</v>
      </c>
      <c r="F26" s="333">
        <f>SUM('EDl log'!T28)</f>
        <v>8.5946161152249484E-2</v>
      </c>
      <c r="G26" s="204">
        <f>-tanks!AW30</f>
        <v>148</v>
      </c>
      <c r="H26" s="333">
        <f>SUM(tanks!AV30)</f>
        <v>0.52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6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10</v>
      </c>
      <c r="D27">
        <v>2020</v>
      </c>
      <c r="E27" s="204">
        <f>ELEC!N28</f>
        <v>9306</v>
      </c>
      <c r="F27" s="333">
        <f>SUM('EDl log'!T29)</f>
        <v>9.6898895058009471E-2</v>
      </c>
      <c r="G27" s="204">
        <f>-tanks!AW31</f>
        <v>159</v>
      </c>
      <c r="H27" s="333">
        <f>SUM(tanks!AV31)</f>
        <v>0.52</v>
      </c>
      <c r="I27" s="10">
        <f>('B5'!AU30)*0.51</f>
        <v>0</v>
      </c>
      <c r="J27" s="312">
        <f>'B5'!AX30/0.51</f>
        <v>1.5686274509803921</v>
      </c>
      <c r="K27" s="204">
        <f>WATER!I31</f>
        <v>198</v>
      </c>
      <c r="L27" s="334">
        <f>SUM(WATER!J31)</f>
        <v>1.4734115347018573</v>
      </c>
      <c r="M27" s="334">
        <f>WATER!Q31</f>
        <v>0</v>
      </c>
      <c r="N27" s="506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10</v>
      </c>
      <c r="D28">
        <v>2020</v>
      </c>
      <c r="E28" s="204">
        <f>ELEC!N29</f>
        <v>10645</v>
      </c>
      <c r="F28" s="333">
        <f>SUM('EDl log'!T30)</f>
        <v>0.10094473001710005</v>
      </c>
      <c r="G28" s="204">
        <f>-tanks!AW32</f>
        <v>165</v>
      </c>
      <c r="H28" s="333">
        <f>SUM(tanks!AV32)</f>
        <v>0.52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6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10</v>
      </c>
      <c r="D29">
        <v>2020</v>
      </c>
      <c r="E29" s="204">
        <f>ELEC!N30</f>
        <v>10433</v>
      </c>
      <c r="F29" s="333">
        <f>SUM('EDl log'!T31)</f>
        <v>-3.3512491335516408E-3</v>
      </c>
      <c r="G29" s="204">
        <f>-tanks!AW33</f>
        <v>172</v>
      </c>
      <c r="H29" s="333">
        <f>SUM(tanks!AV33)</f>
        <v>0.5</v>
      </c>
      <c r="I29" s="10">
        <f>('B5'!AU32)*0.51</f>
        <v>0</v>
      </c>
      <c r="J29" s="312">
        <f>'B5'!AX32/0.51</f>
        <v>1.5686274509803921</v>
      </c>
      <c r="K29" s="204">
        <f>WATER!I33</f>
        <v>106</v>
      </c>
      <c r="L29" s="334">
        <f>SUM(WATER!J33)</f>
        <v>2.2824102251978089</v>
      </c>
      <c r="M29" s="334">
        <f>WATER!Q33</f>
        <v>0</v>
      </c>
      <c r="N29" s="506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10</v>
      </c>
      <c r="D30">
        <v>2020</v>
      </c>
      <c r="E30" s="204">
        <f>ELEC!N31</f>
        <v>10482</v>
      </c>
      <c r="F30" s="333">
        <f>SUM('EDl log'!T32)</f>
        <v>9.3179674007708491E-2</v>
      </c>
      <c r="G30" s="204">
        <f>-tanks!AW34</f>
        <v>165</v>
      </c>
      <c r="H30" s="333">
        <f>SUM(tanks!AV34)</f>
        <v>0.5</v>
      </c>
      <c r="I30" s="10">
        <f>('B5'!AU33)*0.51</f>
        <v>0</v>
      </c>
      <c r="J30" s="312">
        <f>'B5'!AX33/0.51</f>
        <v>1.5686274509803921</v>
      </c>
      <c r="K30" s="204">
        <f>WATER!I34</f>
        <v>95</v>
      </c>
      <c r="L30" s="334">
        <f>SUM(WATER!J34)</f>
        <v>4.2066893039049233</v>
      </c>
      <c r="M30" s="334">
        <f>WATER!Q34</f>
        <v>0</v>
      </c>
      <c r="N30" s="506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10</v>
      </c>
      <c r="D31">
        <v>2020</v>
      </c>
      <c r="E31" s="204">
        <f>ELEC!N32</f>
        <v>10489</v>
      </c>
      <c r="F31" s="333">
        <f>SUM('EDl log'!T33)</f>
        <v>5.4366086033990325E-2</v>
      </c>
      <c r="G31" s="204">
        <f>-tanks!AW35</f>
        <v>0</v>
      </c>
      <c r="H31" s="333">
        <f>SUM(tanks!AV35)</f>
        <v>0.5</v>
      </c>
      <c r="I31" s="10">
        <f>('B5'!AU34)*0.51</f>
        <v>0</v>
      </c>
      <c r="J31" s="312">
        <f>'B5'!AX34/0.51</f>
        <v>1.5686274509803921</v>
      </c>
      <c r="K31" s="204">
        <f>WATER!I35</f>
        <v>98</v>
      </c>
      <c r="L31" s="334">
        <f>SUM(WATER!J35)</f>
        <v>2.4687294272547731</v>
      </c>
      <c r="M31" s="334">
        <f>WATER!Q35</f>
        <v>0</v>
      </c>
      <c r="N31" s="506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10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133</v>
      </c>
      <c r="H32" s="333">
        <f>SUM(tanks!AV36)</f>
        <v>0.5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6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C7" sqref="C7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10</v>
      </c>
      <c r="D2">
        <v>2020</v>
      </c>
      <c r="E2" s="204">
        <f>ELEC!M3</f>
        <v>4538</v>
      </c>
      <c r="F2" s="204">
        <f>ELEC!K3</f>
        <v>868</v>
      </c>
      <c r="G2" s="204">
        <f>ELEC!I3</f>
        <v>884</v>
      </c>
      <c r="H2" s="204">
        <f>ELEC!E3</f>
        <v>3070</v>
      </c>
      <c r="I2" s="204">
        <f>ELEC!G3</f>
        <v>843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10</v>
      </c>
      <c r="D3">
        <v>2020</v>
      </c>
      <c r="E3" s="204">
        <f>ELEC!M4</f>
        <v>4024</v>
      </c>
      <c r="F3" s="204">
        <f>ELEC!K4</f>
        <v>1146</v>
      </c>
      <c r="G3" s="204">
        <f>ELEC!I4</f>
        <v>898</v>
      </c>
      <c r="H3" s="204">
        <f>ELEC!E4</f>
        <v>3146</v>
      </c>
      <c r="I3" s="204">
        <f>ELEC!G4</f>
        <v>827</v>
      </c>
      <c r="J3" s="204">
        <f>WATER!Y7</f>
        <v>21</v>
      </c>
      <c r="K3" s="204">
        <f>WATER!AJ7</f>
        <v>13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ELEC!M5</f>
        <v>3390</v>
      </c>
      <c r="F4" s="204">
        <f>ELEC!K5</f>
        <v>994</v>
      </c>
      <c r="G4" s="204">
        <f>ELEC!I5</f>
        <v>802</v>
      </c>
      <c r="H4" s="204">
        <f>ELEC!E5</f>
        <v>2750</v>
      </c>
      <c r="I4" s="204">
        <f>ELEC!G5</f>
        <v>748</v>
      </c>
      <c r="J4" s="204">
        <f>WATER!Y8</f>
        <v>11</v>
      </c>
      <c r="K4" s="204">
        <f>WATER!AJ8</f>
        <v>25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10</v>
      </c>
      <c r="D5">
        <v>2020</v>
      </c>
      <c r="E5" s="204">
        <f>ELEC!M6</f>
        <v>3224</v>
      </c>
      <c r="F5" s="204">
        <f>ELEC!K6</f>
        <v>968</v>
      </c>
      <c r="G5" s="204">
        <f>ELEC!I6</f>
        <v>744</v>
      </c>
      <c r="H5" s="204">
        <f>ELEC!E6</f>
        <v>2345</v>
      </c>
      <c r="I5" s="204">
        <f>ELEC!G6</f>
        <v>711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10</v>
      </c>
      <c r="D6">
        <v>2020</v>
      </c>
      <c r="E6" s="204">
        <f>ELEC!M7</f>
        <v>3524</v>
      </c>
      <c r="F6" s="204">
        <f>ELEC!K7</f>
        <v>1138</v>
      </c>
      <c r="G6" s="204">
        <f>ELEC!I7</f>
        <v>872</v>
      </c>
      <c r="H6" s="204">
        <f>ELEC!E7</f>
        <v>2839</v>
      </c>
      <c r="I6" s="204">
        <f>ELEC!G7</f>
        <v>803</v>
      </c>
      <c r="J6" s="204">
        <f>WATER!Y10</f>
        <v>47</v>
      </c>
      <c r="K6" s="204">
        <f>WATER!AJ10</f>
        <v>21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10</v>
      </c>
      <c r="D7">
        <v>2020</v>
      </c>
      <c r="E7" s="204">
        <f>ELEC!M8</f>
        <v>4564</v>
      </c>
      <c r="F7" s="204">
        <f>ELEC!K8</f>
        <v>1338</v>
      </c>
      <c r="G7" s="204">
        <f>ELEC!I8</f>
        <v>974</v>
      </c>
      <c r="H7" s="204">
        <f>ELEC!E8</f>
        <v>3264</v>
      </c>
      <c r="I7" s="204">
        <f>ELEC!G8</f>
        <v>822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10</v>
      </c>
      <c r="D8">
        <v>2020</v>
      </c>
      <c r="E8" s="204">
        <f>ELEC!M9</f>
        <v>4456</v>
      </c>
      <c r="F8" s="204">
        <f>ELEC!K9</f>
        <v>1404</v>
      </c>
      <c r="G8" s="204">
        <f>ELEC!I9</f>
        <v>1082</v>
      </c>
      <c r="H8" s="204">
        <f>ELEC!E9</f>
        <v>3296</v>
      </c>
      <c r="I8" s="204">
        <f>ELEC!G9</f>
        <v>802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10</v>
      </c>
      <c r="D9">
        <v>2020</v>
      </c>
      <c r="E9" s="204">
        <f>ELEC!M10</f>
        <v>3016</v>
      </c>
      <c r="F9" s="204">
        <f>ELEC!K10</f>
        <v>1484</v>
      </c>
      <c r="G9" s="204">
        <f>ELEC!I10</f>
        <v>1064</v>
      </c>
      <c r="H9" s="204">
        <f>ELEC!E10</f>
        <v>5076</v>
      </c>
      <c r="I9" s="204">
        <f>ELEC!G10</f>
        <v>816</v>
      </c>
      <c r="J9" s="204">
        <f>WATER!Y13</f>
        <v>0</v>
      </c>
      <c r="K9" s="204">
        <f>WATER!AJ13</f>
        <v>97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10</v>
      </c>
      <c r="D10">
        <v>2020</v>
      </c>
      <c r="E10" s="204">
        <f>ELEC!M11</f>
        <v>1866</v>
      </c>
      <c r="F10" s="204">
        <f>ELEC!K11</f>
        <v>1354</v>
      </c>
      <c r="G10" s="204">
        <f>ELEC!I11</f>
        <v>940</v>
      </c>
      <c r="H10" s="204">
        <f>ELEC!E11</f>
        <v>5112</v>
      </c>
      <c r="I10" s="204">
        <f>ELEC!G11</f>
        <v>798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10</v>
      </c>
      <c r="D11">
        <v>2020</v>
      </c>
      <c r="E11" s="204">
        <f>ELEC!M12</f>
        <v>2710</v>
      </c>
      <c r="F11" s="204">
        <f>ELEC!K12</f>
        <v>1338</v>
      </c>
      <c r="G11" s="204">
        <f>ELEC!I12</f>
        <v>916</v>
      </c>
      <c r="H11" s="204">
        <f>ELEC!E12</f>
        <v>4048</v>
      </c>
      <c r="I11" s="204">
        <f>ELEC!G12</f>
        <v>747</v>
      </c>
      <c r="J11" s="204">
        <f>WATER!Y15</f>
        <v>35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10</v>
      </c>
      <c r="D12">
        <v>2020</v>
      </c>
      <c r="E12" s="204">
        <f>ELEC!M13</f>
        <v>4052</v>
      </c>
      <c r="F12" s="204">
        <f>ELEC!K13</f>
        <v>1532</v>
      </c>
      <c r="G12" s="204">
        <f>ELEC!I13</f>
        <v>952</v>
      </c>
      <c r="H12" s="204">
        <f>ELEC!E13</f>
        <v>3292</v>
      </c>
      <c r="I12" s="204">
        <f>ELEC!G13</f>
        <v>723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10</v>
      </c>
      <c r="D13">
        <v>2020</v>
      </c>
      <c r="E13" s="204">
        <f>ELEC!M14</f>
        <v>4276</v>
      </c>
      <c r="F13" s="204">
        <f>ELEC!K14</f>
        <v>1432</v>
      </c>
      <c r="G13" s="204">
        <f>ELEC!I14</f>
        <v>1128</v>
      </c>
      <c r="H13" s="204">
        <f>ELEC!E14</f>
        <v>3538</v>
      </c>
      <c r="I13" s="204">
        <f>ELEC!G14</f>
        <v>819</v>
      </c>
      <c r="J13" s="204">
        <f>WATER!Y17</f>
        <v>40</v>
      </c>
      <c r="K13" s="204">
        <f>WATER!AJ17</f>
        <v>1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10</v>
      </c>
      <c r="D14">
        <v>2020</v>
      </c>
      <c r="E14" s="204">
        <f>ELEC!M15</f>
        <v>4414</v>
      </c>
      <c r="F14" s="204">
        <f>ELEC!K15</f>
        <v>1466</v>
      </c>
      <c r="G14" s="204">
        <f>ELEC!I15</f>
        <v>1280</v>
      </c>
      <c r="H14" s="204">
        <f>ELEC!E15</f>
        <v>3130</v>
      </c>
      <c r="I14" s="204">
        <f>ELEC!G15</f>
        <v>887</v>
      </c>
      <c r="J14" s="204">
        <f>WATER!Y18</f>
        <v>0</v>
      </c>
      <c r="K14" s="204">
        <f>WATER!AJ18</f>
        <v>39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10</v>
      </c>
      <c r="D15">
        <v>2020</v>
      </c>
      <c r="E15" s="204">
        <f>ELEC!M16</f>
        <v>3676</v>
      </c>
      <c r="F15" s="204">
        <f>ELEC!K16</f>
        <v>1278</v>
      </c>
      <c r="G15" s="204">
        <f>ELEC!I16</f>
        <v>1366</v>
      </c>
      <c r="H15" s="204">
        <f>ELEC!E16</f>
        <v>2972</v>
      </c>
      <c r="I15" s="204">
        <f>ELEC!G16</f>
        <v>890</v>
      </c>
      <c r="J15" s="204">
        <f>WATER!Y19</f>
        <v>0</v>
      </c>
      <c r="K15" s="204">
        <f>WATER!AJ19</f>
        <v>13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10</v>
      </c>
      <c r="D16">
        <v>2020</v>
      </c>
      <c r="E16" s="204">
        <f>ELEC!M17</f>
        <v>3914</v>
      </c>
      <c r="F16" s="204">
        <f>ELEC!K17</f>
        <v>1236</v>
      </c>
      <c r="G16" s="204">
        <f>ELEC!I17</f>
        <v>1114</v>
      </c>
      <c r="H16" s="204">
        <f>ELEC!E17</f>
        <v>2896</v>
      </c>
      <c r="I16" s="204">
        <f>ELEC!G17</f>
        <v>757</v>
      </c>
      <c r="J16" s="204">
        <f>WATER!Y20</f>
        <v>154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10</v>
      </c>
      <c r="D17">
        <v>2020</v>
      </c>
      <c r="E17" s="204">
        <f>ELEC!M18</f>
        <v>3432</v>
      </c>
      <c r="F17" s="204">
        <f>ELEC!K18</f>
        <v>1124</v>
      </c>
      <c r="G17" s="204">
        <f>ELEC!I18</f>
        <v>1096</v>
      </c>
      <c r="H17" s="204">
        <f>ELEC!E18</f>
        <v>2980</v>
      </c>
      <c r="I17" s="204">
        <f>ELEC!G18</f>
        <v>727</v>
      </c>
      <c r="J17" s="204">
        <f>WATER!Y21</f>
        <v>28</v>
      </c>
      <c r="K17" s="204">
        <f>WATER!AJ21</f>
        <v>3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10</v>
      </c>
      <c r="D18">
        <v>2020</v>
      </c>
      <c r="E18" s="204">
        <f>ELEC!M19</f>
        <v>3360</v>
      </c>
      <c r="F18" s="204">
        <f>ELEC!K19</f>
        <v>1136</v>
      </c>
      <c r="G18" s="204">
        <f>ELEC!I19</f>
        <v>1052</v>
      </c>
      <c r="H18" s="204">
        <f>ELEC!E19</f>
        <v>2936</v>
      </c>
      <c r="I18" s="204">
        <f>ELEC!G19</f>
        <v>694</v>
      </c>
      <c r="J18" s="204">
        <f>WATER!Y22</f>
        <v>0</v>
      </c>
      <c r="K18" s="204">
        <f>WATER!AJ22</f>
        <v>19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10</v>
      </c>
      <c r="D19">
        <v>2020</v>
      </c>
      <c r="E19" s="204">
        <f>ELEC!M20</f>
        <v>3152</v>
      </c>
      <c r="F19" s="204">
        <f>ELEC!K20</f>
        <v>1152</v>
      </c>
      <c r="G19" s="204">
        <f>ELEC!I20</f>
        <v>1100</v>
      </c>
      <c r="H19" s="204">
        <f>ELEC!E20</f>
        <v>2700</v>
      </c>
      <c r="I19" s="204">
        <f>ELEC!G20</f>
        <v>720</v>
      </c>
      <c r="J19" s="204">
        <f>WATER!Y23</f>
        <v>1</v>
      </c>
      <c r="K19" s="204">
        <f>WATER!AJ23</f>
        <v>36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10</v>
      </c>
      <c r="D20">
        <v>2020</v>
      </c>
      <c r="E20" s="204">
        <f>ELEC!M21</f>
        <v>3552</v>
      </c>
      <c r="F20" s="204">
        <f>ELEC!K21</f>
        <v>1322</v>
      </c>
      <c r="G20" s="204">
        <f>ELEC!I21</f>
        <v>1008</v>
      </c>
      <c r="H20" s="204">
        <f>ELEC!E21</f>
        <v>2824</v>
      </c>
      <c r="I20" s="204">
        <f>ELEC!G21</f>
        <v>838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10</v>
      </c>
      <c r="D21">
        <v>2020</v>
      </c>
      <c r="E21" s="204">
        <f>ELEC!M22</f>
        <v>3812</v>
      </c>
      <c r="F21" s="204">
        <f>ELEC!K22</f>
        <v>1314</v>
      </c>
      <c r="G21" s="204">
        <f>ELEC!I22</f>
        <v>1008</v>
      </c>
      <c r="H21" s="204">
        <f>ELEC!E22</f>
        <v>2664</v>
      </c>
      <c r="I21" s="204">
        <f>ELEC!G22</f>
        <v>886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10</v>
      </c>
      <c r="D22">
        <v>2020</v>
      </c>
      <c r="E22" s="204">
        <f>ELEC!M23</f>
        <v>4020</v>
      </c>
      <c r="F22" s="204">
        <f>ELEC!K23</f>
        <v>1380</v>
      </c>
      <c r="G22" s="204">
        <f>ELEC!I23</f>
        <v>944</v>
      </c>
      <c r="H22" s="204">
        <f>ELEC!E23</f>
        <v>2148</v>
      </c>
      <c r="I22" s="204">
        <f>ELEC!G23</f>
        <v>793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10</v>
      </c>
      <c r="D23">
        <v>2020</v>
      </c>
      <c r="E23" s="204">
        <f>ELEC!M24</f>
        <v>3972</v>
      </c>
      <c r="F23" s="204">
        <f>ELEC!K24</f>
        <v>1432</v>
      </c>
      <c r="G23" s="204">
        <f>ELEC!I24</f>
        <v>1102</v>
      </c>
      <c r="H23" s="204">
        <f>ELEC!E24</f>
        <v>3476</v>
      </c>
      <c r="I23" s="204">
        <f>ELEC!G24</f>
        <v>831</v>
      </c>
      <c r="J23" s="204">
        <f>WATER!Y27</f>
        <v>150</v>
      </c>
      <c r="K23" s="204">
        <f>WATER!AJ27</f>
        <v>7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10</v>
      </c>
      <c r="D24">
        <v>2020</v>
      </c>
      <c r="E24" s="204">
        <f>ELEC!M25</f>
        <v>4632</v>
      </c>
      <c r="F24" s="204">
        <f>ELEC!K25</f>
        <v>1618</v>
      </c>
      <c r="G24" s="204">
        <f>ELEC!I25</f>
        <v>1028</v>
      </c>
      <c r="H24" s="204">
        <f>ELEC!E25</f>
        <v>3092</v>
      </c>
      <c r="I24" s="204">
        <f>ELEC!G25</f>
        <v>798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10</v>
      </c>
      <c r="D25">
        <v>2020</v>
      </c>
      <c r="E25" s="204">
        <f>ELEC!M26</f>
        <v>3612</v>
      </c>
      <c r="F25" s="204">
        <f>ELEC!K26</f>
        <v>1310</v>
      </c>
      <c r="G25" s="204">
        <f>ELEC!I26</f>
        <v>882</v>
      </c>
      <c r="H25" s="204">
        <f>ELEC!E26</f>
        <v>2556</v>
      </c>
      <c r="I25" s="204">
        <f>ELEC!G26</f>
        <v>675</v>
      </c>
      <c r="J25" s="204">
        <f>WATER!Y29</f>
        <v>27</v>
      </c>
      <c r="K25" s="204">
        <f>WATER!AJ29</f>
        <v>10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10</v>
      </c>
      <c r="D26">
        <v>2020</v>
      </c>
      <c r="E26" s="204">
        <f>ELEC!M27</f>
        <v>4124</v>
      </c>
      <c r="F26" s="204">
        <f>ELEC!K27</f>
        <v>1496</v>
      </c>
      <c r="G26" s="204">
        <f>ELEC!I27</f>
        <v>936</v>
      </c>
      <c r="H26" s="204">
        <f>ELEC!E27</f>
        <v>2928</v>
      </c>
      <c r="I26" s="204">
        <f>ELEC!G27</f>
        <v>688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10</v>
      </c>
      <c r="D27">
        <v>2020</v>
      </c>
      <c r="E27" s="204">
        <f>ELEC!M28</f>
        <v>3568</v>
      </c>
      <c r="F27" s="204">
        <f>ELEC!K28</f>
        <v>1352</v>
      </c>
      <c r="G27" s="204">
        <f>ELEC!I28</f>
        <v>946</v>
      </c>
      <c r="H27" s="204">
        <f>ELEC!E28</f>
        <v>2632</v>
      </c>
      <c r="I27" s="204">
        <f>ELEC!G28</f>
        <v>808</v>
      </c>
      <c r="J27" s="204">
        <f>WATER!Y31</f>
        <v>116</v>
      </c>
      <c r="K27" s="204">
        <f>WATER!AJ31</f>
        <v>45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10</v>
      </c>
      <c r="D28">
        <v>2020</v>
      </c>
      <c r="E28" s="204">
        <f>ELEC!M29</f>
        <v>4152</v>
      </c>
      <c r="F28" s="204">
        <f>ELEC!K29</f>
        <v>1480</v>
      </c>
      <c r="G28" s="204">
        <f>ELEC!I29</f>
        <v>948</v>
      </c>
      <c r="H28" s="204">
        <f>ELEC!E29</f>
        <v>3274</v>
      </c>
      <c r="I28" s="204">
        <f>ELEC!G29</f>
        <v>791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10</v>
      </c>
      <c r="D29">
        <v>2020</v>
      </c>
      <c r="E29" s="204">
        <f>ELEC!M30</f>
        <v>4010</v>
      </c>
      <c r="F29" s="204">
        <f>ELEC!K30</f>
        <v>1368</v>
      </c>
      <c r="G29" s="204">
        <f>ELEC!I30</f>
        <v>1086</v>
      </c>
      <c r="H29" s="204">
        <f>ELEC!E30</f>
        <v>3026</v>
      </c>
      <c r="I29" s="204">
        <f>ELEC!G30</f>
        <v>943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10</v>
      </c>
      <c r="D30">
        <v>2020</v>
      </c>
      <c r="E30" s="204">
        <f>ELEC!M31</f>
        <v>4170</v>
      </c>
      <c r="F30" s="204">
        <f>ELEC!K31</f>
        <v>1532</v>
      </c>
      <c r="G30" s="204">
        <f>ELEC!I31</f>
        <v>992</v>
      </c>
      <c r="H30" s="204">
        <f>ELEC!E31</f>
        <v>2988</v>
      </c>
      <c r="I30" s="204">
        <f>ELEC!G31</f>
        <v>800</v>
      </c>
      <c r="J30" s="204">
        <f>WATER!Y34</f>
        <v>101</v>
      </c>
      <c r="K30" s="204">
        <f>WATER!AJ34</f>
        <v>12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10</v>
      </c>
      <c r="D31">
        <v>2020</v>
      </c>
      <c r="E31" s="204">
        <f>ELEC!M32</f>
        <v>4228</v>
      </c>
      <c r="F31" s="204">
        <f>ELEC!K32</f>
        <v>1556</v>
      </c>
      <c r="G31" s="204">
        <f>ELEC!I32</f>
        <v>876</v>
      </c>
      <c r="H31" s="204">
        <f>ELEC!E32</f>
        <v>3132</v>
      </c>
      <c r="I31" s="204">
        <f>ELEC!G32</f>
        <v>697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10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L1" zoomScale="85" zoomScaleNormal="85" zoomScaleSheetLayoutView="100" workbookViewId="0">
      <pane ySplit="1" topLeftCell="A25" activePane="bottomLeft" state="frozen"/>
      <selection activeCell="C1" sqref="C1"/>
      <selection pane="bottomLeft" activeCell="AC32" sqref="AC32"/>
    </sheetView>
  </sheetViews>
  <sheetFormatPr defaultRowHeight="15"/>
  <cols>
    <col min="1" max="1" width="7.7109375" style="473" bestFit="1" customWidth="1"/>
    <col min="2" max="2" width="10.28515625" style="481" bestFit="1" customWidth="1"/>
    <col min="3" max="3" width="11.5703125" style="473" customWidth="1"/>
    <col min="4" max="4" width="18" style="482" bestFit="1" customWidth="1"/>
    <col min="5" max="5" width="14.42578125" style="482" bestFit="1" customWidth="1"/>
    <col min="6" max="6" width="15.28515625" style="482" bestFit="1" customWidth="1"/>
    <col min="7" max="7" width="12" style="482" bestFit="1" customWidth="1"/>
    <col min="8" max="8" width="18" style="482" bestFit="1" customWidth="1"/>
    <col min="9" max="9" width="13" style="482" bestFit="1" customWidth="1"/>
    <col min="10" max="10" width="18" style="482" bestFit="1" customWidth="1"/>
    <col min="11" max="11" width="11.7109375" style="482" customWidth="1"/>
    <col min="12" max="12" width="18" style="482" bestFit="1" customWidth="1"/>
    <col min="13" max="13" width="12.5703125" style="482" bestFit="1" customWidth="1"/>
    <col min="14" max="14" width="15.42578125" style="473" bestFit="1" customWidth="1"/>
    <col min="15" max="15" width="13.140625" style="483" bestFit="1" customWidth="1"/>
    <col min="16" max="16" width="14.28515625" style="473" bestFit="1" customWidth="1"/>
    <col min="17" max="17" width="13.7109375" style="473" bestFit="1" customWidth="1"/>
    <col min="18" max="18" width="12.42578125" style="473" bestFit="1" customWidth="1"/>
    <col min="19" max="21" width="11.5703125" style="473" bestFit="1" customWidth="1"/>
    <col min="22" max="22" width="13.140625" style="473" bestFit="1" customWidth="1"/>
    <col min="23" max="25" width="11.5703125" style="473" bestFit="1" customWidth="1"/>
    <col min="26" max="26" width="13.140625" style="473" bestFit="1" customWidth="1"/>
    <col min="27" max="29" width="11.5703125" style="473" bestFit="1" customWidth="1"/>
    <col min="30" max="30" width="13.140625" style="473" bestFit="1" customWidth="1"/>
    <col min="31" max="32" width="11.5703125" style="473" bestFit="1" customWidth="1"/>
    <col min="33" max="33" width="14.42578125" style="473" bestFit="1" customWidth="1"/>
    <col min="34" max="34" width="9.140625" style="473"/>
    <col min="35" max="35" width="9.7109375" style="473" bestFit="1" customWidth="1"/>
    <col min="36" max="16384" width="9.140625" style="473"/>
  </cols>
  <sheetData>
    <row r="1" spans="1:115" s="457" customFormat="1" ht="18.75" customHeight="1">
      <c r="A1" s="457" t="s">
        <v>19</v>
      </c>
      <c r="B1" s="458" t="s">
        <v>155</v>
      </c>
      <c r="C1" s="459"/>
      <c r="D1" s="460" t="s">
        <v>20</v>
      </c>
      <c r="E1" s="460" t="s">
        <v>21</v>
      </c>
      <c r="F1" s="460" t="s">
        <v>22</v>
      </c>
      <c r="G1" s="460" t="s">
        <v>23</v>
      </c>
      <c r="H1" s="460" t="s">
        <v>24</v>
      </c>
      <c r="I1" s="460" t="s">
        <v>25</v>
      </c>
      <c r="J1" s="460" t="s">
        <v>26</v>
      </c>
      <c r="K1" s="460" t="s">
        <v>27</v>
      </c>
      <c r="L1" s="460" t="s">
        <v>28</v>
      </c>
      <c r="M1" s="460" t="s">
        <v>29</v>
      </c>
      <c r="N1" s="461" t="s">
        <v>30</v>
      </c>
      <c r="O1" s="462" t="s">
        <v>156</v>
      </c>
      <c r="P1" s="463" t="s">
        <v>328</v>
      </c>
      <c r="Q1" s="461" t="s">
        <v>31</v>
      </c>
      <c r="R1" s="461" t="s">
        <v>32</v>
      </c>
      <c r="S1" s="461" t="s">
        <v>363</v>
      </c>
      <c r="T1" s="461" t="s">
        <v>33</v>
      </c>
      <c r="U1" s="461" t="s">
        <v>34</v>
      </c>
      <c r="V1" s="461" t="s">
        <v>35</v>
      </c>
      <c r="W1" s="461" t="s">
        <v>36</v>
      </c>
      <c r="X1" s="461" t="s">
        <v>33</v>
      </c>
      <c r="Y1" s="461" t="s">
        <v>37</v>
      </c>
      <c r="Z1" s="461" t="s">
        <v>38</v>
      </c>
      <c r="AA1" s="461" t="s">
        <v>39</v>
      </c>
      <c r="AB1" s="461" t="s">
        <v>33</v>
      </c>
      <c r="AC1" s="461" t="s">
        <v>77</v>
      </c>
      <c r="AD1" s="461" t="s">
        <v>40</v>
      </c>
      <c r="AE1" s="461" t="s">
        <v>41</v>
      </c>
      <c r="AF1" s="461" t="s">
        <v>42</v>
      </c>
      <c r="AG1" s="457" t="s">
        <v>132</v>
      </c>
    </row>
    <row r="2" spans="1:115" s="456" customFormat="1">
      <c r="A2" s="543">
        <f>[1]ELEC!$A$33</f>
        <v>0</v>
      </c>
      <c r="B2" s="544">
        <f>[2]ELEC!B32</f>
        <v>0</v>
      </c>
      <c r="C2" s="465">
        <v>44104</v>
      </c>
      <c r="D2" s="544">
        <f>[2]ELEC!D32</f>
        <v>32287200</v>
      </c>
      <c r="E2" s="544">
        <f>[2]ELEC!E32</f>
        <v>3568</v>
      </c>
      <c r="F2" s="544">
        <f>[2]ELEC!F32</f>
        <v>3872020</v>
      </c>
      <c r="G2" s="544">
        <f>[2]ELEC!G32</f>
        <v>794</v>
      </c>
      <c r="H2" s="544">
        <f>[2]ELEC!H32</f>
        <v>17670874</v>
      </c>
      <c r="I2" s="544">
        <f>[2]ELEC!I32</f>
        <v>940</v>
      </c>
      <c r="J2" s="544">
        <f>[2]ELEC!J32</f>
        <v>28719638</v>
      </c>
      <c r="K2" s="544">
        <f>[2]ELEC!K32</f>
        <v>1056</v>
      </c>
      <c r="L2" s="544">
        <f>[2]ELEC!L32</f>
        <v>23688570</v>
      </c>
      <c r="M2" s="544">
        <f>[2]ELEC!M32</f>
        <v>5496</v>
      </c>
      <c r="N2" s="544">
        <f>[2]ELEC!N32</f>
        <v>11854</v>
      </c>
      <c r="O2" s="544">
        <f>[2]ELEC!O32</f>
        <v>0</v>
      </c>
      <c r="P2" s="544">
        <f>[2]ELEC!P32</f>
        <v>16346</v>
      </c>
      <c r="Q2" s="544">
        <f>[2]ELEC!Q32</f>
        <v>4000</v>
      </c>
      <c r="R2" s="544">
        <f>[2]ELEC!R32</f>
        <v>7854</v>
      </c>
      <c r="S2" s="544">
        <f>[2]ELEC!S32</f>
        <v>9708</v>
      </c>
      <c r="T2" s="544">
        <f>[2]ELEC!T32</f>
        <v>13</v>
      </c>
      <c r="U2" s="544">
        <f>[2]ELEC!U32</f>
        <v>333763</v>
      </c>
      <c r="V2" s="544">
        <f>[2]ELEC!V32</f>
        <v>3020</v>
      </c>
      <c r="W2" s="544">
        <f>[2]ELEC!W32</f>
        <v>32049</v>
      </c>
      <c r="X2" s="544">
        <f>[2]ELEC!X32</f>
        <v>0</v>
      </c>
      <c r="Y2" s="544">
        <f>[2]ELEC!Y32</f>
        <v>673052</v>
      </c>
      <c r="Z2" s="544">
        <f>[2]ELEC!Z32</f>
        <v>0</v>
      </c>
      <c r="AA2" s="544">
        <f>[2]ELEC!AA32</f>
        <v>35607</v>
      </c>
      <c r="AB2" s="544">
        <f>[2]ELEC!AB32</f>
        <v>0</v>
      </c>
      <c r="AC2" s="544">
        <f>[2]ELEC!AC32</f>
        <v>899488</v>
      </c>
      <c r="AD2" s="544">
        <f>[2]ELEC!AD32</f>
        <v>0</v>
      </c>
      <c r="AE2" s="544">
        <f>[2]ELEC!AE32</f>
        <v>13</v>
      </c>
      <c r="AF2" s="544">
        <f>[2]ELEC!AF32</f>
        <v>3020</v>
      </c>
      <c r="AG2" s="544">
        <f>[2]ELEC!AG32</f>
        <v>232.30769230769232</v>
      </c>
      <c r="AH2" s="544">
        <f>[2]ELEC!AH32</f>
        <v>0</v>
      </c>
      <c r="AI2" s="544">
        <f>[2]ELEC!AI32</f>
        <v>-448502</v>
      </c>
      <c r="AJ2" s="544">
        <f>[2]ELEC!AJ32</f>
        <v>0</v>
      </c>
      <c r="AK2" s="544">
        <f>[2]ELEC!AK32</f>
        <v>0</v>
      </c>
      <c r="AL2" s="544">
        <f>[2]ELEC!AL32</f>
        <v>0</v>
      </c>
      <c r="AM2" s="487"/>
      <c r="AN2" s="487"/>
      <c r="AO2" s="487"/>
      <c r="AP2" s="487"/>
      <c r="AQ2" s="487"/>
      <c r="AR2" s="487"/>
      <c r="AS2" s="487"/>
      <c r="AT2" s="487"/>
      <c r="AU2" s="487"/>
      <c r="AV2" s="487"/>
      <c r="AW2" s="487"/>
      <c r="AX2" s="487"/>
      <c r="AY2" s="487"/>
      <c r="AZ2" s="487"/>
      <c r="BA2" s="487"/>
      <c r="BB2" s="487"/>
      <c r="BC2" s="487"/>
      <c r="BD2" s="487"/>
      <c r="BE2" s="487"/>
      <c r="BF2" s="487"/>
      <c r="BG2" s="487"/>
      <c r="BH2" s="487"/>
      <c r="BI2" s="487"/>
      <c r="BJ2" s="487"/>
      <c r="BK2" s="487"/>
      <c r="BL2" s="487"/>
      <c r="BM2" s="487"/>
      <c r="BN2" s="487"/>
      <c r="BO2" s="487"/>
      <c r="BP2" s="487"/>
      <c r="BQ2" s="487"/>
      <c r="BR2" s="487"/>
      <c r="BS2" s="487"/>
      <c r="BT2" s="487"/>
      <c r="BU2" s="487"/>
      <c r="BV2" s="487"/>
      <c r="BW2" s="487"/>
      <c r="BX2" s="487"/>
      <c r="BY2" s="487"/>
      <c r="BZ2" s="487"/>
      <c r="CA2" s="487"/>
      <c r="CB2" s="487"/>
      <c r="CC2" s="487"/>
      <c r="CD2" s="487"/>
      <c r="CE2" s="487"/>
      <c r="CF2" s="487"/>
      <c r="CG2" s="487"/>
      <c r="CH2" s="487"/>
      <c r="CI2" s="487"/>
      <c r="CJ2" s="487"/>
      <c r="CK2" s="487"/>
      <c r="CL2" s="487"/>
      <c r="CM2" s="487"/>
      <c r="CN2" s="487"/>
      <c r="CO2" s="487"/>
      <c r="CP2" s="487"/>
      <c r="CQ2" s="487"/>
      <c r="CR2" s="487"/>
      <c r="CS2" s="487"/>
      <c r="CT2" s="487"/>
      <c r="CU2" s="487"/>
      <c r="CV2" s="487"/>
      <c r="CW2" s="487"/>
      <c r="CX2" s="487"/>
      <c r="CY2" s="487"/>
      <c r="CZ2" s="487"/>
      <c r="DA2" s="487"/>
      <c r="DB2" s="487"/>
      <c r="DC2" s="487"/>
      <c r="DD2" s="487"/>
      <c r="DE2" s="487"/>
      <c r="DF2" s="487"/>
      <c r="DG2" s="487"/>
      <c r="DH2" s="487"/>
      <c r="DI2" s="487"/>
      <c r="DJ2" s="487"/>
      <c r="DK2" s="487"/>
    </row>
    <row r="3" spans="1:115">
      <c r="A3" s="464">
        <f>'General information '!F6</f>
        <v>0</v>
      </c>
      <c r="B3" s="458">
        <f>SUM(230*A3)</f>
        <v>0</v>
      </c>
      <c r="C3" s="465">
        <v>44105</v>
      </c>
      <c r="D3" s="452">
        <v>32290270</v>
      </c>
      <c r="E3" s="453">
        <f>D3-D2</f>
        <v>3070</v>
      </c>
      <c r="F3" s="604">
        <v>3872863</v>
      </c>
      <c r="G3" s="454">
        <f t="shared" ref="G3:G31" si="0">F3-F2</f>
        <v>843</v>
      </c>
      <c r="H3" s="452">
        <v>17671758</v>
      </c>
      <c r="I3" s="454">
        <f>H3-H2</f>
        <v>884</v>
      </c>
      <c r="J3" s="604">
        <v>28720506</v>
      </c>
      <c r="K3" s="454">
        <f>J3-J2</f>
        <v>868</v>
      </c>
      <c r="L3" s="452">
        <v>23693108</v>
      </c>
      <c r="M3" s="454">
        <f>L3-L2</f>
        <v>4538</v>
      </c>
      <c r="N3" s="455">
        <f>M3+K3+I3+G3+E3</f>
        <v>10203</v>
      </c>
      <c r="O3" s="466">
        <f t="shared" ref="O3:O9" si="1">IF(B3&gt;0,N3/B3,0)</f>
        <v>0</v>
      </c>
      <c r="P3" s="605">
        <v>16348</v>
      </c>
      <c r="Q3" s="475">
        <f t="shared" ref="Q3:Q12" si="2">(P3-P2)*1000</f>
        <v>2000</v>
      </c>
      <c r="R3" s="468">
        <f>+N3-Q3</f>
        <v>8203</v>
      </c>
      <c r="S3" s="452">
        <v>9718</v>
      </c>
      <c r="T3" s="469">
        <f t="shared" ref="T3:T32" si="3">S3-S2</f>
        <v>10</v>
      </c>
      <c r="U3" s="452">
        <v>336003</v>
      </c>
      <c r="V3" s="467">
        <f>U3-U2</f>
        <v>2240</v>
      </c>
      <c r="W3" s="452">
        <v>32049</v>
      </c>
      <c r="X3" s="467">
        <f t="shared" ref="X3:X8" si="4">W3-W2</f>
        <v>0</v>
      </c>
      <c r="Y3" s="452">
        <v>673052</v>
      </c>
      <c r="Z3" s="467">
        <f>Y3-Y2</f>
        <v>0</v>
      </c>
      <c r="AA3" s="452">
        <f>AA2</f>
        <v>35607</v>
      </c>
      <c r="AB3" s="467">
        <f>AA3-AA2</f>
        <v>0</v>
      </c>
      <c r="AC3" s="452">
        <f>AC2</f>
        <v>899488</v>
      </c>
      <c r="AD3" s="470">
        <f>AC3-AC2</f>
        <v>0</v>
      </c>
      <c r="AE3" s="471">
        <f>AB3+X3+T3</f>
        <v>10</v>
      </c>
      <c r="AF3" s="452">
        <f>V3+Z3+AD3</f>
        <v>2240</v>
      </c>
      <c r="AG3" s="472">
        <f t="shared" ref="AG3:AG9" si="5">IF(AE3&gt;0,AF3/AE3,0)</f>
        <v>224</v>
      </c>
    </row>
    <row r="4" spans="1:115">
      <c r="A4" s="464">
        <f>'General information '!F7</f>
        <v>0</v>
      </c>
      <c r="B4" s="458">
        <f t="shared" ref="B4:B31" si="6">SUM(230*A4)</f>
        <v>0</v>
      </c>
      <c r="C4" s="465">
        <v>44106</v>
      </c>
      <c r="D4" s="452">
        <v>32293416</v>
      </c>
      <c r="E4" s="314">
        <f>D4-D3</f>
        <v>3146</v>
      </c>
      <c r="F4" s="452">
        <v>3873690</v>
      </c>
      <c r="G4" s="315">
        <f t="shared" si="0"/>
        <v>827</v>
      </c>
      <c r="H4" s="452">
        <v>17672656</v>
      </c>
      <c r="I4" s="315">
        <f>H4-H3</f>
        <v>898</v>
      </c>
      <c r="J4" s="452">
        <v>28721652</v>
      </c>
      <c r="K4" s="315">
        <f>J4-J3</f>
        <v>1146</v>
      </c>
      <c r="L4" s="452">
        <v>23697132</v>
      </c>
      <c r="M4" s="315">
        <f>L4-L3</f>
        <v>4024</v>
      </c>
      <c r="N4" s="313">
        <f>M4+K4+I4+G4+E4</f>
        <v>10041</v>
      </c>
      <c r="O4" s="474">
        <f t="shared" si="1"/>
        <v>0</v>
      </c>
      <c r="P4" s="452">
        <v>16348</v>
      </c>
      <c r="Q4" s="475">
        <f t="shared" si="2"/>
        <v>0</v>
      </c>
      <c r="R4" s="456">
        <f>N4-Q4</f>
        <v>10041</v>
      </c>
      <c r="S4" s="452">
        <v>9727</v>
      </c>
      <c r="T4" s="476">
        <f t="shared" si="3"/>
        <v>9</v>
      </c>
      <c r="U4" s="452">
        <v>337715</v>
      </c>
      <c r="V4" s="456">
        <f>U4-U3</f>
        <v>1712</v>
      </c>
      <c r="W4" s="452">
        <f t="shared" ref="W4:W33" si="7">W3</f>
        <v>32049</v>
      </c>
      <c r="X4" s="456">
        <f t="shared" si="4"/>
        <v>0</v>
      </c>
      <c r="Y4" s="452">
        <f t="shared" ref="Y4:Y33" si="8">Y3</f>
        <v>673052</v>
      </c>
      <c r="Z4" s="456">
        <f>Y4-Y3</f>
        <v>0</v>
      </c>
      <c r="AA4" s="452">
        <f t="shared" ref="AA4:AA33" si="9">AA3</f>
        <v>35607</v>
      </c>
      <c r="AB4" s="477">
        <f>AA4-AA3</f>
        <v>0</v>
      </c>
      <c r="AC4" s="452">
        <f t="shared" ref="AC4:AC33" si="10">AC3</f>
        <v>899488</v>
      </c>
      <c r="AD4" s="478">
        <f>AC4-AC3</f>
        <v>0</v>
      </c>
      <c r="AE4" s="479">
        <f t="shared" ref="AE4:AE32" si="11">AB4+X4+T4</f>
        <v>9</v>
      </c>
      <c r="AF4" s="480">
        <f t="shared" ref="AF4:AF31" si="12">V4+Z4+AD4</f>
        <v>1712</v>
      </c>
      <c r="AG4" s="472">
        <f t="shared" si="5"/>
        <v>190.22222222222223</v>
      </c>
    </row>
    <row r="5" spans="1:115">
      <c r="A5" s="464">
        <f>'General information '!F8</f>
        <v>0</v>
      </c>
      <c r="B5" s="458">
        <f>SUM(230*A5)</f>
        <v>0</v>
      </c>
      <c r="C5" s="465">
        <v>44107</v>
      </c>
      <c r="D5" s="452">
        <v>32296166</v>
      </c>
      <c r="E5" s="314">
        <f t="shared" ref="E5:E32" si="13">D5-D4</f>
        <v>2750</v>
      </c>
      <c r="F5" s="452">
        <v>3874438</v>
      </c>
      <c r="G5" s="315">
        <f t="shared" si="0"/>
        <v>748</v>
      </c>
      <c r="H5" s="452">
        <v>17673458</v>
      </c>
      <c r="I5" s="315">
        <f t="shared" ref="I5:I31" si="14">H5-H4</f>
        <v>802</v>
      </c>
      <c r="J5" s="452">
        <v>28722646</v>
      </c>
      <c r="K5" s="315">
        <f t="shared" ref="K5:K31" si="15">J5-J4</f>
        <v>994</v>
      </c>
      <c r="L5" s="452">
        <v>23700522</v>
      </c>
      <c r="M5" s="315">
        <f t="shared" ref="M5:M31" si="16">L5-L4</f>
        <v>3390</v>
      </c>
      <c r="N5" s="313">
        <f t="shared" ref="N5:N31" si="17">M5+K5+I5+G5+E5</f>
        <v>8684</v>
      </c>
      <c r="O5" s="474">
        <f t="shared" si="1"/>
        <v>0</v>
      </c>
      <c r="P5" s="452">
        <v>16349</v>
      </c>
      <c r="Q5" s="475">
        <f>(P5-P4)*1000</f>
        <v>1000</v>
      </c>
      <c r="R5" s="456">
        <f>N5-Q5</f>
        <v>7684</v>
      </c>
      <c r="S5" s="452">
        <v>9735</v>
      </c>
      <c r="T5" s="476">
        <f t="shared" si="3"/>
        <v>8</v>
      </c>
      <c r="U5" s="452">
        <v>339671</v>
      </c>
      <c r="V5" s="456">
        <f t="shared" ref="V5:V32" si="18">U5-U4</f>
        <v>1956</v>
      </c>
      <c r="W5" s="452">
        <v>32049</v>
      </c>
      <c r="X5" s="456">
        <f t="shared" si="4"/>
        <v>0</v>
      </c>
      <c r="Y5" s="452">
        <f t="shared" si="8"/>
        <v>673052</v>
      </c>
      <c r="Z5" s="456">
        <f>Y5-Y4</f>
        <v>0</v>
      </c>
      <c r="AA5" s="452">
        <f t="shared" si="9"/>
        <v>35607</v>
      </c>
      <c r="AB5" s="456">
        <f t="shared" ref="AB5:AB32" si="19">AA5-AA4</f>
        <v>0</v>
      </c>
      <c r="AC5" s="452">
        <f t="shared" si="10"/>
        <v>899488</v>
      </c>
      <c r="AD5" s="456">
        <f t="shared" ref="AD5:AD16" si="20">AC5-AC4</f>
        <v>0</v>
      </c>
      <c r="AE5" s="479">
        <f t="shared" si="11"/>
        <v>8</v>
      </c>
      <c r="AF5" s="480">
        <f t="shared" si="12"/>
        <v>1956</v>
      </c>
      <c r="AG5" s="472">
        <f t="shared" si="5"/>
        <v>244.5</v>
      </c>
      <c r="AI5" s="473">
        <f>R5-'EDl log'!B3</f>
        <v>-462072</v>
      </c>
    </row>
    <row r="6" spans="1:115">
      <c r="A6" s="464">
        <f>'General information '!F9</f>
        <v>0</v>
      </c>
      <c r="B6" s="458">
        <f t="shared" si="6"/>
        <v>0</v>
      </c>
      <c r="C6" s="465">
        <v>44108</v>
      </c>
      <c r="D6" s="452">
        <v>32298511</v>
      </c>
      <c r="E6" s="314">
        <f t="shared" si="13"/>
        <v>2345</v>
      </c>
      <c r="F6" s="452">
        <v>3875149</v>
      </c>
      <c r="G6" s="315">
        <f t="shared" si="0"/>
        <v>711</v>
      </c>
      <c r="H6" s="452">
        <v>17674202</v>
      </c>
      <c r="I6" s="315">
        <f t="shared" si="14"/>
        <v>744</v>
      </c>
      <c r="J6" s="452">
        <v>28723614</v>
      </c>
      <c r="K6" s="315">
        <f t="shared" si="15"/>
        <v>968</v>
      </c>
      <c r="L6" s="452">
        <v>23703746</v>
      </c>
      <c r="M6" s="315">
        <f t="shared" si="16"/>
        <v>3224</v>
      </c>
      <c r="N6" s="313">
        <f t="shared" si="17"/>
        <v>7992</v>
      </c>
      <c r="O6" s="474">
        <f t="shared" si="1"/>
        <v>0</v>
      </c>
      <c r="P6" s="452">
        <v>16351</v>
      </c>
      <c r="Q6" s="456">
        <f t="shared" si="2"/>
        <v>2000</v>
      </c>
      <c r="R6" s="456">
        <f t="shared" ref="R6:R12" si="21">N6-Q6</f>
        <v>5992</v>
      </c>
      <c r="S6" s="452">
        <v>9740</v>
      </c>
      <c r="T6" s="476">
        <f t="shared" si="3"/>
        <v>5</v>
      </c>
      <c r="U6" s="452">
        <v>340916</v>
      </c>
      <c r="V6" s="456">
        <f t="shared" si="18"/>
        <v>1245</v>
      </c>
      <c r="W6" s="452">
        <f t="shared" si="7"/>
        <v>32049</v>
      </c>
      <c r="X6" s="456">
        <f t="shared" si="4"/>
        <v>0</v>
      </c>
      <c r="Y6" s="452">
        <f t="shared" si="8"/>
        <v>673052</v>
      </c>
      <c r="Z6" s="456">
        <f t="shared" ref="Z6:Z30" si="22">Y6-Y5</f>
        <v>0</v>
      </c>
      <c r="AA6" s="452">
        <f t="shared" si="9"/>
        <v>35607</v>
      </c>
      <c r="AB6" s="456">
        <f t="shared" si="19"/>
        <v>0</v>
      </c>
      <c r="AC6" s="452">
        <f t="shared" si="10"/>
        <v>899488</v>
      </c>
      <c r="AD6" s="456">
        <f t="shared" si="20"/>
        <v>0</v>
      </c>
      <c r="AE6" s="479">
        <f t="shared" si="11"/>
        <v>5</v>
      </c>
      <c r="AF6" s="480">
        <f t="shared" si="12"/>
        <v>1245</v>
      </c>
      <c r="AG6" s="472">
        <f t="shared" si="5"/>
        <v>249</v>
      </c>
      <c r="AI6" s="473">
        <f>R6-'EDl log'!B4</f>
        <v>-468150</v>
      </c>
    </row>
    <row r="7" spans="1:115">
      <c r="A7" s="464">
        <f>'General information '!F10</f>
        <v>0</v>
      </c>
      <c r="B7" s="458">
        <f t="shared" si="6"/>
        <v>0</v>
      </c>
      <c r="C7" s="465">
        <v>44109</v>
      </c>
      <c r="D7" s="452">
        <v>32301350</v>
      </c>
      <c r="E7" s="314">
        <f t="shared" si="13"/>
        <v>2839</v>
      </c>
      <c r="F7" s="452">
        <v>3875952</v>
      </c>
      <c r="G7" s="315">
        <f t="shared" si="0"/>
        <v>803</v>
      </c>
      <c r="H7" s="452">
        <v>17675074</v>
      </c>
      <c r="I7" s="315">
        <f t="shared" si="14"/>
        <v>872</v>
      </c>
      <c r="J7" s="452">
        <v>28724752</v>
      </c>
      <c r="K7" s="315">
        <f t="shared" si="15"/>
        <v>1138</v>
      </c>
      <c r="L7" s="452">
        <v>23707270</v>
      </c>
      <c r="M7" s="315">
        <f t="shared" si="16"/>
        <v>3524</v>
      </c>
      <c r="N7" s="313">
        <f t="shared" si="17"/>
        <v>9176</v>
      </c>
      <c r="O7" s="474">
        <f t="shared" si="1"/>
        <v>0</v>
      </c>
      <c r="P7" s="452">
        <v>16353</v>
      </c>
      <c r="Q7" s="456">
        <f t="shared" si="2"/>
        <v>2000</v>
      </c>
      <c r="R7" s="456">
        <f t="shared" si="21"/>
        <v>7176</v>
      </c>
      <c r="S7" s="452">
        <v>9749</v>
      </c>
      <c r="T7" s="476">
        <f t="shared" si="3"/>
        <v>9</v>
      </c>
      <c r="U7" s="452">
        <v>342794</v>
      </c>
      <c r="V7" s="456">
        <f t="shared" si="18"/>
        <v>1878</v>
      </c>
      <c r="W7" s="452">
        <v>32049</v>
      </c>
      <c r="X7" s="456">
        <f t="shared" si="4"/>
        <v>0</v>
      </c>
      <c r="Y7" s="452">
        <f t="shared" si="8"/>
        <v>673052</v>
      </c>
      <c r="Z7" s="456">
        <f t="shared" si="22"/>
        <v>0</v>
      </c>
      <c r="AA7" s="452">
        <f t="shared" si="9"/>
        <v>35607</v>
      </c>
      <c r="AB7" s="456">
        <f t="shared" si="19"/>
        <v>0</v>
      </c>
      <c r="AC7" s="452">
        <f t="shared" si="10"/>
        <v>899488</v>
      </c>
      <c r="AD7" s="456">
        <f t="shared" si="20"/>
        <v>0</v>
      </c>
      <c r="AE7" s="479">
        <f t="shared" si="11"/>
        <v>9</v>
      </c>
      <c r="AF7" s="480">
        <f t="shared" si="12"/>
        <v>1878</v>
      </c>
      <c r="AG7" s="472">
        <f t="shared" si="5"/>
        <v>208.66666666666666</v>
      </c>
      <c r="AI7" s="473">
        <f>R7-'EDl log'!B5</f>
        <v>-472184</v>
      </c>
    </row>
    <row r="8" spans="1:115">
      <c r="A8" s="464">
        <f>'General information '!F11</f>
        <v>0</v>
      </c>
      <c r="B8" s="458">
        <f t="shared" si="6"/>
        <v>0</v>
      </c>
      <c r="C8" s="465">
        <v>44110</v>
      </c>
      <c r="D8" s="452">
        <v>32304614</v>
      </c>
      <c r="E8" s="314">
        <f t="shared" si="13"/>
        <v>3264</v>
      </c>
      <c r="F8" s="452">
        <v>3876774</v>
      </c>
      <c r="G8" s="315">
        <f t="shared" si="0"/>
        <v>822</v>
      </c>
      <c r="H8" s="452">
        <v>17676048</v>
      </c>
      <c r="I8" s="315">
        <f t="shared" si="14"/>
        <v>974</v>
      </c>
      <c r="J8" s="452">
        <v>28726090</v>
      </c>
      <c r="K8" s="315">
        <f t="shared" si="15"/>
        <v>1338</v>
      </c>
      <c r="L8" s="452">
        <v>23711834</v>
      </c>
      <c r="M8" s="315">
        <f t="shared" si="16"/>
        <v>4564</v>
      </c>
      <c r="N8" s="313">
        <f t="shared" si="17"/>
        <v>10962</v>
      </c>
      <c r="O8" s="474">
        <f t="shared" si="1"/>
        <v>0</v>
      </c>
      <c r="P8" s="452">
        <v>16354</v>
      </c>
      <c r="Q8" s="456">
        <f t="shared" si="2"/>
        <v>1000</v>
      </c>
      <c r="R8" s="456">
        <f t="shared" si="21"/>
        <v>9962</v>
      </c>
      <c r="S8" s="452">
        <v>9760</v>
      </c>
      <c r="T8" s="476">
        <f t="shared" si="3"/>
        <v>11</v>
      </c>
      <c r="U8" s="452">
        <v>345219</v>
      </c>
      <c r="V8" s="456">
        <f t="shared" si="18"/>
        <v>2425</v>
      </c>
      <c r="W8" s="452">
        <f t="shared" si="7"/>
        <v>32049</v>
      </c>
      <c r="X8" s="456">
        <f t="shared" si="4"/>
        <v>0</v>
      </c>
      <c r="Y8" s="452">
        <f t="shared" si="8"/>
        <v>673052</v>
      </c>
      <c r="Z8" s="456">
        <f t="shared" si="22"/>
        <v>0</v>
      </c>
      <c r="AA8" s="452">
        <f t="shared" si="9"/>
        <v>35607</v>
      </c>
      <c r="AB8" s="456">
        <f t="shared" si="19"/>
        <v>0</v>
      </c>
      <c r="AC8" s="452">
        <f t="shared" si="10"/>
        <v>899488</v>
      </c>
      <c r="AD8" s="456">
        <f t="shared" si="20"/>
        <v>0</v>
      </c>
      <c r="AE8" s="479">
        <f t="shared" si="11"/>
        <v>11</v>
      </c>
      <c r="AF8" s="480">
        <f t="shared" si="12"/>
        <v>2425</v>
      </c>
      <c r="AG8" s="472">
        <f t="shared" si="5"/>
        <v>220.45454545454547</v>
      </c>
      <c r="AI8" s="473">
        <f>R8-'EDl log'!B6</f>
        <v>-473114</v>
      </c>
    </row>
    <row r="9" spans="1:115">
      <c r="A9" s="464">
        <f>'General information '!F12</f>
        <v>0</v>
      </c>
      <c r="B9" s="458">
        <f t="shared" si="6"/>
        <v>0</v>
      </c>
      <c r="C9" s="465">
        <v>44111</v>
      </c>
      <c r="D9" s="452">
        <v>32307910</v>
      </c>
      <c r="E9" s="314">
        <f t="shared" si="13"/>
        <v>3296</v>
      </c>
      <c r="F9" s="452">
        <v>3877576</v>
      </c>
      <c r="G9" s="315">
        <f t="shared" si="0"/>
        <v>802</v>
      </c>
      <c r="H9" s="452">
        <v>17677130</v>
      </c>
      <c r="I9" s="315">
        <f t="shared" si="14"/>
        <v>1082</v>
      </c>
      <c r="J9" s="452">
        <v>28727494</v>
      </c>
      <c r="K9" s="315">
        <f t="shared" si="15"/>
        <v>1404</v>
      </c>
      <c r="L9" s="452">
        <v>23716290</v>
      </c>
      <c r="M9" s="315">
        <f t="shared" si="16"/>
        <v>4456</v>
      </c>
      <c r="N9" s="313">
        <f t="shared" si="17"/>
        <v>11040</v>
      </c>
      <c r="O9" s="474">
        <f t="shared" si="1"/>
        <v>0</v>
      </c>
      <c r="P9" s="452">
        <v>16356</v>
      </c>
      <c r="Q9" s="456">
        <f t="shared" si="2"/>
        <v>2000</v>
      </c>
      <c r="R9" s="456">
        <f t="shared" si="21"/>
        <v>9040</v>
      </c>
      <c r="S9" s="452">
        <v>9772</v>
      </c>
      <c r="T9" s="476">
        <f t="shared" si="3"/>
        <v>12</v>
      </c>
      <c r="U9" s="452">
        <v>347928</v>
      </c>
      <c r="V9" s="456">
        <f t="shared" si="18"/>
        <v>2709</v>
      </c>
      <c r="W9" s="452">
        <f t="shared" si="7"/>
        <v>32049</v>
      </c>
      <c r="X9" s="456">
        <f t="shared" ref="X9:X32" si="23">W9-W8</f>
        <v>0</v>
      </c>
      <c r="Y9" s="452">
        <f t="shared" si="8"/>
        <v>673052</v>
      </c>
      <c r="Z9" s="456">
        <f t="shared" si="22"/>
        <v>0</v>
      </c>
      <c r="AA9" s="452">
        <f t="shared" si="9"/>
        <v>35607</v>
      </c>
      <c r="AB9" s="456">
        <f t="shared" si="19"/>
        <v>0</v>
      </c>
      <c r="AC9" s="452">
        <f t="shared" si="10"/>
        <v>899488</v>
      </c>
      <c r="AD9" s="456">
        <f t="shared" si="20"/>
        <v>0</v>
      </c>
      <c r="AE9" s="479">
        <f t="shared" si="11"/>
        <v>12</v>
      </c>
      <c r="AF9" s="480">
        <f t="shared" si="12"/>
        <v>2709</v>
      </c>
      <c r="AG9" s="472">
        <f t="shared" si="5"/>
        <v>225.75</v>
      </c>
      <c r="AI9" s="473">
        <f>R9-'EDl log'!B7</f>
        <v>-477418</v>
      </c>
    </row>
    <row r="10" spans="1:115">
      <c r="A10" s="464">
        <f>'General information '!F13</f>
        <v>0</v>
      </c>
      <c r="B10" s="458">
        <f t="shared" si="6"/>
        <v>0</v>
      </c>
      <c r="C10" s="465">
        <v>44112</v>
      </c>
      <c r="D10" s="452">
        <v>32312986</v>
      </c>
      <c r="E10" s="314">
        <f t="shared" si="13"/>
        <v>5076</v>
      </c>
      <c r="F10" s="452">
        <v>3878392</v>
      </c>
      <c r="G10" s="315">
        <f t="shared" si="0"/>
        <v>816</v>
      </c>
      <c r="H10" s="452">
        <v>17678194</v>
      </c>
      <c r="I10" s="315">
        <f t="shared" si="14"/>
        <v>1064</v>
      </c>
      <c r="J10" s="452">
        <v>28728978</v>
      </c>
      <c r="K10" s="315">
        <f t="shared" si="15"/>
        <v>1484</v>
      </c>
      <c r="L10" s="452">
        <v>23719306</v>
      </c>
      <c r="M10" s="315">
        <f t="shared" si="16"/>
        <v>3016</v>
      </c>
      <c r="N10" s="313">
        <f t="shared" si="17"/>
        <v>11456</v>
      </c>
      <c r="O10" s="474">
        <f t="shared" ref="O10:O32" si="24">IF(B10&gt;0,N10/B10,0)</f>
        <v>0</v>
      </c>
      <c r="P10" s="452">
        <v>16358</v>
      </c>
      <c r="Q10" s="456">
        <f t="shared" si="2"/>
        <v>2000</v>
      </c>
      <c r="R10" s="456">
        <f t="shared" si="21"/>
        <v>9456</v>
      </c>
      <c r="S10" s="452">
        <v>9776</v>
      </c>
      <c r="T10" s="476">
        <f t="shared" si="3"/>
        <v>4</v>
      </c>
      <c r="U10" s="452">
        <v>348793</v>
      </c>
      <c r="V10" s="456">
        <f t="shared" si="18"/>
        <v>865</v>
      </c>
      <c r="W10" s="452">
        <v>32049</v>
      </c>
      <c r="X10" s="456">
        <f t="shared" si="23"/>
        <v>0</v>
      </c>
      <c r="Y10" s="452">
        <f t="shared" si="8"/>
        <v>673052</v>
      </c>
      <c r="Z10" s="456">
        <f t="shared" si="22"/>
        <v>0</v>
      </c>
      <c r="AA10" s="452">
        <f t="shared" si="9"/>
        <v>35607</v>
      </c>
      <c r="AB10" s="456">
        <f t="shared" si="19"/>
        <v>0</v>
      </c>
      <c r="AC10" s="452">
        <f t="shared" si="10"/>
        <v>899488</v>
      </c>
      <c r="AD10" s="456">
        <f t="shared" si="20"/>
        <v>0</v>
      </c>
      <c r="AE10" s="479">
        <f t="shared" si="11"/>
        <v>4</v>
      </c>
      <c r="AF10" s="480">
        <f t="shared" si="12"/>
        <v>865</v>
      </c>
      <c r="AG10" s="472">
        <f t="shared" ref="AG10:AG32" si="25">IF(AE10&gt;0,AF10/AE10,0)</f>
        <v>216.25</v>
      </c>
      <c r="AI10" s="473">
        <f>R10-'EDl log'!B8</f>
        <v>-480959</v>
      </c>
    </row>
    <row r="11" spans="1:115">
      <c r="A11" s="464">
        <f>'General information '!F14</f>
        <v>0</v>
      </c>
      <c r="B11" s="458">
        <f>SUM(230*A11)</f>
        <v>0</v>
      </c>
      <c r="C11" s="465">
        <v>44113</v>
      </c>
      <c r="D11" s="452">
        <v>32318098</v>
      </c>
      <c r="E11" s="314">
        <f t="shared" si="13"/>
        <v>5112</v>
      </c>
      <c r="F11" s="452">
        <v>3879190</v>
      </c>
      <c r="G11" s="315">
        <f t="shared" si="0"/>
        <v>798</v>
      </c>
      <c r="H11" s="452">
        <v>17679134</v>
      </c>
      <c r="I11" s="315">
        <f t="shared" si="14"/>
        <v>940</v>
      </c>
      <c r="J11" s="452">
        <v>28730332</v>
      </c>
      <c r="K11" s="315">
        <f t="shared" si="15"/>
        <v>1354</v>
      </c>
      <c r="L11" s="452">
        <v>23721172</v>
      </c>
      <c r="M11" s="315">
        <f t="shared" si="16"/>
        <v>1866</v>
      </c>
      <c r="N11" s="313">
        <f>M11+K11+I11+G11+E11</f>
        <v>10070</v>
      </c>
      <c r="O11" s="474">
        <f t="shared" si="24"/>
        <v>0</v>
      </c>
      <c r="P11" s="452">
        <v>16360</v>
      </c>
      <c r="Q11" s="456">
        <f t="shared" si="2"/>
        <v>2000</v>
      </c>
      <c r="R11" s="456">
        <f t="shared" si="21"/>
        <v>8070</v>
      </c>
      <c r="S11" s="452">
        <f t="shared" ref="S11:S33" si="26">S10</f>
        <v>9776</v>
      </c>
      <c r="T11" s="476">
        <f t="shared" si="3"/>
        <v>0</v>
      </c>
      <c r="U11" s="452">
        <f t="shared" ref="U11:U33" si="27">U10</f>
        <v>348793</v>
      </c>
      <c r="V11" s="456">
        <f t="shared" si="18"/>
        <v>0</v>
      </c>
      <c r="W11" s="452">
        <f t="shared" si="7"/>
        <v>32049</v>
      </c>
      <c r="X11" s="456">
        <f t="shared" si="23"/>
        <v>0</v>
      </c>
      <c r="Y11" s="452">
        <f t="shared" si="8"/>
        <v>673052</v>
      </c>
      <c r="Z11" s="456">
        <f t="shared" si="22"/>
        <v>0</v>
      </c>
      <c r="AA11" s="452">
        <v>35623</v>
      </c>
      <c r="AB11" s="456">
        <f t="shared" si="19"/>
        <v>16</v>
      </c>
      <c r="AC11" s="452">
        <v>903127</v>
      </c>
      <c r="AD11" s="456">
        <f t="shared" si="20"/>
        <v>3639</v>
      </c>
      <c r="AE11" s="479">
        <f t="shared" si="11"/>
        <v>16</v>
      </c>
      <c r="AF11" s="480">
        <f t="shared" si="12"/>
        <v>3639</v>
      </c>
      <c r="AG11" s="472">
        <f t="shared" si="25"/>
        <v>227.4375</v>
      </c>
      <c r="AI11" s="473">
        <f>R11-'EDl log'!B9</f>
        <v>-487165</v>
      </c>
    </row>
    <row r="12" spans="1:115">
      <c r="A12" s="464">
        <f>'General information '!F15</f>
        <v>0</v>
      </c>
      <c r="B12" s="458">
        <f t="shared" si="6"/>
        <v>0</v>
      </c>
      <c r="C12" s="465">
        <v>44114</v>
      </c>
      <c r="D12" s="452">
        <v>32322146</v>
      </c>
      <c r="E12" s="314">
        <f t="shared" si="13"/>
        <v>4048</v>
      </c>
      <c r="F12" s="452">
        <v>3879937</v>
      </c>
      <c r="G12" s="315">
        <f t="shared" si="0"/>
        <v>747</v>
      </c>
      <c r="H12" s="452">
        <v>17680050</v>
      </c>
      <c r="I12" s="315">
        <f t="shared" si="14"/>
        <v>916</v>
      </c>
      <c r="J12" s="452">
        <v>28731670</v>
      </c>
      <c r="K12" s="315">
        <f t="shared" si="15"/>
        <v>1338</v>
      </c>
      <c r="L12" s="452">
        <v>23723882</v>
      </c>
      <c r="M12" s="315">
        <f t="shared" si="16"/>
        <v>2710</v>
      </c>
      <c r="N12" s="313">
        <f>M12+K12+I12+G12+E12</f>
        <v>9759</v>
      </c>
      <c r="O12" s="474">
        <f t="shared" si="24"/>
        <v>0</v>
      </c>
      <c r="P12" s="452">
        <v>16361</v>
      </c>
      <c r="Q12" s="456">
        <f t="shared" si="2"/>
        <v>1000</v>
      </c>
      <c r="R12" s="456">
        <f t="shared" si="21"/>
        <v>8759</v>
      </c>
      <c r="S12" s="452">
        <v>9779</v>
      </c>
      <c r="T12" s="476">
        <f t="shared" si="3"/>
        <v>3</v>
      </c>
      <c r="U12" s="452">
        <v>349664</v>
      </c>
      <c r="V12" s="456">
        <f t="shared" si="18"/>
        <v>871</v>
      </c>
      <c r="W12" s="452">
        <f t="shared" si="7"/>
        <v>32049</v>
      </c>
      <c r="X12" s="456">
        <f t="shared" si="23"/>
        <v>0</v>
      </c>
      <c r="Y12" s="452">
        <f t="shared" si="8"/>
        <v>673052</v>
      </c>
      <c r="Z12" s="456">
        <f t="shared" si="22"/>
        <v>0</v>
      </c>
      <c r="AA12" s="452">
        <v>35628</v>
      </c>
      <c r="AB12" s="456">
        <f t="shared" si="19"/>
        <v>5</v>
      </c>
      <c r="AC12" s="452">
        <v>904296</v>
      </c>
      <c r="AD12" s="456">
        <f t="shared" si="20"/>
        <v>1169</v>
      </c>
      <c r="AE12" s="479">
        <f t="shared" si="11"/>
        <v>8</v>
      </c>
      <c r="AF12" s="480">
        <f t="shared" si="12"/>
        <v>2040</v>
      </c>
      <c r="AG12" s="472">
        <f t="shared" si="25"/>
        <v>255</v>
      </c>
      <c r="AI12" s="473">
        <f>R12-'EDl log'!B10</f>
        <v>-491314</v>
      </c>
    </row>
    <row r="13" spans="1:115">
      <c r="A13" s="464">
        <f>'General information '!F16</f>
        <v>0</v>
      </c>
      <c r="B13" s="458">
        <f t="shared" si="6"/>
        <v>0</v>
      </c>
      <c r="C13" s="465">
        <v>44115</v>
      </c>
      <c r="D13" s="452">
        <v>32325438</v>
      </c>
      <c r="E13" s="314">
        <f t="shared" si="13"/>
        <v>3292</v>
      </c>
      <c r="F13" s="452">
        <v>3880660</v>
      </c>
      <c r="G13" s="315">
        <f t="shared" si="0"/>
        <v>723</v>
      </c>
      <c r="H13" s="452">
        <v>17681002</v>
      </c>
      <c r="I13" s="315">
        <f t="shared" si="14"/>
        <v>952</v>
      </c>
      <c r="J13" s="452">
        <v>28733202</v>
      </c>
      <c r="K13" s="315">
        <f t="shared" si="15"/>
        <v>1532</v>
      </c>
      <c r="L13" s="452">
        <v>23727934</v>
      </c>
      <c r="M13" s="315">
        <f t="shared" si="16"/>
        <v>4052</v>
      </c>
      <c r="N13" s="313">
        <f t="shared" si="17"/>
        <v>10551</v>
      </c>
      <c r="O13" s="474">
        <f t="shared" si="24"/>
        <v>0</v>
      </c>
      <c r="P13" s="452">
        <v>16363</v>
      </c>
      <c r="Q13" s="456">
        <f>(P13-P12)*1000</f>
        <v>2000</v>
      </c>
      <c r="R13" s="456">
        <f t="shared" ref="R13" si="28">N13-Q13</f>
        <v>8551</v>
      </c>
      <c r="S13" s="452">
        <v>9789</v>
      </c>
      <c r="T13" s="476">
        <f t="shared" si="3"/>
        <v>10</v>
      </c>
      <c r="U13" s="452">
        <v>351891</v>
      </c>
      <c r="V13" s="456">
        <f t="shared" si="18"/>
        <v>2227</v>
      </c>
      <c r="W13" s="452">
        <f t="shared" si="7"/>
        <v>32049</v>
      </c>
      <c r="X13" s="456">
        <f t="shared" si="23"/>
        <v>0</v>
      </c>
      <c r="Y13" s="452">
        <f t="shared" si="8"/>
        <v>673052</v>
      </c>
      <c r="Z13" s="456">
        <f t="shared" si="22"/>
        <v>0</v>
      </c>
      <c r="AA13" s="452">
        <f t="shared" si="9"/>
        <v>35628</v>
      </c>
      <c r="AB13" s="456">
        <f t="shared" si="19"/>
        <v>0</v>
      </c>
      <c r="AC13" s="452">
        <f t="shared" si="10"/>
        <v>904296</v>
      </c>
      <c r="AD13" s="456">
        <f t="shared" si="20"/>
        <v>0</v>
      </c>
      <c r="AE13" s="479">
        <f t="shared" si="11"/>
        <v>10</v>
      </c>
      <c r="AF13" s="480">
        <f t="shared" si="12"/>
        <v>2227</v>
      </c>
      <c r="AG13" s="472">
        <f t="shared" si="25"/>
        <v>222.7</v>
      </c>
      <c r="AI13" s="473">
        <f>R13-'EDl log'!B11</f>
        <v>-496631</v>
      </c>
    </row>
    <row r="14" spans="1:115">
      <c r="A14" s="464">
        <f>'General information '!F17</f>
        <v>0</v>
      </c>
      <c r="B14" s="458">
        <f t="shared" si="6"/>
        <v>0</v>
      </c>
      <c r="C14" s="465">
        <v>44116</v>
      </c>
      <c r="D14" s="452">
        <v>32328976</v>
      </c>
      <c r="E14" s="314">
        <f t="shared" si="13"/>
        <v>3538</v>
      </c>
      <c r="F14" s="604">
        <v>3881479</v>
      </c>
      <c r="G14" s="315">
        <f t="shared" si="0"/>
        <v>819</v>
      </c>
      <c r="H14" s="452">
        <v>17682130</v>
      </c>
      <c r="I14" s="315">
        <f t="shared" si="14"/>
        <v>1128</v>
      </c>
      <c r="J14" s="604">
        <v>28734634</v>
      </c>
      <c r="K14" s="315">
        <f t="shared" si="15"/>
        <v>1432</v>
      </c>
      <c r="L14" s="452">
        <v>23732210</v>
      </c>
      <c r="M14" s="315">
        <f t="shared" si="16"/>
        <v>4276</v>
      </c>
      <c r="N14" s="313">
        <f t="shared" si="17"/>
        <v>11193</v>
      </c>
      <c r="O14" s="474">
        <f t="shared" si="24"/>
        <v>0</v>
      </c>
      <c r="P14" s="605">
        <v>16365</v>
      </c>
      <c r="Q14" s="456">
        <f t="shared" ref="Q14:Q33" si="29">(P14-P13)*1000</f>
        <v>2000</v>
      </c>
      <c r="R14" s="456">
        <f t="shared" ref="R14:R33" si="30">N14-Q14</f>
        <v>9193</v>
      </c>
      <c r="S14" s="452">
        <v>9800</v>
      </c>
      <c r="T14" s="476">
        <f t="shared" si="3"/>
        <v>11</v>
      </c>
      <c r="U14" s="604">
        <v>354363</v>
      </c>
      <c r="V14" s="456">
        <f t="shared" si="18"/>
        <v>2472</v>
      </c>
      <c r="W14" s="452">
        <f t="shared" si="7"/>
        <v>32049</v>
      </c>
      <c r="X14" s="456">
        <f t="shared" si="23"/>
        <v>0</v>
      </c>
      <c r="Y14" s="452">
        <f t="shared" si="8"/>
        <v>673052</v>
      </c>
      <c r="Z14" s="456">
        <f t="shared" si="22"/>
        <v>0</v>
      </c>
      <c r="AA14" s="452">
        <f t="shared" si="9"/>
        <v>35628</v>
      </c>
      <c r="AB14" s="456">
        <f t="shared" si="19"/>
        <v>0</v>
      </c>
      <c r="AC14" s="452">
        <f t="shared" si="10"/>
        <v>904296</v>
      </c>
      <c r="AD14" s="456">
        <f t="shared" si="20"/>
        <v>0</v>
      </c>
      <c r="AE14" s="479">
        <f t="shared" si="11"/>
        <v>11</v>
      </c>
      <c r="AF14" s="480">
        <f t="shared" si="12"/>
        <v>2472</v>
      </c>
      <c r="AG14" s="472">
        <f t="shared" si="25"/>
        <v>224.72727272727272</v>
      </c>
      <c r="AI14" s="473">
        <f>R14-'EDl log'!B12</f>
        <v>-500159</v>
      </c>
    </row>
    <row r="15" spans="1:115">
      <c r="A15" s="464">
        <f>'General information '!F18</f>
        <v>0</v>
      </c>
      <c r="B15" s="458">
        <f t="shared" si="6"/>
        <v>0</v>
      </c>
      <c r="C15" s="465">
        <v>44117</v>
      </c>
      <c r="D15" s="452">
        <v>32332106</v>
      </c>
      <c r="E15" s="314">
        <f t="shared" si="13"/>
        <v>3130</v>
      </c>
      <c r="F15" s="604">
        <v>3882366</v>
      </c>
      <c r="G15" s="315">
        <f t="shared" si="0"/>
        <v>887</v>
      </c>
      <c r="H15" s="452">
        <v>17683410</v>
      </c>
      <c r="I15" s="315">
        <f t="shared" si="14"/>
        <v>1280</v>
      </c>
      <c r="J15" s="604">
        <v>28736100</v>
      </c>
      <c r="K15" s="315">
        <f t="shared" si="15"/>
        <v>1466</v>
      </c>
      <c r="L15" s="452">
        <v>23736624</v>
      </c>
      <c r="M15" s="315">
        <f t="shared" si="16"/>
        <v>4414</v>
      </c>
      <c r="N15" s="313">
        <f t="shared" si="17"/>
        <v>11177</v>
      </c>
      <c r="O15" s="474">
        <f t="shared" si="24"/>
        <v>0</v>
      </c>
      <c r="P15" s="605">
        <v>16367</v>
      </c>
      <c r="Q15" s="456">
        <f t="shared" si="29"/>
        <v>2000</v>
      </c>
      <c r="R15" s="456">
        <f t="shared" si="30"/>
        <v>9177</v>
      </c>
      <c r="S15" s="452">
        <v>9810</v>
      </c>
      <c r="T15" s="476">
        <f t="shared" si="3"/>
        <v>10</v>
      </c>
      <c r="U15" s="604">
        <v>356636</v>
      </c>
      <c r="V15" s="456">
        <f t="shared" si="18"/>
        <v>2273</v>
      </c>
      <c r="W15" s="452">
        <f t="shared" si="7"/>
        <v>32049</v>
      </c>
      <c r="X15" s="456">
        <f t="shared" si="23"/>
        <v>0</v>
      </c>
      <c r="Y15" s="452">
        <f t="shared" si="8"/>
        <v>673052</v>
      </c>
      <c r="Z15" s="456">
        <f t="shared" si="22"/>
        <v>0</v>
      </c>
      <c r="AA15" s="452">
        <f t="shared" si="9"/>
        <v>35628</v>
      </c>
      <c r="AB15" s="456">
        <f t="shared" si="19"/>
        <v>0</v>
      </c>
      <c r="AC15" s="452">
        <f t="shared" si="10"/>
        <v>904296</v>
      </c>
      <c r="AD15" s="456">
        <f t="shared" si="20"/>
        <v>0</v>
      </c>
      <c r="AE15" s="479">
        <f t="shared" si="11"/>
        <v>10</v>
      </c>
      <c r="AF15" s="480">
        <f t="shared" si="12"/>
        <v>2273</v>
      </c>
      <c r="AG15" s="472">
        <f t="shared" si="25"/>
        <v>227.3</v>
      </c>
      <c r="AI15" s="473">
        <f>R15-'EDl log'!B13</f>
        <v>-504519</v>
      </c>
    </row>
    <row r="16" spans="1:115">
      <c r="A16" s="464">
        <f>'General information '!F19</f>
        <v>0</v>
      </c>
      <c r="B16" s="458">
        <f t="shared" si="6"/>
        <v>0</v>
      </c>
      <c r="C16" s="465">
        <v>44118</v>
      </c>
      <c r="D16" s="452">
        <v>32335078</v>
      </c>
      <c r="E16" s="314">
        <f t="shared" si="13"/>
        <v>2972</v>
      </c>
      <c r="F16" s="452">
        <v>3883256</v>
      </c>
      <c r="G16" s="315">
        <f t="shared" si="0"/>
        <v>890</v>
      </c>
      <c r="H16" s="452">
        <v>17684776</v>
      </c>
      <c r="I16" s="315">
        <f t="shared" si="14"/>
        <v>1366</v>
      </c>
      <c r="J16" s="452">
        <v>28737378</v>
      </c>
      <c r="K16" s="315">
        <f t="shared" si="15"/>
        <v>1278</v>
      </c>
      <c r="L16" s="452">
        <v>23740300</v>
      </c>
      <c r="M16" s="315">
        <f t="shared" si="16"/>
        <v>3676</v>
      </c>
      <c r="N16" s="313">
        <f t="shared" si="17"/>
        <v>10182</v>
      </c>
      <c r="O16" s="474">
        <f t="shared" si="24"/>
        <v>0</v>
      </c>
      <c r="P16" s="452">
        <v>16370</v>
      </c>
      <c r="Q16" s="456">
        <f t="shared" si="29"/>
        <v>3000</v>
      </c>
      <c r="R16" s="456">
        <f t="shared" si="30"/>
        <v>7182</v>
      </c>
      <c r="S16" s="452">
        <v>9818</v>
      </c>
      <c r="T16" s="476">
        <f t="shared" si="3"/>
        <v>8</v>
      </c>
      <c r="U16" s="452">
        <v>358596</v>
      </c>
      <c r="V16" s="456">
        <f t="shared" si="18"/>
        <v>1960</v>
      </c>
      <c r="W16" s="452">
        <f t="shared" si="7"/>
        <v>32049</v>
      </c>
      <c r="X16" s="456">
        <f>W16-W15</f>
        <v>0</v>
      </c>
      <c r="Y16" s="452">
        <f t="shared" si="8"/>
        <v>673052</v>
      </c>
      <c r="Z16" s="456">
        <f>Y16-Y15</f>
        <v>0</v>
      </c>
      <c r="AA16" s="452">
        <f t="shared" si="9"/>
        <v>35628</v>
      </c>
      <c r="AB16" s="456">
        <f>AA16-AA15</f>
        <v>0</v>
      </c>
      <c r="AC16" s="452">
        <f t="shared" si="10"/>
        <v>904296</v>
      </c>
      <c r="AD16" s="456">
        <f t="shared" si="20"/>
        <v>0</v>
      </c>
      <c r="AE16" s="479">
        <f t="shared" si="11"/>
        <v>8</v>
      </c>
      <c r="AF16" s="480">
        <f t="shared" si="12"/>
        <v>1960</v>
      </c>
      <c r="AG16" s="472">
        <f t="shared" si="25"/>
        <v>245</v>
      </c>
      <c r="AI16" s="473">
        <f>R16-'EDl log'!B14</f>
        <v>-511086</v>
      </c>
    </row>
    <row r="17" spans="1:35">
      <c r="A17" s="464">
        <f>'General information '!F20</f>
        <v>0</v>
      </c>
      <c r="B17" s="458">
        <f t="shared" si="6"/>
        <v>0</v>
      </c>
      <c r="C17" s="465">
        <v>44119</v>
      </c>
      <c r="D17" s="452">
        <v>32337974</v>
      </c>
      <c r="E17" s="314">
        <f t="shared" si="13"/>
        <v>2896</v>
      </c>
      <c r="F17" s="452">
        <v>3884013</v>
      </c>
      <c r="G17" s="315">
        <f t="shared" si="0"/>
        <v>757</v>
      </c>
      <c r="H17" s="452">
        <v>17685890</v>
      </c>
      <c r="I17" s="315">
        <f t="shared" si="14"/>
        <v>1114</v>
      </c>
      <c r="J17" s="452">
        <v>28738614</v>
      </c>
      <c r="K17" s="315">
        <f t="shared" si="15"/>
        <v>1236</v>
      </c>
      <c r="L17" s="452">
        <v>23744214</v>
      </c>
      <c r="M17" s="315">
        <f t="shared" si="16"/>
        <v>3914</v>
      </c>
      <c r="N17" s="313">
        <f t="shared" si="17"/>
        <v>9917</v>
      </c>
      <c r="O17" s="474">
        <f t="shared" si="24"/>
        <v>0</v>
      </c>
      <c r="P17" s="452">
        <v>16372</v>
      </c>
      <c r="Q17" s="456">
        <f t="shared" si="29"/>
        <v>2000</v>
      </c>
      <c r="R17" s="456">
        <f t="shared" si="30"/>
        <v>7917</v>
      </c>
      <c r="S17" s="452">
        <v>9826</v>
      </c>
      <c r="T17" s="476">
        <f t="shared" si="3"/>
        <v>8</v>
      </c>
      <c r="U17" s="452">
        <v>360681</v>
      </c>
      <c r="V17" s="456">
        <f t="shared" si="18"/>
        <v>2085</v>
      </c>
      <c r="W17" s="452">
        <f t="shared" si="7"/>
        <v>32049</v>
      </c>
      <c r="X17" s="456">
        <f t="shared" si="23"/>
        <v>0</v>
      </c>
      <c r="Y17" s="452">
        <f t="shared" si="8"/>
        <v>673052</v>
      </c>
      <c r="Z17" s="456">
        <f t="shared" si="22"/>
        <v>0</v>
      </c>
      <c r="AA17" s="452">
        <f t="shared" si="9"/>
        <v>35628</v>
      </c>
      <c r="AB17" s="456">
        <f t="shared" si="19"/>
        <v>0</v>
      </c>
      <c r="AC17" s="452">
        <f t="shared" si="10"/>
        <v>904296</v>
      </c>
      <c r="AD17" s="456">
        <f t="shared" ref="AD17:AD32" si="31">AC17-AC16</f>
        <v>0</v>
      </c>
      <c r="AE17" s="479">
        <f t="shared" si="11"/>
        <v>8</v>
      </c>
      <c r="AF17" s="480">
        <f t="shared" si="12"/>
        <v>2085</v>
      </c>
      <c r="AG17" s="472">
        <f t="shared" si="25"/>
        <v>260.625</v>
      </c>
      <c r="AI17" s="473">
        <f>R17-'EDl log'!B15</f>
        <v>-515278</v>
      </c>
    </row>
    <row r="18" spans="1:35">
      <c r="A18" s="464">
        <f>'General information '!F21</f>
        <v>0</v>
      </c>
      <c r="B18" s="458">
        <f t="shared" si="6"/>
        <v>0</v>
      </c>
      <c r="C18" s="465">
        <v>44120</v>
      </c>
      <c r="D18" s="452">
        <v>32340954</v>
      </c>
      <c r="E18" s="314">
        <f t="shared" si="13"/>
        <v>2980</v>
      </c>
      <c r="F18" s="452">
        <v>3884740</v>
      </c>
      <c r="G18" s="315">
        <f t="shared" si="0"/>
        <v>727</v>
      </c>
      <c r="H18" s="452">
        <v>17686986</v>
      </c>
      <c r="I18" s="315">
        <f t="shared" si="14"/>
        <v>1096</v>
      </c>
      <c r="J18" s="452">
        <v>28739738</v>
      </c>
      <c r="K18" s="315">
        <f t="shared" si="15"/>
        <v>1124</v>
      </c>
      <c r="L18" s="452">
        <v>23747646</v>
      </c>
      <c r="M18" s="315">
        <f t="shared" si="16"/>
        <v>3432</v>
      </c>
      <c r="N18" s="313">
        <f t="shared" si="17"/>
        <v>9359</v>
      </c>
      <c r="O18" s="474">
        <f t="shared" si="24"/>
        <v>0</v>
      </c>
      <c r="P18" s="452">
        <v>16373</v>
      </c>
      <c r="Q18" s="456">
        <f t="shared" si="29"/>
        <v>1000</v>
      </c>
      <c r="R18" s="456">
        <f t="shared" si="30"/>
        <v>8359</v>
      </c>
      <c r="S18" s="452">
        <v>9834</v>
      </c>
      <c r="T18" s="476">
        <f t="shared" si="3"/>
        <v>8</v>
      </c>
      <c r="U18" s="452">
        <v>362339</v>
      </c>
      <c r="V18" s="456">
        <f t="shared" si="18"/>
        <v>1658</v>
      </c>
      <c r="W18" s="452">
        <f t="shared" si="7"/>
        <v>32049</v>
      </c>
      <c r="X18" s="456">
        <f t="shared" si="23"/>
        <v>0</v>
      </c>
      <c r="Y18" s="452">
        <f t="shared" si="8"/>
        <v>673052</v>
      </c>
      <c r="Z18" s="456">
        <f t="shared" si="22"/>
        <v>0</v>
      </c>
      <c r="AA18" s="452">
        <f t="shared" si="9"/>
        <v>35628</v>
      </c>
      <c r="AB18" s="456">
        <f t="shared" si="19"/>
        <v>0</v>
      </c>
      <c r="AC18" s="452">
        <f t="shared" si="10"/>
        <v>904296</v>
      </c>
      <c r="AD18" s="456">
        <f t="shared" si="31"/>
        <v>0</v>
      </c>
      <c r="AE18" s="479">
        <f t="shared" si="11"/>
        <v>8</v>
      </c>
      <c r="AF18" s="480">
        <f t="shared" si="12"/>
        <v>1658</v>
      </c>
      <c r="AG18" s="472">
        <f t="shared" si="25"/>
        <v>207.25</v>
      </c>
      <c r="AI18" s="473">
        <f>R18-'EDl log'!B16</f>
        <v>-519614</v>
      </c>
    </row>
    <row r="19" spans="1:35">
      <c r="A19" s="464">
        <f>'General information '!F22</f>
        <v>0</v>
      </c>
      <c r="B19" s="458">
        <f t="shared" si="6"/>
        <v>0</v>
      </c>
      <c r="C19" s="465">
        <v>44121</v>
      </c>
      <c r="D19" s="452">
        <v>32343890</v>
      </c>
      <c r="E19" s="314">
        <f t="shared" si="13"/>
        <v>2936</v>
      </c>
      <c r="F19" s="452">
        <v>3885434</v>
      </c>
      <c r="G19" s="315">
        <f t="shared" si="0"/>
        <v>694</v>
      </c>
      <c r="H19" s="452">
        <v>17688038</v>
      </c>
      <c r="I19" s="315">
        <f t="shared" si="14"/>
        <v>1052</v>
      </c>
      <c r="J19" s="452">
        <v>28740874</v>
      </c>
      <c r="K19" s="315">
        <f t="shared" si="15"/>
        <v>1136</v>
      </c>
      <c r="L19" s="452">
        <v>23751006</v>
      </c>
      <c r="M19" s="315">
        <f t="shared" si="16"/>
        <v>3360</v>
      </c>
      <c r="N19" s="313">
        <f t="shared" si="17"/>
        <v>9178</v>
      </c>
      <c r="O19" s="474">
        <f t="shared" si="24"/>
        <v>0</v>
      </c>
      <c r="P19" s="452">
        <v>16374</v>
      </c>
      <c r="Q19" s="456">
        <f t="shared" si="29"/>
        <v>1000</v>
      </c>
      <c r="R19" s="456">
        <f t="shared" si="30"/>
        <v>8178</v>
      </c>
      <c r="S19" s="452">
        <v>9843</v>
      </c>
      <c r="T19" s="476">
        <f t="shared" si="3"/>
        <v>9</v>
      </c>
      <c r="U19" s="452">
        <v>363969</v>
      </c>
      <c r="V19" s="456">
        <f t="shared" si="18"/>
        <v>1630</v>
      </c>
      <c r="W19" s="452">
        <f t="shared" si="7"/>
        <v>32049</v>
      </c>
      <c r="X19" s="456">
        <f t="shared" si="23"/>
        <v>0</v>
      </c>
      <c r="Y19" s="452">
        <f t="shared" si="8"/>
        <v>673052</v>
      </c>
      <c r="Z19" s="456">
        <f t="shared" si="22"/>
        <v>0</v>
      </c>
      <c r="AA19" s="452">
        <f t="shared" si="9"/>
        <v>35628</v>
      </c>
      <c r="AB19" s="456">
        <f t="shared" si="19"/>
        <v>0</v>
      </c>
      <c r="AC19" s="452">
        <f t="shared" si="10"/>
        <v>904296</v>
      </c>
      <c r="AD19" s="456">
        <f t="shared" si="31"/>
        <v>0</v>
      </c>
      <c r="AE19" s="479">
        <f t="shared" si="11"/>
        <v>9</v>
      </c>
      <c r="AF19" s="480">
        <f t="shared" si="12"/>
        <v>1630</v>
      </c>
      <c r="AG19" s="472">
        <f t="shared" si="25"/>
        <v>181.11111111111111</v>
      </c>
      <c r="AI19" s="473">
        <f>R19-'EDl log'!B17</f>
        <v>-523563</v>
      </c>
    </row>
    <row r="20" spans="1:35">
      <c r="A20" s="464">
        <f>'General information '!F23</f>
        <v>0</v>
      </c>
      <c r="B20" s="458">
        <f t="shared" si="6"/>
        <v>0</v>
      </c>
      <c r="C20" s="465">
        <v>44122</v>
      </c>
      <c r="D20" s="452">
        <v>32346590</v>
      </c>
      <c r="E20" s="314">
        <f t="shared" si="13"/>
        <v>2700</v>
      </c>
      <c r="F20" s="604">
        <v>3886154</v>
      </c>
      <c r="G20" s="315">
        <f t="shared" si="0"/>
        <v>720</v>
      </c>
      <c r="H20" s="452">
        <v>17689138</v>
      </c>
      <c r="I20" s="315">
        <f t="shared" si="14"/>
        <v>1100</v>
      </c>
      <c r="J20" s="604">
        <v>28742026</v>
      </c>
      <c r="K20" s="315">
        <f t="shared" si="15"/>
        <v>1152</v>
      </c>
      <c r="L20" s="452">
        <v>23754158</v>
      </c>
      <c r="M20" s="315">
        <f t="shared" si="16"/>
        <v>3152</v>
      </c>
      <c r="N20" s="313">
        <f t="shared" si="17"/>
        <v>8824</v>
      </c>
      <c r="O20" s="474">
        <f t="shared" si="24"/>
        <v>0</v>
      </c>
      <c r="P20" s="605">
        <v>16376</v>
      </c>
      <c r="Q20" s="456">
        <f t="shared" si="29"/>
        <v>2000</v>
      </c>
      <c r="R20" s="456">
        <f t="shared" si="30"/>
        <v>6824</v>
      </c>
      <c r="S20" s="452">
        <v>9848</v>
      </c>
      <c r="T20" s="476">
        <f t="shared" si="3"/>
        <v>5</v>
      </c>
      <c r="U20" s="604">
        <v>365331</v>
      </c>
      <c r="V20" s="456">
        <f t="shared" si="18"/>
        <v>1362</v>
      </c>
      <c r="W20" s="452">
        <f t="shared" si="7"/>
        <v>32049</v>
      </c>
      <c r="X20" s="456">
        <f t="shared" si="23"/>
        <v>0</v>
      </c>
      <c r="Y20" s="452">
        <f t="shared" si="8"/>
        <v>673052</v>
      </c>
      <c r="Z20" s="456">
        <f t="shared" si="22"/>
        <v>0</v>
      </c>
      <c r="AA20" s="452">
        <f t="shared" si="9"/>
        <v>35628</v>
      </c>
      <c r="AB20" s="456">
        <f t="shared" si="19"/>
        <v>0</v>
      </c>
      <c r="AC20" s="452">
        <f t="shared" si="10"/>
        <v>904296</v>
      </c>
      <c r="AD20" s="456">
        <f t="shared" si="31"/>
        <v>0</v>
      </c>
      <c r="AE20" s="479">
        <f t="shared" si="11"/>
        <v>5</v>
      </c>
      <c r="AF20" s="480">
        <f t="shared" si="12"/>
        <v>1362</v>
      </c>
      <c r="AG20" s="472">
        <f t="shared" si="25"/>
        <v>272.39999999999998</v>
      </c>
      <c r="AI20" s="473">
        <f>R20-'EDl log'!B18</f>
        <v>-529174</v>
      </c>
    </row>
    <row r="21" spans="1:35">
      <c r="A21" s="464">
        <f>'General information '!F24</f>
        <v>0</v>
      </c>
      <c r="B21" s="458">
        <f t="shared" si="6"/>
        <v>0</v>
      </c>
      <c r="C21" s="465">
        <v>44123</v>
      </c>
      <c r="D21" s="452">
        <v>32349414</v>
      </c>
      <c r="E21" s="314">
        <f t="shared" si="13"/>
        <v>2824</v>
      </c>
      <c r="F21" s="604">
        <v>3886992</v>
      </c>
      <c r="G21" s="315">
        <f t="shared" si="0"/>
        <v>838</v>
      </c>
      <c r="H21" s="452">
        <v>17690146</v>
      </c>
      <c r="I21" s="315">
        <f t="shared" si="14"/>
        <v>1008</v>
      </c>
      <c r="J21" s="604">
        <v>28743348</v>
      </c>
      <c r="K21" s="315">
        <f t="shared" si="15"/>
        <v>1322</v>
      </c>
      <c r="L21" s="452">
        <v>23757710</v>
      </c>
      <c r="M21" s="315">
        <f t="shared" si="16"/>
        <v>3552</v>
      </c>
      <c r="N21" s="313">
        <f t="shared" si="17"/>
        <v>9544</v>
      </c>
      <c r="O21" s="474">
        <f t="shared" si="24"/>
        <v>0</v>
      </c>
      <c r="P21" s="605">
        <v>16378</v>
      </c>
      <c r="Q21" s="456">
        <f t="shared" si="29"/>
        <v>2000</v>
      </c>
      <c r="R21" s="456">
        <f t="shared" si="30"/>
        <v>7544</v>
      </c>
      <c r="S21" s="452">
        <v>9853</v>
      </c>
      <c r="T21" s="476">
        <f t="shared" si="3"/>
        <v>5</v>
      </c>
      <c r="U21" s="604">
        <v>366682</v>
      </c>
      <c r="V21" s="456">
        <f t="shared" si="18"/>
        <v>1351</v>
      </c>
      <c r="W21" s="452">
        <f t="shared" si="7"/>
        <v>32049</v>
      </c>
      <c r="X21" s="456">
        <f t="shared" si="23"/>
        <v>0</v>
      </c>
      <c r="Y21" s="452">
        <f t="shared" si="8"/>
        <v>673052</v>
      </c>
      <c r="Z21" s="456">
        <f t="shared" si="22"/>
        <v>0</v>
      </c>
      <c r="AA21" s="452">
        <f t="shared" si="9"/>
        <v>35628</v>
      </c>
      <c r="AB21" s="456">
        <f t="shared" si="19"/>
        <v>0</v>
      </c>
      <c r="AC21" s="452">
        <f t="shared" si="10"/>
        <v>904296</v>
      </c>
      <c r="AD21" s="456">
        <f t="shared" si="31"/>
        <v>0</v>
      </c>
      <c r="AE21" s="479">
        <f t="shared" si="11"/>
        <v>5</v>
      </c>
      <c r="AF21" s="480">
        <f t="shared" si="12"/>
        <v>1351</v>
      </c>
      <c r="AG21" s="472">
        <f t="shared" si="25"/>
        <v>270.2</v>
      </c>
      <c r="AI21" s="473">
        <f>R21-'EDl log'!B19</f>
        <v>-532469</v>
      </c>
    </row>
    <row r="22" spans="1:35">
      <c r="A22" s="464">
        <f>'General information '!F25</f>
        <v>0</v>
      </c>
      <c r="B22" s="458">
        <f t="shared" si="6"/>
        <v>0</v>
      </c>
      <c r="C22" s="465">
        <v>44124</v>
      </c>
      <c r="D22" s="452">
        <v>32352078</v>
      </c>
      <c r="E22" s="314">
        <f t="shared" si="13"/>
        <v>2664</v>
      </c>
      <c r="F22" s="604">
        <v>3887878</v>
      </c>
      <c r="G22" s="315">
        <f t="shared" si="0"/>
        <v>886</v>
      </c>
      <c r="H22" s="452">
        <v>17691154</v>
      </c>
      <c r="I22" s="315">
        <f t="shared" si="14"/>
        <v>1008</v>
      </c>
      <c r="J22" s="604">
        <v>28744662</v>
      </c>
      <c r="K22" s="315">
        <f t="shared" si="15"/>
        <v>1314</v>
      </c>
      <c r="L22" s="452">
        <v>23761522</v>
      </c>
      <c r="M22" s="315">
        <f t="shared" si="16"/>
        <v>3812</v>
      </c>
      <c r="N22" s="313">
        <f t="shared" si="17"/>
        <v>9684</v>
      </c>
      <c r="O22" s="474">
        <f t="shared" si="24"/>
        <v>0</v>
      </c>
      <c r="P22" s="605">
        <v>16380</v>
      </c>
      <c r="Q22" s="456">
        <f t="shared" si="29"/>
        <v>2000</v>
      </c>
      <c r="R22" s="456">
        <f t="shared" si="30"/>
        <v>7684</v>
      </c>
      <c r="S22" s="452">
        <v>9862</v>
      </c>
      <c r="T22" s="476">
        <f t="shared" si="3"/>
        <v>9</v>
      </c>
      <c r="U22" s="604">
        <v>369012</v>
      </c>
      <c r="V22" s="456">
        <f t="shared" si="18"/>
        <v>2330</v>
      </c>
      <c r="W22" s="452">
        <f t="shared" si="7"/>
        <v>32049</v>
      </c>
      <c r="X22" s="456">
        <f t="shared" si="23"/>
        <v>0</v>
      </c>
      <c r="Y22" s="452">
        <f t="shared" si="8"/>
        <v>673052</v>
      </c>
      <c r="Z22" s="456">
        <f t="shared" si="22"/>
        <v>0</v>
      </c>
      <c r="AA22" s="452">
        <f t="shared" si="9"/>
        <v>35628</v>
      </c>
      <c r="AB22" s="456">
        <f t="shared" si="19"/>
        <v>0</v>
      </c>
      <c r="AC22" s="452">
        <f t="shared" si="10"/>
        <v>904296</v>
      </c>
      <c r="AD22" s="456">
        <f t="shared" si="31"/>
        <v>0</v>
      </c>
      <c r="AE22" s="479">
        <f t="shared" si="11"/>
        <v>9</v>
      </c>
      <c r="AF22" s="480">
        <f t="shared" si="12"/>
        <v>2330</v>
      </c>
      <c r="AG22" s="472">
        <f t="shared" si="25"/>
        <v>258.88888888888891</v>
      </c>
      <c r="AI22" s="473">
        <f>R22-'EDl log'!B20</f>
        <v>-536613</v>
      </c>
    </row>
    <row r="23" spans="1:35">
      <c r="A23" s="464">
        <f>'General information '!F26</f>
        <v>0</v>
      </c>
      <c r="B23" s="458">
        <f t="shared" si="6"/>
        <v>0</v>
      </c>
      <c r="C23" s="465">
        <v>44125</v>
      </c>
      <c r="D23" s="452">
        <v>32354226</v>
      </c>
      <c r="E23" s="314">
        <f t="shared" si="13"/>
        <v>2148</v>
      </c>
      <c r="F23" s="452">
        <v>3888671</v>
      </c>
      <c r="G23" s="315">
        <f t="shared" si="0"/>
        <v>793</v>
      </c>
      <c r="H23" s="452">
        <v>17692098</v>
      </c>
      <c r="I23" s="445">
        <f t="shared" si="14"/>
        <v>944</v>
      </c>
      <c r="J23" s="452">
        <v>28746042</v>
      </c>
      <c r="K23" s="315">
        <f t="shared" si="15"/>
        <v>1380</v>
      </c>
      <c r="L23" s="452">
        <v>23765542</v>
      </c>
      <c r="M23" s="315">
        <f t="shared" si="16"/>
        <v>4020</v>
      </c>
      <c r="N23" s="313">
        <f t="shared" si="17"/>
        <v>9285</v>
      </c>
      <c r="O23" s="474">
        <f t="shared" si="24"/>
        <v>0</v>
      </c>
      <c r="P23" s="452">
        <v>16384</v>
      </c>
      <c r="Q23" s="456">
        <f t="shared" si="29"/>
        <v>4000</v>
      </c>
      <c r="R23" s="456">
        <f t="shared" si="30"/>
        <v>5285</v>
      </c>
      <c r="S23" s="452">
        <v>9870</v>
      </c>
      <c r="T23" s="476">
        <f t="shared" si="3"/>
        <v>8</v>
      </c>
      <c r="U23" s="452">
        <v>371048</v>
      </c>
      <c r="V23" s="456">
        <f t="shared" si="18"/>
        <v>2036</v>
      </c>
      <c r="W23" s="452">
        <f t="shared" si="7"/>
        <v>32049</v>
      </c>
      <c r="X23" s="456">
        <f t="shared" si="23"/>
        <v>0</v>
      </c>
      <c r="Y23" s="452">
        <f t="shared" si="8"/>
        <v>673052</v>
      </c>
      <c r="Z23" s="456">
        <f t="shared" si="22"/>
        <v>0</v>
      </c>
      <c r="AA23" s="452">
        <f t="shared" si="9"/>
        <v>35628</v>
      </c>
      <c r="AB23" s="456">
        <f t="shared" si="19"/>
        <v>0</v>
      </c>
      <c r="AC23" s="452">
        <f t="shared" si="10"/>
        <v>904296</v>
      </c>
      <c r="AD23" s="456">
        <f t="shared" si="31"/>
        <v>0</v>
      </c>
      <c r="AE23" s="479">
        <f t="shared" si="11"/>
        <v>8</v>
      </c>
      <c r="AF23" s="480">
        <f t="shared" si="12"/>
        <v>2036</v>
      </c>
      <c r="AG23" s="472">
        <f t="shared" si="25"/>
        <v>254.5</v>
      </c>
      <c r="AI23" s="473">
        <f>R23-'EDl log'!B21</f>
        <v>-542736</v>
      </c>
    </row>
    <row r="24" spans="1:35">
      <c r="A24" s="464">
        <f>'General information '!F27</f>
        <v>0</v>
      </c>
      <c r="B24" s="458">
        <f t="shared" si="6"/>
        <v>0</v>
      </c>
      <c r="C24" s="465">
        <v>44126</v>
      </c>
      <c r="D24" s="452">
        <v>32357702</v>
      </c>
      <c r="E24" s="314">
        <f t="shared" si="13"/>
        <v>3476</v>
      </c>
      <c r="F24" s="604">
        <v>3889502</v>
      </c>
      <c r="G24" s="315">
        <f t="shared" si="0"/>
        <v>831</v>
      </c>
      <c r="H24" s="452">
        <v>17693200</v>
      </c>
      <c r="I24" s="315">
        <f t="shared" si="14"/>
        <v>1102</v>
      </c>
      <c r="J24" s="604">
        <v>28747474</v>
      </c>
      <c r="K24" s="315">
        <f t="shared" si="15"/>
        <v>1432</v>
      </c>
      <c r="L24" s="452">
        <v>23769514</v>
      </c>
      <c r="M24" s="315">
        <f t="shared" si="16"/>
        <v>3972</v>
      </c>
      <c r="N24" s="313">
        <f t="shared" si="17"/>
        <v>10813</v>
      </c>
      <c r="O24" s="474">
        <f t="shared" si="24"/>
        <v>0</v>
      </c>
      <c r="P24" s="604">
        <v>16387</v>
      </c>
      <c r="Q24" s="456">
        <f t="shared" si="29"/>
        <v>3000</v>
      </c>
      <c r="R24" s="456">
        <f t="shared" si="30"/>
        <v>7813</v>
      </c>
      <c r="S24" s="452">
        <v>9876</v>
      </c>
      <c r="T24" s="476">
        <f t="shared" si="3"/>
        <v>6</v>
      </c>
      <c r="U24" s="604">
        <v>372648</v>
      </c>
      <c r="V24" s="456">
        <f t="shared" si="18"/>
        <v>1600</v>
      </c>
      <c r="W24" s="452">
        <f t="shared" si="7"/>
        <v>32049</v>
      </c>
      <c r="X24" s="456">
        <f t="shared" si="23"/>
        <v>0</v>
      </c>
      <c r="Y24" s="452">
        <f t="shared" si="8"/>
        <v>673052</v>
      </c>
      <c r="Z24" s="456">
        <f t="shared" si="22"/>
        <v>0</v>
      </c>
      <c r="AA24" s="452">
        <f t="shared" si="9"/>
        <v>35628</v>
      </c>
      <c r="AB24" s="456">
        <f t="shared" si="19"/>
        <v>0</v>
      </c>
      <c r="AC24" s="452">
        <f t="shared" si="10"/>
        <v>904296</v>
      </c>
      <c r="AD24" s="456">
        <f t="shared" si="31"/>
        <v>0</v>
      </c>
      <c r="AE24" s="479">
        <f t="shared" si="11"/>
        <v>6</v>
      </c>
      <c r="AF24" s="480">
        <f t="shared" si="12"/>
        <v>1600</v>
      </c>
      <c r="AG24" s="472">
        <f t="shared" si="25"/>
        <v>266.66666666666669</v>
      </c>
      <c r="AI24" s="473">
        <f>R24-'EDl log'!B22</f>
        <v>-544393</v>
      </c>
    </row>
    <row r="25" spans="1:35">
      <c r="A25" s="464">
        <f>'General information '!F28</f>
        <v>0</v>
      </c>
      <c r="B25" s="458">
        <f t="shared" si="6"/>
        <v>0</v>
      </c>
      <c r="C25" s="465">
        <v>44127</v>
      </c>
      <c r="D25" s="452">
        <v>32360794</v>
      </c>
      <c r="E25" s="314">
        <f t="shared" si="13"/>
        <v>3092</v>
      </c>
      <c r="F25" s="604">
        <v>3890300</v>
      </c>
      <c r="G25" s="315">
        <f t="shared" si="0"/>
        <v>798</v>
      </c>
      <c r="H25" s="452">
        <v>17694228</v>
      </c>
      <c r="I25" s="315">
        <f t="shared" si="14"/>
        <v>1028</v>
      </c>
      <c r="J25" s="604">
        <v>28749092</v>
      </c>
      <c r="K25" s="315">
        <f t="shared" si="15"/>
        <v>1618</v>
      </c>
      <c r="L25" s="452">
        <v>23774146</v>
      </c>
      <c r="M25" s="315">
        <f t="shared" si="16"/>
        <v>4632</v>
      </c>
      <c r="N25" s="313">
        <f t="shared" si="17"/>
        <v>11168</v>
      </c>
      <c r="O25" s="474">
        <f t="shared" si="24"/>
        <v>0</v>
      </c>
      <c r="P25" s="604">
        <v>16388</v>
      </c>
      <c r="Q25" s="456">
        <f t="shared" si="29"/>
        <v>1000</v>
      </c>
      <c r="R25" s="456">
        <f t="shared" si="30"/>
        <v>10168</v>
      </c>
      <c r="S25" s="452">
        <v>9890</v>
      </c>
      <c r="T25" s="476">
        <f t="shared" si="3"/>
        <v>14</v>
      </c>
      <c r="U25" s="604">
        <v>375627</v>
      </c>
      <c r="V25" s="456">
        <f t="shared" si="18"/>
        <v>2979</v>
      </c>
      <c r="W25" s="452">
        <f t="shared" si="7"/>
        <v>32049</v>
      </c>
      <c r="X25" s="456">
        <f t="shared" si="23"/>
        <v>0</v>
      </c>
      <c r="Y25" s="452">
        <f t="shared" si="8"/>
        <v>673052</v>
      </c>
      <c r="Z25" s="456">
        <f t="shared" si="22"/>
        <v>0</v>
      </c>
      <c r="AA25" s="452">
        <f t="shared" si="9"/>
        <v>35628</v>
      </c>
      <c r="AB25" s="456">
        <f t="shared" si="19"/>
        <v>0</v>
      </c>
      <c r="AC25" s="452">
        <f t="shared" si="10"/>
        <v>904296</v>
      </c>
      <c r="AD25" s="456">
        <f t="shared" si="31"/>
        <v>0</v>
      </c>
      <c r="AE25" s="479">
        <f t="shared" si="11"/>
        <v>14</v>
      </c>
      <c r="AF25" s="480">
        <f t="shared" si="12"/>
        <v>2979</v>
      </c>
      <c r="AG25" s="472">
        <f t="shared" si="25"/>
        <v>212.78571428571428</v>
      </c>
      <c r="AI25" s="473">
        <f>R25-'EDl log'!B23</f>
        <v>-545783</v>
      </c>
    </row>
    <row r="26" spans="1:35">
      <c r="A26" s="464">
        <f>'General information '!F29</f>
        <v>0</v>
      </c>
      <c r="B26" s="458">
        <f t="shared" si="6"/>
        <v>0</v>
      </c>
      <c r="C26" s="465">
        <v>44128</v>
      </c>
      <c r="D26" s="452">
        <v>32363350</v>
      </c>
      <c r="E26" s="314">
        <f t="shared" si="13"/>
        <v>2556</v>
      </c>
      <c r="F26" s="452">
        <v>3890975</v>
      </c>
      <c r="G26" s="315">
        <f t="shared" si="0"/>
        <v>675</v>
      </c>
      <c r="H26" s="452">
        <v>17695110</v>
      </c>
      <c r="I26" s="315">
        <f t="shared" si="14"/>
        <v>882</v>
      </c>
      <c r="J26" s="452">
        <v>28750402</v>
      </c>
      <c r="K26" s="315">
        <f t="shared" si="15"/>
        <v>1310</v>
      </c>
      <c r="L26" s="452">
        <v>23777758</v>
      </c>
      <c r="M26" s="315">
        <f t="shared" si="16"/>
        <v>3612</v>
      </c>
      <c r="N26" s="313">
        <f t="shared" si="17"/>
        <v>9035</v>
      </c>
      <c r="O26" s="474">
        <f t="shared" si="24"/>
        <v>0</v>
      </c>
      <c r="P26" s="452">
        <v>16390</v>
      </c>
      <c r="Q26" s="456">
        <f t="shared" si="29"/>
        <v>2000</v>
      </c>
      <c r="R26" s="456">
        <f t="shared" si="30"/>
        <v>7035</v>
      </c>
      <c r="S26" s="452">
        <v>9895</v>
      </c>
      <c r="T26" s="476">
        <f t="shared" si="3"/>
        <v>5</v>
      </c>
      <c r="U26" s="452">
        <v>377169</v>
      </c>
      <c r="V26" s="456">
        <f t="shared" si="18"/>
        <v>1542</v>
      </c>
      <c r="W26" s="452">
        <f t="shared" si="7"/>
        <v>32049</v>
      </c>
      <c r="X26" s="456">
        <f t="shared" si="23"/>
        <v>0</v>
      </c>
      <c r="Y26" s="452">
        <f t="shared" si="8"/>
        <v>673052</v>
      </c>
      <c r="Z26" s="456">
        <f t="shared" si="22"/>
        <v>0</v>
      </c>
      <c r="AA26" s="452">
        <f t="shared" si="9"/>
        <v>35628</v>
      </c>
      <c r="AB26" s="456">
        <f t="shared" si="19"/>
        <v>0</v>
      </c>
      <c r="AC26" s="452">
        <f t="shared" si="10"/>
        <v>904296</v>
      </c>
      <c r="AD26" s="456">
        <f t="shared" si="31"/>
        <v>0</v>
      </c>
      <c r="AE26" s="479">
        <f t="shared" si="11"/>
        <v>5</v>
      </c>
      <c r="AF26" s="480">
        <f t="shared" si="12"/>
        <v>1542</v>
      </c>
      <c r="AG26" s="472">
        <f t="shared" si="25"/>
        <v>308.39999999999998</v>
      </c>
      <c r="AI26" s="473">
        <f>R26-'EDl log'!B24</f>
        <v>-552437</v>
      </c>
    </row>
    <row r="27" spans="1:35">
      <c r="A27" s="464">
        <f>'General information '!F30</f>
        <v>0</v>
      </c>
      <c r="B27" s="458">
        <f t="shared" si="6"/>
        <v>0</v>
      </c>
      <c r="C27" s="465">
        <v>44129</v>
      </c>
      <c r="D27" s="452">
        <v>32366278</v>
      </c>
      <c r="E27" s="314">
        <f t="shared" si="13"/>
        <v>2928</v>
      </c>
      <c r="F27" s="452">
        <v>3891663</v>
      </c>
      <c r="G27" s="315">
        <f>F27-F26</f>
        <v>688</v>
      </c>
      <c r="H27" s="452">
        <v>17696046</v>
      </c>
      <c r="I27" s="315">
        <f t="shared" si="14"/>
        <v>936</v>
      </c>
      <c r="J27" s="452">
        <v>28751898</v>
      </c>
      <c r="K27" s="315">
        <f t="shared" si="15"/>
        <v>1496</v>
      </c>
      <c r="L27" s="452">
        <v>23781882</v>
      </c>
      <c r="M27" s="315">
        <f t="shared" si="16"/>
        <v>4124</v>
      </c>
      <c r="N27" s="313">
        <f t="shared" si="17"/>
        <v>10172</v>
      </c>
      <c r="O27" s="474">
        <f t="shared" si="24"/>
        <v>0</v>
      </c>
      <c r="P27" s="452">
        <v>16392</v>
      </c>
      <c r="Q27" s="456">
        <f t="shared" si="29"/>
        <v>2000</v>
      </c>
      <c r="R27" s="456">
        <f t="shared" si="30"/>
        <v>8172</v>
      </c>
      <c r="S27" s="452">
        <v>9904</v>
      </c>
      <c r="T27" s="476">
        <f t="shared" si="3"/>
        <v>9</v>
      </c>
      <c r="U27" s="452">
        <v>379295</v>
      </c>
      <c r="V27" s="456">
        <f t="shared" si="18"/>
        <v>2126</v>
      </c>
      <c r="W27" s="452">
        <f t="shared" si="7"/>
        <v>32049</v>
      </c>
      <c r="X27" s="456">
        <f t="shared" si="23"/>
        <v>0</v>
      </c>
      <c r="Y27" s="452">
        <f t="shared" si="8"/>
        <v>673052</v>
      </c>
      <c r="Z27" s="456">
        <f t="shared" si="22"/>
        <v>0</v>
      </c>
      <c r="AA27" s="452">
        <f t="shared" si="9"/>
        <v>35628</v>
      </c>
      <c r="AB27" s="456">
        <f t="shared" si="19"/>
        <v>0</v>
      </c>
      <c r="AC27" s="452">
        <f t="shared" si="10"/>
        <v>904296</v>
      </c>
      <c r="AD27" s="456">
        <f t="shared" si="31"/>
        <v>0</v>
      </c>
      <c r="AE27" s="479">
        <f t="shared" si="11"/>
        <v>9</v>
      </c>
      <c r="AF27" s="480">
        <f t="shared" si="12"/>
        <v>2126</v>
      </c>
      <c r="AG27" s="472">
        <f t="shared" si="25"/>
        <v>236.22222222222223</v>
      </c>
      <c r="AI27" s="473">
        <f>R27-'EDl log'!B25</f>
        <v>-555144</v>
      </c>
    </row>
    <row r="28" spans="1:35">
      <c r="A28" s="464">
        <f>'General information '!F31</f>
        <v>0</v>
      </c>
      <c r="B28" s="458">
        <f t="shared" si="6"/>
        <v>0</v>
      </c>
      <c r="C28" s="465">
        <v>44130</v>
      </c>
      <c r="D28" s="452">
        <v>32368910</v>
      </c>
      <c r="E28" s="314">
        <f t="shared" si="13"/>
        <v>2632</v>
      </c>
      <c r="F28" s="452">
        <v>3892471</v>
      </c>
      <c r="G28" s="315">
        <f t="shared" si="0"/>
        <v>808</v>
      </c>
      <c r="H28" s="452">
        <v>17696992</v>
      </c>
      <c r="I28" s="315">
        <f t="shared" si="14"/>
        <v>946</v>
      </c>
      <c r="J28" s="452">
        <v>28753250</v>
      </c>
      <c r="K28" s="315">
        <f t="shared" si="15"/>
        <v>1352</v>
      </c>
      <c r="L28" s="452">
        <v>23785450</v>
      </c>
      <c r="M28" s="315">
        <f t="shared" si="16"/>
        <v>3568</v>
      </c>
      <c r="N28" s="313">
        <f t="shared" si="17"/>
        <v>9306</v>
      </c>
      <c r="O28" s="474">
        <f t="shared" si="24"/>
        <v>0</v>
      </c>
      <c r="P28" s="452">
        <v>16394</v>
      </c>
      <c r="Q28" s="456">
        <f t="shared" si="29"/>
        <v>2000</v>
      </c>
      <c r="R28" s="456">
        <f t="shared" si="30"/>
        <v>7306</v>
      </c>
      <c r="S28" s="452">
        <v>9911</v>
      </c>
      <c r="T28" s="476">
        <f t="shared" si="3"/>
        <v>7</v>
      </c>
      <c r="U28" s="452">
        <v>381089</v>
      </c>
      <c r="V28" s="456">
        <f t="shared" si="18"/>
        <v>1794</v>
      </c>
      <c r="W28" s="452">
        <f t="shared" si="7"/>
        <v>32049</v>
      </c>
      <c r="X28" s="456">
        <f t="shared" si="23"/>
        <v>0</v>
      </c>
      <c r="Y28" s="452">
        <f t="shared" si="8"/>
        <v>673052</v>
      </c>
      <c r="Z28" s="456">
        <f t="shared" si="22"/>
        <v>0</v>
      </c>
      <c r="AA28" s="452">
        <f t="shared" si="9"/>
        <v>35628</v>
      </c>
      <c r="AB28" s="456">
        <f t="shared" si="19"/>
        <v>0</v>
      </c>
      <c r="AC28" s="452">
        <f t="shared" si="10"/>
        <v>904296</v>
      </c>
      <c r="AD28" s="456">
        <f t="shared" si="31"/>
        <v>0</v>
      </c>
      <c r="AE28" s="479">
        <f t="shared" si="11"/>
        <v>7</v>
      </c>
      <c r="AF28" s="480">
        <f t="shared" si="12"/>
        <v>1794</v>
      </c>
      <c r="AG28" s="472">
        <f t="shared" si="25"/>
        <v>256.28571428571428</v>
      </c>
      <c r="AI28" s="473">
        <f>R28-'EDl log'!B26</f>
        <v>-560830</v>
      </c>
    </row>
    <row r="29" spans="1:35">
      <c r="A29" s="464">
        <f>'General information '!F32</f>
        <v>0</v>
      </c>
      <c r="B29" s="458">
        <f>SUM(230*A29)</f>
        <v>0</v>
      </c>
      <c r="C29" s="465">
        <v>44131</v>
      </c>
      <c r="D29" s="452">
        <v>32372184</v>
      </c>
      <c r="E29" s="314">
        <f t="shared" si="13"/>
        <v>3274</v>
      </c>
      <c r="F29" s="452">
        <v>3893262</v>
      </c>
      <c r="G29" s="315">
        <f t="shared" si="0"/>
        <v>791</v>
      </c>
      <c r="H29" s="452">
        <v>17697940</v>
      </c>
      <c r="I29" s="315">
        <f t="shared" si="14"/>
        <v>948</v>
      </c>
      <c r="J29" s="452">
        <v>28754730</v>
      </c>
      <c r="K29" s="315">
        <f t="shared" si="15"/>
        <v>1480</v>
      </c>
      <c r="L29" s="452">
        <v>23789602</v>
      </c>
      <c r="M29" s="315">
        <f t="shared" si="16"/>
        <v>4152</v>
      </c>
      <c r="N29" s="313">
        <f t="shared" si="17"/>
        <v>10645</v>
      </c>
      <c r="O29" s="474">
        <f t="shared" si="24"/>
        <v>0</v>
      </c>
      <c r="P29" s="452">
        <v>16397</v>
      </c>
      <c r="Q29" s="456">
        <f t="shared" si="29"/>
        <v>3000</v>
      </c>
      <c r="R29" s="456">
        <f t="shared" si="30"/>
        <v>7645</v>
      </c>
      <c r="S29" s="452">
        <v>9919</v>
      </c>
      <c r="T29" s="476">
        <f t="shared" si="3"/>
        <v>8</v>
      </c>
      <c r="U29" s="452">
        <v>383304</v>
      </c>
      <c r="V29" s="456">
        <f t="shared" si="18"/>
        <v>2215</v>
      </c>
      <c r="W29" s="452">
        <f>W28</f>
        <v>32049</v>
      </c>
      <c r="X29" s="456">
        <f t="shared" si="23"/>
        <v>0</v>
      </c>
      <c r="Y29" s="452">
        <f t="shared" si="8"/>
        <v>673052</v>
      </c>
      <c r="Z29" s="456">
        <f t="shared" si="22"/>
        <v>0</v>
      </c>
      <c r="AA29" s="452">
        <f t="shared" si="9"/>
        <v>35628</v>
      </c>
      <c r="AB29" s="456">
        <f t="shared" si="19"/>
        <v>0</v>
      </c>
      <c r="AC29" s="452">
        <f t="shared" si="10"/>
        <v>904296</v>
      </c>
      <c r="AD29" s="456">
        <f t="shared" si="31"/>
        <v>0</v>
      </c>
      <c r="AE29" s="479">
        <f t="shared" si="11"/>
        <v>8</v>
      </c>
      <c r="AF29" s="480">
        <f t="shared" si="12"/>
        <v>2215</v>
      </c>
      <c r="AG29" s="472">
        <f t="shared" si="25"/>
        <v>276.875</v>
      </c>
      <c r="AI29" s="473">
        <f>R29-'EDl log'!B27</f>
        <v>-564378</v>
      </c>
    </row>
    <row r="30" spans="1:35">
      <c r="A30" s="464">
        <f>'General information '!F33</f>
        <v>0</v>
      </c>
      <c r="B30" s="458">
        <f t="shared" si="6"/>
        <v>0</v>
      </c>
      <c r="C30" s="465">
        <v>44132</v>
      </c>
      <c r="D30" s="452">
        <v>32375210</v>
      </c>
      <c r="E30" s="314">
        <f t="shared" si="13"/>
        <v>3026</v>
      </c>
      <c r="F30" s="604">
        <v>3894205</v>
      </c>
      <c r="G30" s="315">
        <f t="shared" si="0"/>
        <v>943</v>
      </c>
      <c r="H30" s="452">
        <v>17699026</v>
      </c>
      <c r="I30" s="315">
        <f t="shared" si="14"/>
        <v>1086</v>
      </c>
      <c r="J30" s="604">
        <v>28756098</v>
      </c>
      <c r="K30" s="315">
        <f t="shared" si="15"/>
        <v>1368</v>
      </c>
      <c r="L30" s="452">
        <v>23793612</v>
      </c>
      <c r="M30" s="315">
        <f t="shared" si="16"/>
        <v>4010</v>
      </c>
      <c r="N30" s="313">
        <f t="shared" si="17"/>
        <v>10433</v>
      </c>
      <c r="O30" s="474">
        <f t="shared" si="24"/>
        <v>0</v>
      </c>
      <c r="P30" s="604">
        <v>16399</v>
      </c>
      <c r="Q30" s="456">
        <f t="shared" si="29"/>
        <v>2000</v>
      </c>
      <c r="R30" s="456">
        <f t="shared" si="30"/>
        <v>8433</v>
      </c>
      <c r="S30" s="452">
        <v>9928</v>
      </c>
      <c r="T30" s="476">
        <f t="shared" si="3"/>
        <v>9</v>
      </c>
      <c r="U30" s="604">
        <v>385371</v>
      </c>
      <c r="V30" s="456">
        <f t="shared" si="18"/>
        <v>2067</v>
      </c>
      <c r="W30" s="452">
        <f t="shared" si="7"/>
        <v>32049</v>
      </c>
      <c r="X30" s="477">
        <f t="shared" si="23"/>
        <v>0</v>
      </c>
      <c r="Y30" s="452">
        <f t="shared" si="8"/>
        <v>673052</v>
      </c>
      <c r="Z30" s="456">
        <f t="shared" si="22"/>
        <v>0</v>
      </c>
      <c r="AA30" s="452">
        <f t="shared" si="9"/>
        <v>35628</v>
      </c>
      <c r="AB30" s="456">
        <f t="shared" si="19"/>
        <v>0</v>
      </c>
      <c r="AC30" s="452">
        <f t="shared" si="10"/>
        <v>904296</v>
      </c>
      <c r="AD30" s="456">
        <f t="shared" si="31"/>
        <v>0</v>
      </c>
      <c r="AE30" s="479">
        <f t="shared" si="11"/>
        <v>9</v>
      </c>
      <c r="AF30" s="480">
        <f t="shared" si="12"/>
        <v>2067</v>
      </c>
      <c r="AG30" s="472">
        <f t="shared" si="25"/>
        <v>229.66666666666666</v>
      </c>
      <c r="AI30" s="473">
        <f>R30-'EDl log'!B28</f>
        <v>-567916</v>
      </c>
    </row>
    <row r="31" spans="1:35">
      <c r="A31" s="464">
        <f>'General information '!F34</f>
        <v>0</v>
      </c>
      <c r="B31" s="458">
        <f t="shared" si="6"/>
        <v>0</v>
      </c>
      <c r="C31" s="465">
        <v>44133</v>
      </c>
      <c r="D31" s="452">
        <v>32378198</v>
      </c>
      <c r="E31" s="314">
        <f t="shared" si="13"/>
        <v>2988</v>
      </c>
      <c r="F31" s="452">
        <v>3895005</v>
      </c>
      <c r="G31" s="315">
        <f t="shared" si="0"/>
        <v>800</v>
      </c>
      <c r="H31" s="452">
        <v>17700018</v>
      </c>
      <c r="I31" s="315">
        <f t="shared" si="14"/>
        <v>992</v>
      </c>
      <c r="J31" s="452">
        <v>28757630</v>
      </c>
      <c r="K31" s="315">
        <f t="shared" si="15"/>
        <v>1532</v>
      </c>
      <c r="L31" s="452">
        <v>23797782</v>
      </c>
      <c r="M31" s="315">
        <f t="shared" si="16"/>
        <v>4170</v>
      </c>
      <c r="N31" s="313">
        <f t="shared" si="17"/>
        <v>10482</v>
      </c>
      <c r="O31" s="474">
        <f t="shared" si="24"/>
        <v>0</v>
      </c>
      <c r="P31" s="452">
        <v>16401</v>
      </c>
      <c r="Q31" s="456">
        <f t="shared" si="29"/>
        <v>2000</v>
      </c>
      <c r="R31" s="456">
        <f t="shared" si="30"/>
        <v>8482</v>
      </c>
      <c r="S31" s="452">
        <v>9940</v>
      </c>
      <c r="T31" s="476">
        <f t="shared" si="3"/>
        <v>12</v>
      </c>
      <c r="U31" s="452">
        <v>387833</v>
      </c>
      <c r="V31" s="456">
        <f t="shared" si="18"/>
        <v>2462</v>
      </c>
      <c r="W31" s="452">
        <f t="shared" si="7"/>
        <v>32049</v>
      </c>
      <c r="X31" s="477">
        <f t="shared" si="23"/>
        <v>0</v>
      </c>
      <c r="Y31" s="452">
        <f t="shared" si="8"/>
        <v>673052</v>
      </c>
      <c r="Z31" s="478">
        <f>Y31-Y30</f>
        <v>0</v>
      </c>
      <c r="AA31" s="452">
        <f t="shared" si="9"/>
        <v>35628</v>
      </c>
      <c r="AB31" s="456">
        <f t="shared" si="19"/>
        <v>0</v>
      </c>
      <c r="AC31" s="452">
        <f t="shared" si="10"/>
        <v>904296</v>
      </c>
      <c r="AD31" s="456">
        <f t="shared" si="31"/>
        <v>0</v>
      </c>
      <c r="AE31" s="479">
        <f t="shared" si="11"/>
        <v>12</v>
      </c>
      <c r="AF31" s="480">
        <f t="shared" si="12"/>
        <v>2462</v>
      </c>
      <c r="AG31" s="472">
        <f t="shared" si="25"/>
        <v>205.16666666666666</v>
      </c>
      <c r="AI31" s="473">
        <f>R31-'EDl log'!B29</f>
        <v>-571528</v>
      </c>
    </row>
    <row r="32" spans="1:35">
      <c r="A32" s="464">
        <f>'General information '!F35</f>
        <v>0</v>
      </c>
      <c r="B32" s="458">
        <f>SUM(230*A32)</f>
        <v>0</v>
      </c>
      <c r="C32" s="465">
        <v>44134</v>
      </c>
      <c r="D32" s="452">
        <v>32381330</v>
      </c>
      <c r="E32" s="314">
        <f t="shared" si="13"/>
        <v>3132</v>
      </c>
      <c r="F32" s="452">
        <v>3895702</v>
      </c>
      <c r="G32" s="315">
        <f>F32-F31</f>
        <v>697</v>
      </c>
      <c r="H32" s="452">
        <v>17700894</v>
      </c>
      <c r="I32" s="315">
        <f>H32-H31</f>
        <v>876</v>
      </c>
      <c r="J32" s="452">
        <v>28759186</v>
      </c>
      <c r="K32" s="315">
        <f>J32-J31</f>
        <v>1556</v>
      </c>
      <c r="L32" s="452">
        <v>23802010</v>
      </c>
      <c r="M32" s="315">
        <f>L32-L31</f>
        <v>4228</v>
      </c>
      <c r="N32" s="313">
        <f>M32+K32+I32+G32+E32</f>
        <v>10489</v>
      </c>
      <c r="O32" s="474">
        <f t="shared" si="24"/>
        <v>0</v>
      </c>
      <c r="P32" s="452">
        <v>16402</v>
      </c>
      <c r="Q32" s="456">
        <f t="shared" si="29"/>
        <v>1000</v>
      </c>
      <c r="R32" s="456">
        <f t="shared" si="30"/>
        <v>9489</v>
      </c>
      <c r="S32" s="452">
        <v>9952</v>
      </c>
      <c r="T32" s="476">
        <f t="shared" si="3"/>
        <v>12</v>
      </c>
      <c r="U32" s="452">
        <v>390140</v>
      </c>
      <c r="V32" s="456">
        <f t="shared" si="18"/>
        <v>2307</v>
      </c>
      <c r="W32" s="452">
        <f t="shared" si="7"/>
        <v>32049</v>
      </c>
      <c r="X32" s="456">
        <f t="shared" si="23"/>
        <v>0</v>
      </c>
      <c r="Y32" s="452">
        <f t="shared" si="8"/>
        <v>673052</v>
      </c>
      <c r="Z32" s="478">
        <f>Y32-Y31</f>
        <v>0</v>
      </c>
      <c r="AA32" s="452">
        <f t="shared" si="9"/>
        <v>35628</v>
      </c>
      <c r="AB32" s="456">
        <f t="shared" si="19"/>
        <v>0</v>
      </c>
      <c r="AC32" s="452">
        <f t="shared" si="10"/>
        <v>904296</v>
      </c>
      <c r="AD32" s="456">
        <f t="shared" si="31"/>
        <v>0</v>
      </c>
      <c r="AE32" s="479">
        <f t="shared" si="11"/>
        <v>12</v>
      </c>
      <c r="AF32" s="480">
        <f>V32+Z32+AD32</f>
        <v>2307</v>
      </c>
      <c r="AG32" s="472">
        <f t="shared" si="25"/>
        <v>192.25</v>
      </c>
      <c r="AI32" s="473">
        <f>R32-'EDl log'!B30</f>
        <v>-574605</v>
      </c>
    </row>
    <row r="33" spans="1:35">
      <c r="A33" s="464">
        <f>'General information '!F36</f>
        <v>0</v>
      </c>
      <c r="B33" s="458">
        <f>SUM(230*A33)</f>
        <v>0</v>
      </c>
      <c r="C33" s="465">
        <v>44135</v>
      </c>
      <c r="D33" s="452">
        <f t="shared" ref="D33" si="32">D32</f>
        <v>32381330</v>
      </c>
      <c r="E33" s="314">
        <f t="shared" ref="E33" si="33">D33-D32</f>
        <v>0</v>
      </c>
      <c r="F33" s="452">
        <f t="shared" ref="F33" si="34">F32</f>
        <v>3895702</v>
      </c>
      <c r="G33" s="315">
        <f>F33-F32</f>
        <v>0</v>
      </c>
      <c r="H33" s="452">
        <f t="shared" ref="H33" si="35">H32</f>
        <v>17700894</v>
      </c>
      <c r="I33" s="315">
        <f>H33-H32</f>
        <v>0</v>
      </c>
      <c r="J33" s="452">
        <f t="shared" ref="J33" si="36">J32</f>
        <v>28759186</v>
      </c>
      <c r="K33" s="315">
        <f>J33-J32</f>
        <v>0</v>
      </c>
      <c r="L33" s="452">
        <f t="shared" ref="L33" si="37">L32</f>
        <v>23802010</v>
      </c>
      <c r="M33" s="315">
        <f>L33-L32</f>
        <v>0</v>
      </c>
      <c r="N33" s="313">
        <f>M33+K33+I33+G33+E33</f>
        <v>0</v>
      </c>
      <c r="O33" s="474">
        <f t="shared" ref="O33" si="38">IF(B33&gt;0,N33/B33,0)</f>
        <v>0</v>
      </c>
      <c r="P33" s="452">
        <f t="shared" ref="P33" si="39">P32</f>
        <v>16402</v>
      </c>
      <c r="Q33" s="456">
        <f t="shared" si="29"/>
        <v>0</v>
      </c>
      <c r="R33" s="456">
        <f t="shared" si="30"/>
        <v>0</v>
      </c>
      <c r="S33" s="452">
        <f t="shared" si="26"/>
        <v>9952</v>
      </c>
      <c r="T33" s="476">
        <f t="shared" ref="T33" si="40">S33-S32</f>
        <v>0</v>
      </c>
      <c r="U33" s="452">
        <f t="shared" si="27"/>
        <v>390140</v>
      </c>
      <c r="V33" s="456">
        <f t="shared" ref="V33" si="41">U33-U32</f>
        <v>0</v>
      </c>
      <c r="W33" s="452">
        <f t="shared" si="7"/>
        <v>32049</v>
      </c>
      <c r="X33" s="456">
        <f t="shared" ref="X33" si="42">W33-W32</f>
        <v>0</v>
      </c>
      <c r="Y33" s="452">
        <f t="shared" si="8"/>
        <v>673052</v>
      </c>
      <c r="Z33" s="478">
        <f>Y33-Y32</f>
        <v>0</v>
      </c>
      <c r="AA33" s="452">
        <f t="shared" si="9"/>
        <v>35628</v>
      </c>
      <c r="AB33" s="456">
        <f t="shared" ref="AB33" si="43">AA33-AA32</f>
        <v>0</v>
      </c>
      <c r="AC33" s="452">
        <f t="shared" si="10"/>
        <v>904296</v>
      </c>
      <c r="AD33" s="456">
        <f t="shared" ref="AD33" si="44">AC33-AC32</f>
        <v>0</v>
      </c>
      <c r="AE33" s="479">
        <f t="shared" ref="AE33" si="45">AB33+X33+T33</f>
        <v>0</v>
      </c>
      <c r="AF33" s="480">
        <f>V33+Z33+AD33</f>
        <v>0</v>
      </c>
      <c r="AG33" s="472">
        <f t="shared" ref="AG33" si="46">IF(AE33&gt;0,AF33/AE33,0)</f>
        <v>0</v>
      </c>
      <c r="AI33" s="473">
        <f>R33-'EDl log'!B31</f>
        <v>-588625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4" activePane="bottomLeft" state="frozen"/>
      <selection activeCell="K1" sqref="K1"/>
      <selection pane="bottomLeft" activeCell="V35" sqref="V35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31" t="s">
        <v>2</v>
      </c>
      <c r="G1" s="632"/>
      <c r="H1" s="632"/>
      <c r="I1" s="633"/>
      <c r="J1" s="285">
        <f>J36</f>
        <v>1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401"/>
      <c r="V1" s="27" t="s">
        <v>104</v>
      </c>
      <c r="W1" s="40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405" t="s">
        <v>383</v>
      </c>
      <c r="V2" s="54" t="s">
        <v>103</v>
      </c>
      <c r="W2" s="403"/>
      <c r="X2" s="55" t="s">
        <v>8</v>
      </c>
      <c r="Y2" s="46" t="s">
        <v>9</v>
      </c>
      <c r="Z2" s="394" t="s">
        <v>379</v>
      </c>
      <c r="AA2" s="395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7"/>
      <c r="AK2" s="397"/>
      <c r="AL2" s="397"/>
      <c r="AM2" s="397"/>
      <c r="AN2" s="396"/>
      <c r="AO2" s="396"/>
      <c r="AP2" s="396"/>
      <c r="AQ2" s="396"/>
      <c r="AR2" s="396"/>
      <c r="AS2" s="396"/>
      <c r="AT2" s="396"/>
      <c r="AU2" s="396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5"/>
      <c r="V3" s="59"/>
      <c r="W3" s="403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44104</v>
      </c>
      <c r="B4" s="399">
        <f>[2]B5!B34</f>
        <v>251</v>
      </c>
      <c r="C4" s="399">
        <f>[2]B5!C34</f>
        <v>257</v>
      </c>
      <c r="D4" s="399">
        <f>[2]B5!D34</f>
        <v>4</v>
      </c>
      <c r="E4" s="399">
        <f>[2]B5!E34</f>
        <v>33.520000000000003</v>
      </c>
      <c r="F4" s="399">
        <f>[2]B5!F34</f>
        <v>1648</v>
      </c>
      <c r="G4" s="399">
        <f>[2]B5!G34</f>
        <v>0</v>
      </c>
      <c r="H4" s="399">
        <f>[2]B5!H34</f>
        <v>357868</v>
      </c>
      <c r="I4" s="399">
        <f>[2]B5!I34</f>
        <v>0</v>
      </c>
      <c r="J4" s="399">
        <f>[2]B5!J34</f>
        <v>0</v>
      </c>
      <c r="K4" s="399">
        <f>[2]B5!K34</f>
        <v>2110</v>
      </c>
      <c r="L4" s="399">
        <f>[2]B5!L34</f>
        <v>0</v>
      </c>
      <c r="M4" s="399">
        <f>[2]B5!M34</f>
        <v>154820</v>
      </c>
      <c r="N4" s="399">
        <f>[2]B5!N34</f>
        <v>0</v>
      </c>
      <c r="O4" s="399">
        <f>[2]B5!O34</f>
        <v>211.87499999999994</v>
      </c>
      <c r="P4" s="399">
        <f>[2]B5!P34</f>
        <v>1839</v>
      </c>
      <c r="Q4" s="399">
        <f>[2]B5!Q34</f>
        <v>156094</v>
      </c>
      <c r="R4" s="399">
        <f>[2]B5!R34</f>
        <v>0</v>
      </c>
      <c r="S4" s="399">
        <f>[2]B5!S34</f>
        <v>0</v>
      </c>
      <c r="T4" s="399">
        <f>[2]B5!T34</f>
        <v>0</v>
      </c>
      <c r="U4" s="399">
        <f>[2]B5!U34</f>
        <v>0</v>
      </c>
      <c r="V4" s="399">
        <f>[2]B5!V34</f>
        <v>0</v>
      </c>
      <c r="W4" s="399">
        <f>[2]B5!W34</f>
        <v>0</v>
      </c>
      <c r="X4" s="399">
        <f>[2]B5!X34</f>
        <v>2448</v>
      </c>
      <c r="Y4" s="399">
        <f>[2]B5!Y34</f>
        <v>0</v>
      </c>
      <c r="Z4" s="399">
        <f>[2]B5!Z34</f>
        <v>137506</v>
      </c>
      <c r="AA4" s="399">
        <f>[2]B5!AA34</f>
        <v>0</v>
      </c>
      <c r="AB4" s="399">
        <f>[2]B5!AB34</f>
        <v>0</v>
      </c>
      <c r="AC4" s="399">
        <f>[2]B5!AC34</f>
        <v>1933</v>
      </c>
      <c r="AD4" s="399">
        <f>[2]B5!AD34</f>
        <v>0</v>
      </c>
      <c r="AE4" s="399">
        <f>[2]B5!AE34</f>
        <v>365210.2</v>
      </c>
      <c r="AF4" s="399">
        <f>[2]B5!AF34</f>
        <v>0</v>
      </c>
      <c r="AG4" s="399">
        <f>[2]B5!AG34</f>
        <v>0</v>
      </c>
      <c r="AH4" s="399">
        <f>[2]B5!AH34</f>
        <v>0</v>
      </c>
      <c r="AI4" s="399">
        <f>[2]B5!AI34</f>
        <v>0</v>
      </c>
      <c r="AJ4" s="399">
        <f>[2]B5!AJ34</f>
        <v>0</v>
      </c>
      <c r="AK4" s="399">
        <f>[2]B5!AK34</f>
        <v>0</v>
      </c>
      <c r="AL4" s="399">
        <f>[2]B5!AL34</f>
        <v>0</v>
      </c>
      <c r="AM4" s="399">
        <f>[2]B5!AM34</f>
        <v>0</v>
      </c>
      <c r="AN4" s="399">
        <f>[2]B5!AN34</f>
        <v>62</v>
      </c>
      <c r="AO4" s="399">
        <f>[2]B5!AO34</f>
        <v>1860</v>
      </c>
      <c r="AP4" s="399">
        <v>52</v>
      </c>
      <c r="AQ4" s="399">
        <f>[2]B5!AQ34</f>
        <v>1530</v>
      </c>
      <c r="AR4" s="399">
        <f>[2]B5!AR34</f>
        <v>68</v>
      </c>
      <c r="AS4" s="399">
        <f>[2]B5!AS34</f>
        <v>2040.0000000000002</v>
      </c>
      <c r="AT4" s="399">
        <f>[2]B5!AT34</f>
        <v>5430</v>
      </c>
      <c r="AU4" s="399">
        <f>[2]B5!AU34</f>
        <v>0</v>
      </c>
      <c r="AV4" s="399">
        <f>[2]B5!AV34</f>
        <v>0</v>
      </c>
      <c r="AW4" s="399">
        <f>[2]B5!AW34</f>
        <v>0</v>
      </c>
      <c r="AX4" s="399">
        <f>[2]B5!AX34</f>
        <v>0.8</v>
      </c>
    </row>
    <row r="5" spans="1:52">
      <c r="A5" s="63">
        <f>ELEC!C3</f>
        <v>44105</v>
      </c>
      <c r="B5" s="64">
        <v>249</v>
      </c>
      <c r="C5" s="64">
        <v>255</v>
      </c>
      <c r="D5" s="45">
        <f>C4-C5</f>
        <v>2</v>
      </c>
      <c r="E5" s="45">
        <f>D5*8.38</f>
        <v>16.760000000000002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0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0">
        <f t="shared" ref="N5:N34" si="3">M5-M4</f>
        <v>0</v>
      </c>
      <c r="O5" s="64">
        <f>O4</f>
        <v>211.87499999999994</v>
      </c>
      <c r="P5" s="64">
        <f>P4</f>
        <v>1839</v>
      </c>
      <c r="Q5" s="64">
        <f>Q4</f>
        <v>156094</v>
      </c>
      <c r="R5" s="399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6">
        <f>SUM(G5+L5+S5)</f>
        <v>0</v>
      </c>
      <c r="V5" s="62">
        <f>R5+N5+I5:I5</f>
        <v>0</v>
      </c>
      <c r="W5" s="404" t="e">
        <f>SUM(V5/U5)</f>
        <v>#DIV/0!</v>
      </c>
      <c r="X5" s="64">
        <f>X4</f>
        <v>2448</v>
      </c>
      <c r="Y5" s="52">
        <f>X5-X4</f>
        <v>0</v>
      </c>
      <c r="Z5" s="64">
        <f>Z4</f>
        <v>137506</v>
      </c>
      <c r="AA5" s="65">
        <f t="shared" ref="AA5:AA34" si="6">Z5-Z4</f>
        <v>0</v>
      </c>
      <c r="AB5" s="287">
        <f>SUM(Y5*$AB$2)</f>
        <v>0</v>
      </c>
      <c r="AC5" s="64">
        <f>AC4</f>
        <v>1933</v>
      </c>
      <c r="AD5" s="45">
        <f t="shared" ref="AD5:AD34" si="7">AC5-AC4</f>
        <v>0</v>
      </c>
      <c r="AE5" s="606">
        <v>365212</v>
      </c>
      <c r="AF5" s="309">
        <f>AE5-AE4</f>
        <v>1.7999999999883585</v>
      </c>
      <c r="AG5" s="210">
        <f>IF(AD5&gt;0,AF5/AD5,0)</f>
        <v>0</v>
      </c>
      <c r="AH5" s="62">
        <f>AF5+AA5</f>
        <v>1.7999999999883585</v>
      </c>
      <c r="AI5" s="321">
        <f>SUM(AH5+V5)</f>
        <v>1.7999999999883585</v>
      </c>
      <c r="AJ5" s="321">
        <f>-tanks!AW6</f>
        <v>1.7999999999883585</v>
      </c>
      <c r="AK5" s="321">
        <f>SUM(AJ5-AI5)</f>
        <v>0</v>
      </c>
      <c r="AL5" s="321">
        <f t="shared" ref="AL5:AL35" si="8">S5+L5+G5</f>
        <v>0</v>
      </c>
      <c r="AM5" s="321">
        <f>Y5+AD5</f>
        <v>0</v>
      </c>
      <c r="AN5" s="64">
        <f>AN4</f>
        <v>62</v>
      </c>
      <c r="AO5" s="323">
        <f>(AN5/100)*3000</f>
        <v>1860</v>
      </c>
      <c r="AP5" s="64">
        <v>52</v>
      </c>
      <c r="AQ5" s="323">
        <f>(AP5/100)*3000</f>
        <v>1560</v>
      </c>
      <c r="AR5" s="64">
        <f>AR4</f>
        <v>68</v>
      </c>
      <c r="AS5" s="323">
        <f>(AR5/100)*3000</f>
        <v>2040.0000000000002</v>
      </c>
      <c r="AT5" s="323">
        <f>SUM(AO5+AQ5+AS5)</f>
        <v>5460</v>
      </c>
      <c r="AU5" s="323">
        <f>AT4-AT5+AV5</f>
        <v>-30</v>
      </c>
      <c r="AV5" s="271"/>
      <c r="AW5" s="271">
        <v>0.1</v>
      </c>
      <c r="AX5" s="316">
        <f>IF(AV5&gt;0,AW5,AX4)</f>
        <v>0.8</v>
      </c>
    </row>
    <row r="6" spans="1:52">
      <c r="A6" s="63">
        <f>ELEC!C4</f>
        <v>44106</v>
      </c>
      <c r="B6" s="64">
        <v>248</v>
      </c>
      <c r="C6" s="64">
        <v>254.5</v>
      </c>
      <c r="D6" s="45">
        <f>C5-C6</f>
        <v>0.5</v>
      </c>
      <c r="E6" s="45">
        <f t="shared" ref="E6:E31" si="9">D6*8.38</f>
        <v>4.1900000000000004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0">
        <f t="shared" si="1"/>
        <v>0</v>
      </c>
      <c r="J6" s="66">
        <f t="shared" ref="J6:J34" si="12">IF(G6&gt;0,I6/G6,0)</f>
        <v>0</v>
      </c>
      <c r="K6" s="64">
        <v>2113</v>
      </c>
      <c r="L6" s="52">
        <f t="shared" si="2"/>
        <v>3</v>
      </c>
      <c r="M6" s="64">
        <v>155052</v>
      </c>
      <c r="N6" s="400">
        <f t="shared" si="3"/>
        <v>232</v>
      </c>
      <c r="O6" s="64">
        <f t="shared" ref="O6:Q35" si="13">O5</f>
        <v>211.87499999999994</v>
      </c>
      <c r="P6" s="64">
        <f t="shared" si="13"/>
        <v>1839</v>
      </c>
      <c r="Q6" s="64">
        <f t="shared" si="13"/>
        <v>156094</v>
      </c>
      <c r="R6" s="399">
        <f t="shared" si="4"/>
        <v>0</v>
      </c>
      <c r="S6" s="52">
        <f t="shared" si="5"/>
        <v>0</v>
      </c>
      <c r="T6" s="67">
        <f>SUM(S6*$T$2)</f>
        <v>0</v>
      </c>
      <c r="U6" s="406">
        <f t="shared" ref="U6:U34" si="14">SUM(G6+L6+S6)</f>
        <v>3</v>
      </c>
      <c r="V6" s="62">
        <f t="shared" ref="V6:V34" si="15">R6+N6+I6:I6</f>
        <v>232</v>
      </c>
      <c r="W6" s="404">
        <f t="shared" ref="W6:W16" si="16">SUM(V6/U6)</f>
        <v>77.333333333333329</v>
      </c>
      <c r="X6" s="64">
        <f t="shared" ref="X6:X35" si="17">X5</f>
        <v>2448</v>
      </c>
      <c r="Y6" s="52">
        <f t="shared" ref="Y6:Y34" si="18">X6-X5</f>
        <v>0</v>
      </c>
      <c r="Z6" s="64">
        <f t="shared" ref="Z6:Z35" si="19">Z5</f>
        <v>137506</v>
      </c>
      <c r="AA6" s="65">
        <f t="shared" si="6"/>
        <v>0</v>
      </c>
      <c r="AB6" s="287">
        <f>SUM(Y6*$AB$2)</f>
        <v>0</v>
      </c>
      <c r="AC6" s="64">
        <f t="shared" ref="AC6:AC35" si="20">AC5</f>
        <v>1933</v>
      </c>
      <c r="AD6" s="45">
        <f t="shared" si="7"/>
        <v>0</v>
      </c>
      <c r="AE6" s="64">
        <f t="shared" ref="AE6:AE35" si="21">AE5</f>
        <v>365212</v>
      </c>
      <c r="AF6" s="309">
        <f t="shared" ref="AF6:AF34" si="22">AE6-AE5</f>
        <v>0</v>
      </c>
      <c r="AG6" s="210">
        <f>IF(AD6&gt;0,AF6/AD6,0)</f>
        <v>0</v>
      </c>
      <c r="AH6" s="62">
        <f>AF6+AA6</f>
        <v>0</v>
      </c>
      <c r="AI6" s="321">
        <f t="shared" ref="AI6:AI35" si="23">SUM(AH6+V6)</f>
        <v>232</v>
      </c>
      <c r="AJ6" s="321">
        <f>-tanks!AW7</f>
        <v>232</v>
      </c>
      <c r="AK6" s="321">
        <f t="shared" ref="AK6:AK34" si="24">SUM(AJ6-AI6)</f>
        <v>0</v>
      </c>
      <c r="AL6" s="321">
        <f t="shared" si="8"/>
        <v>3</v>
      </c>
      <c r="AM6" s="321">
        <f t="shared" ref="AM6:AM33" si="25">Y6+AD6</f>
        <v>0</v>
      </c>
      <c r="AN6" s="64">
        <v>62</v>
      </c>
      <c r="AO6" s="323">
        <f t="shared" ref="AO6:AO26" si="26">(AN6/100)*3000</f>
        <v>1860</v>
      </c>
      <c r="AP6" s="64">
        <v>52</v>
      </c>
      <c r="AQ6" s="323">
        <f t="shared" ref="AQ6:AQ24" si="27">(AP6/100)*3000</f>
        <v>1560</v>
      </c>
      <c r="AR6" s="64">
        <f t="shared" ref="AR6:AR35" si="28">AR5</f>
        <v>68</v>
      </c>
      <c r="AS6" s="323">
        <f>(AR6/100)*3000</f>
        <v>2040.0000000000002</v>
      </c>
      <c r="AT6" s="323">
        <f>SUM(AO6+AQ6+AS6)</f>
        <v>5460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44107</v>
      </c>
      <c r="B7" s="64">
        <v>246.5</v>
      </c>
      <c r="C7" s="64">
        <v>251.2</v>
      </c>
      <c r="D7" s="45">
        <f t="shared" ref="D7:D34" si="30">C6-C7</f>
        <v>3.3000000000000114</v>
      </c>
      <c r="E7" s="45">
        <f t="shared" si="9"/>
        <v>27.654000000000099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0">
        <f t="shared" si="1"/>
        <v>0</v>
      </c>
      <c r="J7" s="66">
        <f t="shared" si="12"/>
        <v>0</v>
      </c>
      <c r="K7" s="64">
        <v>2114</v>
      </c>
      <c r="L7" s="52">
        <f t="shared" si="2"/>
        <v>1</v>
      </c>
      <c r="M7" s="64">
        <v>155125</v>
      </c>
      <c r="N7" s="400">
        <f t="shared" si="3"/>
        <v>73</v>
      </c>
      <c r="O7" s="64">
        <f t="shared" si="13"/>
        <v>211.87499999999994</v>
      </c>
      <c r="P7" s="64">
        <v>1839</v>
      </c>
      <c r="Q7" s="64">
        <v>156137</v>
      </c>
      <c r="R7" s="399">
        <f t="shared" si="4"/>
        <v>43</v>
      </c>
      <c r="S7" s="52">
        <f t="shared" si="5"/>
        <v>0</v>
      </c>
      <c r="T7" s="67">
        <f t="shared" ref="T7:T34" si="31">SUM(S7*$T$2)</f>
        <v>0</v>
      </c>
      <c r="U7" s="406">
        <f t="shared" si="14"/>
        <v>1</v>
      </c>
      <c r="V7" s="62">
        <f t="shared" si="15"/>
        <v>116</v>
      </c>
      <c r="W7" s="404">
        <f t="shared" si="16"/>
        <v>116</v>
      </c>
      <c r="X7" s="64">
        <f t="shared" si="17"/>
        <v>2448</v>
      </c>
      <c r="Y7" s="52">
        <f t="shared" si="18"/>
        <v>0</v>
      </c>
      <c r="Z7" s="64">
        <f t="shared" si="19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20"/>
        <v>1933</v>
      </c>
      <c r="AD7" s="45">
        <f t="shared" si="7"/>
        <v>0</v>
      </c>
      <c r="AE7" s="64">
        <f t="shared" si="21"/>
        <v>365212</v>
      </c>
      <c r="AF7" s="309">
        <f t="shared" si="22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3"/>
        <v>116</v>
      </c>
      <c r="AJ7" s="321">
        <f>-tanks!AW8</f>
        <v>116</v>
      </c>
      <c r="AK7" s="321">
        <f t="shared" si="24"/>
        <v>0</v>
      </c>
      <c r="AL7" s="321">
        <f t="shared" si="8"/>
        <v>1</v>
      </c>
      <c r="AM7" s="321">
        <f t="shared" si="25"/>
        <v>0</v>
      </c>
      <c r="AN7" s="64">
        <f t="shared" ref="AN7:AN35" si="35">AN6</f>
        <v>62</v>
      </c>
      <c r="AO7" s="323">
        <f t="shared" si="26"/>
        <v>1860</v>
      </c>
      <c r="AP7" s="64">
        <f t="shared" ref="AP7:AP35" si="36">AP6</f>
        <v>52</v>
      </c>
      <c r="AQ7" s="323">
        <f t="shared" si="27"/>
        <v>1560</v>
      </c>
      <c r="AR7" s="64">
        <f t="shared" si="28"/>
        <v>68</v>
      </c>
      <c r="AS7" s="323">
        <f t="shared" ref="AS7:AS34" si="37">(AR7/100)*3000</f>
        <v>2040.0000000000002</v>
      </c>
      <c r="AT7" s="323">
        <f t="shared" ref="AT7:AT23" si="38">SUM(AO7+AQ7+AS7)</f>
        <v>5460</v>
      </c>
      <c r="AU7" s="323">
        <f t="shared" ref="AU7:AU34" si="39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44108</v>
      </c>
      <c r="B8" s="64">
        <v>244</v>
      </c>
      <c r="C8" s="64">
        <v>249</v>
      </c>
      <c r="D8" s="45">
        <f t="shared" si="30"/>
        <v>2.1999999999999886</v>
      </c>
      <c r="E8" s="45">
        <f t="shared" si="9"/>
        <v>18.435999999999908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0">
        <f t="shared" si="1"/>
        <v>0</v>
      </c>
      <c r="J8" s="66">
        <f t="shared" si="12"/>
        <v>0</v>
      </c>
      <c r="K8" s="64">
        <v>2114</v>
      </c>
      <c r="L8" s="52">
        <f t="shared" si="2"/>
        <v>0</v>
      </c>
      <c r="M8" s="64">
        <v>155125</v>
      </c>
      <c r="N8" s="400">
        <f t="shared" si="3"/>
        <v>0</v>
      </c>
      <c r="O8" s="64">
        <f t="shared" si="13"/>
        <v>211.87499999999994</v>
      </c>
      <c r="P8" s="64">
        <v>1840</v>
      </c>
      <c r="Q8" s="64">
        <v>156190</v>
      </c>
      <c r="R8" s="399">
        <f t="shared" si="4"/>
        <v>53</v>
      </c>
      <c r="S8" s="52">
        <f t="shared" si="5"/>
        <v>1</v>
      </c>
      <c r="T8" s="67">
        <f t="shared" si="31"/>
        <v>0</v>
      </c>
      <c r="U8" s="406">
        <f t="shared" si="14"/>
        <v>1</v>
      </c>
      <c r="V8" s="62">
        <f t="shared" si="15"/>
        <v>53</v>
      </c>
      <c r="W8" s="404">
        <f t="shared" si="16"/>
        <v>53</v>
      </c>
      <c r="X8" s="64">
        <v>2448</v>
      </c>
      <c r="Y8" s="52">
        <f t="shared" si="18"/>
        <v>0</v>
      </c>
      <c r="Z8" s="64">
        <f t="shared" si="19"/>
        <v>137506</v>
      </c>
      <c r="AA8" s="65">
        <f t="shared" si="6"/>
        <v>0</v>
      </c>
      <c r="AB8" s="287">
        <f t="shared" si="32"/>
        <v>0</v>
      </c>
      <c r="AC8" s="64">
        <f t="shared" si="20"/>
        <v>1933</v>
      </c>
      <c r="AD8" s="45">
        <f t="shared" si="7"/>
        <v>0</v>
      </c>
      <c r="AE8" s="64">
        <f t="shared" si="21"/>
        <v>365212</v>
      </c>
      <c r="AF8" s="309">
        <f t="shared" si="22"/>
        <v>0</v>
      </c>
      <c r="AG8" s="210">
        <f t="shared" si="33"/>
        <v>0</v>
      </c>
      <c r="AH8" s="62">
        <f t="shared" si="34"/>
        <v>0</v>
      </c>
      <c r="AI8" s="321">
        <f t="shared" si="23"/>
        <v>53</v>
      </c>
      <c r="AJ8" s="321">
        <f>-tanks!AW9</f>
        <v>53</v>
      </c>
      <c r="AK8" s="321">
        <f t="shared" si="24"/>
        <v>0</v>
      </c>
      <c r="AL8" s="321">
        <f t="shared" si="8"/>
        <v>1</v>
      </c>
      <c r="AM8" s="321">
        <f t="shared" si="25"/>
        <v>0</v>
      </c>
      <c r="AN8" s="64">
        <f t="shared" si="35"/>
        <v>62</v>
      </c>
      <c r="AO8" s="323">
        <f t="shared" si="26"/>
        <v>1860</v>
      </c>
      <c r="AP8" s="64">
        <f t="shared" si="36"/>
        <v>52</v>
      </c>
      <c r="AQ8" s="323">
        <f t="shared" si="27"/>
        <v>1560</v>
      </c>
      <c r="AR8" s="64">
        <f t="shared" si="28"/>
        <v>68</v>
      </c>
      <c r="AS8" s="323">
        <f t="shared" si="37"/>
        <v>2040.0000000000002</v>
      </c>
      <c r="AT8" s="323">
        <f t="shared" si="38"/>
        <v>5460</v>
      </c>
      <c r="AU8" s="323">
        <f t="shared" si="39"/>
        <v>0</v>
      </c>
      <c r="AV8" s="271"/>
      <c r="AW8" s="271"/>
      <c r="AX8" s="316">
        <f t="shared" si="29"/>
        <v>0.8</v>
      </c>
    </row>
    <row r="9" spans="1:52">
      <c r="A9" s="63">
        <f>ELEC!C7</f>
        <v>44109</v>
      </c>
      <c r="B9" s="64">
        <v>242</v>
      </c>
      <c r="C9" s="64">
        <v>247.3</v>
      </c>
      <c r="D9" s="45">
        <f t="shared" si="30"/>
        <v>1.6999999999999886</v>
      </c>
      <c r="E9" s="45">
        <f t="shared" si="9"/>
        <v>14.245999999999906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0">
        <f t="shared" si="1"/>
        <v>0</v>
      </c>
      <c r="J9" s="66">
        <f t="shared" si="12"/>
        <v>0</v>
      </c>
      <c r="K9" s="64">
        <v>2115</v>
      </c>
      <c r="L9" s="52">
        <f t="shared" si="2"/>
        <v>1</v>
      </c>
      <c r="M9" s="64">
        <v>155221</v>
      </c>
      <c r="N9" s="400">
        <f t="shared" si="3"/>
        <v>96</v>
      </c>
      <c r="O9" s="64">
        <f t="shared" si="13"/>
        <v>211.87499999999994</v>
      </c>
      <c r="P9" s="64">
        <f t="shared" si="13"/>
        <v>1840</v>
      </c>
      <c r="Q9" s="64">
        <f t="shared" si="13"/>
        <v>156190</v>
      </c>
      <c r="R9" s="399">
        <f t="shared" si="4"/>
        <v>0</v>
      </c>
      <c r="S9" s="52">
        <f t="shared" si="5"/>
        <v>0</v>
      </c>
      <c r="T9" s="67">
        <f t="shared" si="31"/>
        <v>0</v>
      </c>
      <c r="U9" s="406">
        <f t="shared" si="14"/>
        <v>1</v>
      </c>
      <c r="V9" s="62">
        <f t="shared" si="15"/>
        <v>96</v>
      </c>
      <c r="W9" s="404">
        <f t="shared" si="16"/>
        <v>96</v>
      </c>
      <c r="X9" s="64">
        <f t="shared" si="17"/>
        <v>2448</v>
      </c>
      <c r="Y9" s="52">
        <f t="shared" si="18"/>
        <v>0</v>
      </c>
      <c r="Z9" s="64">
        <f t="shared" si="19"/>
        <v>137506</v>
      </c>
      <c r="AA9" s="65">
        <f t="shared" si="6"/>
        <v>0</v>
      </c>
      <c r="AB9" s="287">
        <f t="shared" si="32"/>
        <v>0</v>
      </c>
      <c r="AC9" s="64">
        <f t="shared" si="20"/>
        <v>1933</v>
      </c>
      <c r="AD9" s="45">
        <f t="shared" si="7"/>
        <v>0</v>
      </c>
      <c r="AE9" s="64">
        <f t="shared" si="21"/>
        <v>365212</v>
      </c>
      <c r="AF9" s="309">
        <f t="shared" si="22"/>
        <v>0</v>
      </c>
      <c r="AG9" s="210">
        <f t="shared" si="33"/>
        <v>0</v>
      </c>
      <c r="AH9" s="62">
        <f t="shared" si="34"/>
        <v>0</v>
      </c>
      <c r="AI9" s="321">
        <f t="shared" si="23"/>
        <v>96</v>
      </c>
      <c r="AJ9" s="321">
        <f>-tanks!AW10</f>
        <v>96</v>
      </c>
      <c r="AK9" s="321">
        <f t="shared" si="24"/>
        <v>0</v>
      </c>
      <c r="AL9" s="321">
        <f t="shared" si="8"/>
        <v>1</v>
      </c>
      <c r="AM9" s="321">
        <f t="shared" si="25"/>
        <v>0</v>
      </c>
      <c r="AN9" s="64">
        <f t="shared" si="35"/>
        <v>62</v>
      </c>
      <c r="AO9" s="323">
        <f t="shared" si="26"/>
        <v>1860</v>
      </c>
      <c r="AP9" s="64">
        <f t="shared" si="36"/>
        <v>52</v>
      </c>
      <c r="AQ9" s="323">
        <f t="shared" si="27"/>
        <v>1560</v>
      </c>
      <c r="AR9" s="64">
        <f t="shared" si="28"/>
        <v>68</v>
      </c>
      <c r="AS9" s="323">
        <f>(AR9/100)*3000</f>
        <v>2040.0000000000002</v>
      </c>
      <c r="AT9" s="323">
        <f t="shared" si="38"/>
        <v>5460</v>
      </c>
      <c r="AU9" s="323">
        <f t="shared" si="39"/>
        <v>0</v>
      </c>
      <c r="AV9" s="271"/>
      <c r="AW9" s="271"/>
      <c r="AX9" s="316">
        <f t="shared" si="29"/>
        <v>0.8</v>
      </c>
    </row>
    <row r="10" spans="1:52">
      <c r="A10" s="63">
        <f>ELEC!C8</f>
        <v>44110</v>
      </c>
      <c r="B10" s="64">
        <v>239</v>
      </c>
      <c r="C10" s="64">
        <v>245</v>
      </c>
      <c r="D10" s="45">
        <f t="shared" si="30"/>
        <v>2.3000000000000114</v>
      </c>
      <c r="E10" s="45">
        <f t="shared" si="9"/>
        <v>19.274000000000097</v>
      </c>
      <c r="F10" s="64">
        <v>1648</v>
      </c>
      <c r="G10" s="52">
        <f t="shared" si="0"/>
        <v>0</v>
      </c>
      <c r="H10" s="64">
        <f t="shared" si="11"/>
        <v>357868</v>
      </c>
      <c r="I10" s="400">
        <f t="shared" si="1"/>
        <v>0</v>
      </c>
      <c r="J10" s="66">
        <f t="shared" si="12"/>
        <v>0</v>
      </c>
      <c r="K10" s="64">
        <v>2116</v>
      </c>
      <c r="L10" s="52">
        <f t="shared" si="2"/>
        <v>1</v>
      </c>
      <c r="M10" s="64">
        <v>155322</v>
      </c>
      <c r="N10" s="400">
        <f t="shared" si="3"/>
        <v>101</v>
      </c>
      <c r="O10" s="64">
        <f t="shared" si="13"/>
        <v>211.87499999999994</v>
      </c>
      <c r="P10" s="64">
        <v>1840</v>
      </c>
      <c r="Q10" s="64">
        <v>156234</v>
      </c>
      <c r="R10" s="399">
        <f t="shared" si="4"/>
        <v>44</v>
      </c>
      <c r="S10" s="52">
        <f t="shared" si="5"/>
        <v>0</v>
      </c>
      <c r="T10" s="67">
        <f t="shared" si="31"/>
        <v>0</v>
      </c>
      <c r="U10" s="406">
        <f t="shared" si="14"/>
        <v>1</v>
      </c>
      <c r="V10" s="62">
        <f t="shared" si="15"/>
        <v>145</v>
      </c>
      <c r="W10" s="404">
        <f t="shared" si="16"/>
        <v>145</v>
      </c>
      <c r="X10" s="64">
        <f t="shared" si="17"/>
        <v>2448</v>
      </c>
      <c r="Y10" s="52">
        <f t="shared" si="18"/>
        <v>0</v>
      </c>
      <c r="Z10" s="64">
        <f t="shared" si="19"/>
        <v>137506</v>
      </c>
      <c r="AA10" s="65">
        <f t="shared" si="6"/>
        <v>0</v>
      </c>
      <c r="AB10" s="287">
        <f t="shared" si="32"/>
        <v>0</v>
      </c>
      <c r="AC10" s="64">
        <f t="shared" si="20"/>
        <v>1933</v>
      </c>
      <c r="AD10" s="45">
        <f t="shared" si="7"/>
        <v>0</v>
      </c>
      <c r="AE10" s="64">
        <f t="shared" si="21"/>
        <v>365212</v>
      </c>
      <c r="AF10" s="309">
        <f t="shared" si="22"/>
        <v>0</v>
      </c>
      <c r="AG10" s="210">
        <f t="shared" si="33"/>
        <v>0</v>
      </c>
      <c r="AH10" s="62">
        <f t="shared" si="34"/>
        <v>0</v>
      </c>
      <c r="AI10" s="321">
        <f>SUM(AH10+V10)</f>
        <v>145</v>
      </c>
      <c r="AJ10" s="321">
        <f>-tanks!AW11</f>
        <v>145</v>
      </c>
      <c r="AK10" s="321">
        <f t="shared" si="24"/>
        <v>0</v>
      </c>
      <c r="AL10" s="321">
        <f t="shared" si="8"/>
        <v>1</v>
      </c>
      <c r="AM10" s="321">
        <f t="shared" si="25"/>
        <v>0</v>
      </c>
      <c r="AN10" s="64">
        <f t="shared" si="35"/>
        <v>62</v>
      </c>
      <c r="AO10" s="323">
        <f t="shared" si="26"/>
        <v>1860</v>
      </c>
      <c r="AP10" s="64">
        <f t="shared" si="36"/>
        <v>52</v>
      </c>
      <c r="AQ10" s="323">
        <f t="shared" si="27"/>
        <v>1560</v>
      </c>
      <c r="AR10" s="64">
        <f t="shared" si="28"/>
        <v>68</v>
      </c>
      <c r="AS10" s="323">
        <f t="shared" si="37"/>
        <v>2040.0000000000002</v>
      </c>
      <c r="AT10" s="323">
        <f t="shared" si="38"/>
        <v>5460</v>
      </c>
      <c r="AU10" s="323">
        <f t="shared" si="39"/>
        <v>0</v>
      </c>
      <c r="AV10" s="271"/>
      <c r="AW10" s="271"/>
      <c r="AX10" s="316">
        <f t="shared" si="29"/>
        <v>0.8</v>
      </c>
    </row>
    <row r="11" spans="1:52">
      <c r="A11" s="63">
        <f>ELEC!C9</f>
        <v>44111</v>
      </c>
      <c r="B11" s="64">
        <v>237</v>
      </c>
      <c r="C11" s="64">
        <v>242.2</v>
      </c>
      <c r="D11" s="45">
        <f t="shared" si="30"/>
        <v>2.8000000000000114</v>
      </c>
      <c r="E11" s="45">
        <f t="shared" si="9"/>
        <v>23.464000000000098</v>
      </c>
      <c r="F11" s="64">
        <v>1648</v>
      </c>
      <c r="G11" s="52">
        <f t="shared" si="0"/>
        <v>0</v>
      </c>
      <c r="H11" s="64">
        <f t="shared" si="11"/>
        <v>357868</v>
      </c>
      <c r="I11" s="400">
        <f t="shared" si="1"/>
        <v>0</v>
      </c>
      <c r="J11" s="66">
        <f t="shared" si="12"/>
        <v>0</v>
      </c>
      <c r="K11" s="64">
        <v>2117</v>
      </c>
      <c r="L11" s="52">
        <f t="shared" si="2"/>
        <v>1</v>
      </c>
      <c r="M11" s="64">
        <v>155380</v>
      </c>
      <c r="N11" s="400">
        <f t="shared" si="3"/>
        <v>58</v>
      </c>
      <c r="O11" s="64">
        <f t="shared" si="13"/>
        <v>211.87499999999994</v>
      </c>
      <c r="P11" s="64">
        <v>1841</v>
      </c>
      <c r="Q11" s="64">
        <v>156322</v>
      </c>
      <c r="R11" s="399">
        <f t="shared" ref="R11:R34" si="40">Q11-Q10</f>
        <v>88</v>
      </c>
      <c r="S11" s="52">
        <f t="shared" si="5"/>
        <v>1</v>
      </c>
      <c r="T11" s="67">
        <f t="shared" si="31"/>
        <v>0</v>
      </c>
      <c r="U11" s="406">
        <f t="shared" si="14"/>
        <v>2</v>
      </c>
      <c r="V11" s="62">
        <f t="shared" si="15"/>
        <v>146</v>
      </c>
      <c r="W11" s="404">
        <f t="shared" si="16"/>
        <v>73</v>
      </c>
      <c r="X11" s="64">
        <f t="shared" si="17"/>
        <v>2448</v>
      </c>
      <c r="Y11" s="52">
        <f t="shared" si="18"/>
        <v>0</v>
      </c>
      <c r="Z11" s="64">
        <f t="shared" si="19"/>
        <v>137506</v>
      </c>
      <c r="AA11" s="65">
        <f t="shared" si="6"/>
        <v>0</v>
      </c>
      <c r="AB11" s="287">
        <f t="shared" si="32"/>
        <v>0</v>
      </c>
      <c r="AC11" s="64">
        <f t="shared" si="20"/>
        <v>1933</v>
      </c>
      <c r="AD11" s="45">
        <f t="shared" si="7"/>
        <v>0</v>
      </c>
      <c r="AE11" s="64">
        <f t="shared" si="21"/>
        <v>365212</v>
      </c>
      <c r="AF11" s="309">
        <f t="shared" si="22"/>
        <v>0</v>
      </c>
      <c r="AG11" s="210">
        <f t="shared" si="33"/>
        <v>0</v>
      </c>
      <c r="AH11" s="62">
        <f>AF11+AA11</f>
        <v>0</v>
      </c>
      <c r="AI11" s="321">
        <f>SUM(AH11+V11)</f>
        <v>146</v>
      </c>
      <c r="AJ11" s="321">
        <f>-tanks!AW12</f>
        <v>146</v>
      </c>
      <c r="AK11" s="321">
        <f t="shared" si="24"/>
        <v>0</v>
      </c>
      <c r="AL11" s="321">
        <f t="shared" si="8"/>
        <v>2</v>
      </c>
      <c r="AM11" s="321">
        <f t="shared" si="25"/>
        <v>0</v>
      </c>
      <c r="AN11" s="64">
        <f t="shared" si="35"/>
        <v>62</v>
      </c>
      <c r="AO11" s="323">
        <f t="shared" si="26"/>
        <v>1860</v>
      </c>
      <c r="AP11" s="64">
        <f t="shared" si="36"/>
        <v>52</v>
      </c>
      <c r="AQ11" s="323">
        <f t="shared" si="27"/>
        <v>1560</v>
      </c>
      <c r="AR11" s="64">
        <f t="shared" si="28"/>
        <v>68</v>
      </c>
      <c r="AS11" s="323">
        <f t="shared" si="37"/>
        <v>2040.0000000000002</v>
      </c>
      <c r="AT11" s="323">
        <f t="shared" si="38"/>
        <v>5460</v>
      </c>
      <c r="AU11" s="323">
        <f t="shared" si="39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44112</v>
      </c>
      <c r="B12" s="64">
        <v>234</v>
      </c>
      <c r="C12" s="64">
        <v>241</v>
      </c>
      <c r="D12" s="45">
        <f t="shared" si="30"/>
        <v>1.1999999999999886</v>
      </c>
      <c r="E12" s="45">
        <f t="shared" si="9"/>
        <v>10.055999999999905</v>
      </c>
      <c r="F12" s="64">
        <f t="shared" si="10"/>
        <v>1648</v>
      </c>
      <c r="G12" s="52">
        <f t="shared" si="0"/>
        <v>0</v>
      </c>
      <c r="H12" s="64">
        <f t="shared" si="11"/>
        <v>357868</v>
      </c>
      <c r="I12" s="400">
        <f t="shared" si="1"/>
        <v>0</v>
      </c>
      <c r="J12" s="66">
        <f t="shared" si="12"/>
        <v>0</v>
      </c>
      <c r="K12" s="64">
        <v>2119</v>
      </c>
      <c r="L12" s="52">
        <f t="shared" si="2"/>
        <v>2</v>
      </c>
      <c r="M12" s="64">
        <v>155495</v>
      </c>
      <c r="N12" s="400">
        <f t="shared" si="3"/>
        <v>115</v>
      </c>
      <c r="O12" s="64">
        <f t="shared" si="13"/>
        <v>211.87499999999994</v>
      </c>
      <c r="P12" s="64">
        <f t="shared" si="13"/>
        <v>1841</v>
      </c>
      <c r="Q12" s="64">
        <f t="shared" si="13"/>
        <v>156322</v>
      </c>
      <c r="R12" s="399">
        <f t="shared" si="40"/>
        <v>0</v>
      </c>
      <c r="S12" s="52">
        <f t="shared" si="5"/>
        <v>0</v>
      </c>
      <c r="T12" s="67">
        <f t="shared" si="31"/>
        <v>0</v>
      </c>
      <c r="U12" s="406">
        <f t="shared" si="14"/>
        <v>2</v>
      </c>
      <c r="V12" s="62">
        <f t="shared" si="15"/>
        <v>115</v>
      </c>
      <c r="W12" s="404">
        <f t="shared" si="16"/>
        <v>57.5</v>
      </c>
      <c r="X12" s="64">
        <f t="shared" si="17"/>
        <v>2448</v>
      </c>
      <c r="Y12" s="52">
        <f t="shared" si="18"/>
        <v>0</v>
      </c>
      <c r="Z12" s="64">
        <f t="shared" si="19"/>
        <v>137506</v>
      </c>
      <c r="AA12" s="65">
        <f t="shared" si="6"/>
        <v>0</v>
      </c>
      <c r="AB12" s="287">
        <f t="shared" si="32"/>
        <v>0</v>
      </c>
      <c r="AC12" s="64">
        <f t="shared" si="20"/>
        <v>1933</v>
      </c>
      <c r="AD12" s="45">
        <f t="shared" si="7"/>
        <v>0</v>
      </c>
      <c r="AE12" s="64">
        <f t="shared" si="21"/>
        <v>365212</v>
      </c>
      <c r="AF12" s="309">
        <f t="shared" si="22"/>
        <v>0</v>
      </c>
      <c r="AG12" s="210">
        <f t="shared" si="33"/>
        <v>0</v>
      </c>
      <c r="AH12" s="62">
        <f t="shared" si="34"/>
        <v>0</v>
      </c>
      <c r="AI12" s="321">
        <f t="shared" si="23"/>
        <v>115</v>
      </c>
      <c r="AJ12" s="321">
        <f>-tanks!AW13</f>
        <v>115</v>
      </c>
      <c r="AK12" s="321">
        <f t="shared" si="24"/>
        <v>0</v>
      </c>
      <c r="AL12" s="321">
        <f t="shared" si="8"/>
        <v>2</v>
      </c>
      <c r="AM12" s="321">
        <f t="shared" si="25"/>
        <v>0</v>
      </c>
      <c r="AN12" s="64">
        <f t="shared" si="35"/>
        <v>62</v>
      </c>
      <c r="AO12" s="323">
        <f t="shared" si="26"/>
        <v>1860</v>
      </c>
      <c r="AP12" s="64">
        <f t="shared" si="36"/>
        <v>52</v>
      </c>
      <c r="AQ12" s="323">
        <f t="shared" si="27"/>
        <v>1560</v>
      </c>
      <c r="AR12" s="64">
        <f t="shared" si="28"/>
        <v>68</v>
      </c>
      <c r="AS12" s="323">
        <f t="shared" si="37"/>
        <v>2040.0000000000002</v>
      </c>
      <c r="AT12" s="323">
        <f t="shared" si="38"/>
        <v>5460</v>
      </c>
      <c r="AU12" s="323">
        <f t="shared" si="39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44113</v>
      </c>
      <c r="B13" s="64">
        <v>231</v>
      </c>
      <c r="C13" s="64">
        <v>238</v>
      </c>
      <c r="D13" s="45">
        <f t="shared" si="30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0">
        <f t="shared" si="1"/>
        <v>0</v>
      </c>
      <c r="J13" s="66">
        <f t="shared" si="12"/>
        <v>0</v>
      </c>
      <c r="K13" s="64">
        <v>2120</v>
      </c>
      <c r="L13" s="52">
        <f t="shared" si="2"/>
        <v>1</v>
      </c>
      <c r="M13" s="64">
        <v>155601</v>
      </c>
      <c r="N13" s="400">
        <f t="shared" si="3"/>
        <v>106</v>
      </c>
      <c r="O13" s="64">
        <f t="shared" si="13"/>
        <v>211.87499999999994</v>
      </c>
      <c r="P13" s="64">
        <v>1842</v>
      </c>
      <c r="Q13" s="64">
        <v>156326</v>
      </c>
      <c r="R13" s="399">
        <f t="shared" si="40"/>
        <v>4</v>
      </c>
      <c r="S13" s="52">
        <f t="shared" si="5"/>
        <v>1</v>
      </c>
      <c r="T13" s="67">
        <f t="shared" si="31"/>
        <v>0</v>
      </c>
      <c r="U13" s="406">
        <f t="shared" si="14"/>
        <v>2</v>
      </c>
      <c r="V13" s="62">
        <f>R13+N13+I13:I13</f>
        <v>110</v>
      </c>
      <c r="W13" s="404">
        <f t="shared" si="16"/>
        <v>55</v>
      </c>
      <c r="X13" s="64">
        <f t="shared" si="17"/>
        <v>2448</v>
      </c>
      <c r="Y13" s="52">
        <f t="shared" si="18"/>
        <v>0</v>
      </c>
      <c r="Z13" s="64">
        <f t="shared" si="19"/>
        <v>137506</v>
      </c>
      <c r="AA13" s="287">
        <f t="shared" si="6"/>
        <v>0</v>
      </c>
      <c r="AB13" s="287">
        <f t="shared" si="32"/>
        <v>0</v>
      </c>
      <c r="AC13" s="64">
        <f t="shared" si="20"/>
        <v>1933</v>
      </c>
      <c r="AD13" s="45">
        <f t="shared" si="7"/>
        <v>0</v>
      </c>
      <c r="AE13" s="64">
        <f t="shared" si="21"/>
        <v>365212</v>
      </c>
      <c r="AF13" s="309">
        <f t="shared" si="22"/>
        <v>0</v>
      </c>
      <c r="AG13" s="210">
        <f t="shared" si="33"/>
        <v>0</v>
      </c>
      <c r="AH13" s="62">
        <f t="shared" si="34"/>
        <v>0</v>
      </c>
      <c r="AI13" s="321">
        <f t="shared" si="23"/>
        <v>110</v>
      </c>
      <c r="AJ13" s="321">
        <f>-tanks!AW14</f>
        <v>110</v>
      </c>
      <c r="AK13" s="321">
        <f t="shared" si="24"/>
        <v>0</v>
      </c>
      <c r="AL13" s="321">
        <f t="shared" si="8"/>
        <v>2</v>
      </c>
      <c r="AM13" s="321">
        <f t="shared" si="25"/>
        <v>0</v>
      </c>
      <c r="AN13" s="64">
        <f t="shared" si="35"/>
        <v>62</v>
      </c>
      <c r="AO13" s="323">
        <f t="shared" si="26"/>
        <v>1860</v>
      </c>
      <c r="AP13" s="64">
        <f t="shared" si="36"/>
        <v>52</v>
      </c>
      <c r="AQ13" s="323">
        <f t="shared" si="27"/>
        <v>1560</v>
      </c>
      <c r="AR13" s="64">
        <f t="shared" si="28"/>
        <v>68</v>
      </c>
      <c r="AS13" s="323">
        <f t="shared" si="37"/>
        <v>2040.0000000000002</v>
      </c>
      <c r="AT13" s="323">
        <f t="shared" si="38"/>
        <v>5460</v>
      </c>
      <c r="AU13" s="323">
        <f t="shared" si="39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44114</v>
      </c>
      <c r="B14" s="64">
        <v>229.3</v>
      </c>
      <c r="C14" s="64">
        <v>235.3</v>
      </c>
      <c r="D14" s="45">
        <f t="shared" si="30"/>
        <v>2.6999999999999886</v>
      </c>
      <c r="E14" s="45">
        <f t="shared" si="9"/>
        <v>22.625999999999905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0">
        <f t="shared" si="1"/>
        <v>0</v>
      </c>
      <c r="J14" s="66">
        <f t="shared" si="12"/>
        <v>0</v>
      </c>
      <c r="K14" s="64">
        <f t="shared" ref="K14:K34" si="41">K13</f>
        <v>2120</v>
      </c>
      <c r="L14" s="52">
        <f t="shared" si="2"/>
        <v>0</v>
      </c>
      <c r="M14" s="64">
        <f t="shared" ref="M14:M34" si="42">M13</f>
        <v>155601</v>
      </c>
      <c r="N14" s="400">
        <f t="shared" si="3"/>
        <v>0</v>
      </c>
      <c r="O14" s="64">
        <f t="shared" si="13"/>
        <v>211.87499999999994</v>
      </c>
      <c r="P14" s="64">
        <v>1843</v>
      </c>
      <c r="Q14" s="64">
        <v>156441</v>
      </c>
      <c r="R14" s="399">
        <f t="shared" si="40"/>
        <v>115</v>
      </c>
      <c r="S14" s="52">
        <f t="shared" si="5"/>
        <v>1</v>
      </c>
      <c r="T14" s="67">
        <f t="shared" si="31"/>
        <v>0</v>
      </c>
      <c r="U14" s="406">
        <f t="shared" si="14"/>
        <v>1</v>
      </c>
      <c r="V14" s="62">
        <f t="shared" si="15"/>
        <v>115</v>
      </c>
      <c r="W14" s="404">
        <f t="shared" si="16"/>
        <v>115</v>
      </c>
      <c r="X14" s="64">
        <f t="shared" si="17"/>
        <v>2448</v>
      </c>
      <c r="Y14" s="52">
        <f t="shared" si="18"/>
        <v>0</v>
      </c>
      <c r="Z14" s="64">
        <f t="shared" si="19"/>
        <v>137506</v>
      </c>
      <c r="AA14" s="65">
        <f t="shared" si="6"/>
        <v>0</v>
      </c>
      <c r="AB14" s="287">
        <f t="shared" si="32"/>
        <v>0</v>
      </c>
      <c r="AC14" s="64">
        <f t="shared" si="20"/>
        <v>1933</v>
      </c>
      <c r="AD14" s="45">
        <f t="shared" si="7"/>
        <v>0</v>
      </c>
      <c r="AE14" s="64">
        <f t="shared" si="21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115</v>
      </c>
      <c r="AJ14" s="321">
        <f>-tanks!AW15</f>
        <v>115</v>
      </c>
      <c r="AK14" s="321">
        <f t="shared" si="24"/>
        <v>0</v>
      </c>
      <c r="AL14" s="321">
        <f t="shared" si="8"/>
        <v>1</v>
      </c>
      <c r="AM14" s="321">
        <f t="shared" si="25"/>
        <v>0</v>
      </c>
      <c r="AN14" s="64">
        <f t="shared" si="35"/>
        <v>62</v>
      </c>
      <c r="AO14" s="323">
        <f t="shared" si="26"/>
        <v>1860</v>
      </c>
      <c r="AP14" s="64">
        <f t="shared" si="36"/>
        <v>52</v>
      </c>
      <c r="AQ14" s="323">
        <f t="shared" si="27"/>
        <v>1560</v>
      </c>
      <c r="AR14" s="64">
        <f t="shared" si="28"/>
        <v>68</v>
      </c>
      <c r="AS14" s="323">
        <f t="shared" si="37"/>
        <v>2040.0000000000002</v>
      </c>
      <c r="AT14" s="323">
        <f t="shared" si="38"/>
        <v>5460</v>
      </c>
      <c r="AU14" s="323">
        <f t="shared" si="39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44115</v>
      </c>
      <c r="B15" s="64">
        <v>227.2</v>
      </c>
      <c r="C15" s="64">
        <v>233</v>
      </c>
      <c r="D15" s="45">
        <f t="shared" si="30"/>
        <v>2.3000000000000114</v>
      </c>
      <c r="E15" s="45">
        <f t="shared" si="9"/>
        <v>19.274000000000097</v>
      </c>
      <c r="F15" s="64">
        <v>1648</v>
      </c>
      <c r="G15" s="52">
        <f t="shared" si="0"/>
        <v>0</v>
      </c>
      <c r="H15" s="64">
        <f t="shared" si="11"/>
        <v>357868</v>
      </c>
      <c r="I15" s="400">
        <f t="shared" si="1"/>
        <v>0</v>
      </c>
      <c r="J15" s="66">
        <f t="shared" si="12"/>
        <v>0</v>
      </c>
      <c r="K15" s="64">
        <v>2122</v>
      </c>
      <c r="L15" s="52">
        <f t="shared" si="2"/>
        <v>2</v>
      </c>
      <c r="M15" s="64">
        <v>155733</v>
      </c>
      <c r="N15" s="400">
        <f t="shared" si="3"/>
        <v>132</v>
      </c>
      <c r="O15" s="64">
        <f t="shared" si="13"/>
        <v>211.87499999999994</v>
      </c>
      <c r="P15" s="64">
        <v>1843</v>
      </c>
      <c r="Q15" s="64">
        <v>156441</v>
      </c>
      <c r="R15" s="399">
        <f t="shared" si="40"/>
        <v>0</v>
      </c>
      <c r="S15" s="52">
        <f t="shared" si="5"/>
        <v>0</v>
      </c>
      <c r="T15" s="67">
        <f t="shared" si="31"/>
        <v>0</v>
      </c>
      <c r="U15" s="406">
        <f t="shared" si="14"/>
        <v>2</v>
      </c>
      <c r="V15" s="62">
        <f t="shared" si="15"/>
        <v>132</v>
      </c>
      <c r="W15" s="404">
        <f t="shared" si="16"/>
        <v>66</v>
      </c>
      <c r="X15" s="64">
        <f t="shared" si="17"/>
        <v>2448</v>
      </c>
      <c r="Y15" s="52">
        <f t="shared" si="18"/>
        <v>0</v>
      </c>
      <c r="Z15" s="64">
        <f t="shared" si="19"/>
        <v>137506</v>
      </c>
      <c r="AA15" s="65">
        <f t="shared" si="6"/>
        <v>0</v>
      </c>
      <c r="AB15" s="287">
        <f t="shared" si="32"/>
        <v>0</v>
      </c>
      <c r="AC15" s="64">
        <f t="shared" si="20"/>
        <v>1933</v>
      </c>
      <c r="AD15" s="45">
        <f t="shared" si="7"/>
        <v>0</v>
      </c>
      <c r="AE15" s="64">
        <f t="shared" si="21"/>
        <v>365212</v>
      </c>
      <c r="AF15" s="309">
        <f t="shared" si="22"/>
        <v>0</v>
      </c>
      <c r="AG15" s="210">
        <f t="shared" si="33"/>
        <v>0</v>
      </c>
      <c r="AH15" s="62">
        <f t="shared" si="34"/>
        <v>0</v>
      </c>
      <c r="AI15" s="321">
        <f t="shared" si="23"/>
        <v>132</v>
      </c>
      <c r="AJ15" s="321">
        <f>-tanks!AW16</f>
        <v>132</v>
      </c>
      <c r="AK15" s="321">
        <f t="shared" si="24"/>
        <v>0</v>
      </c>
      <c r="AL15" s="321">
        <f t="shared" si="8"/>
        <v>2</v>
      </c>
      <c r="AM15" s="321">
        <f t="shared" si="25"/>
        <v>0</v>
      </c>
      <c r="AN15" s="64">
        <f t="shared" si="35"/>
        <v>62</v>
      </c>
      <c r="AO15" s="323">
        <f t="shared" si="26"/>
        <v>1860</v>
      </c>
      <c r="AP15" s="64">
        <f t="shared" si="36"/>
        <v>52</v>
      </c>
      <c r="AQ15" s="323">
        <f t="shared" si="27"/>
        <v>1560</v>
      </c>
      <c r="AR15" s="64">
        <f t="shared" si="28"/>
        <v>68</v>
      </c>
      <c r="AS15" s="323">
        <f t="shared" si="37"/>
        <v>2040.0000000000002</v>
      </c>
      <c r="AT15" s="323">
        <f t="shared" si="38"/>
        <v>5460</v>
      </c>
      <c r="AU15" s="323">
        <f t="shared" si="39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44116</v>
      </c>
      <c r="B16" s="64">
        <v>225</v>
      </c>
      <c r="C16" s="64">
        <v>231</v>
      </c>
      <c r="D16" s="45">
        <f t="shared" si="30"/>
        <v>2</v>
      </c>
      <c r="E16" s="45">
        <f t="shared" si="9"/>
        <v>16.760000000000002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0">
        <f t="shared" si="1"/>
        <v>0</v>
      </c>
      <c r="J16" s="66">
        <f t="shared" si="12"/>
        <v>0</v>
      </c>
      <c r="K16" s="64">
        <v>2123</v>
      </c>
      <c r="L16" s="52">
        <f t="shared" si="2"/>
        <v>1</v>
      </c>
      <c r="M16" s="64">
        <v>155791</v>
      </c>
      <c r="N16" s="400">
        <f t="shared" si="3"/>
        <v>58</v>
      </c>
      <c r="O16" s="64">
        <f t="shared" si="13"/>
        <v>211.87499999999994</v>
      </c>
      <c r="P16" s="64">
        <v>1844</v>
      </c>
      <c r="Q16" s="64">
        <v>156494</v>
      </c>
      <c r="R16" s="399">
        <f t="shared" si="40"/>
        <v>53</v>
      </c>
      <c r="S16" s="52">
        <f t="shared" si="5"/>
        <v>1</v>
      </c>
      <c r="T16" s="67">
        <f t="shared" si="31"/>
        <v>0</v>
      </c>
      <c r="U16" s="406">
        <f t="shared" si="14"/>
        <v>2</v>
      </c>
      <c r="V16" s="62">
        <f t="shared" si="15"/>
        <v>111</v>
      </c>
      <c r="W16" s="404">
        <f t="shared" si="16"/>
        <v>55.5</v>
      </c>
      <c r="X16" s="64">
        <f t="shared" si="17"/>
        <v>2448</v>
      </c>
      <c r="Y16" s="52">
        <f t="shared" si="18"/>
        <v>0</v>
      </c>
      <c r="Z16" s="64">
        <f t="shared" si="19"/>
        <v>137506</v>
      </c>
      <c r="AA16" s="65">
        <f t="shared" si="6"/>
        <v>0</v>
      </c>
      <c r="AB16" s="287">
        <f t="shared" si="32"/>
        <v>0</v>
      </c>
      <c r="AC16" s="64">
        <f t="shared" si="20"/>
        <v>1933</v>
      </c>
      <c r="AD16" s="45">
        <f t="shared" si="7"/>
        <v>0</v>
      </c>
      <c r="AE16" s="64">
        <f t="shared" si="21"/>
        <v>365212</v>
      </c>
      <c r="AF16" s="309">
        <f t="shared" si="22"/>
        <v>0</v>
      </c>
      <c r="AG16" s="210">
        <f t="shared" si="33"/>
        <v>0</v>
      </c>
      <c r="AH16" s="62">
        <f t="shared" si="34"/>
        <v>0</v>
      </c>
      <c r="AI16" s="321">
        <f t="shared" si="23"/>
        <v>111</v>
      </c>
      <c r="AJ16" s="321">
        <f>-tanks!AW17</f>
        <v>111</v>
      </c>
      <c r="AK16" s="321">
        <f t="shared" si="24"/>
        <v>0</v>
      </c>
      <c r="AL16" s="321">
        <f t="shared" si="8"/>
        <v>2</v>
      </c>
      <c r="AM16" s="321">
        <f t="shared" si="25"/>
        <v>0</v>
      </c>
      <c r="AN16" s="64">
        <f t="shared" si="35"/>
        <v>62</v>
      </c>
      <c r="AO16" s="323">
        <f t="shared" si="26"/>
        <v>1860</v>
      </c>
      <c r="AP16" s="64">
        <f t="shared" si="36"/>
        <v>52</v>
      </c>
      <c r="AQ16" s="323">
        <f t="shared" si="27"/>
        <v>1560</v>
      </c>
      <c r="AR16" s="64">
        <f t="shared" si="28"/>
        <v>68</v>
      </c>
      <c r="AS16" s="323">
        <f t="shared" si="37"/>
        <v>2040.0000000000002</v>
      </c>
      <c r="AT16" s="323">
        <f t="shared" si="38"/>
        <v>5460</v>
      </c>
      <c r="AU16" s="323">
        <f t="shared" si="39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44117</v>
      </c>
      <c r="B17" s="64">
        <v>222</v>
      </c>
      <c r="C17" s="64">
        <v>228</v>
      </c>
      <c r="D17" s="45">
        <f t="shared" si="30"/>
        <v>3</v>
      </c>
      <c r="E17" s="45">
        <f t="shared" si="9"/>
        <v>25.14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0">
        <f t="shared" si="1"/>
        <v>0</v>
      </c>
      <c r="J17" s="66">
        <f t="shared" si="12"/>
        <v>0</v>
      </c>
      <c r="K17" s="64">
        <f t="shared" si="41"/>
        <v>2123</v>
      </c>
      <c r="L17" s="52">
        <f t="shared" si="2"/>
        <v>0</v>
      </c>
      <c r="M17" s="64">
        <f t="shared" si="42"/>
        <v>155791</v>
      </c>
      <c r="N17" s="400">
        <f t="shared" si="3"/>
        <v>0</v>
      </c>
      <c r="O17" s="64">
        <f t="shared" si="13"/>
        <v>211.87499999999994</v>
      </c>
      <c r="P17" s="64">
        <f t="shared" si="13"/>
        <v>1844</v>
      </c>
      <c r="Q17" s="64">
        <f t="shared" si="13"/>
        <v>156494</v>
      </c>
      <c r="R17" s="399">
        <f t="shared" si="40"/>
        <v>0</v>
      </c>
      <c r="S17" s="52">
        <f t="shared" si="5"/>
        <v>0</v>
      </c>
      <c r="T17" s="67">
        <f t="shared" si="31"/>
        <v>0</v>
      </c>
      <c r="U17" s="406">
        <f t="shared" si="14"/>
        <v>0</v>
      </c>
      <c r="V17" s="62">
        <f t="shared" si="15"/>
        <v>0</v>
      </c>
      <c r="W17" s="404"/>
      <c r="X17" s="64">
        <f t="shared" si="17"/>
        <v>2448</v>
      </c>
      <c r="Y17" s="52">
        <f t="shared" si="18"/>
        <v>0</v>
      </c>
      <c r="Z17" s="64">
        <f t="shared" si="19"/>
        <v>137506</v>
      </c>
      <c r="AA17" s="65">
        <f t="shared" si="6"/>
        <v>0</v>
      </c>
      <c r="AB17" s="287">
        <f t="shared" si="32"/>
        <v>0</v>
      </c>
      <c r="AC17" s="64">
        <f t="shared" si="20"/>
        <v>1933</v>
      </c>
      <c r="AD17" s="45">
        <f t="shared" si="7"/>
        <v>0</v>
      </c>
      <c r="AE17" s="64">
        <f t="shared" si="21"/>
        <v>365212</v>
      </c>
      <c r="AF17" s="309">
        <f t="shared" si="22"/>
        <v>0</v>
      </c>
      <c r="AG17" s="210">
        <f t="shared" si="33"/>
        <v>0</v>
      </c>
      <c r="AH17" s="62">
        <f t="shared" si="34"/>
        <v>0</v>
      </c>
      <c r="AI17" s="321">
        <f t="shared" si="23"/>
        <v>0</v>
      </c>
      <c r="AJ17" s="321">
        <f>-tanks!AW18</f>
        <v>0</v>
      </c>
      <c r="AK17" s="321">
        <f t="shared" si="24"/>
        <v>0</v>
      </c>
      <c r="AL17" s="321">
        <f t="shared" si="8"/>
        <v>0</v>
      </c>
      <c r="AM17" s="321">
        <f t="shared" si="25"/>
        <v>0</v>
      </c>
      <c r="AN17" s="64">
        <f t="shared" si="35"/>
        <v>62</v>
      </c>
      <c r="AO17" s="323">
        <f t="shared" si="26"/>
        <v>1860</v>
      </c>
      <c r="AP17" s="64">
        <f t="shared" si="36"/>
        <v>52</v>
      </c>
      <c r="AQ17" s="323">
        <f t="shared" si="27"/>
        <v>1560</v>
      </c>
      <c r="AR17" s="64">
        <f t="shared" si="28"/>
        <v>68</v>
      </c>
      <c r="AS17" s="323">
        <f t="shared" si="37"/>
        <v>2040.0000000000002</v>
      </c>
      <c r="AT17" s="323">
        <f t="shared" si="38"/>
        <v>5460</v>
      </c>
      <c r="AU17" s="323">
        <f t="shared" si="39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44118</v>
      </c>
      <c r="B18" s="64">
        <v>219.1</v>
      </c>
      <c r="C18" s="64">
        <v>225.2</v>
      </c>
      <c r="D18" s="45">
        <f t="shared" si="30"/>
        <v>2.8000000000000114</v>
      </c>
      <c r="E18" s="45">
        <f t="shared" si="9"/>
        <v>23.464000000000098</v>
      </c>
      <c r="F18" s="64">
        <v>1648</v>
      </c>
      <c r="G18" s="52">
        <f t="shared" si="0"/>
        <v>0</v>
      </c>
      <c r="H18" s="64">
        <f t="shared" si="11"/>
        <v>357868</v>
      </c>
      <c r="I18" s="400">
        <f t="shared" si="1"/>
        <v>0</v>
      </c>
      <c r="J18" s="66">
        <f t="shared" si="12"/>
        <v>0</v>
      </c>
      <c r="K18" s="64">
        <v>2124</v>
      </c>
      <c r="L18" s="52">
        <f t="shared" si="2"/>
        <v>1</v>
      </c>
      <c r="M18" s="64">
        <v>155917</v>
      </c>
      <c r="N18" s="400">
        <f t="shared" si="3"/>
        <v>126</v>
      </c>
      <c r="O18" s="64">
        <f t="shared" si="13"/>
        <v>211.87499999999994</v>
      </c>
      <c r="P18" s="64">
        <v>1844</v>
      </c>
      <c r="Q18" s="64">
        <v>156494</v>
      </c>
      <c r="R18" s="399">
        <f t="shared" si="40"/>
        <v>0</v>
      </c>
      <c r="S18" s="52">
        <f t="shared" si="5"/>
        <v>0</v>
      </c>
      <c r="T18" s="67">
        <f t="shared" si="31"/>
        <v>0</v>
      </c>
      <c r="U18" s="406">
        <f t="shared" si="14"/>
        <v>1</v>
      </c>
      <c r="V18" s="62">
        <f t="shared" si="15"/>
        <v>126</v>
      </c>
      <c r="W18" s="404"/>
      <c r="X18" s="64">
        <v>2448</v>
      </c>
      <c r="Y18" s="52">
        <f t="shared" si="18"/>
        <v>0</v>
      </c>
      <c r="Z18" s="64">
        <f t="shared" si="19"/>
        <v>137506</v>
      </c>
      <c r="AA18" s="65">
        <f t="shared" si="6"/>
        <v>0</v>
      </c>
      <c r="AB18" s="287">
        <f t="shared" ref="AB18:AB23" si="43">SUM(Y18*$AB$2)</f>
        <v>0</v>
      </c>
      <c r="AC18" s="64">
        <f t="shared" si="20"/>
        <v>1933</v>
      </c>
      <c r="AD18" s="45">
        <f t="shared" si="7"/>
        <v>0</v>
      </c>
      <c r="AE18" s="64">
        <f t="shared" si="21"/>
        <v>365212</v>
      </c>
      <c r="AF18" s="309">
        <f t="shared" si="22"/>
        <v>0</v>
      </c>
      <c r="AG18" s="210">
        <f t="shared" si="33"/>
        <v>0</v>
      </c>
      <c r="AH18" s="62">
        <f t="shared" si="34"/>
        <v>0</v>
      </c>
      <c r="AI18" s="321">
        <f t="shared" si="23"/>
        <v>126</v>
      </c>
      <c r="AJ18" s="321">
        <f>-tanks!AW19</f>
        <v>126</v>
      </c>
      <c r="AK18" s="321">
        <f t="shared" si="24"/>
        <v>0</v>
      </c>
      <c r="AL18" s="321">
        <f t="shared" si="8"/>
        <v>1</v>
      </c>
      <c r="AM18" s="321">
        <f t="shared" si="25"/>
        <v>0</v>
      </c>
      <c r="AN18" s="64">
        <f t="shared" si="35"/>
        <v>62</v>
      </c>
      <c r="AO18" s="323">
        <f t="shared" si="26"/>
        <v>1860</v>
      </c>
      <c r="AP18" s="64">
        <f t="shared" si="36"/>
        <v>52</v>
      </c>
      <c r="AQ18" s="323">
        <f t="shared" si="27"/>
        <v>1560</v>
      </c>
      <c r="AR18" s="64">
        <f t="shared" si="28"/>
        <v>68</v>
      </c>
      <c r="AS18" s="323">
        <f t="shared" si="37"/>
        <v>2040.0000000000002</v>
      </c>
      <c r="AT18" s="323">
        <f t="shared" si="38"/>
        <v>5460</v>
      </c>
      <c r="AU18" s="323">
        <f t="shared" si="39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44119</v>
      </c>
      <c r="B19" s="64">
        <v>216.3</v>
      </c>
      <c r="C19" s="64">
        <v>223</v>
      </c>
      <c r="D19" s="45">
        <f t="shared" si="30"/>
        <v>2.1999999999999886</v>
      </c>
      <c r="E19" s="45">
        <f t="shared" si="9"/>
        <v>18.435999999999908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0">
        <f t="shared" si="1"/>
        <v>0</v>
      </c>
      <c r="J19" s="66">
        <f t="shared" si="12"/>
        <v>0</v>
      </c>
      <c r="K19" s="64">
        <v>2126</v>
      </c>
      <c r="L19" s="52">
        <f t="shared" si="2"/>
        <v>2</v>
      </c>
      <c r="M19" s="64">
        <v>156019</v>
      </c>
      <c r="N19" s="400">
        <f t="shared" si="3"/>
        <v>102</v>
      </c>
      <c r="O19" s="64">
        <f t="shared" si="13"/>
        <v>211.87499999999994</v>
      </c>
      <c r="P19" s="64">
        <v>1845</v>
      </c>
      <c r="Q19" s="64">
        <v>156603</v>
      </c>
      <c r="R19" s="399">
        <f t="shared" si="40"/>
        <v>109</v>
      </c>
      <c r="S19" s="52">
        <f t="shared" si="5"/>
        <v>1</v>
      </c>
      <c r="T19" s="67">
        <f t="shared" si="31"/>
        <v>0</v>
      </c>
      <c r="U19" s="406">
        <f t="shared" si="14"/>
        <v>3</v>
      </c>
      <c r="V19" s="62">
        <f t="shared" si="15"/>
        <v>211</v>
      </c>
      <c r="W19" s="404"/>
      <c r="X19" s="64">
        <f t="shared" si="17"/>
        <v>2448</v>
      </c>
      <c r="Y19" s="52">
        <f t="shared" si="18"/>
        <v>0</v>
      </c>
      <c r="Z19" s="64">
        <f t="shared" si="19"/>
        <v>137506</v>
      </c>
      <c r="AA19" s="65">
        <f t="shared" si="6"/>
        <v>0</v>
      </c>
      <c r="AB19" s="287">
        <f t="shared" si="43"/>
        <v>0</v>
      </c>
      <c r="AC19" s="64">
        <f t="shared" si="20"/>
        <v>1933</v>
      </c>
      <c r="AD19" s="45">
        <f t="shared" si="7"/>
        <v>0</v>
      </c>
      <c r="AE19" s="64">
        <f t="shared" si="21"/>
        <v>365212</v>
      </c>
      <c r="AF19" s="309">
        <f t="shared" si="22"/>
        <v>0</v>
      </c>
      <c r="AG19" s="210">
        <f t="shared" si="33"/>
        <v>0</v>
      </c>
      <c r="AH19" s="62">
        <f t="shared" si="34"/>
        <v>0</v>
      </c>
      <c r="AI19" s="321">
        <f t="shared" si="23"/>
        <v>211</v>
      </c>
      <c r="AJ19" s="321">
        <f>-tanks!AW20</f>
        <v>211</v>
      </c>
      <c r="AK19" s="321">
        <f t="shared" si="24"/>
        <v>0</v>
      </c>
      <c r="AL19" s="321">
        <f t="shared" si="8"/>
        <v>3</v>
      </c>
      <c r="AM19" s="321">
        <f t="shared" si="25"/>
        <v>0</v>
      </c>
      <c r="AN19" s="64">
        <f t="shared" si="35"/>
        <v>62</v>
      </c>
      <c r="AO19" s="323">
        <f t="shared" si="26"/>
        <v>1860</v>
      </c>
      <c r="AP19" s="64">
        <f t="shared" si="36"/>
        <v>52</v>
      </c>
      <c r="AQ19" s="323">
        <f t="shared" si="27"/>
        <v>1560</v>
      </c>
      <c r="AR19" s="64">
        <f t="shared" si="28"/>
        <v>68</v>
      </c>
      <c r="AS19" s="323">
        <f t="shared" si="37"/>
        <v>2040.0000000000002</v>
      </c>
      <c r="AT19" s="323">
        <f t="shared" si="38"/>
        <v>5460</v>
      </c>
      <c r="AU19" s="323">
        <f t="shared" si="39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44120</v>
      </c>
      <c r="B20" s="64">
        <v>214</v>
      </c>
      <c r="C20" s="64">
        <v>220</v>
      </c>
      <c r="D20" s="45">
        <f>C19-C20</f>
        <v>3</v>
      </c>
      <c r="E20" s="45">
        <f t="shared" si="9"/>
        <v>25.14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0">
        <f t="shared" si="1"/>
        <v>0</v>
      </c>
      <c r="J20" s="66">
        <f t="shared" si="12"/>
        <v>0</v>
      </c>
      <c r="K20" s="64">
        <f t="shared" si="41"/>
        <v>2126</v>
      </c>
      <c r="L20" s="52">
        <f t="shared" si="2"/>
        <v>0</v>
      </c>
      <c r="M20" s="64">
        <f t="shared" si="42"/>
        <v>156019</v>
      </c>
      <c r="N20" s="400">
        <f t="shared" si="3"/>
        <v>0</v>
      </c>
      <c r="O20" s="64">
        <f t="shared" si="13"/>
        <v>211.87499999999994</v>
      </c>
      <c r="P20" s="64">
        <v>1846</v>
      </c>
      <c r="Q20" s="64">
        <v>156682</v>
      </c>
      <c r="R20" s="399">
        <f t="shared" si="40"/>
        <v>79</v>
      </c>
      <c r="S20" s="52">
        <f t="shared" si="5"/>
        <v>1</v>
      </c>
      <c r="T20" s="67">
        <f t="shared" si="31"/>
        <v>0</v>
      </c>
      <c r="U20" s="406">
        <f t="shared" si="14"/>
        <v>1</v>
      </c>
      <c r="V20" s="62">
        <f t="shared" si="15"/>
        <v>79</v>
      </c>
      <c r="W20" s="404"/>
      <c r="X20" s="64">
        <f t="shared" si="17"/>
        <v>2448</v>
      </c>
      <c r="Y20" s="52">
        <f t="shared" si="18"/>
        <v>0</v>
      </c>
      <c r="Z20" s="64">
        <f t="shared" si="19"/>
        <v>137506</v>
      </c>
      <c r="AA20" s="65">
        <f t="shared" si="6"/>
        <v>0</v>
      </c>
      <c r="AB20" s="287">
        <f t="shared" si="43"/>
        <v>0</v>
      </c>
      <c r="AC20" s="64">
        <f t="shared" si="20"/>
        <v>1933</v>
      </c>
      <c r="AD20" s="45">
        <f t="shared" si="7"/>
        <v>0</v>
      </c>
      <c r="AE20" s="64">
        <f t="shared" si="21"/>
        <v>365212</v>
      </c>
      <c r="AF20" s="309">
        <f t="shared" si="22"/>
        <v>0</v>
      </c>
      <c r="AG20" s="210">
        <f t="shared" si="33"/>
        <v>0</v>
      </c>
      <c r="AH20" s="62">
        <f t="shared" si="34"/>
        <v>0</v>
      </c>
      <c r="AI20" s="321">
        <f t="shared" si="23"/>
        <v>79</v>
      </c>
      <c r="AJ20" s="321">
        <f>-tanks!AW21</f>
        <v>79</v>
      </c>
      <c r="AK20" s="321">
        <f t="shared" si="24"/>
        <v>0</v>
      </c>
      <c r="AL20" s="321">
        <f t="shared" si="8"/>
        <v>1</v>
      </c>
      <c r="AM20" s="321">
        <f t="shared" si="25"/>
        <v>0</v>
      </c>
      <c r="AN20" s="64">
        <f t="shared" si="35"/>
        <v>62</v>
      </c>
      <c r="AO20" s="323">
        <f t="shared" si="26"/>
        <v>1860</v>
      </c>
      <c r="AP20" s="64">
        <f t="shared" si="36"/>
        <v>52</v>
      </c>
      <c r="AQ20" s="323">
        <f t="shared" si="27"/>
        <v>1560</v>
      </c>
      <c r="AR20" s="64">
        <f t="shared" si="28"/>
        <v>68</v>
      </c>
      <c r="AS20" s="323">
        <f t="shared" si="37"/>
        <v>2040.0000000000002</v>
      </c>
      <c r="AT20" s="323">
        <f t="shared" si="38"/>
        <v>5460</v>
      </c>
      <c r="AU20" s="323">
        <f t="shared" si="39"/>
        <v>0</v>
      </c>
      <c r="AV20" s="271"/>
      <c r="AW20" s="271"/>
      <c r="AX20" s="316">
        <f t="shared" si="29"/>
        <v>0.8</v>
      </c>
    </row>
    <row r="21" spans="1:50">
      <c r="A21" s="63">
        <f>ELEC!C19</f>
        <v>44121</v>
      </c>
      <c r="B21" s="64">
        <v>212.2</v>
      </c>
      <c r="C21" s="64">
        <v>219</v>
      </c>
      <c r="D21" s="45">
        <f t="shared" ref="D21:D31" si="44">C20-C21</f>
        <v>1</v>
      </c>
      <c r="E21" s="45">
        <f t="shared" si="9"/>
        <v>8.3800000000000008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0">
        <f t="shared" si="1"/>
        <v>0</v>
      </c>
      <c r="J21" s="66">
        <f t="shared" si="12"/>
        <v>0</v>
      </c>
      <c r="K21" s="64">
        <v>2128</v>
      </c>
      <c r="L21" s="52">
        <f t="shared" si="2"/>
        <v>2</v>
      </c>
      <c r="M21" s="64">
        <v>156192</v>
      </c>
      <c r="N21" s="400">
        <f t="shared" si="3"/>
        <v>173</v>
      </c>
      <c r="O21" s="64">
        <f t="shared" si="13"/>
        <v>211.87499999999994</v>
      </c>
      <c r="P21" s="64">
        <v>1846</v>
      </c>
      <c r="Q21" s="64">
        <v>156682</v>
      </c>
      <c r="R21" s="399">
        <f t="shared" si="40"/>
        <v>0</v>
      </c>
      <c r="S21" s="52">
        <f t="shared" si="5"/>
        <v>0</v>
      </c>
      <c r="T21" s="67">
        <f t="shared" si="31"/>
        <v>0</v>
      </c>
      <c r="U21" s="406">
        <f t="shared" si="14"/>
        <v>2</v>
      </c>
      <c r="V21" s="62">
        <f t="shared" si="15"/>
        <v>173</v>
      </c>
      <c r="W21" s="404"/>
      <c r="X21" s="64">
        <f t="shared" si="17"/>
        <v>2448</v>
      </c>
      <c r="Y21" s="52">
        <f t="shared" si="18"/>
        <v>0</v>
      </c>
      <c r="Z21" s="64">
        <f t="shared" si="19"/>
        <v>137506</v>
      </c>
      <c r="AA21" s="65">
        <f t="shared" si="6"/>
        <v>0</v>
      </c>
      <c r="AB21" s="287">
        <f t="shared" si="43"/>
        <v>0</v>
      </c>
      <c r="AC21" s="64">
        <f t="shared" si="20"/>
        <v>1933</v>
      </c>
      <c r="AD21" s="45">
        <f t="shared" si="7"/>
        <v>0</v>
      </c>
      <c r="AE21" s="64">
        <f t="shared" si="21"/>
        <v>365212</v>
      </c>
      <c r="AF21" s="309">
        <f t="shared" si="22"/>
        <v>0</v>
      </c>
      <c r="AG21" s="210">
        <f t="shared" si="33"/>
        <v>0</v>
      </c>
      <c r="AH21" s="62">
        <f t="shared" si="34"/>
        <v>0</v>
      </c>
      <c r="AI21" s="321">
        <f t="shared" si="23"/>
        <v>173</v>
      </c>
      <c r="AJ21" s="321">
        <f>-tanks!AW22</f>
        <v>173</v>
      </c>
      <c r="AK21" s="321">
        <f t="shared" si="24"/>
        <v>0</v>
      </c>
      <c r="AL21" s="321">
        <f t="shared" si="8"/>
        <v>2</v>
      </c>
      <c r="AM21" s="321">
        <f t="shared" si="25"/>
        <v>0</v>
      </c>
      <c r="AN21" s="64">
        <f t="shared" si="35"/>
        <v>62</v>
      </c>
      <c r="AO21" s="323">
        <f t="shared" si="26"/>
        <v>1860</v>
      </c>
      <c r="AP21" s="64">
        <f t="shared" si="36"/>
        <v>52</v>
      </c>
      <c r="AQ21" s="323">
        <f t="shared" si="27"/>
        <v>1560</v>
      </c>
      <c r="AR21" s="64">
        <f t="shared" si="28"/>
        <v>68</v>
      </c>
      <c r="AS21" s="323">
        <f t="shared" si="37"/>
        <v>2040.0000000000002</v>
      </c>
      <c r="AT21" s="323">
        <f t="shared" si="38"/>
        <v>5460</v>
      </c>
      <c r="AU21" s="323">
        <f t="shared" si="39"/>
        <v>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44122</v>
      </c>
      <c r="B22" s="64">
        <v>209</v>
      </c>
      <c r="C22" s="64">
        <v>216</v>
      </c>
      <c r="D22" s="45">
        <f t="shared" si="44"/>
        <v>3</v>
      </c>
      <c r="E22" s="45">
        <f t="shared" si="9"/>
        <v>25.14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0">
        <f t="shared" si="1"/>
        <v>0</v>
      </c>
      <c r="J22" s="66">
        <f t="shared" si="12"/>
        <v>0</v>
      </c>
      <c r="K22" s="64">
        <v>2129</v>
      </c>
      <c r="L22" s="52">
        <f t="shared" si="2"/>
        <v>1</v>
      </c>
      <c r="M22" s="64">
        <v>156284</v>
      </c>
      <c r="N22" s="400">
        <f t="shared" si="3"/>
        <v>92</v>
      </c>
      <c r="O22" s="64">
        <f t="shared" si="13"/>
        <v>211.87499999999994</v>
      </c>
      <c r="P22" s="64">
        <v>1847</v>
      </c>
      <c r="Q22" s="64">
        <v>156731</v>
      </c>
      <c r="R22" s="399">
        <f t="shared" si="40"/>
        <v>49</v>
      </c>
      <c r="S22" s="52">
        <f t="shared" si="5"/>
        <v>1</v>
      </c>
      <c r="T22" s="67">
        <f t="shared" si="31"/>
        <v>0</v>
      </c>
      <c r="U22" s="406">
        <f t="shared" si="14"/>
        <v>2</v>
      </c>
      <c r="V22" s="62">
        <f t="shared" si="15"/>
        <v>141</v>
      </c>
      <c r="W22" s="404"/>
      <c r="X22" s="64">
        <f t="shared" si="17"/>
        <v>2448</v>
      </c>
      <c r="Y22" s="52">
        <f t="shared" si="18"/>
        <v>0</v>
      </c>
      <c r="Z22" s="64">
        <f t="shared" si="19"/>
        <v>137506</v>
      </c>
      <c r="AA22" s="65">
        <f t="shared" si="6"/>
        <v>0</v>
      </c>
      <c r="AB22" s="287">
        <f t="shared" si="43"/>
        <v>0</v>
      </c>
      <c r="AC22" s="64">
        <f t="shared" si="20"/>
        <v>1933</v>
      </c>
      <c r="AD22" s="45">
        <f t="shared" si="7"/>
        <v>0</v>
      </c>
      <c r="AE22" s="64">
        <f t="shared" si="21"/>
        <v>365212</v>
      </c>
      <c r="AF22" s="309">
        <f t="shared" si="22"/>
        <v>0</v>
      </c>
      <c r="AG22" s="210">
        <f t="shared" si="33"/>
        <v>0</v>
      </c>
      <c r="AH22" s="62">
        <f t="shared" si="34"/>
        <v>0</v>
      </c>
      <c r="AI22" s="321">
        <f t="shared" si="23"/>
        <v>141</v>
      </c>
      <c r="AJ22" s="321">
        <f>-tanks!AW23</f>
        <v>141</v>
      </c>
      <c r="AK22" s="321">
        <f t="shared" si="24"/>
        <v>0</v>
      </c>
      <c r="AL22" s="321">
        <f t="shared" si="8"/>
        <v>2</v>
      </c>
      <c r="AM22" s="321">
        <f t="shared" si="25"/>
        <v>0</v>
      </c>
      <c r="AN22" s="64">
        <f t="shared" si="35"/>
        <v>62</v>
      </c>
      <c r="AO22" s="323">
        <f t="shared" si="26"/>
        <v>1860</v>
      </c>
      <c r="AP22" s="64">
        <f t="shared" si="36"/>
        <v>52</v>
      </c>
      <c r="AQ22" s="323">
        <f t="shared" si="27"/>
        <v>1560</v>
      </c>
      <c r="AR22" s="64">
        <f t="shared" si="28"/>
        <v>68</v>
      </c>
      <c r="AS22" s="323">
        <f t="shared" si="37"/>
        <v>2040.0000000000002</v>
      </c>
      <c r="AT22" s="323">
        <f t="shared" si="38"/>
        <v>5460</v>
      </c>
      <c r="AU22" s="323">
        <f t="shared" si="39"/>
        <v>0</v>
      </c>
      <c r="AV22" s="271"/>
      <c r="AW22" s="271"/>
      <c r="AX22" s="316">
        <f t="shared" si="29"/>
        <v>0.8</v>
      </c>
    </row>
    <row r="23" spans="1:50">
      <c r="A23" s="63">
        <f>ELEC!C21</f>
        <v>44123</v>
      </c>
      <c r="B23" s="64">
        <v>208</v>
      </c>
      <c r="C23" s="64">
        <v>214</v>
      </c>
      <c r="D23" s="45">
        <f t="shared" si="44"/>
        <v>2</v>
      </c>
      <c r="E23" s="45">
        <f t="shared" si="9"/>
        <v>16.760000000000002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0">
        <f t="shared" si="1"/>
        <v>0</v>
      </c>
      <c r="J23" s="66">
        <f t="shared" si="12"/>
        <v>0</v>
      </c>
      <c r="K23" s="64">
        <v>2130</v>
      </c>
      <c r="L23" s="52">
        <f t="shared" si="2"/>
        <v>1</v>
      </c>
      <c r="M23" s="617">
        <v>156316</v>
      </c>
      <c r="N23" s="400">
        <f t="shared" si="3"/>
        <v>32</v>
      </c>
      <c r="O23" s="64">
        <f t="shared" si="13"/>
        <v>211.87499999999994</v>
      </c>
      <c r="P23" s="64">
        <v>1848</v>
      </c>
      <c r="Q23" s="64">
        <v>156820</v>
      </c>
      <c r="R23" s="399">
        <f t="shared" si="40"/>
        <v>89</v>
      </c>
      <c r="S23" s="52">
        <f t="shared" si="5"/>
        <v>1</v>
      </c>
      <c r="T23" s="67">
        <f t="shared" si="31"/>
        <v>0</v>
      </c>
      <c r="U23" s="406">
        <f t="shared" si="14"/>
        <v>2</v>
      </c>
      <c r="V23" s="62">
        <f t="shared" si="15"/>
        <v>121</v>
      </c>
      <c r="W23" s="404"/>
      <c r="X23" s="64">
        <f t="shared" si="17"/>
        <v>2448</v>
      </c>
      <c r="Y23" s="52">
        <f t="shared" si="18"/>
        <v>0</v>
      </c>
      <c r="Z23" s="64">
        <f t="shared" si="19"/>
        <v>137506</v>
      </c>
      <c r="AA23" s="65">
        <f t="shared" si="6"/>
        <v>0</v>
      </c>
      <c r="AB23" s="287">
        <f t="shared" si="43"/>
        <v>0</v>
      </c>
      <c r="AC23" s="64">
        <f t="shared" si="20"/>
        <v>1933</v>
      </c>
      <c r="AD23" s="45">
        <f t="shared" si="7"/>
        <v>0</v>
      </c>
      <c r="AE23" s="64">
        <f t="shared" si="21"/>
        <v>365212</v>
      </c>
      <c r="AF23" s="309">
        <f t="shared" si="22"/>
        <v>0</v>
      </c>
      <c r="AG23" s="210">
        <f t="shared" si="33"/>
        <v>0</v>
      </c>
      <c r="AH23" s="62">
        <f t="shared" si="34"/>
        <v>0</v>
      </c>
      <c r="AI23" s="321">
        <f t="shared" si="23"/>
        <v>121</v>
      </c>
      <c r="AJ23" s="321">
        <f>-tanks!AW24</f>
        <v>121</v>
      </c>
      <c r="AK23" s="321">
        <f t="shared" si="24"/>
        <v>0</v>
      </c>
      <c r="AL23" s="321">
        <f t="shared" si="8"/>
        <v>2</v>
      </c>
      <c r="AM23" s="321">
        <f t="shared" si="25"/>
        <v>0</v>
      </c>
      <c r="AN23" s="64">
        <f t="shared" si="35"/>
        <v>62</v>
      </c>
      <c r="AO23" s="323">
        <f t="shared" si="26"/>
        <v>1860</v>
      </c>
      <c r="AP23" s="64">
        <f t="shared" si="36"/>
        <v>52</v>
      </c>
      <c r="AQ23" s="323">
        <f t="shared" si="27"/>
        <v>1560</v>
      </c>
      <c r="AR23" s="64">
        <f t="shared" si="28"/>
        <v>68</v>
      </c>
      <c r="AS23" s="323">
        <f t="shared" si="37"/>
        <v>2040.0000000000002</v>
      </c>
      <c r="AT23" s="323">
        <f t="shared" si="38"/>
        <v>5460</v>
      </c>
      <c r="AU23" s="323">
        <f t="shared" si="39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44124</v>
      </c>
      <c r="B24" s="64">
        <v>204</v>
      </c>
      <c r="C24" s="64">
        <v>211</v>
      </c>
      <c r="D24" s="45">
        <f t="shared" si="44"/>
        <v>3</v>
      </c>
      <c r="E24" s="45">
        <f t="shared" si="9"/>
        <v>25.14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0">
        <f t="shared" si="1"/>
        <v>0</v>
      </c>
      <c r="J24" s="66">
        <f t="shared" si="12"/>
        <v>0</v>
      </c>
      <c r="K24" s="64">
        <v>2131</v>
      </c>
      <c r="L24" s="52">
        <f t="shared" si="2"/>
        <v>1</v>
      </c>
      <c r="M24" s="64">
        <v>156438</v>
      </c>
      <c r="N24" s="400">
        <f t="shared" si="3"/>
        <v>122</v>
      </c>
      <c r="O24" s="64">
        <f t="shared" si="13"/>
        <v>211.87499999999994</v>
      </c>
      <c r="P24" s="64">
        <f t="shared" si="13"/>
        <v>1848</v>
      </c>
      <c r="Q24" s="64">
        <f t="shared" si="13"/>
        <v>156820</v>
      </c>
      <c r="R24" s="399">
        <f t="shared" si="40"/>
        <v>0</v>
      </c>
      <c r="S24" s="52">
        <f t="shared" si="5"/>
        <v>0</v>
      </c>
      <c r="T24" s="67">
        <f t="shared" si="31"/>
        <v>0</v>
      </c>
      <c r="U24" s="406">
        <f t="shared" si="14"/>
        <v>1</v>
      </c>
      <c r="V24" s="62">
        <f t="shared" si="15"/>
        <v>122</v>
      </c>
      <c r="W24" s="404"/>
      <c r="X24" s="64">
        <f t="shared" si="17"/>
        <v>2448</v>
      </c>
      <c r="Y24" s="52">
        <f t="shared" si="18"/>
        <v>0</v>
      </c>
      <c r="Z24" s="64">
        <f t="shared" si="19"/>
        <v>137506</v>
      </c>
      <c r="AA24" s="65">
        <f t="shared" si="6"/>
        <v>0</v>
      </c>
      <c r="AB24" s="287">
        <f t="shared" ref="AB24:AB34" si="45">SUM(Y24*$AB$2)</f>
        <v>0</v>
      </c>
      <c r="AC24" s="64">
        <f t="shared" si="20"/>
        <v>1933</v>
      </c>
      <c r="AD24" s="45">
        <f t="shared" si="7"/>
        <v>0</v>
      </c>
      <c r="AE24" s="64">
        <f t="shared" si="21"/>
        <v>365212</v>
      </c>
      <c r="AF24" s="309">
        <f t="shared" si="22"/>
        <v>0</v>
      </c>
      <c r="AG24" s="210">
        <f t="shared" si="33"/>
        <v>0</v>
      </c>
      <c r="AH24" s="62">
        <f t="shared" si="34"/>
        <v>0</v>
      </c>
      <c r="AI24" s="321">
        <f t="shared" si="23"/>
        <v>122</v>
      </c>
      <c r="AJ24" s="321">
        <f>-tanks!AW25</f>
        <v>122</v>
      </c>
      <c r="AK24" s="321">
        <f t="shared" si="24"/>
        <v>0</v>
      </c>
      <c r="AL24" s="321">
        <f t="shared" si="8"/>
        <v>1</v>
      </c>
      <c r="AM24" s="321">
        <f t="shared" si="25"/>
        <v>0</v>
      </c>
      <c r="AN24" s="64">
        <f t="shared" si="35"/>
        <v>62</v>
      </c>
      <c r="AO24" s="323">
        <f t="shared" si="26"/>
        <v>1860</v>
      </c>
      <c r="AP24" s="64">
        <f t="shared" si="36"/>
        <v>52</v>
      </c>
      <c r="AQ24" s="323">
        <f t="shared" si="27"/>
        <v>1560</v>
      </c>
      <c r="AR24" s="64">
        <f t="shared" si="28"/>
        <v>68</v>
      </c>
      <c r="AS24" s="323">
        <f t="shared" si="37"/>
        <v>2040.0000000000002</v>
      </c>
      <c r="AT24" s="323">
        <f t="shared" ref="AT24:AT34" si="46">SUM(AO24+AQ24+AS24)</f>
        <v>5460</v>
      </c>
      <c r="AU24" s="323">
        <f t="shared" si="39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44125</v>
      </c>
      <c r="B25" s="64">
        <v>236</v>
      </c>
      <c r="C25" s="64">
        <v>242</v>
      </c>
      <c r="D25" s="45">
        <f t="shared" si="44"/>
        <v>-31</v>
      </c>
      <c r="E25" s="45">
        <f t="shared" si="9"/>
        <v>-259.78000000000003</v>
      </c>
      <c r="F25" s="64">
        <v>1648</v>
      </c>
      <c r="G25" s="52">
        <f t="shared" si="0"/>
        <v>0</v>
      </c>
      <c r="H25" s="64">
        <f t="shared" si="11"/>
        <v>357868</v>
      </c>
      <c r="I25" s="400">
        <f t="shared" si="1"/>
        <v>0</v>
      </c>
      <c r="J25" s="66">
        <f t="shared" si="12"/>
        <v>0</v>
      </c>
      <c r="K25" s="64">
        <v>2132</v>
      </c>
      <c r="L25" s="52">
        <f t="shared" si="2"/>
        <v>1</v>
      </c>
      <c r="M25" s="64">
        <v>156505</v>
      </c>
      <c r="N25" s="400">
        <f t="shared" si="3"/>
        <v>67</v>
      </c>
      <c r="O25" s="64">
        <f t="shared" si="13"/>
        <v>211.87499999999994</v>
      </c>
      <c r="P25" s="64">
        <v>1849</v>
      </c>
      <c r="Q25" s="64">
        <v>156889</v>
      </c>
      <c r="R25" s="399">
        <f t="shared" si="40"/>
        <v>69</v>
      </c>
      <c r="S25" s="52">
        <f t="shared" si="5"/>
        <v>1</v>
      </c>
      <c r="T25" s="67">
        <f t="shared" si="31"/>
        <v>0</v>
      </c>
      <c r="U25" s="406">
        <f t="shared" si="14"/>
        <v>2</v>
      </c>
      <c r="V25" s="62">
        <f t="shared" si="15"/>
        <v>136</v>
      </c>
      <c r="W25" s="404"/>
      <c r="X25" s="64">
        <f t="shared" si="17"/>
        <v>2448</v>
      </c>
      <c r="Y25" s="52">
        <f t="shared" si="18"/>
        <v>0</v>
      </c>
      <c r="Z25" s="64">
        <f t="shared" si="19"/>
        <v>137506</v>
      </c>
      <c r="AA25" s="65">
        <f t="shared" si="6"/>
        <v>0</v>
      </c>
      <c r="AB25" s="287">
        <f t="shared" si="45"/>
        <v>0</v>
      </c>
      <c r="AC25" s="64">
        <f t="shared" si="20"/>
        <v>1933</v>
      </c>
      <c r="AD25" s="45">
        <f t="shared" si="7"/>
        <v>0</v>
      </c>
      <c r="AE25" s="64">
        <f t="shared" si="21"/>
        <v>365212</v>
      </c>
      <c r="AF25" s="309">
        <f t="shared" si="22"/>
        <v>0</v>
      </c>
      <c r="AG25" s="210">
        <f t="shared" si="33"/>
        <v>0</v>
      </c>
      <c r="AH25" s="62">
        <f t="shared" si="34"/>
        <v>0</v>
      </c>
      <c r="AI25" s="321">
        <f t="shared" si="23"/>
        <v>136</v>
      </c>
      <c r="AJ25" s="321">
        <f>-tanks!AW26</f>
        <v>136</v>
      </c>
      <c r="AK25" s="321">
        <f t="shared" si="24"/>
        <v>0</v>
      </c>
      <c r="AL25" s="321">
        <f t="shared" si="8"/>
        <v>2</v>
      </c>
      <c r="AM25" s="321">
        <f t="shared" si="25"/>
        <v>0</v>
      </c>
      <c r="AN25" s="64">
        <f t="shared" si="35"/>
        <v>62</v>
      </c>
      <c r="AO25" s="323">
        <f t="shared" si="26"/>
        <v>1860</v>
      </c>
      <c r="AP25" s="64">
        <f t="shared" si="36"/>
        <v>52</v>
      </c>
      <c r="AQ25" s="323">
        <f t="shared" ref="AQ25:AQ34" si="47">(AP25/100)*3000</f>
        <v>1560</v>
      </c>
      <c r="AR25" s="64">
        <f t="shared" si="28"/>
        <v>68</v>
      </c>
      <c r="AS25" s="323">
        <f t="shared" si="37"/>
        <v>2040.0000000000002</v>
      </c>
      <c r="AT25" s="323">
        <f t="shared" si="46"/>
        <v>5460</v>
      </c>
      <c r="AU25" s="323">
        <f t="shared" si="39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44126</v>
      </c>
      <c r="B26" s="64">
        <v>231</v>
      </c>
      <c r="C26" s="64">
        <v>237</v>
      </c>
      <c r="D26" s="45">
        <f t="shared" si="44"/>
        <v>5</v>
      </c>
      <c r="E26" s="45">
        <f t="shared" si="9"/>
        <v>41.900000000000006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0">
        <f t="shared" si="1"/>
        <v>0</v>
      </c>
      <c r="J26" s="66">
        <f t="shared" si="12"/>
        <v>0</v>
      </c>
      <c r="K26" s="64">
        <v>2133</v>
      </c>
      <c r="L26" s="52">
        <f t="shared" si="2"/>
        <v>1</v>
      </c>
      <c r="M26" s="64">
        <v>156541</v>
      </c>
      <c r="N26" s="400">
        <f t="shared" si="3"/>
        <v>36</v>
      </c>
      <c r="O26" s="64">
        <f t="shared" si="13"/>
        <v>211.87499999999994</v>
      </c>
      <c r="P26" s="64">
        <v>1850</v>
      </c>
      <c r="Q26" s="64">
        <v>156967</v>
      </c>
      <c r="R26" s="399">
        <f t="shared" si="40"/>
        <v>78</v>
      </c>
      <c r="S26" s="52">
        <f t="shared" si="5"/>
        <v>1</v>
      </c>
      <c r="T26" s="67">
        <f t="shared" si="31"/>
        <v>0</v>
      </c>
      <c r="U26" s="406">
        <f t="shared" si="14"/>
        <v>2</v>
      </c>
      <c r="V26" s="62">
        <f t="shared" si="15"/>
        <v>114</v>
      </c>
      <c r="W26" s="404"/>
      <c r="X26" s="64">
        <f t="shared" si="17"/>
        <v>2448</v>
      </c>
      <c r="Y26" s="52">
        <f t="shared" si="18"/>
        <v>0</v>
      </c>
      <c r="Z26" s="64">
        <f t="shared" si="19"/>
        <v>137506</v>
      </c>
      <c r="AA26" s="65">
        <f t="shared" si="6"/>
        <v>0</v>
      </c>
      <c r="AB26" s="287">
        <f t="shared" si="45"/>
        <v>0</v>
      </c>
      <c r="AC26" s="64">
        <f t="shared" si="20"/>
        <v>1933</v>
      </c>
      <c r="AD26" s="45">
        <f t="shared" si="7"/>
        <v>0</v>
      </c>
      <c r="AE26" s="64">
        <f t="shared" si="21"/>
        <v>365212</v>
      </c>
      <c r="AF26" s="309">
        <f t="shared" si="22"/>
        <v>0</v>
      </c>
      <c r="AG26" s="210">
        <f t="shared" si="33"/>
        <v>0</v>
      </c>
      <c r="AH26" s="62">
        <f t="shared" si="34"/>
        <v>0</v>
      </c>
      <c r="AI26" s="321">
        <f t="shared" si="23"/>
        <v>114</v>
      </c>
      <c r="AJ26" s="321">
        <f>-tanks!AW27</f>
        <v>114</v>
      </c>
      <c r="AK26" s="321">
        <f t="shared" si="24"/>
        <v>0</v>
      </c>
      <c r="AL26" s="321">
        <f t="shared" si="8"/>
        <v>2</v>
      </c>
      <c r="AM26" s="321">
        <f t="shared" si="25"/>
        <v>0</v>
      </c>
      <c r="AN26" s="64">
        <f t="shared" si="35"/>
        <v>62</v>
      </c>
      <c r="AO26" s="323">
        <f t="shared" si="26"/>
        <v>1860</v>
      </c>
      <c r="AP26" s="64">
        <f t="shared" si="36"/>
        <v>52</v>
      </c>
      <c r="AQ26" s="323">
        <f t="shared" si="47"/>
        <v>1560</v>
      </c>
      <c r="AR26" s="64">
        <f t="shared" si="28"/>
        <v>68</v>
      </c>
      <c r="AS26" s="323">
        <f t="shared" si="37"/>
        <v>2040.0000000000002</v>
      </c>
      <c r="AT26" s="323">
        <f t="shared" si="46"/>
        <v>5460</v>
      </c>
      <c r="AU26" s="323">
        <f t="shared" si="39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44127</v>
      </c>
      <c r="B27" s="64">
        <v>229</v>
      </c>
      <c r="C27" s="64">
        <v>235</v>
      </c>
      <c r="D27" s="45">
        <f t="shared" si="44"/>
        <v>2</v>
      </c>
      <c r="E27" s="45">
        <f t="shared" si="9"/>
        <v>16.760000000000002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0">
        <f t="shared" si="1"/>
        <v>0</v>
      </c>
      <c r="J27" s="66">
        <f t="shared" si="12"/>
        <v>0</v>
      </c>
      <c r="K27" s="64">
        <v>2134</v>
      </c>
      <c r="L27" s="52">
        <f t="shared" si="2"/>
        <v>1</v>
      </c>
      <c r="M27" s="64">
        <v>156662</v>
      </c>
      <c r="N27" s="400">
        <f t="shared" si="3"/>
        <v>121</v>
      </c>
      <c r="O27" s="64">
        <f t="shared" si="13"/>
        <v>211.87499999999994</v>
      </c>
      <c r="P27" s="64">
        <f t="shared" si="13"/>
        <v>1850</v>
      </c>
      <c r="Q27" s="64">
        <f t="shared" si="13"/>
        <v>156967</v>
      </c>
      <c r="R27" s="399">
        <f t="shared" si="40"/>
        <v>0</v>
      </c>
      <c r="S27" s="52">
        <f t="shared" si="5"/>
        <v>0</v>
      </c>
      <c r="T27" s="67">
        <f t="shared" si="31"/>
        <v>0</v>
      </c>
      <c r="U27" s="406">
        <f t="shared" si="14"/>
        <v>1</v>
      </c>
      <c r="V27" s="62">
        <f t="shared" si="15"/>
        <v>121</v>
      </c>
      <c r="W27" s="404"/>
      <c r="X27" s="64">
        <f t="shared" si="17"/>
        <v>2448</v>
      </c>
      <c r="Y27" s="52">
        <f t="shared" si="18"/>
        <v>0</v>
      </c>
      <c r="Z27" s="64">
        <f t="shared" si="19"/>
        <v>137506</v>
      </c>
      <c r="AA27" s="65">
        <f t="shared" si="6"/>
        <v>0</v>
      </c>
      <c r="AB27" s="287">
        <f t="shared" si="45"/>
        <v>0</v>
      </c>
      <c r="AC27" s="64">
        <f t="shared" si="20"/>
        <v>1933</v>
      </c>
      <c r="AD27" s="45">
        <f t="shared" si="7"/>
        <v>0</v>
      </c>
      <c r="AE27" s="64">
        <f t="shared" si="21"/>
        <v>365212</v>
      </c>
      <c r="AF27" s="309">
        <f t="shared" si="22"/>
        <v>0</v>
      </c>
      <c r="AG27" s="210">
        <f t="shared" si="33"/>
        <v>0</v>
      </c>
      <c r="AH27" s="62">
        <f t="shared" si="34"/>
        <v>0</v>
      </c>
      <c r="AI27" s="321">
        <f t="shared" si="23"/>
        <v>121</v>
      </c>
      <c r="AJ27" s="321">
        <f>-tanks!AW28</f>
        <v>121</v>
      </c>
      <c r="AK27" s="321">
        <f t="shared" si="24"/>
        <v>0</v>
      </c>
      <c r="AL27" s="321">
        <f t="shared" si="8"/>
        <v>1</v>
      </c>
      <c r="AM27" s="321">
        <f t="shared" si="25"/>
        <v>0</v>
      </c>
      <c r="AN27" s="64">
        <f t="shared" si="35"/>
        <v>62</v>
      </c>
      <c r="AO27" s="323">
        <f>(AN27/100)*3000</f>
        <v>1860</v>
      </c>
      <c r="AP27" s="64">
        <f t="shared" si="36"/>
        <v>52</v>
      </c>
      <c r="AQ27" s="323">
        <f t="shared" si="47"/>
        <v>1560</v>
      </c>
      <c r="AR27" s="64">
        <f t="shared" si="28"/>
        <v>68</v>
      </c>
      <c r="AS27" s="323">
        <f t="shared" si="37"/>
        <v>2040.0000000000002</v>
      </c>
      <c r="AT27" s="323">
        <f t="shared" si="46"/>
        <v>5460</v>
      </c>
      <c r="AU27" s="323">
        <f t="shared" si="39"/>
        <v>0</v>
      </c>
      <c r="AV27" s="271"/>
      <c r="AW27" s="510"/>
      <c r="AX27" s="316">
        <f t="shared" si="29"/>
        <v>0.8</v>
      </c>
    </row>
    <row r="28" spans="1:50">
      <c r="A28" s="63">
        <f>ELEC!C26</f>
        <v>44128</v>
      </c>
      <c r="B28" s="64">
        <v>227</v>
      </c>
      <c r="C28" s="64">
        <v>233</v>
      </c>
      <c r="D28" s="45">
        <f t="shared" si="44"/>
        <v>2</v>
      </c>
      <c r="E28" s="45">
        <f t="shared" si="9"/>
        <v>16.760000000000002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0">
        <f t="shared" si="1"/>
        <v>0</v>
      </c>
      <c r="J28" s="66">
        <f t="shared" si="12"/>
        <v>0</v>
      </c>
      <c r="K28" s="64">
        <v>2135</v>
      </c>
      <c r="L28" s="52">
        <f t="shared" si="2"/>
        <v>1</v>
      </c>
      <c r="M28" s="64">
        <v>156747</v>
      </c>
      <c r="N28" s="400">
        <f t="shared" si="3"/>
        <v>85</v>
      </c>
      <c r="O28" s="64">
        <f t="shared" si="13"/>
        <v>211.87499999999994</v>
      </c>
      <c r="P28" s="64">
        <f t="shared" si="13"/>
        <v>1850</v>
      </c>
      <c r="Q28" s="64">
        <f t="shared" si="13"/>
        <v>156967</v>
      </c>
      <c r="R28" s="399">
        <f t="shared" si="40"/>
        <v>0</v>
      </c>
      <c r="S28" s="52">
        <f t="shared" si="5"/>
        <v>0</v>
      </c>
      <c r="T28" s="67">
        <f t="shared" si="31"/>
        <v>0</v>
      </c>
      <c r="U28" s="406">
        <f t="shared" si="14"/>
        <v>1</v>
      </c>
      <c r="V28" s="62">
        <f t="shared" si="15"/>
        <v>85</v>
      </c>
      <c r="W28" s="404"/>
      <c r="X28" s="64">
        <f t="shared" si="17"/>
        <v>2448</v>
      </c>
      <c r="Y28" s="52">
        <f t="shared" si="18"/>
        <v>0</v>
      </c>
      <c r="Z28" s="64">
        <f t="shared" si="19"/>
        <v>137506</v>
      </c>
      <c r="AA28" s="65">
        <f t="shared" si="6"/>
        <v>0</v>
      </c>
      <c r="AB28" s="287">
        <f t="shared" si="45"/>
        <v>0</v>
      </c>
      <c r="AC28" s="64">
        <f t="shared" si="20"/>
        <v>1933</v>
      </c>
      <c r="AD28" s="45">
        <f t="shared" si="7"/>
        <v>0</v>
      </c>
      <c r="AE28" s="64">
        <f t="shared" si="21"/>
        <v>365212</v>
      </c>
      <c r="AF28" s="309">
        <f t="shared" si="22"/>
        <v>0</v>
      </c>
      <c r="AG28" s="210">
        <f t="shared" si="33"/>
        <v>0</v>
      </c>
      <c r="AH28" s="62">
        <f t="shared" si="34"/>
        <v>0</v>
      </c>
      <c r="AI28" s="321">
        <f t="shared" si="23"/>
        <v>85</v>
      </c>
      <c r="AJ28" s="321">
        <f>-tanks!AW29</f>
        <v>85</v>
      </c>
      <c r="AK28" s="321">
        <f t="shared" si="24"/>
        <v>0</v>
      </c>
      <c r="AL28" s="321">
        <f t="shared" si="8"/>
        <v>1</v>
      </c>
      <c r="AM28" s="321">
        <f t="shared" si="25"/>
        <v>0</v>
      </c>
      <c r="AN28" s="64">
        <f t="shared" si="35"/>
        <v>62</v>
      </c>
      <c r="AO28" s="323">
        <f t="shared" ref="AO28:AO34" si="48">(AN28/100)*3000</f>
        <v>1860</v>
      </c>
      <c r="AP28" s="64">
        <f t="shared" si="36"/>
        <v>52</v>
      </c>
      <c r="AQ28" s="323">
        <f t="shared" si="47"/>
        <v>1560</v>
      </c>
      <c r="AR28" s="64">
        <f t="shared" si="28"/>
        <v>68</v>
      </c>
      <c r="AS28" s="323">
        <f t="shared" si="37"/>
        <v>2040.0000000000002</v>
      </c>
      <c r="AT28" s="323">
        <f t="shared" si="46"/>
        <v>5460</v>
      </c>
      <c r="AU28" s="323">
        <f t="shared" si="39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44129</v>
      </c>
      <c r="B29" s="64">
        <v>224</v>
      </c>
      <c r="C29" s="64">
        <v>230</v>
      </c>
      <c r="D29" s="45">
        <f t="shared" si="44"/>
        <v>3</v>
      </c>
      <c r="E29" s="45">
        <f t="shared" si="9"/>
        <v>25.14</v>
      </c>
      <c r="F29" s="64">
        <v>1648</v>
      </c>
      <c r="G29" s="52">
        <f t="shared" si="0"/>
        <v>0</v>
      </c>
      <c r="H29" s="64">
        <f t="shared" si="11"/>
        <v>357868</v>
      </c>
      <c r="I29" s="400">
        <f t="shared" si="1"/>
        <v>0</v>
      </c>
      <c r="J29" s="66">
        <f t="shared" si="12"/>
        <v>0</v>
      </c>
      <c r="K29" s="64">
        <v>2136</v>
      </c>
      <c r="L29" s="52">
        <f t="shared" si="2"/>
        <v>1</v>
      </c>
      <c r="M29" s="64">
        <v>156786</v>
      </c>
      <c r="N29" s="400">
        <f t="shared" si="3"/>
        <v>39</v>
      </c>
      <c r="O29" s="64">
        <f t="shared" si="13"/>
        <v>211.87499999999994</v>
      </c>
      <c r="P29" s="64">
        <v>1851</v>
      </c>
      <c r="Q29" s="64">
        <v>157076</v>
      </c>
      <c r="R29" s="399">
        <f t="shared" si="40"/>
        <v>109</v>
      </c>
      <c r="S29" s="52">
        <f t="shared" si="5"/>
        <v>1</v>
      </c>
      <c r="T29" s="67">
        <f t="shared" si="31"/>
        <v>0</v>
      </c>
      <c r="U29" s="406">
        <f t="shared" si="14"/>
        <v>2</v>
      </c>
      <c r="V29" s="62">
        <f t="shared" si="15"/>
        <v>148</v>
      </c>
      <c r="W29" s="404"/>
      <c r="X29" s="64">
        <f t="shared" si="17"/>
        <v>2448</v>
      </c>
      <c r="Y29" s="52">
        <f t="shared" si="18"/>
        <v>0</v>
      </c>
      <c r="Z29" s="64">
        <f t="shared" si="19"/>
        <v>137506</v>
      </c>
      <c r="AA29" s="65">
        <f t="shared" si="6"/>
        <v>0</v>
      </c>
      <c r="AB29" s="287">
        <f t="shared" si="45"/>
        <v>0</v>
      </c>
      <c r="AC29" s="64">
        <f t="shared" si="20"/>
        <v>1933</v>
      </c>
      <c r="AD29" s="45">
        <f t="shared" si="7"/>
        <v>0</v>
      </c>
      <c r="AE29" s="64">
        <f t="shared" si="21"/>
        <v>365212</v>
      </c>
      <c r="AF29" s="309">
        <f t="shared" si="22"/>
        <v>0</v>
      </c>
      <c r="AG29" s="210">
        <f t="shared" si="33"/>
        <v>0</v>
      </c>
      <c r="AH29" s="62">
        <f t="shared" si="34"/>
        <v>0</v>
      </c>
      <c r="AI29" s="321">
        <f t="shared" si="23"/>
        <v>148</v>
      </c>
      <c r="AJ29" s="321">
        <f>-tanks!AW30</f>
        <v>148</v>
      </c>
      <c r="AK29" s="321">
        <f t="shared" si="24"/>
        <v>0</v>
      </c>
      <c r="AL29" s="321">
        <f t="shared" si="8"/>
        <v>2</v>
      </c>
      <c r="AM29" s="321">
        <f t="shared" si="25"/>
        <v>0</v>
      </c>
      <c r="AN29" s="64">
        <f t="shared" si="35"/>
        <v>62</v>
      </c>
      <c r="AO29" s="323">
        <f t="shared" si="48"/>
        <v>1860</v>
      </c>
      <c r="AP29" s="64">
        <f t="shared" si="36"/>
        <v>52</v>
      </c>
      <c r="AQ29" s="323">
        <f t="shared" si="47"/>
        <v>1560</v>
      </c>
      <c r="AR29" s="64">
        <f t="shared" si="28"/>
        <v>68</v>
      </c>
      <c r="AS29" s="323">
        <f t="shared" si="37"/>
        <v>2040.0000000000002</v>
      </c>
      <c r="AT29" s="323">
        <f>SUM(AO29+AQ29+AS29)</f>
        <v>5460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44130</v>
      </c>
      <c r="B30" s="64">
        <v>221</v>
      </c>
      <c r="C30" s="64">
        <v>227.2</v>
      </c>
      <c r="D30" s="45">
        <f t="shared" si="44"/>
        <v>2.8000000000000114</v>
      </c>
      <c r="E30" s="45">
        <f t="shared" si="9"/>
        <v>23.464000000000098</v>
      </c>
      <c r="F30" s="64">
        <v>1648</v>
      </c>
      <c r="G30" s="52">
        <f t="shared" si="0"/>
        <v>0</v>
      </c>
      <c r="H30" s="64">
        <f t="shared" si="11"/>
        <v>357868</v>
      </c>
      <c r="I30" s="400">
        <f t="shared" si="1"/>
        <v>0</v>
      </c>
      <c r="J30" s="66">
        <f t="shared" si="12"/>
        <v>0</v>
      </c>
      <c r="K30" s="64">
        <v>2138</v>
      </c>
      <c r="L30" s="52">
        <f t="shared" si="2"/>
        <v>2</v>
      </c>
      <c r="M30" s="64">
        <v>156945</v>
      </c>
      <c r="N30" s="400">
        <f t="shared" si="3"/>
        <v>159</v>
      </c>
      <c r="O30" s="64">
        <f t="shared" si="13"/>
        <v>211.87499999999994</v>
      </c>
      <c r="P30" s="64">
        <v>1851</v>
      </c>
      <c r="Q30" s="64">
        <v>157076</v>
      </c>
      <c r="R30" s="399">
        <f t="shared" si="40"/>
        <v>0</v>
      </c>
      <c r="S30" s="52">
        <f t="shared" si="5"/>
        <v>0</v>
      </c>
      <c r="T30" s="67">
        <f t="shared" si="31"/>
        <v>0</v>
      </c>
      <c r="U30" s="406">
        <f t="shared" si="14"/>
        <v>2</v>
      </c>
      <c r="V30" s="62">
        <f t="shared" si="15"/>
        <v>159</v>
      </c>
      <c r="W30" s="404"/>
      <c r="X30" s="64">
        <f t="shared" si="17"/>
        <v>2448</v>
      </c>
      <c r="Y30" s="52">
        <f t="shared" si="18"/>
        <v>0</v>
      </c>
      <c r="Z30" s="64">
        <f t="shared" si="19"/>
        <v>137506</v>
      </c>
      <c r="AA30" s="65">
        <f t="shared" si="6"/>
        <v>0</v>
      </c>
      <c r="AB30" s="287">
        <f t="shared" si="45"/>
        <v>0</v>
      </c>
      <c r="AC30" s="64">
        <f t="shared" si="20"/>
        <v>1933</v>
      </c>
      <c r="AD30" s="45">
        <f t="shared" si="7"/>
        <v>0</v>
      </c>
      <c r="AE30" s="64">
        <f t="shared" si="21"/>
        <v>365212</v>
      </c>
      <c r="AF30" s="309">
        <f t="shared" si="22"/>
        <v>0</v>
      </c>
      <c r="AG30" s="210">
        <f t="shared" si="33"/>
        <v>0</v>
      </c>
      <c r="AH30" s="62">
        <f t="shared" si="34"/>
        <v>0</v>
      </c>
      <c r="AI30" s="321">
        <f t="shared" si="23"/>
        <v>159</v>
      </c>
      <c r="AJ30" s="321">
        <f>-tanks!AW31</f>
        <v>159</v>
      </c>
      <c r="AK30" s="321">
        <f t="shared" si="24"/>
        <v>0</v>
      </c>
      <c r="AL30" s="321">
        <f t="shared" si="8"/>
        <v>2</v>
      </c>
      <c r="AM30" s="321">
        <f t="shared" si="25"/>
        <v>0</v>
      </c>
      <c r="AN30" s="64">
        <f t="shared" si="35"/>
        <v>62</v>
      </c>
      <c r="AO30" s="323">
        <f t="shared" si="48"/>
        <v>1860</v>
      </c>
      <c r="AP30" s="64">
        <f t="shared" si="36"/>
        <v>52</v>
      </c>
      <c r="AQ30" s="323">
        <f t="shared" si="47"/>
        <v>1560</v>
      </c>
      <c r="AR30" s="64">
        <f t="shared" si="28"/>
        <v>68</v>
      </c>
      <c r="AS30" s="323">
        <f t="shared" si="37"/>
        <v>2040.0000000000002</v>
      </c>
      <c r="AT30" s="323">
        <f t="shared" si="46"/>
        <v>5460</v>
      </c>
      <c r="AU30" s="323">
        <f t="shared" si="39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44131</v>
      </c>
      <c r="B31" s="64">
        <v>217</v>
      </c>
      <c r="C31" s="64">
        <v>223</v>
      </c>
      <c r="D31" s="45">
        <f t="shared" si="44"/>
        <v>4.1999999999999886</v>
      </c>
      <c r="E31" s="45">
        <f t="shared" si="9"/>
        <v>35.195999999999906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0">
        <f t="shared" si="1"/>
        <v>0</v>
      </c>
      <c r="J31" s="66">
        <f t="shared" si="12"/>
        <v>0</v>
      </c>
      <c r="K31" s="64">
        <v>2140</v>
      </c>
      <c r="L31" s="52">
        <f t="shared" si="2"/>
        <v>2</v>
      </c>
      <c r="M31" s="64">
        <v>157110</v>
      </c>
      <c r="N31" s="400">
        <f t="shared" si="3"/>
        <v>165</v>
      </c>
      <c r="O31" s="64">
        <f t="shared" si="13"/>
        <v>211.87499999999994</v>
      </c>
      <c r="P31" s="64">
        <f t="shared" si="13"/>
        <v>1851</v>
      </c>
      <c r="Q31" s="64">
        <f t="shared" si="13"/>
        <v>157076</v>
      </c>
      <c r="R31" s="399">
        <f t="shared" si="40"/>
        <v>0</v>
      </c>
      <c r="S31" s="52">
        <f t="shared" si="5"/>
        <v>0</v>
      </c>
      <c r="T31" s="67">
        <f t="shared" si="31"/>
        <v>0</v>
      </c>
      <c r="U31" s="406">
        <f t="shared" si="14"/>
        <v>2</v>
      </c>
      <c r="V31" s="62">
        <f t="shared" si="15"/>
        <v>165</v>
      </c>
      <c r="W31" s="404"/>
      <c r="X31" s="64">
        <f t="shared" si="17"/>
        <v>2448</v>
      </c>
      <c r="Y31" s="52">
        <f t="shared" si="18"/>
        <v>0</v>
      </c>
      <c r="Z31" s="64">
        <f t="shared" si="19"/>
        <v>137506</v>
      </c>
      <c r="AA31" s="65">
        <f t="shared" si="6"/>
        <v>0</v>
      </c>
      <c r="AB31" s="287">
        <f t="shared" si="45"/>
        <v>0</v>
      </c>
      <c r="AC31" s="64">
        <f t="shared" si="20"/>
        <v>1933</v>
      </c>
      <c r="AD31" s="271">
        <f t="shared" si="7"/>
        <v>0</v>
      </c>
      <c r="AE31" s="64">
        <f t="shared" si="21"/>
        <v>365212</v>
      </c>
      <c r="AF31" s="309">
        <f t="shared" si="22"/>
        <v>0</v>
      </c>
      <c r="AG31" s="210">
        <f t="shared" si="33"/>
        <v>0</v>
      </c>
      <c r="AH31" s="62">
        <f t="shared" si="34"/>
        <v>0</v>
      </c>
      <c r="AI31" s="321">
        <f t="shared" si="23"/>
        <v>165</v>
      </c>
      <c r="AJ31" s="321">
        <f>-tanks!AW32</f>
        <v>165</v>
      </c>
      <c r="AK31" s="321">
        <f t="shared" si="24"/>
        <v>0</v>
      </c>
      <c r="AL31" s="321">
        <f t="shared" si="8"/>
        <v>2</v>
      </c>
      <c r="AM31" s="321">
        <f t="shared" si="25"/>
        <v>0</v>
      </c>
      <c r="AN31" s="64">
        <f t="shared" si="35"/>
        <v>62</v>
      </c>
      <c r="AO31" s="323">
        <f t="shared" si="48"/>
        <v>1860</v>
      </c>
      <c r="AP31" s="64">
        <f t="shared" si="36"/>
        <v>52</v>
      </c>
      <c r="AQ31" s="323">
        <f t="shared" si="47"/>
        <v>1560</v>
      </c>
      <c r="AR31" s="64">
        <f t="shared" si="28"/>
        <v>68</v>
      </c>
      <c r="AS31" s="323">
        <f t="shared" si="37"/>
        <v>2040.0000000000002</v>
      </c>
      <c r="AT31" s="323">
        <f t="shared" si="46"/>
        <v>5460</v>
      </c>
      <c r="AU31" s="323">
        <f t="shared" si="39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44132</v>
      </c>
      <c r="B32" s="64">
        <v>250</v>
      </c>
      <c r="C32" s="64">
        <v>256</v>
      </c>
      <c r="D32" s="45">
        <f t="shared" si="30"/>
        <v>-33</v>
      </c>
      <c r="E32" s="45">
        <f t="shared" ref="E32:E34" si="49">D32*8.38</f>
        <v>-276.54000000000002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0">
        <f t="shared" si="1"/>
        <v>0</v>
      </c>
      <c r="J32" s="66">
        <f t="shared" si="12"/>
        <v>0</v>
      </c>
      <c r="K32" s="64">
        <v>2141</v>
      </c>
      <c r="L32" s="52">
        <f t="shared" si="2"/>
        <v>1</v>
      </c>
      <c r="M32" s="64">
        <v>157153</v>
      </c>
      <c r="N32" s="400">
        <f t="shared" si="3"/>
        <v>43</v>
      </c>
      <c r="O32" s="64">
        <f t="shared" si="13"/>
        <v>211.87499999999994</v>
      </c>
      <c r="P32" s="64">
        <v>1853</v>
      </c>
      <c r="Q32" s="64">
        <v>157205</v>
      </c>
      <c r="R32" s="399">
        <f t="shared" si="40"/>
        <v>129</v>
      </c>
      <c r="S32" s="52">
        <f t="shared" si="5"/>
        <v>2</v>
      </c>
      <c r="T32" s="67">
        <f t="shared" si="31"/>
        <v>0</v>
      </c>
      <c r="U32" s="406">
        <f t="shared" si="14"/>
        <v>3</v>
      </c>
      <c r="V32" s="62">
        <f t="shared" si="15"/>
        <v>172</v>
      </c>
      <c r="W32" s="404"/>
      <c r="X32" s="64">
        <f t="shared" si="17"/>
        <v>2448</v>
      </c>
      <c r="Y32" s="52">
        <f t="shared" si="18"/>
        <v>0</v>
      </c>
      <c r="Z32" s="64">
        <f t="shared" si="19"/>
        <v>137506</v>
      </c>
      <c r="AA32" s="65">
        <f t="shared" si="6"/>
        <v>0</v>
      </c>
      <c r="AB32" s="287">
        <f t="shared" si="45"/>
        <v>0</v>
      </c>
      <c r="AC32" s="64">
        <f t="shared" si="20"/>
        <v>1933</v>
      </c>
      <c r="AD32" s="271">
        <f t="shared" si="7"/>
        <v>0</v>
      </c>
      <c r="AE32" s="64">
        <f t="shared" si="21"/>
        <v>365212</v>
      </c>
      <c r="AF32" s="309">
        <f t="shared" si="22"/>
        <v>0</v>
      </c>
      <c r="AG32" s="210">
        <f t="shared" si="33"/>
        <v>0</v>
      </c>
      <c r="AH32" s="62">
        <f t="shared" si="34"/>
        <v>0</v>
      </c>
      <c r="AI32" s="321">
        <f t="shared" si="23"/>
        <v>172</v>
      </c>
      <c r="AJ32" s="321">
        <f>-tanks!AW33</f>
        <v>172</v>
      </c>
      <c r="AK32" s="321">
        <f t="shared" si="24"/>
        <v>0</v>
      </c>
      <c r="AL32" s="321">
        <f t="shared" si="8"/>
        <v>3</v>
      </c>
      <c r="AM32" s="321">
        <f t="shared" si="25"/>
        <v>0</v>
      </c>
      <c r="AN32" s="64">
        <f t="shared" si="35"/>
        <v>62</v>
      </c>
      <c r="AO32" s="323">
        <f t="shared" si="48"/>
        <v>1860</v>
      </c>
      <c r="AP32" s="64">
        <f t="shared" si="36"/>
        <v>52</v>
      </c>
      <c r="AQ32" s="323">
        <f t="shared" si="47"/>
        <v>1560</v>
      </c>
      <c r="AR32" s="64">
        <f t="shared" si="28"/>
        <v>68</v>
      </c>
      <c r="AS32" s="323">
        <f t="shared" si="37"/>
        <v>2040.0000000000002</v>
      </c>
      <c r="AT32" s="323">
        <f t="shared" si="46"/>
        <v>5460</v>
      </c>
      <c r="AU32" s="323">
        <f t="shared" si="39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44133</v>
      </c>
      <c r="B33" s="64">
        <v>247</v>
      </c>
      <c r="C33" s="64">
        <v>253</v>
      </c>
      <c r="D33" s="45">
        <f t="shared" si="30"/>
        <v>3</v>
      </c>
      <c r="E33" s="45">
        <f t="shared" si="49"/>
        <v>25.14</v>
      </c>
      <c r="F33" s="64">
        <v>1648</v>
      </c>
      <c r="G33" s="52">
        <f t="shared" si="0"/>
        <v>0</v>
      </c>
      <c r="H33" s="64">
        <f t="shared" si="11"/>
        <v>357868</v>
      </c>
      <c r="I33" s="400">
        <f t="shared" si="1"/>
        <v>0</v>
      </c>
      <c r="J33" s="66">
        <f t="shared" si="12"/>
        <v>0</v>
      </c>
      <c r="K33" s="64">
        <v>2143</v>
      </c>
      <c r="L33" s="52">
        <f t="shared" si="2"/>
        <v>2</v>
      </c>
      <c r="M33" s="64">
        <v>157318</v>
      </c>
      <c r="N33" s="400">
        <f t="shared" si="3"/>
        <v>165</v>
      </c>
      <c r="O33" s="64">
        <f t="shared" si="13"/>
        <v>211.87499999999994</v>
      </c>
      <c r="P33" s="64">
        <v>1853</v>
      </c>
      <c r="Q33" s="64">
        <v>157205</v>
      </c>
      <c r="R33" s="399">
        <f t="shared" si="40"/>
        <v>0</v>
      </c>
      <c r="S33" s="52">
        <f t="shared" si="5"/>
        <v>0</v>
      </c>
      <c r="T33" s="67">
        <f t="shared" si="31"/>
        <v>0</v>
      </c>
      <c r="U33" s="406">
        <f t="shared" si="14"/>
        <v>2</v>
      </c>
      <c r="V33" s="62">
        <f t="shared" si="15"/>
        <v>165</v>
      </c>
      <c r="W33" s="404"/>
      <c r="X33" s="64">
        <v>2448</v>
      </c>
      <c r="Y33" s="52">
        <f t="shared" si="18"/>
        <v>0</v>
      </c>
      <c r="Z33" s="64">
        <f t="shared" si="19"/>
        <v>137506</v>
      </c>
      <c r="AA33" s="65">
        <f t="shared" si="6"/>
        <v>0</v>
      </c>
      <c r="AB33" s="287">
        <f t="shared" si="45"/>
        <v>0</v>
      </c>
      <c r="AC33" s="64">
        <f t="shared" si="20"/>
        <v>1933</v>
      </c>
      <c r="AD33" s="45">
        <f t="shared" si="7"/>
        <v>0</v>
      </c>
      <c r="AE33" s="64">
        <f t="shared" si="21"/>
        <v>365212</v>
      </c>
      <c r="AF33" s="309">
        <f t="shared" si="22"/>
        <v>0</v>
      </c>
      <c r="AG33" s="210">
        <f t="shared" si="33"/>
        <v>0</v>
      </c>
      <c r="AH33" s="62">
        <f t="shared" si="34"/>
        <v>0</v>
      </c>
      <c r="AI33" s="321">
        <f t="shared" si="23"/>
        <v>165</v>
      </c>
      <c r="AJ33" s="321">
        <f>-tanks!AW34</f>
        <v>165</v>
      </c>
      <c r="AK33" s="321">
        <f t="shared" si="24"/>
        <v>0</v>
      </c>
      <c r="AL33" s="321">
        <f t="shared" si="8"/>
        <v>2</v>
      </c>
      <c r="AM33" s="321">
        <f t="shared" si="25"/>
        <v>0</v>
      </c>
      <c r="AN33" s="64">
        <f t="shared" si="35"/>
        <v>62</v>
      </c>
      <c r="AO33" s="323">
        <f t="shared" si="48"/>
        <v>1860</v>
      </c>
      <c r="AP33" s="64">
        <f t="shared" si="36"/>
        <v>52</v>
      </c>
      <c r="AQ33" s="323">
        <f t="shared" si="47"/>
        <v>1560</v>
      </c>
      <c r="AR33" s="64">
        <f t="shared" si="28"/>
        <v>68</v>
      </c>
      <c r="AS33" s="323">
        <f t="shared" si="37"/>
        <v>2040.0000000000002</v>
      </c>
      <c r="AT33" s="323">
        <f t="shared" si="46"/>
        <v>5460</v>
      </c>
      <c r="AU33" s="323">
        <f t="shared" si="39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44134</v>
      </c>
      <c r="B34" s="64">
        <f t="shared" ref="B34" si="50">B33</f>
        <v>247</v>
      </c>
      <c r="C34" s="64">
        <f t="shared" ref="C34" si="51">C33</f>
        <v>253</v>
      </c>
      <c r="D34" s="45">
        <f t="shared" si="30"/>
        <v>0</v>
      </c>
      <c r="E34" s="45">
        <f t="shared" si="49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0">
        <f t="shared" si="1"/>
        <v>0</v>
      </c>
      <c r="J34" s="66">
        <f t="shared" si="12"/>
        <v>0</v>
      </c>
      <c r="K34" s="64">
        <f t="shared" si="41"/>
        <v>2143</v>
      </c>
      <c r="L34" s="52">
        <f t="shared" si="2"/>
        <v>0</v>
      </c>
      <c r="M34" s="64">
        <f t="shared" si="42"/>
        <v>157318</v>
      </c>
      <c r="N34" s="400">
        <f t="shared" si="3"/>
        <v>0</v>
      </c>
      <c r="O34" s="64">
        <f t="shared" si="13"/>
        <v>211.87499999999994</v>
      </c>
      <c r="P34" s="64">
        <f t="shared" si="13"/>
        <v>1853</v>
      </c>
      <c r="Q34" s="64">
        <f t="shared" si="13"/>
        <v>157205</v>
      </c>
      <c r="R34" s="399">
        <f t="shared" si="40"/>
        <v>0</v>
      </c>
      <c r="S34" s="52">
        <f t="shared" si="5"/>
        <v>0</v>
      </c>
      <c r="T34" s="67">
        <f t="shared" si="31"/>
        <v>0</v>
      </c>
      <c r="U34" s="406">
        <f t="shared" si="14"/>
        <v>0</v>
      </c>
      <c r="V34" s="62">
        <f t="shared" si="15"/>
        <v>0</v>
      </c>
      <c r="W34" s="404"/>
      <c r="X34" s="64">
        <f t="shared" si="17"/>
        <v>2448</v>
      </c>
      <c r="Y34" s="52">
        <f t="shared" si="18"/>
        <v>0</v>
      </c>
      <c r="Z34" s="64">
        <f t="shared" si="19"/>
        <v>137506</v>
      </c>
      <c r="AA34" s="65">
        <f t="shared" si="6"/>
        <v>0</v>
      </c>
      <c r="AB34" s="287">
        <f t="shared" si="45"/>
        <v>0</v>
      </c>
      <c r="AC34" s="64">
        <f t="shared" si="20"/>
        <v>1933</v>
      </c>
      <c r="AD34" s="45">
        <f t="shared" si="7"/>
        <v>0</v>
      </c>
      <c r="AE34" s="64">
        <f t="shared" si="21"/>
        <v>365212</v>
      </c>
      <c r="AF34" s="309">
        <f t="shared" si="22"/>
        <v>0</v>
      </c>
      <c r="AG34" s="210">
        <f t="shared" si="33"/>
        <v>0</v>
      </c>
      <c r="AH34" s="62">
        <f t="shared" si="34"/>
        <v>0</v>
      </c>
      <c r="AI34" s="321">
        <f t="shared" si="23"/>
        <v>0</v>
      </c>
      <c r="AJ34" s="321">
        <f>-tanks!AW35</f>
        <v>0</v>
      </c>
      <c r="AK34" s="321">
        <f t="shared" si="24"/>
        <v>0</v>
      </c>
      <c r="AL34" s="321">
        <f t="shared" si="8"/>
        <v>0</v>
      </c>
      <c r="AM34" s="321">
        <f>Y34+AD34</f>
        <v>0</v>
      </c>
      <c r="AN34" s="64">
        <f t="shared" si="35"/>
        <v>62</v>
      </c>
      <c r="AO34" s="323">
        <f t="shared" si="48"/>
        <v>1860</v>
      </c>
      <c r="AP34" s="64">
        <f t="shared" si="36"/>
        <v>52</v>
      </c>
      <c r="AQ34" s="323">
        <f t="shared" si="47"/>
        <v>1560</v>
      </c>
      <c r="AR34" s="64">
        <f t="shared" si="28"/>
        <v>68</v>
      </c>
      <c r="AS34" s="323">
        <f t="shared" si="37"/>
        <v>2040.0000000000002</v>
      </c>
      <c r="AT34" s="323">
        <f t="shared" si="46"/>
        <v>5460</v>
      </c>
      <c r="AU34" s="323">
        <f t="shared" si="39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44135</v>
      </c>
      <c r="B35" s="64">
        <v>245</v>
      </c>
      <c r="C35" s="64">
        <v>251</v>
      </c>
      <c r="D35" s="45">
        <f t="shared" ref="D35" si="52">C34-C35</f>
        <v>2</v>
      </c>
      <c r="E35" s="45">
        <f t="shared" ref="E35" si="53">D35*8.38</f>
        <v>16.760000000000002</v>
      </c>
      <c r="F35" s="64">
        <f t="shared" si="10"/>
        <v>1648</v>
      </c>
      <c r="G35" s="52">
        <f t="shared" ref="G35" si="54">F35-F34</f>
        <v>0</v>
      </c>
      <c r="H35" s="64">
        <f t="shared" si="11"/>
        <v>357868</v>
      </c>
      <c r="I35" s="400">
        <f t="shared" ref="I35" si="55">SUM(H35-H34)</f>
        <v>0</v>
      </c>
      <c r="J35" s="66">
        <f t="shared" ref="J35" si="56">IF(G35&gt;0,I35/G35,0)</f>
        <v>0</v>
      </c>
      <c r="K35" s="64">
        <v>2145</v>
      </c>
      <c r="L35" s="52">
        <f t="shared" ref="L35" si="57">K35-K34</f>
        <v>2</v>
      </c>
      <c r="M35" s="64">
        <v>157451</v>
      </c>
      <c r="N35" s="400">
        <f t="shared" ref="N35" si="58">M35-M34</f>
        <v>133</v>
      </c>
      <c r="O35" s="64">
        <f t="shared" si="13"/>
        <v>211.87499999999994</v>
      </c>
      <c r="P35" s="64">
        <f t="shared" si="13"/>
        <v>1853</v>
      </c>
      <c r="Q35" s="64">
        <f t="shared" si="13"/>
        <v>157205</v>
      </c>
      <c r="R35" s="399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6">
        <f t="shared" ref="U35" si="62">SUM(G35+L35+S35)</f>
        <v>2</v>
      </c>
      <c r="V35" s="62">
        <f t="shared" ref="V35" si="63">R35+N35+I35:I35</f>
        <v>133</v>
      </c>
      <c r="W35" s="404"/>
      <c r="X35" s="64">
        <f t="shared" si="17"/>
        <v>2448</v>
      </c>
      <c r="Y35" s="52">
        <f t="shared" ref="Y35" si="64">X35-X34</f>
        <v>0</v>
      </c>
      <c r="Z35" s="64">
        <f t="shared" si="19"/>
        <v>137506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20"/>
        <v>1933</v>
      </c>
      <c r="AD35" s="45">
        <f t="shared" ref="AD35" si="67">AC35-AC34</f>
        <v>0</v>
      </c>
      <c r="AE35" s="64">
        <f t="shared" si="21"/>
        <v>365212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3"/>
        <v>133</v>
      </c>
      <c r="AJ35" s="321">
        <f>-tanks!AW36</f>
        <v>133</v>
      </c>
      <c r="AK35" s="321">
        <f t="shared" ref="AK35" si="71">SUM(AJ35-AI35)</f>
        <v>0</v>
      </c>
      <c r="AL35" s="321">
        <f t="shared" si="8"/>
        <v>2</v>
      </c>
      <c r="AM35" s="321">
        <f>Y35+AD35</f>
        <v>0</v>
      </c>
      <c r="AN35" s="64">
        <f t="shared" si="35"/>
        <v>62</v>
      </c>
      <c r="AO35" s="323">
        <f t="shared" ref="AO35" si="72">(AN35/100)*3000</f>
        <v>1860</v>
      </c>
      <c r="AP35" s="64">
        <f t="shared" si="36"/>
        <v>52</v>
      </c>
      <c r="AQ35" s="323">
        <f t="shared" ref="AQ35" si="73">(AP35/100)*3000</f>
        <v>1560</v>
      </c>
      <c r="AR35" s="64">
        <f t="shared" si="28"/>
        <v>68</v>
      </c>
      <c r="AS35" s="323">
        <f t="shared" ref="AS35" si="74">(AR35/100)*3000</f>
        <v>2040.0000000000002</v>
      </c>
      <c r="AT35" s="323">
        <f t="shared" ref="AT35" si="75">SUM(AO35+AQ35+AS35)</f>
        <v>5460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1</v>
      </c>
      <c r="V36" s="62">
        <f>SUM(V5:V35)</f>
        <v>3742</v>
      </c>
      <c r="AE36" s="71" t="s">
        <v>385</v>
      </c>
      <c r="AG36" s="348"/>
      <c r="AH36" s="62">
        <f>SUM(AH5:AH35)</f>
        <v>1.7999999999883585</v>
      </c>
      <c r="AL36" s="62">
        <f>SUM(AL5:AL35)</f>
        <v>49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1</v>
      </c>
      <c r="AT36" s="316"/>
      <c r="AU36" s="316">
        <f>SUM(AU5:AU34)</f>
        <v>-30</v>
      </c>
      <c r="AV36" s="71">
        <f>SUM(AV5:AV34)</f>
        <v>0</v>
      </c>
      <c r="AW36" s="316">
        <f>SUM(AW5:AW34)/AS36</f>
        <v>0.1</v>
      </c>
    </row>
    <row r="37" spans="1:50">
      <c r="AH37" s="62">
        <f>AF37+AA37</f>
        <v>0</v>
      </c>
      <c r="AI37" s="324">
        <f>SUM(AI5:AI34)</f>
        <v>3610.7999999999884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-15.3</v>
      </c>
      <c r="AV38" s="316">
        <f>AV36/0.51</f>
        <v>0</v>
      </c>
      <c r="AW38" s="316">
        <f>SUM(AW5:AW34)/AS36</f>
        <v>0.1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1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H1" zoomScaleNormal="100" workbookViewId="0">
      <pane ySplit="3" topLeftCell="A29" activePane="bottomLeft" state="frozen"/>
      <selection pane="bottomLeft" activeCell="BA35" sqref="BA3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500" customWidth="1"/>
    <col min="14" max="14" width="10.7109375" style="502" customWidth="1"/>
    <col min="15" max="15" width="11.140625" style="500" customWidth="1"/>
    <col min="16" max="16" width="11.140625" style="502" customWidth="1"/>
    <col min="17" max="17" width="17.28515625" style="500" customWidth="1"/>
    <col min="18" max="18" width="10.85546875" style="500" customWidth="1"/>
    <col min="19" max="19" width="10.7109375" style="500" customWidth="1"/>
    <col min="20" max="20" width="13.28515625" style="410" customWidth="1"/>
    <col min="21" max="21" width="8.7109375" style="414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3" customFormat="1" ht="15.75" thickBot="1">
      <c r="B1" s="364"/>
      <c r="C1" s="364"/>
      <c r="D1" s="421">
        <f>SUM(G21:G35)</f>
        <v>9149489</v>
      </c>
      <c r="E1" s="365"/>
      <c r="F1" s="365"/>
      <c r="G1" s="364"/>
      <c r="H1" s="364"/>
      <c r="I1" s="364"/>
      <c r="J1" s="365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4"/>
      <c r="AR1" s="367" t="s">
        <v>92</v>
      </c>
      <c r="AS1" s="368"/>
      <c r="AT1" s="368" t="s">
        <v>60</v>
      </c>
      <c r="AU1" s="368"/>
      <c r="AV1" s="369" t="s">
        <v>61</v>
      </c>
    </row>
    <row r="2" spans="1:65" s="363" customFormat="1" ht="15.75" customHeight="1" thickBot="1">
      <c r="B2" s="364"/>
      <c r="C2" s="364"/>
      <c r="D2" s="364"/>
      <c r="E2" s="365"/>
      <c r="F2" s="365"/>
      <c r="G2" s="364"/>
      <c r="H2" s="364"/>
      <c r="I2" s="364"/>
      <c r="J2" s="365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70"/>
      <c r="BE2" s="371"/>
    </row>
    <row r="3" spans="1:65" s="363" customFormat="1" ht="48" customHeight="1" thickBot="1">
      <c r="A3" s="372" t="s">
        <v>51</v>
      </c>
      <c r="B3" s="373" t="s">
        <v>52</v>
      </c>
      <c r="C3" s="373" t="s">
        <v>53</v>
      </c>
      <c r="D3" s="373" t="s">
        <v>54</v>
      </c>
      <c r="E3" s="374"/>
      <c r="F3" s="375" t="s">
        <v>80</v>
      </c>
      <c r="G3" s="373" t="s">
        <v>55</v>
      </c>
      <c r="H3" s="373" t="s">
        <v>56</v>
      </c>
      <c r="I3" s="373" t="s">
        <v>100</v>
      </c>
      <c r="J3" s="374"/>
      <c r="K3" s="373" t="s">
        <v>394</v>
      </c>
      <c r="L3" s="376" t="s">
        <v>329</v>
      </c>
      <c r="M3" s="519" t="s">
        <v>401</v>
      </c>
      <c r="N3" s="520"/>
      <c r="O3" s="521" t="s">
        <v>402</v>
      </c>
      <c r="P3" s="521"/>
      <c r="Q3" s="521" t="s">
        <v>398</v>
      </c>
      <c r="R3" s="521" t="s">
        <v>400</v>
      </c>
      <c r="S3" s="521" t="s">
        <v>399</v>
      </c>
      <c r="T3" s="373" t="s">
        <v>382</v>
      </c>
      <c r="U3" s="373" t="s">
        <v>384</v>
      </c>
      <c r="V3" s="377" t="s">
        <v>333</v>
      </c>
      <c r="W3" s="378" t="s">
        <v>334</v>
      </c>
      <c r="X3" s="377" t="s">
        <v>337</v>
      </c>
      <c r="Y3" s="378" t="s">
        <v>338</v>
      </c>
      <c r="Z3" s="379" t="s">
        <v>339</v>
      </c>
      <c r="AA3" s="380" t="s">
        <v>397</v>
      </c>
      <c r="AB3" s="448" t="s">
        <v>396</v>
      </c>
      <c r="AC3" s="446" t="s">
        <v>395</v>
      </c>
      <c r="AD3" s="446"/>
      <c r="AE3" s="381" t="s">
        <v>406</v>
      </c>
      <c r="AF3" s="381" t="s">
        <v>407</v>
      </c>
      <c r="AG3" s="381" t="s">
        <v>408</v>
      </c>
      <c r="AH3" s="381" t="s">
        <v>409</v>
      </c>
      <c r="AI3" s="380" t="s">
        <v>410</v>
      </c>
      <c r="AJ3" s="380" t="s">
        <v>340</v>
      </c>
      <c r="AK3" s="381" t="s">
        <v>342</v>
      </c>
      <c r="AL3" s="381" t="s">
        <v>341</v>
      </c>
      <c r="AM3" s="382" t="s">
        <v>125</v>
      </c>
      <c r="AN3" s="637" t="s">
        <v>126</v>
      </c>
      <c r="AO3" s="638"/>
      <c r="AP3" s="639"/>
      <c r="AR3" s="383" t="s">
        <v>51</v>
      </c>
      <c r="AS3" s="384"/>
      <c r="AT3" s="383" t="s">
        <v>94</v>
      </c>
      <c r="AU3" s="384"/>
      <c r="AV3" s="385" t="s">
        <v>57</v>
      </c>
      <c r="AW3" s="386"/>
      <c r="AX3" s="384" t="s">
        <v>59</v>
      </c>
      <c r="AY3" s="387" t="s">
        <v>93</v>
      </c>
      <c r="AZ3" s="385" t="s">
        <v>57</v>
      </c>
      <c r="BA3" s="388" t="s">
        <v>59</v>
      </c>
      <c r="BB3" s="389" t="s">
        <v>57</v>
      </c>
      <c r="BC3" s="389" t="s">
        <v>58</v>
      </c>
      <c r="BD3" s="390" t="s">
        <v>59</v>
      </c>
      <c r="BE3" s="391" t="s">
        <v>99</v>
      </c>
      <c r="BF3" s="390" t="s">
        <v>97</v>
      </c>
      <c r="BG3" s="392"/>
      <c r="BI3" s="393"/>
      <c r="BJ3" s="393"/>
      <c r="BK3" s="393"/>
      <c r="BL3" s="393"/>
      <c r="BM3" s="393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2"/>
      <c r="N4" s="522"/>
      <c r="O4" s="522"/>
      <c r="P4" s="522"/>
      <c r="Q4" s="522"/>
      <c r="R4" s="522"/>
      <c r="S4" s="522"/>
      <c r="T4" s="83"/>
      <c r="U4" s="83"/>
      <c r="V4" s="326"/>
      <c r="W4" s="327"/>
      <c r="X4" s="326"/>
      <c r="Y4" s="327"/>
      <c r="Z4" s="328"/>
      <c r="AA4" s="447"/>
      <c r="AB4" s="449"/>
      <c r="AC4" s="447"/>
      <c r="AD4" s="447"/>
      <c r="AE4" s="447"/>
      <c r="AF4" s="447"/>
      <c r="AG4" s="447"/>
      <c r="AH4" s="447"/>
      <c r="AI4" s="447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44104</v>
      </c>
      <c r="B5" s="415">
        <f>[2]WATER!B35</f>
        <v>109096</v>
      </c>
      <c r="C5" s="415">
        <f>[2]WATER!C35</f>
        <v>0</v>
      </c>
      <c r="D5" s="415">
        <f>[2]WATER!D35</f>
        <v>0</v>
      </c>
      <c r="E5" s="415">
        <f>[2]WATER!E35</f>
        <v>250</v>
      </c>
      <c r="F5" s="415">
        <f>[2]WATER!F35</f>
        <v>0</v>
      </c>
      <c r="G5" s="415">
        <f>[2]WATER!G35</f>
        <v>608742</v>
      </c>
      <c r="H5" s="415">
        <f>[2]WATER!H35</f>
        <v>0</v>
      </c>
      <c r="I5" s="415">
        <f>[2]WATER!I35</f>
        <v>0</v>
      </c>
      <c r="J5" s="415">
        <f>[2]WATER!J35</f>
        <v>0</v>
      </c>
      <c r="K5" s="415">
        <f>[2]WATER!K35</f>
        <v>6555</v>
      </c>
      <c r="L5" s="415">
        <f>[2]WATER!L35</f>
        <v>0</v>
      </c>
      <c r="M5" s="415">
        <f>[2]WATER!M35</f>
        <v>457.44</v>
      </c>
      <c r="N5" s="415">
        <f>[2]WATER!N35</f>
        <v>0</v>
      </c>
      <c r="O5" s="415">
        <f>[2]WATER!O35</f>
        <v>529.52</v>
      </c>
      <c r="P5" s="415">
        <f>[2]WATER!P35</f>
        <v>0</v>
      </c>
      <c r="Q5" s="415">
        <f>[2]WATER!Q35</f>
        <v>0</v>
      </c>
      <c r="R5" s="415">
        <f>[2]WATER!R35</f>
        <v>0</v>
      </c>
      <c r="S5" s="415">
        <f>[2]WATER!S35</f>
        <v>0</v>
      </c>
      <c r="T5" s="415">
        <v>5127</v>
      </c>
      <c r="U5" s="415">
        <f>[2]WATER!U35</f>
        <v>3</v>
      </c>
      <c r="V5" s="415">
        <f>[2]WATER!V35</f>
        <v>452</v>
      </c>
      <c r="W5" s="415">
        <f>[2]WATER!W35</f>
        <v>0</v>
      </c>
      <c r="X5" s="415">
        <f>[2]WATER!X35</f>
        <v>147647</v>
      </c>
      <c r="Y5" s="415">
        <f>[2]WATER!Y35</f>
        <v>60</v>
      </c>
      <c r="Z5" s="415">
        <f>[2]WATER!Z35</f>
        <v>97058</v>
      </c>
      <c r="AA5" s="415">
        <f>[2]WATER!AA35</f>
        <v>23</v>
      </c>
      <c r="AB5" s="415">
        <f>[2]WATER!AB35</f>
        <v>264</v>
      </c>
      <c r="AC5" s="415">
        <f>[2]WATER!AC35</f>
        <v>698</v>
      </c>
      <c r="AD5" s="415">
        <f>[2]WATER!AD35</f>
        <v>0</v>
      </c>
      <c r="AE5" s="415">
        <f>[2]WATER!AE35</f>
        <v>217.84</v>
      </c>
      <c r="AF5" s="415">
        <f>[2]WATER!AF35</f>
        <v>0</v>
      </c>
      <c r="AG5" s="415">
        <f>[2]WATER!AG35</f>
        <v>2176.58</v>
      </c>
      <c r="AH5" s="415">
        <f>[2]WATER!AH35</f>
        <v>0</v>
      </c>
      <c r="AI5" s="415">
        <f>[2]WATER!AI35</f>
        <v>0</v>
      </c>
      <c r="AJ5" s="415">
        <f>[2]WATER!AJ35</f>
        <v>23</v>
      </c>
      <c r="AK5" s="415">
        <f>[2]WATER!AK35</f>
        <v>60</v>
      </c>
      <c r="AL5" s="415">
        <f>[2]WATER!AL35</f>
        <v>23</v>
      </c>
      <c r="AM5" s="415">
        <f>[2]WATER!AM35</f>
        <v>28.5</v>
      </c>
      <c r="AN5" s="415">
        <f>[2]WATER!AN35</f>
        <v>0</v>
      </c>
      <c r="AO5" s="415">
        <f>[2]WATER!AO35</f>
        <v>0</v>
      </c>
      <c r="AP5" s="415">
        <f>[2]WATER!AP35</f>
        <v>0</v>
      </c>
      <c r="AQ5" s="415">
        <f>[2]WATER!AQ35</f>
        <v>0</v>
      </c>
      <c r="AR5" s="415">
        <f>[2]WATER!AR35</f>
        <v>44104</v>
      </c>
      <c r="AS5" s="415">
        <f>[2]WATER!AS35</f>
        <v>0.9</v>
      </c>
      <c r="AT5" s="415">
        <f>[2]WATER!AT35</f>
        <v>63</v>
      </c>
      <c r="AU5" s="415">
        <f>[2]WATER!AU35</f>
        <v>1.1000000000000001</v>
      </c>
      <c r="AV5" s="415">
        <f>[2]WATER!AV35</f>
        <v>41</v>
      </c>
      <c r="AW5" s="415">
        <f>[2]WATER!AW35</f>
        <v>2.9</v>
      </c>
      <c r="AX5" s="415">
        <f>[2]WATER!AX35</f>
        <v>44</v>
      </c>
      <c r="AY5" s="415">
        <f>[2]WATER!AY35</f>
        <v>56.7</v>
      </c>
      <c r="AZ5" s="415">
        <f>[2]WATER!AZ35</f>
        <v>45.1</v>
      </c>
      <c r="BA5" s="415">
        <f>[2]WATER!BA35</f>
        <v>127.6</v>
      </c>
      <c r="BB5" s="415">
        <f>[2]WATER!BB35</f>
        <v>-98.100000000000009</v>
      </c>
      <c r="BC5" s="415">
        <f>[2]WATER!BC35</f>
        <v>12.100000000000001</v>
      </c>
      <c r="BD5" s="415">
        <f>[2]WATER!BD35</f>
        <v>31.899999999999991</v>
      </c>
      <c r="BE5" s="415">
        <f>[2]WATER!BE35</f>
        <v>-54.100000000000009</v>
      </c>
      <c r="BF5" s="415">
        <f>[2]WATER!BF35</f>
        <v>54.100000000000009</v>
      </c>
      <c r="BG5" s="415">
        <f>[2]WATER!BG35</f>
        <v>-54.100000000000009</v>
      </c>
    </row>
    <row r="6" spans="1:65" ht="15.75" thickBot="1">
      <c r="A6" s="6">
        <f>ELEC!C3</f>
        <v>44105</v>
      </c>
      <c r="B6" s="5">
        <f>B5</f>
        <v>109096</v>
      </c>
      <c r="C6" s="5">
        <f>B6-B5</f>
        <v>0</v>
      </c>
      <c r="D6" s="424">
        <f>C6/27</f>
        <v>0</v>
      </c>
      <c r="E6" s="336">
        <f>SUM((C6*$E$4)+(7500/'EDl log'!$A$38))</f>
        <v>241.93548387096774</v>
      </c>
      <c r="F6" s="423"/>
      <c r="G6" s="5">
        <f>G5</f>
        <v>608742</v>
      </c>
      <c r="H6" s="5">
        <f>G6-G5</f>
        <v>0</v>
      </c>
      <c r="I6" s="5">
        <f t="shared" ref="I6:I35" si="0">C6+H6</f>
        <v>0</v>
      </c>
      <c r="J6" s="337">
        <f t="shared" ref="J6:J35" si="1">IF(I6&gt;0,E6/I6,0)</f>
        <v>0</v>
      </c>
      <c r="K6" s="5">
        <v>6555</v>
      </c>
      <c r="L6" s="83">
        <v>0</v>
      </c>
      <c r="M6" s="415">
        <f>M5</f>
        <v>457.44</v>
      </c>
      <c r="N6" s="522">
        <f t="shared" ref="N6:N13" si="2">SUM(M6-M5)</f>
        <v>0</v>
      </c>
      <c r="O6" s="415">
        <f>O5</f>
        <v>529.52</v>
      </c>
      <c r="P6" s="522">
        <f t="shared" ref="P6:P13" si="3">SUM(O6-O5)</f>
        <v>0</v>
      </c>
      <c r="Q6" s="523">
        <f>P6+N6</f>
        <v>0</v>
      </c>
      <c r="R6" s="522"/>
      <c r="S6" s="522"/>
      <c r="T6" s="5">
        <f>T5</f>
        <v>5127</v>
      </c>
      <c r="U6" s="5">
        <f t="shared" ref="U6:U35" si="4">SUM(T6-T5)</f>
        <v>0</v>
      </c>
      <c r="V6" s="5">
        <f>V5</f>
        <v>452</v>
      </c>
      <c r="W6" s="327">
        <f>+V6-V5</f>
        <v>0</v>
      </c>
      <c r="X6" s="5">
        <f>X5</f>
        <v>147647</v>
      </c>
      <c r="Y6" s="327">
        <f>SUM(X6-X5)</f>
        <v>0</v>
      </c>
      <c r="Z6" s="5">
        <f>Z5</f>
        <v>97058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f>AE5</f>
        <v>217.84</v>
      </c>
      <c r="AF6" s="83">
        <f>AE6-AE5</f>
        <v>0</v>
      </c>
      <c r="AG6" s="5">
        <f>AG5</f>
        <v>2176.58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0</v>
      </c>
      <c r="AL6" s="330">
        <f>SUM(AJ6-W6)</f>
        <v>0</v>
      </c>
      <c r="AM6" s="330">
        <f>'General information '!D6</f>
        <v>27.5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44105</v>
      </c>
      <c r="AS6" s="429">
        <f t="shared" ref="AS6:AT21" si="6">AS5</f>
        <v>0.9</v>
      </c>
      <c r="AT6" s="202">
        <v>32</v>
      </c>
      <c r="AU6" s="430">
        <f>AU5</f>
        <v>1.1000000000000001</v>
      </c>
      <c r="AV6" s="202">
        <v>42</v>
      </c>
      <c r="AW6" s="5">
        <v>2.9</v>
      </c>
      <c r="AX6" s="202">
        <v>43</v>
      </c>
      <c r="AY6" s="433">
        <f t="shared" ref="AY6:AY35" si="7">AS6*AT6</f>
        <v>28.8</v>
      </c>
      <c r="AZ6" s="433">
        <f>AU6*AV6</f>
        <v>46.2</v>
      </c>
      <c r="BA6" s="433">
        <f>AW6*AX6</f>
        <v>124.7</v>
      </c>
      <c r="BB6" s="21">
        <f>AY6-AY5</f>
        <v>-27.900000000000002</v>
      </c>
      <c r="BC6" s="21">
        <f>AZ6-AZ5</f>
        <v>1.1000000000000014</v>
      </c>
      <c r="BD6" s="21">
        <f>BA6-BA5</f>
        <v>-2.8999999999999915</v>
      </c>
      <c r="BE6" s="24">
        <f>SUM(BB6:BD6)</f>
        <v>-29.699999999999992</v>
      </c>
      <c r="BF6" s="96">
        <f t="shared" ref="BF6:BF35" si="8">SUM(I6-BE6)</f>
        <v>29.699999999999992</v>
      </c>
      <c r="BG6" s="82">
        <f t="shared" ref="BG6:BG35" si="9">SUM(I6-BF6)</f>
        <v>-29.699999999999992</v>
      </c>
      <c r="BI6" s="17"/>
      <c r="BJ6" s="17"/>
      <c r="BK6" s="17"/>
      <c r="BL6" s="17"/>
      <c r="BM6" s="17"/>
    </row>
    <row r="7" spans="1:65" ht="15.75" thickBot="1">
      <c r="A7" s="6">
        <f>ELEC!C4</f>
        <v>44106</v>
      </c>
      <c r="B7" s="5">
        <f t="shared" ref="B7:B36" si="10">B6</f>
        <v>109096</v>
      </c>
      <c r="C7" s="5">
        <f t="shared" ref="C7:C35" si="11">B7-B6</f>
        <v>0</v>
      </c>
      <c r="D7" s="424">
        <f t="shared" ref="D7:D35" si="12">C7/27</f>
        <v>0</v>
      </c>
      <c r="E7" s="336">
        <f>SUM((C7*$E$4)+(7500/'EDl log'!$A$38))</f>
        <v>241.93548387096774</v>
      </c>
      <c r="F7" s="423"/>
      <c r="G7" s="5">
        <v>608832</v>
      </c>
      <c r="H7" s="5">
        <f t="shared" ref="H7:H35" si="13">G7-G6</f>
        <v>90</v>
      </c>
      <c r="I7" s="5">
        <f t="shared" si="0"/>
        <v>90</v>
      </c>
      <c r="J7" s="337">
        <f t="shared" si="1"/>
        <v>2.6881720430107525</v>
      </c>
      <c r="K7" s="5">
        <f>'Swimming Pool quality check '!H7</f>
        <v>6555</v>
      </c>
      <c r="L7" s="83">
        <f>K7-K6</f>
        <v>0</v>
      </c>
      <c r="M7" s="415">
        <f t="shared" ref="M7:M36" si="14">M6</f>
        <v>457.44</v>
      </c>
      <c r="N7" s="522">
        <f t="shared" si="2"/>
        <v>0</v>
      </c>
      <c r="O7" s="415">
        <f t="shared" ref="O7:O36" si="15">O6</f>
        <v>529.52</v>
      </c>
      <c r="P7" s="522">
        <f t="shared" si="3"/>
        <v>0</v>
      </c>
      <c r="Q7" s="523">
        <f>P7+N7</f>
        <v>0</v>
      </c>
      <c r="R7" s="522"/>
      <c r="S7" s="522"/>
      <c r="T7" s="5">
        <v>5129</v>
      </c>
      <c r="U7" s="5">
        <f t="shared" si="4"/>
        <v>2</v>
      </c>
      <c r="V7" s="5">
        <f t="shared" ref="V7:V36" si="16">V6</f>
        <v>452</v>
      </c>
      <c r="W7" s="327">
        <f t="shared" ref="W7:W35" si="17">+V7-V6</f>
        <v>0</v>
      </c>
      <c r="X7" s="5">
        <v>147668</v>
      </c>
      <c r="Y7" s="327">
        <f>SUM(X7-X6)</f>
        <v>21</v>
      </c>
      <c r="Z7" s="5">
        <v>97071</v>
      </c>
      <c r="AA7" s="83">
        <f t="shared" ref="AA7:AA35" si="18">Z7-Z6</f>
        <v>13</v>
      </c>
      <c r="AB7" s="5">
        <v>260</v>
      </c>
      <c r="AC7" s="5">
        <f t="shared" ref="AC7:AC36" si="19">AC6</f>
        <v>698</v>
      </c>
      <c r="AD7" s="83">
        <f>AC7-AC6</f>
        <v>0</v>
      </c>
      <c r="AE7" s="5">
        <f t="shared" ref="AE7:AE36" si="20">AE6</f>
        <v>217.84</v>
      </c>
      <c r="AF7" s="83">
        <f t="shared" ref="AF7:AF35" si="21">AE7-AE6</f>
        <v>0</v>
      </c>
      <c r="AG7" s="5">
        <f t="shared" ref="AG7:AG36" si="22">AG6</f>
        <v>2176.58</v>
      </c>
      <c r="AH7" s="83">
        <f t="shared" ref="AH7:AH35" si="23">AG7-AG6</f>
        <v>0</v>
      </c>
      <c r="AI7" s="83">
        <f t="shared" ref="AI7:AI35" si="24">AF7+AH7</f>
        <v>0</v>
      </c>
      <c r="AJ7" s="329">
        <f t="shared" ref="AJ7:AJ35" si="25">+Z7-Z6</f>
        <v>13</v>
      </c>
      <c r="AK7" s="330">
        <f>SUM(Y7-L7)</f>
        <v>21</v>
      </c>
      <c r="AL7" s="330">
        <f t="shared" ref="AL7:AL35" si="26">SUM(AJ7-W7)</f>
        <v>13</v>
      </c>
      <c r="AM7" s="330">
        <f>'General information '!D7</f>
        <v>28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27">A7</f>
        <v>44106</v>
      </c>
      <c r="AS7" s="429">
        <f t="shared" si="6"/>
        <v>0.9</v>
      </c>
      <c r="AT7" s="202">
        <v>62</v>
      </c>
      <c r="AU7" s="430">
        <f>AU6</f>
        <v>1.1000000000000001</v>
      </c>
      <c r="AV7" s="202">
        <v>33</v>
      </c>
      <c r="AW7" s="5">
        <v>2.9</v>
      </c>
      <c r="AX7" s="202">
        <v>41</v>
      </c>
      <c r="AY7" s="433">
        <f t="shared" si="7"/>
        <v>55.800000000000004</v>
      </c>
      <c r="AZ7" s="433">
        <f t="shared" ref="AZ7:AZ35" si="28">AU7*AV7</f>
        <v>36.300000000000004</v>
      </c>
      <c r="BA7" s="433">
        <f t="shared" ref="BA7:BA35" si="29">AW7*AX7</f>
        <v>118.89999999999999</v>
      </c>
      <c r="BB7" s="21">
        <f t="shared" ref="BB7:BD35" si="30">AY7-AY6</f>
        <v>27.000000000000004</v>
      </c>
      <c r="BC7" s="21">
        <f t="shared" ref="BC7:BD21" si="31">AZ7-AZ6</f>
        <v>-9.8999999999999986</v>
      </c>
      <c r="BD7" s="21">
        <f t="shared" si="31"/>
        <v>-5.8000000000000114</v>
      </c>
      <c r="BE7" s="24">
        <f t="shared" ref="BE7:BE35" si="32">SUM(BB7:BD7)</f>
        <v>11.299999999999994</v>
      </c>
      <c r="BF7" s="96">
        <f t="shared" si="8"/>
        <v>78.7</v>
      </c>
      <c r="BG7" s="82">
        <f t="shared" si="9"/>
        <v>11.299999999999997</v>
      </c>
      <c r="BI7" s="86"/>
      <c r="BJ7" s="17"/>
      <c r="BK7" s="17"/>
      <c r="BL7" s="17"/>
      <c r="BM7" s="17"/>
    </row>
    <row r="8" spans="1:65" ht="15.75" thickBot="1">
      <c r="A8" s="6">
        <f>ELEC!C5</f>
        <v>44107</v>
      </c>
      <c r="B8" s="5">
        <f t="shared" si="10"/>
        <v>109096</v>
      </c>
      <c r="C8" s="5">
        <f>B8-B7</f>
        <v>0</v>
      </c>
      <c r="D8" s="424">
        <f t="shared" si="12"/>
        <v>0</v>
      </c>
      <c r="E8" s="336">
        <f>SUM((C8*$E$4)+(7500/'EDl log'!$A$38))</f>
        <v>241.93548387096774</v>
      </c>
      <c r="F8" s="423"/>
      <c r="G8" s="5">
        <f t="shared" ref="G8:G36" si="33">G7</f>
        <v>608832</v>
      </c>
      <c r="H8" s="5">
        <f t="shared" si="13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6555</v>
      </c>
      <c r="L8" s="83">
        <f>K8-K7</f>
        <v>0</v>
      </c>
      <c r="M8" s="415">
        <f t="shared" si="14"/>
        <v>457.44</v>
      </c>
      <c r="N8" s="522">
        <f t="shared" si="2"/>
        <v>0</v>
      </c>
      <c r="O8" s="415">
        <f t="shared" si="15"/>
        <v>529.52</v>
      </c>
      <c r="P8" s="522">
        <f t="shared" si="3"/>
        <v>0</v>
      </c>
      <c r="Q8" s="523">
        <f>P8+N8</f>
        <v>0</v>
      </c>
      <c r="R8" s="522"/>
      <c r="S8" s="522"/>
      <c r="T8" s="5">
        <v>5132</v>
      </c>
      <c r="U8" s="5">
        <f t="shared" si="4"/>
        <v>3</v>
      </c>
      <c r="V8" s="5">
        <f t="shared" si="16"/>
        <v>452</v>
      </c>
      <c r="W8" s="327">
        <f t="shared" si="17"/>
        <v>0</v>
      </c>
      <c r="X8" s="5">
        <v>147679</v>
      </c>
      <c r="Y8" s="327">
        <f>SUM(X8-X7)</f>
        <v>11</v>
      </c>
      <c r="Z8" s="5">
        <v>97096</v>
      </c>
      <c r="AA8" s="83">
        <f t="shared" si="18"/>
        <v>25</v>
      </c>
      <c r="AB8" s="5">
        <f t="shared" ref="AB8:AB35" si="34">AB7</f>
        <v>260</v>
      </c>
      <c r="AC8" s="5">
        <f t="shared" si="19"/>
        <v>698</v>
      </c>
      <c r="AD8" s="83">
        <f t="shared" ref="AD8:AD35" si="35">AC8-AC7</f>
        <v>0</v>
      </c>
      <c r="AE8" s="5">
        <f t="shared" si="20"/>
        <v>217.84</v>
      </c>
      <c r="AF8" s="83">
        <f t="shared" si="21"/>
        <v>0</v>
      </c>
      <c r="AG8" s="5">
        <f t="shared" si="22"/>
        <v>2176.58</v>
      </c>
      <c r="AH8" s="83">
        <f t="shared" si="23"/>
        <v>0</v>
      </c>
      <c r="AI8" s="83">
        <f t="shared" si="24"/>
        <v>0</v>
      </c>
      <c r="AJ8" s="329">
        <f t="shared" si="25"/>
        <v>25</v>
      </c>
      <c r="AK8" s="330">
        <f t="shared" ref="AK8:AK36" si="36">SUM(Y8-L8)</f>
        <v>11</v>
      </c>
      <c r="AL8" s="330">
        <f t="shared" si="26"/>
        <v>25</v>
      </c>
      <c r="AM8" s="330">
        <f>'General information '!D8</f>
        <v>26.5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27"/>
        <v>44107</v>
      </c>
      <c r="AS8" s="429">
        <f t="shared" si="6"/>
        <v>0.9</v>
      </c>
      <c r="AT8" s="202">
        <v>19</v>
      </c>
      <c r="AU8" s="430">
        <v>1.1000000000000001</v>
      </c>
      <c r="AV8" s="202">
        <v>43</v>
      </c>
      <c r="AW8" s="5">
        <v>2.9</v>
      </c>
      <c r="AX8" s="202">
        <v>43</v>
      </c>
      <c r="AY8" s="433">
        <f t="shared" si="7"/>
        <v>17.100000000000001</v>
      </c>
      <c r="AZ8" s="433">
        <f t="shared" si="28"/>
        <v>47.300000000000004</v>
      </c>
      <c r="BA8" s="433">
        <f t="shared" si="29"/>
        <v>124.7</v>
      </c>
      <c r="BB8" s="21">
        <f t="shared" si="30"/>
        <v>-38.700000000000003</v>
      </c>
      <c r="BC8" s="21">
        <f t="shared" si="31"/>
        <v>11</v>
      </c>
      <c r="BD8" s="21">
        <f t="shared" si="31"/>
        <v>5.8000000000000114</v>
      </c>
      <c r="BE8" s="24">
        <f t="shared" si="32"/>
        <v>-21.899999999999991</v>
      </c>
      <c r="BF8" s="96">
        <f t="shared" si="8"/>
        <v>21.899999999999991</v>
      </c>
      <c r="BG8" s="82">
        <f t="shared" si="9"/>
        <v>-21.899999999999991</v>
      </c>
      <c r="BI8" s="86"/>
      <c r="BJ8" s="17"/>
      <c r="BK8" s="17"/>
    </row>
    <row r="9" spans="1:65" ht="15.75" thickBot="1">
      <c r="A9" s="6">
        <f>ELEC!C6</f>
        <v>44108</v>
      </c>
      <c r="B9" s="5">
        <f t="shared" si="10"/>
        <v>109096</v>
      </c>
      <c r="C9" s="5">
        <f t="shared" si="11"/>
        <v>0</v>
      </c>
      <c r="D9" s="424">
        <f t="shared" si="12"/>
        <v>0</v>
      </c>
      <c r="E9" s="336">
        <f>SUM((C9*$E$4)+(7500/'EDl log'!$A$38))</f>
        <v>241.93548387096774</v>
      </c>
      <c r="F9" s="423"/>
      <c r="G9" s="5">
        <v>608930</v>
      </c>
      <c r="H9" s="5">
        <f t="shared" si="13"/>
        <v>98</v>
      </c>
      <c r="I9" s="5">
        <f t="shared" si="0"/>
        <v>98</v>
      </c>
      <c r="J9" s="337">
        <f t="shared" si="1"/>
        <v>2.4687294272547731</v>
      </c>
      <c r="K9" s="5">
        <f>'Swimming Pool quality check '!H9</f>
        <v>6555</v>
      </c>
      <c r="L9" s="83">
        <f t="shared" ref="L9:L35" si="37">K9-K8</f>
        <v>0</v>
      </c>
      <c r="M9" s="415">
        <f t="shared" si="14"/>
        <v>457.44</v>
      </c>
      <c r="N9" s="522">
        <f t="shared" si="2"/>
        <v>0</v>
      </c>
      <c r="O9" s="415">
        <f t="shared" si="15"/>
        <v>529.52</v>
      </c>
      <c r="P9" s="522">
        <f t="shared" si="3"/>
        <v>0</v>
      </c>
      <c r="Q9" s="523">
        <f>P9+N9</f>
        <v>0</v>
      </c>
      <c r="R9" s="522"/>
      <c r="S9" s="522"/>
      <c r="T9" s="5">
        <v>5133</v>
      </c>
      <c r="U9" s="5">
        <f t="shared" si="4"/>
        <v>1</v>
      </c>
      <c r="V9" s="5">
        <f t="shared" si="16"/>
        <v>452</v>
      </c>
      <c r="W9" s="327">
        <f t="shared" si="17"/>
        <v>0</v>
      </c>
      <c r="X9" s="5">
        <f t="shared" ref="X9:X36" si="38">X8</f>
        <v>147679</v>
      </c>
      <c r="Y9" s="327">
        <f t="shared" ref="Y9:Y35" si="39">SUM(X9-X8)</f>
        <v>0</v>
      </c>
      <c r="Z9" s="5">
        <f t="shared" ref="Z9:Z36" si="40">Z8</f>
        <v>97096</v>
      </c>
      <c r="AA9" s="83">
        <f t="shared" si="18"/>
        <v>0</v>
      </c>
      <c r="AB9" s="5">
        <f t="shared" si="34"/>
        <v>260</v>
      </c>
      <c r="AC9" s="5">
        <f t="shared" si="19"/>
        <v>698</v>
      </c>
      <c r="AD9" s="83">
        <f t="shared" si="35"/>
        <v>0</v>
      </c>
      <c r="AE9" s="5">
        <f t="shared" si="20"/>
        <v>217.84</v>
      </c>
      <c r="AF9" s="83">
        <f t="shared" si="21"/>
        <v>0</v>
      </c>
      <c r="AG9" s="5">
        <f t="shared" si="22"/>
        <v>2176.58</v>
      </c>
      <c r="AH9" s="83">
        <f t="shared" si="23"/>
        <v>0</v>
      </c>
      <c r="AI9" s="83">
        <f t="shared" si="24"/>
        <v>0</v>
      </c>
      <c r="AJ9" s="329">
        <f t="shared" si="25"/>
        <v>0</v>
      </c>
      <c r="AK9" s="330">
        <f t="shared" si="36"/>
        <v>0</v>
      </c>
      <c r="AL9" s="330">
        <f t="shared" si="26"/>
        <v>0</v>
      </c>
      <c r="AM9" s="330">
        <f>'General information '!D9</f>
        <v>27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27"/>
        <v>44108</v>
      </c>
      <c r="AS9" s="429">
        <f t="shared" si="6"/>
        <v>0.9</v>
      </c>
      <c r="AT9" s="202">
        <v>74</v>
      </c>
      <c r="AU9" s="430">
        <f t="shared" ref="AU9:AU36" si="41">AU8</f>
        <v>1.1000000000000001</v>
      </c>
      <c r="AV9" s="202">
        <v>38</v>
      </c>
      <c r="AW9" s="5">
        <v>2.9</v>
      </c>
      <c r="AX9" s="202">
        <v>42</v>
      </c>
      <c r="AY9" s="433">
        <f t="shared" si="7"/>
        <v>66.600000000000009</v>
      </c>
      <c r="AZ9" s="433">
        <f t="shared" si="28"/>
        <v>41.800000000000004</v>
      </c>
      <c r="BA9" s="433">
        <f t="shared" si="29"/>
        <v>121.8</v>
      </c>
      <c r="BB9" s="21">
        <f t="shared" si="30"/>
        <v>49.500000000000007</v>
      </c>
      <c r="BC9" s="21">
        <f t="shared" si="31"/>
        <v>-5.5</v>
      </c>
      <c r="BD9" s="21">
        <f t="shared" si="31"/>
        <v>-2.9000000000000057</v>
      </c>
      <c r="BE9" s="24">
        <f t="shared" si="32"/>
        <v>41.1</v>
      </c>
      <c r="BF9" s="349">
        <f t="shared" si="8"/>
        <v>56.9</v>
      </c>
      <c r="BG9" s="82">
        <f t="shared" si="9"/>
        <v>41.1</v>
      </c>
    </row>
    <row r="10" spans="1:65" ht="15.75" thickBot="1">
      <c r="A10" s="6">
        <f>ELEC!C7</f>
        <v>44109</v>
      </c>
      <c r="B10" s="5">
        <f t="shared" si="10"/>
        <v>109096</v>
      </c>
      <c r="C10" s="5">
        <f t="shared" si="11"/>
        <v>0</v>
      </c>
      <c r="D10" s="424">
        <f t="shared" si="12"/>
        <v>0</v>
      </c>
      <c r="E10" s="336">
        <f>SUM((C10*$E$4)+(7500/'EDl log'!$A$38))</f>
        <v>241.93548387096774</v>
      </c>
      <c r="F10" s="423"/>
      <c r="G10" s="5">
        <v>608930</v>
      </c>
      <c r="H10" s="5">
        <f t="shared" si="13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6555</v>
      </c>
      <c r="L10" s="83">
        <f>K10-K9</f>
        <v>0</v>
      </c>
      <c r="M10" s="415">
        <f t="shared" si="14"/>
        <v>457.44</v>
      </c>
      <c r="N10" s="522">
        <f t="shared" si="2"/>
        <v>0</v>
      </c>
      <c r="O10" s="415">
        <f t="shared" si="15"/>
        <v>529.52</v>
      </c>
      <c r="P10" s="522">
        <f t="shared" si="3"/>
        <v>0</v>
      </c>
      <c r="Q10" s="523">
        <f>P10+N10</f>
        <v>0</v>
      </c>
      <c r="R10" s="522"/>
      <c r="S10" s="522"/>
      <c r="T10" s="5">
        <v>5135</v>
      </c>
      <c r="U10" s="5">
        <f t="shared" si="4"/>
        <v>2</v>
      </c>
      <c r="V10" s="5">
        <f t="shared" si="16"/>
        <v>452</v>
      </c>
      <c r="W10" s="327">
        <f t="shared" si="17"/>
        <v>0</v>
      </c>
      <c r="X10" s="5">
        <v>147726</v>
      </c>
      <c r="Y10" s="327">
        <f t="shared" si="39"/>
        <v>47</v>
      </c>
      <c r="Z10" s="5">
        <v>97117</v>
      </c>
      <c r="AA10" s="83">
        <f t="shared" si="18"/>
        <v>21</v>
      </c>
      <c r="AB10" s="5">
        <f t="shared" si="34"/>
        <v>260</v>
      </c>
      <c r="AC10" s="5">
        <f t="shared" si="19"/>
        <v>698</v>
      </c>
      <c r="AD10" s="83">
        <f t="shared" si="35"/>
        <v>0</v>
      </c>
      <c r="AE10" s="5">
        <f t="shared" si="20"/>
        <v>217.84</v>
      </c>
      <c r="AF10" s="83">
        <f t="shared" si="21"/>
        <v>0</v>
      </c>
      <c r="AG10" s="5">
        <f t="shared" si="22"/>
        <v>2176.58</v>
      </c>
      <c r="AH10" s="83">
        <f t="shared" si="23"/>
        <v>0</v>
      </c>
      <c r="AI10" s="83">
        <f t="shared" si="24"/>
        <v>0</v>
      </c>
      <c r="AJ10" s="329">
        <f t="shared" si="25"/>
        <v>21</v>
      </c>
      <c r="AK10" s="330">
        <f t="shared" si="36"/>
        <v>47</v>
      </c>
      <c r="AL10" s="330">
        <f t="shared" si="26"/>
        <v>21</v>
      </c>
      <c r="AM10" s="330">
        <f>'General information '!D10</f>
        <v>26.5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27"/>
        <v>44109</v>
      </c>
      <c r="AS10" s="429">
        <f t="shared" si="6"/>
        <v>0.9</v>
      </c>
      <c r="AT10" s="202">
        <v>0</v>
      </c>
      <c r="AU10" s="430">
        <f t="shared" si="41"/>
        <v>1.1000000000000001</v>
      </c>
      <c r="AV10" s="202">
        <v>46</v>
      </c>
      <c r="AW10" s="5">
        <v>2.9</v>
      </c>
      <c r="AX10" s="202">
        <v>48</v>
      </c>
      <c r="AY10" s="433">
        <f t="shared" si="7"/>
        <v>0</v>
      </c>
      <c r="AZ10" s="433">
        <f t="shared" si="28"/>
        <v>50.6</v>
      </c>
      <c r="BA10" s="433">
        <f t="shared" si="29"/>
        <v>139.19999999999999</v>
      </c>
      <c r="BB10" s="21">
        <f t="shared" si="30"/>
        <v>-66.600000000000009</v>
      </c>
      <c r="BC10" s="21">
        <f t="shared" si="31"/>
        <v>8.7999999999999972</v>
      </c>
      <c r="BD10" s="21">
        <f t="shared" si="31"/>
        <v>17.399999999999991</v>
      </c>
      <c r="BE10" s="24">
        <f t="shared" si="32"/>
        <v>-40.40000000000002</v>
      </c>
      <c r="BF10" s="96">
        <f t="shared" si="8"/>
        <v>40.40000000000002</v>
      </c>
      <c r="BG10" s="82">
        <f t="shared" si="9"/>
        <v>-40.40000000000002</v>
      </c>
    </row>
    <row r="11" spans="1:65" ht="15.75" thickBot="1">
      <c r="A11" s="6">
        <f>ELEC!C8</f>
        <v>44110</v>
      </c>
      <c r="B11" s="5">
        <f t="shared" si="10"/>
        <v>109096</v>
      </c>
      <c r="C11" s="5">
        <f t="shared" si="11"/>
        <v>0</v>
      </c>
      <c r="D11" s="424">
        <f t="shared" si="12"/>
        <v>0</v>
      </c>
      <c r="E11" s="336">
        <f>SUM((C11*$E$4)+(7500/'EDl log'!$A$38))</f>
        <v>241.93548387096774</v>
      </c>
      <c r="F11" s="423"/>
      <c r="G11" s="5">
        <v>609020</v>
      </c>
      <c r="H11" s="5">
        <f t="shared" si="13"/>
        <v>90</v>
      </c>
      <c r="I11" s="5">
        <f t="shared" si="0"/>
        <v>90</v>
      </c>
      <c r="J11" s="337">
        <f t="shared" si="1"/>
        <v>2.6881720430107525</v>
      </c>
      <c r="K11" s="5">
        <f>'Swimming Pool quality check '!H11</f>
        <v>6555</v>
      </c>
      <c r="L11" s="83">
        <f t="shared" si="37"/>
        <v>0</v>
      </c>
      <c r="M11" s="415">
        <f t="shared" si="14"/>
        <v>457.44</v>
      </c>
      <c r="N11" s="522">
        <f t="shared" si="2"/>
        <v>0</v>
      </c>
      <c r="O11" s="415">
        <f t="shared" si="15"/>
        <v>529.52</v>
      </c>
      <c r="P11" s="522">
        <f t="shared" si="3"/>
        <v>0</v>
      </c>
      <c r="Q11" s="522">
        <f>SUM(P11+N11)</f>
        <v>0</v>
      </c>
      <c r="R11" s="522"/>
      <c r="S11" s="522"/>
      <c r="T11" s="5">
        <v>5138</v>
      </c>
      <c r="U11" s="5">
        <f t="shared" si="4"/>
        <v>3</v>
      </c>
      <c r="V11" s="5">
        <f t="shared" si="16"/>
        <v>452</v>
      </c>
      <c r="W11" s="327">
        <f t="shared" si="17"/>
        <v>0</v>
      </c>
      <c r="X11" s="5">
        <v>147726</v>
      </c>
      <c r="Y11" s="327">
        <f t="shared" si="39"/>
        <v>0</v>
      </c>
      <c r="Z11" s="5">
        <v>97117</v>
      </c>
      <c r="AA11" s="83">
        <f t="shared" si="18"/>
        <v>0</v>
      </c>
      <c r="AB11" s="5">
        <f t="shared" si="34"/>
        <v>260</v>
      </c>
      <c r="AC11" s="5">
        <f t="shared" si="19"/>
        <v>698</v>
      </c>
      <c r="AD11" s="83">
        <f t="shared" si="35"/>
        <v>0</v>
      </c>
      <c r="AE11" s="5">
        <f t="shared" si="20"/>
        <v>217.84</v>
      </c>
      <c r="AF11" s="83">
        <f t="shared" si="21"/>
        <v>0</v>
      </c>
      <c r="AG11" s="5">
        <f t="shared" si="22"/>
        <v>2176.58</v>
      </c>
      <c r="AH11" s="83">
        <f t="shared" si="23"/>
        <v>0</v>
      </c>
      <c r="AI11" s="83">
        <f t="shared" si="24"/>
        <v>0</v>
      </c>
      <c r="AJ11" s="329">
        <f t="shared" si="25"/>
        <v>0</v>
      </c>
      <c r="AK11" s="330">
        <f t="shared" si="36"/>
        <v>0</v>
      </c>
      <c r="AL11" s="330">
        <f t="shared" si="26"/>
        <v>0</v>
      </c>
      <c r="AM11" s="330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27"/>
        <v>44110</v>
      </c>
      <c r="AS11" s="429">
        <f t="shared" si="6"/>
        <v>0.9</v>
      </c>
      <c r="AT11" s="202">
        <v>55</v>
      </c>
      <c r="AU11" s="430">
        <f t="shared" si="41"/>
        <v>1.1000000000000001</v>
      </c>
      <c r="AV11" s="202">
        <v>36</v>
      </c>
      <c r="AW11" s="5">
        <v>2.9</v>
      </c>
      <c r="AX11" s="202">
        <v>41</v>
      </c>
      <c r="AY11" s="433">
        <f t="shared" si="7"/>
        <v>49.5</v>
      </c>
      <c r="AZ11" s="433">
        <f t="shared" si="28"/>
        <v>39.6</v>
      </c>
      <c r="BA11" s="433">
        <f t="shared" si="29"/>
        <v>118.89999999999999</v>
      </c>
      <c r="BB11" s="21">
        <f t="shared" si="30"/>
        <v>49.5</v>
      </c>
      <c r="BC11" s="21">
        <f t="shared" si="31"/>
        <v>-11</v>
      </c>
      <c r="BD11" s="21">
        <f t="shared" si="31"/>
        <v>-20.299999999999997</v>
      </c>
      <c r="BE11" s="24">
        <f t="shared" si="32"/>
        <v>18.200000000000003</v>
      </c>
      <c r="BF11" s="96">
        <f t="shared" si="8"/>
        <v>71.8</v>
      </c>
      <c r="BG11" s="82">
        <f t="shared" si="9"/>
        <v>18.200000000000003</v>
      </c>
    </row>
    <row r="12" spans="1:65" ht="15.75" thickBot="1">
      <c r="A12" s="6">
        <f>ELEC!C9</f>
        <v>44111</v>
      </c>
      <c r="B12" s="5">
        <f t="shared" si="10"/>
        <v>109096</v>
      </c>
      <c r="C12" s="5">
        <f>B12-B11</f>
        <v>0</v>
      </c>
      <c r="D12" s="424">
        <f t="shared" si="12"/>
        <v>0</v>
      </c>
      <c r="E12" s="336">
        <f>SUM((C12*$E$4)+(7500/'EDl log'!$A$38))</f>
        <v>241.93548387096774</v>
      </c>
      <c r="F12" s="423"/>
      <c r="G12" s="5">
        <f t="shared" si="33"/>
        <v>609020</v>
      </c>
      <c r="H12" s="5">
        <f t="shared" si="13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6555</v>
      </c>
      <c r="L12" s="83">
        <f t="shared" si="37"/>
        <v>0</v>
      </c>
      <c r="M12" s="415">
        <f t="shared" si="14"/>
        <v>457.44</v>
      </c>
      <c r="N12" s="522">
        <f t="shared" si="2"/>
        <v>0</v>
      </c>
      <c r="O12" s="415">
        <f t="shared" si="15"/>
        <v>529.52</v>
      </c>
      <c r="P12" s="522">
        <f t="shared" si="3"/>
        <v>0</v>
      </c>
      <c r="Q12" s="522">
        <f>SUM(P12+N12)</f>
        <v>0</v>
      </c>
      <c r="R12" s="522"/>
      <c r="S12" s="522"/>
      <c r="T12" s="5">
        <v>5139</v>
      </c>
      <c r="U12" s="5">
        <f t="shared" si="4"/>
        <v>1</v>
      </c>
      <c r="V12" s="5">
        <f t="shared" si="16"/>
        <v>452</v>
      </c>
      <c r="W12" s="327">
        <f t="shared" si="17"/>
        <v>0</v>
      </c>
      <c r="X12" s="5">
        <f t="shared" si="38"/>
        <v>147726</v>
      </c>
      <c r="Y12" s="327">
        <f t="shared" si="39"/>
        <v>0</v>
      </c>
      <c r="Z12" s="5">
        <f t="shared" si="40"/>
        <v>97117</v>
      </c>
      <c r="AA12" s="83">
        <f t="shared" si="18"/>
        <v>0</v>
      </c>
      <c r="AB12" s="5">
        <f t="shared" si="34"/>
        <v>260</v>
      </c>
      <c r="AC12" s="5">
        <f t="shared" si="19"/>
        <v>698</v>
      </c>
      <c r="AD12" s="83">
        <f t="shared" si="35"/>
        <v>0</v>
      </c>
      <c r="AE12" s="5">
        <f t="shared" si="20"/>
        <v>217.84</v>
      </c>
      <c r="AF12" s="83">
        <f t="shared" si="21"/>
        <v>0</v>
      </c>
      <c r="AG12" s="5">
        <f t="shared" si="22"/>
        <v>2176.58</v>
      </c>
      <c r="AH12" s="83">
        <f t="shared" si="23"/>
        <v>0</v>
      </c>
      <c r="AI12" s="83">
        <f t="shared" si="24"/>
        <v>0</v>
      </c>
      <c r="AJ12" s="329">
        <f t="shared" si="25"/>
        <v>0</v>
      </c>
      <c r="AK12" s="330">
        <f t="shared" si="36"/>
        <v>0</v>
      </c>
      <c r="AL12" s="330">
        <f t="shared" si="26"/>
        <v>0</v>
      </c>
      <c r="AM12" s="330">
        <f>'General information '!D12</f>
        <v>26.5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27"/>
        <v>44111</v>
      </c>
      <c r="AS12" s="429">
        <f t="shared" si="6"/>
        <v>0.9</v>
      </c>
      <c r="AT12" s="202">
        <f t="shared" si="6"/>
        <v>55</v>
      </c>
      <c r="AU12" s="430">
        <f t="shared" si="41"/>
        <v>1.1000000000000001</v>
      </c>
      <c r="AV12" s="202">
        <v>12</v>
      </c>
      <c r="AW12" s="5">
        <v>2.9</v>
      </c>
      <c r="AX12" s="202">
        <v>34</v>
      </c>
      <c r="AY12" s="433">
        <f t="shared" si="7"/>
        <v>49.5</v>
      </c>
      <c r="AZ12" s="433">
        <f t="shared" si="28"/>
        <v>13.200000000000001</v>
      </c>
      <c r="BA12" s="433">
        <f t="shared" si="29"/>
        <v>98.6</v>
      </c>
      <c r="BB12" s="21">
        <f t="shared" si="30"/>
        <v>0</v>
      </c>
      <c r="BC12" s="21">
        <f t="shared" si="31"/>
        <v>-26.4</v>
      </c>
      <c r="BD12" s="21">
        <f t="shared" si="31"/>
        <v>-20.299999999999997</v>
      </c>
      <c r="BE12" s="24">
        <f t="shared" si="32"/>
        <v>-46.699999999999996</v>
      </c>
      <c r="BF12" s="96">
        <f t="shared" si="8"/>
        <v>46.699999999999996</v>
      </c>
      <c r="BG12" s="82">
        <f t="shared" si="9"/>
        <v>-46.699999999999996</v>
      </c>
    </row>
    <row r="13" spans="1:65" ht="15.75" thickBot="1">
      <c r="A13" s="6">
        <f>ELEC!C10</f>
        <v>44112</v>
      </c>
      <c r="B13" s="5">
        <v>109096</v>
      </c>
      <c r="C13" s="5">
        <f t="shared" si="11"/>
        <v>0</v>
      </c>
      <c r="D13" s="424">
        <f t="shared" si="12"/>
        <v>0</v>
      </c>
      <c r="E13" s="336">
        <f>SUM((C13*$E$4)+(7500/'EDl log'!$A$38))</f>
        <v>241.93548387096774</v>
      </c>
      <c r="F13" s="423"/>
      <c r="G13" s="5">
        <f t="shared" si="33"/>
        <v>609020</v>
      </c>
      <c r="H13" s="5">
        <f t="shared" si="13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6555</v>
      </c>
      <c r="L13" s="83">
        <f t="shared" si="37"/>
        <v>0</v>
      </c>
      <c r="M13" s="415">
        <f t="shared" si="14"/>
        <v>457.44</v>
      </c>
      <c r="N13" s="522">
        <f t="shared" si="2"/>
        <v>0</v>
      </c>
      <c r="O13" s="415">
        <f t="shared" si="15"/>
        <v>529.52</v>
      </c>
      <c r="P13" s="522">
        <f t="shared" si="3"/>
        <v>0</v>
      </c>
      <c r="Q13" s="522">
        <f>SUM(P13+N13)</f>
        <v>0</v>
      </c>
      <c r="R13" s="522"/>
      <c r="S13" s="522"/>
      <c r="T13" s="5">
        <v>5140</v>
      </c>
      <c r="U13" s="5">
        <f t="shared" si="4"/>
        <v>1</v>
      </c>
      <c r="V13" s="5">
        <f t="shared" si="16"/>
        <v>452</v>
      </c>
      <c r="W13" s="327">
        <f t="shared" si="17"/>
        <v>0</v>
      </c>
      <c r="X13" s="5">
        <f t="shared" si="38"/>
        <v>147726</v>
      </c>
      <c r="Y13" s="327">
        <f t="shared" si="39"/>
        <v>0</v>
      </c>
      <c r="Z13" s="5">
        <v>97214</v>
      </c>
      <c r="AA13" s="83">
        <f t="shared" si="18"/>
        <v>97</v>
      </c>
      <c r="AB13" s="5">
        <f t="shared" si="34"/>
        <v>260</v>
      </c>
      <c r="AC13" s="5">
        <f t="shared" si="19"/>
        <v>698</v>
      </c>
      <c r="AD13" s="83">
        <f t="shared" si="35"/>
        <v>0</v>
      </c>
      <c r="AE13" s="5">
        <f t="shared" si="20"/>
        <v>217.84</v>
      </c>
      <c r="AF13" s="83">
        <f t="shared" si="21"/>
        <v>0</v>
      </c>
      <c r="AG13" s="5">
        <f t="shared" si="22"/>
        <v>2176.58</v>
      </c>
      <c r="AH13" s="83">
        <f t="shared" si="23"/>
        <v>0</v>
      </c>
      <c r="AI13" s="83">
        <f t="shared" si="24"/>
        <v>0</v>
      </c>
      <c r="AJ13" s="329">
        <f t="shared" si="25"/>
        <v>97</v>
      </c>
      <c r="AK13" s="330">
        <f t="shared" si="36"/>
        <v>0</v>
      </c>
      <c r="AL13" s="330">
        <f t="shared" si="26"/>
        <v>97</v>
      </c>
      <c r="AM13" s="330">
        <f>'General information '!D13</f>
        <v>28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27"/>
        <v>44112</v>
      </c>
      <c r="AS13" s="429">
        <f t="shared" si="6"/>
        <v>0.9</v>
      </c>
      <c r="AT13" s="202">
        <v>5</v>
      </c>
      <c r="AU13" s="430">
        <f t="shared" si="41"/>
        <v>1.1000000000000001</v>
      </c>
      <c r="AV13" s="202">
        <v>54</v>
      </c>
      <c r="AW13" s="5">
        <v>2.9</v>
      </c>
      <c r="AX13" s="202">
        <v>31</v>
      </c>
      <c r="AY13" s="433">
        <f t="shared" si="7"/>
        <v>4.5</v>
      </c>
      <c r="AZ13" s="433">
        <f t="shared" si="28"/>
        <v>59.400000000000006</v>
      </c>
      <c r="BA13" s="433">
        <f t="shared" si="29"/>
        <v>89.899999999999991</v>
      </c>
      <c r="BB13" s="21">
        <f t="shared" si="30"/>
        <v>-45</v>
      </c>
      <c r="BC13" s="21">
        <f t="shared" si="31"/>
        <v>46.2</v>
      </c>
      <c r="BD13" s="21">
        <f t="shared" si="31"/>
        <v>-8.7000000000000028</v>
      </c>
      <c r="BE13" s="24">
        <f t="shared" si="32"/>
        <v>-7.5</v>
      </c>
      <c r="BF13" s="96">
        <f t="shared" si="8"/>
        <v>7.5</v>
      </c>
      <c r="BG13" s="82">
        <f t="shared" si="9"/>
        <v>-7.5</v>
      </c>
    </row>
    <row r="14" spans="1:65" ht="15.75" thickBot="1">
      <c r="A14" s="6">
        <f>ELEC!C11</f>
        <v>44113</v>
      </c>
      <c r="B14" s="5">
        <f t="shared" si="10"/>
        <v>109096</v>
      </c>
      <c r="C14" s="5">
        <f t="shared" si="11"/>
        <v>0</v>
      </c>
      <c r="D14" s="424">
        <f t="shared" si="12"/>
        <v>0</v>
      </c>
      <c r="E14" s="336">
        <f>SUM((C14*$E$4)+(7500/'EDl log'!$A$38))</f>
        <v>241.93548387096774</v>
      </c>
      <c r="F14" s="423"/>
      <c r="G14" s="5">
        <v>609107</v>
      </c>
      <c r="H14" s="5">
        <f t="shared" si="13"/>
        <v>87</v>
      </c>
      <c r="I14" s="5">
        <f t="shared" si="0"/>
        <v>87</v>
      </c>
      <c r="J14" s="337">
        <f t="shared" si="1"/>
        <v>2.7808676307007785</v>
      </c>
      <c r="K14" s="5">
        <f>'Swimming Pool quality check '!H14</f>
        <v>6555</v>
      </c>
      <c r="L14" s="83">
        <f t="shared" si="37"/>
        <v>0</v>
      </c>
      <c r="M14" s="415">
        <f t="shared" si="14"/>
        <v>457.44</v>
      </c>
      <c r="N14" s="522">
        <f t="shared" ref="N14:N35" si="42">SUM(M14-M13)</f>
        <v>0</v>
      </c>
      <c r="O14" s="415">
        <f t="shared" si="15"/>
        <v>529.52</v>
      </c>
      <c r="P14" s="522">
        <f t="shared" ref="P14:P35" si="43">SUM(O14-O13)</f>
        <v>0</v>
      </c>
      <c r="Q14" s="522">
        <f t="shared" ref="Q14:Q35" si="44">SUM(P14+N14)</f>
        <v>0</v>
      </c>
      <c r="R14" s="522"/>
      <c r="S14" s="522"/>
      <c r="T14" s="5">
        <v>5142</v>
      </c>
      <c r="U14" s="5">
        <f t="shared" si="4"/>
        <v>2</v>
      </c>
      <c r="V14" s="5">
        <f t="shared" si="16"/>
        <v>452</v>
      </c>
      <c r="W14" s="327">
        <f t="shared" si="17"/>
        <v>0</v>
      </c>
      <c r="X14" s="5">
        <f t="shared" si="38"/>
        <v>147726</v>
      </c>
      <c r="Y14" s="327">
        <f t="shared" si="39"/>
        <v>0</v>
      </c>
      <c r="Z14" s="5">
        <f t="shared" si="40"/>
        <v>97214</v>
      </c>
      <c r="AA14" s="83">
        <f t="shared" si="18"/>
        <v>0</v>
      </c>
      <c r="AB14" s="5">
        <f t="shared" si="34"/>
        <v>260</v>
      </c>
      <c r="AC14" s="5">
        <f t="shared" si="19"/>
        <v>698</v>
      </c>
      <c r="AD14" s="83">
        <f t="shared" si="35"/>
        <v>0</v>
      </c>
      <c r="AE14" s="5">
        <f t="shared" si="20"/>
        <v>217.84</v>
      </c>
      <c r="AF14" s="83">
        <f t="shared" si="21"/>
        <v>0</v>
      </c>
      <c r="AG14" s="5">
        <f t="shared" si="22"/>
        <v>2176.58</v>
      </c>
      <c r="AH14" s="83">
        <f t="shared" si="23"/>
        <v>0</v>
      </c>
      <c r="AI14" s="83">
        <f t="shared" si="24"/>
        <v>0</v>
      </c>
      <c r="AJ14" s="329">
        <f t="shared" si="25"/>
        <v>0</v>
      </c>
      <c r="AK14" s="330">
        <f t="shared" si="36"/>
        <v>0</v>
      </c>
      <c r="AL14" s="330">
        <f t="shared" si="26"/>
        <v>0</v>
      </c>
      <c r="AM14" s="330">
        <f>'General information '!D14</f>
        <v>26.5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27"/>
        <v>44113</v>
      </c>
      <c r="AS14" s="429">
        <f t="shared" si="6"/>
        <v>0.9</v>
      </c>
      <c r="AT14" s="202">
        <f t="shared" si="6"/>
        <v>5</v>
      </c>
      <c r="AU14" s="430">
        <f t="shared" si="41"/>
        <v>1.1000000000000001</v>
      </c>
      <c r="AV14" s="202">
        <v>46</v>
      </c>
      <c r="AW14" s="5">
        <v>2.9</v>
      </c>
      <c r="AX14" s="202">
        <v>26</v>
      </c>
      <c r="AY14" s="433">
        <f t="shared" si="7"/>
        <v>4.5</v>
      </c>
      <c r="AZ14" s="433">
        <f t="shared" si="28"/>
        <v>50.6</v>
      </c>
      <c r="BA14" s="433">
        <f t="shared" si="29"/>
        <v>75.399999999999991</v>
      </c>
      <c r="BB14" s="21">
        <f t="shared" si="30"/>
        <v>0</v>
      </c>
      <c r="BC14" s="21">
        <f t="shared" si="31"/>
        <v>-8.8000000000000043</v>
      </c>
      <c r="BD14" s="21">
        <f t="shared" si="31"/>
        <v>-14.5</v>
      </c>
      <c r="BE14" s="24">
        <f t="shared" si="32"/>
        <v>-23.300000000000004</v>
      </c>
      <c r="BF14" s="96">
        <f t="shared" si="8"/>
        <v>110.30000000000001</v>
      </c>
      <c r="BG14" s="82">
        <f t="shared" si="9"/>
        <v>-23.300000000000011</v>
      </c>
    </row>
    <row r="15" spans="1:65" ht="16.5" customHeight="1" thickBot="1">
      <c r="A15" s="6">
        <f>ELEC!C12</f>
        <v>44114</v>
      </c>
      <c r="B15" s="5">
        <f t="shared" si="10"/>
        <v>109096</v>
      </c>
      <c r="C15" s="5">
        <f t="shared" si="11"/>
        <v>0</v>
      </c>
      <c r="D15" s="424">
        <f t="shared" si="12"/>
        <v>0</v>
      </c>
      <c r="E15" s="336">
        <f>SUM((C15*$E$4)+(7500/'EDl log'!$A$38))</f>
        <v>241.93548387096774</v>
      </c>
      <c r="F15" s="423"/>
      <c r="G15" s="5">
        <v>609212</v>
      </c>
      <c r="H15" s="5">
        <f t="shared" si="13"/>
        <v>105</v>
      </c>
      <c r="I15" s="5">
        <f t="shared" si="0"/>
        <v>105</v>
      </c>
      <c r="J15" s="337">
        <f t="shared" si="1"/>
        <v>2.3041474654377883</v>
      </c>
      <c r="K15" s="5">
        <f>'Swimming Pool quality check '!H15</f>
        <v>6555</v>
      </c>
      <c r="L15" s="83">
        <f t="shared" si="37"/>
        <v>0</v>
      </c>
      <c r="M15" s="415">
        <f t="shared" si="14"/>
        <v>457.44</v>
      </c>
      <c r="N15" s="522">
        <f t="shared" si="42"/>
        <v>0</v>
      </c>
      <c r="O15" s="415">
        <f t="shared" si="15"/>
        <v>529.52</v>
      </c>
      <c r="P15" s="522">
        <f t="shared" si="43"/>
        <v>0</v>
      </c>
      <c r="Q15" s="522">
        <f t="shared" si="44"/>
        <v>0</v>
      </c>
      <c r="R15" s="522"/>
      <c r="S15" s="522"/>
      <c r="T15" s="5">
        <v>5145</v>
      </c>
      <c r="U15" s="5">
        <f t="shared" si="4"/>
        <v>3</v>
      </c>
      <c r="V15" s="5">
        <f t="shared" si="16"/>
        <v>452</v>
      </c>
      <c r="W15" s="327">
        <f t="shared" si="17"/>
        <v>0</v>
      </c>
      <c r="X15" s="5">
        <v>147761</v>
      </c>
      <c r="Y15" s="327">
        <f t="shared" si="39"/>
        <v>35</v>
      </c>
      <c r="Z15" s="5">
        <v>97214</v>
      </c>
      <c r="AA15" s="83">
        <f t="shared" si="18"/>
        <v>0</v>
      </c>
      <c r="AB15" s="5">
        <f t="shared" si="34"/>
        <v>260</v>
      </c>
      <c r="AC15" s="5">
        <f t="shared" si="19"/>
        <v>698</v>
      </c>
      <c r="AD15" s="83">
        <f t="shared" si="35"/>
        <v>0</v>
      </c>
      <c r="AE15" s="5">
        <f t="shared" si="20"/>
        <v>217.84</v>
      </c>
      <c r="AF15" s="83">
        <f t="shared" si="21"/>
        <v>0</v>
      </c>
      <c r="AG15" s="5">
        <f t="shared" si="22"/>
        <v>2176.58</v>
      </c>
      <c r="AH15" s="83">
        <f t="shared" si="23"/>
        <v>0</v>
      </c>
      <c r="AI15" s="83">
        <f t="shared" si="24"/>
        <v>0</v>
      </c>
      <c r="AJ15" s="329">
        <f t="shared" si="25"/>
        <v>0</v>
      </c>
      <c r="AK15" s="330">
        <f t="shared" si="36"/>
        <v>35</v>
      </c>
      <c r="AL15" s="330">
        <f t="shared" si="26"/>
        <v>0</v>
      </c>
      <c r="AM15" s="330">
        <f>'General information '!D15</f>
        <v>25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27"/>
        <v>44114</v>
      </c>
      <c r="AS15" s="429">
        <f t="shared" si="6"/>
        <v>0.9</v>
      </c>
      <c r="AT15" s="202">
        <v>34</v>
      </c>
      <c r="AU15" s="430">
        <f t="shared" si="41"/>
        <v>1.1000000000000001</v>
      </c>
      <c r="AV15" s="202">
        <v>37</v>
      </c>
      <c r="AW15" s="5">
        <v>2.9</v>
      </c>
      <c r="AX15" s="202">
        <v>31</v>
      </c>
      <c r="AY15" s="433">
        <f t="shared" si="7"/>
        <v>30.6</v>
      </c>
      <c r="AZ15" s="433">
        <f t="shared" si="28"/>
        <v>40.700000000000003</v>
      </c>
      <c r="BA15" s="433">
        <f t="shared" si="29"/>
        <v>89.899999999999991</v>
      </c>
      <c r="BB15" s="21">
        <f t="shared" si="30"/>
        <v>26.1</v>
      </c>
      <c r="BC15" s="21">
        <f t="shared" si="31"/>
        <v>-9.8999999999999986</v>
      </c>
      <c r="BD15" s="21">
        <f t="shared" si="31"/>
        <v>14.5</v>
      </c>
      <c r="BE15" s="24">
        <f t="shared" si="32"/>
        <v>30.700000000000003</v>
      </c>
      <c r="BF15" s="96">
        <f t="shared" si="8"/>
        <v>74.3</v>
      </c>
      <c r="BG15" s="82">
        <f t="shared" si="9"/>
        <v>30.700000000000003</v>
      </c>
    </row>
    <row r="16" spans="1:65" ht="15.75" thickBot="1">
      <c r="A16" s="6">
        <f>ELEC!C13</f>
        <v>44115</v>
      </c>
      <c r="B16" s="5">
        <f t="shared" si="10"/>
        <v>109096</v>
      </c>
      <c r="C16" s="5">
        <f t="shared" si="11"/>
        <v>0</v>
      </c>
      <c r="D16" s="424">
        <f t="shared" si="12"/>
        <v>0</v>
      </c>
      <c r="E16" s="336">
        <f>SUM((C16*$E$4)+(7500/'EDl log'!$A$38))</f>
        <v>241.93548387096774</v>
      </c>
      <c r="F16" s="423"/>
      <c r="G16" s="5">
        <f t="shared" si="33"/>
        <v>609212</v>
      </c>
      <c r="H16" s="5">
        <f t="shared" si="13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6555</v>
      </c>
      <c r="L16" s="276">
        <f t="shared" si="37"/>
        <v>0</v>
      </c>
      <c r="M16" s="415">
        <f t="shared" si="14"/>
        <v>457.44</v>
      </c>
      <c r="N16" s="522">
        <f t="shared" si="42"/>
        <v>0</v>
      </c>
      <c r="O16" s="415">
        <f t="shared" si="15"/>
        <v>529.52</v>
      </c>
      <c r="P16" s="522">
        <f t="shared" si="43"/>
        <v>0</v>
      </c>
      <c r="Q16" s="522">
        <f t="shared" si="44"/>
        <v>0</v>
      </c>
      <c r="R16" s="524"/>
      <c r="S16" s="524"/>
      <c r="T16" s="5">
        <v>5147</v>
      </c>
      <c r="U16" s="5">
        <f t="shared" si="4"/>
        <v>2</v>
      </c>
      <c r="V16" s="5">
        <f t="shared" si="16"/>
        <v>452</v>
      </c>
      <c r="W16" s="327">
        <f t="shared" si="17"/>
        <v>0</v>
      </c>
      <c r="X16" s="5">
        <f t="shared" si="38"/>
        <v>147761</v>
      </c>
      <c r="Y16" s="327">
        <f t="shared" si="39"/>
        <v>0</v>
      </c>
      <c r="Z16" s="5">
        <f t="shared" si="40"/>
        <v>97214</v>
      </c>
      <c r="AA16" s="83">
        <f t="shared" si="18"/>
        <v>0</v>
      </c>
      <c r="AB16" s="5">
        <f t="shared" si="34"/>
        <v>260</v>
      </c>
      <c r="AC16" s="5">
        <f t="shared" si="19"/>
        <v>698</v>
      </c>
      <c r="AD16" s="83">
        <f t="shared" si="35"/>
        <v>0</v>
      </c>
      <c r="AE16" s="5">
        <f t="shared" si="20"/>
        <v>217.84</v>
      </c>
      <c r="AF16" s="83">
        <f t="shared" si="21"/>
        <v>0</v>
      </c>
      <c r="AG16" s="5">
        <f t="shared" si="22"/>
        <v>2176.58</v>
      </c>
      <c r="AH16" s="83">
        <f t="shared" si="23"/>
        <v>0</v>
      </c>
      <c r="AI16" s="83">
        <f t="shared" si="24"/>
        <v>0</v>
      </c>
      <c r="AJ16" s="329">
        <f t="shared" si="25"/>
        <v>0</v>
      </c>
      <c r="AK16" s="330">
        <f t="shared" si="36"/>
        <v>0</v>
      </c>
      <c r="AL16" s="330">
        <f t="shared" si="26"/>
        <v>0</v>
      </c>
      <c r="AM16" s="330">
        <f>'General information '!D16</f>
        <v>28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27"/>
        <v>44115</v>
      </c>
      <c r="AS16" s="429">
        <f t="shared" si="6"/>
        <v>0.9</v>
      </c>
      <c r="AT16" s="202">
        <v>34</v>
      </c>
      <c r="AU16" s="430">
        <f t="shared" si="41"/>
        <v>1.1000000000000001</v>
      </c>
      <c r="AV16" s="202">
        <v>27</v>
      </c>
      <c r="AW16" s="5">
        <v>2.9</v>
      </c>
      <c r="AX16" s="202">
        <v>30</v>
      </c>
      <c r="AY16" s="433">
        <f t="shared" si="7"/>
        <v>30.6</v>
      </c>
      <c r="AZ16" s="433">
        <f t="shared" si="28"/>
        <v>29.700000000000003</v>
      </c>
      <c r="BA16" s="433">
        <f t="shared" si="29"/>
        <v>87</v>
      </c>
      <c r="BB16" s="21">
        <f t="shared" si="30"/>
        <v>0</v>
      </c>
      <c r="BC16" s="21">
        <f t="shared" si="31"/>
        <v>-11</v>
      </c>
      <c r="BD16" s="21">
        <f t="shared" si="31"/>
        <v>-2.8999999999999915</v>
      </c>
      <c r="BE16" s="24">
        <f t="shared" si="32"/>
        <v>-13.899999999999991</v>
      </c>
      <c r="BF16" s="96">
        <f t="shared" si="8"/>
        <v>13.899999999999991</v>
      </c>
      <c r="BG16" s="82">
        <f t="shared" si="9"/>
        <v>-13.899999999999991</v>
      </c>
    </row>
    <row r="17" spans="1:61" ht="15.75" thickBot="1">
      <c r="A17" s="6">
        <f>ELEC!C14</f>
        <v>44116</v>
      </c>
      <c r="B17" s="5">
        <f t="shared" si="10"/>
        <v>109096</v>
      </c>
      <c r="C17" s="5">
        <f t="shared" si="11"/>
        <v>0</v>
      </c>
      <c r="D17" s="424">
        <f t="shared" si="12"/>
        <v>0</v>
      </c>
      <c r="E17" s="336">
        <f>SUM((C17*$E$4)+(7500/'EDl log'!$A$38))</f>
        <v>241.93548387096774</v>
      </c>
      <c r="F17" s="423"/>
      <c r="G17" s="5">
        <v>609308</v>
      </c>
      <c r="H17" s="5">
        <f t="shared" si="13"/>
        <v>96</v>
      </c>
      <c r="I17" s="5">
        <f t="shared" si="0"/>
        <v>96</v>
      </c>
      <c r="J17" s="337">
        <f t="shared" si="1"/>
        <v>2.5201612903225805</v>
      </c>
      <c r="K17" s="5">
        <f>'Swimming Pool quality check '!H17</f>
        <v>6555</v>
      </c>
      <c r="L17" s="83">
        <f t="shared" si="37"/>
        <v>0</v>
      </c>
      <c r="M17" s="415">
        <f t="shared" si="14"/>
        <v>457.44</v>
      </c>
      <c r="N17" s="522">
        <f t="shared" si="42"/>
        <v>0</v>
      </c>
      <c r="O17" s="415">
        <f t="shared" si="15"/>
        <v>529.52</v>
      </c>
      <c r="P17" s="522">
        <f t="shared" si="43"/>
        <v>0</v>
      </c>
      <c r="Q17" s="522">
        <f t="shared" si="44"/>
        <v>0</v>
      </c>
      <c r="R17" s="522"/>
      <c r="S17" s="522"/>
      <c r="T17" s="5">
        <v>5150</v>
      </c>
      <c r="U17" s="5">
        <f t="shared" si="4"/>
        <v>3</v>
      </c>
      <c r="V17" s="5">
        <f t="shared" si="16"/>
        <v>452</v>
      </c>
      <c r="W17" s="327">
        <f t="shared" si="17"/>
        <v>0</v>
      </c>
      <c r="X17" s="5">
        <v>147801</v>
      </c>
      <c r="Y17" s="327">
        <f t="shared" si="39"/>
        <v>40</v>
      </c>
      <c r="Z17" s="5">
        <v>97215</v>
      </c>
      <c r="AA17" s="83">
        <f t="shared" si="18"/>
        <v>1</v>
      </c>
      <c r="AB17" s="5">
        <f t="shared" si="34"/>
        <v>260</v>
      </c>
      <c r="AC17" s="5">
        <f t="shared" si="19"/>
        <v>698</v>
      </c>
      <c r="AD17" s="83">
        <f t="shared" si="35"/>
        <v>0</v>
      </c>
      <c r="AE17" s="5">
        <f t="shared" si="20"/>
        <v>217.84</v>
      </c>
      <c r="AF17" s="83">
        <f t="shared" si="21"/>
        <v>0</v>
      </c>
      <c r="AG17" s="5">
        <f t="shared" si="22"/>
        <v>2176.58</v>
      </c>
      <c r="AH17" s="83">
        <f t="shared" si="23"/>
        <v>0</v>
      </c>
      <c r="AI17" s="83">
        <f t="shared" si="24"/>
        <v>0</v>
      </c>
      <c r="AJ17" s="329">
        <f t="shared" si="25"/>
        <v>1</v>
      </c>
      <c r="AK17" s="330">
        <f t="shared" si="36"/>
        <v>40</v>
      </c>
      <c r="AL17" s="330">
        <f t="shared" si="26"/>
        <v>1</v>
      </c>
      <c r="AM17" s="330">
        <f>'General information '!D17</f>
        <v>26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27"/>
        <v>44116</v>
      </c>
      <c r="AS17" s="429">
        <f t="shared" si="6"/>
        <v>0.9</v>
      </c>
      <c r="AT17" s="202">
        <v>49</v>
      </c>
      <c r="AU17" s="430">
        <f t="shared" si="41"/>
        <v>1.1000000000000001</v>
      </c>
      <c r="AV17" s="202">
        <v>17</v>
      </c>
      <c r="AW17" s="5">
        <v>2.9</v>
      </c>
      <c r="AX17" s="202">
        <v>38</v>
      </c>
      <c r="AY17" s="433">
        <f t="shared" si="7"/>
        <v>44.1</v>
      </c>
      <c r="AZ17" s="433">
        <f t="shared" si="28"/>
        <v>18.700000000000003</v>
      </c>
      <c r="BA17" s="433">
        <f t="shared" si="29"/>
        <v>110.2</v>
      </c>
      <c r="BB17" s="21">
        <f t="shared" si="30"/>
        <v>13.5</v>
      </c>
      <c r="BC17" s="21">
        <f t="shared" si="31"/>
        <v>-11</v>
      </c>
      <c r="BD17" s="21">
        <f t="shared" si="31"/>
        <v>23.200000000000003</v>
      </c>
      <c r="BE17" s="24">
        <f t="shared" si="32"/>
        <v>25.700000000000003</v>
      </c>
      <c r="BF17" s="96">
        <f t="shared" si="8"/>
        <v>70.3</v>
      </c>
      <c r="BG17" s="82">
        <f t="shared" si="9"/>
        <v>25.700000000000003</v>
      </c>
    </row>
    <row r="18" spans="1:61" ht="15.75" thickBot="1">
      <c r="A18" s="6">
        <f>ELEC!C15</f>
        <v>44117</v>
      </c>
      <c r="B18" s="5">
        <f t="shared" si="10"/>
        <v>109096</v>
      </c>
      <c r="C18" s="5">
        <f t="shared" si="11"/>
        <v>0</v>
      </c>
      <c r="D18" s="424">
        <f t="shared" si="12"/>
        <v>0</v>
      </c>
      <c r="E18" s="336">
        <f>SUM((C18*$E$4)+(7500/'EDl log'!$A$38))</f>
        <v>241.93548387096774</v>
      </c>
      <c r="F18" s="423"/>
      <c r="G18" s="5">
        <f t="shared" si="33"/>
        <v>609308</v>
      </c>
      <c r="H18" s="5">
        <f t="shared" si="13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6555</v>
      </c>
      <c r="L18" s="83">
        <f t="shared" si="37"/>
        <v>0</v>
      </c>
      <c r="M18" s="415">
        <f t="shared" si="14"/>
        <v>457.44</v>
      </c>
      <c r="N18" s="522">
        <f t="shared" si="42"/>
        <v>0</v>
      </c>
      <c r="O18" s="415">
        <f t="shared" si="15"/>
        <v>529.52</v>
      </c>
      <c r="P18" s="522">
        <f t="shared" si="43"/>
        <v>0</v>
      </c>
      <c r="Q18" s="522">
        <f t="shared" si="44"/>
        <v>0</v>
      </c>
      <c r="R18" s="522"/>
      <c r="S18" s="522"/>
      <c r="T18" s="5">
        <v>5151</v>
      </c>
      <c r="U18" s="5">
        <f t="shared" si="4"/>
        <v>1</v>
      </c>
      <c r="V18" s="5">
        <f t="shared" si="16"/>
        <v>452</v>
      </c>
      <c r="W18" s="327">
        <f t="shared" si="17"/>
        <v>0</v>
      </c>
      <c r="X18" s="5">
        <f t="shared" si="38"/>
        <v>147801</v>
      </c>
      <c r="Y18" s="327">
        <f t="shared" si="39"/>
        <v>0</v>
      </c>
      <c r="Z18" s="5">
        <v>97254</v>
      </c>
      <c r="AA18" s="83">
        <f t="shared" si="18"/>
        <v>39</v>
      </c>
      <c r="AB18" s="5">
        <f t="shared" si="34"/>
        <v>260</v>
      </c>
      <c r="AC18" s="5">
        <f t="shared" si="19"/>
        <v>698</v>
      </c>
      <c r="AD18" s="83">
        <f t="shared" si="35"/>
        <v>0</v>
      </c>
      <c r="AE18" s="5">
        <f t="shared" si="20"/>
        <v>217.84</v>
      </c>
      <c r="AF18" s="83">
        <f t="shared" si="21"/>
        <v>0</v>
      </c>
      <c r="AG18" s="5">
        <f t="shared" si="22"/>
        <v>2176.58</v>
      </c>
      <c r="AH18" s="83">
        <f t="shared" si="23"/>
        <v>0</v>
      </c>
      <c r="AI18" s="83">
        <f t="shared" si="24"/>
        <v>0</v>
      </c>
      <c r="AJ18" s="329">
        <f t="shared" si="25"/>
        <v>39</v>
      </c>
      <c r="AK18" s="330">
        <f t="shared" si="36"/>
        <v>0</v>
      </c>
      <c r="AL18" s="330">
        <f t="shared" si="26"/>
        <v>39</v>
      </c>
      <c r="AM18" s="330">
        <f>'General information '!D18</f>
        <v>26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27"/>
        <v>44117</v>
      </c>
      <c r="AS18" s="429">
        <f t="shared" si="6"/>
        <v>0.9</v>
      </c>
      <c r="AT18" s="202">
        <v>13</v>
      </c>
      <c r="AU18" s="430">
        <f t="shared" si="41"/>
        <v>1.1000000000000001</v>
      </c>
      <c r="AV18" s="202">
        <v>39</v>
      </c>
      <c r="AW18" s="5">
        <v>2.9</v>
      </c>
      <c r="AX18" s="202">
        <v>36</v>
      </c>
      <c r="AY18" s="433">
        <f t="shared" si="7"/>
        <v>11.700000000000001</v>
      </c>
      <c r="AZ18" s="433">
        <f t="shared" si="28"/>
        <v>42.900000000000006</v>
      </c>
      <c r="BA18" s="433">
        <f t="shared" si="29"/>
        <v>104.39999999999999</v>
      </c>
      <c r="BB18" s="21">
        <f t="shared" si="30"/>
        <v>-32.4</v>
      </c>
      <c r="BC18" s="21">
        <f t="shared" si="31"/>
        <v>24.200000000000003</v>
      </c>
      <c r="BD18" s="21">
        <f t="shared" si="31"/>
        <v>-5.8000000000000114</v>
      </c>
      <c r="BE18" s="24">
        <f t="shared" si="32"/>
        <v>-14.000000000000007</v>
      </c>
      <c r="BF18" s="96">
        <f t="shared" si="8"/>
        <v>14.000000000000007</v>
      </c>
      <c r="BG18" s="82">
        <f t="shared" si="9"/>
        <v>-14.000000000000007</v>
      </c>
    </row>
    <row r="19" spans="1:61" ht="15.75" thickBot="1">
      <c r="A19" s="6">
        <f>ELEC!C16</f>
        <v>44118</v>
      </c>
      <c r="B19" s="5">
        <v>109192</v>
      </c>
      <c r="C19" s="5">
        <f t="shared" si="11"/>
        <v>96</v>
      </c>
      <c r="D19" s="424">
        <f t="shared" si="12"/>
        <v>3.5555555555555554</v>
      </c>
      <c r="E19" s="336">
        <f>SUM((C19*$E$4)+(7500/'EDl log'!$A$38))</f>
        <v>401.2954838709677</v>
      </c>
      <c r="F19" s="423"/>
      <c r="G19" s="5">
        <v>609451</v>
      </c>
      <c r="H19" s="5">
        <f t="shared" si="13"/>
        <v>143</v>
      </c>
      <c r="I19" s="5">
        <f t="shared" si="0"/>
        <v>239</v>
      </c>
      <c r="J19" s="337">
        <f t="shared" si="1"/>
        <v>1.679060601970576</v>
      </c>
      <c r="K19" s="5">
        <f>'Swimming Pool quality check '!H19</f>
        <v>6555</v>
      </c>
      <c r="L19" s="83">
        <f t="shared" si="37"/>
        <v>0</v>
      </c>
      <c r="M19" s="415">
        <f t="shared" si="14"/>
        <v>457.44</v>
      </c>
      <c r="N19" s="522">
        <f t="shared" si="42"/>
        <v>0</v>
      </c>
      <c r="O19" s="415">
        <f t="shared" si="15"/>
        <v>529.52</v>
      </c>
      <c r="P19" s="522">
        <f t="shared" si="43"/>
        <v>0</v>
      </c>
      <c r="Q19" s="522">
        <f t="shared" si="44"/>
        <v>0</v>
      </c>
      <c r="R19" s="522"/>
      <c r="S19" s="522"/>
      <c r="T19" s="5">
        <v>5151</v>
      </c>
      <c r="U19" s="5">
        <f t="shared" si="4"/>
        <v>0</v>
      </c>
      <c r="V19" s="5">
        <f t="shared" si="16"/>
        <v>452</v>
      </c>
      <c r="W19" s="327">
        <f t="shared" si="17"/>
        <v>0</v>
      </c>
      <c r="X19" s="5">
        <v>147801</v>
      </c>
      <c r="Y19" s="327">
        <f t="shared" si="39"/>
        <v>0</v>
      </c>
      <c r="Z19" s="5">
        <v>97267</v>
      </c>
      <c r="AA19" s="83">
        <f t="shared" si="18"/>
        <v>13</v>
      </c>
      <c r="AB19" s="5">
        <f t="shared" si="34"/>
        <v>260</v>
      </c>
      <c r="AC19" s="5">
        <f t="shared" si="19"/>
        <v>698</v>
      </c>
      <c r="AD19" s="83">
        <f t="shared" si="35"/>
        <v>0</v>
      </c>
      <c r="AE19" s="5">
        <f t="shared" si="20"/>
        <v>217.84</v>
      </c>
      <c r="AF19" s="83">
        <f t="shared" si="21"/>
        <v>0</v>
      </c>
      <c r="AG19" s="5">
        <f t="shared" si="22"/>
        <v>2176.58</v>
      </c>
      <c r="AH19" s="83">
        <f t="shared" si="23"/>
        <v>0</v>
      </c>
      <c r="AI19" s="83">
        <f t="shared" si="24"/>
        <v>0</v>
      </c>
      <c r="AJ19" s="329">
        <f t="shared" si="25"/>
        <v>13</v>
      </c>
      <c r="AK19" s="330">
        <f t="shared" si="36"/>
        <v>0</v>
      </c>
      <c r="AL19" s="330">
        <f t="shared" si="26"/>
        <v>13</v>
      </c>
      <c r="AM19" s="330">
        <f>'General information '!D19</f>
        <v>25.5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27"/>
        <v>44118</v>
      </c>
      <c r="AS19" s="429">
        <f t="shared" si="6"/>
        <v>0.9</v>
      </c>
      <c r="AT19" s="202">
        <v>89</v>
      </c>
      <c r="AU19" s="430">
        <f t="shared" si="41"/>
        <v>1.1000000000000001</v>
      </c>
      <c r="AV19" s="202">
        <v>44</v>
      </c>
      <c r="AW19" s="5">
        <v>2.9</v>
      </c>
      <c r="AX19" s="202">
        <v>52</v>
      </c>
      <c r="AY19" s="433">
        <f t="shared" si="7"/>
        <v>80.100000000000009</v>
      </c>
      <c r="AZ19" s="433">
        <f t="shared" si="28"/>
        <v>48.400000000000006</v>
      </c>
      <c r="BA19" s="433">
        <f t="shared" si="29"/>
        <v>150.79999999999998</v>
      </c>
      <c r="BB19" s="21">
        <f t="shared" si="30"/>
        <v>68.400000000000006</v>
      </c>
      <c r="BC19" s="21">
        <f t="shared" si="31"/>
        <v>5.5</v>
      </c>
      <c r="BD19" s="21">
        <f t="shared" si="31"/>
        <v>46.399999999999991</v>
      </c>
      <c r="BE19" s="24">
        <f t="shared" si="32"/>
        <v>120.3</v>
      </c>
      <c r="BF19" s="96">
        <f t="shared" si="8"/>
        <v>118.7</v>
      </c>
      <c r="BG19" s="82">
        <f t="shared" si="9"/>
        <v>120.3</v>
      </c>
    </row>
    <row r="20" spans="1:61" ht="15.75" thickBot="1">
      <c r="A20" s="6">
        <f>ELEC!C17</f>
        <v>44119</v>
      </c>
      <c r="B20" s="5">
        <f t="shared" si="10"/>
        <v>109192</v>
      </c>
      <c r="C20" s="5">
        <f t="shared" si="11"/>
        <v>0</v>
      </c>
      <c r="D20" s="424">
        <f t="shared" si="12"/>
        <v>0</v>
      </c>
      <c r="E20" s="336">
        <f>SUM((C20*$E$4)+(7500/'EDl log'!$A$38))</f>
        <v>241.93548387096774</v>
      </c>
      <c r="F20" s="423"/>
      <c r="G20" s="5">
        <v>609451</v>
      </c>
      <c r="H20" s="5">
        <f t="shared" si="13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6555</v>
      </c>
      <c r="L20" s="83">
        <f t="shared" si="37"/>
        <v>0</v>
      </c>
      <c r="M20" s="415">
        <f t="shared" si="14"/>
        <v>457.44</v>
      </c>
      <c r="N20" s="522">
        <f t="shared" si="42"/>
        <v>0</v>
      </c>
      <c r="O20" s="415">
        <f t="shared" si="15"/>
        <v>529.52</v>
      </c>
      <c r="P20" s="522">
        <f t="shared" si="43"/>
        <v>0</v>
      </c>
      <c r="Q20" s="522">
        <f t="shared" si="44"/>
        <v>0</v>
      </c>
      <c r="R20" s="522"/>
      <c r="S20" s="522"/>
      <c r="T20" s="5">
        <v>5153</v>
      </c>
      <c r="U20" s="5">
        <f t="shared" si="4"/>
        <v>2</v>
      </c>
      <c r="V20" s="5">
        <f t="shared" si="16"/>
        <v>452</v>
      </c>
      <c r="W20" s="327">
        <f t="shared" si="17"/>
        <v>0</v>
      </c>
      <c r="X20" s="5">
        <v>147955</v>
      </c>
      <c r="Y20" s="327">
        <f t="shared" si="39"/>
        <v>154</v>
      </c>
      <c r="Z20" s="5">
        <f t="shared" si="40"/>
        <v>97267</v>
      </c>
      <c r="AA20" s="83">
        <f t="shared" si="18"/>
        <v>0</v>
      </c>
      <c r="AB20" s="5">
        <f t="shared" si="34"/>
        <v>260</v>
      </c>
      <c r="AC20" s="5">
        <f t="shared" si="19"/>
        <v>698</v>
      </c>
      <c r="AD20" s="83">
        <f t="shared" si="35"/>
        <v>0</v>
      </c>
      <c r="AE20" s="5">
        <f t="shared" si="20"/>
        <v>217.84</v>
      </c>
      <c r="AF20" s="83">
        <f t="shared" si="21"/>
        <v>0</v>
      </c>
      <c r="AG20" s="5">
        <f t="shared" si="22"/>
        <v>2176.58</v>
      </c>
      <c r="AH20" s="83">
        <f t="shared" si="23"/>
        <v>0</v>
      </c>
      <c r="AI20" s="83">
        <f t="shared" si="24"/>
        <v>0</v>
      </c>
      <c r="AJ20" s="329">
        <f t="shared" si="25"/>
        <v>0</v>
      </c>
      <c r="AK20" s="330">
        <f t="shared" si="36"/>
        <v>154</v>
      </c>
      <c r="AL20" s="330">
        <f t="shared" si="26"/>
        <v>0</v>
      </c>
      <c r="AM20" s="330">
        <f>'General information '!D20</f>
        <v>25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27"/>
        <v>44119</v>
      </c>
      <c r="AS20" s="429">
        <f t="shared" si="6"/>
        <v>0.9</v>
      </c>
      <c r="AT20" s="202">
        <v>35</v>
      </c>
      <c r="AU20" s="430">
        <f t="shared" si="41"/>
        <v>1.1000000000000001</v>
      </c>
      <c r="AV20" s="202">
        <v>37</v>
      </c>
      <c r="AW20" s="5">
        <v>2.9</v>
      </c>
      <c r="AX20" s="202">
        <v>64</v>
      </c>
      <c r="AY20" s="433">
        <f t="shared" si="7"/>
        <v>31.5</v>
      </c>
      <c r="AZ20" s="433">
        <f t="shared" si="28"/>
        <v>40.700000000000003</v>
      </c>
      <c r="BA20" s="433">
        <f t="shared" si="29"/>
        <v>185.6</v>
      </c>
      <c r="BB20" s="21">
        <f t="shared" si="30"/>
        <v>-48.600000000000009</v>
      </c>
      <c r="BC20" s="21">
        <f t="shared" si="31"/>
        <v>-7.7000000000000028</v>
      </c>
      <c r="BD20" s="21">
        <f t="shared" si="31"/>
        <v>34.800000000000011</v>
      </c>
      <c r="BE20" s="24">
        <f t="shared" si="32"/>
        <v>-21.5</v>
      </c>
      <c r="BF20" s="96">
        <f t="shared" si="8"/>
        <v>21.5</v>
      </c>
      <c r="BG20" s="82">
        <f t="shared" si="9"/>
        <v>-21.5</v>
      </c>
    </row>
    <row r="21" spans="1:61" ht="15.75" thickBot="1">
      <c r="A21" s="6">
        <f>ELEC!C18</f>
        <v>44120</v>
      </c>
      <c r="B21" s="5">
        <f t="shared" si="10"/>
        <v>109192</v>
      </c>
      <c r="C21" s="5">
        <f t="shared" si="11"/>
        <v>0</v>
      </c>
      <c r="D21" s="424">
        <f t="shared" si="12"/>
        <v>0</v>
      </c>
      <c r="E21" s="336">
        <f>SUM((C21*$E$4)+(7500/'EDl log'!$A$38))</f>
        <v>241.93548387096774</v>
      </c>
      <c r="F21" s="330"/>
      <c r="G21" s="5">
        <f t="shared" si="33"/>
        <v>609451</v>
      </c>
      <c r="H21" s="5">
        <f t="shared" si="13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6568</v>
      </c>
      <c r="L21" s="83">
        <f t="shared" si="37"/>
        <v>13</v>
      </c>
      <c r="M21" s="415">
        <f t="shared" si="14"/>
        <v>457.44</v>
      </c>
      <c r="N21" s="522">
        <f t="shared" si="42"/>
        <v>0</v>
      </c>
      <c r="O21" s="415">
        <f t="shared" si="15"/>
        <v>529.52</v>
      </c>
      <c r="P21" s="522">
        <f t="shared" si="43"/>
        <v>0</v>
      </c>
      <c r="Q21" s="522">
        <f t="shared" si="44"/>
        <v>0</v>
      </c>
      <c r="R21" s="522"/>
      <c r="S21" s="522"/>
      <c r="T21" s="5">
        <v>5155</v>
      </c>
      <c r="U21" s="5">
        <f t="shared" si="4"/>
        <v>2</v>
      </c>
      <c r="V21" s="5">
        <f t="shared" si="16"/>
        <v>452</v>
      </c>
      <c r="W21" s="327">
        <f t="shared" si="17"/>
        <v>0</v>
      </c>
      <c r="X21" s="5">
        <v>147983</v>
      </c>
      <c r="Y21" s="327">
        <f>SUM(X21-X20)</f>
        <v>28</v>
      </c>
      <c r="Z21" s="5">
        <v>97270</v>
      </c>
      <c r="AA21" s="83">
        <f t="shared" si="18"/>
        <v>3</v>
      </c>
      <c r="AB21" s="5">
        <f t="shared" si="34"/>
        <v>260</v>
      </c>
      <c r="AC21" s="5">
        <f t="shared" si="19"/>
        <v>698</v>
      </c>
      <c r="AD21" s="83">
        <f t="shared" si="35"/>
        <v>0</v>
      </c>
      <c r="AE21" s="5">
        <f t="shared" si="20"/>
        <v>217.84</v>
      </c>
      <c r="AF21" s="83">
        <f t="shared" si="21"/>
        <v>0</v>
      </c>
      <c r="AG21" s="5">
        <f t="shared" si="22"/>
        <v>2176.58</v>
      </c>
      <c r="AH21" s="83">
        <f t="shared" si="23"/>
        <v>0</v>
      </c>
      <c r="AI21" s="83">
        <f t="shared" si="24"/>
        <v>0</v>
      </c>
      <c r="AJ21" s="329">
        <f t="shared" si="25"/>
        <v>3</v>
      </c>
      <c r="AK21" s="330">
        <f t="shared" si="36"/>
        <v>15</v>
      </c>
      <c r="AL21" s="330">
        <f t="shared" si="26"/>
        <v>3</v>
      </c>
      <c r="AM21" s="330">
        <f>'General information '!D21</f>
        <v>25.5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27"/>
        <v>44120</v>
      </c>
      <c r="AS21" s="429">
        <f t="shared" si="6"/>
        <v>0.9</v>
      </c>
      <c r="AT21" s="202">
        <v>84</v>
      </c>
      <c r="AU21" s="430">
        <f t="shared" si="41"/>
        <v>1.1000000000000001</v>
      </c>
      <c r="AV21" s="202">
        <v>30</v>
      </c>
      <c r="AW21" s="5">
        <v>2.9</v>
      </c>
      <c r="AX21" s="202">
        <v>40</v>
      </c>
      <c r="AY21" s="433">
        <f t="shared" si="7"/>
        <v>75.600000000000009</v>
      </c>
      <c r="AZ21" s="433">
        <f t="shared" si="28"/>
        <v>33</v>
      </c>
      <c r="BA21" s="433">
        <f t="shared" si="29"/>
        <v>116</v>
      </c>
      <c r="BB21" s="21">
        <f t="shared" si="30"/>
        <v>44.100000000000009</v>
      </c>
      <c r="BC21" s="21">
        <f t="shared" si="31"/>
        <v>-7.7000000000000028</v>
      </c>
      <c r="BD21" s="21">
        <f t="shared" si="31"/>
        <v>-69.599999999999994</v>
      </c>
      <c r="BE21" s="24">
        <f t="shared" si="32"/>
        <v>-33.199999999999989</v>
      </c>
      <c r="BF21" s="96">
        <f t="shared" si="8"/>
        <v>33.199999999999989</v>
      </c>
      <c r="BG21" s="82">
        <f t="shared" si="9"/>
        <v>-33.199999999999989</v>
      </c>
    </row>
    <row r="22" spans="1:61" ht="15.75" thickBot="1">
      <c r="A22" s="6">
        <f>ELEC!C19</f>
        <v>44121</v>
      </c>
      <c r="B22" s="5">
        <f t="shared" si="10"/>
        <v>109192</v>
      </c>
      <c r="C22" s="5">
        <f t="shared" si="11"/>
        <v>0</v>
      </c>
      <c r="D22" s="424">
        <f t="shared" si="12"/>
        <v>0</v>
      </c>
      <c r="E22" s="336">
        <f>SUM((C22*$E$4)+(7500/'EDl log'!$A$38))</f>
        <v>241.93548387096774</v>
      </c>
      <c r="F22" s="330"/>
      <c r="G22" s="5">
        <f t="shared" si="33"/>
        <v>609451</v>
      </c>
      <c r="H22" s="5">
        <f t="shared" si="13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6571</v>
      </c>
      <c r="L22" s="83">
        <f t="shared" si="37"/>
        <v>3</v>
      </c>
      <c r="M22" s="415">
        <f t="shared" si="14"/>
        <v>457.44</v>
      </c>
      <c r="N22" s="522">
        <f t="shared" si="42"/>
        <v>0</v>
      </c>
      <c r="O22" s="415">
        <f t="shared" si="15"/>
        <v>529.52</v>
      </c>
      <c r="P22" s="522">
        <f t="shared" si="43"/>
        <v>0</v>
      </c>
      <c r="Q22" s="522">
        <f t="shared" si="44"/>
        <v>0</v>
      </c>
      <c r="R22" s="522"/>
      <c r="S22" s="522"/>
      <c r="T22" s="5">
        <v>5156</v>
      </c>
      <c r="U22" s="5">
        <f t="shared" si="4"/>
        <v>1</v>
      </c>
      <c r="V22" s="5">
        <f t="shared" si="16"/>
        <v>452</v>
      </c>
      <c r="W22" s="327">
        <f t="shared" si="17"/>
        <v>0</v>
      </c>
      <c r="X22" s="5">
        <f t="shared" si="38"/>
        <v>147983</v>
      </c>
      <c r="Y22" s="327">
        <f t="shared" si="39"/>
        <v>0</v>
      </c>
      <c r="Z22" s="5">
        <v>97289</v>
      </c>
      <c r="AA22" s="83">
        <f t="shared" si="18"/>
        <v>19</v>
      </c>
      <c r="AB22" s="5">
        <f t="shared" si="34"/>
        <v>260</v>
      </c>
      <c r="AC22" s="5">
        <f t="shared" si="19"/>
        <v>698</v>
      </c>
      <c r="AD22" s="83">
        <f t="shared" si="35"/>
        <v>0</v>
      </c>
      <c r="AE22" s="5">
        <f t="shared" si="20"/>
        <v>217.84</v>
      </c>
      <c r="AF22" s="83">
        <f t="shared" si="21"/>
        <v>0</v>
      </c>
      <c r="AG22" s="5">
        <f t="shared" si="22"/>
        <v>2176.58</v>
      </c>
      <c r="AH22" s="83">
        <f t="shared" si="23"/>
        <v>0</v>
      </c>
      <c r="AI22" s="83">
        <f t="shared" si="24"/>
        <v>0</v>
      </c>
      <c r="AJ22" s="329">
        <f t="shared" si="25"/>
        <v>19</v>
      </c>
      <c r="AK22" s="330">
        <f t="shared" si="36"/>
        <v>-3</v>
      </c>
      <c r="AL22" s="330">
        <f t="shared" si="26"/>
        <v>19</v>
      </c>
      <c r="AM22" s="330">
        <f>'General information '!D22</f>
        <v>24.5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27"/>
        <v>44121</v>
      </c>
      <c r="AS22" s="429">
        <f t="shared" ref="AS22:AT36" si="45">AS21</f>
        <v>0.9</v>
      </c>
      <c r="AT22" s="202">
        <v>42</v>
      </c>
      <c r="AU22" s="430">
        <f t="shared" si="41"/>
        <v>1.1000000000000001</v>
      </c>
      <c r="AV22" s="202">
        <v>40</v>
      </c>
      <c r="AW22" s="5">
        <v>2.9</v>
      </c>
      <c r="AX22" s="202">
        <v>33</v>
      </c>
      <c r="AY22" s="433">
        <f t="shared" si="7"/>
        <v>37.800000000000004</v>
      </c>
      <c r="AZ22" s="433">
        <f t="shared" si="28"/>
        <v>44</v>
      </c>
      <c r="BA22" s="433">
        <f t="shared" si="29"/>
        <v>95.7</v>
      </c>
      <c r="BB22" s="21">
        <f>AY22-AY21</f>
        <v>-37.800000000000004</v>
      </c>
      <c r="BC22" s="21">
        <f t="shared" si="30"/>
        <v>11</v>
      </c>
      <c r="BD22" s="21">
        <f t="shared" si="30"/>
        <v>-20.299999999999997</v>
      </c>
      <c r="BE22" s="24">
        <f t="shared" si="32"/>
        <v>-47.1</v>
      </c>
      <c r="BF22" s="96">
        <f t="shared" si="8"/>
        <v>47.1</v>
      </c>
      <c r="BG22" s="82">
        <f t="shared" si="9"/>
        <v>-47.1</v>
      </c>
    </row>
    <row r="23" spans="1:61" ht="15.75" thickBot="1">
      <c r="A23" s="6">
        <f>ELEC!C20</f>
        <v>44122</v>
      </c>
      <c r="B23" s="5">
        <f t="shared" si="10"/>
        <v>109192</v>
      </c>
      <c r="C23" s="5">
        <f t="shared" si="11"/>
        <v>0</v>
      </c>
      <c r="D23" s="424">
        <f t="shared" si="12"/>
        <v>0</v>
      </c>
      <c r="E23" s="336">
        <f>SUM((C23*$E$4)+(7500/'EDl log'!$A$38))</f>
        <v>241.93548387096774</v>
      </c>
      <c r="F23" s="330"/>
      <c r="G23" s="5">
        <f t="shared" si="33"/>
        <v>609451</v>
      </c>
      <c r="H23" s="5">
        <f t="shared" si="13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6571</v>
      </c>
      <c r="L23" s="276">
        <f t="shared" si="37"/>
        <v>0</v>
      </c>
      <c r="M23" s="415">
        <f t="shared" si="14"/>
        <v>457.44</v>
      </c>
      <c r="N23" s="522">
        <f t="shared" si="42"/>
        <v>0</v>
      </c>
      <c r="O23" s="415">
        <f t="shared" si="15"/>
        <v>529.52</v>
      </c>
      <c r="P23" s="522">
        <f t="shared" si="43"/>
        <v>0</v>
      </c>
      <c r="Q23" s="522">
        <f t="shared" si="44"/>
        <v>0</v>
      </c>
      <c r="R23" s="524"/>
      <c r="S23" s="524"/>
      <c r="T23" s="5">
        <v>5157</v>
      </c>
      <c r="U23" s="5">
        <f t="shared" si="4"/>
        <v>1</v>
      </c>
      <c r="V23" s="5">
        <f t="shared" si="16"/>
        <v>452</v>
      </c>
      <c r="W23" s="327">
        <f t="shared" si="17"/>
        <v>0</v>
      </c>
      <c r="X23" s="5">
        <v>147984</v>
      </c>
      <c r="Y23" s="327">
        <f t="shared" si="39"/>
        <v>1</v>
      </c>
      <c r="Z23" s="5">
        <v>97325</v>
      </c>
      <c r="AA23" s="83">
        <f t="shared" si="18"/>
        <v>36</v>
      </c>
      <c r="AB23" s="5">
        <f t="shared" si="34"/>
        <v>260</v>
      </c>
      <c r="AC23" s="5">
        <f t="shared" si="19"/>
        <v>698</v>
      </c>
      <c r="AD23" s="83">
        <f t="shared" si="35"/>
        <v>0</v>
      </c>
      <c r="AE23" s="5">
        <v>221.5</v>
      </c>
      <c r="AF23" s="83">
        <f t="shared" si="21"/>
        <v>3.6599999999999966</v>
      </c>
      <c r="AG23" s="5">
        <v>2180.7399999999998</v>
      </c>
      <c r="AH23" s="83">
        <f t="shared" si="23"/>
        <v>4.1599999999998545</v>
      </c>
      <c r="AI23" s="83">
        <f t="shared" si="24"/>
        <v>7.8199999999998511</v>
      </c>
      <c r="AJ23" s="329">
        <f t="shared" si="25"/>
        <v>36</v>
      </c>
      <c r="AK23" s="330">
        <f t="shared" si="36"/>
        <v>1</v>
      </c>
      <c r="AL23" s="330">
        <f t="shared" si="26"/>
        <v>36</v>
      </c>
      <c r="AM23" s="330">
        <f>'General information '!D23</f>
        <v>26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27"/>
        <v>44122</v>
      </c>
      <c r="AS23" s="429">
        <f t="shared" si="45"/>
        <v>0.9</v>
      </c>
      <c r="AT23" s="202">
        <v>96</v>
      </c>
      <c r="AU23" s="430">
        <f t="shared" si="41"/>
        <v>1.1000000000000001</v>
      </c>
      <c r="AV23" s="202">
        <v>60</v>
      </c>
      <c r="AW23" s="5">
        <v>2.9</v>
      </c>
      <c r="AX23" s="202">
        <v>43</v>
      </c>
      <c r="AY23" s="433">
        <f t="shared" si="7"/>
        <v>86.4</v>
      </c>
      <c r="AZ23" s="433">
        <f t="shared" si="28"/>
        <v>66</v>
      </c>
      <c r="BA23" s="433">
        <f t="shared" si="29"/>
        <v>124.7</v>
      </c>
      <c r="BB23" s="21">
        <f t="shared" si="30"/>
        <v>48.6</v>
      </c>
      <c r="BC23" s="21">
        <f t="shared" si="30"/>
        <v>22</v>
      </c>
      <c r="BD23" s="21">
        <f t="shared" si="30"/>
        <v>29</v>
      </c>
      <c r="BE23" s="24">
        <f t="shared" si="32"/>
        <v>99.6</v>
      </c>
      <c r="BF23" s="96">
        <f t="shared" si="8"/>
        <v>-99.6</v>
      </c>
      <c r="BG23" s="82">
        <f t="shared" si="9"/>
        <v>99.6</v>
      </c>
    </row>
    <row r="24" spans="1:61" ht="15.75" thickBot="1">
      <c r="A24" s="6">
        <f>ELEC!C21</f>
        <v>44123</v>
      </c>
      <c r="B24" s="5">
        <f t="shared" si="10"/>
        <v>109192</v>
      </c>
      <c r="C24" s="5">
        <f t="shared" si="11"/>
        <v>0</v>
      </c>
      <c r="D24" s="424">
        <f t="shared" si="12"/>
        <v>0</v>
      </c>
      <c r="E24" s="336">
        <f>SUM((C24*$E$4)+(7500/'EDl log'!$A$38))</f>
        <v>241.93548387096774</v>
      </c>
      <c r="F24" s="330"/>
      <c r="G24" s="5">
        <f t="shared" si="33"/>
        <v>609451</v>
      </c>
      <c r="H24" s="5">
        <f t="shared" si="13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6574</v>
      </c>
      <c r="L24" s="276">
        <f t="shared" si="37"/>
        <v>3</v>
      </c>
      <c r="M24" s="415">
        <f t="shared" si="14"/>
        <v>457.44</v>
      </c>
      <c r="N24" s="522">
        <f t="shared" si="42"/>
        <v>0</v>
      </c>
      <c r="O24" s="415">
        <f t="shared" si="15"/>
        <v>529.52</v>
      </c>
      <c r="P24" s="522">
        <f t="shared" si="43"/>
        <v>0</v>
      </c>
      <c r="Q24" s="522">
        <f t="shared" si="44"/>
        <v>0</v>
      </c>
      <c r="R24" s="524"/>
      <c r="S24" s="524"/>
      <c r="T24" s="5">
        <v>5158</v>
      </c>
      <c r="U24" s="5">
        <f t="shared" si="4"/>
        <v>1</v>
      </c>
      <c r="V24" s="5">
        <f t="shared" si="16"/>
        <v>452</v>
      </c>
      <c r="W24" s="327">
        <f t="shared" si="17"/>
        <v>0</v>
      </c>
      <c r="X24" s="5">
        <f t="shared" si="38"/>
        <v>147984</v>
      </c>
      <c r="Y24" s="327">
        <f t="shared" si="39"/>
        <v>0</v>
      </c>
      <c r="Z24" s="5">
        <f t="shared" si="40"/>
        <v>97325</v>
      </c>
      <c r="AA24" s="83">
        <f t="shared" si="18"/>
        <v>0</v>
      </c>
      <c r="AB24" s="5">
        <f t="shared" si="34"/>
        <v>260</v>
      </c>
      <c r="AC24" s="5">
        <f t="shared" si="19"/>
        <v>698</v>
      </c>
      <c r="AD24" s="83">
        <f t="shared" si="35"/>
        <v>0</v>
      </c>
      <c r="AE24" s="5">
        <f t="shared" si="20"/>
        <v>221.5</v>
      </c>
      <c r="AF24" s="83">
        <f t="shared" si="21"/>
        <v>0</v>
      </c>
      <c r="AG24" s="5">
        <f t="shared" si="22"/>
        <v>2180.7399999999998</v>
      </c>
      <c r="AH24" s="83">
        <f t="shared" si="23"/>
        <v>0</v>
      </c>
      <c r="AI24" s="83">
        <f t="shared" si="24"/>
        <v>0</v>
      </c>
      <c r="AJ24" s="329">
        <f t="shared" si="25"/>
        <v>0</v>
      </c>
      <c r="AK24" s="330">
        <f t="shared" si="36"/>
        <v>-3</v>
      </c>
      <c r="AL24" s="330">
        <f t="shared" si="26"/>
        <v>0</v>
      </c>
      <c r="AM24" s="330">
        <f>'General information '!D24</f>
        <v>27.5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27"/>
        <v>44123</v>
      </c>
      <c r="AS24" s="429">
        <f t="shared" si="45"/>
        <v>0.9</v>
      </c>
      <c r="AT24" s="202">
        <v>55</v>
      </c>
      <c r="AU24" s="430">
        <f t="shared" si="41"/>
        <v>1.1000000000000001</v>
      </c>
      <c r="AV24" s="202">
        <v>53</v>
      </c>
      <c r="AW24" s="5">
        <v>2.9</v>
      </c>
      <c r="AX24" s="202">
        <v>82</v>
      </c>
      <c r="AY24" s="433">
        <f t="shared" si="7"/>
        <v>49.5</v>
      </c>
      <c r="AZ24" s="433">
        <f t="shared" si="28"/>
        <v>58.300000000000004</v>
      </c>
      <c r="BA24" s="433">
        <f t="shared" si="29"/>
        <v>237.79999999999998</v>
      </c>
      <c r="BB24" s="21">
        <f t="shared" si="30"/>
        <v>-36.900000000000006</v>
      </c>
      <c r="BC24" s="21">
        <f t="shared" si="30"/>
        <v>-7.6999999999999957</v>
      </c>
      <c r="BD24" s="21">
        <f t="shared" si="30"/>
        <v>113.09999999999998</v>
      </c>
      <c r="BE24" s="24">
        <f t="shared" si="32"/>
        <v>68.499999999999972</v>
      </c>
      <c r="BF24" s="96">
        <f t="shared" si="8"/>
        <v>-68.499999999999972</v>
      </c>
      <c r="BG24" s="82">
        <f t="shared" si="9"/>
        <v>68.499999999999972</v>
      </c>
      <c r="BI24" s="82"/>
    </row>
    <row r="25" spans="1:61" ht="15.75" thickBot="1">
      <c r="A25" s="6">
        <f>ELEC!C22</f>
        <v>44124</v>
      </c>
      <c r="B25" s="5">
        <f t="shared" si="10"/>
        <v>109192</v>
      </c>
      <c r="C25" s="5">
        <f t="shared" si="11"/>
        <v>0</v>
      </c>
      <c r="D25" s="424">
        <f t="shared" si="12"/>
        <v>0</v>
      </c>
      <c r="E25" s="336">
        <f>SUM((C25*$E$4)+(7500/'EDl log'!$A$38))</f>
        <v>241.93548387096774</v>
      </c>
      <c r="F25" s="330"/>
      <c r="G25" s="5">
        <v>609879</v>
      </c>
      <c r="H25" s="5">
        <f t="shared" si="13"/>
        <v>428</v>
      </c>
      <c r="I25" s="5">
        <f t="shared" si="0"/>
        <v>428</v>
      </c>
      <c r="J25" s="337">
        <f t="shared" si="1"/>
        <v>0.56526982212842936</v>
      </c>
      <c r="K25" s="5">
        <f>'Swimming Pool quality check '!H25</f>
        <v>6577</v>
      </c>
      <c r="L25" s="276">
        <f t="shared" si="37"/>
        <v>3</v>
      </c>
      <c r="M25" s="415">
        <f t="shared" si="14"/>
        <v>457.44</v>
      </c>
      <c r="N25" s="522">
        <f t="shared" si="42"/>
        <v>0</v>
      </c>
      <c r="O25" s="415">
        <f t="shared" si="15"/>
        <v>529.52</v>
      </c>
      <c r="P25" s="522">
        <f t="shared" si="43"/>
        <v>0</v>
      </c>
      <c r="Q25" s="522">
        <f t="shared" si="44"/>
        <v>0</v>
      </c>
      <c r="R25" s="524"/>
      <c r="S25" s="524"/>
      <c r="T25" s="5">
        <f t="shared" ref="T25:T36" si="46">T24</f>
        <v>5158</v>
      </c>
      <c r="U25" s="5">
        <f t="shared" si="4"/>
        <v>0</v>
      </c>
      <c r="V25" s="5">
        <f t="shared" si="16"/>
        <v>452</v>
      </c>
      <c r="W25" s="327">
        <f t="shared" si="17"/>
        <v>0</v>
      </c>
      <c r="X25" s="5">
        <f t="shared" si="38"/>
        <v>147984</v>
      </c>
      <c r="Y25" s="327">
        <f t="shared" si="39"/>
        <v>0</v>
      </c>
      <c r="Z25" s="5">
        <f t="shared" si="40"/>
        <v>97325</v>
      </c>
      <c r="AA25" s="83">
        <f t="shared" si="18"/>
        <v>0</v>
      </c>
      <c r="AB25" s="5">
        <f t="shared" si="34"/>
        <v>260</v>
      </c>
      <c r="AC25" s="5">
        <f t="shared" si="19"/>
        <v>698</v>
      </c>
      <c r="AD25" s="83">
        <f t="shared" si="35"/>
        <v>0</v>
      </c>
      <c r="AE25" s="5">
        <f t="shared" si="20"/>
        <v>221.5</v>
      </c>
      <c r="AF25" s="83">
        <f t="shared" si="21"/>
        <v>0</v>
      </c>
      <c r="AG25" s="5">
        <f t="shared" si="22"/>
        <v>2180.7399999999998</v>
      </c>
      <c r="AH25" s="83">
        <f t="shared" si="23"/>
        <v>0</v>
      </c>
      <c r="AI25" s="83">
        <f t="shared" si="24"/>
        <v>0</v>
      </c>
      <c r="AJ25" s="329">
        <f t="shared" si="25"/>
        <v>0</v>
      </c>
      <c r="AK25" s="330">
        <f t="shared" si="36"/>
        <v>-3</v>
      </c>
      <c r="AL25" s="330">
        <f t="shared" si="26"/>
        <v>0</v>
      </c>
      <c r="AM25" s="330">
        <f>'General information '!D25</f>
        <v>27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27"/>
        <v>44124</v>
      </c>
      <c r="AS25" s="429">
        <f t="shared" si="45"/>
        <v>0.9</v>
      </c>
      <c r="AT25" s="202">
        <v>112</v>
      </c>
      <c r="AU25" s="430">
        <f t="shared" si="41"/>
        <v>1.1000000000000001</v>
      </c>
      <c r="AV25" s="202">
        <v>47</v>
      </c>
      <c r="AW25" s="5">
        <v>2.9</v>
      </c>
      <c r="AX25" s="202">
        <v>80</v>
      </c>
      <c r="AY25" s="433">
        <f t="shared" si="7"/>
        <v>100.8</v>
      </c>
      <c r="AZ25" s="433">
        <f t="shared" si="28"/>
        <v>51.7</v>
      </c>
      <c r="BA25" s="433">
        <f t="shared" si="29"/>
        <v>232</v>
      </c>
      <c r="BB25" s="21">
        <f t="shared" si="30"/>
        <v>51.3</v>
      </c>
      <c r="BC25" s="21">
        <f t="shared" si="30"/>
        <v>-6.6000000000000014</v>
      </c>
      <c r="BD25" s="21">
        <f t="shared" si="30"/>
        <v>-5.7999999999999829</v>
      </c>
      <c r="BE25" s="24">
        <f t="shared" si="32"/>
        <v>38.900000000000013</v>
      </c>
      <c r="BF25" s="96">
        <f t="shared" si="8"/>
        <v>389.09999999999997</v>
      </c>
      <c r="BG25" s="82">
        <f t="shared" si="9"/>
        <v>38.900000000000034</v>
      </c>
    </row>
    <row r="26" spans="1:61" ht="15.75" thickBot="1">
      <c r="A26" s="6">
        <f>ELEC!C23</f>
        <v>44125</v>
      </c>
      <c r="B26" s="5">
        <f t="shared" si="10"/>
        <v>109192</v>
      </c>
      <c r="C26" s="5">
        <f t="shared" si="11"/>
        <v>0</v>
      </c>
      <c r="D26" s="424">
        <f t="shared" si="12"/>
        <v>0</v>
      </c>
      <c r="E26" s="336">
        <f>SUM((C26*$E$4)+(7500/'EDl log'!$A$38))</f>
        <v>241.93548387096774</v>
      </c>
      <c r="F26" s="330"/>
      <c r="G26" s="5">
        <f t="shared" si="33"/>
        <v>609879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6584</v>
      </c>
      <c r="L26" s="276">
        <f t="shared" si="37"/>
        <v>7</v>
      </c>
      <c r="M26" s="415">
        <f t="shared" si="14"/>
        <v>457.44</v>
      </c>
      <c r="N26" s="522">
        <f t="shared" si="42"/>
        <v>0</v>
      </c>
      <c r="O26" s="415">
        <f t="shared" si="15"/>
        <v>529.52</v>
      </c>
      <c r="P26" s="522">
        <f t="shared" si="43"/>
        <v>0</v>
      </c>
      <c r="Q26" s="522">
        <f t="shared" si="44"/>
        <v>0</v>
      </c>
      <c r="R26" s="524"/>
      <c r="S26" s="524"/>
      <c r="T26" s="5">
        <v>5158</v>
      </c>
      <c r="U26" s="5">
        <f t="shared" si="4"/>
        <v>0</v>
      </c>
      <c r="V26" s="5">
        <f t="shared" si="16"/>
        <v>452</v>
      </c>
      <c r="W26" s="327">
        <f t="shared" si="17"/>
        <v>0</v>
      </c>
      <c r="X26" s="5">
        <f t="shared" si="38"/>
        <v>147984</v>
      </c>
      <c r="Y26" s="327">
        <f t="shared" si="39"/>
        <v>0</v>
      </c>
      <c r="Z26" s="5">
        <f t="shared" si="40"/>
        <v>97325</v>
      </c>
      <c r="AA26" s="83">
        <f t="shared" si="18"/>
        <v>0</v>
      </c>
      <c r="AB26" s="5">
        <f t="shared" si="34"/>
        <v>260</v>
      </c>
      <c r="AC26" s="5">
        <f t="shared" si="19"/>
        <v>698</v>
      </c>
      <c r="AD26" s="83">
        <f t="shared" si="35"/>
        <v>0</v>
      </c>
      <c r="AE26" s="5">
        <f t="shared" si="20"/>
        <v>221.5</v>
      </c>
      <c r="AF26" s="83">
        <f t="shared" si="21"/>
        <v>0</v>
      </c>
      <c r="AG26" s="5">
        <f t="shared" si="22"/>
        <v>2180.7399999999998</v>
      </c>
      <c r="AH26" s="83">
        <f t="shared" si="23"/>
        <v>0</v>
      </c>
      <c r="AI26" s="83">
        <f t="shared" si="24"/>
        <v>0</v>
      </c>
      <c r="AJ26" s="329">
        <f t="shared" si="25"/>
        <v>0</v>
      </c>
      <c r="AK26" s="330">
        <f>SUM(Y26-L26)</f>
        <v>-7</v>
      </c>
      <c r="AL26" s="330">
        <f>SUM(AJ26-W26)</f>
        <v>0</v>
      </c>
      <c r="AM26" s="330">
        <f>'General information '!D26</f>
        <v>26.5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27"/>
        <v>44125</v>
      </c>
      <c r="AS26" s="429">
        <f t="shared" si="45"/>
        <v>0.9</v>
      </c>
      <c r="AT26" s="202">
        <v>103</v>
      </c>
      <c r="AU26" s="430">
        <f t="shared" si="41"/>
        <v>1.1000000000000001</v>
      </c>
      <c r="AV26" s="202">
        <v>41</v>
      </c>
      <c r="AW26" s="5">
        <v>2.9</v>
      </c>
      <c r="AX26" s="202">
        <v>79</v>
      </c>
      <c r="AY26" s="433">
        <f t="shared" si="7"/>
        <v>92.7</v>
      </c>
      <c r="AZ26" s="433">
        <f t="shared" si="28"/>
        <v>45.1</v>
      </c>
      <c r="BA26" s="433">
        <f t="shared" si="29"/>
        <v>229.1</v>
      </c>
      <c r="BB26" s="21">
        <f t="shared" si="30"/>
        <v>-8.0999999999999943</v>
      </c>
      <c r="BC26" s="21">
        <f t="shared" si="30"/>
        <v>-6.6000000000000014</v>
      </c>
      <c r="BD26" s="21">
        <f t="shared" si="30"/>
        <v>-2.9000000000000057</v>
      </c>
      <c r="BE26" s="24">
        <f t="shared" si="32"/>
        <v>-17.600000000000001</v>
      </c>
      <c r="BF26" s="345">
        <f t="shared" si="8"/>
        <v>17.600000000000001</v>
      </c>
      <c r="BG26" s="82">
        <f t="shared" si="9"/>
        <v>-17.600000000000001</v>
      </c>
    </row>
    <row r="27" spans="1:61" ht="15.75" thickBot="1">
      <c r="A27" s="6">
        <f>ELEC!C24</f>
        <v>44126</v>
      </c>
      <c r="B27" s="5">
        <f t="shared" si="10"/>
        <v>109192</v>
      </c>
      <c r="C27" s="5">
        <f t="shared" si="11"/>
        <v>0</v>
      </c>
      <c r="D27" s="424">
        <f t="shared" si="12"/>
        <v>0</v>
      </c>
      <c r="E27" s="336">
        <f>SUM((C27*$E$4)+(7500/'EDl log'!$A$38))</f>
        <v>241.93548387096774</v>
      </c>
      <c r="F27" s="330"/>
      <c r="G27" s="5">
        <v>609989</v>
      </c>
      <c r="H27" s="5">
        <f t="shared" si="13"/>
        <v>110</v>
      </c>
      <c r="I27" s="5">
        <f t="shared" si="0"/>
        <v>110</v>
      </c>
      <c r="J27" s="337">
        <f t="shared" si="1"/>
        <v>2.1994134897360702</v>
      </c>
      <c r="K27" s="5">
        <f>'Swimming Pool quality check '!H27</f>
        <v>6588</v>
      </c>
      <c r="L27" s="276">
        <f t="shared" si="37"/>
        <v>4</v>
      </c>
      <c r="M27" s="415">
        <f t="shared" si="14"/>
        <v>457.44</v>
      </c>
      <c r="N27" s="522">
        <f t="shared" si="42"/>
        <v>0</v>
      </c>
      <c r="O27" s="415">
        <f t="shared" si="15"/>
        <v>529.52</v>
      </c>
      <c r="P27" s="522">
        <f t="shared" si="43"/>
        <v>0</v>
      </c>
      <c r="Q27" s="522">
        <f t="shared" si="44"/>
        <v>0</v>
      </c>
      <c r="R27" s="524"/>
      <c r="S27" s="524"/>
      <c r="T27" s="5">
        <f t="shared" si="46"/>
        <v>5158</v>
      </c>
      <c r="U27" s="5">
        <f t="shared" si="4"/>
        <v>0</v>
      </c>
      <c r="V27" s="5">
        <f t="shared" si="16"/>
        <v>452</v>
      </c>
      <c r="W27" s="327">
        <f t="shared" si="17"/>
        <v>0</v>
      </c>
      <c r="X27" s="5">
        <v>148134</v>
      </c>
      <c r="Y27" s="327">
        <f>SUM(X27-X26)</f>
        <v>150</v>
      </c>
      <c r="Z27" s="5">
        <v>97332</v>
      </c>
      <c r="AA27" s="83">
        <f t="shared" si="18"/>
        <v>7</v>
      </c>
      <c r="AB27" s="5">
        <f t="shared" si="34"/>
        <v>260</v>
      </c>
      <c r="AC27" s="5">
        <f t="shared" si="19"/>
        <v>698</v>
      </c>
      <c r="AD27" s="83">
        <f t="shared" si="35"/>
        <v>0</v>
      </c>
      <c r="AE27" s="5">
        <f t="shared" si="20"/>
        <v>221.5</v>
      </c>
      <c r="AF27" s="83">
        <f t="shared" si="21"/>
        <v>0</v>
      </c>
      <c r="AG27" s="5">
        <v>2180.81</v>
      </c>
      <c r="AH27" s="83">
        <f t="shared" si="23"/>
        <v>7.0000000000163709E-2</v>
      </c>
      <c r="AI27" s="83">
        <f t="shared" si="24"/>
        <v>7.0000000000163709E-2</v>
      </c>
      <c r="AJ27" s="329">
        <f t="shared" si="25"/>
        <v>7</v>
      </c>
      <c r="AK27" s="330">
        <f t="shared" si="36"/>
        <v>146</v>
      </c>
      <c r="AL27" s="330">
        <f t="shared" si="26"/>
        <v>7</v>
      </c>
      <c r="AM27" s="330">
        <f>'General information '!D27</f>
        <v>26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27"/>
        <v>44126</v>
      </c>
      <c r="AS27" s="429">
        <f t="shared" si="45"/>
        <v>0.9</v>
      </c>
      <c r="AT27" s="202">
        <v>0</v>
      </c>
      <c r="AU27" s="430">
        <f t="shared" si="41"/>
        <v>1.1000000000000001</v>
      </c>
      <c r="AV27" s="202">
        <f t="shared" ref="AV27:AV36" si="47">AV26</f>
        <v>41</v>
      </c>
      <c r="AW27" s="5">
        <v>2.9</v>
      </c>
      <c r="AX27" s="202">
        <v>35</v>
      </c>
      <c r="AY27" s="433">
        <f t="shared" si="7"/>
        <v>0</v>
      </c>
      <c r="AZ27" s="433">
        <f t="shared" si="28"/>
        <v>45.1</v>
      </c>
      <c r="BA27" s="433">
        <f t="shared" si="29"/>
        <v>101.5</v>
      </c>
      <c r="BB27" s="21">
        <f t="shared" si="30"/>
        <v>-92.7</v>
      </c>
      <c r="BC27" s="21">
        <f t="shared" si="30"/>
        <v>0</v>
      </c>
      <c r="BD27" s="21">
        <f t="shared" si="30"/>
        <v>-127.6</v>
      </c>
      <c r="BE27" s="24">
        <f t="shared" si="32"/>
        <v>-220.3</v>
      </c>
      <c r="BF27" s="96">
        <f t="shared" si="8"/>
        <v>330.3</v>
      </c>
      <c r="BG27" s="82">
        <f t="shared" si="9"/>
        <v>-220.3</v>
      </c>
    </row>
    <row r="28" spans="1:61" ht="15.75" thickBot="1">
      <c r="A28" s="6">
        <f>ELEC!C25</f>
        <v>44127</v>
      </c>
      <c r="B28" s="5">
        <f t="shared" si="10"/>
        <v>109192</v>
      </c>
      <c r="C28" s="5">
        <f t="shared" si="11"/>
        <v>0</v>
      </c>
      <c r="D28" s="424">
        <f t="shared" si="12"/>
        <v>0</v>
      </c>
      <c r="E28" s="336">
        <f>SUM((C28*$E$4)+(7500/'EDl log'!$A$38))</f>
        <v>241.93548387096774</v>
      </c>
      <c r="F28" s="330"/>
      <c r="G28" s="5">
        <f t="shared" si="33"/>
        <v>609989</v>
      </c>
      <c r="H28" s="5">
        <f t="shared" si="13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6591</v>
      </c>
      <c r="L28" s="276">
        <f t="shared" si="37"/>
        <v>3</v>
      </c>
      <c r="M28" s="415">
        <f t="shared" si="14"/>
        <v>457.44</v>
      </c>
      <c r="N28" s="522">
        <f t="shared" si="42"/>
        <v>0</v>
      </c>
      <c r="O28" s="415">
        <f t="shared" si="15"/>
        <v>529.52</v>
      </c>
      <c r="P28" s="522">
        <f t="shared" si="43"/>
        <v>0</v>
      </c>
      <c r="Q28" s="522">
        <f t="shared" si="44"/>
        <v>0</v>
      </c>
      <c r="R28" s="524"/>
      <c r="S28" s="524"/>
      <c r="T28" s="5">
        <f t="shared" si="46"/>
        <v>5158</v>
      </c>
      <c r="U28" s="5">
        <f t="shared" si="4"/>
        <v>0</v>
      </c>
      <c r="V28" s="5">
        <f t="shared" si="16"/>
        <v>452</v>
      </c>
      <c r="W28" s="327">
        <f t="shared" si="17"/>
        <v>0</v>
      </c>
      <c r="X28" s="5">
        <f t="shared" si="38"/>
        <v>148134</v>
      </c>
      <c r="Y28" s="327">
        <f t="shared" si="39"/>
        <v>0</v>
      </c>
      <c r="Z28" s="5">
        <f t="shared" si="40"/>
        <v>97332</v>
      </c>
      <c r="AA28" s="83">
        <f t="shared" si="18"/>
        <v>0</v>
      </c>
      <c r="AB28" s="5">
        <f t="shared" si="34"/>
        <v>260</v>
      </c>
      <c r="AC28" s="5">
        <f t="shared" si="19"/>
        <v>698</v>
      </c>
      <c r="AD28" s="83">
        <f t="shared" si="35"/>
        <v>0</v>
      </c>
      <c r="AE28" s="5">
        <f t="shared" si="20"/>
        <v>221.5</v>
      </c>
      <c r="AF28" s="83">
        <f t="shared" si="21"/>
        <v>0</v>
      </c>
      <c r="AG28" s="5">
        <f t="shared" si="22"/>
        <v>2180.81</v>
      </c>
      <c r="AH28" s="83">
        <f t="shared" si="23"/>
        <v>0</v>
      </c>
      <c r="AI28" s="83">
        <f t="shared" si="24"/>
        <v>0</v>
      </c>
      <c r="AJ28" s="329">
        <f t="shared" si="25"/>
        <v>0</v>
      </c>
      <c r="AK28" s="330">
        <f t="shared" si="36"/>
        <v>-3</v>
      </c>
      <c r="AL28" s="330">
        <f t="shared" si="26"/>
        <v>0</v>
      </c>
      <c r="AM28" s="330">
        <f>'General information '!D28</f>
        <v>25.5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27"/>
        <v>44127</v>
      </c>
      <c r="AS28" s="429">
        <f t="shared" si="45"/>
        <v>0.9</v>
      </c>
      <c r="AT28" s="202">
        <f t="shared" si="45"/>
        <v>0</v>
      </c>
      <c r="AU28" s="430">
        <f t="shared" si="41"/>
        <v>1.1000000000000001</v>
      </c>
      <c r="AV28" s="202">
        <v>36</v>
      </c>
      <c r="AW28" s="5">
        <v>2.9</v>
      </c>
      <c r="AX28" s="202">
        <v>31</v>
      </c>
      <c r="AY28" s="433">
        <f t="shared" si="7"/>
        <v>0</v>
      </c>
      <c r="AZ28" s="433">
        <f t="shared" si="28"/>
        <v>39.6</v>
      </c>
      <c r="BA28" s="433">
        <f t="shared" si="29"/>
        <v>89.899999999999991</v>
      </c>
      <c r="BB28" s="21">
        <f t="shared" si="30"/>
        <v>0</v>
      </c>
      <c r="BC28" s="21">
        <f t="shared" si="30"/>
        <v>-5.5</v>
      </c>
      <c r="BD28" s="21">
        <f t="shared" si="30"/>
        <v>-11.600000000000009</v>
      </c>
      <c r="BE28" s="24">
        <f t="shared" si="32"/>
        <v>-17.100000000000009</v>
      </c>
      <c r="BF28" s="96">
        <f t="shared" si="8"/>
        <v>17.100000000000009</v>
      </c>
      <c r="BG28" s="82">
        <f t="shared" si="9"/>
        <v>-17.100000000000009</v>
      </c>
    </row>
    <row r="29" spans="1:61" ht="15.75" thickBot="1">
      <c r="A29" s="6">
        <f>ELEC!C26</f>
        <v>44128</v>
      </c>
      <c r="B29" s="5">
        <f t="shared" si="10"/>
        <v>109192</v>
      </c>
      <c r="C29" s="5">
        <f t="shared" si="11"/>
        <v>0</v>
      </c>
      <c r="D29" s="424">
        <f t="shared" si="12"/>
        <v>0</v>
      </c>
      <c r="E29" s="336">
        <f>SUM((C29*$E$4)+(7500/'EDl log'!$A$38))</f>
        <v>241.93548387096774</v>
      </c>
      <c r="F29" s="330"/>
      <c r="G29" s="5">
        <v>610099</v>
      </c>
      <c r="H29" s="5">
        <f t="shared" si="13"/>
        <v>110</v>
      </c>
      <c r="I29" s="5">
        <f t="shared" si="0"/>
        <v>110</v>
      </c>
      <c r="J29" s="337">
        <f t="shared" si="1"/>
        <v>2.1994134897360702</v>
      </c>
      <c r="K29" s="5">
        <f>'Swimming Pool quality check '!H29</f>
        <v>6598</v>
      </c>
      <c r="L29" s="276">
        <f t="shared" si="37"/>
        <v>7</v>
      </c>
      <c r="M29" s="415">
        <f t="shared" si="14"/>
        <v>457.44</v>
      </c>
      <c r="N29" s="522">
        <f t="shared" si="42"/>
        <v>0</v>
      </c>
      <c r="O29" s="415">
        <f t="shared" si="15"/>
        <v>529.52</v>
      </c>
      <c r="P29" s="522">
        <f t="shared" si="43"/>
        <v>0</v>
      </c>
      <c r="Q29" s="522">
        <f t="shared" si="44"/>
        <v>0</v>
      </c>
      <c r="R29" s="524"/>
      <c r="S29" s="524"/>
      <c r="T29" s="5">
        <f t="shared" si="46"/>
        <v>5158</v>
      </c>
      <c r="U29" s="5">
        <f t="shared" si="4"/>
        <v>0</v>
      </c>
      <c r="V29" s="5">
        <f t="shared" si="16"/>
        <v>452</v>
      </c>
      <c r="W29" s="327">
        <f t="shared" si="17"/>
        <v>0</v>
      </c>
      <c r="X29" s="5">
        <v>148161</v>
      </c>
      <c r="Y29" s="327">
        <f t="shared" si="39"/>
        <v>27</v>
      </c>
      <c r="Z29" s="5">
        <v>97342</v>
      </c>
      <c r="AA29" s="83">
        <f t="shared" si="18"/>
        <v>10</v>
      </c>
      <c r="AB29" s="5">
        <f t="shared" si="34"/>
        <v>260</v>
      </c>
      <c r="AC29" s="5">
        <f t="shared" si="19"/>
        <v>698</v>
      </c>
      <c r="AD29" s="83">
        <f t="shared" si="35"/>
        <v>0</v>
      </c>
      <c r="AE29" s="5">
        <f t="shared" si="20"/>
        <v>221.5</v>
      </c>
      <c r="AF29" s="83">
        <f t="shared" si="21"/>
        <v>0</v>
      </c>
      <c r="AG29" s="5">
        <f t="shared" si="22"/>
        <v>2180.81</v>
      </c>
      <c r="AH29" s="83">
        <f t="shared" si="23"/>
        <v>0</v>
      </c>
      <c r="AI29" s="83">
        <f t="shared" si="24"/>
        <v>0</v>
      </c>
      <c r="AJ29" s="329">
        <f t="shared" si="25"/>
        <v>10</v>
      </c>
      <c r="AK29" s="330">
        <f t="shared" si="36"/>
        <v>20</v>
      </c>
      <c r="AL29" s="330">
        <f t="shared" si="26"/>
        <v>10</v>
      </c>
      <c r="AM29" s="330">
        <f>'General information '!D29</f>
        <v>26.5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27"/>
        <v>44128</v>
      </c>
      <c r="AS29" s="429">
        <f t="shared" si="45"/>
        <v>0.9</v>
      </c>
      <c r="AT29" s="202">
        <v>21</v>
      </c>
      <c r="AU29" s="430">
        <f t="shared" si="41"/>
        <v>1.1000000000000001</v>
      </c>
      <c r="AV29" s="202">
        <f t="shared" si="47"/>
        <v>36</v>
      </c>
      <c r="AW29" s="5">
        <v>2.9</v>
      </c>
      <c r="AX29" s="202">
        <v>30</v>
      </c>
      <c r="AY29" s="433">
        <f t="shared" si="7"/>
        <v>18.900000000000002</v>
      </c>
      <c r="AZ29" s="433">
        <f t="shared" si="28"/>
        <v>39.6</v>
      </c>
      <c r="BA29" s="433">
        <f t="shared" si="29"/>
        <v>87</v>
      </c>
      <c r="BB29" s="21">
        <f t="shared" si="30"/>
        <v>18.900000000000002</v>
      </c>
      <c r="BC29" s="21">
        <f t="shared" si="30"/>
        <v>0</v>
      </c>
      <c r="BD29" s="21">
        <f t="shared" si="30"/>
        <v>-2.8999999999999915</v>
      </c>
      <c r="BE29" s="24">
        <f t="shared" si="32"/>
        <v>16.000000000000011</v>
      </c>
      <c r="BF29" s="96">
        <f t="shared" si="8"/>
        <v>93.999999999999986</v>
      </c>
      <c r="BG29" s="82">
        <f t="shared" si="9"/>
        <v>16.000000000000014</v>
      </c>
    </row>
    <row r="30" spans="1:61" ht="15.75" thickBot="1">
      <c r="A30" s="6">
        <f>ELEC!C27</f>
        <v>44129</v>
      </c>
      <c r="B30" s="5">
        <f t="shared" si="10"/>
        <v>109192</v>
      </c>
      <c r="C30" s="5">
        <f t="shared" si="11"/>
        <v>0</v>
      </c>
      <c r="D30" s="424">
        <f t="shared" si="12"/>
        <v>0</v>
      </c>
      <c r="E30" s="336">
        <f>SUM((C30*$E$4)+(7500/'EDl log'!$A$38))</f>
        <v>241.93548387096774</v>
      </c>
      <c r="F30" s="330"/>
      <c r="G30" s="5">
        <v>610099</v>
      </c>
      <c r="H30" s="5">
        <f t="shared" si="13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6611</v>
      </c>
      <c r="L30" s="276">
        <f t="shared" si="37"/>
        <v>13</v>
      </c>
      <c r="M30" s="415">
        <f t="shared" si="14"/>
        <v>457.44</v>
      </c>
      <c r="N30" s="522">
        <f t="shared" si="42"/>
        <v>0</v>
      </c>
      <c r="O30" s="415">
        <f t="shared" si="15"/>
        <v>529.52</v>
      </c>
      <c r="P30" s="522">
        <f t="shared" si="43"/>
        <v>0</v>
      </c>
      <c r="Q30" s="522">
        <f t="shared" si="44"/>
        <v>0</v>
      </c>
      <c r="R30" s="524"/>
      <c r="S30" s="524"/>
      <c r="T30" s="5">
        <f t="shared" si="46"/>
        <v>5158</v>
      </c>
      <c r="U30" s="5">
        <f t="shared" si="4"/>
        <v>0</v>
      </c>
      <c r="V30" s="5">
        <f t="shared" si="16"/>
        <v>452</v>
      </c>
      <c r="W30" s="327">
        <f t="shared" si="17"/>
        <v>0</v>
      </c>
      <c r="X30" s="5">
        <f t="shared" si="38"/>
        <v>148161</v>
      </c>
      <c r="Y30" s="327">
        <f t="shared" si="39"/>
        <v>0</v>
      </c>
      <c r="Z30" s="5">
        <f t="shared" si="40"/>
        <v>97342</v>
      </c>
      <c r="AA30" s="83">
        <f t="shared" si="18"/>
        <v>0</v>
      </c>
      <c r="AB30" s="5">
        <f t="shared" si="34"/>
        <v>260</v>
      </c>
      <c r="AC30" s="5">
        <f t="shared" si="19"/>
        <v>698</v>
      </c>
      <c r="AD30" s="83">
        <f t="shared" si="35"/>
        <v>0</v>
      </c>
      <c r="AE30" s="5">
        <f t="shared" si="20"/>
        <v>221.5</v>
      </c>
      <c r="AF30" s="83">
        <f t="shared" si="21"/>
        <v>0</v>
      </c>
      <c r="AG30" s="5">
        <f t="shared" si="22"/>
        <v>2180.81</v>
      </c>
      <c r="AH30" s="83">
        <f t="shared" si="23"/>
        <v>0</v>
      </c>
      <c r="AI30" s="83">
        <f t="shared" si="24"/>
        <v>0</v>
      </c>
      <c r="AJ30" s="329">
        <f t="shared" si="25"/>
        <v>0</v>
      </c>
      <c r="AK30" s="330">
        <f t="shared" si="36"/>
        <v>-13</v>
      </c>
      <c r="AL30" s="330">
        <f t="shared" si="26"/>
        <v>0</v>
      </c>
      <c r="AM30" s="330">
        <f>'General information '!D30</f>
        <v>30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27"/>
        <v>44129</v>
      </c>
      <c r="AS30" s="429">
        <f t="shared" si="45"/>
        <v>0.9</v>
      </c>
      <c r="AT30" s="202">
        <v>20</v>
      </c>
      <c r="AU30" s="430">
        <f t="shared" si="41"/>
        <v>1.1000000000000001</v>
      </c>
      <c r="AV30" s="202">
        <v>32</v>
      </c>
      <c r="AW30" s="5">
        <v>2.9</v>
      </c>
      <c r="AX30" s="202">
        <v>20</v>
      </c>
      <c r="AY30" s="433">
        <f t="shared" si="7"/>
        <v>18</v>
      </c>
      <c r="AZ30" s="433">
        <f t="shared" si="28"/>
        <v>35.200000000000003</v>
      </c>
      <c r="BA30" s="433">
        <f t="shared" si="29"/>
        <v>58</v>
      </c>
      <c r="BB30" s="21">
        <f t="shared" si="30"/>
        <v>-0.90000000000000213</v>
      </c>
      <c r="BC30" s="21">
        <f t="shared" si="30"/>
        <v>-4.3999999999999986</v>
      </c>
      <c r="BD30" s="21">
        <f t="shared" si="30"/>
        <v>-29</v>
      </c>
      <c r="BE30" s="24">
        <f t="shared" si="32"/>
        <v>-34.299999999999997</v>
      </c>
      <c r="BF30" s="96">
        <f t="shared" si="8"/>
        <v>34.299999999999997</v>
      </c>
      <c r="BG30" s="82">
        <f t="shared" si="9"/>
        <v>-34.299999999999997</v>
      </c>
    </row>
    <row r="31" spans="1:61" ht="15.75" thickBot="1">
      <c r="A31" s="6">
        <f>ELEC!C28</f>
        <v>44130</v>
      </c>
      <c r="B31" s="5">
        <v>109222</v>
      </c>
      <c r="C31" s="5">
        <f t="shared" si="11"/>
        <v>30</v>
      </c>
      <c r="D31" s="424">
        <f t="shared" si="12"/>
        <v>1.1111111111111112</v>
      </c>
      <c r="E31" s="336">
        <f>SUM((C31*$E$4)+(7500/'EDl log'!$A$38))</f>
        <v>291.73548387096776</v>
      </c>
      <c r="F31" s="330"/>
      <c r="G31" s="5">
        <v>610267</v>
      </c>
      <c r="H31" s="5">
        <f t="shared" si="13"/>
        <v>168</v>
      </c>
      <c r="I31" s="5">
        <f t="shared" si="0"/>
        <v>198</v>
      </c>
      <c r="J31" s="337">
        <f t="shared" si="1"/>
        <v>1.4734115347018573</v>
      </c>
      <c r="K31" s="5">
        <f>'Swimming Pool quality check '!H31</f>
        <v>6623</v>
      </c>
      <c r="L31" s="276">
        <f t="shared" si="37"/>
        <v>12</v>
      </c>
      <c r="M31" s="415">
        <f t="shared" si="14"/>
        <v>457.44</v>
      </c>
      <c r="N31" s="522">
        <f t="shared" si="42"/>
        <v>0</v>
      </c>
      <c r="O31" s="415">
        <f t="shared" si="15"/>
        <v>529.52</v>
      </c>
      <c r="P31" s="522">
        <f t="shared" si="43"/>
        <v>0</v>
      </c>
      <c r="Q31" s="522">
        <f t="shared" si="44"/>
        <v>0</v>
      </c>
      <c r="R31" s="524"/>
      <c r="S31" s="524"/>
      <c r="T31" s="5">
        <f t="shared" si="46"/>
        <v>5158</v>
      </c>
      <c r="U31" s="5">
        <f t="shared" si="4"/>
        <v>0</v>
      </c>
      <c r="V31" s="5">
        <f t="shared" si="16"/>
        <v>452</v>
      </c>
      <c r="W31" s="327">
        <f t="shared" si="17"/>
        <v>0</v>
      </c>
      <c r="X31" s="5">
        <v>148277</v>
      </c>
      <c r="Y31" s="327">
        <f t="shared" si="39"/>
        <v>116</v>
      </c>
      <c r="Z31" s="5">
        <v>97387</v>
      </c>
      <c r="AA31" s="83">
        <f t="shared" si="18"/>
        <v>45</v>
      </c>
      <c r="AB31" s="5">
        <f t="shared" si="34"/>
        <v>260</v>
      </c>
      <c r="AC31" s="5">
        <f t="shared" si="19"/>
        <v>698</v>
      </c>
      <c r="AD31" s="83">
        <f t="shared" si="35"/>
        <v>0</v>
      </c>
      <c r="AE31" s="5">
        <v>227.8</v>
      </c>
      <c r="AF31" s="83">
        <f t="shared" si="21"/>
        <v>6.3000000000000114</v>
      </c>
      <c r="AG31" s="5">
        <v>2181.12</v>
      </c>
      <c r="AH31" s="83">
        <f>AG31-AG30</f>
        <v>0.30999999999994543</v>
      </c>
      <c r="AI31" s="83">
        <f>AF31+AH31</f>
        <v>6.6099999999999568</v>
      </c>
      <c r="AJ31" s="329">
        <f t="shared" si="25"/>
        <v>45</v>
      </c>
      <c r="AK31" s="330">
        <f t="shared" si="36"/>
        <v>104</v>
      </c>
      <c r="AL31" s="330">
        <f t="shared" si="26"/>
        <v>45</v>
      </c>
      <c r="AM31" s="330">
        <f>'General information '!D31</f>
        <v>30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27"/>
        <v>44130</v>
      </c>
      <c r="AS31" s="429">
        <f t="shared" si="45"/>
        <v>0.9</v>
      </c>
      <c r="AT31" s="202">
        <v>0</v>
      </c>
      <c r="AU31" s="430">
        <f t="shared" si="41"/>
        <v>1.1000000000000001</v>
      </c>
      <c r="AV31" s="202">
        <v>37</v>
      </c>
      <c r="AW31" s="5">
        <v>2.9</v>
      </c>
      <c r="AX31" s="202">
        <v>32</v>
      </c>
      <c r="AY31" s="433">
        <f t="shared" si="7"/>
        <v>0</v>
      </c>
      <c r="AZ31" s="433">
        <f t="shared" si="28"/>
        <v>40.700000000000003</v>
      </c>
      <c r="BA31" s="433">
        <f t="shared" si="29"/>
        <v>92.8</v>
      </c>
      <c r="BB31" s="21">
        <f t="shared" si="30"/>
        <v>-18</v>
      </c>
      <c r="BC31" s="21">
        <f t="shared" si="30"/>
        <v>5.5</v>
      </c>
      <c r="BD31" s="21">
        <f t="shared" si="30"/>
        <v>34.799999999999997</v>
      </c>
      <c r="BE31" s="24">
        <f t="shared" si="32"/>
        <v>22.299999999999997</v>
      </c>
      <c r="BF31" s="96">
        <f t="shared" si="8"/>
        <v>175.7</v>
      </c>
      <c r="BG31" s="82">
        <f t="shared" si="9"/>
        <v>22.300000000000011</v>
      </c>
    </row>
    <row r="32" spans="1:61" ht="15.75" thickBot="1">
      <c r="A32" s="6">
        <f>ELEC!C29</f>
        <v>44131</v>
      </c>
      <c r="B32" s="5">
        <f t="shared" si="10"/>
        <v>109222</v>
      </c>
      <c r="C32" s="5">
        <f t="shared" si="11"/>
        <v>0</v>
      </c>
      <c r="D32" s="424">
        <f t="shared" si="12"/>
        <v>0</v>
      </c>
      <c r="E32" s="336">
        <f>SUM((C32*$E$4)+(7500/'EDl log'!$A$38))</f>
        <v>241.93548387096774</v>
      </c>
      <c r="F32" s="330"/>
      <c r="G32" s="5">
        <f t="shared" si="33"/>
        <v>610267</v>
      </c>
      <c r="H32" s="5">
        <f t="shared" si="13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6629</v>
      </c>
      <c r="L32" s="276">
        <f t="shared" si="37"/>
        <v>6</v>
      </c>
      <c r="M32" s="415">
        <f t="shared" si="14"/>
        <v>457.44</v>
      </c>
      <c r="N32" s="522">
        <f t="shared" si="42"/>
        <v>0</v>
      </c>
      <c r="O32" s="415">
        <f t="shared" si="15"/>
        <v>529.52</v>
      </c>
      <c r="P32" s="522">
        <f t="shared" si="43"/>
        <v>0</v>
      </c>
      <c r="Q32" s="522">
        <f t="shared" si="44"/>
        <v>0</v>
      </c>
      <c r="R32" s="524"/>
      <c r="S32" s="524"/>
      <c r="T32" s="5">
        <f t="shared" si="46"/>
        <v>5158</v>
      </c>
      <c r="U32" s="5">
        <f t="shared" si="4"/>
        <v>0</v>
      </c>
      <c r="V32" s="5">
        <f t="shared" si="16"/>
        <v>452</v>
      </c>
      <c r="W32" s="327">
        <f t="shared" si="17"/>
        <v>0</v>
      </c>
      <c r="X32" s="5">
        <f t="shared" si="38"/>
        <v>148277</v>
      </c>
      <c r="Y32" s="327">
        <f t="shared" si="39"/>
        <v>0</v>
      </c>
      <c r="Z32" s="5">
        <f t="shared" si="40"/>
        <v>97387</v>
      </c>
      <c r="AA32" s="83">
        <f t="shared" si="18"/>
        <v>0</v>
      </c>
      <c r="AB32" s="5">
        <f t="shared" si="34"/>
        <v>260</v>
      </c>
      <c r="AC32" s="5">
        <f t="shared" si="19"/>
        <v>698</v>
      </c>
      <c r="AD32" s="83">
        <f t="shared" si="35"/>
        <v>0</v>
      </c>
      <c r="AE32" s="5">
        <f t="shared" si="20"/>
        <v>227.8</v>
      </c>
      <c r="AF32" s="83">
        <f t="shared" si="21"/>
        <v>0</v>
      </c>
      <c r="AG32" s="5">
        <f t="shared" si="22"/>
        <v>2181.12</v>
      </c>
      <c r="AH32" s="83">
        <f t="shared" si="23"/>
        <v>0</v>
      </c>
      <c r="AI32" s="83">
        <f t="shared" si="24"/>
        <v>0</v>
      </c>
      <c r="AJ32" s="329">
        <f t="shared" si="25"/>
        <v>0</v>
      </c>
      <c r="AK32" s="330">
        <f t="shared" si="36"/>
        <v>-6</v>
      </c>
      <c r="AL32" s="330">
        <f t="shared" si="26"/>
        <v>0</v>
      </c>
      <c r="AM32" s="330">
        <f>'General information '!D32</f>
        <v>26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27"/>
        <v>44131</v>
      </c>
      <c r="AS32" s="429">
        <f t="shared" si="45"/>
        <v>0.9</v>
      </c>
      <c r="AT32" s="202">
        <f t="shared" si="45"/>
        <v>0</v>
      </c>
      <c r="AU32" s="430">
        <f t="shared" si="41"/>
        <v>1.1000000000000001</v>
      </c>
      <c r="AV32" s="202">
        <f t="shared" si="47"/>
        <v>37</v>
      </c>
      <c r="AW32" s="5">
        <v>2.9</v>
      </c>
      <c r="AX32" s="202">
        <f t="shared" ref="AX32:AX36" si="48">AX31</f>
        <v>32</v>
      </c>
      <c r="AY32" s="433">
        <f t="shared" si="7"/>
        <v>0</v>
      </c>
      <c r="AZ32" s="433">
        <f t="shared" si="28"/>
        <v>40.700000000000003</v>
      </c>
      <c r="BA32" s="433">
        <f t="shared" si="29"/>
        <v>92.8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44132</v>
      </c>
      <c r="B33" s="5">
        <f t="shared" si="10"/>
        <v>109222</v>
      </c>
      <c r="C33" s="5">
        <f t="shared" si="11"/>
        <v>0</v>
      </c>
      <c r="D33" s="424">
        <f t="shared" si="12"/>
        <v>0</v>
      </c>
      <c r="E33" s="336">
        <f>SUM((C33*$E$4)+(7500/'EDl log'!$A$38))</f>
        <v>241.93548387096774</v>
      </c>
      <c r="F33" s="330"/>
      <c r="G33" s="5">
        <v>610373</v>
      </c>
      <c r="H33" s="5">
        <f t="shared" si="13"/>
        <v>106</v>
      </c>
      <c r="I33" s="5">
        <f t="shared" si="0"/>
        <v>106</v>
      </c>
      <c r="J33" s="337">
        <f t="shared" si="1"/>
        <v>2.2824102251978089</v>
      </c>
      <c r="K33" s="5">
        <f>'Swimming Pool quality check '!H33</f>
        <v>6636</v>
      </c>
      <c r="L33" s="276">
        <f t="shared" si="37"/>
        <v>7</v>
      </c>
      <c r="M33" s="415">
        <f t="shared" si="14"/>
        <v>457.44</v>
      </c>
      <c r="N33" s="522">
        <f t="shared" si="42"/>
        <v>0</v>
      </c>
      <c r="O33" s="415">
        <f t="shared" si="15"/>
        <v>529.52</v>
      </c>
      <c r="P33" s="522">
        <f t="shared" si="43"/>
        <v>0</v>
      </c>
      <c r="Q33" s="522">
        <f t="shared" si="44"/>
        <v>0</v>
      </c>
      <c r="R33" s="524"/>
      <c r="S33" s="524"/>
      <c r="T33" s="5">
        <f t="shared" si="46"/>
        <v>5158</v>
      </c>
      <c r="U33" s="5">
        <f t="shared" si="4"/>
        <v>0</v>
      </c>
      <c r="V33" s="5">
        <f t="shared" si="16"/>
        <v>452</v>
      </c>
      <c r="W33" s="327">
        <f t="shared" si="17"/>
        <v>0</v>
      </c>
      <c r="X33" s="621">
        <v>148277</v>
      </c>
      <c r="Y33" s="327">
        <f t="shared" si="39"/>
        <v>0</v>
      </c>
      <c r="Z33" s="5">
        <f t="shared" si="40"/>
        <v>97387</v>
      </c>
      <c r="AA33" s="83">
        <f t="shared" si="18"/>
        <v>0</v>
      </c>
      <c r="AB33" s="5">
        <f t="shared" si="34"/>
        <v>260</v>
      </c>
      <c r="AC33" s="5">
        <f t="shared" si="19"/>
        <v>698</v>
      </c>
      <c r="AD33" s="83">
        <f t="shared" si="35"/>
        <v>0</v>
      </c>
      <c r="AE33" s="5">
        <f t="shared" si="20"/>
        <v>227.8</v>
      </c>
      <c r="AF33" s="83">
        <f>AE33-AE32</f>
        <v>0</v>
      </c>
      <c r="AG33" s="5">
        <f t="shared" si="22"/>
        <v>2181.12</v>
      </c>
      <c r="AH33" s="83">
        <f t="shared" si="23"/>
        <v>0</v>
      </c>
      <c r="AI33" s="83">
        <f t="shared" si="24"/>
        <v>0</v>
      </c>
      <c r="AJ33" s="329">
        <f t="shared" si="25"/>
        <v>0</v>
      </c>
      <c r="AK33" s="330">
        <f t="shared" si="36"/>
        <v>-7</v>
      </c>
      <c r="AL33" s="330">
        <f t="shared" si="26"/>
        <v>0</v>
      </c>
      <c r="AM33" s="330">
        <f>'General information '!D33</f>
        <v>25.5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27"/>
        <v>44132</v>
      </c>
      <c r="AS33" s="429">
        <f t="shared" si="45"/>
        <v>0.9</v>
      </c>
      <c r="AT33" s="202">
        <v>27</v>
      </c>
      <c r="AU33" s="430">
        <f t="shared" si="41"/>
        <v>1.1000000000000001</v>
      </c>
      <c r="AV33" s="202">
        <v>31</v>
      </c>
      <c r="AW33" s="5">
        <v>2.9</v>
      </c>
      <c r="AX33" s="202">
        <v>22</v>
      </c>
      <c r="AY33" s="433">
        <f t="shared" si="7"/>
        <v>24.3</v>
      </c>
      <c r="AZ33" s="433">
        <f t="shared" si="28"/>
        <v>34.1</v>
      </c>
      <c r="BA33" s="433">
        <f t="shared" si="29"/>
        <v>63.8</v>
      </c>
      <c r="BB33" s="21">
        <f t="shared" si="30"/>
        <v>24.3</v>
      </c>
      <c r="BC33" s="21">
        <f t="shared" si="30"/>
        <v>-6.6000000000000014</v>
      </c>
      <c r="BD33" s="21">
        <f t="shared" si="30"/>
        <v>-29</v>
      </c>
      <c r="BE33" s="24">
        <f t="shared" si="32"/>
        <v>-11.3</v>
      </c>
      <c r="BF33" s="96">
        <f t="shared" si="8"/>
        <v>117.3</v>
      </c>
      <c r="BG33" s="82">
        <f t="shared" si="9"/>
        <v>-11.299999999999997</v>
      </c>
    </row>
    <row r="34" spans="1:59" ht="15.75" thickBot="1">
      <c r="A34" s="6">
        <f>ELEC!C31</f>
        <v>44133</v>
      </c>
      <c r="B34" s="5">
        <v>109317</v>
      </c>
      <c r="C34" s="5">
        <f t="shared" si="11"/>
        <v>95</v>
      </c>
      <c r="D34" s="424">
        <f t="shared" si="12"/>
        <v>3.5185185185185186</v>
      </c>
      <c r="E34" s="336">
        <f>SUM((C34*$E$4)+(7500/'EDl log'!$A$38))</f>
        <v>399.63548387096773</v>
      </c>
      <c r="F34" s="330"/>
      <c r="G34" s="5">
        <f t="shared" si="33"/>
        <v>610373</v>
      </c>
      <c r="H34" s="5">
        <f t="shared" si="13"/>
        <v>0</v>
      </c>
      <c r="I34" s="5">
        <f t="shared" si="0"/>
        <v>95</v>
      </c>
      <c r="J34" s="337">
        <f t="shared" si="1"/>
        <v>4.2066893039049233</v>
      </c>
      <c r="K34" s="5">
        <f>'Swimming Pool quality check '!H34</f>
        <v>6650</v>
      </c>
      <c r="L34" s="276">
        <f t="shared" si="37"/>
        <v>14</v>
      </c>
      <c r="M34" s="415">
        <f t="shared" si="14"/>
        <v>457.44</v>
      </c>
      <c r="N34" s="522">
        <f t="shared" si="42"/>
        <v>0</v>
      </c>
      <c r="O34" s="415">
        <f t="shared" si="15"/>
        <v>529.52</v>
      </c>
      <c r="P34" s="522">
        <f t="shared" si="43"/>
        <v>0</v>
      </c>
      <c r="Q34" s="522">
        <f t="shared" si="44"/>
        <v>0</v>
      </c>
      <c r="R34" s="524"/>
      <c r="S34" s="524"/>
      <c r="T34" s="5">
        <f t="shared" si="46"/>
        <v>5158</v>
      </c>
      <c r="U34" s="5">
        <f t="shared" si="4"/>
        <v>0</v>
      </c>
      <c r="V34" s="5">
        <f t="shared" si="16"/>
        <v>452</v>
      </c>
      <c r="W34" s="327">
        <f t="shared" si="17"/>
        <v>0</v>
      </c>
      <c r="X34" s="5">
        <v>148378</v>
      </c>
      <c r="Y34" s="327">
        <f t="shared" si="39"/>
        <v>101</v>
      </c>
      <c r="Z34" s="5">
        <v>97399</v>
      </c>
      <c r="AA34" s="83">
        <f t="shared" si="18"/>
        <v>12</v>
      </c>
      <c r="AB34" s="5">
        <f t="shared" si="34"/>
        <v>260</v>
      </c>
      <c r="AC34" s="5">
        <f t="shared" si="19"/>
        <v>698</v>
      </c>
      <c r="AD34" s="83">
        <f t="shared" si="35"/>
        <v>0</v>
      </c>
      <c r="AE34" s="5">
        <f t="shared" si="20"/>
        <v>227.8</v>
      </c>
      <c r="AF34" s="83">
        <f t="shared" si="21"/>
        <v>0</v>
      </c>
      <c r="AG34" s="5">
        <f t="shared" si="22"/>
        <v>2181.12</v>
      </c>
      <c r="AH34" s="83">
        <f t="shared" si="23"/>
        <v>0</v>
      </c>
      <c r="AI34" s="83">
        <f t="shared" si="24"/>
        <v>0</v>
      </c>
      <c r="AJ34" s="329">
        <f t="shared" si="25"/>
        <v>12</v>
      </c>
      <c r="AK34" s="330">
        <f t="shared" si="36"/>
        <v>87</v>
      </c>
      <c r="AL34" s="330">
        <f t="shared" si="26"/>
        <v>12</v>
      </c>
      <c r="AM34" s="330">
        <f>'General information '!D34</f>
        <v>24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27"/>
        <v>44133</v>
      </c>
      <c r="AS34" s="429">
        <f t="shared" si="45"/>
        <v>0.9</v>
      </c>
      <c r="AT34" s="202">
        <v>20</v>
      </c>
      <c r="AU34" s="431">
        <f t="shared" si="41"/>
        <v>1.1000000000000001</v>
      </c>
      <c r="AV34" s="202">
        <v>37</v>
      </c>
      <c r="AW34" s="5">
        <v>2.9</v>
      </c>
      <c r="AX34" s="202">
        <v>37</v>
      </c>
      <c r="AY34" s="433">
        <f t="shared" si="7"/>
        <v>18</v>
      </c>
      <c r="AZ34" s="433">
        <f t="shared" si="28"/>
        <v>40.700000000000003</v>
      </c>
      <c r="BA34" s="433">
        <f t="shared" si="29"/>
        <v>107.3</v>
      </c>
      <c r="BB34" s="21">
        <f t="shared" si="30"/>
        <v>-6.3000000000000007</v>
      </c>
      <c r="BC34" s="21">
        <f t="shared" si="30"/>
        <v>6.6000000000000014</v>
      </c>
      <c r="BD34" s="21">
        <f t="shared" si="30"/>
        <v>43.5</v>
      </c>
      <c r="BE34" s="24">
        <f t="shared" si="32"/>
        <v>43.8</v>
      </c>
      <c r="BF34" s="96">
        <f t="shared" si="8"/>
        <v>51.2</v>
      </c>
      <c r="BG34" s="82">
        <f t="shared" si="9"/>
        <v>43.8</v>
      </c>
    </row>
    <row r="35" spans="1:59" ht="15.75" thickBot="1">
      <c r="A35" s="6">
        <f>ELEC!C32</f>
        <v>44134</v>
      </c>
      <c r="B35" s="5">
        <f t="shared" si="10"/>
        <v>109317</v>
      </c>
      <c r="C35" s="5">
        <f t="shared" si="11"/>
        <v>0</v>
      </c>
      <c r="D35" s="424">
        <f t="shared" si="12"/>
        <v>0</v>
      </c>
      <c r="E35" s="336">
        <f>SUM((C35*$E$4)+(7500/'EDl log'!$A$38))</f>
        <v>241.93548387096774</v>
      </c>
      <c r="F35" s="330"/>
      <c r="G35" s="5">
        <v>610471</v>
      </c>
      <c r="H35" s="5">
        <f t="shared" si="13"/>
        <v>98</v>
      </c>
      <c r="I35" s="5">
        <f t="shared" si="0"/>
        <v>98</v>
      </c>
      <c r="J35" s="337">
        <f t="shared" si="1"/>
        <v>2.4687294272547731</v>
      </c>
      <c r="K35" s="5">
        <f>'Swimming Pool quality check '!H35</f>
        <v>6655</v>
      </c>
      <c r="L35" s="83">
        <f t="shared" si="37"/>
        <v>5</v>
      </c>
      <c r="M35" s="415">
        <f t="shared" si="14"/>
        <v>457.44</v>
      </c>
      <c r="N35" s="522">
        <f t="shared" si="42"/>
        <v>0</v>
      </c>
      <c r="O35" s="415">
        <f t="shared" si="15"/>
        <v>529.52</v>
      </c>
      <c r="P35" s="522">
        <f t="shared" si="43"/>
        <v>0</v>
      </c>
      <c r="Q35" s="522">
        <f t="shared" si="44"/>
        <v>0</v>
      </c>
      <c r="R35" s="522"/>
      <c r="S35" s="522"/>
      <c r="T35" s="5">
        <f t="shared" si="46"/>
        <v>5158</v>
      </c>
      <c r="U35" s="5">
        <f t="shared" si="4"/>
        <v>0</v>
      </c>
      <c r="V35" s="5">
        <f t="shared" si="16"/>
        <v>452</v>
      </c>
      <c r="W35" s="327">
        <f t="shared" si="17"/>
        <v>0</v>
      </c>
      <c r="X35" s="5">
        <v>148378</v>
      </c>
      <c r="Y35" s="327">
        <f t="shared" si="39"/>
        <v>0</v>
      </c>
      <c r="Z35" s="5">
        <f t="shared" si="40"/>
        <v>97399</v>
      </c>
      <c r="AA35" s="83">
        <f t="shared" si="18"/>
        <v>0</v>
      </c>
      <c r="AB35" s="5">
        <f t="shared" si="34"/>
        <v>260</v>
      </c>
      <c r="AC35" s="5">
        <f t="shared" si="19"/>
        <v>698</v>
      </c>
      <c r="AD35" s="83">
        <f t="shared" si="35"/>
        <v>0</v>
      </c>
      <c r="AE35" s="5">
        <f t="shared" si="20"/>
        <v>227.8</v>
      </c>
      <c r="AF35" s="83">
        <f t="shared" si="21"/>
        <v>0</v>
      </c>
      <c r="AG35" s="5">
        <v>2181.2800000000002</v>
      </c>
      <c r="AH35" s="83">
        <f t="shared" si="23"/>
        <v>0.16000000000030923</v>
      </c>
      <c r="AI35" s="83">
        <f t="shared" si="24"/>
        <v>0.16000000000030923</v>
      </c>
      <c r="AJ35" s="329">
        <f t="shared" si="25"/>
        <v>0</v>
      </c>
      <c r="AK35" s="330">
        <f t="shared" si="36"/>
        <v>-5</v>
      </c>
      <c r="AL35" s="330">
        <f t="shared" si="26"/>
        <v>0</v>
      </c>
      <c r="AM35" s="330">
        <f>'General information '!D35</f>
        <v>24.5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27"/>
        <v>44134</v>
      </c>
      <c r="AS35" s="429">
        <f t="shared" si="45"/>
        <v>0.9</v>
      </c>
      <c r="AT35" s="202">
        <v>54</v>
      </c>
      <c r="AU35" s="432">
        <f t="shared" si="41"/>
        <v>1.1000000000000001</v>
      </c>
      <c r="AV35" s="202">
        <v>33</v>
      </c>
      <c r="AW35" s="5">
        <v>2.9</v>
      </c>
      <c r="AX35" s="202">
        <v>28</v>
      </c>
      <c r="AY35" s="433">
        <f t="shared" si="7"/>
        <v>48.6</v>
      </c>
      <c r="AZ35" s="433">
        <f t="shared" si="28"/>
        <v>36.300000000000004</v>
      </c>
      <c r="BA35" s="433">
        <f t="shared" si="29"/>
        <v>81.2</v>
      </c>
      <c r="BB35" s="21">
        <f t="shared" si="30"/>
        <v>30.6</v>
      </c>
      <c r="BC35" s="228">
        <f t="shared" si="30"/>
        <v>-4.3999999999999986</v>
      </c>
      <c r="BD35" s="228">
        <f t="shared" si="30"/>
        <v>-26.099999999999994</v>
      </c>
      <c r="BE35" s="24">
        <f t="shared" si="32"/>
        <v>0.10000000000000853</v>
      </c>
      <c r="BF35" s="96">
        <f t="shared" si="8"/>
        <v>97.899999999999991</v>
      </c>
      <c r="BG35" s="82">
        <f t="shared" si="9"/>
        <v>0.10000000000000853</v>
      </c>
    </row>
    <row r="36" spans="1:59" ht="15.75" thickBot="1">
      <c r="A36" s="6">
        <f>ELEC!C33</f>
        <v>44135</v>
      </c>
      <c r="B36" s="5">
        <f t="shared" si="10"/>
        <v>109317</v>
      </c>
      <c r="C36" s="5">
        <f t="shared" ref="C36" si="49">B36-B35</f>
        <v>0</v>
      </c>
      <c r="D36" s="424">
        <f t="shared" ref="D36" si="50">C36/27</f>
        <v>0</v>
      </c>
      <c r="E36" s="336">
        <f>SUM((C36*$E$4)+(7500/'EDl log'!$A$38))</f>
        <v>241.93548387096774</v>
      </c>
      <c r="F36" s="330"/>
      <c r="G36" s="5">
        <f t="shared" si="33"/>
        <v>610471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6655</v>
      </c>
      <c r="L36" s="83">
        <f t="shared" ref="L36" si="54">K36-K35</f>
        <v>0</v>
      </c>
      <c r="M36" s="415">
        <f t="shared" si="14"/>
        <v>457.44</v>
      </c>
      <c r="N36" s="522">
        <f t="shared" ref="N36" si="55">SUM(M36-M35)</f>
        <v>0</v>
      </c>
      <c r="O36" s="415">
        <f t="shared" si="15"/>
        <v>529.52</v>
      </c>
      <c r="P36" s="522">
        <f t="shared" ref="P36" si="56">SUM(O36-O35)</f>
        <v>0</v>
      </c>
      <c r="Q36" s="522">
        <f t="shared" ref="Q36" si="57">SUM(P36+N36)</f>
        <v>0</v>
      </c>
      <c r="R36" s="522"/>
      <c r="S36" s="522"/>
      <c r="T36" s="5">
        <f t="shared" si="46"/>
        <v>5158</v>
      </c>
      <c r="U36" s="5">
        <f t="shared" ref="U36" si="58">SUM(T36-T35)</f>
        <v>0</v>
      </c>
      <c r="V36" s="5">
        <f t="shared" si="16"/>
        <v>452</v>
      </c>
      <c r="W36" s="327">
        <f t="shared" ref="W36" si="59">+V36-V35</f>
        <v>0</v>
      </c>
      <c r="X36" s="5">
        <f t="shared" si="38"/>
        <v>148378</v>
      </c>
      <c r="Y36" s="327">
        <f t="shared" ref="Y36" si="60">SUM(X36-X35)</f>
        <v>0</v>
      </c>
      <c r="Z36" s="5">
        <f t="shared" si="40"/>
        <v>97399</v>
      </c>
      <c r="AA36" s="83">
        <f t="shared" ref="AA36" si="61">Z36-Z35</f>
        <v>0</v>
      </c>
      <c r="AB36" s="5">
        <f t="shared" ref="AB36" si="62">AB35</f>
        <v>260</v>
      </c>
      <c r="AC36" s="5">
        <f t="shared" si="19"/>
        <v>698</v>
      </c>
      <c r="AD36" s="83">
        <f t="shared" ref="AD36" si="63">AC36-AC35</f>
        <v>0</v>
      </c>
      <c r="AE36" s="5">
        <f t="shared" si="20"/>
        <v>227.8</v>
      </c>
      <c r="AF36" s="83">
        <f t="shared" ref="AF36" si="64">AE36-AE35</f>
        <v>0</v>
      </c>
      <c r="AG36" s="5">
        <f t="shared" si="22"/>
        <v>2181.2800000000002</v>
      </c>
      <c r="AH36" s="83">
        <f t="shared" ref="AH36" si="65">AG36-AG35</f>
        <v>0</v>
      </c>
      <c r="AI36" s="83">
        <f t="shared" ref="AI36" si="66">AF36+AH36</f>
        <v>0</v>
      </c>
      <c r="AJ36" s="329">
        <f t="shared" ref="AJ36" si="67">+Z36-Z35</f>
        <v>0</v>
      </c>
      <c r="AK36" s="330">
        <f t="shared" si="36"/>
        <v>0</v>
      </c>
      <c r="AL36" s="330">
        <f t="shared" ref="AL36" si="68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9">A36</f>
        <v>44135</v>
      </c>
      <c r="AS36" s="429">
        <f t="shared" si="45"/>
        <v>0.9</v>
      </c>
      <c r="AT36" s="202">
        <f t="shared" si="45"/>
        <v>54</v>
      </c>
      <c r="AU36" s="432">
        <f t="shared" si="41"/>
        <v>1.1000000000000001</v>
      </c>
      <c r="AV36" s="202">
        <f t="shared" si="47"/>
        <v>33</v>
      </c>
      <c r="AW36" s="5">
        <v>2.9</v>
      </c>
      <c r="AX36" s="202">
        <f t="shared" si="48"/>
        <v>28</v>
      </c>
      <c r="AY36" s="433">
        <f t="shared" ref="AY36" si="70">AS36*AT36</f>
        <v>48.6</v>
      </c>
      <c r="AZ36" s="433">
        <f t="shared" ref="AZ36" si="71">AU36*AV36</f>
        <v>36.300000000000004</v>
      </c>
      <c r="BA36" s="433">
        <f t="shared" ref="BA36" si="72">AW36*AX36</f>
        <v>81.2</v>
      </c>
      <c r="BB36" s="21">
        <f t="shared" ref="BB36" si="73">AY36-AY35</f>
        <v>0</v>
      </c>
      <c r="BC36" s="228">
        <f t="shared" ref="BC36" si="74">AZ36-AZ35</f>
        <v>0</v>
      </c>
      <c r="BD36" s="228">
        <f t="shared" ref="BD36" si="75">BA36-BA35</f>
        <v>0</v>
      </c>
      <c r="BE36" s="24">
        <f t="shared" ref="BE36" si="76">SUM(BB36:BD36)</f>
        <v>0</v>
      </c>
      <c r="BF36" s="96">
        <f t="shared" ref="BF36" si="77">SUM(I36-BE36)</f>
        <v>0</v>
      </c>
      <c r="BG36" s="82">
        <f t="shared" ref="BG36" si="78">SUM(I36-BF36)</f>
        <v>0</v>
      </c>
    </row>
    <row r="37" spans="1:59">
      <c r="C37" s="417">
        <f>SUM(C6:C35)</f>
        <v>221</v>
      </c>
      <c r="D37" s="325">
        <f>SUM(D6:D35)</f>
        <v>8.1851851851851851</v>
      </c>
      <c r="F37" s="419">
        <f>SUM(F6:F35)</f>
        <v>0</v>
      </c>
      <c r="H37" s="417">
        <f>SUM(H6:H35)</f>
        <v>1729</v>
      </c>
      <c r="I37" s="417">
        <f>SUM(I6:I35)</f>
        <v>1950</v>
      </c>
      <c r="L37" s="270">
        <f>SUM(L7:L35)</f>
        <v>100</v>
      </c>
      <c r="Q37" s="503">
        <f>SUM(Q5:Q35)</f>
        <v>0</v>
      </c>
      <c r="U37" s="414">
        <f>SUM(U6:U35)</f>
        <v>31</v>
      </c>
      <c r="X37" s="326"/>
      <c r="Y37" s="325" t="e">
        <f>SUM(Y35,Y33,Y31,Y29,Y27,Y25,Y23,Y21,Y19,Y17,Y15,Y13,Y11,Y9,Y7+#REF!)</f>
        <v>#REF!</v>
      </c>
      <c r="AJ37" s="325">
        <f>SUM(AJ6:AJ35)</f>
        <v>341</v>
      </c>
      <c r="AK37" s="330" t="e">
        <f t="shared" si="5"/>
        <v>#REF!</v>
      </c>
      <c r="AL37" s="325">
        <f>SUM(AL6:AL35)</f>
        <v>341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366.85999999999996</v>
      </c>
      <c r="E38" s="335">
        <f>SUM(E6:E35)</f>
        <v>7624.9245161290337</v>
      </c>
      <c r="F38" s="422">
        <f>SUM(F6:F35)</f>
        <v>0</v>
      </c>
      <c r="H38" s="157">
        <v>7500</v>
      </c>
      <c r="I38" s="418">
        <f>SUM('General information '!G37/WATER!I37)</f>
        <v>0</v>
      </c>
      <c r="L38" s="157"/>
      <c r="O38" s="500">
        <f>SUM(Q37+I37)</f>
        <v>1950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9">
        <f>SUM(D21:D35)</f>
        <v>4.6296296296296298</v>
      </c>
      <c r="F39" s="420">
        <f>SUM(F6:F35)</f>
        <v>0</v>
      </c>
      <c r="G39" s="1">
        <f>SUM(I37)</f>
        <v>1950</v>
      </c>
      <c r="H39" s="1">
        <f>SUM(H38+C38)</f>
        <v>7866.86</v>
      </c>
      <c r="K39" s="1">
        <f>SUM(H39/G39)</f>
        <v>4.0342871794871797</v>
      </c>
      <c r="AJ39" s="325">
        <f>SUM(C38-AK38)</f>
        <v>366.85999999999996</v>
      </c>
      <c r="AM39" s="35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21" activePane="bottomLeft" state="frozen"/>
      <selection pane="bottomLeft" activeCell="G35" sqref="G35"/>
    </sheetView>
  </sheetViews>
  <sheetFormatPr defaultRowHeight="15"/>
  <cols>
    <col min="1" max="1" width="11.85546875" style="49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3" t="s">
        <v>193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5"/>
    </row>
    <row r="2" spans="1:15" ht="15.75" customHeight="1" thickBot="1">
      <c r="A2" s="646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8"/>
    </row>
    <row r="3" spans="1:15" ht="9" customHeight="1" thickBot="1">
      <c r="A3" s="48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9"/>
      <c r="B4" s="149" t="s">
        <v>389</v>
      </c>
      <c r="C4" s="150" t="s">
        <v>158</v>
      </c>
      <c r="D4" s="147" t="s">
        <v>160</v>
      </c>
      <c r="E4" s="151" t="s">
        <v>159</v>
      </c>
      <c r="F4" s="51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0">
        <f>ELEC!C2</f>
        <v>44104</v>
      </c>
      <c r="B5" s="360">
        <f>'[1]General information '!B36</f>
        <v>32</v>
      </c>
      <c r="C5" s="360">
        <f>'[1]General information '!C36</f>
        <v>28</v>
      </c>
      <c r="D5" s="360">
        <f>'[1]General information '!D36</f>
        <v>30</v>
      </c>
      <c r="E5" s="587">
        <f>'[1]General information '!E36</f>
        <v>0.76</v>
      </c>
      <c r="F5" s="587">
        <f>'[1]General information '!F36</f>
        <v>0</v>
      </c>
      <c r="G5" s="360">
        <f>'[1]General information '!G36</f>
        <v>0</v>
      </c>
      <c r="H5" s="360">
        <f>'[1]General information '!H36</f>
        <v>0</v>
      </c>
      <c r="I5" s="360">
        <f>'[1]General information '!I36</f>
        <v>0</v>
      </c>
      <c r="J5" s="360">
        <f>'[1]General information '!J36</f>
        <v>0</v>
      </c>
      <c r="K5" s="360">
        <f>'[1]General information '!K36</f>
        <v>0</v>
      </c>
      <c r="L5" s="360">
        <f>'[1]General information '!L36</f>
        <v>0</v>
      </c>
      <c r="M5" s="360">
        <f>'[1]General information '!M36</f>
        <v>0</v>
      </c>
      <c r="N5" s="360">
        <f>'[1]General information '!N36</f>
        <v>0</v>
      </c>
      <c r="O5" s="360">
        <f>'[1]General information '!O36</f>
        <v>0</v>
      </c>
    </row>
    <row r="6" spans="1:15">
      <c r="A6" s="490">
        <f>ELEC!C3</f>
        <v>44105</v>
      </c>
      <c r="B6" s="37">
        <v>30</v>
      </c>
      <c r="C6" s="37">
        <v>25</v>
      </c>
      <c r="D6" s="26">
        <f t="shared" ref="D6:D12" si="0">(C6+B6)/2</f>
        <v>27.5</v>
      </c>
      <c r="E6" s="343">
        <v>0.66</v>
      </c>
      <c r="F6" s="347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90">
        <f>ELEC!C4</f>
        <v>44106</v>
      </c>
      <c r="B7" s="37">
        <v>30</v>
      </c>
      <c r="C7" s="37">
        <v>26</v>
      </c>
      <c r="D7" s="26">
        <f t="shared" si="0"/>
        <v>28</v>
      </c>
      <c r="E7" s="343">
        <v>0.65</v>
      </c>
      <c r="F7" s="398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90">
        <f>ELEC!C5</f>
        <v>44107</v>
      </c>
      <c r="B8" s="37">
        <v>29</v>
      </c>
      <c r="C8" s="37">
        <v>24</v>
      </c>
      <c r="D8" s="26">
        <f t="shared" si="0"/>
        <v>26.5</v>
      </c>
      <c r="E8" s="343">
        <v>0.56999999999999995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90">
        <f>ELEC!C6</f>
        <v>44108</v>
      </c>
      <c r="B9" s="37">
        <v>29</v>
      </c>
      <c r="C9" s="37">
        <v>25</v>
      </c>
      <c r="D9" s="26">
        <f>(C9+B9)/2</f>
        <v>27</v>
      </c>
      <c r="E9" s="398">
        <v>0.45</v>
      </c>
      <c r="F9" s="398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90">
        <f>ELEC!C7</f>
        <v>44109</v>
      </c>
      <c r="B10" s="37">
        <v>29</v>
      </c>
      <c r="C10" s="37">
        <v>24</v>
      </c>
      <c r="D10" s="26">
        <f t="shared" si="0"/>
        <v>26.5</v>
      </c>
      <c r="E10" s="358">
        <v>0.5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90">
        <f>ELEC!C8</f>
        <v>44110</v>
      </c>
      <c r="B11" s="37">
        <v>31</v>
      </c>
      <c r="C11" s="37">
        <v>26</v>
      </c>
      <c r="D11" s="26">
        <f t="shared" si="0"/>
        <v>28.5</v>
      </c>
      <c r="E11" s="398">
        <v>0.45</v>
      </c>
      <c r="F11" s="398">
        <v>0</v>
      </c>
      <c r="G11" s="243">
        <f t="shared" si="1"/>
        <v>0</v>
      </c>
      <c r="H11" s="3"/>
      <c r="I11" s="3"/>
      <c r="J11" s="37"/>
      <c r="K11" s="265">
        <f>+J11+H11</f>
        <v>0</v>
      </c>
      <c r="L11" s="3"/>
      <c r="M11" s="3"/>
      <c r="N11" s="155"/>
      <c r="O11" s="3"/>
    </row>
    <row r="12" spans="1:15">
      <c r="A12" s="490">
        <f>ELEC!C9</f>
        <v>44111</v>
      </c>
      <c r="B12" s="37">
        <v>30</v>
      </c>
      <c r="C12" s="37">
        <v>23</v>
      </c>
      <c r="D12" s="26">
        <f t="shared" si="0"/>
        <v>26.5</v>
      </c>
      <c r="E12" s="398">
        <v>0.4</v>
      </c>
      <c r="F12" s="398">
        <v>0</v>
      </c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90">
        <f>ELEC!C10</f>
        <v>44112</v>
      </c>
      <c r="B13" s="37">
        <v>30</v>
      </c>
      <c r="C13" s="37">
        <v>26</v>
      </c>
      <c r="D13" s="26">
        <f>(C13+B13)/2</f>
        <v>28</v>
      </c>
      <c r="E13" s="358">
        <v>0.45</v>
      </c>
      <c r="F13" s="398">
        <v>0</v>
      </c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90">
        <f>ELEC!C11</f>
        <v>44113</v>
      </c>
      <c r="B14" s="37">
        <v>30</v>
      </c>
      <c r="C14" s="37">
        <v>23</v>
      </c>
      <c r="D14" s="26">
        <f t="shared" ref="D14:D34" si="3">(C14+B14)/2</f>
        <v>26.5</v>
      </c>
      <c r="E14" s="343">
        <v>0.46</v>
      </c>
      <c r="F14" s="398">
        <v>0</v>
      </c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90">
        <f>ELEC!C12</f>
        <v>44114</v>
      </c>
      <c r="B15" s="37">
        <v>27</v>
      </c>
      <c r="C15" s="37">
        <v>23</v>
      </c>
      <c r="D15" s="26">
        <f t="shared" si="3"/>
        <v>25</v>
      </c>
      <c r="E15" s="343">
        <v>0.69</v>
      </c>
      <c r="F15" s="343">
        <v>0</v>
      </c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90">
        <f>ELEC!C13</f>
        <v>44115</v>
      </c>
      <c r="B16" s="37">
        <v>30</v>
      </c>
      <c r="C16" s="37">
        <v>26</v>
      </c>
      <c r="D16" s="26">
        <f t="shared" si="3"/>
        <v>28</v>
      </c>
      <c r="E16" s="343">
        <v>0.6</v>
      </c>
      <c r="F16" s="343">
        <v>0</v>
      </c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90">
        <f>ELEC!C14</f>
        <v>44116</v>
      </c>
      <c r="B17" s="37">
        <v>28</v>
      </c>
      <c r="C17" s="37">
        <v>24</v>
      </c>
      <c r="D17" s="26">
        <f t="shared" si="3"/>
        <v>26</v>
      </c>
      <c r="E17" s="343">
        <v>0.64</v>
      </c>
      <c r="F17" s="343">
        <v>0</v>
      </c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90">
        <f>ELEC!C15</f>
        <v>44117</v>
      </c>
      <c r="B18" s="37">
        <v>27</v>
      </c>
      <c r="C18" s="37">
        <v>25</v>
      </c>
      <c r="D18" s="26">
        <f t="shared" si="3"/>
        <v>26</v>
      </c>
      <c r="E18" s="434">
        <v>0.62</v>
      </c>
      <c r="F18" s="343">
        <v>0</v>
      </c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90">
        <f>ELEC!C16</f>
        <v>44118</v>
      </c>
      <c r="B19" s="37">
        <v>27</v>
      </c>
      <c r="C19" s="37">
        <v>24</v>
      </c>
      <c r="D19" s="26">
        <f t="shared" si="3"/>
        <v>25.5</v>
      </c>
      <c r="E19" s="343">
        <v>0.56000000000000005</v>
      </c>
      <c r="F19" s="343">
        <v>0</v>
      </c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90">
        <f>ELEC!C17</f>
        <v>44119</v>
      </c>
      <c r="B20" s="37">
        <v>28</v>
      </c>
      <c r="C20" s="37">
        <v>22</v>
      </c>
      <c r="D20" s="26">
        <f t="shared" si="3"/>
        <v>25</v>
      </c>
      <c r="E20" s="343">
        <v>0.65</v>
      </c>
      <c r="F20" s="343">
        <v>0</v>
      </c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90">
        <f>ELEC!C18</f>
        <v>44120</v>
      </c>
      <c r="B21" s="37">
        <v>28</v>
      </c>
      <c r="C21" s="37">
        <v>23</v>
      </c>
      <c r="D21" s="26">
        <f>(C21+B21)/2</f>
        <v>25.5</v>
      </c>
      <c r="E21" s="343">
        <v>0.66</v>
      </c>
      <c r="F21" s="398">
        <v>0</v>
      </c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90">
        <f>ELEC!C19</f>
        <v>44121</v>
      </c>
      <c r="B22" s="37">
        <v>27</v>
      </c>
      <c r="C22" s="37">
        <v>22</v>
      </c>
      <c r="D22" s="26">
        <f t="shared" si="3"/>
        <v>24.5</v>
      </c>
      <c r="E22" s="343">
        <v>0.65</v>
      </c>
      <c r="F22" s="398">
        <v>0</v>
      </c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90">
        <f>ELEC!C20</f>
        <v>44122</v>
      </c>
      <c r="B23" s="37">
        <v>30</v>
      </c>
      <c r="C23" s="37">
        <v>22</v>
      </c>
      <c r="D23" s="26">
        <f>(C23+B23)/2</f>
        <v>26</v>
      </c>
      <c r="E23" s="343">
        <v>0.52</v>
      </c>
      <c r="F23" s="398">
        <v>0</v>
      </c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90">
        <f>ELEC!C21</f>
        <v>44123</v>
      </c>
      <c r="B24" s="37">
        <v>33</v>
      </c>
      <c r="C24" s="37">
        <v>22</v>
      </c>
      <c r="D24" s="26">
        <f t="shared" si="3"/>
        <v>27.5</v>
      </c>
      <c r="E24" s="343">
        <v>0.43</v>
      </c>
      <c r="F24" s="343">
        <v>0</v>
      </c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90">
        <f>ELEC!C22</f>
        <v>44124</v>
      </c>
      <c r="B25" s="37">
        <v>31</v>
      </c>
      <c r="C25" s="37">
        <v>23</v>
      </c>
      <c r="D25" s="26">
        <f t="shared" si="3"/>
        <v>27</v>
      </c>
      <c r="E25" s="343">
        <v>0.49</v>
      </c>
      <c r="F25" s="343">
        <v>0</v>
      </c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90">
        <f>ELEC!C23</f>
        <v>44125</v>
      </c>
      <c r="B26" s="37">
        <v>29</v>
      </c>
      <c r="C26" s="37">
        <v>24</v>
      </c>
      <c r="D26" s="26">
        <f>(C26+B26)/2</f>
        <v>26.5</v>
      </c>
      <c r="E26" s="343">
        <v>0.56999999999999995</v>
      </c>
      <c r="F26" s="343">
        <v>0</v>
      </c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90">
        <f>ELEC!C24</f>
        <v>44126</v>
      </c>
      <c r="B27" s="37">
        <v>29</v>
      </c>
      <c r="C27" s="37">
        <v>23</v>
      </c>
      <c r="D27" s="26">
        <f t="shared" si="3"/>
        <v>26</v>
      </c>
      <c r="E27" s="343">
        <v>0.57999999999999996</v>
      </c>
      <c r="F27" s="343">
        <v>0</v>
      </c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90">
        <f>ELEC!C25</f>
        <v>44127</v>
      </c>
      <c r="B28" s="37">
        <v>28</v>
      </c>
      <c r="C28" s="37">
        <v>23</v>
      </c>
      <c r="D28" s="26">
        <f t="shared" si="3"/>
        <v>25.5</v>
      </c>
      <c r="E28" s="343">
        <v>0.57999999999999996</v>
      </c>
      <c r="F28" s="343">
        <v>0</v>
      </c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90">
        <f>ELEC!C26</f>
        <v>44128</v>
      </c>
      <c r="B29" s="37">
        <v>29</v>
      </c>
      <c r="C29" s="37">
        <v>24</v>
      </c>
      <c r="D29" s="26">
        <f t="shared" si="3"/>
        <v>26.5</v>
      </c>
      <c r="E29" s="343">
        <v>0.56000000000000005</v>
      </c>
      <c r="F29" s="343">
        <v>0</v>
      </c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90">
        <f>ELEC!C27</f>
        <v>44129</v>
      </c>
      <c r="B30" s="37">
        <v>35</v>
      </c>
      <c r="C30" s="37">
        <v>25</v>
      </c>
      <c r="D30" s="26">
        <f t="shared" si="3"/>
        <v>30</v>
      </c>
      <c r="E30" s="343">
        <v>0.57999999999999996</v>
      </c>
      <c r="F30" s="398">
        <v>0</v>
      </c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90">
        <f>ELEC!C28</f>
        <v>44130</v>
      </c>
      <c r="B31" s="37">
        <v>34</v>
      </c>
      <c r="C31" s="37">
        <v>26</v>
      </c>
      <c r="D31" s="3">
        <f t="shared" si="3"/>
        <v>30</v>
      </c>
      <c r="E31" s="344">
        <v>0.6</v>
      </c>
      <c r="F31" s="283">
        <v>0</v>
      </c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90">
        <f>ELEC!C29</f>
        <v>44131</v>
      </c>
      <c r="B32" s="37">
        <v>28</v>
      </c>
      <c r="C32" s="37">
        <v>24</v>
      </c>
      <c r="D32" s="282">
        <f>(C32+B32)/2</f>
        <v>26</v>
      </c>
      <c r="E32" s="344">
        <v>0.74</v>
      </c>
      <c r="F32" s="346">
        <v>0</v>
      </c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90">
        <f>ELEC!C30</f>
        <v>44132</v>
      </c>
      <c r="B33" s="37">
        <v>27</v>
      </c>
      <c r="C33" s="37">
        <v>24</v>
      </c>
      <c r="D33" s="26">
        <f t="shared" si="3"/>
        <v>25.5</v>
      </c>
      <c r="E33" s="343">
        <v>0.73</v>
      </c>
      <c r="F33" s="343">
        <v>0</v>
      </c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90">
        <f>ELEC!C31</f>
        <v>44133</v>
      </c>
      <c r="B34" s="37">
        <v>27</v>
      </c>
      <c r="C34" s="37">
        <v>21</v>
      </c>
      <c r="D34" s="26">
        <f t="shared" si="3"/>
        <v>24</v>
      </c>
      <c r="E34" s="343">
        <v>0.65</v>
      </c>
      <c r="F34" s="343">
        <v>0</v>
      </c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90">
        <f>ELEC!C32</f>
        <v>44134</v>
      </c>
      <c r="B35" s="37">
        <v>27</v>
      </c>
      <c r="C35" s="37">
        <v>22</v>
      </c>
      <c r="D35" s="26">
        <f t="shared" ref="D35" si="6">(C35+B35)/2</f>
        <v>24.5</v>
      </c>
      <c r="E35" s="398">
        <v>0.65</v>
      </c>
      <c r="F35" s="398">
        <v>0</v>
      </c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90">
        <f>ELEC!C33</f>
        <v>44135</v>
      </c>
      <c r="B36" s="37"/>
      <c r="C36" s="37"/>
      <c r="D36" s="26">
        <f t="shared" ref="D36" si="9">(C36+B36)/2</f>
        <v>0</v>
      </c>
      <c r="E36" s="398"/>
      <c r="F36" s="398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8">
        <f>AVERAGE(F6:F35)</f>
        <v>0</v>
      </c>
      <c r="G37" s="204">
        <f>SUM(G6:G35)</f>
        <v>0</v>
      </c>
    </row>
    <row r="38" spans="1:15">
      <c r="D38" s="263">
        <f>SUM(D6:D35)/'EDl log'!A36</f>
        <v>26.516666666666666</v>
      </c>
      <c r="F38" s="212"/>
    </row>
    <row r="41" spans="1:15">
      <c r="I41" s="416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10" zoomScale="90" zoomScaleNormal="90" workbookViewId="0">
      <pane xSplit="1" topLeftCell="AG1" activePane="topRight" state="frozen"/>
      <selection pane="topRight" activeCell="AU34" sqref="AU3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1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8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8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1" t="s">
        <v>108</v>
      </c>
      <c r="AS3" s="651" t="s">
        <v>233</v>
      </c>
      <c r="AT3" s="649" t="s">
        <v>301</v>
      </c>
      <c r="AU3" s="650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2"/>
      <c r="AS4" s="652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1">
        <f>ELEC!C2</f>
        <v>44104</v>
      </c>
      <c r="B5" s="540">
        <f>[2]tanks!B35</f>
        <v>251</v>
      </c>
      <c r="C5" s="540">
        <f>[2]tanks!C35</f>
        <v>5400.5483870967737</v>
      </c>
      <c r="D5" s="540">
        <f>[2]tanks!D35</f>
        <v>251</v>
      </c>
      <c r="E5" s="540">
        <f>[2]tanks!E35</f>
        <v>5400.5483870967737</v>
      </c>
      <c r="F5" s="540">
        <f>[2]tanks!F35</f>
        <v>251</v>
      </c>
      <c r="G5" s="540">
        <f>[2]tanks!G35</f>
        <v>5400.5483870967737</v>
      </c>
      <c r="H5" s="540">
        <f>[2]tanks!H35</f>
        <v>251</v>
      </c>
      <c r="I5" s="540">
        <f>[2]tanks!I35</f>
        <v>5400.5483870967737</v>
      </c>
      <c r="J5" s="540">
        <f>[2]tanks!J35</f>
        <v>251</v>
      </c>
      <c r="K5" s="540">
        <f>[2]tanks!K35</f>
        <v>5400.5483870967737</v>
      </c>
      <c r="L5" s="540">
        <f>[2]tanks!L35</f>
        <v>251</v>
      </c>
      <c r="M5" s="540">
        <f>[2]tanks!M35</f>
        <v>5400.5483870967737</v>
      </c>
      <c r="N5" s="540">
        <f>[2]tanks!N35</f>
        <v>251</v>
      </c>
      <c r="O5" s="540">
        <f>[2]tanks!O35</f>
        <v>5400.5483870967737</v>
      </c>
      <c r="P5" s="540">
        <f>[2]tanks!P35</f>
        <v>251</v>
      </c>
      <c r="Q5" s="540">
        <f>[2]tanks!Q35</f>
        <v>5400.5483870967737</v>
      </c>
      <c r="R5" s="540">
        <f>[2]tanks!R35</f>
        <v>251</v>
      </c>
      <c r="S5" s="540">
        <f>[2]tanks!S35</f>
        <v>5400.5483870967737</v>
      </c>
      <c r="T5" s="540">
        <f>[2]tanks!T35</f>
        <v>251</v>
      </c>
      <c r="U5" s="540">
        <f>[2]tanks!U35</f>
        <v>5400.5483870967737</v>
      </c>
      <c r="V5" s="540">
        <f>[2]tanks!V35</f>
        <v>251</v>
      </c>
      <c r="W5" s="540">
        <f>[2]tanks!W35</f>
        <v>5400.5483870967737</v>
      </c>
      <c r="X5" s="540">
        <f>[2]tanks!X35</f>
        <v>0.80967741935483861</v>
      </c>
      <c r="Y5" s="540">
        <f>[2]tanks!Y35</f>
        <v>59406.032258064508</v>
      </c>
      <c r="Z5" s="540">
        <f>[2]tanks!Z35</f>
        <v>257</v>
      </c>
      <c r="AA5" s="540">
        <f>[2]tanks!AA35</f>
        <v>2570</v>
      </c>
      <c r="AB5" s="540">
        <f>[2]tanks!AB35</f>
        <v>257</v>
      </c>
      <c r="AC5" s="540">
        <f>[2]tanks!AC35</f>
        <v>2570</v>
      </c>
      <c r="AD5" s="540">
        <f>[2]tanks!AD35</f>
        <v>257</v>
      </c>
      <c r="AE5" s="540">
        <f>[2]tanks!AE35</f>
        <v>2570</v>
      </c>
      <c r="AF5" s="540">
        <f>[2]tanks!AF35</f>
        <v>257</v>
      </c>
      <c r="AG5" s="540">
        <f>[2]tanks!AG35</f>
        <v>2570</v>
      </c>
      <c r="AH5" s="540">
        <f>[2]tanks!AH35</f>
        <v>257</v>
      </c>
      <c r="AI5" s="540">
        <f>[2]tanks!AI35</f>
        <v>2570</v>
      </c>
      <c r="AJ5" s="540">
        <f>[2]tanks!AJ35</f>
        <v>257</v>
      </c>
      <c r="AK5" s="540">
        <f>[2]tanks!AK35</f>
        <v>2570</v>
      </c>
      <c r="AL5" s="540">
        <f>[2]tanks!AL35</f>
        <v>257</v>
      </c>
      <c r="AM5" s="540">
        <f>[2]tanks!AM35</f>
        <v>2570</v>
      </c>
      <c r="AN5" s="513">
        <f>[2]tanks!AN35</f>
        <v>0.91785714285714282</v>
      </c>
      <c r="AO5" s="540">
        <f>[2]tanks!AO35</f>
        <v>17990</v>
      </c>
      <c r="AP5" s="540">
        <f>[2]tanks!AP35</f>
        <v>0</v>
      </c>
      <c r="AQ5" s="513">
        <f>[2]tanks!AQ35</f>
        <v>0.83248394383203739</v>
      </c>
      <c r="AR5" s="540">
        <f>[2]tanks!AR35</f>
        <v>77396.032258064515</v>
      </c>
      <c r="AS5" s="540">
        <f>[2]tanks!AS35</f>
        <v>-1274.0451612903271</v>
      </c>
      <c r="AT5" s="540">
        <f>[2]tanks!AT35</f>
        <v>0</v>
      </c>
      <c r="AU5" s="540">
        <f>[2]tanks!AU35</f>
        <v>0</v>
      </c>
      <c r="AV5" s="540">
        <f>[2]tanks!AV35</f>
        <v>0.503</v>
      </c>
      <c r="AW5" s="540">
        <f>[2]tanks!AW35</f>
        <v>0</v>
      </c>
      <c r="AX5" s="540">
        <f>[2]tanks!AX35</f>
        <v>-1274.0451612903271</v>
      </c>
      <c r="AY5" s="540">
        <f>[2]tanks!AY35</f>
        <v>-1274.0451612903271</v>
      </c>
      <c r="AZ5" s="513">
        <f>[2]tanks!AZ35</f>
        <v>0</v>
      </c>
      <c r="BA5" s="540">
        <f>[2]tanks!BA35</f>
        <v>28.5</v>
      </c>
      <c r="BB5" s="513">
        <f>[2]tanks!BB35</f>
        <v>0.65</v>
      </c>
      <c r="BC5" s="540">
        <f>[2]tanks!BC35</f>
        <v>0</v>
      </c>
      <c r="BD5" s="540">
        <f>[2]tanks!BD35</f>
        <v>19222</v>
      </c>
      <c r="BE5" s="540" t="e">
        <f>[2]tanks!BE35</f>
        <v>#REF!</v>
      </c>
      <c r="BF5" s="540">
        <f>[2]tanks!BF35</f>
        <v>0</v>
      </c>
      <c r="BG5" s="540" t="e">
        <f>[2]tanks!BG35</f>
        <v>#REF!</v>
      </c>
      <c r="BH5" s="540">
        <f>[3]tanks!BH36</f>
        <v>0</v>
      </c>
      <c r="BI5" s="204"/>
    </row>
    <row r="6" spans="1:61">
      <c r="A6" s="451">
        <f>ELEC!C3</f>
        <v>44105</v>
      </c>
      <c r="B6">
        <f>'B5'!B5</f>
        <v>249</v>
      </c>
      <c r="C6" s="204">
        <f>B6*$B$4</f>
        <v>5357.5161290322576</v>
      </c>
      <c r="D6">
        <f>SUM(B6)</f>
        <v>249</v>
      </c>
      <c r="E6" s="204">
        <f>D6*$B$4</f>
        <v>5357.5161290322576</v>
      </c>
      <c r="F6">
        <f>SUM(D6)</f>
        <v>249</v>
      </c>
      <c r="G6" s="204">
        <f t="shared" ref="G6:G35" si="1">F6*$B$4</f>
        <v>5357.5161290322576</v>
      </c>
      <c r="H6" s="204">
        <f>SUM(F6)</f>
        <v>249</v>
      </c>
      <c r="I6" s="204">
        <f t="shared" ref="I6:I35" si="2">H6*$B$4</f>
        <v>5357.5161290322576</v>
      </c>
      <c r="J6" s="204">
        <f>SUM(H6)</f>
        <v>249</v>
      </c>
      <c r="K6" s="204">
        <f t="shared" ref="K6:K35" si="3">J6*$B$4</f>
        <v>5357.5161290322576</v>
      </c>
      <c r="L6" s="204">
        <f>SUM(J6)</f>
        <v>249</v>
      </c>
      <c r="M6" s="204">
        <f t="shared" ref="M6:M35" si="4">L6*$B$4</f>
        <v>5357.5161290322576</v>
      </c>
      <c r="N6" s="204">
        <f>SUM(L6)</f>
        <v>249</v>
      </c>
      <c r="O6" s="204">
        <f t="shared" ref="O6:O35" si="5">N6*$B$4</f>
        <v>5357.5161290322576</v>
      </c>
      <c r="P6" s="204">
        <f>SUM(N6)</f>
        <v>249</v>
      </c>
      <c r="Q6" s="204">
        <f t="shared" ref="Q6:Q35" si="6">P6*$B$4</f>
        <v>5357.5161290322576</v>
      </c>
      <c r="R6" s="204">
        <f>SUM(P6)</f>
        <v>249</v>
      </c>
      <c r="S6" s="204">
        <f t="shared" ref="S6:S35" si="7">R6*$B$4</f>
        <v>5357.5161290322576</v>
      </c>
      <c r="T6" s="204">
        <f>SUM(R6)</f>
        <v>249</v>
      </c>
      <c r="U6" s="204">
        <f t="shared" ref="U6:U35" si="8">T6*$B$4</f>
        <v>5357.5161290322576</v>
      </c>
      <c r="V6" s="204">
        <f>SUM(T6)</f>
        <v>249</v>
      </c>
      <c r="W6" s="204">
        <f t="shared" ref="W6:W35" si="9">V6*$B$4</f>
        <v>5357.5161290322576</v>
      </c>
      <c r="X6" s="35">
        <f t="shared" ref="X6:X29" si="10">SUM(Y6/73370)</f>
        <v>0.80322580645161279</v>
      </c>
      <c r="Y6" s="36">
        <f>SUM(C6+E6+G6+I6+K6+M6+O6+Q6+S6+U6+W6)</f>
        <v>58932.677419354834</v>
      </c>
      <c r="Z6" s="204">
        <f>'B5'!C5</f>
        <v>255</v>
      </c>
      <c r="AA6" s="204">
        <f>SUM(Z6*$Z$4)</f>
        <v>2550</v>
      </c>
      <c r="AB6" s="204">
        <f>SUM(Z6)</f>
        <v>255</v>
      </c>
      <c r="AC6" s="204">
        <f>SUM(AB6*$Z$4)</f>
        <v>2550</v>
      </c>
      <c r="AD6" s="204">
        <f>SUM(AB6)</f>
        <v>255</v>
      </c>
      <c r="AE6" s="204">
        <f t="shared" ref="AE6:AE35" si="11">SUM(AD6*$Z$4)</f>
        <v>2550</v>
      </c>
      <c r="AF6" s="204">
        <f>SUM(AD6)</f>
        <v>255</v>
      </c>
      <c r="AG6" s="204">
        <f t="shared" ref="AG6:AG35" si="12">SUM(AF6*$Z$4)</f>
        <v>2550</v>
      </c>
      <c r="AH6" s="204">
        <f>SUM(AF6)</f>
        <v>255</v>
      </c>
      <c r="AI6" s="204">
        <f t="shared" ref="AI6:AI35" si="13">SUM(AH6*$Z$4)</f>
        <v>2550</v>
      </c>
      <c r="AJ6" s="204">
        <f>SUM(AH6)</f>
        <v>255</v>
      </c>
      <c r="AK6" s="204">
        <f t="shared" ref="AK6:AK35" si="14">SUM(AJ6*$Z$4)</f>
        <v>2550</v>
      </c>
      <c r="AL6" s="204">
        <f>SUM(AJ6)</f>
        <v>255</v>
      </c>
      <c r="AM6" s="204">
        <f t="shared" ref="AM6:AM35" si="15">SUM(AL6*$Z$4)</f>
        <v>2550</v>
      </c>
      <c r="AN6" s="35">
        <f t="shared" ref="AN6:AN29" si="16">SUM(AO6/19600)</f>
        <v>0.9107142857142857</v>
      </c>
      <c r="AO6" s="36">
        <f t="shared" ref="AO6:AO29" si="17">SUM(AA6+AC6+AE6+AG6+AI6+AK6+AM6)</f>
        <v>17850</v>
      </c>
      <c r="AQ6" s="224">
        <f>SUM(AR6/92970)</f>
        <v>0.8258866023379029</v>
      </c>
      <c r="AR6" s="38">
        <f>SUM(AO6+Y6)</f>
        <v>76782.677419354834</v>
      </c>
      <c r="AS6" s="198">
        <f>SUM(AR6-AR5-AT6)</f>
        <v>-613.35483870968164</v>
      </c>
      <c r="AT6" s="359"/>
      <c r="AU6" s="443"/>
      <c r="AV6" s="526">
        <f>IF(AT6&gt;0,AU6,AV5)</f>
        <v>0.503</v>
      </c>
      <c r="AW6" s="293">
        <f>-SUM('B5'!AI5)</f>
        <v>-1.7999999999883585</v>
      </c>
      <c r="AX6" s="293">
        <f>-SUM(AW6-AS6)</f>
        <v>-611.55483870969329</v>
      </c>
      <c r="AY6" s="37">
        <f>SUM(AX6+AW6)</f>
        <v>-613.35483870968164</v>
      </c>
      <c r="AZ6" s="100">
        <f>ELEC!A3</f>
        <v>0</v>
      </c>
      <c r="BA6" s="118">
        <f>'General information '!D6</f>
        <v>27.5</v>
      </c>
      <c r="BB6" s="283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1">
        <f>ELEC!C4</f>
        <v>44106</v>
      </c>
      <c r="B7">
        <f>'B5'!B6</f>
        <v>248</v>
      </c>
      <c r="C7" s="204">
        <f t="shared" ref="C7:E35" si="18">B7*$B$4</f>
        <v>5336</v>
      </c>
      <c r="D7">
        <f t="shared" ref="D7:D29" si="19">SUM(B7)</f>
        <v>248</v>
      </c>
      <c r="E7" s="204">
        <f t="shared" si="18"/>
        <v>5336</v>
      </c>
      <c r="F7">
        <f t="shared" ref="F7:F29" si="20">SUM(D7)</f>
        <v>248</v>
      </c>
      <c r="G7" s="204">
        <f t="shared" si="1"/>
        <v>5336</v>
      </c>
      <c r="H7" s="204">
        <f t="shared" ref="H7:H29" si="21">SUM(F7)</f>
        <v>248</v>
      </c>
      <c r="I7" s="204">
        <f t="shared" si="2"/>
        <v>5336</v>
      </c>
      <c r="J7" s="204">
        <f t="shared" ref="J7:J29" si="22">SUM(H7)</f>
        <v>248</v>
      </c>
      <c r="K7" s="204">
        <f t="shared" si="3"/>
        <v>5336</v>
      </c>
      <c r="L7" s="204">
        <f t="shared" ref="L7:L29" si="23">SUM(J7)</f>
        <v>248</v>
      </c>
      <c r="M7" s="204">
        <f t="shared" si="4"/>
        <v>5336</v>
      </c>
      <c r="N7" s="204">
        <f t="shared" ref="N7:N29" si="24">SUM(L7)</f>
        <v>248</v>
      </c>
      <c r="O7" s="204">
        <f t="shared" si="5"/>
        <v>5336</v>
      </c>
      <c r="P7" s="204">
        <f t="shared" ref="P7:P29" si="25">SUM(N7)</f>
        <v>248</v>
      </c>
      <c r="Q7" s="204">
        <f t="shared" si="6"/>
        <v>5336</v>
      </c>
      <c r="R7" s="204">
        <f t="shared" ref="R7:R29" si="26">SUM(P7)</f>
        <v>248</v>
      </c>
      <c r="S7" s="204">
        <f t="shared" si="7"/>
        <v>5336</v>
      </c>
      <c r="T7" s="204">
        <f t="shared" ref="T7:T29" si="27">SUM(R7)</f>
        <v>248</v>
      </c>
      <c r="U7" s="204">
        <f t="shared" si="8"/>
        <v>5336</v>
      </c>
      <c r="V7" s="204">
        <f t="shared" ref="V7:V29" si="28">SUM(T7)</f>
        <v>248</v>
      </c>
      <c r="W7" s="204">
        <f t="shared" si="9"/>
        <v>5336</v>
      </c>
      <c r="X7" s="35">
        <f t="shared" si="10"/>
        <v>0.8</v>
      </c>
      <c r="Y7" s="36">
        <f t="shared" ref="Y7:Y29" si="29">SUM(C7+E7+G7+I7+K7+M7+O7+Q7+S7+U7+W7)</f>
        <v>58696</v>
      </c>
      <c r="Z7" s="204">
        <f>'B5'!C6</f>
        <v>254.5</v>
      </c>
      <c r="AA7" s="204">
        <f t="shared" ref="AA7:AC35" si="30">SUM(Z7*$Z$4)</f>
        <v>2545</v>
      </c>
      <c r="AB7" s="204">
        <f t="shared" ref="AB7:AB29" si="31">SUM(Z7)</f>
        <v>254.5</v>
      </c>
      <c r="AC7" s="204">
        <f t="shared" si="30"/>
        <v>2545</v>
      </c>
      <c r="AD7" s="204">
        <f t="shared" ref="AD7:AD29" si="32">SUM(AB7)</f>
        <v>254.5</v>
      </c>
      <c r="AE7" s="204">
        <f t="shared" si="11"/>
        <v>2545</v>
      </c>
      <c r="AF7" s="204">
        <f t="shared" ref="AF7:AF29" si="33">SUM(AD7)</f>
        <v>254.5</v>
      </c>
      <c r="AG7" s="204">
        <f t="shared" si="12"/>
        <v>2545</v>
      </c>
      <c r="AH7" s="204">
        <f t="shared" ref="AH7:AH29" si="34">SUM(AF7)</f>
        <v>254.5</v>
      </c>
      <c r="AI7" s="204">
        <f t="shared" si="13"/>
        <v>2545</v>
      </c>
      <c r="AJ7" s="204">
        <f t="shared" ref="AJ7:AJ29" si="35">SUM(AH7)</f>
        <v>254.5</v>
      </c>
      <c r="AK7" s="204">
        <f t="shared" si="14"/>
        <v>2545</v>
      </c>
      <c r="AL7" s="204">
        <f t="shared" ref="AL7:AL29" si="36">SUM(AJ7)</f>
        <v>254.5</v>
      </c>
      <c r="AM7" s="204">
        <f t="shared" si="15"/>
        <v>2545</v>
      </c>
      <c r="AN7" s="35">
        <f t="shared" si="16"/>
        <v>0.90892857142857142</v>
      </c>
      <c r="AO7" s="36">
        <f t="shared" si="17"/>
        <v>17815</v>
      </c>
      <c r="AQ7" s="224">
        <f t="shared" ref="AQ7:AQ33" si="37">SUM(AR7/92970)</f>
        <v>0.8229643971173497</v>
      </c>
      <c r="AR7" s="38">
        <f>SUM(AO7+Y7)</f>
        <v>76511</v>
      </c>
      <c r="AS7" s="198">
        <f t="shared" ref="AS7:AS35" si="38">SUM(AR7-AR6-AT7)</f>
        <v>-271.67741935483355</v>
      </c>
      <c r="AT7" s="273"/>
      <c r="AU7" s="499"/>
      <c r="AV7" s="526">
        <f>IF(AT7&gt;0,AU7,AV6)</f>
        <v>0.503</v>
      </c>
      <c r="AW7" s="293">
        <f>-SUM('B5'!AI6)</f>
        <v>-232</v>
      </c>
      <c r="AX7" s="293">
        <f t="shared" ref="AX7:AX35" si="39">-SUM(AW7-AS7)</f>
        <v>-39.677419354833546</v>
      </c>
      <c r="AY7" s="37">
        <f t="shared" ref="AY7:AY35" si="40">SUM(AX7+AW7)</f>
        <v>-271.67741935483355</v>
      </c>
      <c r="AZ7" s="100">
        <f>ELEC!A4</f>
        <v>0</v>
      </c>
      <c r="BA7" s="118">
        <f>'General information '!D7</f>
        <v>28</v>
      </c>
      <c r="BB7" s="398">
        <f>SUM('General information '!E7)</f>
        <v>0.65</v>
      </c>
      <c r="BC7" s="3">
        <v>0</v>
      </c>
      <c r="BD7" s="102">
        <v>19222</v>
      </c>
      <c r="BE7" s="14">
        <f>(305/1185)*ELEC!Q5</f>
        <v>257.38396624472574</v>
      </c>
      <c r="BF7" s="14"/>
      <c r="BG7" s="14" t="e">
        <f>#REF!-BE7</f>
        <v>#REF!</v>
      </c>
      <c r="BH7" s="11">
        <v>19</v>
      </c>
    </row>
    <row r="8" spans="1:61">
      <c r="A8" s="451">
        <f>ELEC!C5</f>
        <v>44107</v>
      </c>
      <c r="B8">
        <f>'B5'!B7</f>
        <v>246.5</v>
      </c>
      <c r="C8" s="204">
        <f t="shared" si="18"/>
        <v>5303.7258064516127</v>
      </c>
      <c r="D8">
        <f t="shared" si="19"/>
        <v>246.5</v>
      </c>
      <c r="E8" s="204">
        <f t="shared" si="18"/>
        <v>5303.7258064516127</v>
      </c>
      <c r="F8">
        <f t="shared" si="20"/>
        <v>246.5</v>
      </c>
      <c r="G8" s="204">
        <f t="shared" si="1"/>
        <v>5303.7258064516127</v>
      </c>
      <c r="H8" s="204">
        <f t="shared" si="21"/>
        <v>246.5</v>
      </c>
      <c r="I8" s="204">
        <f t="shared" si="2"/>
        <v>5303.7258064516127</v>
      </c>
      <c r="J8" s="204">
        <f t="shared" si="22"/>
        <v>246.5</v>
      </c>
      <c r="K8" s="204">
        <f t="shared" si="3"/>
        <v>5303.7258064516127</v>
      </c>
      <c r="L8" s="204">
        <f t="shared" si="23"/>
        <v>246.5</v>
      </c>
      <c r="M8" s="204">
        <f t="shared" si="4"/>
        <v>5303.7258064516127</v>
      </c>
      <c r="N8" s="204">
        <f t="shared" si="24"/>
        <v>246.5</v>
      </c>
      <c r="O8" s="204">
        <f t="shared" si="5"/>
        <v>5303.7258064516127</v>
      </c>
      <c r="P8" s="204">
        <f t="shared" si="25"/>
        <v>246.5</v>
      </c>
      <c r="Q8" s="204">
        <f t="shared" si="6"/>
        <v>5303.7258064516127</v>
      </c>
      <c r="R8" s="204">
        <f t="shared" si="26"/>
        <v>246.5</v>
      </c>
      <c r="S8" s="204">
        <f t="shared" si="7"/>
        <v>5303.7258064516127</v>
      </c>
      <c r="T8" s="204">
        <f t="shared" si="27"/>
        <v>246.5</v>
      </c>
      <c r="U8" s="204">
        <f t="shared" si="8"/>
        <v>5303.7258064516127</v>
      </c>
      <c r="V8" s="204">
        <f t="shared" si="28"/>
        <v>246.5</v>
      </c>
      <c r="W8" s="204">
        <f t="shared" si="9"/>
        <v>5303.7258064516127</v>
      </c>
      <c r="X8" s="35">
        <f t="shared" si="10"/>
        <v>0.79516129032258065</v>
      </c>
      <c r="Y8" s="36">
        <f t="shared" si="29"/>
        <v>58340.983870967742</v>
      </c>
      <c r="Z8" s="204">
        <f>'B5'!C7</f>
        <v>251.2</v>
      </c>
      <c r="AA8" s="204">
        <f t="shared" si="30"/>
        <v>2512</v>
      </c>
      <c r="AB8" s="204">
        <f t="shared" si="31"/>
        <v>251.2</v>
      </c>
      <c r="AC8" s="204">
        <f t="shared" si="30"/>
        <v>2512</v>
      </c>
      <c r="AD8" s="204">
        <f t="shared" si="32"/>
        <v>251.2</v>
      </c>
      <c r="AE8" s="204">
        <f t="shared" si="11"/>
        <v>2512</v>
      </c>
      <c r="AF8" s="204">
        <f t="shared" si="33"/>
        <v>251.2</v>
      </c>
      <c r="AG8" s="204">
        <f t="shared" si="12"/>
        <v>2512</v>
      </c>
      <c r="AH8" s="204">
        <f t="shared" si="34"/>
        <v>251.2</v>
      </c>
      <c r="AI8" s="204">
        <f t="shared" si="13"/>
        <v>2512</v>
      </c>
      <c r="AJ8" s="204">
        <f t="shared" si="35"/>
        <v>251.2</v>
      </c>
      <c r="AK8" s="204">
        <f t="shared" si="14"/>
        <v>2512</v>
      </c>
      <c r="AL8" s="204">
        <f t="shared" si="36"/>
        <v>251.2</v>
      </c>
      <c r="AM8" s="204">
        <f t="shared" si="15"/>
        <v>2512</v>
      </c>
      <c r="AN8" s="35">
        <f t="shared" si="16"/>
        <v>0.89714285714285713</v>
      </c>
      <c r="AO8" s="36">
        <f t="shared" si="17"/>
        <v>17584</v>
      </c>
      <c r="AQ8" s="224">
        <f t="shared" si="37"/>
        <v>0.81666111510129868</v>
      </c>
      <c r="AR8" s="38">
        <f t="shared" ref="AR8:AR36" si="41">SUM(AO8+Y8)</f>
        <v>75924.983870967742</v>
      </c>
      <c r="AS8" s="198">
        <f t="shared" si="38"/>
        <v>-586.0161290322576</v>
      </c>
      <c r="AT8" s="359"/>
      <c r="AU8" s="443"/>
      <c r="AV8" s="526">
        <f t="shared" ref="AV8:AV34" si="42">IF(AT8&gt;0,AU8,AV7)</f>
        <v>0.503</v>
      </c>
      <c r="AW8" s="293">
        <f>-SUM('B5'!AI7)</f>
        <v>-116</v>
      </c>
      <c r="AX8" s="293">
        <f t="shared" si="39"/>
        <v>-470.0161290322576</v>
      </c>
      <c r="AY8" s="37">
        <f t="shared" si="40"/>
        <v>-586.0161290322576</v>
      </c>
      <c r="AZ8" s="100">
        <f>ELEC!A5</f>
        <v>0</v>
      </c>
      <c r="BA8" s="118">
        <f>'General information '!D8</f>
        <v>26.5</v>
      </c>
      <c r="BB8" s="398">
        <f>SUM('General information '!E8)</f>
        <v>0.56999999999999995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1">
        <f>ELEC!C6</f>
        <v>44108</v>
      </c>
      <c r="B9">
        <f>'B5'!B8</f>
        <v>244</v>
      </c>
      <c r="C9" s="204">
        <f t="shared" si="18"/>
        <v>5249.9354838709678</v>
      </c>
      <c r="D9">
        <f t="shared" si="19"/>
        <v>244</v>
      </c>
      <c r="E9" s="204">
        <f t="shared" si="18"/>
        <v>5249.9354838709678</v>
      </c>
      <c r="F9">
        <f t="shared" si="20"/>
        <v>244</v>
      </c>
      <c r="G9" s="204">
        <f t="shared" si="1"/>
        <v>5249.9354838709678</v>
      </c>
      <c r="H9" s="204">
        <f t="shared" si="21"/>
        <v>244</v>
      </c>
      <c r="I9" s="204">
        <f t="shared" si="2"/>
        <v>5249.9354838709678</v>
      </c>
      <c r="J9" s="204">
        <f t="shared" si="22"/>
        <v>244</v>
      </c>
      <c r="K9" s="204">
        <f t="shared" si="3"/>
        <v>5249.9354838709678</v>
      </c>
      <c r="L9" s="204">
        <f t="shared" si="23"/>
        <v>244</v>
      </c>
      <c r="M9" s="204">
        <f t="shared" si="4"/>
        <v>5249.9354838709678</v>
      </c>
      <c r="N9" s="204">
        <f t="shared" si="24"/>
        <v>244</v>
      </c>
      <c r="O9" s="204">
        <f t="shared" si="5"/>
        <v>5249.9354838709678</v>
      </c>
      <c r="P9" s="204">
        <f t="shared" si="25"/>
        <v>244</v>
      </c>
      <c r="Q9" s="204">
        <f t="shared" si="6"/>
        <v>5249.9354838709678</v>
      </c>
      <c r="R9" s="204">
        <f t="shared" si="26"/>
        <v>244</v>
      </c>
      <c r="S9" s="204">
        <f t="shared" si="7"/>
        <v>5249.9354838709678</v>
      </c>
      <c r="T9" s="204">
        <f t="shared" si="27"/>
        <v>244</v>
      </c>
      <c r="U9" s="204">
        <f t="shared" si="8"/>
        <v>5249.9354838709678</v>
      </c>
      <c r="V9" s="204">
        <f t="shared" si="28"/>
        <v>244</v>
      </c>
      <c r="W9" s="204">
        <f t="shared" si="9"/>
        <v>5249.9354838709678</v>
      </c>
      <c r="X9" s="35">
        <f t="shared" si="10"/>
        <v>0.78709677419354862</v>
      </c>
      <c r="Y9" s="36">
        <f t="shared" si="29"/>
        <v>57749.290322580659</v>
      </c>
      <c r="Z9" s="204">
        <f>'B5'!C8</f>
        <v>249</v>
      </c>
      <c r="AA9" s="204">
        <f t="shared" si="30"/>
        <v>2490</v>
      </c>
      <c r="AB9" s="204">
        <f t="shared" si="31"/>
        <v>249</v>
      </c>
      <c r="AC9" s="204">
        <f t="shared" si="30"/>
        <v>2490</v>
      </c>
      <c r="AD9" s="204">
        <f t="shared" si="32"/>
        <v>249</v>
      </c>
      <c r="AE9" s="204">
        <f t="shared" si="11"/>
        <v>2490</v>
      </c>
      <c r="AF9" s="204">
        <f t="shared" si="33"/>
        <v>249</v>
      </c>
      <c r="AG9" s="204">
        <f t="shared" si="12"/>
        <v>2490</v>
      </c>
      <c r="AH9" s="204">
        <f t="shared" si="34"/>
        <v>249</v>
      </c>
      <c r="AI9" s="204">
        <f t="shared" si="13"/>
        <v>2490</v>
      </c>
      <c r="AJ9" s="204">
        <f t="shared" si="35"/>
        <v>249</v>
      </c>
      <c r="AK9" s="204">
        <f t="shared" si="14"/>
        <v>2490</v>
      </c>
      <c r="AL9" s="204">
        <f t="shared" si="36"/>
        <v>249</v>
      </c>
      <c r="AM9" s="204">
        <f t="shared" si="15"/>
        <v>2490</v>
      </c>
      <c r="AN9" s="35">
        <f t="shared" si="16"/>
        <v>0.88928571428571423</v>
      </c>
      <c r="AO9" s="36">
        <f>SUM(AA9+AC9+AE9+AG9+AI9+AK9+AM9)</f>
        <v>17430</v>
      </c>
      <c r="AQ9" s="224">
        <f t="shared" si="37"/>
        <v>0.80864031754953924</v>
      </c>
      <c r="AR9" s="38">
        <f t="shared" si="41"/>
        <v>75179.290322580666</v>
      </c>
      <c r="AS9" s="198">
        <f t="shared" si="38"/>
        <v>-745.69354838707659</v>
      </c>
      <c r="AT9" s="359"/>
      <c r="AU9" s="443"/>
      <c r="AV9" s="526">
        <f t="shared" si="42"/>
        <v>0.503</v>
      </c>
      <c r="AW9" s="293">
        <f>-SUM('B5'!AI8)</f>
        <v>-53</v>
      </c>
      <c r="AX9" s="293">
        <f>-SUM(AW9-AS9)</f>
        <v>-692.69354838707659</v>
      </c>
      <c r="AY9" s="37">
        <f t="shared" si="40"/>
        <v>-745.69354838707659</v>
      </c>
      <c r="AZ9" s="100">
        <f>ELEC!A6</f>
        <v>0</v>
      </c>
      <c r="BA9" s="118">
        <f>'General information '!D9</f>
        <v>27</v>
      </c>
      <c r="BB9" s="398">
        <f>SUM('General information '!E9)</f>
        <v>0.45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1">
        <f>ELEC!C7</f>
        <v>44109</v>
      </c>
      <c r="B10">
        <f>'B5'!B9</f>
        <v>242</v>
      </c>
      <c r="C10" s="204">
        <f t="shared" si="18"/>
        <v>5206.9032258064517</v>
      </c>
      <c r="D10">
        <f t="shared" si="19"/>
        <v>242</v>
      </c>
      <c r="E10" s="204">
        <f t="shared" si="18"/>
        <v>5206.9032258064517</v>
      </c>
      <c r="F10">
        <f t="shared" si="20"/>
        <v>242</v>
      </c>
      <c r="G10" s="204">
        <f t="shared" si="1"/>
        <v>5206.9032258064517</v>
      </c>
      <c r="H10" s="204">
        <f t="shared" si="21"/>
        <v>242</v>
      </c>
      <c r="I10" s="204">
        <f t="shared" si="2"/>
        <v>5206.9032258064517</v>
      </c>
      <c r="J10" s="204">
        <f t="shared" si="22"/>
        <v>242</v>
      </c>
      <c r="K10" s="204">
        <f t="shared" si="3"/>
        <v>5206.9032258064517</v>
      </c>
      <c r="L10" s="204">
        <f t="shared" si="23"/>
        <v>242</v>
      </c>
      <c r="M10" s="204">
        <f t="shared" si="4"/>
        <v>5206.9032258064517</v>
      </c>
      <c r="N10" s="204">
        <f t="shared" si="24"/>
        <v>242</v>
      </c>
      <c r="O10" s="204">
        <f t="shared" si="5"/>
        <v>5206.9032258064517</v>
      </c>
      <c r="P10" s="204">
        <f t="shared" si="25"/>
        <v>242</v>
      </c>
      <c r="Q10" s="204">
        <f t="shared" si="6"/>
        <v>5206.9032258064517</v>
      </c>
      <c r="R10" s="204">
        <f t="shared" si="26"/>
        <v>242</v>
      </c>
      <c r="S10" s="204">
        <f t="shared" si="7"/>
        <v>5206.9032258064517</v>
      </c>
      <c r="T10" s="204">
        <f t="shared" si="27"/>
        <v>242</v>
      </c>
      <c r="U10" s="204">
        <f t="shared" si="8"/>
        <v>5206.9032258064517</v>
      </c>
      <c r="V10" s="204">
        <f t="shared" si="28"/>
        <v>242</v>
      </c>
      <c r="W10" s="204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4">
        <f>'B5'!C9</f>
        <v>247.3</v>
      </c>
      <c r="AA10" s="204">
        <f t="shared" si="30"/>
        <v>2473</v>
      </c>
      <c r="AB10" s="204">
        <f t="shared" si="31"/>
        <v>247.3</v>
      </c>
      <c r="AC10" s="204">
        <f t="shared" si="30"/>
        <v>2473</v>
      </c>
      <c r="AD10" s="204">
        <f t="shared" si="32"/>
        <v>247.3</v>
      </c>
      <c r="AE10" s="204">
        <f t="shared" si="11"/>
        <v>2473</v>
      </c>
      <c r="AF10" s="204">
        <f t="shared" si="33"/>
        <v>247.3</v>
      </c>
      <c r="AG10" s="204">
        <f t="shared" si="12"/>
        <v>2473</v>
      </c>
      <c r="AH10" s="204">
        <f t="shared" si="34"/>
        <v>247.3</v>
      </c>
      <c r="AI10" s="204">
        <f t="shared" si="13"/>
        <v>2473</v>
      </c>
      <c r="AJ10" s="204">
        <f t="shared" si="35"/>
        <v>247.3</v>
      </c>
      <c r="AK10" s="204">
        <f t="shared" si="14"/>
        <v>2473</v>
      </c>
      <c r="AL10" s="204">
        <f t="shared" si="36"/>
        <v>247.3</v>
      </c>
      <c r="AM10" s="204">
        <f t="shared" si="15"/>
        <v>2473</v>
      </c>
      <c r="AN10" s="35">
        <f t="shared" si="16"/>
        <v>0.88321428571428573</v>
      </c>
      <c r="AO10" s="36">
        <f t="shared" si="17"/>
        <v>17311</v>
      </c>
      <c r="AQ10" s="224">
        <f t="shared" si="37"/>
        <v>0.80226885537131298</v>
      </c>
      <c r="AR10" s="38">
        <f t="shared" si="41"/>
        <v>74586.93548387097</v>
      </c>
      <c r="AS10" s="198">
        <f t="shared" si="38"/>
        <v>-592.3548387096962</v>
      </c>
      <c r="AT10" s="359"/>
      <c r="AU10" s="443"/>
      <c r="AV10" s="526">
        <f>IF(AT10&gt;0,AU10,AV9)</f>
        <v>0.503</v>
      </c>
      <c r="AW10" s="293">
        <f>-SUM('B5'!AI9)</f>
        <v>-96</v>
      </c>
      <c r="AX10" s="293">
        <f>-SUM(AW10-AS10)</f>
        <v>-496.3548387096962</v>
      </c>
      <c r="AY10" s="37">
        <f t="shared" si="40"/>
        <v>-592.3548387096962</v>
      </c>
      <c r="AZ10" s="100">
        <f>ELEC!A7</f>
        <v>0</v>
      </c>
      <c r="BA10" s="118">
        <f>'General information '!D10</f>
        <v>26.5</v>
      </c>
      <c r="BB10" s="398">
        <f>SUM('General information '!E10)</f>
        <v>0.5</v>
      </c>
      <c r="BC10" s="3">
        <f t="shared" si="43"/>
        <v>0</v>
      </c>
      <c r="BD10" s="102">
        <v>19222</v>
      </c>
      <c r="BE10" s="14">
        <f>(305/1185)*ELEC!Q8</f>
        <v>257.38396624472574</v>
      </c>
      <c r="BF10" s="14"/>
      <c r="BG10" s="14" t="e">
        <f>#REF!-BE10</f>
        <v>#REF!</v>
      </c>
      <c r="BH10" s="11">
        <v>16</v>
      </c>
    </row>
    <row r="11" spans="1:61">
      <c r="A11" s="451">
        <f>ELEC!C8</f>
        <v>44110</v>
      </c>
      <c r="B11">
        <f>'B5'!B10</f>
        <v>239</v>
      </c>
      <c r="C11" s="204">
        <f t="shared" si="18"/>
        <v>5142.3548387096771</v>
      </c>
      <c r="D11">
        <f>SUM(B11)</f>
        <v>239</v>
      </c>
      <c r="E11" s="204">
        <f t="shared" si="18"/>
        <v>5142.3548387096771</v>
      </c>
      <c r="F11">
        <f>SUM(D11)</f>
        <v>239</v>
      </c>
      <c r="G11" s="204">
        <f t="shared" si="1"/>
        <v>5142.3548387096771</v>
      </c>
      <c r="H11" s="204">
        <f>SUM(F11)</f>
        <v>239</v>
      </c>
      <c r="I11" s="204">
        <f t="shared" si="2"/>
        <v>5142.3548387096771</v>
      </c>
      <c r="J11" s="204">
        <f>SUM(H11)</f>
        <v>239</v>
      </c>
      <c r="K11" s="204">
        <f t="shared" si="3"/>
        <v>5142.3548387096771</v>
      </c>
      <c r="L11" s="204">
        <f>SUM(J11)</f>
        <v>239</v>
      </c>
      <c r="M11" s="204">
        <f t="shared" si="4"/>
        <v>5142.3548387096771</v>
      </c>
      <c r="N11" s="204">
        <f>SUM(L11)</f>
        <v>239</v>
      </c>
      <c r="O11" s="204">
        <f t="shared" si="5"/>
        <v>5142.3548387096771</v>
      </c>
      <c r="P11" s="204">
        <f>SUM(N11)</f>
        <v>239</v>
      </c>
      <c r="Q11" s="204">
        <f t="shared" si="6"/>
        <v>5142.3548387096771</v>
      </c>
      <c r="R11" s="204">
        <f>SUM(P11)</f>
        <v>239</v>
      </c>
      <c r="S11" s="204">
        <f t="shared" si="7"/>
        <v>5142.3548387096771</v>
      </c>
      <c r="T11" s="204">
        <f>SUM(R11)</f>
        <v>239</v>
      </c>
      <c r="U11" s="204">
        <f t="shared" si="8"/>
        <v>5142.3548387096771</v>
      </c>
      <c r="V11" s="204">
        <f>SUM(T11)</f>
        <v>239</v>
      </c>
      <c r="W11" s="204">
        <f t="shared" si="9"/>
        <v>5142.3548387096771</v>
      </c>
      <c r="X11" s="35">
        <f>SUM(Y11/73370)</f>
        <v>0.77096774193548367</v>
      </c>
      <c r="Y11" s="36">
        <f>SUM(C11+E11+G11+I11+K11+M11+O11+Q11+S11+U11+W11)</f>
        <v>56565.90322580644</v>
      </c>
      <c r="Z11" s="204">
        <f>'B5'!C10</f>
        <v>245</v>
      </c>
      <c r="AA11" s="204">
        <f t="shared" si="30"/>
        <v>2450</v>
      </c>
      <c r="AB11" s="204">
        <f>SUM(Z11)</f>
        <v>245</v>
      </c>
      <c r="AC11" s="204">
        <f t="shared" si="30"/>
        <v>2450</v>
      </c>
      <c r="AD11" s="204">
        <f>SUM(AB11)</f>
        <v>245</v>
      </c>
      <c r="AE11" s="204">
        <f t="shared" si="11"/>
        <v>2450</v>
      </c>
      <c r="AF11" s="204">
        <f>SUM(AD11)</f>
        <v>245</v>
      </c>
      <c r="AG11" s="204">
        <f t="shared" si="12"/>
        <v>2450</v>
      </c>
      <c r="AH11" s="204">
        <f>SUM(AF11)</f>
        <v>245</v>
      </c>
      <c r="AI11" s="204">
        <f t="shared" si="13"/>
        <v>2450</v>
      </c>
      <c r="AJ11" s="204">
        <f>SUM(AH11)</f>
        <v>245</v>
      </c>
      <c r="AK11" s="204">
        <f t="shared" si="14"/>
        <v>2450</v>
      </c>
      <c r="AL11" s="204">
        <f>SUM(AJ11)</f>
        <v>245</v>
      </c>
      <c r="AM11" s="204">
        <f t="shared" si="15"/>
        <v>2450</v>
      </c>
      <c r="AN11" s="35">
        <f>SUM(AO11/19600)</f>
        <v>0.875</v>
      </c>
      <c r="AO11" s="36">
        <f t="shared" si="17"/>
        <v>17150</v>
      </c>
      <c r="AP11" s="585"/>
      <c r="AQ11" s="224">
        <f t="shared" si="37"/>
        <v>0.79289989486723067</v>
      </c>
      <c r="AR11" s="38">
        <f t="shared" si="41"/>
        <v>73715.90322580644</v>
      </c>
      <c r="AS11" s="198">
        <f>SUM(AR11-AR10-AT11)</f>
        <v>-871.03225806452974</v>
      </c>
      <c r="AT11" s="359"/>
      <c r="AU11" s="443"/>
      <c r="AV11" s="526">
        <f>IF(AT11&gt;0,AU11,AV10)</f>
        <v>0.503</v>
      </c>
      <c r="AW11" s="293">
        <f>-SUM('B5'!AI10)</f>
        <v>-145</v>
      </c>
      <c r="AX11" s="293">
        <f>-SUM(AW11-AS11)</f>
        <v>-726.03225806452974</v>
      </c>
      <c r="AY11" s="37">
        <f t="shared" si="40"/>
        <v>-871.03225806452974</v>
      </c>
      <c r="AZ11" s="100">
        <f>ELEC!A8</f>
        <v>0</v>
      </c>
      <c r="BA11" s="118">
        <f>'General information '!D11</f>
        <v>28.5</v>
      </c>
      <c r="BB11" s="398">
        <f>SUM('General information '!E11)</f>
        <v>0.45</v>
      </c>
      <c r="BC11" s="3">
        <f t="shared" si="43"/>
        <v>0</v>
      </c>
      <c r="BD11" s="102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51">
        <f>ELEC!C9</f>
        <v>44111</v>
      </c>
      <c r="B12">
        <f>'B5'!B11</f>
        <v>237</v>
      </c>
      <c r="C12" s="204">
        <f t="shared" si="18"/>
        <v>5099.322580645161</v>
      </c>
      <c r="D12">
        <f t="shared" si="19"/>
        <v>237</v>
      </c>
      <c r="E12" s="204">
        <f t="shared" si="18"/>
        <v>5099.322580645161</v>
      </c>
      <c r="F12">
        <f t="shared" si="20"/>
        <v>237</v>
      </c>
      <c r="G12" s="204">
        <f t="shared" si="1"/>
        <v>5099.322580645161</v>
      </c>
      <c r="H12" s="204">
        <f t="shared" si="21"/>
        <v>237</v>
      </c>
      <c r="I12" s="204">
        <f t="shared" si="2"/>
        <v>5099.322580645161</v>
      </c>
      <c r="J12" s="204">
        <f t="shared" si="22"/>
        <v>237</v>
      </c>
      <c r="K12" s="204">
        <f t="shared" si="3"/>
        <v>5099.322580645161</v>
      </c>
      <c r="L12" s="204">
        <f t="shared" si="23"/>
        <v>237</v>
      </c>
      <c r="M12" s="204">
        <f t="shared" si="4"/>
        <v>5099.322580645161</v>
      </c>
      <c r="N12" s="204">
        <f t="shared" si="24"/>
        <v>237</v>
      </c>
      <c r="O12" s="204">
        <f t="shared" si="5"/>
        <v>5099.322580645161</v>
      </c>
      <c r="P12" s="204">
        <f t="shared" si="25"/>
        <v>237</v>
      </c>
      <c r="Q12" s="204">
        <f t="shared" si="6"/>
        <v>5099.322580645161</v>
      </c>
      <c r="R12" s="204">
        <f t="shared" si="26"/>
        <v>237</v>
      </c>
      <c r="S12" s="204">
        <f t="shared" si="7"/>
        <v>5099.322580645161</v>
      </c>
      <c r="T12" s="204">
        <f t="shared" si="27"/>
        <v>237</v>
      </c>
      <c r="U12" s="204">
        <f t="shared" si="8"/>
        <v>5099.322580645161</v>
      </c>
      <c r="V12" s="204">
        <f t="shared" si="28"/>
        <v>237</v>
      </c>
      <c r="W12" s="204">
        <f t="shared" si="9"/>
        <v>5099.322580645161</v>
      </c>
      <c r="X12" s="35">
        <f t="shared" si="10"/>
        <v>0.76451612903225785</v>
      </c>
      <c r="Y12" s="36">
        <f t="shared" si="29"/>
        <v>56092.548387096758</v>
      </c>
      <c r="Z12" s="204">
        <f>'B5'!C11</f>
        <v>242.2</v>
      </c>
      <c r="AA12" s="204">
        <f t="shared" si="30"/>
        <v>2422</v>
      </c>
      <c r="AB12" s="204">
        <f t="shared" si="31"/>
        <v>242.2</v>
      </c>
      <c r="AC12" s="204">
        <f t="shared" si="30"/>
        <v>2422</v>
      </c>
      <c r="AD12" s="204">
        <f t="shared" si="32"/>
        <v>242.2</v>
      </c>
      <c r="AE12" s="204">
        <f t="shared" si="11"/>
        <v>2422</v>
      </c>
      <c r="AF12" s="204">
        <f t="shared" si="33"/>
        <v>242.2</v>
      </c>
      <c r="AG12" s="204">
        <f t="shared" si="12"/>
        <v>2422</v>
      </c>
      <c r="AH12" s="204">
        <f t="shared" si="34"/>
        <v>242.2</v>
      </c>
      <c r="AI12" s="204">
        <f t="shared" si="13"/>
        <v>2422</v>
      </c>
      <c r="AJ12" s="204">
        <f t="shared" si="35"/>
        <v>242.2</v>
      </c>
      <c r="AK12" s="204">
        <f t="shared" si="14"/>
        <v>2422</v>
      </c>
      <c r="AL12" s="204">
        <f t="shared" si="36"/>
        <v>242.2</v>
      </c>
      <c r="AM12" s="204">
        <f t="shared" si="15"/>
        <v>2422</v>
      </c>
      <c r="AN12" s="35">
        <f t="shared" si="16"/>
        <v>0.86499999999999999</v>
      </c>
      <c r="AO12" s="36">
        <f t="shared" si="17"/>
        <v>16954</v>
      </c>
      <c r="AP12" s="585"/>
      <c r="AQ12" s="224">
        <f t="shared" si="37"/>
        <v>0.78570020853067402</v>
      </c>
      <c r="AR12" s="38">
        <f t="shared" si="41"/>
        <v>73046.548387096758</v>
      </c>
      <c r="AS12" s="198">
        <f t="shared" si="38"/>
        <v>-669.35483870968164</v>
      </c>
      <c r="AT12" s="273"/>
      <c r="AU12" s="485"/>
      <c r="AV12" s="526">
        <f t="shared" si="42"/>
        <v>0.503</v>
      </c>
      <c r="AW12" s="293">
        <f>-SUM('B5'!AI11)</f>
        <v>-146</v>
      </c>
      <c r="AX12" s="293">
        <f t="shared" si="39"/>
        <v>-523.35483870968164</v>
      </c>
      <c r="AY12" s="37">
        <f t="shared" si="40"/>
        <v>-669.35483870968164</v>
      </c>
      <c r="AZ12" s="100">
        <f>ELEC!A9</f>
        <v>0</v>
      </c>
      <c r="BA12" s="118">
        <f>'General information '!D12</f>
        <v>26.5</v>
      </c>
      <c r="BB12" s="398">
        <f>SUM('General information '!E12)</f>
        <v>0.4</v>
      </c>
      <c r="BC12" s="3">
        <f t="shared" si="43"/>
        <v>0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1">
        <f>ELEC!C10</f>
        <v>44112</v>
      </c>
      <c r="B13">
        <f>'B5'!B12</f>
        <v>234</v>
      </c>
      <c r="C13" s="204">
        <f t="shared" si="18"/>
        <v>5034.7741935483873</v>
      </c>
      <c r="D13">
        <f t="shared" si="19"/>
        <v>234</v>
      </c>
      <c r="E13" s="204">
        <f t="shared" si="18"/>
        <v>5034.7741935483873</v>
      </c>
      <c r="F13">
        <f t="shared" si="20"/>
        <v>234</v>
      </c>
      <c r="G13" s="204">
        <f t="shared" si="1"/>
        <v>5034.7741935483873</v>
      </c>
      <c r="H13" s="204">
        <f t="shared" si="21"/>
        <v>234</v>
      </c>
      <c r="I13" s="204">
        <f t="shared" si="2"/>
        <v>5034.7741935483873</v>
      </c>
      <c r="J13" s="204">
        <f t="shared" si="22"/>
        <v>234</v>
      </c>
      <c r="K13" s="204">
        <f t="shared" si="3"/>
        <v>5034.7741935483873</v>
      </c>
      <c r="L13" s="204">
        <f t="shared" si="23"/>
        <v>234</v>
      </c>
      <c r="M13" s="204">
        <f t="shared" si="4"/>
        <v>5034.7741935483873</v>
      </c>
      <c r="N13" s="204">
        <f t="shared" si="24"/>
        <v>234</v>
      </c>
      <c r="O13" s="204">
        <f t="shared" si="5"/>
        <v>5034.7741935483873</v>
      </c>
      <c r="P13" s="204">
        <f t="shared" si="25"/>
        <v>234</v>
      </c>
      <c r="Q13" s="204">
        <f t="shared" si="6"/>
        <v>5034.7741935483873</v>
      </c>
      <c r="R13" s="204">
        <f t="shared" si="26"/>
        <v>234</v>
      </c>
      <c r="S13" s="204">
        <f t="shared" si="7"/>
        <v>5034.7741935483873</v>
      </c>
      <c r="T13" s="204">
        <f t="shared" si="27"/>
        <v>234</v>
      </c>
      <c r="U13" s="204">
        <f t="shared" si="8"/>
        <v>5034.7741935483873</v>
      </c>
      <c r="V13" s="204">
        <f t="shared" si="28"/>
        <v>234</v>
      </c>
      <c r="W13" s="204">
        <f t="shared" si="9"/>
        <v>5034.7741935483873</v>
      </c>
      <c r="X13" s="35">
        <f t="shared" si="10"/>
        <v>0.75483870967741939</v>
      </c>
      <c r="Y13" s="36">
        <f t="shared" si="29"/>
        <v>55382.516129032258</v>
      </c>
      <c r="Z13" s="204">
        <f>'B5'!C12</f>
        <v>241</v>
      </c>
      <c r="AA13" s="204">
        <f t="shared" si="30"/>
        <v>2410</v>
      </c>
      <c r="AB13" s="204">
        <f t="shared" si="31"/>
        <v>241</v>
      </c>
      <c r="AC13" s="204">
        <f t="shared" si="30"/>
        <v>2410</v>
      </c>
      <c r="AD13" s="204">
        <f t="shared" si="32"/>
        <v>241</v>
      </c>
      <c r="AE13" s="204">
        <f t="shared" si="11"/>
        <v>2410</v>
      </c>
      <c r="AF13" s="204">
        <f t="shared" si="33"/>
        <v>241</v>
      </c>
      <c r="AG13" s="204">
        <f t="shared" si="12"/>
        <v>2410</v>
      </c>
      <c r="AH13" s="204">
        <f t="shared" si="34"/>
        <v>241</v>
      </c>
      <c r="AI13" s="204">
        <f t="shared" si="13"/>
        <v>2410</v>
      </c>
      <c r="AJ13" s="204">
        <f t="shared" si="35"/>
        <v>241</v>
      </c>
      <c r="AK13" s="204">
        <f t="shared" si="14"/>
        <v>2410</v>
      </c>
      <c r="AL13" s="204">
        <f t="shared" si="36"/>
        <v>241</v>
      </c>
      <c r="AM13" s="204">
        <f t="shared" si="15"/>
        <v>2410</v>
      </c>
      <c r="AN13" s="35">
        <f t="shared" si="16"/>
        <v>0.86071428571428577</v>
      </c>
      <c r="AO13" s="36">
        <f t="shared" si="17"/>
        <v>16870</v>
      </c>
      <c r="AP13" s="585"/>
      <c r="AQ13" s="224">
        <f t="shared" si="37"/>
        <v>0.77715947218492265</v>
      </c>
      <c r="AR13" s="38">
        <f t="shared" si="41"/>
        <v>72252.516129032258</v>
      </c>
      <c r="AS13" s="198">
        <f t="shared" si="38"/>
        <v>-794.03225806450064</v>
      </c>
      <c r="AT13" s="273"/>
      <c r="AU13" s="443"/>
      <c r="AV13" s="526">
        <f t="shared" si="42"/>
        <v>0.503</v>
      </c>
      <c r="AW13" s="293">
        <f>-SUM('B5'!AI12)</f>
        <v>-115</v>
      </c>
      <c r="AX13" s="293">
        <f t="shared" si="39"/>
        <v>-679.03225806450064</v>
      </c>
      <c r="AY13" s="37">
        <f t="shared" si="40"/>
        <v>-794.03225806450064</v>
      </c>
      <c r="AZ13" s="100">
        <f>ELEC!A10</f>
        <v>0</v>
      </c>
      <c r="BA13" s="118">
        <f>'General information '!D13</f>
        <v>28</v>
      </c>
      <c r="BB13" s="398">
        <f>SUM('General information '!E13)</f>
        <v>0.45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1">
        <f>ELEC!C11</f>
        <v>44113</v>
      </c>
      <c r="B14">
        <f>'B5'!B13</f>
        <v>231</v>
      </c>
      <c r="C14" s="204">
        <f t="shared" si="18"/>
        <v>4970.2258064516127</v>
      </c>
      <c r="D14">
        <f t="shared" si="19"/>
        <v>231</v>
      </c>
      <c r="E14" s="204">
        <f t="shared" si="18"/>
        <v>4970.2258064516127</v>
      </c>
      <c r="F14">
        <f t="shared" si="20"/>
        <v>231</v>
      </c>
      <c r="G14" s="204">
        <f t="shared" si="1"/>
        <v>4970.2258064516127</v>
      </c>
      <c r="H14" s="204">
        <f t="shared" si="21"/>
        <v>231</v>
      </c>
      <c r="I14" s="204">
        <f t="shared" si="2"/>
        <v>4970.2258064516127</v>
      </c>
      <c r="J14" s="204">
        <f t="shared" si="22"/>
        <v>231</v>
      </c>
      <c r="K14" s="204">
        <f t="shared" si="3"/>
        <v>4970.2258064516127</v>
      </c>
      <c r="L14" s="204">
        <f t="shared" si="23"/>
        <v>231</v>
      </c>
      <c r="M14" s="204">
        <f t="shared" si="4"/>
        <v>4970.2258064516127</v>
      </c>
      <c r="N14" s="204">
        <f t="shared" si="24"/>
        <v>231</v>
      </c>
      <c r="O14" s="204">
        <f t="shared" si="5"/>
        <v>4970.2258064516127</v>
      </c>
      <c r="P14" s="204">
        <f t="shared" si="25"/>
        <v>231</v>
      </c>
      <c r="Q14" s="204">
        <f t="shared" si="6"/>
        <v>4970.2258064516127</v>
      </c>
      <c r="R14" s="204">
        <f t="shared" si="26"/>
        <v>231</v>
      </c>
      <c r="S14" s="204">
        <f t="shared" si="7"/>
        <v>4970.2258064516127</v>
      </c>
      <c r="T14" s="204">
        <f t="shared" si="27"/>
        <v>231</v>
      </c>
      <c r="U14" s="204">
        <f t="shared" si="8"/>
        <v>4970.2258064516127</v>
      </c>
      <c r="V14" s="204">
        <f t="shared" si="28"/>
        <v>231</v>
      </c>
      <c r="W14" s="204">
        <f t="shared" si="9"/>
        <v>4970.2258064516127</v>
      </c>
      <c r="X14" s="35">
        <f t="shared" si="10"/>
        <v>0.74516129032258061</v>
      </c>
      <c r="Y14" s="36">
        <f t="shared" si="29"/>
        <v>54672.483870967742</v>
      </c>
      <c r="Z14" s="204">
        <f>'B5'!C13</f>
        <v>238</v>
      </c>
      <c r="AA14" s="204">
        <f t="shared" si="30"/>
        <v>2380</v>
      </c>
      <c r="AB14" s="204">
        <f t="shared" si="31"/>
        <v>238</v>
      </c>
      <c r="AC14" s="204">
        <f t="shared" si="30"/>
        <v>2380</v>
      </c>
      <c r="AD14" s="204">
        <f t="shared" si="32"/>
        <v>238</v>
      </c>
      <c r="AE14" s="204">
        <f t="shared" si="11"/>
        <v>2380</v>
      </c>
      <c r="AF14" s="204">
        <f t="shared" si="33"/>
        <v>238</v>
      </c>
      <c r="AG14" s="204">
        <f t="shared" si="12"/>
        <v>2380</v>
      </c>
      <c r="AH14" s="204">
        <f t="shared" si="34"/>
        <v>238</v>
      </c>
      <c r="AI14" s="204">
        <f t="shared" si="13"/>
        <v>2380</v>
      </c>
      <c r="AJ14" s="204">
        <f t="shared" si="35"/>
        <v>238</v>
      </c>
      <c r="AK14" s="204">
        <f t="shared" si="14"/>
        <v>2380</v>
      </c>
      <c r="AL14" s="204">
        <f t="shared" si="36"/>
        <v>238</v>
      </c>
      <c r="AM14" s="204">
        <f t="shared" si="15"/>
        <v>2380</v>
      </c>
      <c r="AN14" s="35">
        <f t="shared" si="16"/>
        <v>0.85</v>
      </c>
      <c r="AO14" s="36">
        <f t="shared" si="17"/>
        <v>16660</v>
      </c>
      <c r="AQ14" s="224">
        <f t="shared" si="37"/>
        <v>0.76726345994372103</v>
      </c>
      <c r="AR14" s="38">
        <f t="shared" si="41"/>
        <v>71332.483870967742</v>
      </c>
      <c r="AS14" s="198">
        <f t="shared" si="38"/>
        <v>-920.03225806451519</v>
      </c>
      <c r="AT14" s="273"/>
      <c r="AU14" s="485"/>
      <c r="AV14" s="526">
        <f t="shared" si="42"/>
        <v>0.503</v>
      </c>
      <c r="AW14" s="293">
        <f>-SUM('B5'!AI13)</f>
        <v>-110</v>
      </c>
      <c r="AX14" s="293">
        <f t="shared" si="39"/>
        <v>-810.03225806451519</v>
      </c>
      <c r="AY14" s="37">
        <f t="shared" si="40"/>
        <v>-920.03225806451519</v>
      </c>
      <c r="AZ14" s="100">
        <f>ELEC!A11</f>
        <v>0</v>
      </c>
      <c r="BA14" s="118">
        <f>'General information '!D14</f>
        <v>26.5</v>
      </c>
      <c r="BB14" s="398">
        <f>SUM('General information '!E14)</f>
        <v>0.46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1">
        <f>ELEC!C12</f>
        <v>44114</v>
      </c>
      <c r="B15">
        <f>'B5'!B14</f>
        <v>229.3</v>
      </c>
      <c r="C15" s="204">
        <f t="shared" si="18"/>
        <v>4933.6483870967741</v>
      </c>
      <c r="D15">
        <f t="shared" si="19"/>
        <v>229.3</v>
      </c>
      <c r="E15" s="204">
        <f t="shared" si="18"/>
        <v>4933.6483870967741</v>
      </c>
      <c r="F15">
        <f t="shared" si="20"/>
        <v>229.3</v>
      </c>
      <c r="G15" s="204">
        <f t="shared" si="1"/>
        <v>4933.6483870967741</v>
      </c>
      <c r="H15" s="204">
        <f t="shared" si="21"/>
        <v>229.3</v>
      </c>
      <c r="I15" s="204">
        <f t="shared" si="2"/>
        <v>4933.6483870967741</v>
      </c>
      <c r="J15" s="204">
        <f t="shared" si="22"/>
        <v>229.3</v>
      </c>
      <c r="K15" s="204">
        <f t="shared" si="3"/>
        <v>4933.6483870967741</v>
      </c>
      <c r="L15" s="204">
        <f t="shared" si="23"/>
        <v>229.3</v>
      </c>
      <c r="M15" s="204">
        <f t="shared" si="4"/>
        <v>4933.6483870967741</v>
      </c>
      <c r="N15" s="204">
        <f t="shared" si="24"/>
        <v>229.3</v>
      </c>
      <c r="O15" s="204">
        <f t="shared" si="5"/>
        <v>4933.6483870967741</v>
      </c>
      <c r="P15" s="204">
        <f t="shared" si="25"/>
        <v>229.3</v>
      </c>
      <c r="Q15" s="204">
        <f t="shared" si="6"/>
        <v>4933.6483870967741</v>
      </c>
      <c r="R15" s="204">
        <f t="shared" si="26"/>
        <v>229.3</v>
      </c>
      <c r="S15" s="204">
        <f t="shared" si="7"/>
        <v>4933.6483870967741</v>
      </c>
      <c r="T15" s="204">
        <f t="shared" si="27"/>
        <v>229.3</v>
      </c>
      <c r="U15" s="204">
        <f t="shared" si="8"/>
        <v>4933.6483870967741</v>
      </c>
      <c r="V15" s="204">
        <f t="shared" si="28"/>
        <v>229.3</v>
      </c>
      <c r="W15" s="204">
        <f t="shared" si="9"/>
        <v>4933.6483870967741</v>
      </c>
      <c r="X15" s="35">
        <f t="shared" si="10"/>
        <v>0.73967741935483855</v>
      </c>
      <c r="Y15" s="36">
        <f t="shared" si="29"/>
        <v>54270.132258064506</v>
      </c>
      <c r="Z15" s="204">
        <f>'B5'!C14</f>
        <v>235.3</v>
      </c>
      <c r="AA15" s="204">
        <f t="shared" si="30"/>
        <v>2353</v>
      </c>
      <c r="AB15" s="204">
        <f t="shared" si="31"/>
        <v>235.3</v>
      </c>
      <c r="AC15" s="204">
        <f t="shared" si="30"/>
        <v>2353</v>
      </c>
      <c r="AD15" s="204">
        <f t="shared" si="32"/>
        <v>235.3</v>
      </c>
      <c r="AE15" s="204">
        <f t="shared" si="11"/>
        <v>2353</v>
      </c>
      <c r="AF15" s="204">
        <f t="shared" si="33"/>
        <v>235.3</v>
      </c>
      <c r="AG15" s="204">
        <f t="shared" si="12"/>
        <v>2353</v>
      </c>
      <c r="AH15" s="204">
        <f t="shared" si="34"/>
        <v>235.3</v>
      </c>
      <c r="AI15" s="204">
        <f t="shared" si="13"/>
        <v>2353</v>
      </c>
      <c r="AJ15" s="204">
        <f t="shared" si="35"/>
        <v>235.3</v>
      </c>
      <c r="AK15" s="204">
        <f t="shared" si="14"/>
        <v>2353</v>
      </c>
      <c r="AL15" s="204">
        <f t="shared" si="36"/>
        <v>235.3</v>
      </c>
      <c r="AM15" s="204">
        <f t="shared" si="15"/>
        <v>2353</v>
      </c>
      <c r="AN15" s="35">
        <f t="shared" si="16"/>
        <v>0.8403571428571428</v>
      </c>
      <c r="AO15" s="36">
        <f t="shared" si="17"/>
        <v>16471</v>
      </c>
      <c r="AQ15" s="224">
        <f t="shared" si="37"/>
        <v>0.76090278862067884</v>
      </c>
      <c r="AR15" s="38">
        <f t="shared" si="41"/>
        <v>70741.132258064506</v>
      </c>
      <c r="AS15" s="198">
        <f>SUM(AR15-AR14-AT15)</f>
        <v>-591.35161290323595</v>
      </c>
      <c r="AT15" s="273"/>
      <c r="AU15" s="443"/>
      <c r="AV15" s="526">
        <f>IF(AT15&gt;0,AU15,AV14)</f>
        <v>0.503</v>
      </c>
      <c r="AW15" s="293">
        <f>-SUM('B5'!AI14)</f>
        <v>-115</v>
      </c>
      <c r="AX15" s="293">
        <f>-SUM(AW15-AS15)</f>
        <v>-476.35161290323595</v>
      </c>
      <c r="AY15" s="37">
        <f t="shared" si="40"/>
        <v>-591.35161290323595</v>
      </c>
      <c r="AZ15" s="100">
        <f>ELEC!A12</f>
        <v>0</v>
      </c>
      <c r="BA15" s="118">
        <f>'General information '!D15</f>
        <v>25</v>
      </c>
      <c r="BB15" s="398">
        <f>SUM('General information '!E15)</f>
        <v>0.69</v>
      </c>
      <c r="BC15" s="3">
        <f t="shared" si="43"/>
        <v>0</v>
      </c>
      <c r="BD15" s="102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51">
        <f>ELEC!C13</f>
        <v>44115</v>
      </c>
      <c r="B16">
        <f>'B5'!B15</f>
        <v>227.2</v>
      </c>
      <c r="C16" s="204">
        <f t="shared" si="18"/>
        <v>4888.4645161290318</v>
      </c>
      <c r="D16">
        <f t="shared" si="19"/>
        <v>227.2</v>
      </c>
      <c r="E16" s="204">
        <f t="shared" si="18"/>
        <v>4888.4645161290318</v>
      </c>
      <c r="F16">
        <f t="shared" si="20"/>
        <v>227.2</v>
      </c>
      <c r="G16" s="204">
        <f t="shared" si="1"/>
        <v>4888.4645161290318</v>
      </c>
      <c r="H16" s="204">
        <f t="shared" si="21"/>
        <v>227.2</v>
      </c>
      <c r="I16" s="204">
        <f t="shared" si="2"/>
        <v>4888.4645161290318</v>
      </c>
      <c r="J16" s="204">
        <f t="shared" si="22"/>
        <v>227.2</v>
      </c>
      <c r="K16" s="204">
        <f t="shared" si="3"/>
        <v>4888.4645161290318</v>
      </c>
      <c r="L16" s="204">
        <f t="shared" si="23"/>
        <v>227.2</v>
      </c>
      <c r="M16" s="204">
        <f t="shared" si="4"/>
        <v>4888.4645161290318</v>
      </c>
      <c r="N16" s="204">
        <f t="shared" si="24"/>
        <v>227.2</v>
      </c>
      <c r="O16" s="204">
        <f t="shared" si="5"/>
        <v>4888.4645161290318</v>
      </c>
      <c r="P16" s="204">
        <f t="shared" si="25"/>
        <v>227.2</v>
      </c>
      <c r="Q16" s="204">
        <f t="shared" si="6"/>
        <v>4888.4645161290318</v>
      </c>
      <c r="R16" s="204">
        <f t="shared" si="26"/>
        <v>227.2</v>
      </c>
      <c r="S16" s="204">
        <f t="shared" si="7"/>
        <v>4888.4645161290318</v>
      </c>
      <c r="T16" s="204">
        <f t="shared" si="27"/>
        <v>227.2</v>
      </c>
      <c r="U16" s="204">
        <f t="shared" si="8"/>
        <v>4888.4645161290318</v>
      </c>
      <c r="V16" s="204">
        <f t="shared" si="28"/>
        <v>227.2</v>
      </c>
      <c r="W16" s="204">
        <f t="shared" si="9"/>
        <v>4888.4645161290318</v>
      </c>
      <c r="X16" s="35">
        <f t="shared" si="10"/>
        <v>0.73290322580645151</v>
      </c>
      <c r="Y16" s="36">
        <f t="shared" si="29"/>
        <v>53773.10967741935</v>
      </c>
      <c r="Z16" s="204">
        <f>'B5'!C15</f>
        <v>233</v>
      </c>
      <c r="AA16" s="204">
        <f t="shared" si="30"/>
        <v>2330</v>
      </c>
      <c r="AB16" s="204">
        <f t="shared" si="31"/>
        <v>233</v>
      </c>
      <c r="AC16" s="204">
        <f t="shared" si="30"/>
        <v>2330</v>
      </c>
      <c r="AD16" s="204">
        <f t="shared" si="32"/>
        <v>233</v>
      </c>
      <c r="AE16" s="204">
        <f t="shared" si="11"/>
        <v>2330</v>
      </c>
      <c r="AF16" s="204">
        <f t="shared" si="33"/>
        <v>233</v>
      </c>
      <c r="AG16" s="204">
        <f t="shared" si="12"/>
        <v>2330</v>
      </c>
      <c r="AH16" s="204">
        <f t="shared" si="34"/>
        <v>233</v>
      </c>
      <c r="AI16" s="204">
        <f t="shared" si="13"/>
        <v>2330</v>
      </c>
      <c r="AJ16" s="204">
        <f t="shared" si="35"/>
        <v>233</v>
      </c>
      <c r="AK16" s="204">
        <f t="shared" si="14"/>
        <v>2330</v>
      </c>
      <c r="AL16" s="204">
        <f t="shared" si="36"/>
        <v>233</v>
      </c>
      <c r="AM16" s="204">
        <f t="shared" si="15"/>
        <v>2330</v>
      </c>
      <c r="AN16" s="35">
        <f t="shared" si="16"/>
        <v>0.83214285714285718</v>
      </c>
      <c r="AO16" s="36">
        <f t="shared" si="17"/>
        <v>16310</v>
      </c>
      <c r="AQ16" s="224">
        <f t="shared" si="37"/>
        <v>0.75382499384123225</v>
      </c>
      <c r="AR16" s="38">
        <f t="shared" si="41"/>
        <v>70083.109677419357</v>
      </c>
      <c r="AS16" s="198">
        <f>SUM(AR16-AR15-AT16)</f>
        <v>-658.02258064514899</v>
      </c>
      <c r="AT16" s="359"/>
      <c r="AU16" s="443"/>
      <c r="AV16" s="526">
        <f>IF(AT16&gt;0,AU16,AV15)</f>
        <v>0.503</v>
      </c>
      <c r="AW16" s="293">
        <f>-SUM('B5'!AI15)</f>
        <v>-132</v>
      </c>
      <c r="AX16" s="293">
        <f>-SUM(AW16-AS16)</f>
        <v>-526.02258064514899</v>
      </c>
      <c r="AY16" s="37">
        <f t="shared" si="40"/>
        <v>-658.02258064514899</v>
      </c>
      <c r="AZ16" s="100">
        <f>ELEC!A13</f>
        <v>0</v>
      </c>
      <c r="BA16" s="118">
        <f>'General information '!D16</f>
        <v>28</v>
      </c>
      <c r="BB16" s="398">
        <f>SUM('General information '!E16)</f>
        <v>0.6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1">
        <f>ELEC!C14</f>
        <v>44116</v>
      </c>
      <c r="B17">
        <f>'B5'!B16</f>
        <v>225</v>
      </c>
      <c r="C17" s="204">
        <f t="shared" si="18"/>
        <v>4841.1290322580644</v>
      </c>
      <c r="D17">
        <f t="shared" si="19"/>
        <v>225</v>
      </c>
      <c r="E17" s="204">
        <f t="shared" si="18"/>
        <v>4841.1290322580644</v>
      </c>
      <c r="F17">
        <f t="shared" si="20"/>
        <v>225</v>
      </c>
      <c r="G17" s="204">
        <f t="shared" si="1"/>
        <v>4841.1290322580644</v>
      </c>
      <c r="H17" s="204">
        <f t="shared" si="21"/>
        <v>225</v>
      </c>
      <c r="I17" s="204">
        <f t="shared" si="2"/>
        <v>4841.1290322580644</v>
      </c>
      <c r="J17" s="204">
        <f t="shared" si="22"/>
        <v>225</v>
      </c>
      <c r="K17" s="204">
        <f t="shared" si="3"/>
        <v>4841.1290322580644</v>
      </c>
      <c r="L17" s="204">
        <f t="shared" si="23"/>
        <v>225</v>
      </c>
      <c r="M17" s="204">
        <f t="shared" si="4"/>
        <v>4841.1290322580644</v>
      </c>
      <c r="N17" s="204">
        <f t="shared" si="24"/>
        <v>225</v>
      </c>
      <c r="O17" s="204">
        <f t="shared" si="5"/>
        <v>4841.1290322580644</v>
      </c>
      <c r="P17" s="204">
        <f t="shared" si="25"/>
        <v>225</v>
      </c>
      <c r="Q17" s="204">
        <f t="shared" si="6"/>
        <v>4841.1290322580644</v>
      </c>
      <c r="R17" s="204">
        <f t="shared" si="26"/>
        <v>225</v>
      </c>
      <c r="S17" s="204">
        <f t="shared" si="7"/>
        <v>4841.1290322580644</v>
      </c>
      <c r="T17" s="204">
        <f t="shared" si="27"/>
        <v>225</v>
      </c>
      <c r="U17" s="204">
        <f t="shared" si="8"/>
        <v>4841.1290322580644</v>
      </c>
      <c r="V17" s="204">
        <f t="shared" si="28"/>
        <v>225</v>
      </c>
      <c r="W17" s="204">
        <f t="shared" si="9"/>
        <v>4841.1290322580644</v>
      </c>
      <c r="X17" s="35">
        <f t="shared" si="10"/>
        <v>0.72580645161290303</v>
      </c>
      <c r="Y17" s="36">
        <f t="shared" si="29"/>
        <v>53252.419354838697</v>
      </c>
      <c r="Z17" s="204">
        <f>'B5'!C16</f>
        <v>231</v>
      </c>
      <c r="AA17" s="204">
        <f t="shared" si="30"/>
        <v>2310</v>
      </c>
      <c r="AB17" s="204">
        <f t="shared" si="31"/>
        <v>231</v>
      </c>
      <c r="AC17" s="204">
        <f t="shared" si="30"/>
        <v>2310</v>
      </c>
      <c r="AD17" s="204">
        <f t="shared" si="32"/>
        <v>231</v>
      </c>
      <c r="AE17" s="204">
        <f t="shared" si="11"/>
        <v>2310</v>
      </c>
      <c r="AF17" s="204">
        <f t="shared" si="33"/>
        <v>231</v>
      </c>
      <c r="AG17" s="204">
        <f t="shared" si="12"/>
        <v>2310</v>
      </c>
      <c r="AH17" s="204">
        <f t="shared" si="34"/>
        <v>231</v>
      </c>
      <c r="AI17" s="204">
        <f t="shared" si="13"/>
        <v>2310</v>
      </c>
      <c r="AJ17" s="204">
        <f t="shared" si="35"/>
        <v>231</v>
      </c>
      <c r="AK17" s="204">
        <f t="shared" si="14"/>
        <v>2310</v>
      </c>
      <c r="AL17" s="204">
        <f t="shared" si="36"/>
        <v>231</v>
      </c>
      <c r="AM17" s="204">
        <f t="shared" si="15"/>
        <v>2310</v>
      </c>
      <c r="AN17" s="35">
        <f t="shared" si="16"/>
        <v>0.82499999999999996</v>
      </c>
      <c r="AO17" s="36">
        <f>SUM(AA17+AC17+AE17+AG17+AI17+AK17+AM17)</f>
        <v>16170</v>
      </c>
      <c r="AQ17" s="224">
        <f t="shared" si="37"/>
        <v>0.7467185044082898</v>
      </c>
      <c r="AR17" s="38">
        <f t="shared" si="41"/>
        <v>69422.419354838697</v>
      </c>
      <c r="AS17" s="198">
        <f t="shared" si="38"/>
        <v>-660.69032258065999</v>
      </c>
      <c r="AT17" s="359"/>
      <c r="AU17" s="485"/>
      <c r="AV17" s="526">
        <f t="shared" si="42"/>
        <v>0.503</v>
      </c>
      <c r="AW17" s="293">
        <f>-SUM('B5'!AI16)</f>
        <v>-111</v>
      </c>
      <c r="AX17" s="293">
        <f t="shared" si="39"/>
        <v>-549.69032258065999</v>
      </c>
      <c r="AY17" s="37">
        <f t="shared" si="40"/>
        <v>-660.69032258065999</v>
      </c>
      <c r="AZ17" s="100">
        <f>ELEC!A14</f>
        <v>0</v>
      </c>
      <c r="BA17" s="118">
        <f>'General information '!D17</f>
        <v>26</v>
      </c>
      <c r="BB17" s="398">
        <f>SUM('General information '!E17)</f>
        <v>0.64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1">
        <f>ELEC!C15</f>
        <v>44117</v>
      </c>
      <c r="B18">
        <f>'B5'!B17</f>
        <v>222</v>
      </c>
      <c r="C18" s="204">
        <f t="shared" si="18"/>
        <v>4776.5806451612898</v>
      </c>
      <c r="D18">
        <f t="shared" si="19"/>
        <v>222</v>
      </c>
      <c r="E18" s="204">
        <f t="shared" si="18"/>
        <v>4776.5806451612898</v>
      </c>
      <c r="F18">
        <f t="shared" si="20"/>
        <v>222</v>
      </c>
      <c r="G18" s="204">
        <f t="shared" si="1"/>
        <v>4776.5806451612898</v>
      </c>
      <c r="H18" s="204">
        <f t="shared" si="21"/>
        <v>222</v>
      </c>
      <c r="I18" s="204">
        <f t="shared" si="2"/>
        <v>4776.5806451612898</v>
      </c>
      <c r="J18" s="204">
        <f t="shared" si="22"/>
        <v>222</v>
      </c>
      <c r="K18" s="204">
        <f t="shared" si="3"/>
        <v>4776.5806451612898</v>
      </c>
      <c r="L18" s="204">
        <f t="shared" si="23"/>
        <v>222</v>
      </c>
      <c r="M18" s="204">
        <f t="shared" si="4"/>
        <v>4776.5806451612898</v>
      </c>
      <c r="N18" s="204">
        <f t="shared" si="24"/>
        <v>222</v>
      </c>
      <c r="O18" s="204">
        <f t="shared" si="5"/>
        <v>4776.5806451612898</v>
      </c>
      <c r="P18" s="204">
        <f t="shared" si="25"/>
        <v>222</v>
      </c>
      <c r="Q18" s="204">
        <f t="shared" si="6"/>
        <v>4776.5806451612898</v>
      </c>
      <c r="R18" s="204">
        <f t="shared" si="26"/>
        <v>222</v>
      </c>
      <c r="S18" s="204">
        <f t="shared" si="7"/>
        <v>4776.5806451612898</v>
      </c>
      <c r="T18" s="204">
        <f t="shared" si="27"/>
        <v>222</v>
      </c>
      <c r="U18" s="204">
        <f t="shared" si="8"/>
        <v>4776.5806451612898</v>
      </c>
      <c r="V18" s="204">
        <f t="shared" si="28"/>
        <v>222</v>
      </c>
      <c r="W18" s="204">
        <f t="shared" si="9"/>
        <v>4776.5806451612898</v>
      </c>
      <c r="X18" s="35">
        <f t="shared" si="10"/>
        <v>0.71612903225806424</v>
      </c>
      <c r="Y18" s="36">
        <f t="shared" si="29"/>
        <v>52542.387096774175</v>
      </c>
      <c r="Z18" s="204">
        <f>'B5'!C17</f>
        <v>228</v>
      </c>
      <c r="AA18" s="204">
        <f t="shared" si="30"/>
        <v>2280</v>
      </c>
      <c r="AB18" s="204">
        <f t="shared" si="31"/>
        <v>228</v>
      </c>
      <c r="AC18" s="204">
        <f t="shared" si="30"/>
        <v>2280</v>
      </c>
      <c r="AD18" s="204">
        <f t="shared" si="32"/>
        <v>228</v>
      </c>
      <c r="AE18" s="204">
        <f t="shared" si="11"/>
        <v>2280</v>
      </c>
      <c r="AF18" s="204">
        <f t="shared" si="33"/>
        <v>228</v>
      </c>
      <c r="AG18" s="204">
        <f t="shared" si="12"/>
        <v>2280</v>
      </c>
      <c r="AH18" s="204">
        <f t="shared" si="34"/>
        <v>228</v>
      </c>
      <c r="AI18" s="204">
        <f t="shared" si="13"/>
        <v>2280</v>
      </c>
      <c r="AJ18" s="204">
        <f t="shared" si="35"/>
        <v>228</v>
      </c>
      <c r="AK18" s="204">
        <f t="shared" si="14"/>
        <v>2280</v>
      </c>
      <c r="AL18" s="204">
        <f t="shared" si="36"/>
        <v>228</v>
      </c>
      <c r="AM18" s="204">
        <f t="shared" si="15"/>
        <v>2280</v>
      </c>
      <c r="AN18" s="35">
        <f t="shared" si="16"/>
        <v>0.81428571428571428</v>
      </c>
      <c r="AO18" s="36">
        <f t="shared" si="17"/>
        <v>15960</v>
      </c>
      <c r="AQ18" s="224">
        <f t="shared" si="37"/>
        <v>0.73682249216708817</v>
      </c>
      <c r="AR18" s="38">
        <f t="shared" si="41"/>
        <v>68502.387096774182</v>
      </c>
      <c r="AS18" s="198">
        <f t="shared" si="38"/>
        <v>-920.03225806451519</v>
      </c>
      <c r="AT18" s="273"/>
      <c r="AU18" s="443"/>
      <c r="AV18" s="526">
        <f>IF(AT18&gt;0,AU18,AV17)</f>
        <v>0.503</v>
      </c>
      <c r="AW18" s="293">
        <f>-SUM('B5'!AI17)</f>
        <v>0</v>
      </c>
      <c r="AX18" s="293">
        <f t="shared" si="39"/>
        <v>-920.03225806451519</v>
      </c>
      <c r="AY18" s="37">
        <f t="shared" si="40"/>
        <v>-920.03225806451519</v>
      </c>
      <c r="AZ18" s="100">
        <f>ELEC!A15</f>
        <v>0</v>
      </c>
      <c r="BA18" s="118">
        <f>'General information '!D18</f>
        <v>26</v>
      </c>
      <c r="BB18" s="398">
        <f>SUM('General information '!E18)</f>
        <v>0.62</v>
      </c>
      <c r="BC18" s="3">
        <f t="shared" si="43"/>
        <v>0</v>
      </c>
      <c r="BD18" s="102">
        <v>19222</v>
      </c>
      <c r="BE18" s="14">
        <f>(305/1185)*ELEC!Q16</f>
        <v>772.15189873417728</v>
      </c>
      <c r="BF18" s="14"/>
      <c r="BG18" s="14" t="e">
        <f>#REF!-BE18</f>
        <v>#REF!</v>
      </c>
      <c r="BH18" s="11"/>
    </row>
    <row r="19" spans="1:61">
      <c r="A19" s="451">
        <f>ELEC!C16</f>
        <v>44118</v>
      </c>
      <c r="B19">
        <f>'B5'!B18</f>
        <v>219.1</v>
      </c>
      <c r="C19" s="204">
        <f t="shared" si="18"/>
        <v>4714.1838709677413</v>
      </c>
      <c r="D19">
        <f t="shared" si="19"/>
        <v>219.1</v>
      </c>
      <c r="E19" s="204">
        <f t="shared" si="18"/>
        <v>4714.1838709677413</v>
      </c>
      <c r="F19">
        <f t="shared" si="20"/>
        <v>219.1</v>
      </c>
      <c r="G19" s="204">
        <f t="shared" si="1"/>
        <v>4714.1838709677413</v>
      </c>
      <c r="H19" s="204">
        <f t="shared" si="21"/>
        <v>219.1</v>
      </c>
      <c r="I19" s="204">
        <f t="shared" si="2"/>
        <v>4714.1838709677413</v>
      </c>
      <c r="J19" s="204">
        <f t="shared" si="22"/>
        <v>219.1</v>
      </c>
      <c r="K19" s="204">
        <f t="shared" si="3"/>
        <v>4714.1838709677413</v>
      </c>
      <c r="L19" s="204">
        <f t="shared" si="23"/>
        <v>219.1</v>
      </c>
      <c r="M19" s="204">
        <f t="shared" si="4"/>
        <v>4714.1838709677413</v>
      </c>
      <c r="N19" s="204">
        <f t="shared" si="24"/>
        <v>219.1</v>
      </c>
      <c r="O19" s="204">
        <f t="shared" si="5"/>
        <v>4714.1838709677413</v>
      </c>
      <c r="P19" s="204">
        <f t="shared" si="25"/>
        <v>219.1</v>
      </c>
      <c r="Q19" s="204">
        <f t="shared" si="6"/>
        <v>4714.1838709677413</v>
      </c>
      <c r="R19" s="204">
        <f t="shared" si="26"/>
        <v>219.1</v>
      </c>
      <c r="S19" s="204">
        <f t="shared" si="7"/>
        <v>4714.1838709677413</v>
      </c>
      <c r="T19" s="204">
        <f t="shared" si="27"/>
        <v>219.1</v>
      </c>
      <c r="U19" s="204">
        <f t="shared" si="8"/>
        <v>4714.1838709677413</v>
      </c>
      <c r="V19" s="204">
        <f t="shared" si="28"/>
        <v>219.1</v>
      </c>
      <c r="W19" s="204">
        <f t="shared" si="9"/>
        <v>4714.1838709677413</v>
      </c>
      <c r="X19" s="35">
        <f t="shared" si="10"/>
        <v>0.70677419354838678</v>
      </c>
      <c r="Y19" s="36">
        <f t="shared" si="29"/>
        <v>51856.022580645142</v>
      </c>
      <c r="Z19" s="204">
        <f>'B5'!C18</f>
        <v>225.2</v>
      </c>
      <c r="AA19" s="204">
        <f t="shared" si="30"/>
        <v>2252</v>
      </c>
      <c r="AB19" s="204">
        <f t="shared" si="31"/>
        <v>225.2</v>
      </c>
      <c r="AC19" s="204">
        <f t="shared" si="30"/>
        <v>2252</v>
      </c>
      <c r="AD19" s="204">
        <f t="shared" si="32"/>
        <v>225.2</v>
      </c>
      <c r="AE19" s="204">
        <f t="shared" si="11"/>
        <v>2252</v>
      </c>
      <c r="AF19" s="204">
        <f t="shared" si="33"/>
        <v>225.2</v>
      </c>
      <c r="AG19" s="204">
        <f t="shared" si="12"/>
        <v>2252</v>
      </c>
      <c r="AH19" s="204">
        <f t="shared" si="34"/>
        <v>225.2</v>
      </c>
      <c r="AI19" s="204">
        <f t="shared" si="13"/>
        <v>2252</v>
      </c>
      <c r="AJ19" s="204">
        <f t="shared" si="35"/>
        <v>225.2</v>
      </c>
      <c r="AK19" s="204">
        <f t="shared" si="14"/>
        <v>2252</v>
      </c>
      <c r="AL19" s="204">
        <f t="shared" si="36"/>
        <v>225.2</v>
      </c>
      <c r="AM19" s="204">
        <f t="shared" si="15"/>
        <v>2252</v>
      </c>
      <c r="AN19" s="35">
        <f t="shared" si="16"/>
        <v>0.80428571428571427</v>
      </c>
      <c r="AO19" s="36">
        <f t="shared" si="17"/>
        <v>15764</v>
      </c>
      <c r="AQ19" s="224">
        <f t="shared" si="37"/>
        <v>0.72733164010589579</v>
      </c>
      <c r="AR19" s="38">
        <f t="shared" si="41"/>
        <v>67620.022580645134</v>
      </c>
      <c r="AS19" s="198">
        <f t="shared" si="38"/>
        <v>-882.36451612904784</v>
      </c>
      <c r="AT19" s="273"/>
      <c r="AU19" s="443"/>
      <c r="AV19" s="526">
        <f t="shared" si="42"/>
        <v>0.503</v>
      </c>
      <c r="AW19" s="293">
        <f>-SUM('B5'!AI18)</f>
        <v>-126</v>
      </c>
      <c r="AX19" s="293">
        <f t="shared" si="39"/>
        <v>-756.36451612904784</v>
      </c>
      <c r="AY19" s="37">
        <f t="shared" si="40"/>
        <v>-882.36451612904784</v>
      </c>
      <c r="AZ19" s="100">
        <f>ELEC!A16</f>
        <v>0</v>
      </c>
      <c r="BA19" s="118">
        <f>'General information '!D19</f>
        <v>25.5</v>
      </c>
      <c r="BB19" s="398">
        <f>SUM('General information '!E19)</f>
        <v>0.56000000000000005</v>
      </c>
      <c r="BC19" s="3">
        <f t="shared" si="43"/>
        <v>0</v>
      </c>
      <c r="BD19" s="102">
        <v>19222</v>
      </c>
      <c r="BE19" s="14">
        <f>(305/1185)*ELEC!Q17</f>
        <v>514.76793248945148</v>
      </c>
      <c r="BF19" s="14"/>
      <c r="BG19" s="14" t="e">
        <f>#REF!-BE19</f>
        <v>#REF!</v>
      </c>
      <c r="BH19" s="11"/>
    </row>
    <row r="20" spans="1:61">
      <c r="A20" s="451">
        <f>ELEC!C17</f>
        <v>44119</v>
      </c>
      <c r="B20">
        <f>'B5'!B19</f>
        <v>216.3</v>
      </c>
      <c r="C20" s="204">
        <f t="shared" si="18"/>
        <v>4653.9387096774199</v>
      </c>
      <c r="D20">
        <f t="shared" si="19"/>
        <v>216.3</v>
      </c>
      <c r="E20" s="204">
        <f t="shared" si="18"/>
        <v>4653.9387096774199</v>
      </c>
      <c r="F20">
        <f t="shared" si="20"/>
        <v>216.3</v>
      </c>
      <c r="G20" s="204">
        <f t="shared" si="1"/>
        <v>4653.9387096774199</v>
      </c>
      <c r="H20" s="204">
        <f t="shared" si="21"/>
        <v>216.3</v>
      </c>
      <c r="I20" s="204">
        <f t="shared" si="2"/>
        <v>4653.9387096774199</v>
      </c>
      <c r="J20" s="204">
        <f t="shared" si="22"/>
        <v>216.3</v>
      </c>
      <c r="K20" s="204">
        <f t="shared" si="3"/>
        <v>4653.9387096774199</v>
      </c>
      <c r="L20" s="204">
        <f t="shared" si="23"/>
        <v>216.3</v>
      </c>
      <c r="M20" s="204">
        <f t="shared" si="4"/>
        <v>4653.9387096774199</v>
      </c>
      <c r="N20" s="204">
        <f t="shared" si="24"/>
        <v>216.3</v>
      </c>
      <c r="O20" s="204">
        <f t="shared" si="5"/>
        <v>4653.9387096774199</v>
      </c>
      <c r="P20" s="204">
        <f t="shared" si="25"/>
        <v>216.3</v>
      </c>
      <c r="Q20" s="204">
        <f t="shared" si="6"/>
        <v>4653.9387096774199</v>
      </c>
      <c r="R20" s="204">
        <f t="shared" si="26"/>
        <v>216.3</v>
      </c>
      <c r="S20" s="204">
        <f t="shared" si="7"/>
        <v>4653.9387096774199</v>
      </c>
      <c r="T20" s="204">
        <f t="shared" si="27"/>
        <v>216.3</v>
      </c>
      <c r="U20" s="204">
        <f t="shared" si="8"/>
        <v>4653.9387096774199</v>
      </c>
      <c r="V20" s="204">
        <f t="shared" si="28"/>
        <v>216.3</v>
      </c>
      <c r="W20" s="204">
        <f t="shared" si="9"/>
        <v>4653.9387096774199</v>
      </c>
      <c r="X20" s="35">
        <f t="shared" si="10"/>
        <v>0.6977419354838712</v>
      </c>
      <c r="Y20" s="36">
        <f t="shared" si="29"/>
        <v>51193.325806451627</v>
      </c>
      <c r="Z20" s="204">
        <f>'B5'!C19</f>
        <v>223</v>
      </c>
      <c r="AA20" s="204">
        <f t="shared" si="30"/>
        <v>2230</v>
      </c>
      <c r="AB20" s="204">
        <f t="shared" si="31"/>
        <v>223</v>
      </c>
      <c r="AC20" s="204">
        <f t="shared" si="30"/>
        <v>2230</v>
      </c>
      <c r="AD20" s="204">
        <f t="shared" si="32"/>
        <v>223</v>
      </c>
      <c r="AE20" s="204">
        <f t="shared" si="11"/>
        <v>2230</v>
      </c>
      <c r="AF20" s="204">
        <f t="shared" si="33"/>
        <v>223</v>
      </c>
      <c r="AG20" s="204">
        <f t="shared" si="12"/>
        <v>2230</v>
      </c>
      <c r="AH20" s="204">
        <f t="shared" si="34"/>
        <v>223</v>
      </c>
      <c r="AI20" s="204">
        <f t="shared" si="13"/>
        <v>2230</v>
      </c>
      <c r="AJ20" s="204">
        <f t="shared" si="35"/>
        <v>223</v>
      </c>
      <c r="AK20" s="204">
        <f t="shared" si="14"/>
        <v>2230</v>
      </c>
      <c r="AL20" s="204">
        <f t="shared" si="36"/>
        <v>223</v>
      </c>
      <c r="AM20" s="204">
        <f t="shared" si="15"/>
        <v>2230</v>
      </c>
      <c r="AN20" s="35">
        <f t="shared" si="16"/>
        <v>0.79642857142857137</v>
      </c>
      <c r="AO20" s="36">
        <f t="shared" si="17"/>
        <v>15610</v>
      </c>
      <c r="AQ20" s="224">
        <f t="shared" si="37"/>
        <v>0.71854712064592474</v>
      </c>
      <c r="AR20" s="38">
        <f t="shared" si="41"/>
        <v>66803.325806451627</v>
      </c>
      <c r="AS20" s="198">
        <f t="shared" si="38"/>
        <v>-816.69677419350774</v>
      </c>
      <c r="AT20" s="273"/>
      <c r="AU20" s="443"/>
      <c r="AV20" s="526">
        <f t="shared" si="42"/>
        <v>0.503</v>
      </c>
      <c r="AW20" s="293">
        <f>-SUM('B5'!AI19)</f>
        <v>-211</v>
      </c>
      <c r="AX20" s="293">
        <f t="shared" si="39"/>
        <v>-605.69677419350774</v>
      </c>
      <c r="AY20" s="37">
        <f t="shared" si="40"/>
        <v>-816.69677419350774</v>
      </c>
      <c r="AZ20" s="100">
        <f>ELEC!A17</f>
        <v>0</v>
      </c>
      <c r="BA20" s="118">
        <f>'General information '!D20</f>
        <v>25</v>
      </c>
      <c r="BB20" s="398">
        <f>SUM('General information '!E20)</f>
        <v>0.65</v>
      </c>
      <c r="BC20" s="3">
        <f t="shared" si="43"/>
        <v>0</v>
      </c>
      <c r="BD20" s="102">
        <v>19222</v>
      </c>
      <c r="BE20" s="14">
        <f>(305/1185)*ELEC!Q18</f>
        <v>257.38396624472574</v>
      </c>
      <c r="BF20" s="14"/>
      <c r="BG20" s="14" t="e">
        <f>#REF!-BE20</f>
        <v>#REF!</v>
      </c>
      <c r="BH20" s="11"/>
    </row>
    <row r="21" spans="1:61">
      <c r="A21" s="451">
        <f>ELEC!C18</f>
        <v>44120</v>
      </c>
      <c r="B21">
        <f>'B5'!B20</f>
        <v>214</v>
      </c>
      <c r="C21" s="204">
        <f t="shared" si="18"/>
        <v>4604.4516129032254</v>
      </c>
      <c r="D21">
        <f t="shared" si="19"/>
        <v>214</v>
      </c>
      <c r="E21" s="204">
        <f t="shared" si="18"/>
        <v>4604.4516129032254</v>
      </c>
      <c r="F21">
        <f t="shared" si="20"/>
        <v>214</v>
      </c>
      <c r="G21" s="204">
        <f t="shared" si="1"/>
        <v>4604.4516129032254</v>
      </c>
      <c r="H21" s="204">
        <f t="shared" si="21"/>
        <v>214</v>
      </c>
      <c r="I21" s="204">
        <f t="shared" si="2"/>
        <v>4604.4516129032254</v>
      </c>
      <c r="J21" s="204">
        <f t="shared" si="22"/>
        <v>214</v>
      </c>
      <c r="K21" s="204">
        <f t="shared" si="3"/>
        <v>4604.4516129032254</v>
      </c>
      <c r="L21" s="204">
        <f t="shared" si="23"/>
        <v>214</v>
      </c>
      <c r="M21" s="204">
        <f t="shared" si="4"/>
        <v>4604.4516129032254</v>
      </c>
      <c r="N21" s="204">
        <f t="shared" si="24"/>
        <v>214</v>
      </c>
      <c r="O21" s="204">
        <f t="shared" si="5"/>
        <v>4604.4516129032254</v>
      </c>
      <c r="P21" s="204">
        <f t="shared" si="25"/>
        <v>214</v>
      </c>
      <c r="Q21" s="204">
        <f t="shared" si="6"/>
        <v>4604.4516129032254</v>
      </c>
      <c r="R21" s="204">
        <f t="shared" si="26"/>
        <v>214</v>
      </c>
      <c r="S21" s="204">
        <f t="shared" si="7"/>
        <v>4604.4516129032254</v>
      </c>
      <c r="T21" s="204">
        <f t="shared" si="27"/>
        <v>214</v>
      </c>
      <c r="U21" s="204">
        <f t="shared" si="8"/>
        <v>4604.4516129032254</v>
      </c>
      <c r="V21" s="204">
        <f t="shared" si="28"/>
        <v>214</v>
      </c>
      <c r="W21" s="204">
        <f t="shared" si="9"/>
        <v>4604.4516129032254</v>
      </c>
      <c r="X21" s="35">
        <f t="shared" si="10"/>
        <v>0.69032258064516139</v>
      </c>
      <c r="Y21" s="36">
        <f t="shared" si="29"/>
        <v>50648.967741935492</v>
      </c>
      <c r="Z21" s="204">
        <f>'B5'!C20</f>
        <v>220</v>
      </c>
      <c r="AA21" s="204">
        <f t="shared" si="30"/>
        <v>2200</v>
      </c>
      <c r="AB21" s="204">
        <f t="shared" si="31"/>
        <v>220</v>
      </c>
      <c r="AC21" s="204">
        <f t="shared" si="30"/>
        <v>2200</v>
      </c>
      <c r="AD21" s="204">
        <f t="shared" si="32"/>
        <v>220</v>
      </c>
      <c r="AE21" s="204">
        <f t="shared" si="11"/>
        <v>2200</v>
      </c>
      <c r="AF21" s="204">
        <f t="shared" si="33"/>
        <v>220</v>
      </c>
      <c r="AG21" s="204">
        <f t="shared" si="12"/>
        <v>2200</v>
      </c>
      <c r="AH21" s="204">
        <f t="shared" si="34"/>
        <v>220</v>
      </c>
      <c r="AI21" s="204">
        <f t="shared" si="13"/>
        <v>2200</v>
      </c>
      <c r="AJ21" s="204">
        <f t="shared" si="35"/>
        <v>220</v>
      </c>
      <c r="AK21" s="204">
        <f t="shared" si="14"/>
        <v>2200</v>
      </c>
      <c r="AL21" s="204">
        <f t="shared" si="36"/>
        <v>220</v>
      </c>
      <c r="AM21" s="204">
        <f t="shared" si="15"/>
        <v>2200</v>
      </c>
      <c r="AN21" s="35">
        <f t="shared" si="16"/>
        <v>0.7857142857142857</v>
      </c>
      <c r="AO21" s="36">
        <f t="shared" si="17"/>
        <v>15400</v>
      </c>
      <c r="AQ21" s="224">
        <f t="shared" si="37"/>
        <v>0.71043312619055055</v>
      </c>
      <c r="AR21" s="38">
        <f t="shared" si="41"/>
        <v>66048.967741935485</v>
      </c>
      <c r="AS21" s="198">
        <f>SUM(AR21-AR20-AT21)</f>
        <v>-754.35806451614189</v>
      </c>
      <c r="AT21" s="273"/>
      <c r="AU21" s="443"/>
      <c r="AV21" s="526">
        <f t="shared" si="42"/>
        <v>0.503</v>
      </c>
      <c r="AW21" s="293">
        <f>-SUM('B5'!AI20)</f>
        <v>-79</v>
      </c>
      <c r="AX21" s="293">
        <f t="shared" si="39"/>
        <v>-675.35806451614189</v>
      </c>
      <c r="AY21" s="37">
        <f t="shared" si="40"/>
        <v>-754.35806451614189</v>
      </c>
      <c r="AZ21" s="100">
        <f>ELEC!A18</f>
        <v>0</v>
      </c>
      <c r="BA21" s="118">
        <f>'General information '!D21</f>
        <v>25.5</v>
      </c>
      <c r="BB21" s="398">
        <f>SUM('General information '!E21)</f>
        <v>0.66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1">
        <f>ELEC!C19</f>
        <v>44121</v>
      </c>
      <c r="B22">
        <f>'B5'!B21</f>
        <v>212.2</v>
      </c>
      <c r="C22" s="204">
        <f t="shared" si="18"/>
        <v>4565.7225806451606</v>
      </c>
      <c r="D22">
        <f t="shared" si="19"/>
        <v>212.2</v>
      </c>
      <c r="E22" s="204">
        <f t="shared" si="18"/>
        <v>4565.7225806451606</v>
      </c>
      <c r="F22">
        <f t="shared" si="20"/>
        <v>212.2</v>
      </c>
      <c r="G22" s="204">
        <f t="shared" si="1"/>
        <v>4565.7225806451606</v>
      </c>
      <c r="H22" s="204">
        <f t="shared" si="21"/>
        <v>212.2</v>
      </c>
      <c r="I22" s="204">
        <f t="shared" si="2"/>
        <v>4565.7225806451606</v>
      </c>
      <c r="J22" s="204">
        <f t="shared" si="22"/>
        <v>212.2</v>
      </c>
      <c r="K22" s="204">
        <f t="shared" si="3"/>
        <v>4565.7225806451606</v>
      </c>
      <c r="L22" s="204">
        <f t="shared" si="23"/>
        <v>212.2</v>
      </c>
      <c r="M22" s="204">
        <f t="shared" si="4"/>
        <v>4565.7225806451606</v>
      </c>
      <c r="N22" s="204">
        <f t="shared" si="24"/>
        <v>212.2</v>
      </c>
      <c r="O22" s="204">
        <f t="shared" si="5"/>
        <v>4565.7225806451606</v>
      </c>
      <c r="P22" s="204">
        <f t="shared" si="25"/>
        <v>212.2</v>
      </c>
      <c r="Q22" s="204">
        <f t="shared" si="6"/>
        <v>4565.7225806451606</v>
      </c>
      <c r="R22" s="204">
        <f t="shared" si="26"/>
        <v>212.2</v>
      </c>
      <c r="S22" s="204">
        <f t="shared" si="7"/>
        <v>4565.7225806451606</v>
      </c>
      <c r="T22" s="204">
        <f t="shared" si="27"/>
        <v>212.2</v>
      </c>
      <c r="U22" s="204">
        <f t="shared" si="8"/>
        <v>4565.7225806451606</v>
      </c>
      <c r="V22" s="204">
        <f t="shared" si="28"/>
        <v>212.2</v>
      </c>
      <c r="W22" s="204">
        <f t="shared" si="9"/>
        <v>4565.7225806451606</v>
      </c>
      <c r="X22" s="35">
        <f t="shared" si="10"/>
        <v>0.684516129032258</v>
      </c>
      <c r="Y22" s="36">
        <f t="shared" si="29"/>
        <v>50222.948387096767</v>
      </c>
      <c r="Z22" s="204">
        <f>'B5'!C21</f>
        <v>219</v>
      </c>
      <c r="AA22" s="204">
        <f t="shared" si="30"/>
        <v>2190</v>
      </c>
      <c r="AB22" s="204">
        <f t="shared" si="31"/>
        <v>219</v>
      </c>
      <c r="AC22" s="204">
        <f t="shared" si="30"/>
        <v>2190</v>
      </c>
      <c r="AD22" s="204">
        <f t="shared" si="32"/>
        <v>219</v>
      </c>
      <c r="AE22" s="204">
        <f t="shared" si="11"/>
        <v>2190</v>
      </c>
      <c r="AF22" s="204">
        <f t="shared" si="33"/>
        <v>219</v>
      </c>
      <c r="AG22" s="204">
        <f t="shared" si="12"/>
        <v>2190</v>
      </c>
      <c r="AH22" s="204">
        <f t="shared" si="34"/>
        <v>219</v>
      </c>
      <c r="AI22" s="204">
        <f t="shared" si="13"/>
        <v>2190</v>
      </c>
      <c r="AJ22" s="204">
        <f t="shared" si="35"/>
        <v>219</v>
      </c>
      <c r="AK22" s="204">
        <f t="shared" si="14"/>
        <v>2190</v>
      </c>
      <c r="AL22" s="204">
        <f t="shared" si="36"/>
        <v>219</v>
      </c>
      <c r="AM22" s="204">
        <f t="shared" si="15"/>
        <v>2190</v>
      </c>
      <c r="AN22" s="35">
        <f t="shared" si="16"/>
        <v>0.78214285714285714</v>
      </c>
      <c r="AO22" s="36">
        <f t="shared" si="17"/>
        <v>15330</v>
      </c>
      <c r="AQ22" s="224">
        <f t="shared" si="37"/>
        <v>0.70509786368825178</v>
      </c>
      <c r="AR22" s="38">
        <f t="shared" si="41"/>
        <v>65552.948387096767</v>
      </c>
      <c r="AS22" s="198">
        <f t="shared" si="38"/>
        <v>-496.01935483871785</v>
      </c>
      <c r="AT22" s="273"/>
      <c r="AU22" s="443"/>
      <c r="AV22" s="526">
        <f t="shared" si="42"/>
        <v>0.503</v>
      </c>
      <c r="AW22" s="293">
        <f>-SUM('B5'!AI21)</f>
        <v>-173</v>
      </c>
      <c r="AX22" s="293">
        <f t="shared" si="39"/>
        <v>-323.01935483871785</v>
      </c>
      <c r="AY22" s="37">
        <f t="shared" si="40"/>
        <v>-496.01935483871785</v>
      </c>
      <c r="AZ22" s="100">
        <f>ELEC!A19</f>
        <v>0</v>
      </c>
      <c r="BA22" s="118">
        <f>'General information '!D22</f>
        <v>24.5</v>
      </c>
      <c r="BB22" s="398">
        <f>SUM('General information '!E22)</f>
        <v>0.65</v>
      </c>
      <c r="BC22" s="3">
        <f t="shared" si="43"/>
        <v>0</v>
      </c>
      <c r="BD22" s="102">
        <v>19222</v>
      </c>
      <c r="BE22" s="14">
        <f>(305/1185)*ELEC!Q20</f>
        <v>514.76793248945148</v>
      </c>
      <c r="BF22" s="14"/>
      <c r="BG22" s="14" t="e">
        <f>#REF!-BE22</f>
        <v>#REF!</v>
      </c>
      <c r="BH22" s="11"/>
    </row>
    <row r="23" spans="1:61">
      <c r="A23" s="451">
        <f>ELEC!C20</f>
        <v>44122</v>
      </c>
      <c r="B23">
        <f>'B5'!B22</f>
        <v>209</v>
      </c>
      <c r="C23" s="204">
        <f t="shared" si="18"/>
        <v>4496.8709677419356</v>
      </c>
      <c r="D23">
        <f t="shared" si="19"/>
        <v>209</v>
      </c>
      <c r="E23" s="204">
        <f t="shared" si="18"/>
        <v>4496.8709677419356</v>
      </c>
      <c r="F23">
        <f t="shared" si="20"/>
        <v>209</v>
      </c>
      <c r="G23" s="204">
        <f t="shared" si="1"/>
        <v>4496.8709677419356</v>
      </c>
      <c r="H23" s="204">
        <f t="shared" si="21"/>
        <v>209</v>
      </c>
      <c r="I23" s="204">
        <f t="shared" si="2"/>
        <v>4496.8709677419356</v>
      </c>
      <c r="J23" s="204">
        <f t="shared" si="22"/>
        <v>209</v>
      </c>
      <c r="K23" s="204">
        <f t="shared" si="3"/>
        <v>4496.8709677419356</v>
      </c>
      <c r="L23" s="204">
        <f t="shared" si="23"/>
        <v>209</v>
      </c>
      <c r="M23" s="204">
        <f t="shared" si="4"/>
        <v>4496.8709677419356</v>
      </c>
      <c r="N23" s="204">
        <f t="shared" si="24"/>
        <v>209</v>
      </c>
      <c r="O23" s="204">
        <f t="shared" si="5"/>
        <v>4496.8709677419356</v>
      </c>
      <c r="P23" s="204">
        <f t="shared" si="25"/>
        <v>209</v>
      </c>
      <c r="Q23" s="204">
        <f t="shared" si="6"/>
        <v>4496.8709677419356</v>
      </c>
      <c r="R23" s="204">
        <f t="shared" si="26"/>
        <v>209</v>
      </c>
      <c r="S23" s="204">
        <f t="shared" si="7"/>
        <v>4496.8709677419356</v>
      </c>
      <c r="T23" s="204">
        <f t="shared" si="27"/>
        <v>209</v>
      </c>
      <c r="U23" s="204">
        <f t="shared" si="8"/>
        <v>4496.8709677419356</v>
      </c>
      <c r="V23" s="204">
        <f t="shared" si="28"/>
        <v>209</v>
      </c>
      <c r="W23" s="204">
        <f t="shared" si="9"/>
        <v>4496.8709677419356</v>
      </c>
      <c r="X23" s="35">
        <f t="shared" si="10"/>
        <v>0.67419354838709689</v>
      </c>
      <c r="Y23" s="36">
        <f t="shared" si="29"/>
        <v>49465.580645161303</v>
      </c>
      <c r="Z23" s="204">
        <f>'B5'!C22</f>
        <v>216</v>
      </c>
      <c r="AA23" s="204">
        <f t="shared" si="30"/>
        <v>2160</v>
      </c>
      <c r="AB23" s="204">
        <f t="shared" si="31"/>
        <v>216</v>
      </c>
      <c r="AC23" s="204">
        <f t="shared" si="30"/>
        <v>2160</v>
      </c>
      <c r="AD23" s="204">
        <f t="shared" si="32"/>
        <v>216</v>
      </c>
      <c r="AE23" s="204">
        <f t="shared" si="11"/>
        <v>2160</v>
      </c>
      <c r="AF23" s="204">
        <f t="shared" si="33"/>
        <v>216</v>
      </c>
      <c r="AG23" s="204">
        <f t="shared" si="12"/>
        <v>2160</v>
      </c>
      <c r="AH23" s="204">
        <f t="shared" si="34"/>
        <v>216</v>
      </c>
      <c r="AI23" s="204">
        <f t="shared" si="13"/>
        <v>2160</v>
      </c>
      <c r="AJ23" s="204">
        <f t="shared" si="35"/>
        <v>216</v>
      </c>
      <c r="AK23" s="204">
        <f t="shared" si="14"/>
        <v>2160</v>
      </c>
      <c r="AL23" s="204">
        <f t="shared" si="36"/>
        <v>216</v>
      </c>
      <c r="AM23" s="204">
        <f t="shared" si="15"/>
        <v>2160</v>
      </c>
      <c r="AN23" s="35">
        <f t="shared" si="16"/>
        <v>0.77142857142857146</v>
      </c>
      <c r="AO23" s="36">
        <f t="shared" si="17"/>
        <v>15120</v>
      </c>
      <c r="AQ23" s="224">
        <f t="shared" si="37"/>
        <v>0.69469270350824253</v>
      </c>
      <c r="AR23" s="38">
        <f t="shared" si="41"/>
        <v>64585.580645161303</v>
      </c>
      <c r="AS23" s="198">
        <f t="shared" si="38"/>
        <v>-967.36774193546444</v>
      </c>
      <c r="AT23" s="273"/>
      <c r="AU23" s="443"/>
      <c r="AV23" s="526">
        <f t="shared" si="42"/>
        <v>0.503</v>
      </c>
      <c r="AW23" s="293">
        <f>-SUM('B5'!AI22)</f>
        <v>-141</v>
      </c>
      <c r="AX23" s="293">
        <f t="shared" si="39"/>
        <v>-826.36774193546444</v>
      </c>
      <c r="AY23" s="37">
        <f t="shared" si="40"/>
        <v>-967.36774193546444</v>
      </c>
      <c r="AZ23" s="100">
        <f>ELEC!A20</f>
        <v>0</v>
      </c>
      <c r="BA23" s="118">
        <f>'General information '!D23</f>
        <v>26</v>
      </c>
      <c r="BB23" s="398">
        <f>SUM('General information '!E23)</f>
        <v>0.52</v>
      </c>
      <c r="BC23" s="3">
        <f t="shared" si="43"/>
        <v>0</v>
      </c>
      <c r="BD23" s="102">
        <v>19222</v>
      </c>
      <c r="BE23" s="14">
        <f>(305/1185)*ELEC!Q21</f>
        <v>514.76793248945148</v>
      </c>
      <c r="BF23" s="14"/>
      <c r="BG23" s="14" t="e">
        <f>#REF!-BE23</f>
        <v>#REF!</v>
      </c>
      <c r="BH23" s="11"/>
    </row>
    <row r="24" spans="1:61">
      <c r="A24" s="451">
        <f>ELEC!C21</f>
        <v>44123</v>
      </c>
      <c r="B24">
        <f>'B5'!B23</f>
        <v>208</v>
      </c>
      <c r="C24" s="204">
        <f t="shared" si="18"/>
        <v>4475.3548387096771</v>
      </c>
      <c r="D24">
        <f t="shared" si="19"/>
        <v>208</v>
      </c>
      <c r="E24" s="204">
        <f t="shared" si="18"/>
        <v>4475.3548387096771</v>
      </c>
      <c r="F24">
        <f t="shared" si="20"/>
        <v>208</v>
      </c>
      <c r="G24" s="204">
        <f t="shared" si="1"/>
        <v>4475.3548387096771</v>
      </c>
      <c r="H24" s="204">
        <f t="shared" si="21"/>
        <v>208</v>
      </c>
      <c r="I24" s="204">
        <f t="shared" si="2"/>
        <v>4475.3548387096771</v>
      </c>
      <c r="J24" s="204">
        <f t="shared" si="22"/>
        <v>208</v>
      </c>
      <c r="K24" s="204">
        <f t="shared" si="3"/>
        <v>4475.3548387096771</v>
      </c>
      <c r="L24" s="204">
        <f t="shared" si="23"/>
        <v>208</v>
      </c>
      <c r="M24" s="204">
        <f t="shared" si="4"/>
        <v>4475.3548387096771</v>
      </c>
      <c r="N24" s="204">
        <f t="shared" si="24"/>
        <v>208</v>
      </c>
      <c r="O24" s="204">
        <f t="shared" si="5"/>
        <v>4475.3548387096771</v>
      </c>
      <c r="P24" s="204">
        <f t="shared" si="25"/>
        <v>208</v>
      </c>
      <c r="Q24" s="204">
        <f t="shared" si="6"/>
        <v>4475.3548387096771</v>
      </c>
      <c r="R24" s="204">
        <f t="shared" si="26"/>
        <v>208</v>
      </c>
      <c r="S24" s="204">
        <f t="shared" si="7"/>
        <v>4475.3548387096771</v>
      </c>
      <c r="T24" s="204">
        <f t="shared" si="27"/>
        <v>208</v>
      </c>
      <c r="U24" s="204">
        <f t="shared" si="8"/>
        <v>4475.3548387096771</v>
      </c>
      <c r="V24" s="204">
        <f t="shared" si="28"/>
        <v>208</v>
      </c>
      <c r="W24" s="204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4">
        <f>'B5'!C23</f>
        <v>214</v>
      </c>
      <c r="AA24" s="204">
        <f t="shared" si="30"/>
        <v>2140</v>
      </c>
      <c r="AB24" s="204">
        <f t="shared" si="31"/>
        <v>214</v>
      </c>
      <c r="AC24" s="204">
        <f t="shared" si="30"/>
        <v>2140</v>
      </c>
      <c r="AD24" s="204">
        <f t="shared" si="32"/>
        <v>214</v>
      </c>
      <c r="AE24" s="204">
        <f t="shared" si="11"/>
        <v>2140</v>
      </c>
      <c r="AF24" s="204">
        <f t="shared" si="33"/>
        <v>214</v>
      </c>
      <c r="AG24" s="204">
        <f t="shared" si="12"/>
        <v>2140</v>
      </c>
      <c r="AH24" s="204">
        <f t="shared" si="34"/>
        <v>214</v>
      </c>
      <c r="AI24" s="204">
        <f t="shared" si="13"/>
        <v>2140</v>
      </c>
      <c r="AJ24" s="204">
        <f t="shared" si="35"/>
        <v>214</v>
      </c>
      <c r="AK24" s="204">
        <f t="shared" si="14"/>
        <v>2140</v>
      </c>
      <c r="AL24" s="204">
        <f t="shared" si="36"/>
        <v>214</v>
      </c>
      <c r="AM24" s="204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4">
        <f t="shared" si="37"/>
        <v>0.69064110170814719</v>
      </c>
      <c r="AR24" s="38">
        <f t="shared" si="41"/>
        <v>64208.90322580644</v>
      </c>
      <c r="AS24" s="198">
        <f t="shared" si="38"/>
        <v>-376.67741935486265</v>
      </c>
      <c r="AT24" s="273"/>
      <c r="AU24" s="443"/>
      <c r="AV24" s="526">
        <f t="shared" si="42"/>
        <v>0.503</v>
      </c>
      <c r="AW24" s="293">
        <f>-SUM('B5'!AI23)</f>
        <v>-121</v>
      </c>
      <c r="AX24" s="293">
        <f t="shared" si="39"/>
        <v>-255.67741935486265</v>
      </c>
      <c r="AY24" s="37">
        <f t="shared" si="40"/>
        <v>-376.67741935486265</v>
      </c>
      <c r="AZ24" s="100">
        <f>ELEC!A21</f>
        <v>0</v>
      </c>
      <c r="BA24" s="118">
        <f>'General information '!D24</f>
        <v>27.5</v>
      </c>
      <c r="BB24" s="398">
        <f>SUM('General information '!E24)</f>
        <v>0.43</v>
      </c>
      <c r="BC24" s="3">
        <f t="shared" si="43"/>
        <v>0</v>
      </c>
      <c r="BD24" s="102">
        <v>19222</v>
      </c>
      <c r="BE24" s="14">
        <f>(305/1185)*ELEC!Q22</f>
        <v>514.76793248945148</v>
      </c>
      <c r="BF24" s="14"/>
      <c r="BG24" s="14" t="e">
        <f>#REF!-BE24</f>
        <v>#REF!</v>
      </c>
      <c r="BH24" s="11"/>
      <c r="BI24" t="s">
        <v>325</v>
      </c>
    </row>
    <row r="25" spans="1:61">
      <c r="A25" s="451">
        <f>ELEC!C22</f>
        <v>44124</v>
      </c>
      <c r="B25">
        <f>'B5'!B24</f>
        <v>204</v>
      </c>
      <c r="C25" s="204">
        <f t="shared" si="18"/>
        <v>4389.2903225806449</v>
      </c>
      <c r="D25">
        <f t="shared" si="19"/>
        <v>204</v>
      </c>
      <c r="E25" s="204">
        <f t="shared" si="18"/>
        <v>4389.2903225806449</v>
      </c>
      <c r="F25">
        <f t="shared" si="20"/>
        <v>204</v>
      </c>
      <c r="G25" s="204">
        <f t="shared" si="1"/>
        <v>4389.2903225806449</v>
      </c>
      <c r="H25" s="204">
        <f t="shared" si="21"/>
        <v>204</v>
      </c>
      <c r="I25" s="204">
        <f t="shared" si="2"/>
        <v>4389.2903225806449</v>
      </c>
      <c r="J25" s="204">
        <f t="shared" si="22"/>
        <v>204</v>
      </c>
      <c r="K25" s="204">
        <f t="shared" si="3"/>
        <v>4389.2903225806449</v>
      </c>
      <c r="L25" s="204">
        <f t="shared" si="23"/>
        <v>204</v>
      </c>
      <c r="M25" s="204">
        <f t="shared" si="4"/>
        <v>4389.2903225806449</v>
      </c>
      <c r="N25" s="204">
        <f t="shared" si="24"/>
        <v>204</v>
      </c>
      <c r="O25" s="204">
        <f t="shared" si="5"/>
        <v>4389.2903225806449</v>
      </c>
      <c r="P25" s="204">
        <f t="shared" si="25"/>
        <v>204</v>
      </c>
      <c r="Q25" s="204">
        <f t="shared" si="6"/>
        <v>4389.2903225806449</v>
      </c>
      <c r="R25" s="204">
        <f t="shared" si="26"/>
        <v>204</v>
      </c>
      <c r="S25" s="204">
        <f t="shared" si="7"/>
        <v>4389.2903225806449</v>
      </c>
      <c r="T25" s="204">
        <f t="shared" si="27"/>
        <v>204</v>
      </c>
      <c r="U25" s="204">
        <f t="shared" si="8"/>
        <v>4389.2903225806449</v>
      </c>
      <c r="V25" s="204">
        <f t="shared" si="28"/>
        <v>204</v>
      </c>
      <c r="W25" s="204">
        <f t="shared" si="9"/>
        <v>4389.2903225806449</v>
      </c>
      <c r="X25" s="35">
        <f t="shared" si="10"/>
        <v>0.65806451612903216</v>
      </c>
      <c r="Y25" s="36">
        <f t="shared" si="29"/>
        <v>48282.193548387091</v>
      </c>
      <c r="Z25" s="204">
        <f>'B5'!C24</f>
        <v>211</v>
      </c>
      <c r="AA25" s="204">
        <f t="shared" si="30"/>
        <v>2110</v>
      </c>
      <c r="AB25" s="204">
        <f t="shared" si="31"/>
        <v>211</v>
      </c>
      <c r="AC25" s="204">
        <f t="shared" si="30"/>
        <v>2110</v>
      </c>
      <c r="AD25" s="204">
        <f t="shared" si="32"/>
        <v>211</v>
      </c>
      <c r="AE25" s="204">
        <f t="shared" si="11"/>
        <v>2110</v>
      </c>
      <c r="AF25" s="204">
        <f t="shared" si="33"/>
        <v>211</v>
      </c>
      <c r="AG25" s="204">
        <f t="shared" si="12"/>
        <v>2110</v>
      </c>
      <c r="AH25" s="204">
        <f t="shared" si="34"/>
        <v>211</v>
      </c>
      <c r="AI25" s="204">
        <f t="shared" si="13"/>
        <v>2110</v>
      </c>
      <c r="AJ25" s="204">
        <f t="shared" si="35"/>
        <v>211</v>
      </c>
      <c r="AK25" s="204">
        <f t="shared" si="14"/>
        <v>2110</v>
      </c>
      <c r="AL25" s="204">
        <f t="shared" si="36"/>
        <v>211</v>
      </c>
      <c r="AM25" s="204">
        <f t="shared" si="15"/>
        <v>2110</v>
      </c>
      <c r="AN25" s="35">
        <f t="shared" si="16"/>
        <v>0.75357142857142856</v>
      </c>
      <c r="AO25" s="36">
        <f t="shared" si="17"/>
        <v>14770</v>
      </c>
      <c r="AQ25" s="224">
        <f t="shared" si="37"/>
        <v>0.67819934977290619</v>
      </c>
      <c r="AR25" s="38">
        <f t="shared" si="41"/>
        <v>63052.193548387091</v>
      </c>
      <c r="AS25" s="198">
        <f t="shared" si="38"/>
        <v>-1156.7096774193487</v>
      </c>
      <c r="AT25" s="273"/>
      <c r="AU25" s="443"/>
      <c r="AV25" s="526">
        <f t="shared" si="42"/>
        <v>0.503</v>
      </c>
      <c r="AW25" s="293">
        <f>-SUM('B5'!AI24)</f>
        <v>-122</v>
      </c>
      <c r="AX25" s="293">
        <f t="shared" si="39"/>
        <v>-1034.7096774193487</v>
      </c>
      <c r="AY25" s="37">
        <f t="shared" si="40"/>
        <v>-1156.7096774193487</v>
      </c>
      <c r="AZ25" s="100">
        <f>ELEC!A22</f>
        <v>0</v>
      </c>
      <c r="BA25" s="118">
        <f>'General information '!D25</f>
        <v>27</v>
      </c>
      <c r="BB25" s="398">
        <f>SUM('General information '!E25)</f>
        <v>0.49</v>
      </c>
      <c r="BC25" s="3">
        <f t="shared" si="43"/>
        <v>0</v>
      </c>
      <c r="BD25" s="102">
        <v>19222</v>
      </c>
      <c r="BE25" s="14">
        <f>(305/1185)*ELEC!Q23</f>
        <v>1029.535864978903</v>
      </c>
      <c r="BF25" s="14"/>
      <c r="BG25" s="14" t="e">
        <f>#REF!-BE25</f>
        <v>#REF!</v>
      </c>
      <c r="BH25" s="11"/>
    </row>
    <row r="26" spans="1:61">
      <c r="A26" s="451">
        <f>ELEC!C23</f>
        <v>44125</v>
      </c>
      <c r="B26">
        <f>'B5'!B25</f>
        <v>236</v>
      </c>
      <c r="C26" s="204">
        <f t="shared" si="18"/>
        <v>5077.8064516129034</v>
      </c>
      <c r="D26">
        <f t="shared" si="19"/>
        <v>236</v>
      </c>
      <c r="E26" s="204">
        <f t="shared" si="18"/>
        <v>5077.8064516129034</v>
      </c>
      <c r="F26">
        <f t="shared" si="20"/>
        <v>236</v>
      </c>
      <c r="G26" s="204">
        <f t="shared" si="1"/>
        <v>5077.8064516129034</v>
      </c>
      <c r="H26" s="204">
        <f t="shared" si="21"/>
        <v>236</v>
      </c>
      <c r="I26" s="204">
        <f t="shared" si="2"/>
        <v>5077.8064516129034</v>
      </c>
      <c r="J26" s="204">
        <f t="shared" si="22"/>
        <v>236</v>
      </c>
      <c r="K26" s="204">
        <f t="shared" si="3"/>
        <v>5077.8064516129034</v>
      </c>
      <c r="L26" s="204">
        <f t="shared" si="23"/>
        <v>236</v>
      </c>
      <c r="M26" s="204">
        <f t="shared" si="4"/>
        <v>5077.8064516129034</v>
      </c>
      <c r="N26" s="204">
        <f t="shared" si="24"/>
        <v>236</v>
      </c>
      <c r="O26" s="204">
        <f t="shared" si="5"/>
        <v>5077.8064516129034</v>
      </c>
      <c r="P26" s="204">
        <f t="shared" si="25"/>
        <v>236</v>
      </c>
      <c r="Q26" s="204">
        <f t="shared" si="6"/>
        <v>5077.8064516129034</v>
      </c>
      <c r="R26" s="204">
        <f t="shared" si="26"/>
        <v>236</v>
      </c>
      <c r="S26" s="204">
        <f t="shared" si="7"/>
        <v>5077.8064516129034</v>
      </c>
      <c r="T26" s="204">
        <f t="shared" si="27"/>
        <v>236</v>
      </c>
      <c r="U26" s="204">
        <f t="shared" si="8"/>
        <v>5077.8064516129034</v>
      </c>
      <c r="V26" s="204">
        <f t="shared" si="28"/>
        <v>236</v>
      </c>
      <c r="W26" s="204">
        <f t="shared" si="9"/>
        <v>5077.8064516129034</v>
      </c>
      <c r="X26" s="35">
        <f t="shared" si="10"/>
        <v>0.761290322580645</v>
      </c>
      <c r="Y26" s="36">
        <f t="shared" si="29"/>
        <v>55855.870967741925</v>
      </c>
      <c r="Z26" s="204">
        <f>'B5'!C25</f>
        <v>242</v>
      </c>
      <c r="AA26" s="204">
        <f t="shared" si="30"/>
        <v>2420</v>
      </c>
      <c r="AB26" s="204">
        <f t="shared" si="31"/>
        <v>242</v>
      </c>
      <c r="AC26" s="204">
        <f t="shared" si="30"/>
        <v>2420</v>
      </c>
      <c r="AD26" s="204">
        <f t="shared" si="32"/>
        <v>242</v>
      </c>
      <c r="AE26" s="204">
        <f t="shared" si="11"/>
        <v>2420</v>
      </c>
      <c r="AF26" s="204">
        <f t="shared" si="33"/>
        <v>242</v>
      </c>
      <c r="AG26" s="204">
        <f t="shared" si="12"/>
        <v>2420</v>
      </c>
      <c r="AH26" s="204">
        <f t="shared" si="34"/>
        <v>242</v>
      </c>
      <c r="AI26" s="204">
        <f t="shared" si="13"/>
        <v>2420</v>
      </c>
      <c r="AJ26" s="204">
        <f t="shared" si="35"/>
        <v>242</v>
      </c>
      <c r="AK26" s="204">
        <f t="shared" si="14"/>
        <v>2420</v>
      </c>
      <c r="AL26" s="204">
        <f t="shared" si="36"/>
        <v>242</v>
      </c>
      <c r="AM26" s="204">
        <f t="shared" si="15"/>
        <v>2420</v>
      </c>
      <c r="AN26" s="35">
        <f t="shared" si="16"/>
        <v>0.86428571428571432</v>
      </c>
      <c r="AO26" s="36">
        <f t="shared" si="17"/>
        <v>16940</v>
      </c>
      <c r="AQ26" s="224">
        <f t="shared" si="37"/>
        <v>0.78300388262602905</v>
      </c>
      <c r="AR26" s="38">
        <f t="shared" si="41"/>
        <v>72795.870967741925</v>
      </c>
      <c r="AS26" s="198">
        <f t="shared" si="38"/>
        <v>526.67741935483355</v>
      </c>
      <c r="AT26" s="273">
        <v>9217</v>
      </c>
      <c r="AU26" s="443">
        <v>0.52</v>
      </c>
      <c r="AV26" s="526">
        <f t="shared" si="42"/>
        <v>0.52</v>
      </c>
      <c r="AW26" s="293">
        <f>-SUM('B5'!AI25)</f>
        <v>-136</v>
      </c>
      <c r="AX26" s="293">
        <f t="shared" si="39"/>
        <v>662.67741935483355</v>
      </c>
      <c r="AY26" s="37">
        <f t="shared" si="40"/>
        <v>526.67741935483355</v>
      </c>
      <c r="AZ26" s="100">
        <f>ELEC!A23</f>
        <v>0</v>
      </c>
      <c r="BA26" s="118">
        <f>'General information '!D26</f>
        <v>26.5</v>
      </c>
      <c r="BB26" s="398">
        <f>SUM('General information '!E26)</f>
        <v>0.56999999999999995</v>
      </c>
      <c r="BC26" s="3">
        <f t="shared" si="43"/>
        <v>1</v>
      </c>
      <c r="BD26" s="102">
        <v>19222</v>
      </c>
      <c r="BE26" s="14">
        <f>(305/1185)*ELEC!Q24</f>
        <v>772.15189873417728</v>
      </c>
      <c r="BF26" s="14"/>
      <c r="BG26" s="14" t="e">
        <f>#REF!-BE26</f>
        <v>#REF!</v>
      </c>
      <c r="BH26" s="11"/>
    </row>
    <row r="27" spans="1:61">
      <c r="A27" s="451">
        <f>ELEC!C24</f>
        <v>44126</v>
      </c>
      <c r="B27">
        <f>'B5'!B26</f>
        <v>231</v>
      </c>
      <c r="C27" s="204">
        <f t="shared" si="18"/>
        <v>4970.2258064516127</v>
      </c>
      <c r="D27">
        <f t="shared" si="19"/>
        <v>231</v>
      </c>
      <c r="E27" s="204">
        <f t="shared" si="18"/>
        <v>4970.2258064516127</v>
      </c>
      <c r="F27">
        <f t="shared" si="20"/>
        <v>231</v>
      </c>
      <c r="G27" s="204">
        <f t="shared" si="1"/>
        <v>4970.2258064516127</v>
      </c>
      <c r="H27" s="204">
        <f t="shared" si="21"/>
        <v>231</v>
      </c>
      <c r="I27" s="204">
        <f t="shared" si="2"/>
        <v>4970.2258064516127</v>
      </c>
      <c r="J27" s="204">
        <f t="shared" si="22"/>
        <v>231</v>
      </c>
      <c r="K27" s="204">
        <f t="shared" si="3"/>
        <v>4970.2258064516127</v>
      </c>
      <c r="L27" s="204">
        <f t="shared" si="23"/>
        <v>231</v>
      </c>
      <c r="M27" s="204">
        <f t="shared" si="4"/>
        <v>4970.2258064516127</v>
      </c>
      <c r="N27" s="204">
        <f t="shared" si="24"/>
        <v>231</v>
      </c>
      <c r="O27" s="204">
        <f t="shared" si="5"/>
        <v>4970.2258064516127</v>
      </c>
      <c r="P27" s="204">
        <f t="shared" si="25"/>
        <v>231</v>
      </c>
      <c r="Q27" s="204">
        <f t="shared" si="6"/>
        <v>4970.2258064516127</v>
      </c>
      <c r="R27" s="204">
        <f t="shared" si="26"/>
        <v>231</v>
      </c>
      <c r="S27" s="204">
        <f t="shared" si="7"/>
        <v>4970.2258064516127</v>
      </c>
      <c r="T27" s="204">
        <f t="shared" si="27"/>
        <v>231</v>
      </c>
      <c r="U27" s="204">
        <f t="shared" si="8"/>
        <v>4970.2258064516127</v>
      </c>
      <c r="V27" s="204">
        <f t="shared" si="28"/>
        <v>231</v>
      </c>
      <c r="W27" s="204">
        <f t="shared" si="9"/>
        <v>4970.2258064516127</v>
      </c>
      <c r="X27" s="35">
        <f t="shared" si="10"/>
        <v>0.74516129032258061</v>
      </c>
      <c r="Y27" s="36">
        <f t="shared" si="29"/>
        <v>54672.483870967742</v>
      </c>
      <c r="Z27" s="204">
        <f>'B5'!C26</f>
        <v>237</v>
      </c>
      <c r="AA27" s="204">
        <f t="shared" si="30"/>
        <v>2370</v>
      </c>
      <c r="AB27" s="204">
        <f t="shared" si="31"/>
        <v>237</v>
      </c>
      <c r="AC27" s="204">
        <f t="shared" si="30"/>
        <v>2370</v>
      </c>
      <c r="AD27" s="204">
        <f t="shared" si="32"/>
        <v>237</v>
      </c>
      <c r="AE27" s="204">
        <f t="shared" si="11"/>
        <v>2370</v>
      </c>
      <c r="AF27" s="204">
        <f t="shared" si="33"/>
        <v>237</v>
      </c>
      <c r="AG27" s="204">
        <f t="shared" si="12"/>
        <v>2370</v>
      </c>
      <c r="AH27" s="204">
        <f t="shared" si="34"/>
        <v>237</v>
      </c>
      <c r="AI27" s="204">
        <f t="shared" si="13"/>
        <v>2370</v>
      </c>
      <c r="AJ27" s="204">
        <f t="shared" si="35"/>
        <v>237</v>
      </c>
      <c r="AK27" s="204">
        <f t="shared" si="14"/>
        <v>2370</v>
      </c>
      <c r="AL27" s="204">
        <f t="shared" si="36"/>
        <v>237</v>
      </c>
      <c r="AM27" s="204">
        <f t="shared" si="15"/>
        <v>2370</v>
      </c>
      <c r="AN27" s="35">
        <f t="shared" si="16"/>
        <v>0.84642857142857142</v>
      </c>
      <c r="AO27" s="36">
        <f t="shared" si="17"/>
        <v>16590</v>
      </c>
      <c r="AQ27" s="224">
        <f t="shared" si="37"/>
        <v>0.76651052889069315</v>
      </c>
      <c r="AR27" s="38">
        <f t="shared" si="41"/>
        <v>71262.483870967742</v>
      </c>
      <c r="AS27" s="198">
        <f t="shared" si="38"/>
        <v>-1533.3870967741823</v>
      </c>
      <c r="AT27" s="273"/>
      <c r="AU27" s="443"/>
      <c r="AV27" s="526">
        <f t="shared" si="42"/>
        <v>0.52</v>
      </c>
      <c r="AW27" s="293">
        <f>-SUM('B5'!AI26)</f>
        <v>-114</v>
      </c>
      <c r="AX27" s="293">
        <f t="shared" si="39"/>
        <v>-1419.3870967741823</v>
      </c>
      <c r="AY27" s="37">
        <f t="shared" si="40"/>
        <v>-1533.3870967741823</v>
      </c>
      <c r="AZ27" s="100">
        <f>ELEC!A24</f>
        <v>0</v>
      </c>
      <c r="BA27" s="118">
        <f>'General information '!D27</f>
        <v>26</v>
      </c>
      <c r="BB27" s="398">
        <f>SUM('General information '!E27)</f>
        <v>0.57999999999999996</v>
      </c>
      <c r="BC27" s="3">
        <f t="shared" si="43"/>
        <v>0</v>
      </c>
      <c r="BD27" s="102">
        <v>19222</v>
      </c>
      <c r="BE27" s="14">
        <f>(305/1185)*ELEC!Q25</f>
        <v>257.38396624472574</v>
      </c>
      <c r="BF27" s="14"/>
      <c r="BG27" s="14" t="e">
        <f>#REF!-BE27</f>
        <v>#REF!</v>
      </c>
      <c r="BH27" s="11"/>
    </row>
    <row r="28" spans="1:61">
      <c r="A28" s="451">
        <f>ELEC!C25</f>
        <v>44127</v>
      </c>
      <c r="B28">
        <f>'B5'!B27</f>
        <v>229</v>
      </c>
      <c r="C28" s="204">
        <f t="shared" si="18"/>
        <v>4927.1935483870966</v>
      </c>
      <c r="D28">
        <f t="shared" si="19"/>
        <v>229</v>
      </c>
      <c r="E28" s="204">
        <f t="shared" si="18"/>
        <v>4927.1935483870966</v>
      </c>
      <c r="F28">
        <f t="shared" si="20"/>
        <v>229</v>
      </c>
      <c r="G28" s="204">
        <f t="shared" si="1"/>
        <v>4927.1935483870966</v>
      </c>
      <c r="H28" s="204">
        <f t="shared" si="21"/>
        <v>229</v>
      </c>
      <c r="I28" s="204">
        <f t="shared" si="2"/>
        <v>4927.1935483870966</v>
      </c>
      <c r="J28" s="204">
        <f t="shared" si="22"/>
        <v>229</v>
      </c>
      <c r="K28" s="204">
        <f t="shared" si="3"/>
        <v>4927.1935483870966</v>
      </c>
      <c r="L28" s="204">
        <f t="shared" si="23"/>
        <v>229</v>
      </c>
      <c r="M28" s="204">
        <f t="shared" si="4"/>
        <v>4927.1935483870966</v>
      </c>
      <c r="N28" s="204">
        <f t="shared" si="24"/>
        <v>229</v>
      </c>
      <c r="O28" s="204">
        <f t="shared" si="5"/>
        <v>4927.1935483870966</v>
      </c>
      <c r="P28" s="204">
        <f t="shared" si="25"/>
        <v>229</v>
      </c>
      <c r="Q28" s="204">
        <f t="shared" si="6"/>
        <v>4927.1935483870966</v>
      </c>
      <c r="R28" s="204">
        <f t="shared" si="26"/>
        <v>229</v>
      </c>
      <c r="S28" s="204">
        <f t="shared" si="7"/>
        <v>4927.1935483870966</v>
      </c>
      <c r="T28" s="204">
        <f t="shared" si="27"/>
        <v>229</v>
      </c>
      <c r="U28" s="204">
        <f t="shared" si="8"/>
        <v>4927.1935483870966</v>
      </c>
      <c r="V28" s="204">
        <f t="shared" si="28"/>
        <v>229</v>
      </c>
      <c r="W28" s="204">
        <f t="shared" si="9"/>
        <v>4927.1935483870966</v>
      </c>
      <c r="X28" s="35">
        <f t="shared" si="10"/>
        <v>0.738709677419355</v>
      </c>
      <c r="Y28" s="36">
        <f t="shared" si="29"/>
        <v>54199.129032258075</v>
      </c>
      <c r="Z28" s="204">
        <f>'B5'!C27</f>
        <v>235</v>
      </c>
      <c r="AA28" s="204">
        <f t="shared" si="30"/>
        <v>2350</v>
      </c>
      <c r="AB28" s="204">
        <f t="shared" si="31"/>
        <v>235</v>
      </c>
      <c r="AC28" s="204">
        <f t="shared" si="30"/>
        <v>2350</v>
      </c>
      <c r="AD28" s="204">
        <f t="shared" si="32"/>
        <v>235</v>
      </c>
      <c r="AE28" s="204">
        <f t="shared" si="11"/>
        <v>2350</v>
      </c>
      <c r="AF28" s="204">
        <f t="shared" si="33"/>
        <v>235</v>
      </c>
      <c r="AG28" s="204">
        <f t="shared" si="12"/>
        <v>2350</v>
      </c>
      <c r="AH28" s="204">
        <f t="shared" si="34"/>
        <v>235</v>
      </c>
      <c r="AI28" s="204">
        <f t="shared" si="13"/>
        <v>2350</v>
      </c>
      <c r="AJ28" s="204">
        <f t="shared" si="35"/>
        <v>235</v>
      </c>
      <c r="AK28" s="204">
        <f t="shared" si="14"/>
        <v>2350</v>
      </c>
      <c r="AL28" s="204">
        <f t="shared" si="36"/>
        <v>235</v>
      </c>
      <c r="AM28" s="204">
        <f t="shared" si="15"/>
        <v>2350</v>
      </c>
      <c r="AN28" s="35">
        <f t="shared" si="16"/>
        <v>0.8392857142857143</v>
      </c>
      <c r="AO28" s="36">
        <f t="shared" si="17"/>
        <v>16450</v>
      </c>
      <c r="AQ28" s="224">
        <f t="shared" si="37"/>
        <v>0.75991318739655889</v>
      </c>
      <c r="AR28" s="38">
        <f t="shared" si="41"/>
        <v>70649.129032258075</v>
      </c>
      <c r="AS28" s="198">
        <f t="shared" si="38"/>
        <v>-613.35483870966709</v>
      </c>
      <c r="AT28" s="359"/>
      <c r="AU28" s="443"/>
      <c r="AV28" s="526">
        <f t="shared" si="42"/>
        <v>0.52</v>
      </c>
      <c r="AW28" s="293">
        <f>-SUM('B5'!AI27)</f>
        <v>-121</v>
      </c>
      <c r="AX28" s="293">
        <f t="shared" si="39"/>
        <v>-492.35483870966709</v>
      </c>
      <c r="AY28" s="37">
        <f t="shared" si="40"/>
        <v>-613.35483870966709</v>
      </c>
      <c r="AZ28" s="100">
        <f>ELEC!A25</f>
        <v>0</v>
      </c>
      <c r="BA28" s="118">
        <f>'General information '!D28</f>
        <v>25.5</v>
      </c>
      <c r="BB28" s="398">
        <f>SUM('General information '!E28)</f>
        <v>0.57999999999999996</v>
      </c>
      <c r="BC28" s="3">
        <f t="shared" si="43"/>
        <v>0</v>
      </c>
      <c r="BD28" s="102">
        <v>19222</v>
      </c>
      <c r="BE28" s="14">
        <f>(305/1185)*ELEC!Q26</f>
        <v>514.76793248945148</v>
      </c>
      <c r="BF28" s="14"/>
      <c r="BG28" s="14" t="e">
        <f>#REF!-BE28</f>
        <v>#REF!</v>
      </c>
      <c r="BH28" s="11"/>
    </row>
    <row r="29" spans="1:61">
      <c r="A29" s="451">
        <f>ELEC!C26</f>
        <v>44128</v>
      </c>
      <c r="B29">
        <f>'B5'!B28</f>
        <v>227</v>
      </c>
      <c r="C29" s="204">
        <f t="shared" si="18"/>
        <v>4884.1612903225805</v>
      </c>
      <c r="D29">
        <f t="shared" si="19"/>
        <v>227</v>
      </c>
      <c r="E29" s="204">
        <f t="shared" si="18"/>
        <v>4884.1612903225805</v>
      </c>
      <c r="F29">
        <f t="shared" si="20"/>
        <v>227</v>
      </c>
      <c r="G29" s="204">
        <f t="shared" si="1"/>
        <v>4884.1612903225805</v>
      </c>
      <c r="H29" s="204">
        <f t="shared" si="21"/>
        <v>227</v>
      </c>
      <c r="I29" s="204">
        <f t="shared" si="2"/>
        <v>4884.1612903225805</v>
      </c>
      <c r="J29" s="204">
        <f t="shared" si="22"/>
        <v>227</v>
      </c>
      <c r="K29" s="204">
        <f t="shared" si="3"/>
        <v>4884.1612903225805</v>
      </c>
      <c r="L29" s="204">
        <f t="shared" si="23"/>
        <v>227</v>
      </c>
      <c r="M29" s="204">
        <f t="shared" si="4"/>
        <v>4884.1612903225805</v>
      </c>
      <c r="N29" s="204">
        <f t="shared" si="24"/>
        <v>227</v>
      </c>
      <c r="O29" s="204">
        <f t="shared" si="5"/>
        <v>4884.1612903225805</v>
      </c>
      <c r="P29" s="204">
        <f t="shared" si="25"/>
        <v>227</v>
      </c>
      <c r="Q29" s="204">
        <f t="shared" si="6"/>
        <v>4884.1612903225805</v>
      </c>
      <c r="R29" s="204">
        <f t="shared" si="26"/>
        <v>227</v>
      </c>
      <c r="S29" s="204">
        <f t="shared" si="7"/>
        <v>4884.1612903225805</v>
      </c>
      <c r="T29" s="204">
        <f t="shared" si="27"/>
        <v>227</v>
      </c>
      <c r="U29" s="204">
        <f t="shared" si="8"/>
        <v>4884.1612903225805</v>
      </c>
      <c r="V29" s="204">
        <f t="shared" si="28"/>
        <v>227</v>
      </c>
      <c r="W29" s="204">
        <f t="shared" si="9"/>
        <v>4884.1612903225805</v>
      </c>
      <c r="X29" s="35">
        <f t="shared" si="10"/>
        <v>0.73225806451612907</v>
      </c>
      <c r="Y29" s="36">
        <f t="shared" si="29"/>
        <v>53725.774193548394</v>
      </c>
      <c r="Z29" s="204">
        <f>'B5'!C28</f>
        <v>233</v>
      </c>
      <c r="AA29" s="204">
        <f t="shared" si="30"/>
        <v>2330</v>
      </c>
      <c r="AB29" s="204">
        <f t="shared" si="31"/>
        <v>233</v>
      </c>
      <c r="AC29" s="204">
        <f t="shared" si="30"/>
        <v>2330</v>
      </c>
      <c r="AD29" s="204">
        <f t="shared" si="32"/>
        <v>233</v>
      </c>
      <c r="AE29" s="204">
        <f t="shared" si="11"/>
        <v>2330</v>
      </c>
      <c r="AF29" s="204">
        <f t="shared" si="33"/>
        <v>233</v>
      </c>
      <c r="AG29" s="204">
        <f t="shared" si="12"/>
        <v>2330</v>
      </c>
      <c r="AH29" s="204">
        <f t="shared" si="34"/>
        <v>233</v>
      </c>
      <c r="AI29" s="204">
        <f t="shared" si="13"/>
        <v>2330</v>
      </c>
      <c r="AJ29" s="204">
        <f t="shared" si="35"/>
        <v>233</v>
      </c>
      <c r="AK29" s="204">
        <f t="shared" si="14"/>
        <v>2330</v>
      </c>
      <c r="AL29" s="204">
        <f t="shared" si="36"/>
        <v>233</v>
      </c>
      <c r="AM29" s="204">
        <f t="shared" si="15"/>
        <v>2330</v>
      </c>
      <c r="AN29" s="35">
        <f t="shared" si="16"/>
        <v>0.83214285714285718</v>
      </c>
      <c r="AO29" s="36">
        <f t="shared" si="17"/>
        <v>16310</v>
      </c>
      <c r="AQ29" s="224">
        <f t="shared" si="37"/>
        <v>0.7533158459024244</v>
      </c>
      <c r="AR29" s="38">
        <f t="shared" si="41"/>
        <v>70035.774193548394</v>
      </c>
      <c r="AS29" s="198">
        <f t="shared" si="38"/>
        <v>-613.35483870968164</v>
      </c>
      <c r="AT29" s="359"/>
      <c r="AU29" s="443"/>
      <c r="AV29" s="526">
        <f t="shared" si="42"/>
        <v>0.52</v>
      </c>
      <c r="AW29" s="293">
        <f>-SUM('B5'!AI28)</f>
        <v>-85</v>
      </c>
      <c r="AX29" s="293">
        <f>-SUM(AW29-AS29)</f>
        <v>-528.35483870968164</v>
      </c>
      <c r="AY29" s="37">
        <f t="shared" si="40"/>
        <v>-613.35483870968164</v>
      </c>
      <c r="AZ29" s="100">
        <f>ELEC!A26</f>
        <v>0</v>
      </c>
      <c r="BA29" s="118">
        <f>'General information '!D29</f>
        <v>26.5</v>
      </c>
      <c r="BB29" s="398">
        <f>SUM('General information '!E29)</f>
        <v>0.56000000000000005</v>
      </c>
      <c r="BC29" s="3">
        <f t="shared" si="43"/>
        <v>0</v>
      </c>
      <c r="BD29" s="102">
        <v>19222</v>
      </c>
      <c r="BE29" s="14">
        <f>(305/1185)*ELEC!Q27</f>
        <v>514.76793248945148</v>
      </c>
      <c r="BF29" s="14"/>
      <c r="BG29" s="14" t="e">
        <f>#REF!-BE29</f>
        <v>#REF!</v>
      </c>
      <c r="BH29" s="11"/>
    </row>
    <row r="30" spans="1:61">
      <c r="A30" s="451">
        <f>ELEC!C27</f>
        <v>44129</v>
      </c>
      <c r="B30">
        <f>'B5'!B29</f>
        <v>224</v>
      </c>
      <c r="C30" s="204">
        <f t="shared" si="18"/>
        <v>4819.6129032258068</v>
      </c>
      <c r="D30">
        <f t="shared" ref="D30:D35" si="44">SUM(B30)</f>
        <v>224</v>
      </c>
      <c r="E30" s="204">
        <f t="shared" si="18"/>
        <v>4819.6129032258068</v>
      </c>
      <c r="F30">
        <f t="shared" ref="F30:F35" si="45">SUM(D30)</f>
        <v>224</v>
      </c>
      <c r="G30" s="204">
        <f t="shared" si="1"/>
        <v>4819.6129032258068</v>
      </c>
      <c r="H30" s="204">
        <f t="shared" ref="H30:H35" si="46">SUM(F30)</f>
        <v>224</v>
      </c>
      <c r="I30" s="204">
        <f t="shared" si="2"/>
        <v>4819.6129032258068</v>
      </c>
      <c r="J30" s="204">
        <f t="shared" ref="J30:J35" si="47">SUM(H30)</f>
        <v>224</v>
      </c>
      <c r="K30" s="204">
        <f t="shared" si="3"/>
        <v>4819.6129032258068</v>
      </c>
      <c r="L30" s="204">
        <f t="shared" ref="L30:L35" si="48">SUM(J30)</f>
        <v>224</v>
      </c>
      <c r="M30" s="204">
        <f t="shared" si="4"/>
        <v>4819.6129032258068</v>
      </c>
      <c r="N30" s="204">
        <f t="shared" ref="N30:N35" si="49">SUM(L30)</f>
        <v>224</v>
      </c>
      <c r="O30" s="204">
        <f t="shared" si="5"/>
        <v>4819.6129032258068</v>
      </c>
      <c r="P30" s="204">
        <f t="shared" ref="P30:P35" si="50">SUM(N30)</f>
        <v>224</v>
      </c>
      <c r="Q30" s="204">
        <f t="shared" si="6"/>
        <v>4819.6129032258068</v>
      </c>
      <c r="R30" s="204">
        <f t="shared" ref="R30:R35" si="51">SUM(P30)</f>
        <v>224</v>
      </c>
      <c r="S30" s="204">
        <f t="shared" si="7"/>
        <v>4819.6129032258068</v>
      </c>
      <c r="T30" s="204">
        <f t="shared" ref="T30:T35" si="52">SUM(R30)</f>
        <v>224</v>
      </c>
      <c r="U30" s="204">
        <f t="shared" si="8"/>
        <v>4819.6129032258068</v>
      </c>
      <c r="V30" s="204">
        <f t="shared" ref="V30:V35" si="53">SUM(T30)</f>
        <v>224</v>
      </c>
      <c r="W30" s="204">
        <f t="shared" si="9"/>
        <v>4819.6129032258068</v>
      </c>
      <c r="X30" s="35">
        <f t="shared" ref="X30:X35" si="54">SUM(Y30/73370)</f>
        <v>0.72258064516129028</v>
      </c>
      <c r="Y30" s="36">
        <f t="shared" ref="Y30:Y35" si="55">SUM(C30+E30+G30+I30+K30+M30+O30+Q30+S30+U30+W30)</f>
        <v>53015.741935483864</v>
      </c>
      <c r="Z30" s="204">
        <f>'B5'!C29</f>
        <v>230</v>
      </c>
      <c r="AA30" s="204">
        <f t="shared" si="30"/>
        <v>2300</v>
      </c>
      <c r="AB30" s="204">
        <f t="shared" ref="AB30:AB35" si="56">SUM(Z30)</f>
        <v>230</v>
      </c>
      <c r="AC30" s="204">
        <f t="shared" si="30"/>
        <v>2300</v>
      </c>
      <c r="AD30" s="204">
        <f t="shared" ref="AD30:AD35" si="57">SUM(AB30)</f>
        <v>230</v>
      </c>
      <c r="AE30" s="204">
        <f t="shared" si="11"/>
        <v>2300</v>
      </c>
      <c r="AF30" s="204">
        <f t="shared" ref="AF30:AF35" si="58">SUM(AD30)</f>
        <v>230</v>
      </c>
      <c r="AG30" s="204">
        <f t="shared" si="12"/>
        <v>2300</v>
      </c>
      <c r="AH30" s="204">
        <f t="shared" ref="AH30:AH35" si="59">SUM(AF30)</f>
        <v>230</v>
      </c>
      <c r="AI30" s="204">
        <f t="shared" si="13"/>
        <v>2300</v>
      </c>
      <c r="AJ30" s="204">
        <f t="shared" ref="AJ30:AJ35" si="60">SUM(AH30)</f>
        <v>230</v>
      </c>
      <c r="AK30" s="204">
        <f t="shared" si="14"/>
        <v>2300</v>
      </c>
      <c r="AL30" s="204">
        <f t="shared" ref="AL30:AL35" si="61">SUM(AJ30)</f>
        <v>230</v>
      </c>
      <c r="AM30" s="204">
        <f t="shared" si="15"/>
        <v>2300</v>
      </c>
      <c r="AN30" s="35">
        <f t="shared" ref="AN30:AN35" si="62">SUM(AO30/19600)</f>
        <v>0.8214285714285714</v>
      </c>
      <c r="AO30" s="36">
        <f t="shared" ref="AO30:AO35" si="63">SUM(AA30+AC30+AE30+AG30+AI30+AK30+AM30)</f>
        <v>16100</v>
      </c>
      <c r="AQ30" s="224">
        <f t="shared" si="37"/>
        <v>0.74341983366122255</v>
      </c>
      <c r="AR30" s="38">
        <f t="shared" si="41"/>
        <v>69115.741935483864</v>
      </c>
      <c r="AS30" s="198">
        <f t="shared" si="38"/>
        <v>-920.03225806452974</v>
      </c>
      <c r="AT30" s="359"/>
      <c r="AU30" s="443"/>
      <c r="AV30" s="526">
        <f t="shared" si="42"/>
        <v>0.52</v>
      </c>
      <c r="AW30" s="293">
        <f>-SUM('B5'!AI29)</f>
        <v>-148</v>
      </c>
      <c r="AX30" s="293">
        <f>-SUM(AW30-AS30)</f>
        <v>-772.03225806452974</v>
      </c>
      <c r="AY30" s="37">
        <f t="shared" si="40"/>
        <v>-920.03225806452974</v>
      </c>
      <c r="AZ30" s="100">
        <f>ELEC!A27</f>
        <v>0</v>
      </c>
      <c r="BA30" s="118">
        <f>'General information '!D30</f>
        <v>30</v>
      </c>
      <c r="BB30" s="398">
        <f>SUM('General information '!E30)</f>
        <v>0.57999999999999996</v>
      </c>
      <c r="BC30" s="3">
        <f t="shared" si="43"/>
        <v>0</v>
      </c>
      <c r="BD30" s="102">
        <v>19222</v>
      </c>
      <c r="BE30" s="14">
        <f>(305/1185)*ELEC!Q28</f>
        <v>514.76793248945148</v>
      </c>
      <c r="BF30" s="14"/>
      <c r="BG30" s="14" t="e">
        <f>#REF!-BE30</f>
        <v>#REF!</v>
      </c>
      <c r="BH30" s="11"/>
    </row>
    <row r="31" spans="1:61">
      <c r="A31" s="451">
        <f>ELEC!C28</f>
        <v>44130</v>
      </c>
      <c r="B31">
        <f>'B5'!B30</f>
        <v>221</v>
      </c>
      <c r="C31" s="204">
        <f t="shared" si="18"/>
        <v>4755.0645161290322</v>
      </c>
      <c r="D31">
        <f t="shared" si="44"/>
        <v>221</v>
      </c>
      <c r="E31" s="204">
        <f t="shared" si="18"/>
        <v>4755.0645161290322</v>
      </c>
      <c r="F31">
        <f t="shared" si="45"/>
        <v>221</v>
      </c>
      <c r="G31" s="204">
        <f t="shared" si="1"/>
        <v>4755.0645161290322</v>
      </c>
      <c r="H31" s="204">
        <f t="shared" si="46"/>
        <v>221</v>
      </c>
      <c r="I31" s="204">
        <f t="shared" si="2"/>
        <v>4755.0645161290322</v>
      </c>
      <c r="J31" s="204">
        <f t="shared" si="47"/>
        <v>221</v>
      </c>
      <c r="K31" s="204">
        <f t="shared" si="3"/>
        <v>4755.0645161290322</v>
      </c>
      <c r="L31" s="204">
        <f t="shared" si="48"/>
        <v>221</v>
      </c>
      <c r="M31" s="204">
        <f t="shared" si="4"/>
        <v>4755.0645161290322</v>
      </c>
      <c r="N31" s="204">
        <f t="shared" si="49"/>
        <v>221</v>
      </c>
      <c r="O31" s="204">
        <f t="shared" si="5"/>
        <v>4755.0645161290322</v>
      </c>
      <c r="P31" s="204">
        <f t="shared" si="50"/>
        <v>221</v>
      </c>
      <c r="Q31" s="204">
        <f t="shared" si="6"/>
        <v>4755.0645161290322</v>
      </c>
      <c r="R31" s="204">
        <f t="shared" si="51"/>
        <v>221</v>
      </c>
      <c r="S31" s="204">
        <f t="shared" si="7"/>
        <v>4755.0645161290322</v>
      </c>
      <c r="T31" s="204">
        <f t="shared" si="52"/>
        <v>221</v>
      </c>
      <c r="U31" s="204">
        <f t="shared" si="8"/>
        <v>4755.0645161290322</v>
      </c>
      <c r="V31" s="204">
        <f t="shared" si="53"/>
        <v>221</v>
      </c>
      <c r="W31" s="204">
        <f t="shared" si="9"/>
        <v>4755.0645161290322</v>
      </c>
      <c r="X31" s="35">
        <f t="shared" si="54"/>
        <v>0.71290322580645138</v>
      </c>
      <c r="Y31" s="36">
        <f t="shared" si="55"/>
        <v>52305.709677419341</v>
      </c>
      <c r="Z31" s="204">
        <f>'B5'!C30</f>
        <v>227.2</v>
      </c>
      <c r="AA31" s="204">
        <f t="shared" si="30"/>
        <v>2272</v>
      </c>
      <c r="AB31" s="204">
        <f t="shared" si="56"/>
        <v>227.2</v>
      </c>
      <c r="AC31" s="204">
        <f t="shared" si="30"/>
        <v>2272</v>
      </c>
      <c r="AD31" s="204">
        <f t="shared" si="57"/>
        <v>227.2</v>
      </c>
      <c r="AE31" s="204">
        <f t="shared" si="11"/>
        <v>2272</v>
      </c>
      <c r="AF31" s="204">
        <f t="shared" si="58"/>
        <v>227.2</v>
      </c>
      <c r="AG31" s="204">
        <f t="shared" si="12"/>
        <v>2272</v>
      </c>
      <c r="AH31" s="204">
        <f t="shared" si="59"/>
        <v>227.2</v>
      </c>
      <c r="AI31" s="204">
        <f t="shared" si="13"/>
        <v>2272</v>
      </c>
      <c r="AJ31" s="204">
        <f t="shared" si="60"/>
        <v>227.2</v>
      </c>
      <c r="AK31" s="204">
        <f t="shared" si="14"/>
        <v>2272</v>
      </c>
      <c r="AL31" s="204">
        <f t="shared" si="61"/>
        <v>227.2</v>
      </c>
      <c r="AM31" s="204">
        <f t="shared" si="15"/>
        <v>2272</v>
      </c>
      <c r="AN31" s="35">
        <f t="shared" si="62"/>
        <v>0.81142857142857139</v>
      </c>
      <c r="AO31" s="36">
        <f t="shared" si="63"/>
        <v>15904</v>
      </c>
      <c r="AQ31" s="224">
        <f t="shared" si="37"/>
        <v>0.73367440763062641</v>
      </c>
      <c r="AR31" s="38">
        <f t="shared" si="41"/>
        <v>68209.709677419334</v>
      </c>
      <c r="AS31" s="198">
        <f>SUM(AR31-AR30-AT31)</f>
        <v>-906.03225806452974</v>
      </c>
      <c r="AT31" s="359"/>
      <c r="AU31" s="443"/>
      <c r="AV31" s="526">
        <f t="shared" si="42"/>
        <v>0.52</v>
      </c>
      <c r="AW31" s="293">
        <f>-SUM('B5'!AI30)</f>
        <v>-159</v>
      </c>
      <c r="AX31" s="293">
        <f t="shared" si="39"/>
        <v>-747.03225806452974</v>
      </c>
      <c r="AY31" s="37">
        <f t="shared" si="40"/>
        <v>-906.03225806452974</v>
      </c>
      <c r="AZ31" s="100">
        <f>ELEC!A28</f>
        <v>0</v>
      </c>
      <c r="BA31" s="118">
        <f>'General information '!D31</f>
        <v>30</v>
      </c>
      <c r="BB31" s="398">
        <f>SUM('General information '!E31)</f>
        <v>0.6</v>
      </c>
      <c r="BC31" s="3">
        <f t="shared" si="43"/>
        <v>0</v>
      </c>
      <c r="BD31" s="102">
        <v>19222</v>
      </c>
      <c r="BE31" s="14">
        <f>(305/1185)*ELEC!Q29</f>
        <v>772.15189873417728</v>
      </c>
      <c r="BF31" s="14"/>
      <c r="BG31" s="14" t="e">
        <f>#REF!-BE31</f>
        <v>#REF!</v>
      </c>
      <c r="BH31" s="11"/>
    </row>
    <row r="32" spans="1:61">
      <c r="A32" s="451">
        <f>ELEC!C29</f>
        <v>44131</v>
      </c>
      <c r="B32">
        <f>'B5'!B31</f>
        <v>217</v>
      </c>
      <c r="C32" s="204">
        <f t="shared" si="18"/>
        <v>4669</v>
      </c>
      <c r="D32">
        <f t="shared" si="44"/>
        <v>217</v>
      </c>
      <c r="E32" s="204">
        <f t="shared" si="18"/>
        <v>4669</v>
      </c>
      <c r="F32">
        <f t="shared" si="45"/>
        <v>217</v>
      </c>
      <c r="G32" s="204">
        <f t="shared" si="1"/>
        <v>4669</v>
      </c>
      <c r="H32" s="204">
        <f t="shared" si="46"/>
        <v>217</v>
      </c>
      <c r="I32" s="204">
        <f t="shared" si="2"/>
        <v>4669</v>
      </c>
      <c r="J32" s="204">
        <f t="shared" si="47"/>
        <v>217</v>
      </c>
      <c r="K32" s="204">
        <f t="shared" si="3"/>
        <v>4669</v>
      </c>
      <c r="L32" s="204">
        <f t="shared" si="48"/>
        <v>217</v>
      </c>
      <c r="M32" s="204">
        <f t="shared" si="4"/>
        <v>4669</v>
      </c>
      <c r="N32" s="204">
        <f t="shared" si="49"/>
        <v>217</v>
      </c>
      <c r="O32" s="204">
        <f t="shared" si="5"/>
        <v>4669</v>
      </c>
      <c r="P32" s="204">
        <f t="shared" si="50"/>
        <v>217</v>
      </c>
      <c r="Q32" s="204">
        <f t="shared" si="6"/>
        <v>4669</v>
      </c>
      <c r="R32" s="204">
        <f t="shared" si="51"/>
        <v>217</v>
      </c>
      <c r="S32" s="204">
        <f t="shared" si="7"/>
        <v>4669</v>
      </c>
      <c r="T32" s="204">
        <f t="shared" si="52"/>
        <v>217</v>
      </c>
      <c r="U32" s="204">
        <f t="shared" si="8"/>
        <v>4669</v>
      </c>
      <c r="V32" s="204">
        <f t="shared" si="53"/>
        <v>217</v>
      </c>
      <c r="W32" s="204">
        <f t="shared" si="9"/>
        <v>4669</v>
      </c>
      <c r="X32" s="35">
        <f t="shared" si="54"/>
        <v>0.7</v>
      </c>
      <c r="Y32" s="36">
        <f t="shared" si="55"/>
        <v>51359</v>
      </c>
      <c r="Z32" s="204">
        <f>'B5'!C31</f>
        <v>223</v>
      </c>
      <c r="AA32" s="204">
        <f t="shared" si="30"/>
        <v>2230</v>
      </c>
      <c r="AB32" s="204">
        <f t="shared" si="56"/>
        <v>223</v>
      </c>
      <c r="AC32" s="204">
        <f t="shared" si="30"/>
        <v>2230</v>
      </c>
      <c r="AD32" s="204">
        <f t="shared" si="57"/>
        <v>223</v>
      </c>
      <c r="AE32" s="204">
        <f t="shared" si="11"/>
        <v>2230</v>
      </c>
      <c r="AF32" s="204">
        <f t="shared" si="58"/>
        <v>223</v>
      </c>
      <c r="AG32" s="204">
        <f t="shared" si="12"/>
        <v>2230</v>
      </c>
      <c r="AH32" s="204">
        <f t="shared" si="59"/>
        <v>223</v>
      </c>
      <c r="AI32" s="204">
        <f t="shared" si="13"/>
        <v>2230</v>
      </c>
      <c r="AJ32" s="204">
        <f t="shared" si="60"/>
        <v>223</v>
      </c>
      <c r="AK32" s="204">
        <f t="shared" si="14"/>
        <v>2230</v>
      </c>
      <c r="AL32" s="204">
        <f t="shared" si="61"/>
        <v>223</v>
      </c>
      <c r="AM32" s="204">
        <f t="shared" si="15"/>
        <v>2230</v>
      </c>
      <c r="AN32" s="35">
        <f t="shared" si="62"/>
        <v>0.79642857142857137</v>
      </c>
      <c r="AO32" s="36">
        <f t="shared" si="63"/>
        <v>15610</v>
      </c>
      <c r="AQ32" s="224">
        <f t="shared" si="37"/>
        <v>0.72032913843175217</v>
      </c>
      <c r="AR32" s="38">
        <f t="shared" si="41"/>
        <v>66969</v>
      </c>
      <c r="AS32" s="198">
        <f t="shared" si="38"/>
        <v>-1240.7096774193342</v>
      </c>
      <c r="AT32" s="359"/>
      <c r="AU32" s="443"/>
      <c r="AV32" s="526">
        <f>IF(AT32&gt;0,AU32,AV31)</f>
        <v>0.52</v>
      </c>
      <c r="AW32" s="293">
        <f>-SUM('B5'!AI31)</f>
        <v>-165</v>
      </c>
      <c r="AX32" s="293">
        <f t="shared" si="39"/>
        <v>-1075.7096774193342</v>
      </c>
      <c r="AY32" s="37">
        <f t="shared" si="40"/>
        <v>-1240.7096774193342</v>
      </c>
      <c r="AZ32" s="100">
        <f>ELEC!A29</f>
        <v>0</v>
      </c>
      <c r="BA32" s="118">
        <f>'General information '!D32</f>
        <v>26</v>
      </c>
      <c r="BB32" s="398">
        <f>SUM('General information '!E32)</f>
        <v>0.74</v>
      </c>
      <c r="BC32" s="3">
        <f t="shared" si="43"/>
        <v>0</v>
      </c>
      <c r="BD32" s="102">
        <v>19222</v>
      </c>
      <c r="BE32" s="14">
        <f>(305/1185)*ELEC!Q30</f>
        <v>514.76793248945148</v>
      </c>
      <c r="BF32" s="14"/>
      <c r="BG32" s="14" t="e">
        <f>#REF!-BE32</f>
        <v>#REF!</v>
      </c>
      <c r="BH32" s="11"/>
    </row>
    <row r="33" spans="1:60">
      <c r="A33" s="451">
        <f>ELEC!C30</f>
        <v>44132</v>
      </c>
      <c r="B33">
        <f>'B5'!B32</f>
        <v>250</v>
      </c>
      <c r="C33" s="204">
        <f t="shared" si="18"/>
        <v>5379.0322580645161</v>
      </c>
      <c r="D33">
        <f t="shared" si="44"/>
        <v>250</v>
      </c>
      <c r="E33" s="204">
        <f t="shared" si="18"/>
        <v>5379.0322580645161</v>
      </c>
      <c r="F33">
        <f t="shared" si="45"/>
        <v>250</v>
      </c>
      <c r="G33" s="204">
        <f t="shared" si="1"/>
        <v>5379.0322580645161</v>
      </c>
      <c r="H33" s="204">
        <f t="shared" si="46"/>
        <v>250</v>
      </c>
      <c r="I33" s="204">
        <f t="shared" si="2"/>
        <v>5379.0322580645161</v>
      </c>
      <c r="J33" s="204">
        <f t="shared" si="47"/>
        <v>250</v>
      </c>
      <c r="K33" s="204">
        <f t="shared" si="3"/>
        <v>5379.0322580645161</v>
      </c>
      <c r="L33" s="204">
        <f t="shared" si="48"/>
        <v>250</v>
      </c>
      <c r="M33" s="204">
        <f t="shared" si="4"/>
        <v>5379.0322580645161</v>
      </c>
      <c r="N33" s="204">
        <f t="shared" si="49"/>
        <v>250</v>
      </c>
      <c r="O33" s="204">
        <f t="shared" si="5"/>
        <v>5379.0322580645161</v>
      </c>
      <c r="P33" s="204">
        <f t="shared" si="50"/>
        <v>250</v>
      </c>
      <c r="Q33" s="204">
        <f t="shared" si="6"/>
        <v>5379.0322580645161</v>
      </c>
      <c r="R33" s="204">
        <f t="shared" si="51"/>
        <v>250</v>
      </c>
      <c r="S33" s="204">
        <f t="shared" si="7"/>
        <v>5379.0322580645161</v>
      </c>
      <c r="T33" s="204">
        <f t="shared" si="52"/>
        <v>250</v>
      </c>
      <c r="U33" s="204">
        <f t="shared" si="8"/>
        <v>5379.0322580645161</v>
      </c>
      <c r="V33" s="204">
        <f t="shared" si="53"/>
        <v>250</v>
      </c>
      <c r="W33" s="204">
        <f t="shared" si="9"/>
        <v>5379.0322580645161</v>
      </c>
      <c r="X33" s="35">
        <f t="shared" si="54"/>
        <v>0.80645161290322576</v>
      </c>
      <c r="Y33" s="36">
        <f t="shared" si="55"/>
        <v>59169.354838709674</v>
      </c>
      <c r="Z33" s="204">
        <f>'B5'!C32</f>
        <v>256</v>
      </c>
      <c r="AA33" s="204">
        <f t="shared" si="30"/>
        <v>2560</v>
      </c>
      <c r="AB33" s="204">
        <f t="shared" si="56"/>
        <v>256</v>
      </c>
      <c r="AC33" s="204">
        <f t="shared" si="30"/>
        <v>2560</v>
      </c>
      <c r="AD33" s="204">
        <f t="shared" si="57"/>
        <v>256</v>
      </c>
      <c r="AE33" s="204">
        <f t="shared" si="11"/>
        <v>2560</v>
      </c>
      <c r="AF33" s="204">
        <f t="shared" si="58"/>
        <v>256</v>
      </c>
      <c r="AG33" s="204">
        <f t="shared" si="12"/>
        <v>2560</v>
      </c>
      <c r="AH33" s="204">
        <f t="shared" si="59"/>
        <v>256</v>
      </c>
      <c r="AI33" s="204">
        <f t="shared" si="13"/>
        <v>2560</v>
      </c>
      <c r="AJ33" s="204">
        <f t="shared" si="60"/>
        <v>256</v>
      </c>
      <c r="AK33" s="204">
        <f t="shared" si="14"/>
        <v>2560</v>
      </c>
      <c r="AL33" s="204">
        <f t="shared" si="61"/>
        <v>256</v>
      </c>
      <c r="AM33" s="204">
        <f t="shared" si="15"/>
        <v>2560</v>
      </c>
      <c r="AN33" s="35">
        <f t="shared" si="62"/>
        <v>0.91428571428571426</v>
      </c>
      <c r="AO33" s="36">
        <f t="shared" si="63"/>
        <v>17920</v>
      </c>
      <c r="AQ33" s="224">
        <f t="shared" si="37"/>
        <v>0.82918527308497003</v>
      </c>
      <c r="AR33" s="38">
        <f t="shared" si="41"/>
        <v>77089.354838709667</v>
      </c>
      <c r="AS33" s="198">
        <f t="shared" si="38"/>
        <v>934.35483870966709</v>
      </c>
      <c r="AT33" s="359">
        <v>9186</v>
      </c>
      <c r="AU33" s="443">
        <v>0.5</v>
      </c>
      <c r="AV33" s="526">
        <f>IF(AT33&gt;0,AU33,AV32)</f>
        <v>0.5</v>
      </c>
      <c r="AW33" s="293">
        <f>-SUM('B5'!AI32)</f>
        <v>-172</v>
      </c>
      <c r="AX33" s="293">
        <f t="shared" si="39"/>
        <v>1106.3548387096671</v>
      </c>
      <c r="AY33" s="37">
        <f t="shared" si="40"/>
        <v>934.35483870966709</v>
      </c>
      <c r="AZ33" s="100">
        <f>ELEC!A30</f>
        <v>0</v>
      </c>
      <c r="BA33" s="118">
        <f>'General information '!D33</f>
        <v>25.5</v>
      </c>
      <c r="BB33" s="205">
        <f>SUM('General information '!E33)</f>
        <v>0.73</v>
      </c>
      <c r="BC33" s="3">
        <f t="shared" si="43"/>
        <v>1</v>
      </c>
      <c r="BD33" s="102">
        <v>19222</v>
      </c>
      <c r="BE33" s="14">
        <f>(305/1185)*ELEC!Q31</f>
        <v>514.76793248945148</v>
      </c>
      <c r="BF33" s="14"/>
      <c r="BG33" s="14" t="e">
        <f>#REF!-BE33</f>
        <v>#REF!</v>
      </c>
      <c r="BH33" s="11"/>
    </row>
    <row r="34" spans="1:60">
      <c r="A34" s="451">
        <f>ELEC!C31</f>
        <v>44133</v>
      </c>
      <c r="B34">
        <f>'B5'!B33</f>
        <v>247</v>
      </c>
      <c r="C34" s="204">
        <f t="shared" si="18"/>
        <v>5314.4838709677415</v>
      </c>
      <c r="D34">
        <f t="shared" si="44"/>
        <v>247</v>
      </c>
      <c r="E34" s="204">
        <f t="shared" si="18"/>
        <v>5314.4838709677415</v>
      </c>
      <c r="F34">
        <f t="shared" si="45"/>
        <v>247</v>
      </c>
      <c r="G34" s="204">
        <f t="shared" si="1"/>
        <v>5314.4838709677415</v>
      </c>
      <c r="H34" s="204">
        <f t="shared" si="46"/>
        <v>247</v>
      </c>
      <c r="I34" s="204">
        <f t="shared" si="2"/>
        <v>5314.4838709677415</v>
      </c>
      <c r="J34" s="204">
        <f t="shared" si="47"/>
        <v>247</v>
      </c>
      <c r="K34" s="204">
        <f t="shared" si="3"/>
        <v>5314.4838709677415</v>
      </c>
      <c r="L34" s="204">
        <f t="shared" si="48"/>
        <v>247</v>
      </c>
      <c r="M34" s="204">
        <f t="shared" si="4"/>
        <v>5314.4838709677415</v>
      </c>
      <c r="N34" s="204">
        <f t="shared" si="49"/>
        <v>247</v>
      </c>
      <c r="O34" s="204">
        <f t="shared" si="5"/>
        <v>5314.4838709677415</v>
      </c>
      <c r="P34" s="204">
        <f t="shared" si="50"/>
        <v>247</v>
      </c>
      <c r="Q34" s="204">
        <f t="shared" si="6"/>
        <v>5314.4838709677415</v>
      </c>
      <c r="R34" s="204">
        <f t="shared" si="51"/>
        <v>247</v>
      </c>
      <c r="S34" s="204">
        <f t="shared" si="7"/>
        <v>5314.4838709677415</v>
      </c>
      <c r="T34" s="204">
        <f t="shared" si="52"/>
        <v>247</v>
      </c>
      <c r="U34" s="204">
        <f t="shared" si="8"/>
        <v>5314.4838709677415</v>
      </c>
      <c r="V34" s="204">
        <f t="shared" si="53"/>
        <v>247</v>
      </c>
      <c r="W34" s="204">
        <f t="shared" si="9"/>
        <v>5314.4838709677415</v>
      </c>
      <c r="X34" s="35">
        <f t="shared" si="54"/>
        <v>0.79677419354838708</v>
      </c>
      <c r="Y34" s="36">
        <f t="shared" si="55"/>
        <v>58459.322580645159</v>
      </c>
      <c r="Z34" s="204">
        <f>'B5'!C33</f>
        <v>253</v>
      </c>
      <c r="AA34" s="204">
        <f t="shared" si="30"/>
        <v>2530</v>
      </c>
      <c r="AB34" s="204">
        <f t="shared" si="56"/>
        <v>253</v>
      </c>
      <c r="AC34" s="204">
        <f t="shared" si="30"/>
        <v>2530</v>
      </c>
      <c r="AD34" s="204">
        <f t="shared" si="57"/>
        <v>253</v>
      </c>
      <c r="AE34" s="204">
        <f t="shared" si="11"/>
        <v>2530</v>
      </c>
      <c r="AF34" s="204">
        <f t="shared" si="58"/>
        <v>253</v>
      </c>
      <c r="AG34" s="204">
        <f t="shared" si="12"/>
        <v>2530</v>
      </c>
      <c r="AH34" s="204">
        <f t="shared" si="59"/>
        <v>253</v>
      </c>
      <c r="AI34" s="204">
        <f t="shared" si="13"/>
        <v>2530</v>
      </c>
      <c r="AJ34" s="204">
        <f t="shared" si="60"/>
        <v>253</v>
      </c>
      <c r="AK34" s="204">
        <f t="shared" si="14"/>
        <v>2530</v>
      </c>
      <c r="AL34" s="204">
        <f t="shared" si="61"/>
        <v>253</v>
      </c>
      <c r="AM34" s="204">
        <f t="shared" si="15"/>
        <v>2530</v>
      </c>
      <c r="AN34" s="35">
        <f t="shared" si="62"/>
        <v>0.90357142857142858</v>
      </c>
      <c r="AO34" s="36">
        <f t="shared" si="63"/>
        <v>17710</v>
      </c>
      <c r="AQ34" s="224">
        <f>SUM(AR34/92970)</f>
        <v>0.81928926084376841</v>
      </c>
      <c r="AR34" s="38">
        <f t="shared" si="41"/>
        <v>76169.322580645152</v>
      </c>
      <c r="AS34" s="198">
        <f t="shared" si="38"/>
        <v>-920.03225806451519</v>
      </c>
      <c r="AT34" s="359"/>
      <c r="AU34" s="443"/>
      <c r="AV34" s="526">
        <f t="shared" si="42"/>
        <v>0.5</v>
      </c>
      <c r="AW34" s="293">
        <f>-SUM('B5'!AI33)</f>
        <v>-165</v>
      </c>
      <c r="AX34" s="293">
        <f t="shared" si="39"/>
        <v>-755.03225806451519</v>
      </c>
      <c r="AY34" s="37">
        <f t="shared" si="40"/>
        <v>-920.03225806451519</v>
      </c>
      <c r="AZ34" s="100">
        <f>ELEC!A31</f>
        <v>0</v>
      </c>
      <c r="BA34" s="118">
        <f>'General information '!D34</f>
        <v>24</v>
      </c>
      <c r="BB34" s="205">
        <f>SUM('General information '!E34)</f>
        <v>0.65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1">
        <f>ELEC!C32</f>
        <v>44134</v>
      </c>
      <c r="B35">
        <f>'B5'!B34</f>
        <v>247</v>
      </c>
      <c r="C35" s="204">
        <f t="shared" si="18"/>
        <v>5314.4838709677415</v>
      </c>
      <c r="D35">
        <f t="shared" si="44"/>
        <v>247</v>
      </c>
      <c r="E35" s="204">
        <f t="shared" si="18"/>
        <v>5314.4838709677415</v>
      </c>
      <c r="F35">
        <f t="shared" si="45"/>
        <v>247</v>
      </c>
      <c r="G35" s="204">
        <f t="shared" si="1"/>
        <v>5314.4838709677415</v>
      </c>
      <c r="H35" s="204">
        <f t="shared" si="46"/>
        <v>247</v>
      </c>
      <c r="I35" s="204">
        <f t="shared" si="2"/>
        <v>5314.4838709677415</v>
      </c>
      <c r="J35" s="204">
        <f t="shared" si="47"/>
        <v>247</v>
      </c>
      <c r="K35" s="204">
        <f t="shared" si="3"/>
        <v>5314.4838709677415</v>
      </c>
      <c r="L35" s="204">
        <f t="shared" si="48"/>
        <v>247</v>
      </c>
      <c r="M35" s="204">
        <f t="shared" si="4"/>
        <v>5314.4838709677415</v>
      </c>
      <c r="N35" s="204">
        <f t="shared" si="49"/>
        <v>247</v>
      </c>
      <c r="O35" s="204">
        <f t="shared" si="5"/>
        <v>5314.4838709677415</v>
      </c>
      <c r="P35" s="204">
        <f t="shared" si="50"/>
        <v>247</v>
      </c>
      <c r="Q35" s="204">
        <f t="shared" si="6"/>
        <v>5314.4838709677415</v>
      </c>
      <c r="R35" s="204">
        <f t="shared" si="51"/>
        <v>247</v>
      </c>
      <c r="S35" s="204">
        <f t="shared" si="7"/>
        <v>5314.4838709677415</v>
      </c>
      <c r="T35" s="204">
        <f t="shared" si="52"/>
        <v>247</v>
      </c>
      <c r="U35" s="204">
        <f t="shared" si="8"/>
        <v>5314.4838709677415</v>
      </c>
      <c r="V35" s="204">
        <f t="shared" si="53"/>
        <v>247</v>
      </c>
      <c r="W35" s="204">
        <f t="shared" si="9"/>
        <v>5314.4838709677415</v>
      </c>
      <c r="X35" s="35">
        <f t="shared" si="54"/>
        <v>0.79677419354838708</v>
      </c>
      <c r="Y35" s="36">
        <f t="shared" si="55"/>
        <v>58459.322580645159</v>
      </c>
      <c r="Z35" s="204">
        <f>'B5'!C34</f>
        <v>253</v>
      </c>
      <c r="AA35" s="204">
        <f t="shared" si="30"/>
        <v>2530</v>
      </c>
      <c r="AB35" s="204">
        <f t="shared" si="56"/>
        <v>253</v>
      </c>
      <c r="AC35" s="204">
        <f t="shared" si="30"/>
        <v>2530</v>
      </c>
      <c r="AD35" s="204">
        <f t="shared" si="57"/>
        <v>253</v>
      </c>
      <c r="AE35" s="204">
        <f t="shared" si="11"/>
        <v>2530</v>
      </c>
      <c r="AF35" s="204">
        <f t="shared" si="58"/>
        <v>253</v>
      </c>
      <c r="AG35" s="204">
        <f t="shared" si="12"/>
        <v>2530</v>
      </c>
      <c r="AH35" s="204">
        <f t="shared" si="59"/>
        <v>253</v>
      </c>
      <c r="AI35" s="204">
        <f t="shared" si="13"/>
        <v>2530</v>
      </c>
      <c r="AJ35" s="204">
        <f t="shared" si="60"/>
        <v>253</v>
      </c>
      <c r="AK35" s="204">
        <f t="shared" si="14"/>
        <v>2530</v>
      </c>
      <c r="AL35" s="204">
        <f t="shared" si="61"/>
        <v>253</v>
      </c>
      <c r="AM35" s="204">
        <f t="shared" si="15"/>
        <v>2530</v>
      </c>
      <c r="AN35" s="35">
        <f t="shared" si="62"/>
        <v>0.90357142857142858</v>
      </c>
      <c r="AO35" s="36">
        <f t="shared" si="63"/>
        <v>17710</v>
      </c>
      <c r="AQ35" s="224">
        <f>SUM(AR35/92970)</f>
        <v>0.81928926084376841</v>
      </c>
      <c r="AR35" s="38">
        <f t="shared" si="41"/>
        <v>76169.322580645152</v>
      </c>
      <c r="AS35" s="198">
        <f t="shared" si="38"/>
        <v>0</v>
      </c>
      <c r="AT35" s="359"/>
      <c r="AU35" s="443"/>
      <c r="AV35" s="526">
        <f>IF(AT35&gt;0,AU35,AV34)</f>
        <v>0.5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24.5</v>
      </c>
      <c r="BB35" s="205">
        <f>SUM('General information '!E35)</f>
        <v>0.65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1">
        <f>ELEC!C33</f>
        <v>44135</v>
      </c>
      <c r="B36">
        <f>'B5'!B35</f>
        <v>245</v>
      </c>
      <c r="C36" s="204">
        <f t="shared" ref="C36" si="64">B36*$B$4</f>
        <v>5271.4516129032254</v>
      </c>
      <c r="D36">
        <f t="shared" ref="D36" si="65">SUM(B36)</f>
        <v>245</v>
      </c>
      <c r="E36" s="204">
        <f t="shared" ref="E36" si="66">D36*$B$4</f>
        <v>5271.4516129032254</v>
      </c>
      <c r="F36">
        <f t="shared" ref="F36" si="67">SUM(D36)</f>
        <v>245</v>
      </c>
      <c r="G36" s="204">
        <f t="shared" ref="G36" si="68">F36*$B$4</f>
        <v>5271.4516129032254</v>
      </c>
      <c r="H36" s="204">
        <f t="shared" ref="H36" si="69">SUM(F36)</f>
        <v>245</v>
      </c>
      <c r="I36" s="204">
        <f t="shared" ref="I36" si="70">H36*$B$4</f>
        <v>5271.4516129032254</v>
      </c>
      <c r="J36" s="204">
        <f t="shared" ref="J36" si="71">SUM(H36)</f>
        <v>245</v>
      </c>
      <c r="K36" s="204">
        <f t="shared" ref="K36" si="72">J36*$B$4</f>
        <v>5271.4516129032254</v>
      </c>
      <c r="L36" s="204">
        <f t="shared" ref="L36" si="73">SUM(J36)</f>
        <v>245</v>
      </c>
      <c r="M36" s="204">
        <f t="shared" ref="M36" si="74">L36*$B$4</f>
        <v>5271.4516129032254</v>
      </c>
      <c r="N36" s="204">
        <f t="shared" ref="N36" si="75">SUM(L36)</f>
        <v>245</v>
      </c>
      <c r="O36" s="204">
        <f t="shared" ref="O36" si="76">N36*$B$4</f>
        <v>5271.4516129032254</v>
      </c>
      <c r="P36" s="204">
        <f t="shared" ref="P36" si="77">SUM(N36)</f>
        <v>245</v>
      </c>
      <c r="Q36" s="204">
        <f t="shared" ref="Q36" si="78">P36*$B$4</f>
        <v>5271.4516129032254</v>
      </c>
      <c r="R36" s="204">
        <f t="shared" ref="R36" si="79">SUM(P36)</f>
        <v>245</v>
      </c>
      <c r="S36" s="204">
        <f t="shared" ref="S36" si="80">R36*$B$4</f>
        <v>5271.4516129032254</v>
      </c>
      <c r="T36" s="204">
        <f t="shared" ref="T36" si="81">SUM(R36)</f>
        <v>245</v>
      </c>
      <c r="U36" s="204">
        <f t="shared" ref="U36" si="82">T36*$B$4</f>
        <v>5271.4516129032254</v>
      </c>
      <c r="V36" s="204">
        <f t="shared" ref="V36" si="83">SUM(T36)</f>
        <v>245</v>
      </c>
      <c r="W36" s="204">
        <f t="shared" ref="W36" si="84">V36*$B$4</f>
        <v>5271.4516129032254</v>
      </c>
      <c r="X36" s="35">
        <f t="shared" ref="X36" si="85">SUM(Y36/73370)</f>
        <v>0.79032258064516137</v>
      </c>
      <c r="Y36" s="36">
        <f t="shared" ref="Y36" si="86">SUM(C36+E36+G36+I36+K36+M36+O36+Q36+S36+U36+W36)</f>
        <v>57985.967741935492</v>
      </c>
      <c r="Z36" s="204">
        <f>'B5'!C35</f>
        <v>251</v>
      </c>
      <c r="AA36" s="204">
        <f t="shared" ref="AA36" si="87">SUM(Z36*$Z$4)</f>
        <v>2510</v>
      </c>
      <c r="AB36" s="204">
        <f t="shared" ref="AB36" si="88">SUM(Z36)</f>
        <v>251</v>
      </c>
      <c r="AC36" s="204">
        <f t="shared" ref="AC36" si="89">SUM(AB36*$Z$4)</f>
        <v>2510</v>
      </c>
      <c r="AD36" s="204">
        <f t="shared" ref="AD36" si="90">SUM(AB36)</f>
        <v>251</v>
      </c>
      <c r="AE36" s="204">
        <f t="shared" ref="AE36" si="91">SUM(AD36*$Z$4)</f>
        <v>2510</v>
      </c>
      <c r="AF36" s="204">
        <f t="shared" ref="AF36" si="92">SUM(AD36)</f>
        <v>251</v>
      </c>
      <c r="AG36" s="204">
        <f t="shared" ref="AG36" si="93">SUM(AF36*$Z$4)</f>
        <v>2510</v>
      </c>
      <c r="AH36" s="204">
        <f t="shared" ref="AH36" si="94">SUM(AF36)</f>
        <v>251</v>
      </c>
      <c r="AI36" s="204">
        <f t="shared" ref="AI36" si="95">SUM(AH36*$Z$4)</f>
        <v>2510</v>
      </c>
      <c r="AJ36" s="204">
        <f t="shared" ref="AJ36" si="96">SUM(AH36)</f>
        <v>251</v>
      </c>
      <c r="AK36" s="204">
        <f t="shared" ref="AK36" si="97">SUM(AJ36*$Z$4)</f>
        <v>2510</v>
      </c>
      <c r="AL36" s="204">
        <f t="shared" ref="AL36" si="98">SUM(AJ36)</f>
        <v>251</v>
      </c>
      <c r="AM36" s="204">
        <f t="shared" ref="AM36" si="99">SUM(AL36*$Z$4)</f>
        <v>2510</v>
      </c>
      <c r="AN36" s="35">
        <f t="shared" ref="AN36" si="100">SUM(AO36/19600)</f>
        <v>0.89642857142857146</v>
      </c>
      <c r="AO36" s="36">
        <f t="shared" ref="AO36" si="101">SUM(AA36+AC36+AE36+AG36+AI36+AK36+AM36)</f>
        <v>17570</v>
      </c>
      <c r="AQ36" s="224">
        <f>SUM(AR36/92970)</f>
        <v>0.81269191934963414</v>
      </c>
      <c r="AR36" s="38">
        <f t="shared" si="41"/>
        <v>75555.967741935485</v>
      </c>
      <c r="AS36" s="198">
        <f t="shared" ref="AS36" si="102">SUM(AR36-AR35-AT36)</f>
        <v>-613.35483870966709</v>
      </c>
      <c r="AT36" s="359"/>
      <c r="AU36" s="443"/>
      <c r="AV36" s="526">
        <f>IF(AT36&gt;0,AU36,AV35)</f>
        <v>0.5</v>
      </c>
      <c r="AW36" s="293">
        <f>-SUM('B5'!AI35)</f>
        <v>-133</v>
      </c>
      <c r="AX36" s="293">
        <f t="shared" ref="AX36" si="103">-SUM(AW36-AS36)</f>
        <v>-480.35483870966709</v>
      </c>
      <c r="AY36" s="37">
        <f t="shared" ref="AY36" si="104">SUM(AX36+AW36)</f>
        <v>-613.35483870966709</v>
      </c>
      <c r="AZ36" s="100">
        <f>ELEC!A33</f>
        <v>0</v>
      </c>
      <c r="BA36" s="118">
        <f>'General information '!D36</f>
        <v>0</v>
      </c>
      <c r="BB36" s="398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6" t="s">
        <v>225</v>
      </c>
      <c r="AS37" s="492">
        <f>COUNT(AT6:AT35)</f>
        <v>2</v>
      </c>
      <c r="AT37" s="204">
        <f>SUM(AT6:AT35)</f>
        <v>18403</v>
      </c>
      <c r="AU37">
        <f>SUM(AU6:AU35)/AS37</f>
        <v>0.51</v>
      </c>
      <c r="AX37" s="204">
        <f>SUM(AX6:AX35)</f>
        <v>-16018.909677419375</v>
      </c>
      <c r="AY37" s="204">
        <f>SUM(AY6:AY35)</f>
        <v>-19629.709677419363</v>
      </c>
    </row>
    <row r="38" spans="1:60">
      <c r="AS38" s="207"/>
      <c r="AT38">
        <f>+AT37*AU37</f>
        <v>9385.5300000000007</v>
      </c>
    </row>
    <row r="40" spans="1:60">
      <c r="AS40" s="165">
        <f>SUM(AS6:AS35)/'EDl log'!A36</f>
        <v>-654.32365591397877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2240</v>
      </c>
      <c r="C2" s="3">
        <f>ELEC!N3</f>
        <v>10203</v>
      </c>
      <c r="D2" s="3">
        <f>C2-E2</f>
        <v>8203</v>
      </c>
      <c r="E2" s="3">
        <f>ELEC!Q3</f>
        <v>2000</v>
      </c>
      <c r="F2" s="3">
        <f>GEN!Z2</f>
        <v>6</v>
      </c>
      <c r="G2" s="3">
        <f>WATER!C5+WATER!H5</f>
        <v>0</v>
      </c>
      <c r="H2" s="3">
        <f>WATER!L5</f>
        <v>0</v>
      </c>
      <c r="I2" s="15">
        <f>WATER!BC5+WATER!BD5+WATER!BE6-Sheet1!G2</f>
        <v>14.3</v>
      </c>
      <c r="J2" s="9">
        <f>'B5'!A4</f>
        <v>44104</v>
      </c>
    </row>
    <row r="3" spans="1:10">
      <c r="A3" s="3">
        <f>ELEC!T4+ELEC!X2+ELEC!AB4</f>
        <v>9</v>
      </c>
      <c r="B3" s="3">
        <f>ELEC!AF4</f>
        <v>1712</v>
      </c>
      <c r="C3" s="3">
        <f>ELEC!N4</f>
        <v>10041</v>
      </c>
      <c r="D3" s="3">
        <f t="shared" ref="D3:D30" si="0">C3-E3</f>
        <v>10041</v>
      </c>
      <c r="E3" s="3">
        <f>ELEC!Q4</f>
        <v>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9.5000000000000036</v>
      </c>
      <c r="J3" s="9">
        <f>'B5'!A5</f>
        <v>44105</v>
      </c>
    </row>
    <row r="4" spans="1:10">
      <c r="A4" s="3">
        <f>ELEC!T5+ELEC!X5+ELEC!AB5</f>
        <v>8</v>
      </c>
      <c r="B4" s="3">
        <f>ELEC!AF5</f>
        <v>1956</v>
      </c>
      <c r="C4" s="3">
        <f>ELEC!N5</f>
        <v>8684</v>
      </c>
      <c r="D4" s="3">
        <f t="shared" si="0"/>
        <v>7684</v>
      </c>
      <c r="E4" s="3">
        <f>ELEC!Q5</f>
        <v>1000</v>
      </c>
      <c r="F4" s="3">
        <f>GEN!Z4</f>
        <v>0</v>
      </c>
      <c r="G4" s="3">
        <f>WATER!C7+WATER!H7</f>
        <v>90</v>
      </c>
      <c r="H4" s="3">
        <f>WATER!L7</f>
        <v>0</v>
      </c>
      <c r="I4" s="15">
        <f>WATER!BC7+WATER!BD7+WATER!BE8-Sheet1!G4</f>
        <v>-127.6</v>
      </c>
      <c r="J4" s="9">
        <f>'B5'!A6</f>
        <v>44106</v>
      </c>
    </row>
    <row r="5" spans="1:10">
      <c r="A5" s="3">
        <f>ELEC!T6+ELEC!X6+ELEC!AB6</f>
        <v>5</v>
      </c>
      <c r="B5" s="3">
        <f>ELEC!AF6</f>
        <v>1245</v>
      </c>
      <c r="C5" s="3">
        <f>ELEC!N6</f>
        <v>7992</v>
      </c>
      <c r="D5" s="3">
        <f t="shared" si="0"/>
        <v>5992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57.900000000000013</v>
      </c>
      <c r="J5" s="9">
        <f>'B5'!A7</f>
        <v>44107</v>
      </c>
    </row>
    <row r="6" spans="1:10">
      <c r="A6" s="3">
        <f>ELEC!T7+ELEC!X7+ELEC!AB7</f>
        <v>9</v>
      </c>
      <c r="B6" s="3">
        <f>ELEC!AF7</f>
        <v>1878</v>
      </c>
      <c r="C6" s="3">
        <f>ELEC!N7</f>
        <v>9176</v>
      </c>
      <c r="D6" s="3">
        <f t="shared" si="0"/>
        <v>6176</v>
      </c>
      <c r="E6" s="3">
        <f>ELEC!Q24</f>
        <v>3000</v>
      </c>
      <c r="F6" s="3">
        <f>GEN!Z6</f>
        <v>4</v>
      </c>
      <c r="G6" s="3">
        <f>WATER!C9+WATER!H9</f>
        <v>98</v>
      </c>
      <c r="H6" s="3">
        <f>WATER!L9</f>
        <v>0</v>
      </c>
      <c r="I6" s="15">
        <f>WATER!BC9+WATER!BD9+WATER!BE10-Sheet1!G6</f>
        <v>-146.80000000000001</v>
      </c>
      <c r="J6" s="9">
        <f>'B5'!A8</f>
        <v>44108</v>
      </c>
    </row>
    <row r="7" spans="1:10">
      <c r="A7" s="3">
        <f>ELEC!T8+ELEC!X8+ELEC!AB8</f>
        <v>11</v>
      </c>
      <c r="B7" s="3">
        <f>ELEC!AF8</f>
        <v>2425</v>
      </c>
      <c r="C7" s="3">
        <f>ELEC!N8</f>
        <v>10962</v>
      </c>
      <c r="D7" s="3">
        <f t="shared" si="0"/>
        <v>9962</v>
      </c>
      <c r="E7" s="3">
        <f>ELEC!Q8</f>
        <v>1000</v>
      </c>
      <c r="F7" s="3">
        <f>GEN!Z7</f>
        <v>3</v>
      </c>
      <c r="G7" s="3">
        <f>WATER!C10+WATER!H10</f>
        <v>0</v>
      </c>
      <c r="H7" s="3">
        <f>WATER!L10</f>
        <v>0</v>
      </c>
      <c r="I7" s="15">
        <f>WATER!BC10+WATER!BD10+WATER!BE11-Sheet1!G7</f>
        <v>44.399999999999991</v>
      </c>
      <c r="J7" s="9">
        <f>'B5'!A9</f>
        <v>44109</v>
      </c>
    </row>
    <row r="8" spans="1:10">
      <c r="A8" s="3">
        <f>ELEC!T9+ELEC!X9+ELEC!AB9</f>
        <v>12</v>
      </c>
      <c r="B8" s="3">
        <f>ELEC!AF9</f>
        <v>2709</v>
      </c>
      <c r="C8" s="3">
        <f>ELEC!N9</f>
        <v>11040</v>
      </c>
      <c r="D8" s="3">
        <f t="shared" si="0"/>
        <v>9040</v>
      </c>
      <c r="E8" s="3">
        <f>ELEC!Q9</f>
        <v>2000</v>
      </c>
      <c r="F8" s="3">
        <f>GEN!Z8</f>
        <v>3</v>
      </c>
      <c r="G8" s="3">
        <f>WATER!C11+WATER!H11</f>
        <v>90</v>
      </c>
      <c r="H8" s="3">
        <f>WATER!L11</f>
        <v>0</v>
      </c>
      <c r="I8" s="15">
        <f>WATER!BC11+WATER!BD11+WATER!BE12-Sheet1!G8</f>
        <v>-168</v>
      </c>
      <c r="J8" s="9">
        <f>'B5'!A10</f>
        <v>44110</v>
      </c>
    </row>
    <row r="9" spans="1:10">
      <c r="A9" s="3">
        <f>ELEC!T10+ELEC!X10+ELEC!AB10</f>
        <v>4</v>
      </c>
      <c r="B9" s="3">
        <f>ELEC!AF10</f>
        <v>865</v>
      </c>
      <c r="C9" s="3">
        <f>ELEC!N10</f>
        <v>11456</v>
      </c>
      <c r="D9" s="3">
        <f t="shared" si="0"/>
        <v>9456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-54.199999999999996</v>
      </c>
      <c r="J9" s="9">
        <f>'B5'!A11</f>
        <v>44111</v>
      </c>
    </row>
    <row r="10" spans="1:10">
      <c r="A10" s="3">
        <f>ELEC!T11+ELEC!X11+ELEC!AB11</f>
        <v>16</v>
      </c>
      <c r="B10" s="3">
        <f>ELEC!AF11</f>
        <v>3639</v>
      </c>
      <c r="C10" s="3">
        <f>ELEC!N11</f>
        <v>10070</v>
      </c>
      <c r="D10" s="3">
        <f t="shared" si="0"/>
        <v>8070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14.199999999999996</v>
      </c>
      <c r="J10" s="9">
        <f>'B5'!A12</f>
        <v>44112</v>
      </c>
    </row>
    <row r="11" spans="1:10">
      <c r="A11" s="3">
        <f>ELEC!T12+ELEC!X12+ELEC!AB12</f>
        <v>8</v>
      </c>
      <c r="B11" s="3">
        <f>ELEC!AF12</f>
        <v>2040</v>
      </c>
      <c r="C11" s="3">
        <f>ELEC!N12</f>
        <v>9759</v>
      </c>
      <c r="D11" s="3">
        <f t="shared" si="0"/>
        <v>8759</v>
      </c>
      <c r="E11" s="3">
        <f>ELEC!Q12</f>
        <v>1000</v>
      </c>
      <c r="F11" s="3">
        <f>GEN!Z11</f>
        <v>4</v>
      </c>
      <c r="G11" s="3">
        <f>WATER!C14+WATER!H14</f>
        <v>87</v>
      </c>
      <c r="H11" s="3">
        <f>WATER!L14</f>
        <v>0</v>
      </c>
      <c r="I11" s="15">
        <f>WATER!BC14+WATER!BD14+WATER!BE15-Sheet1!G11</f>
        <v>-79.599999999999994</v>
      </c>
      <c r="J11" s="9">
        <f>'B5'!A13</f>
        <v>44113</v>
      </c>
    </row>
    <row r="12" spans="1:10">
      <c r="A12" s="3">
        <f>ELEC!T13+ELEC!X13+ELEC!AB13</f>
        <v>10</v>
      </c>
      <c r="B12" s="3">
        <f>ELEC!AF13</f>
        <v>2227</v>
      </c>
      <c r="C12" s="3">
        <f>ELEC!N13</f>
        <v>10551</v>
      </c>
      <c r="D12" s="3">
        <f t="shared" si="0"/>
        <v>8551</v>
      </c>
      <c r="E12" s="3">
        <f>ELEC!Q13</f>
        <v>2000</v>
      </c>
      <c r="F12" s="3">
        <f>GEN!Z12</f>
        <v>3</v>
      </c>
      <c r="G12" s="3">
        <f>WATER!C15+WATER!H15</f>
        <v>105</v>
      </c>
      <c r="H12" s="3">
        <f>WATER!L15</f>
        <v>0</v>
      </c>
      <c r="I12" s="15">
        <f>WATER!BC15+WATER!BD15+WATER!BE16-Sheet1!G12</f>
        <v>-114.29999999999998</v>
      </c>
      <c r="J12" s="9">
        <f>'B5'!A14</f>
        <v>44114</v>
      </c>
    </row>
    <row r="13" spans="1:10">
      <c r="A13" s="3">
        <f>ELEC!T14+ELEC!X14+ELEC!AB14</f>
        <v>11</v>
      </c>
      <c r="B13" s="3">
        <f>ELEC!AF14</f>
        <v>2472</v>
      </c>
      <c r="C13" s="3">
        <f>ELEC!N14</f>
        <v>11193</v>
      </c>
      <c r="D13" s="3">
        <f t="shared" si="0"/>
        <v>9193</v>
      </c>
      <c r="E13" s="3">
        <f>ELEC!Q14</f>
        <v>2000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11.800000000000011</v>
      </c>
      <c r="J13" s="9">
        <f>'B5'!A15</f>
        <v>44115</v>
      </c>
    </row>
    <row r="14" spans="1:10">
      <c r="A14" s="3">
        <f>ELEC!T15+ELEC!X15+ELEC!AB15</f>
        <v>10</v>
      </c>
      <c r="B14" s="3">
        <f>ELEC!AF15</f>
        <v>2273</v>
      </c>
      <c r="C14" s="3">
        <f>ELEC!N15</f>
        <v>11177</v>
      </c>
      <c r="D14" s="3">
        <f t="shared" si="0"/>
        <v>9177</v>
      </c>
      <c r="E14" s="3">
        <f>ELEC!Q15</f>
        <v>2000</v>
      </c>
      <c r="F14" s="3">
        <f>GEN!Z14</f>
        <v>3</v>
      </c>
      <c r="G14" s="3">
        <f>WATER!C17+WATER!H17</f>
        <v>96</v>
      </c>
      <c r="H14" s="3">
        <f>WATER!L17</f>
        <v>0</v>
      </c>
      <c r="I14" s="15">
        <f>WATER!BC17+WATER!BD17+WATER!BE18-Sheet1!G14</f>
        <v>-97.800000000000011</v>
      </c>
      <c r="J14" s="9">
        <f>'B5'!A16</f>
        <v>44116</v>
      </c>
    </row>
    <row r="15" spans="1:10">
      <c r="A15" s="3">
        <f>ELEC!T16+ELEC!X16+ELEC!AB16</f>
        <v>8</v>
      </c>
      <c r="B15" s="3">
        <f>ELEC!AF16</f>
        <v>1960</v>
      </c>
      <c r="C15" s="3">
        <f>ELEC!N16</f>
        <v>10182</v>
      </c>
      <c r="D15" s="3">
        <f t="shared" si="0"/>
        <v>7182</v>
      </c>
      <c r="E15" s="3">
        <f>ELEC!Q16</f>
        <v>3000</v>
      </c>
      <c r="F15" s="3">
        <f>GEN!Z15</f>
        <v>3</v>
      </c>
      <c r="G15" s="3">
        <f>WATER!C18+WATER!H18</f>
        <v>0</v>
      </c>
      <c r="H15" s="3">
        <f>WATER!L18</f>
        <v>0</v>
      </c>
      <c r="I15" s="15">
        <f>WATER!BC18+WATER!BD18+WATER!BE19-Sheet1!G15</f>
        <v>138.69999999999999</v>
      </c>
      <c r="J15" s="9">
        <f>'B5'!A17</f>
        <v>44117</v>
      </c>
    </row>
    <row r="16" spans="1:10">
      <c r="A16" s="3">
        <f>ELEC!T17+ELEC!X17+ELEC!AB17</f>
        <v>8</v>
      </c>
      <c r="B16" s="3">
        <f>ELEC!AF17</f>
        <v>2085</v>
      </c>
      <c r="C16" s="3">
        <f>ELEC!N17</f>
        <v>9917</v>
      </c>
      <c r="D16" s="3">
        <f t="shared" si="0"/>
        <v>7917</v>
      </c>
      <c r="E16" s="3">
        <f>ELEC!Q17</f>
        <v>2000</v>
      </c>
      <c r="F16" s="3">
        <f>GEN!Z16</f>
        <v>5</v>
      </c>
      <c r="G16" s="3">
        <f>WATER!C19+WATER!H19</f>
        <v>239</v>
      </c>
      <c r="H16" s="3">
        <f>WATER!L19</f>
        <v>0</v>
      </c>
      <c r="I16" s="15">
        <f>WATER!BC19+WATER!BD19+WATER!BE20-Sheet1!G16</f>
        <v>-208.60000000000002</v>
      </c>
      <c r="J16" s="9">
        <f>'B5'!A18</f>
        <v>44118</v>
      </c>
    </row>
    <row r="17" spans="1:10">
      <c r="A17" s="3">
        <f>ELEC!T18+ELEC!X18+ELEC!AB18</f>
        <v>8</v>
      </c>
      <c r="B17" s="3">
        <f>ELEC!AF18</f>
        <v>1658</v>
      </c>
      <c r="C17" s="3">
        <f>ELEC!N18</f>
        <v>9359</v>
      </c>
      <c r="D17" s="3">
        <f t="shared" si="0"/>
        <v>8359</v>
      </c>
      <c r="E17" s="3">
        <f>ELEC!Q18</f>
        <v>1000</v>
      </c>
      <c r="F17" s="3">
        <f>GEN!Z17</f>
        <v>3</v>
      </c>
      <c r="G17" s="3">
        <f>WATER!C20+WATER!H20</f>
        <v>0</v>
      </c>
      <c r="H17" s="3">
        <f>WATER!L20</f>
        <v>0</v>
      </c>
      <c r="I17" s="15">
        <f>WATER!BC20+WATER!BD20+WATER!BE21-Sheet1!G17</f>
        <v>-6.0999999999999801</v>
      </c>
      <c r="J17" s="9">
        <f>'B5'!A19</f>
        <v>44119</v>
      </c>
    </row>
    <row r="18" spans="1:10">
      <c r="A18" s="3">
        <f>ELEC!T19+ELEC!X19+ELEC!AB19</f>
        <v>9</v>
      </c>
      <c r="B18" s="3">
        <f>ELEC!AF19</f>
        <v>1630</v>
      </c>
      <c r="C18" s="3">
        <f>ELEC!N19</f>
        <v>9178</v>
      </c>
      <c r="D18" s="3">
        <f t="shared" si="0"/>
        <v>8178</v>
      </c>
      <c r="E18" s="3">
        <f>ELEC!Q19</f>
        <v>1000</v>
      </c>
      <c r="F18" s="3">
        <f>GEN!Z18</f>
        <v>3</v>
      </c>
      <c r="G18" s="3">
        <f>WATER!C21+WATER!H21</f>
        <v>0</v>
      </c>
      <c r="H18" s="3">
        <f>WATER!L21</f>
        <v>13</v>
      </c>
      <c r="I18" s="15">
        <f>WATER!BC21+WATER!BD21+WATER!BE22-Sheet1!G18</f>
        <v>-124.4</v>
      </c>
      <c r="J18" s="9">
        <f>'B5'!A20</f>
        <v>44120</v>
      </c>
    </row>
    <row r="19" spans="1:10">
      <c r="A19" s="3">
        <f>ELEC!T20+ELEC!X20+ELEC!AB20</f>
        <v>5</v>
      </c>
      <c r="B19" s="3">
        <f>ELEC!AF20</f>
        <v>1362</v>
      </c>
      <c r="C19" s="3">
        <f>ELEC!N20</f>
        <v>8824</v>
      </c>
      <c r="D19" s="3">
        <f t="shared" si="0"/>
        <v>6824</v>
      </c>
      <c r="E19" s="3">
        <f>ELEC!Q20</f>
        <v>2000</v>
      </c>
      <c r="F19" s="3">
        <f>GEN!Z19</f>
        <v>2</v>
      </c>
      <c r="G19" s="3">
        <f>WATER!C22+WATER!H22</f>
        <v>0</v>
      </c>
      <c r="H19" s="3">
        <f>WATER!L22</f>
        <v>3</v>
      </c>
      <c r="I19" s="15">
        <f>WATER!BC22+WATER!BD22+WATER!BE23-Sheet1!G19</f>
        <v>90.3</v>
      </c>
      <c r="J19" s="9">
        <f>'B5'!A21</f>
        <v>44121</v>
      </c>
    </row>
    <row r="20" spans="1:10">
      <c r="A20" s="3">
        <f>ELEC!T21+ELEC!X21+ELEC!AB21</f>
        <v>5</v>
      </c>
      <c r="B20" s="3">
        <f>ELEC!AF21</f>
        <v>1351</v>
      </c>
      <c r="C20" s="3">
        <f>ELEC!N21</f>
        <v>9544</v>
      </c>
      <c r="D20" s="3">
        <f t="shared" si="0"/>
        <v>7544</v>
      </c>
      <c r="E20" s="3">
        <f>ELEC!Q21</f>
        <v>2000</v>
      </c>
      <c r="F20" s="3">
        <f>GEN!Z20</f>
        <v>3</v>
      </c>
      <c r="G20" s="3">
        <f>WATER!C23+WATER!H23</f>
        <v>0</v>
      </c>
      <c r="H20" s="3">
        <f>WATER!L23</f>
        <v>0</v>
      </c>
      <c r="I20" s="15">
        <f>WATER!BC23+WATER!BD23+WATER!BE24-Sheet1!G20</f>
        <v>119.49999999999997</v>
      </c>
      <c r="J20" s="9">
        <f>'B5'!A22</f>
        <v>44122</v>
      </c>
    </row>
    <row r="21" spans="1:10">
      <c r="A21" s="3">
        <f>ELEC!T22+ELEC!X22+ELEC!AB22</f>
        <v>9</v>
      </c>
      <c r="B21" s="3">
        <f>ELEC!AF22</f>
        <v>2330</v>
      </c>
      <c r="C21" s="3">
        <f>ELEC!N22</f>
        <v>9684</v>
      </c>
      <c r="D21" s="3">
        <f t="shared" si="0"/>
        <v>7684</v>
      </c>
      <c r="E21" s="3">
        <f>ELEC!Q22</f>
        <v>2000</v>
      </c>
      <c r="F21" s="3">
        <f>GEN!Z21</f>
        <v>3</v>
      </c>
      <c r="G21" s="3">
        <f>WATER!C24+WATER!H24</f>
        <v>0</v>
      </c>
      <c r="H21" s="3">
        <f>WATER!L24</f>
        <v>3</v>
      </c>
      <c r="I21" s="15">
        <f>WATER!BC24+WATER!BD24+WATER!BE25-Sheet1!G21</f>
        <v>144.29999999999998</v>
      </c>
      <c r="J21" s="9">
        <f>'B5'!A23</f>
        <v>44123</v>
      </c>
    </row>
    <row r="22" spans="1:10">
      <c r="A22" s="3">
        <f>ELEC!T23+ELEC!X23+ELEC!AB23</f>
        <v>8</v>
      </c>
      <c r="B22" s="3">
        <f>ELEC!AF23</f>
        <v>2036</v>
      </c>
      <c r="C22" s="3">
        <f>ELEC!N23</f>
        <v>9285</v>
      </c>
      <c r="D22" s="3">
        <f t="shared" si="0"/>
        <v>5285</v>
      </c>
      <c r="E22" s="3">
        <f>ELEC!Q23</f>
        <v>4000</v>
      </c>
      <c r="F22" s="3">
        <f>GEN!Z22</f>
        <v>5</v>
      </c>
      <c r="G22" s="3">
        <f>WATER!C25+WATER!H25</f>
        <v>428</v>
      </c>
      <c r="H22" s="3">
        <f>WATER!L25</f>
        <v>3</v>
      </c>
      <c r="I22" s="15">
        <f>WATER!BC25+WATER!BD25+WATER!BE26-Sheet1!G22</f>
        <v>-458</v>
      </c>
      <c r="J22" s="9">
        <f>'B5'!A24</f>
        <v>44124</v>
      </c>
    </row>
    <row r="23" spans="1:10">
      <c r="A23" s="3">
        <f>ELEC!T24+ELEC!X24+ELEC!AB24</f>
        <v>6</v>
      </c>
      <c r="B23" s="3">
        <f>ELEC!AF24</f>
        <v>1600</v>
      </c>
      <c r="C23" s="3">
        <f>ELEC!N24</f>
        <v>10813</v>
      </c>
      <c r="D23" s="3">
        <f t="shared" si="0"/>
        <v>7813</v>
      </c>
      <c r="E23" s="3">
        <f>ELEC!Q24</f>
        <v>3000</v>
      </c>
      <c r="F23" s="3">
        <f>GEN!Z23</f>
        <v>7</v>
      </c>
      <c r="G23" s="3">
        <f>WATER!C26+WATER!H26</f>
        <v>0</v>
      </c>
      <c r="H23" s="3">
        <f>WATER!L26</f>
        <v>7</v>
      </c>
      <c r="I23" s="15">
        <f>WATER!BC26+WATER!BD26+WATER!BE27-Sheet1!G23</f>
        <v>-229.8</v>
      </c>
      <c r="J23" s="9">
        <f>'B5'!A25</f>
        <v>44125</v>
      </c>
    </row>
    <row r="24" spans="1:10">
      <c r="A24" s="3">
        <f>ELEC!T25+ELEC!X25+ELEC!AB25</f>
        <v>14</v>
      </c>
      <c r="B24" s="3">
        <f>ELEC!AF25</f>
        <v>2979</v>
      </c>
      <c r="C24" s="3">
        <f>ELEC!N25</f>
        <v>11168</v>
      </c>
      <c r="D24" s="3">
        <f t="shared" si="0"/>
        <v>10168</v>
      </c>
      <c r="E24" s="3">
        <f>ELEC!Q25</f>
        <v>1000</v>
      </c>
      <c r="F24" s="3">
        <f>GEN!Z24</f>
        <v>6</v>
      </c>
      <c r="G24" s="3">
        <f>WATER!C27+WATER!H27</f>
        <v>110</v>
      </c>
      <c r="H24" s="3">
        <f>WATER!L27</f>
        <v>4</v>
      </c>
      <c r="I24" s="15">
        <f>WATER!BC27+WATER!BD27+WATER!BE28-Sheet1!G24</f>
        <v>-254.7</v>
      </c>
      <c r="J24" s="9">
        <f>'B5'!A26</f>
        <v>44126</v>
      </c>
    </row>
    <row r="25" spans="1:10">
      <c r="A25" s="3">
        <f>ELEC!T26+ELEC!X26+ELEC!AB26</f>
        <v>5</v>
      </c>
      <c r="B25" s="3">
        <f>ELEC!AF26</f>
        <v>1542</v>
      </c>
      <c r="C25" s="3">
        <f>ELEC!N26</f>
        <v>9035</v>
      </c>
      <c r="D25" s="3">
        <f t="shared" si="0"/>
        <v>7035</v>
      </c>
      <c r="E25" s="3">
        <f>ELEC!Q26</f>
        <v>2000</v>
      </c>
      <c r="F25" s="3">
        <f>GEN!Z25</f>
        <v>3</v>
      </c>
      <c r="G25" s="3">
        <f>WATER!C28+WATER!H28</f>
        <v>0</v>
      </c>
      <c r="H25" s="3">
        <f>WATER!L28</f>
        <v>3</v>
      </c>
      <c r="I25" s="15">
        <f>WATER!BC28+WATER!BD28+WATER!BE29-Sheet1!G25</f>
        <v>-1.0999999999999979</v>
      </c>
      <c r="J25" s="9">
        <f>'B5'!A27</f>
        <v>44127</v>
      </c>
    </row>
    <row r="26" spans="1:10">
      <c r="A26" s="3">
        <f>ELEC!T27+ELEC!X27+ELEC!AB27</f>
        <v>9</v>
      </c>
      <c r="B26" s="3">
        <f>ELEC!AF27</f>
        <v>2126</v>
      </c>
      <c r="C26" s="3">
        <f>ELEC!N27</f>
        <v>10172</v>
      </c>
      <c r="D26" s="3">
        <f t="shared" si="0"/>
        <v>8172</v>
      </c>
      <c r="E26" s="3">
        <f>ELEC!Q27</f>
        <v>2000</v>
      </c>
      <c r="F26" s="3">
        <f>GEN!Z26</f>
        <v>3</v>
      </c>
      <c r="G26" s="3">
        <f>WATER!C29+WATER!H29</f>
        <v>110</v>
      </c>
      <c r="H26" s="3">
        <f>WATER!L29</f>
        <v>7</v>
      </c>
      <c r="I26" s="15">
        <f>WATER!BC29+WATER!BD29+WATER!BE30-Sheet1!G26</f>
        <v>-147.19999999999999</v>
      </c>
      <c r="J26" s="9">
        <f>'B5'!A28</f>
        <v>44128</v>
      </c>
    </row>
    <row r="27" spans="1:10">
      <c r="A27" s="3">
        <f>ELEC!T28+ELEC!X28+ELEC!AB28</f>
        <v>7</v>
      </c>
      <c r="B27" s="3">
        <f>ELEC!AF28</f>
        <v>1794</v>
      </c>
      <c r="C27" s="3">
        <f>ELEC!N28</f>
        <v>9306</v>
      </c>
      <c r="D27" s="3">
        <f t="shared" si="0"/>
        <v>7306</v>
      </c>
      <c r="E27" s="3">
        <f>ELEC!Q28</f>
        <v>2000</v>
      </c>
      <c r="F27" s="3">
        <f>GEN!Z27</f>
        <v>3</v>
      </c>
      <c r="G27" s="3">
        <f>WATER!C30+WATER!H30</f>
        <v>0</v>
      </c>
      <c r="H27" s="3">
        <f>WATER!L30</f>
        <v>13</v>
      </c>
      <c r="I27" s="15">
        <f>WATER!BC30+WATER!BD30+WATER!BE31-Sheet1!G27</f>
        <v>-11.100000000000001</v>
      </c>
      <c r="J27" s="9">
        <f>'B5'!A29</f>
        <v>44129</v>
      </c>
    </row>
    <row r="28" spans="1:10">
      <c r="A28" s="3">
        <f>ELEC!T29+ELEC!X29+ELEC!AB29</f>
        <v>8</v>
      </c>
      <c r="B28" s="3">
        <f>ELEC!AF29</f>
        <v>2215</v>
      </c>
      <c r="C28" s="3">
        <f>ELEC!N29</f>
        <v>10645</v>
      </c>
      <c r="D28" s="3">
        <f t="shared" si="0"/>
        <v>7645</v>
      </c>
      <c r="E28" s="3">
        <f>ELEC!Q29</f>
        <v>3000</v>
      </c>
      <c r="F28" s="3">
        <f>GEN!Z28</f>
        <v>5</v>
      </c>
      <c r="G28" s="3">
        <f>WATER!C31+WATER!H31</f>
        <v>198</v>
      </c>
      <c r="H28" s="3">
        <f>WATER!L31</f>
        <v>12</v>
      </c>
      <c r="I28" s="15">
        <f>WATER!BC31+WATER!BD31+WATER!BE32-Sheet1!G28</f>
        <v>-157.69999999999999</v>
      </c>
      <c r="J28" s="9">
        <f>'B5'!A30</f>
        <v>44130</v>
      </c>
    </row>
    <row r="29" spans="1:10">
      <c r="A29" s="3">
        <f>ELEC!T30+ELEC!X30+ELEC!AB30</f>
        <v>9</v>
      </c>
      <c r="B29" s="3">
        <f>ELEC!AF30</f>
        <v>2067</v>
      </c>
      <c r="C29" s="3">
        <f>ELEC!N30</f>
        <v>10433</v>
      </c>
      <c r="D29" s="3">
        <f t="shared" si="0"/>
        <v>8433</v>
      </c>
      <c r="E29" s="3">
        <f>ELEC!Q30</f>
        <v>2000</v>
      </c>
      <c r="F29" s="3">
        <f>GEN!Z29</f>
        <v>5</v>
      </c>
      <c r="G29" s="3">
        <f>WATER!C32+WATER!H32</f>
        <v>0</v>
      </c>
      <c r="H29" s="3">
        <f>WATER!L32</f>
        <v>6</v>
      </c>
      <c r="I29" s="15">
        <f>WATER!BC32+WATER!BD32+WATER!BE33-Sheet1!G29</f>
        <v>-11.3</v>
      </c>
      <c r="J29" s="9">
        <f>'B5'!A31</f>
        <v>44131</v>
      </c>
    </row>
    <row r="30" spans="1:10">
      <c r="A30" s="3" t="e">
        <f>ELEC!T31+ELEC!X31+ELEC!#REF!</f>
        <v>#REF!</v>
      </c>
      <c r="B30" s="3">
        <f>ELEC!AF31</f>
        <v>2462</v>
      </c>
      <c r="C30" s="3">
        <f>ELEC!N31</f>
        <v>10482</v>
      </c>
      <c r="D30" s="3">
        <f t="shared" si="0"/>
        <v>8482</v>
      </c>
      <c r="E30" s="3">
        <f>ELEC!Q31</f>
        <v>2000</v>
      </c>
      <c r="F30" s="3">
        <f>GEN!Z30</f>
        <v>3</v>
      </c>
      <c r="G30" s="3">
        <f>WATER!C33+WATER!H33</f>
        <v>106</v>
      </c>
      <c r="H30" s="3">
        <f>WATER!L33</f>
        <v>7</v>
      </c>
      <c r="I30" s="15">
        <f>WATER!BC33+WATER!BD33+WATER!BE34-Sheet1!G30</f>
        <v>-97.800000000000011</v>
      </c>
      <c r="J30" s="9">
        <f>'B5'!A32</f>
        <v>44132</v>
      </c>
    </row>
    <row r="31" spans="1:10">
      <c r="A31" s="3">
        <f>ELEC!T32+ELEC!X32+ELEC!AB31</f>
        <v>12</v>
      </c>
      <c r="B31" s="3">
        <f>ELEC!AF32</f>
        <v>2307</v>
      </c>
      <c r="C31" s="3">
        <f>ELEC!N32</f>
        <v>10489</v>
      </c>
      <c r="D31" s="3">
        <f>C31-E31</f>
        <v>9489</v>
      </c>
      <c r="E31" s="3">
        <f>ELEC!Q32</f>
        <v>1000</v>
      </c>
      <c r="F31" s="3">
        <f>GEN!Z31</f>
        <v>3</v>
      </c>
      <c r="G31" s="3">
        <f>WATER!C34+WATER!H34</f>
        <v>95</v>
      </c>
      <c r="H31" s="3">
        <f>WATER!L34</f>
        <v>14</v>
      </c>
      <c r="I31" s="15">
        <f>WATER!BC34+WATER!BD34+WATER!BE35-Sheet1!G31</f>
        <v>-44.79999999999999</v>
      </c>
      <c r="J31" s="9">
        <f>'B5'!A33</f>
        <v>44133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6"/>
      <c r="B1" s="653" t="s">
        <v>119</v>
      </c>
      <c r="C1" s="653" t="s">
        <v>118</v>
      </c>
      <c r="D1" s="658" t="s">
        <v>113</v>
      </c>
      <c r="E1" s="658" t="s">
        <v>114</v>
      </c>
      <c r="F1" s="659" t="s">
        <v>120</v>
      </c>
      <c r="G1" s="660" t="s">
        <v>75</v>
      </c>
      <c r="H1" s="661" t="s">
        <v>115</v>
      </c>
      <c r="I1" s="662" t="s">
        <v>116</v>
      </c>
      <c r="J1" s="661" t="s">
        <v>117</v>
      </c>
      <c r="K1" s="655" t="s">
        <v>121</v>
      </c>
      <c r="L1" s="655" t="s">
        <v>122</v>
      </c>
      <c r="M1" s="655" t="s">
        <v>123</v>
      </c>
      <c r="N1" s="655" t="s">
        <v>124</v>
      </c>
    </row>
    <row r="2" spans="1:14">
      <c r="A2" s="657"/>
      <c r="B2" s="654"/>
      <c r="C2" s="654"/>
      <c r="D2" s="658"/>
      <c r="E2" s="658"/>
      <c r="F2" s="659"/>
      <c r="G2" s="660"/>
      <c r="H2" s="661"/>
      <c r="I2" s="663"/>
      <c r="J2" s="661"/>
      <c r="K2" s="655"/>
      <c r="L2" s="655"/>
      <c r="M2" s="655"/>
      <c r="N2" s="65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44105</v>
      </c>
      <c r="B5" s="76">
        <f>'B5'!V5</f>
        <v>0</v>
      </c>
      <c r="C5" s="76">
        <f>'B5'!AH5</f>
        <v>1.7999999999883585</v>
      </c>
      <c r="D5" s="76">
        <f>GEN!AI3</f>
        <v>514.76793248945148</v>
      </c>
      <c r="E5" s="244">
        <f t="shared" ref="E5:E33" si="0">B5+C5+D5</f>
        <v>516.56793248943984</v>
      </c>
      <c r="F5" s="75">
        <f>WATER!L5</f>
        <v>0</v>
      </c>
      <c r="G5" s="78">
        <f>WATER!BG5</f>
        <v>-54.100000000000009</v>
      </c>
      <c r="H5" s="79">
        <f>ELEC!AF3</f>
        <v>2240</v>
      </c>
      <c r="I5" s="79">
        <f>ELEC!Q3</f>
        <v>2000</v>
      </c>
      <c r="J5" s="79">
        <f>ELEC!R3</f>
        <v>8203</v>
      </c>
      <c r="K5" s="80"/>
      <c r="L5" s="3"/>
      <c r="M5" s="3"/>
      <c r="N5" s="3"/>
    </row>
    <row r="6" spans="1:14">
      <c r="A6" s="63">
        <f>'B5'!A6</f>
        <v>44106</v>
      </c>
      <c r="B6" s="76">
        <f>'B5'!V6</f>
        <v>232</v>
      </c>
      <c r="C6" s="76">
        <f>'B5'!AH6</f>
        <v>0</v>
      </c>
      <c r="D6" s="76">
        <f>GEN!AI4</f>
        <v>0</v>
      </c>
      <c r="E6" s="244">
        <f t="shared" si="0"/>
        <v>232</v>
      </c>
      <c r="F6" s="75">
        <f>WATER!L6</f>
        <v>0</v>
      </c>
      <c r="G6" s="78">
        <f>WATER!BG6</f>
        <v>-29.699999999999992</v>
      </c>
      <c r="H6" s="79">
        <f>ELEC!AF4</f>
        <v>1712</v>
      </c>
      <c r="I6" s="79">
        <f>ELEC!Q4</f>
        <v>0</v>
      </c>
      <c r="J6" s="79">
        <f>ELEC!R4</f>
        <v>10041</v>
      </c>
      <c r="K6" s="3"/>
      <c r="L6" s="3"/>
      <c r="M6" s="3"/>
      <c r="N6" s="3"/>
    </row>
    <row r="7" spans="1:14">
      <c r="A7" s="63">
        <f>'B5'!A7</f>
        <v>44107</v>
      </c>
      <c r="B7" s="76">
        <f>'B5'!V7</f>
        <v>116</v>
      </c>
      <c r="C7" s="76">
        <f>'B5'!AH7</f>
        <v>0</v>
      </c>
      <c r="D7" s="76">
        <f>GEN!AI5</f>
        <v>257.38396624472574</v>
      </c>
      <c r="E7" s="244">
        <f t="shared" si="0"/>
        <v>373.38396624472574</v>
      </c>
      <c r="F7" s="75">
        <f>WATER!L7</f>
        <v>0</v>
      </c>
      <c r="G7" s="78">
        <f>WATER!BG7</f>
        <v>11.299999999999997</v>
      </c>
      <c r="H7" s="79">
        <f>ELEC!AF5</f>
        <v>1956</v>
      </c>
      <c r="I7" s="79">
        <f>ELEC!Q5</f>
        <v>1000</v>
      </c>
      <c r="J7" s="79">
        <f>ELEC!R5</f>
        <v>7684</v>
      </c>
      <c r="K7" s="3"/>
      <c r="L7" s="3"/>
      <c r="M7" s="3"/>
      <c r="N7" s="3"/>
    </row>
    <row r="8" spans="1:14">
      <c r="A8" s="63">
        <f>'B5'!A8</f>
        <v>44108</v>
      </c>
      <c r="B8" s="76">
        <f>'B5'!V8</f>
        <v>53</v>
      </c>
      <c r="C8" s="76">
        <f>'B5'!AH8</f>
        <v>0</v>
      </c>
      <c r="D8" s="76">
        <f>GEN!AI6</f>
        <v>514.76793248945148</v>
      </c>
      <c r="E8" s="244">
        <f t="shared" si="0"/>
        <v>567.76793248945148</v>
      </c>
      <c r="F8" s="75">
        <f>WATER!L8</f>
        <v>0</v>
      </c>
      <c r="G8" s="78">
        <f>WATER!BG8</f>
        <v>-21.899999999999991</v>
      </c>
      <c r="H8" s="79">
        <f>ELEC!AF6</f>
        <v>1245</v>
      </c>
      <c r="I8" s="79">
        <f>ELEC!Q6</f>
        <v>2000</v>
      </c>
      <c r="J8" s="79">
        <f>ELEC!R6</f>
        <v>5992</v>
      </c>
      <c r="K8" s="3"/>
      <c r="L8" s="3"/>
      <c r="M8" s="3"/>
      <c r="N8" s="3"/>
    </row>
    <row r="9" spans="1:14">
      <c r="A9" s="63">
        <f>'B5'!A9</f>
        <v>44109</v>
      </c>
      <c r="B9" s="76">
        <f>'B5'!V9</f>
        <v>96</v>
      </c>
      <c r="C9" s="76">
        <f>'B5'!AH9</f>
        <v>0</v>
      </c>
      <c r="D9" s="76">
        <f>GEN!AI7</f>
        <v>514.76793248945148</v>
      </c>
      <c r="E9" s="244">
        <f t="shared" si="0"/>
        <v>610.76793248945148</v>
      </c>
      <c r="F9" s="75">
        <f>WATER!L9</f>
        <v>0</v>
      </c>
      <c r="G9" s="78">
        <f>WATER!BG9</f>
        <v>41.1</v>
      </c>
      <c r="H9" s="79">
        <f>ELEC!AF7</f>
        <v>1878</v>
      </c>
      <c r="I9" s="79">
        <f>ELEC!Q7</f>
        <v>2000</v>
      </c>
      <c r="J9" s="79">
        <f>ELEC!R7</f>
        <v>7176</v>
      </c>
      <c r="K9" s="3"/>
      <c r="L9" s="3"/>
      <c r="M9" s="3"/>
      <c r="N9" s="3"/>
    </row>
    <row r="10" spans="1:14">
      <c r="A10" s="63">
        <f>'B5'!A10</f>
        <v>44110</v>
      </c>
      <c r="B10" s="76">
        <f>'B5'!V10</f>
        <v>145</v>
      </c>
      <c r="C10" s="76">
        <f>'B5'!AH10</f>
        <v>0</v>
      </c>
      <c r="D10" s="76">
        <f>GEN!AI8</f>
        <v>257.38396624472574</v>
      </c>
      <c r="E10" s="244">
        <f t="shared" si="0"/>
        <v>402.38396624472574</v>
      </c>
      <c r="F10" s="75">
        <f>WATER!L10</f>
        <v>0</v>
      </c>
      <c r="G10" s="78">
        <f>WATER!BG10</f>
        <v>-40.40000000000002</v>
      </c>
      <c r="H10" s="79">
        <f>ELEC!AF8</f>
        <v>2425</v>
      </c>
      <c r="I10" s="79">
        <f>ELEC!Q8</f>
        <v>1000</v>
      </c>
      <c r="J10" s="79">
        <f>ELEC!R8</f>
        <v>9962</v>
      </c>
      <c r="K10" s="3"/>
      <c r="L10" s="3"/>
      <c r="M10" s="3"/>
      <c r="N10" s="3"/>
    </row>
    <row r="11" spans="1:14">
      <c r="A11" s="63">
        <f>'B5'!A11</f>
        <v>44111</v>
      </c>
      <c r="B11" s="76">
        <f>'B5'!V11</f>
        <v>146</v>
      </c>
      <c r="C11" s="76">
        <f>'B5'!AH11</f>
        <v>0</v>
      </c>
      <c r="D11" s="76">
        <f>GEN!AI9</f>
        <v>514.76793248945148</v>
      </c>
      <c r="E11" s="244">
        <f t="shared" si="0"/>
        <v>660.76793248945148</v>
      </c>
      <c r="F11" s="75">
        <f>WATER!L11</f>
        <v>0</v>
      </c>
      <c r="G11" s="78">
        <f>WATER!BG11</f>
        <v>18.200000000000003</v>
      </c>
      <c r="H11" s="79">
        <f>ELEC!AF9</f>
        <v>2709</v>
      </c>
      <c r="I11" s="79">
        <f>ELEC!Q9</f>
        <v>2000</v>
      </c>
      <c r="J11" s="79">
        <f>ELEC!R9</f>
        <v>9040</v>
      </c>
      <c r="K11" s="3"/>
      <c r="L11" s="3"/>
      <c r="M11" s="3"/>
      <c r="N11" s="3"/>
    </row>
    <row r="12" spans="1:14">
      <c r="A12" s="63">
        <f>'B5'!A12</f>
        <v>44112</v>
      </c>
      <c r="B12" s="76">
        <f>'B5'!V12</f>
        <v>115</v>
      </c>
      <c r="C12" s="76">
        <f>'B5'!AH12</f>
        <v>0</v>
      </c>
      <c r="D12" s="76">
        <f>GEN!AI10</f>
        <v>514.76793248945148</v>
      </c>
      <c r="E12" s="244">
        <f t="shared" si="0"/>
        <v>629.76793248945148</v>
      </c>
      <c r="F12" s="75">
        <f>WATER!L12</f>
        <v>0</v>
      </c>
      <c r="G12" s="78">
        <f>WATER!BG12</f>
        <v>-46.699999999999996</v>
      </c>
      <c r="H12" s="79">
        <f>ELEC!AF10</f>
        <v>865</v>
      </c>
      <c r="I12" s="79">
        <f>ELEC!Q10</f>
        <v>2000</v>
      </c>
      <c r="J12" s="79">
        <f>ELEC!R10</f>
        <v>9456</v>
      </c>
      <c r="K12" s="3"/>
      <c r="L12" s="3"/>
      <c r="M12" s="3"/>
      <c r="N12" s="3"/>
    </row>
    <row r="13" spans="1:14">
      <c r="A13" s="63">
        <f>'B5'!A13</f>
        <v>44113</v>
      </c>
      <c r="B13" s="76">
        <f>'B5'!V13</f>
        <v>110</v>
      </c>
      <c r="C13" s="76">
        <f>'B5'!AH13</f>
        <v>0</v>
      </c>
      <c r="D13" s="76">
        <f>GEN!AI11</f>
        <v>514.76793248945148</v>
      </c>
      <c r="E13" s="244">
        <f t="shared" si="0"/>
        <v>624.76793248945148</v>
      </c>
      <c r="F13" s="75">
        <f>WATER!L13</f>
        <v>0</v>
      </c>
      <c r="G13" s="78">
        <f>WATER!BG13</f>
        <v>-7.5</v>
      </c>
      <c r="H13" s="79">
        <f>ELEC!AF11</f>
        <v>3639</v>
      </c>
      <c r="I13" s="79">
        <f>ELEC!Q11</f>
        <v>2000</v>
      </c>
      <c r="J13" s="79">
        <f>ELEC!R11</f>
        <v>8070</v>
      </c>
      <c r="K13" s="3"/>
      <c r="L13" s="3"/>
      <c r="M13" s="3"/>
      <c r="N13" s="3"/>
    </row>
    <row r="14" spans="1:14">
      <c r="A14" s="63">
        <f>'B5'!A14</f>
        <v>44114</v>
      </c>
      <c r="B14" s="76">
        <f>'B5'!V14</f>
        <v>115</v>
      </c>
      <c r="C14" s="76">
        <f>'B5'!AH14</f>
        <v>0</v>
      </c>
      <c r="D14" s="76">
        <f>GEN!AI12</f>
        <v>257.38396624472574</v>
      </c>
      <c r="E14" s="244">
        <f t="shared" si="0"/>
        <v>372.38396624472574</v>
      </c>
      <c r="F14" s="75">
        <f>WATER!L14</f>
        <v>0</v>
      </c>
      <c r="G14" s="78">
        <f>WATER!BG14</f>
        <v>-23.300000000000011</v>
      </c>
      <c r="H14" s="79">
        <f>ELEC!AF12</f>
        <v>2040</v>
      </c>
      <c r="I14" s="79">
        <f>ELEC!Q12</f>
        <v>1000</v>
      </c>
      <c r="J14" s="79">
        <f>ELEC!R12</f>
        <v>8759</v>
      </c>
      <c r="K14" s="3"/>
      <c r="L14" s="3"/>
      <c r="M14" s="3"/>
      <c r="N14" s="3"/>
    </row>
    <row r="15" spans="1:14">
      <c r="A15" s="63">
        <f>'B5'!A15</f>
        <v>44115</v>
      </c>
      <c r="B15" s="76">
        <f>'B5'!V15</f>
        <v>132</v>
      </c>
      <c r="C15" s="76">
        <f>'B5'!AH15</f>
        <v>0</v>
      </c>
      <c r="D15" s="76">
        <f>GEN!AI13</f>
        <v>514.76793248945148</v>
      </c>
      <c r="E15" s="244">
        <f t="shared" si="0"/>
        <v>646.76793248945148</v>
      </c>
      <c r="F15" s="75">
        <f>WATER!L15</f>
        <v>0</v>
      </c>
      <c r="G15" s="78">
        <f>WATER!BG15</f>
        <v>30.700000000000003</v>
      </c>
      <c r="H15" s="79">
        <f>ELEC!AF13</f>
        <v>2227</v>
      </c>
      <c r="I15" s="79">
        <f>ELEC!Q13</f>
        <v>2000</v>
      </c>
      <c r="J15" s="79">
        <f>ELEC!R13</f>
        <v>8551</v>
      </c>
      <c r="K15" s="3"/>
      <c r="L15" s="3"/>
      <c r="M15" s="3"/>
      <c r="N15" s="3"/>
    </row>
    <row r="16" spans="1:14">
      <c r="A16" s="63">
        <f>'B5'!A16</f>
        <v>44116</v>
      </c>
      <c r="B16" s="76">
        <f>'B5'!V16</f>
        <v>111</v>
      </c>
      <c r="C16" s="76">
        <f>'B5'!AH16</f>
        <v>0</v>
      </c>
      <c r="D16" s="76">
        <f>GEN!AI14</f>
        <v>514.76793248945148</v>
      </c>
      <c r="E16" s="244">
        <f t="shared" si="0"/>
        <v>625.76793248945148</v>
      </c>
      <c r="F16" s="75">
        <f>WATER!L16</f>
        <v>0</v>
      </c>
      <c r="G16" s="78">
        <f>WATER!BG16</f>
        <v>-13.899999999999991</v>
      </c>
      <c r="H16" s="79">
        <f>ELEC!AF14</f>
        <v>2472</v>
      </c>
      <c r="I16" s="79">
        <f>ELEC!Q14</f>
        <v>2000</v>
      </c>
      <c r="J16" s="79">
        <f>ELEC!R14</f>
        <v>9193</v>
      </c>
      <c r="K16" s="3"/>
      <c r="L16" s="3"/>
      <c r="M16" s="3"/>
      <c r="N16" s="3"/>
    </row>
    <row r="17" spans="1:14">
      <c r="A17" s="63">
        <f>'B5'!A17</f>
        <v>44117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4">
        <f t="shared" si="0"/>
        <v>514.76793248945148</v>
      </c>
      <c r="F17" s="75">
        <f>WATER!L17</f>
        <v>0</v>
      </c>
      <c r="G17" s="78">
        <f>WATER!BG17</f>
        <v>25.700000000000003</v>
      </c>
      <c r="H17" s="79">
        <f>ELEC!AF15</f>
        <v>2273</v>
      </c>
      <c r="I17" s="79">
        <f>ELEC!Q15</f>
        <v>2000</v>
      </c>
      <c r="J17" s="79">
        <f>ELEC!R15</f>
        <v>9177</v>
      </c>
      <c r="K17" s="3"/>
      <c r="L17" s="3"/>
      <c r="M17" s="3"/>
      <c r="N17" s="3"/>
    </row>
    <row r="18" spans="1:14">
      <c r="A18" s="63">
        <f>'B5'!A18</f>
        <v>44118</v>
      </c>
      <c r="B18" s="76">
        <f>'B5'!V18</f>
        <v>126</v>
      </c>
      <c r="C18" s="76">
        <f>'B5'!AH18</f>
        <v>0</v>
      </c>
      <c r="D18" s="76">
        <f>GEN!AI16</f>
        <v>772.15189873417728</v>
      </c>
      <c r="E18" s="244">
        <f t="shared" si="0"/>
        <v>898.15189873417728</v>
      </c>
      <c r="F18" s="75">
        <f>WATER!L18</f>
        <v>0</v>
      </c>
      <c r="G18" s="78">
        <f>WATER!BG18</f>
        <v>-14.000000000000007</v>
      </c>
      <c r="H18" s="79">
        <f>ELEC!AF16</f>
        <v>1960</v>
      </c>
      <c r="I18" s="79">
        <f>ELEC!Q16</f>
        <v>3000</v>
      </c>
      <c r="J18" s="79">
        <f>ELEC!R16</f>
        <v>7182</v>
      </c>
      <c r="K18" s="3"/>
      <c r="L18" s="3"/>
      <c r="M18" s="3"/>
      <c r="N18" s="3"/>
    </row>
    <row r="19" spans="1:14">
      <c r="A19" s="63">
        <f>'B5'!A19</f>
        <v>44119</v>
      </c>
      <c r="B19" s="76">
        <f>'B5'!V19</f>
        <v>211</v>
      </c>
      <c r="C19" s="76">
        <f>'B5'!AH19</f>
        <v>0</v>
      </c>
      <c r="D19" s="76">
        <f>GEN!AI17</f>
        <v>514.76793248945148</v>
      </c>
      <c r="E19" s="244">
        <f t="shared" si="0"/>
        <v>725.76793248945148</v>
      </c>
      <c r="F19" s="75">
        <f>WATER!L19</f>
        <v>0</v>
      </c>
      <c r="G19" s="78">
        <f>WATER!BG19</f>
        <v>120.3</v>
      </c>
      <c r="H19" s="79">
        <f>ELEC!AF17</f>
        <v>2085</v>
      </c>
      <c r="I19" s="79">
        <f>ELEC!Q17</f>
        <v>2000</v>
      </c>
      <c r="J19" s="79">
        <f>ELEC!R17</f>
        <v>7917</v>
      </c>
      <c r="K19" s="3"/>
      <c r="L19" s="3"/>
      <c r="M19" s="3"/>
      <c r="N19" s="3"/>
    </row>
    <row r="20" spans="1:14">
      <c r="A20" s="63">
        <f>'B5'!A20</f>
        <v>44120</v>
      </c>
      <c r="B20" s="76">
        <f>'B5'!V20</f>
        <v>79</v>
      </c>
      <c r="C20" s="76">
        <f>'B5'!AH20</f>
        <v>0</v>
      </c>
      <c r="D20" s="76">
        <f>GEN!AI18</f>
        <v>257.38396624472574</v>
      </c>
      <c r="E20" s="244">
        <f t="shared" si="0"/>
        <v>336.38396624472574</v>
      </c>
      <c r="F20" s="75">
        <f>WATER!L20</f>
        <v>0</v>
      </c>
      <c r="G20" s="78">
        <f>WATER!BG20</f>
        <v>-21.5</v>
      </c>
      <c r="H20" s="79">
        <f>ELEC!AF18</f>
        <v>1658</v>
      </c>
      <c r="I20" s="79">
        <f>ELEC!Q18</f>
        <v>1000</v>
      </c>
      <c r="J20" s="79">
        <f>ELEC!R18</f>
        <v>8359</v>
      </c>
      <c r="K20" s="3"/>
      <c r="L20" s="3"/>
      <c r="M20" s="3"/>
      <c r="N20" s="3"/>
    </row>
    <row r="21" spans="1:14">
      <c r="A21" s="63">
        <f>'B5'!A21</f>
        <v>44121</v>
      </c>
      <c r="B21" s="76">
        <f>'B5'!V21</f>
        <v>173</v>
      </c>
      <c r="C21" s="76">
        <f>'B5'!AH21</f>
        <v>0</v>
      </c>
      <c r="D21" s="76">
        <f>GEN!AI19</f>
        <v>257.38396624472574</v>
      </c>
      <c r="E21" s="244">
        <f t="shared" si="0"/>
        <v>430.38396624472574</v>
      </c>
      <c r="F21" s="75">
        <f>WATER!L21</f>
        <v>13</v>
      </c>
      <c r="G21" s="78">
        <f>WATER!BG21</f>
        <v>-33.199999999999989</v>
      </c>
      <c r="H21" s="79">
        <f>ELEC!AF19</f>
        <v>1630</v>
      </c>
      <c r="I21" s="79">
        <f>ELEC!Q19</f>
        <v>1000</v>
      </c>
      <c r="J21" s="79">
        <f>ELEC!R19</f>
        <v>8178</v>
      </c>
      <c r="K21" s="3"/>
      <c r="L21" s="3"/>
      <c r="M21" s="3"/>
      <c r="N21" s="3"/>
    </row>
    <row r="22" spans="1:14">
      <c r="A22" s="63">
        <f>'B5'!A22</f>
        <v>44122</v>
      </c>
      <c r="B22" s="76">
        <f>'B5'!V22</f>
        <v>141</v>
      </c>
      <c r="C22" s="76">
        <f>'B5'!AH22</f>
        <v>0</v>
      </c>
      <c r="D22" s="76">
        <f>GEN!AI20</f>
        <v>514.76793248945148</v>
      </c>
      <c r="E22" s="244">
        <f t="shared" si="0"/>
        <v>655.76793248945148</v>
      </c>
      <c r="F22" s="75">
        <f>WATER!L22</f>
        <v>3</v>
      </c>
      <c r="G22" s="78">
        <f>WATER!BG22</f>
        <v>-47.1</v>
      </c>
      <c r="H22" s="79">
        <f>ELEC!AF20</f>
        <v>1362</v>
      </c>
      <c r="I22" s="79">
        <f>ELEC!Q20</f>
        <v>2000</v>
      </c>
      <c r="J22" s="79">
        <f>ELEC!R20</f>
        <v>6824</v>
      </c>
      <c r="K22" s="3"/>
      <c r="L22" s="3"/>
      <c r="M22" s="3"/>
      <c r="N22" s="3"/>
    </row>
    <row r="23" spans="1:14">
      <c r="A23" s="63">
        <f>'B5'!A23</f>
        <v>44123</v>
      </c>
      <c r="B23" s="76">
        <f>'B5'!V23</f>
        <v>121</v>
      </c>
      <c r="C23" s="76">
        <f>'B5'!AH23</f>
        <v>0</v>
      </c>
      <c r="D23" s="76">
        <f>GEN!AI21</f>
        <v>514.76793248945148</v>
      </c>
      <c r="E23" s="244">
        <f t="shared" si="0"/>
        <v>635.76793248945148</v>
      </c>
      <c r="F23" s="75">
        <f>WATER!L23</f>
        <v>0</v>
      </c>
      <c r="G23" s="78">
        <f>WATER!BG23</f>
        <v>99.6</v>
      </c>
      <c r="H23" s="79">
        <f>ELEC!AF21</f>
        <v>1351</v>
      </c>
      <c r="I23" s="79">
        <f>ELEC!Q21</f>
        <v>2000</v>
      </c>
      <c r="J23" s="79">
        <f>ELEC!R21</f>
        <v>7544</v>
      </c>
      <c r="K23" s="3"/>
      <c r="L23" s="3"/>
      <c r="M23" s="3"/>
      <c r="N23" s="3"/>
    </row>
    <row r="24" spans="1:14">
      <c r="A24" s="63">
        <f>'B5'!A24</f>
        <v>44124</v>
      </c>
      <c r="B24" s="76">
        <f>'B5'!V24</f>
        <v>122</v>
      </c>
      <c r="C24" s="76">
        <f>'B5'!AH24</f>
        <v>0</v>
      </c>
      <c r="D24" s="76">
        <f>GEN!AI22</f>
        <v>514.76793248945148</v>
      </c>
      <c r="E24" s="244">
        <f t="shared" si="0"/>
        <v>636.76793248945148</v>
      </c>
      <c r="F24" s="75">
        <f>WATER!L24</f>
        <v>3</v>
      </c>
      <c r="G24" s="78">
        <f>WATER!BG24</f>
        <v>68.499999999999972</v>
      </c>
      <c r="H24" s="79">
        <f>ELEC!AF22</f>
        <v>2330</v>
      </c>
      <c r="I24" s="79">
        <f>ELEC!Q22</f>
        <v>2000</v>
      </c>
      <c r="J24" s="79">
        <f>ELEC!R22</f>
        <v>7684</v>
      </c>
      <c r="K24" s="3"/>
      <c r="L24" s="3"/>
      <c r="M24" s="3"/>
      <c r="N24" s="3"/>
    </row>
    <row r="25" spans="1:14">
      <c r="A25" s="63">
        <f>'B5'!A25</f>
        <v>44125</v>
      </c>
      <c r="B25" s="76">
        <f>'B5'!V25</f>
        <v>136</v>
      </c>
      <c r="C25" s="76">
        <f>'B5'!AH25</f>
        <v>0</v>
      </c>
      <c r="D25" s="76">
        <f>GEN!AI23</f>
        <v>1029.535864978903</v>
      </c>
      <c r="E25" s="244">
        <f t="shared" si="0"/>
        <v>1165.535864978903</v>
      </c>
      <c r="F25" s="75">
        <f>WATER!L25</f>
        <v>3</v>
      </c>
      <c r="G25" s="78">
        <f>WATER!BG25</f>
        <v>38.900000000000034</v>
      </c>
      <c r="H25" s="79">
        <f>ELEC!AF23</f>
        <v>2036</v>
      </c>
      <c r="I25" s="79">
        <f>ELEC!Q23</f>
        <v>4000</v>
      </c>
      <c r="J25" s="79">
        <f>ELEC!R23</f>
        <v>5285</v>
      </c>
      <c r="K25" s="3"/>
      <c r="L25" s="3"/>
      <c r="M25" s="3"/>
      <c r="N25" s="3"/>
    </row>
    <row r="26" spans="1:14">
      <c r="A26" s="63">
        <f>'B5'!A26</f>
        <v>44126</v>
      </c>
      <c r="B26" s="76">
        <f>'B5'!V26</f>
        <v>114</v>
      </c>
      <c r="C26" s="76">
        <f>'B5'!AH26</f>
        <v>0</v>
      </c>
      <c r="D26" s="76">
        <f>GEN!AI24</f>
        <v>772.15189873417728</v>
      </c>
      <c r="E26" s="244">
        <f t="shared" si="0"/>
        <v>886.15189873417728</v>
      </c>
      <c r="F26" s="75">
        <f>WATER!L26</f>
        <v>7</v>
      </c>
      <c r="G26" s="78">
        <f>WATER!BG26</f>
        <v>-17.600000000000001</v>
      </c>
      <c r="H26" s="79">
        <f>ELEC!AF24</f>
        <v>1600</v>
      </c>
      <c r="I26" s="79">
        <f>ELEC!Q24</f>
        <v>3000</v>
      </c>
      <c r="J26" s="79">
        <f>ELEC!R24</f>
        <v>7813</v>
      </c>
      <c r="K26" s="3"/>
      <c r="L26" s="3"/>
      <c r="M26" s="3"/>
      <c r="N26" s="3"/>
    </row>
    <row r="27" spans="1:14">
      <c r="A27" s="63">
        <f>'B5'!A27</f>
        <v>44127</v>
      </c>
      <c r="B27" s="76">
        <f>'B5'!V27</f>
        <v>121</v>
      </c>
      <c r="C27" s="76">
        <f>'B5'!AH27</f>
        <v>0</v>
      </c>
      <c r="D27" s="76">
        <f>GEN!AI25</f>
        <v>257.38396624472574</v>
      </c>
      <c r="E27" s="244">
        <f t="shared" si="0"/>
        <v>378.38396624472574</v>
      </c>
      <c r="F27" s="75">
        <f>WATER!L27</f>
        <v>4</v>
      </c>
      <c r="G27" s="78">
        <f>WATER!BG27</f>
        <v>-220.3</v>
      </c>
      <c r="H27" s="79">
        <f>ELEC!AF25</f>
        <v>2979</v>
      </c>
      <c r="I27" s="79">
        <f>ELEC!Q25</f>
        <v>1000</v>
      </c>
      <c r="J27" s="79">
        <f>ELEC!R25</f>
        <v>10168</v>
      </c>
      <c r="K27" s="3"/>
      <c r="L27" s="3"/>
      <c r="M27" s="3"/>
      <c r="N27" s="3"/>
    </row>
    <row r="28" spans="1:14">
      <c r="A28" s="63">
        <f>'B5'!A28</f>
        <v>44128</v>
      </c>
      <c r="B28" s="76">
        <f>'B5'!V28</f>
        <v>85</v>
      </c>
      <c r="C28" s="76">
        <f>'B5'!AH28</f>
        <v>0</v>
      </c>
      <c r="D28" s="76">
        <f>GEN!AI26</f>
        <v>514.76793248945148</v>
      </c>
      <c r="E28" s="244">
        <f t="shared" si="0"/>
        <v>599.76793248945148</v>
      </c>
      <c r="F28" s="75">
        <f>WATER!L28</f>
        <v>3</v>
      </c>
      <c r="G28" s="78">
        <f>WATER!BG28</f>
        <v>-17.100000000000009</v>
      </c>
      <c r="H28" s="79">
        <f>ELEC!AF26</f>
        <v>1542</v>
      </c>
      <c r="I28" s="79">
        <f>ELEC!Q26</f>
        <v>2000</v>
      </c>
      <c r="J28" s="79">
        <f>ELEC!R26</f>
        <v>7035</v>
      </c>
      <c r="K28" s="3"/>
      <c r="L28" s="3"/>
      <c r="M28" s="3"/>
      <c r="N28" s="3"/>
    </row>
    <row r="29" spans="1:14">
      <c r="A29" s="63">
        <f>'B5'!A29</f>
        <v>44129</v>
      </c>
      <c r="B29" s="76">
        <f>'B5'!V29</f>
        <v>148</v>
      </c>
      <c r="C29" s="76">
        <f>'B5'!AH29</f>
        <v>0</v>
      </c>
      <c r="D29" s="76">
        <f>GEN!AI27</f>
        <v>514.76793248945148</v>
      </c>
      <c r="E29" s="77">
        <f t="shared" si="0"/>
        <v>662.76793248945148</v>
      </c>
      <c r="F29" s="75">
        <f>WATER!L29</f>
        <v>7</v>
      </c>
      <c r="G29" s="78">
        <f>WATER!BG29</f>
        <v>16.000000000000014</v>
      </c>
      <c r="H29" s="79">
        <f>ELEC!AF27</f>
        <v>2126</v>
      </c>
      <c r="I29" s="79">
        <f>ELEC!Q27</f>
        <v>2000</v>
      </c>
      <c r="J29" s="79">
        <f>ELEC!R27</f>
        <v>8172</v>
      </c>
      <c r="K29" s="3"/>
      <c r="L29" s="3"/>
      <c r="M29" s="3"/>
      <c r="N29" s="3"/>
    </row>
    <row r="30" spans="1:14">
      <c r="A30" s="63">
        <f>'B5'!A30</f>
        <v>44130</v>
      </c>
      <c r="B30" s="76">
        <f>'B5'!V30</f>
        <v>159</v>
      </c>
      <c r="C30" s="76">
        <f>'B5'!AH30</f>
        <v>0</v>
      </c>
      <c r="D30" s="76">
        <f>GEN!AI28</f>
        <v>514.76793248945148</v>
      </c>
      <c r="E30" s="77">
        <f t="shared" si="0"/>
        <v>673.76793248945148</v>
      </c>
      <c r="F30" s="75">
        <f>WATER!L30</f>
        <v>13</v>
      </c>
      <c r="G30" s="78">
        <f>WATER!BG30</f>
        <v>-34.299999999999997</v>
      </c>
      <c r="H30" s="79">
        <f>ELEC!AF28</f>
        <v>1794</v>
      </c>
      <c r="I30" s="79">
        <f>ELEC!Q28</f>
        <v>2000</v>
      </c>
      <c r="J30" s="79">
        <f>ELEC!R28</f>
        <v>7306</v>
      </c>
      <c r="K30" s="3"/>
      <c r="L30" s="3"/>
      <c r="M30" s="3"/>
      <c r="N30" s="3"/>
    </row>
    <row r="31" spans="1:14">
      <c r="A31" s="63">
        <f>'B5'!A31</f>
        <v>44131</v>
      </c>
      <c r="B31" s="76">
        <f>'B5'!V31</f>
        <v>165</v>
      </c>
      <c r="C31" s="76">
        <f>'B5'!AH31</f>
        <v>0</v>
      </c>
      <c r="D31" s="76">
        <f>GEN!AI29</f>
        <v>772.15189873417728</v>
      </c>
      <c r="E31" s="77">
        <f t="shared" si="0"/>
        <v>937.15189873417728</v>
      </c>
      <c r="F31" s="75">
        <f>WATER!L31</f>
        <v>12</v>
      </c>
      <c r="G31" s="78">
        <f>WATER!BG31</f>
        <v>22.300000000000011</v>
      </c>
      <c r="H31" s="79">
        <f>ELEC!AF29</f>
        <v>2215</v>
      </c>
      <c r="I31" s="79">
        <f>ELEC!Q29</f>
        <v>3000</v>
      </c>
      <c r="J31" s="79">
        <f>ELEC!R29</f>
        <v>7645</v>
      </c>
      <c r="K31" s="3"/>
      <c r="L31" s="3"/>
      <c r="M31" s="3"/>
      <c r="N31" s="3"/>
    </row>
    <row r="32" spans="1:14">
      <c r="A32" s="63">
        <f>'B5'!A32</f>
        <v>44132</v>
      </c>
      <c r="B32" s="76">
        <f>'B5'!V32</f>
        <v>172</v>
      </c>
      <c r="C32" s="76">
        <f>'B5'!AH32</f>
        <v>0</v>
      </c>
      <c r="D32" s="76">
        <f>GEN!AI30</f>
        <v>514.76793248945148</v>
      </c>
      <c r="E32" s="77">
        <f t="shared" si="0"/>
        <v>686.76793248945148</v>
      </c>
      <c r="F32" s="75">
        <f>WATER!L32</f>
        <v>6</v>
      </c>
      <c r="G32" s="78">
        <f>WATER!BG32</f>
        <v>0</v>
      </c>
      <c r="H32" s="79">
        <f>ELEC!AF30</f>
        <v>2067</v>
      </c>
      <c r="I32" s="79">
        <f>ELEC!Q30</f>
        <v>2000</v>
      </c>
      <c r="J32" s="79">
        <f>ELEC!R30</f>
        <v>8433</v>
      </c>
      <c r="K32" s="3"/>
      <c r="L32" s="3"/>
      <c r="M32" s="3"/>
      <c r="N32" s="3"/>
    </row>
    <row r="33" spans="1:14">
      <c r="A33" s="63">
        <f>'B5'!A33</f>
        <v>44133</v>
      </c>
      <c r="B33" s="76">
        <f>'B5'!V33</f>
        <v>165</v>
      </c>
      <c r="C33" s="76">
        <f>'B5'!AH33</f>
        <v>0</v>
      </c>
      <c r="D33" s="76">
        <f>GEN!AI31</f>
        <v>514.76793248945148</v>
      </c>
      <c r="E33" s="77">
        <f t="shared" si="0"/>
        <v>679.76793248945148</v>
      </c>
      <c r="F33" s="75">
        <f>WATER!L33</f>
        <v>7</v>
      </c>
      <c r="G33" s="78">
        <f>WATER!BG33</f>
        <v>-11.299999999999997</v>
      </c>
      <c r="H33" s="79">
        <f>ELEC!AF31</f>
        <v>2462</v>
      </c>
      <c r="I33" s="79">
        <f>ELEC!Q31</f>
        <v>2000</v>
      </c>
      <c r="J33" s="79">
        <f>ELEC!R31</f>
        <v>8482</v>
      </c>
      <c r="K33" s="3"/>
      <c r="L33" s="3"/>
      <c r="M33" s="3"/>
      <c r="N33" s="3"/>
    </row>
    <row r="34" spans="1:14">
      <c r="A34" s="63">
        <f>'B5'!A34</f>
        <v>44134</v>
      </c>
      <c r="B34" s="76">
        <f>'B5'!V34</f>
        <v>0</v>
      </c>
      <c r="C34" s="76">
        <f>'B5'!AH34</f>
        <v>0</v>
      </c>
      <c r="D34" s="76">
        <f>GEN!AI32</f>
        <v>257.38396624472574</v>
      </c>
      <c r="E34" s="77">
        <f>B34+C34+D34</f>
        <v>257.38396624472574</v>
      </c>
      <c r="F34" s="75">
        <f>WATER!L34</f>
        <v>14</v>
      </c>
      <c r="G34" s="78">
        <f>WATER!BG34</f>
        <v>43.8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4" t="s">
        <v>151</v>
      </c>
      <c r="U3" s="664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2</v>
      </c>
      <c r="E26">
        <f t="shared" si="0"/>
        <v>180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2</v>
      </c>
      <c r="E27">
        <f t="shared" si="0"/>
        <v>180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2</v>
      </c>
      <c r="E31">
        <f t="shared" si="0"/>
        <v>180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2</v>
      </c>
      <c r="E32">
        <f t="shared" si="0"/>
        <v>180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3</v>
      </c>
      <c r="E33">
        <f t="shared" si="0"/>
        <v>270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2</v>
      </c>
      <c r="E34">
        <f t="shared" si="0"/>
        <v>180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4" activePane="bottomLeft" state="frozen"/>
      <selection pane="bottomLeft" activeCell="T32" sqref="T32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3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3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3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44104</v>
      </c>
      <c r="B2" s="272">
        <f>[2]GEN!B32</f>
        <v>9208</v>
      </c>
      <c r="C2" s="272">
        <f>[2]GEN!C32</f>
        <v>6</v>
      </c>
      <c r="D2" s="272">
        <f>[2]GEN!D32</f>
        <v>244563</v>
      </c>
      <c r="E2" s="272">
        <f>[2]GEN!E32</f>
        <v>1004</v>
      </c>
      <c r="F2" s="272">
        <f>[2]GEN!F32</f>
        <v>167.33333333333334</v>
      </c>
      <c r="G2" s="272">
        <f>[2]GEN!G32</f>
        <v>0</v>
      </c>
      <c r="H2" s="272">
        <f>[2]GEN!H32</f>
        <v>9298</v>
      </c>
      <c r="I2" s="272" t="str">
        <f>[2]GEN!I32</f>
        <v>ok</v>
      </c>
      <c r="J2" s="272">
        <f>[2]GEN!J32</f>
        <v>10698</v>
      </c>
      <c r="K2" s="272">
        <f>[2]GEN!K32</f>
        <v>0</v>
      </c>
      <c r="L2" s="272">
        <f>[2]GEN!L32</f>
        <v>238500</v>
      </c>
      <c r="M2" s="272">
        <f>[2]GEN!M32</f>
        <v>0</v>
      </c>
      <c r="N2" s="272">
        <f>[2]GEN!N32</f>
        <v>0</v>
      </c>
      <c r="O2" s="272">
        <f>[2]GEN!O32</f>
        <v>0</v>
      </c>
      <c r="P2" s="272">
        <f>[2]GEN!P32</f>
        <v>10873</v>
      </c>
      <c r="Q2" s="272" t="str">
        <f>[2]GEN!Q32</f>
        <v>ok</v>
      </c>
      <c r="R2" s="272">
        <f>[2]GEN!R32</f>
        <v>11705</v>
      </c>
      <c r="S2" s="272">
        <f>[2]GEN!S32</f>
        <v>0</v>
      </c>
      <c r="T2" s="272">
        <f>[2]GEN!T32</f>
        <v>357658</v>
      </c>
      <c r="U2" s="272">
        <f>[2]GEN!U32</f>
        <v>0</v>
      </c>
      <c r="V2" s="272">
        <f>[2]GEN!V32</f>
        <v>0</v>
      </c>
      <c r="W2" s="272">
        <f>[2]GEN!W32</f>
        <v>0</v>
      </c>
      <c r="X2" s="272">
        <f>[2]GEN!X32</f>
        <v>12609</v>
      </c>
      <c r="Y2" s="272" t="str">
        <f>[2]GEN!Y32</f>
        <v>ok</v>
      </c>
      <c r="Z2" s="272">
        <f>[2]GEN!Z32</f>
        <v>6</v>
      </c>
      <c r="AA2" s="272">
        <f>[2]GEN!AA32</f>
        <v>1004</v>
      </c>
      <c r="AB2" s="272">
        <f>[2]GEN!AB32</f>
        <v>167.33333333333334</v>
      </c>
      <c r="AC2" s="272">
        <f>[2]GEN!AC32</f>
        <v>167.33333333333334</v>
      </c>
      <c r="AD2" s="272">
        <f>[2]GEN!AD32</f>
        <v>4000</v>
      </c>
      <c r="AE2" s="272">
        <f>[2]GEN!AE32</f>
        <v>666.66666666666663</v>
      </c>
      <c r="AF2" s="272">
        <f>[2]GEN!AF32</f>
        <v>0.41666666666666663</v>
      </c>
      <c r="AG2" s="272">
        <f>[2]GEN!AG32</f>
        <v>133.33333333333331</v>
      </c>
      <c r="AH2" s="272">
        <f>[2]GEN!AH32</f>
        <v>34.000000000000028</v>
      </c>
      <c r="AI2" s="272">
        <f>[2]GEN!AI32</f>
        <v>1029.535864978903</v>
      </c>
      <c r="AJ2" s="272">
        <f>[2]GEN!AJ32</f>
        <v>0.25738396624472576</v>
      </c>
      <c r="AK2" s="272">
        <f>[2]GEN!AK32</f>
        <v>171.58931082981715</v>
      </c>
    </row>
    <row r="3" spans="1:37" ht="15.75" thickBot="1">
      <c r="A3" s="4">
        <f>ELEC!C3</f>
        <v>44105</v>
      </c>
      <c r="B3" s="560">
        <v>9211</v>
      </c>
      <c r="C3" s="290">
        <f>B3-B2</f>
        <v>3</v>
      </c>
      <c r="D3" s="561">
        <v>245152</v>
      </c>
      <c r="E3" s="290">
        <f>SUM(D3-D2)</f>
        <v>589</v>
      </c>
      <c r="F3" s="290">
        <f t="shared" ref="F3:F32" si="0">IF(C3&gt;0,E3/C3,0)</f>
        <v>196.33333333333334</v>
      </c>
      <c r="G3" s="272">
        <f>[4]GEN!G32</f>
        <v>0</v>
      </c>
      <c r="H3" s="291">
        <f>H2+180</f>
        <v>9478</v>
      </c>
      <c r="I3" s="290" t="str">
        <f t="shared" ref="I3:I32" si="1">IF(B3-H3&lt;=0,"ok","oil change")</f>
        <v>ok</v>
      </c>
      <c r="J3" s="561">
        <f>J2</f>
        <v>10698</v>
      </c>
      <c r="K3" s="290">
        <f t="shared" ref="K3:K31" si="2">J3-J2</f>
        <v>0</v>
      </c>
      <c r="L3" s="561">
        <f>L2</f>
        <v>238500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61">
        <f>R2</f>
        <v>11705</v>
      </c>
      <c r="S3" s="290">
        <f t="shared" ref="S3:S32" si="5">R3-R2</f>
        <v>0</v>
      </c>
      <c r="T3" s="561">
        <v>357664</v>
      </c>
      <c r="U3" s="290">
        <f t="shared" ref="U3:U19" si="6">SUM(T3-T2)</f>
        <v>6</v>
      </c>
      <c r="V3" s="290">
        <f>IF(S3&gt;0,U3/S3,0)</f>
        <v>0</v>
      </c>
      <c r="W3" s="272">
        <f>[4]GEN!W32</f>
        <v>0</v>
      </c>
      <c r="X3" s="291">
        <f>X2</f>
        <v>12609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595</v>
      </c>
      <c r="AB3" s="290">
        <f>V3+N3+F3</f>
        <v>196.33333333333334</v>
      </c>
      <c r="AC3" s="290">
        <f>IF(Z3&gt;0,AA3/Z3,0)</f>
        <v>198.33333333333334</v>
      </c>
      <c r="AD3" s="73">
        <f>ELEC!Q3</f>
        <v>2000</v>
      </c>
      <c r="AE3" s="73">
        <f>SUM(AD3/Z3)</f>
        <v>666.66666666666663</v>
      </c>
      <c r="AF3" s="407">
        <f>SUM(AE3/1600)</f>
        <v>0.41666666666666663</v>
      </c>
      <c r="AG3" s="408">
        <f>SUM(360*AF3)</f>
        <v>150</v>
      </c>
      <c r="AH3" s="408">
        <f>SUM(AC3-AG3)</f>
        <v>48.333333333333343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44106</v>
      </c>
      <c r="B4" s="560">
        <f t="shared" ref="B4:B33" si="11">B3</f>
        <v>9211</v>
      </c>
      <c r="C4" s="290">
        <f t="shared" ref="C4:C32" si="12">B4-B3</f>
        <v>0</v>
      </c>
      <c r="D4" s="561">
        <f t="shared" ref="D4:D33" si="13">D3</f>
        <v>245152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9478</v>
      </c>
      <c r="I4" s="290" t="str">
        <f t="shared" si="1"/>
        <v>ok</v>
      </c>
      <c r="J4" s="561">
        <f t="shared" ref="J4:J33" si="16">J3</f>
        <v>10698</v>
      </c>
      <c r="K4" s="290">
        <f t="shared" si="2"/>
        <v>0</v>
      </c>
      <c r="L4" s="561">
        <f t="shared" ref="L4:L32" si="17">L3</f>
        <v>238500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61">
        <f t="shared" ref="R4:R33" si="20">R3</f>
        <v>11705</v>
      </c>
      <c r="S4" s="290">
        <f t="shared" si="5"/>
        <v>0</v>
      </c>
      <c r="T4" s="561">
        <v>357664</v>
      </c>
      <c r="U4" s="290">
        <f t="shared" si="6"/>
        <v>0</v>
      </c>
      <c r="V4" s="290">
        <f t="shared" ref="V4:V32" si="21">IF(S4&gt;0,U4/S4,0)</f>
        <v>0</v>
      </c>
      <c r="W4" s="197"/>
      <c r="X4" s="291">
        <f t="shared" ref="X4:X33" si="22">X3</f>
        <v>12609</v>
      </c>
      <c r="Y4" s="290" t="str">
        <f t="shared" si="7"/>
        <v>ok</v>
      </c>
      <c r="Z4" s="290">
        <f>C4+K4+S4</f>
        <v>0</v>
      </c>
      <c r="AA4" s="290">
        <f t="shared" ref="AA4:AA32" si="23">U4+M4+E4</f>
        <v>0</v>
      </c>
      <c r="AB4" s="290">
        <f t="shared" ref="AB4:AB32" si="24">V4+N4+F4</f>
        <v>0</v>
      </c>
      <c r="AC4" s="290">
        <f t="shared" ref="AC4:AC32" si="25">IF(Z4&gt;0,AA4/Z4,0)</f>
        <v>0</v>
      </c>
      <c r="AD4" s="73">
        <f>ELEC!Q4</f>
        <v>0</v>
      </c>
      <c r="AE4" s="73" t="e">
        <f>SUM(AD4/Z4)</f>
        <v>#DIV/0!</v>
      </c>
      <c r="AF4" s="407" t="e">
        <f>SUM(AE4/1600)</f>
        <v>#DIV/0!</v>
      </c>
      <c r="AG4" s="408" t="e">
        <f>SUM(360*AF4)</f>
        <v>#DIV/0!</v>
      </c>
      <c r="AH4" s="408" t="e">
        <f t="shared" ref="AH4:AH32" si="26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44107</v>
      </c>
      <c r="B5" s="560">
        <v>9214</v>
      </c>
      <c r="C5" s="290">
        <f t="shared" si="12"/>
        <v>3</v>
      </c>
      <c r="D5" s="561">
        <v>245883</v>
      </c>
      <c r="E5" s="290">
        <f t="shared" si="14"/>
        <v>731</v>
      </c>
      <c r="F5" s="290">
        <f t="shared" si="0"/>
        <v>243.66666666666666</v>
      </c>
      <c r="G5" s="288"/>
      <c r="H5" s="291">
        <f>H4</f>
        <v>9478</v>
      </c>
      <c r="I5" s="290" t="str">
        <f t="shared" si="1"/>
        <v>ok</v>
      </c>
      <c r="J5" s="561">
        <f t="shared" si="16"/>
        <v>10698</v>
      </c>
      <c r="K5" s="290">
        <f t="shared" si="2"/>
        <v>0</v>
      </c>
      <c r="L5" s="561">
        <f t="shared" si="17"/>
        <v>238500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61">
        <f t="shared" si="20"/>
        <v>11705</v>
      </c>
      <c r="S5" s="290">
        <f t="shared" si="5"/>
        <v>0</v>
      </c>
      <c r="T5" s="561">
        <f t="shared" ref="T5:T33" si="27">T4</f>
        <v>357664</v>
      </c>
      <c r="U5" s="290">
        <f t="shared" si="6"/>
        <v>0</v>
      </c>
      <c r="V5" s="290">
        <f>IF(S5&gt;0,U5/S5,0)</f>
        <v>0</v>
      </c>
      <c r="W5" s="197"/>
      <c r="X5" s="291">
        <f t="shared" si="22"/>
        <v>12609</v>
      </c>
      <c r="Y5" s="290" t="str">
        <f t="shared" si="7"/>
        <v>ok</v>
      </c>
      <c r="Z5" s="290">
        <f t="shared" si="8"/>
        <v>3</v>
      </c>
      <c r="AA5" s="290">
        <f t="shared" si="23"/>
        <v>731</v>
      </c>
      <c r="AB5" s="290">
        <f t="shared" si="24"/>
        <v>243.66666666666666</v>
      </c>
      <c r="AC5" s="290">
        <f t="shared" si="25"/>
        <v>243.66666666666666</v>
      </c>
      <c r="AD5" s="73">
        <f>ELEC!Q5</f>
        <v>1000</v>
      </c>
      <c r="AE5" s="73">
        <f t="shared" ref="AE5:AE32" si="28">SUM(AD5/Z5)</f>
        <v>333.33333333333331</v>
      </c>
      <c r="AF5" s="407">
        <f t="shared" ref="AF5:AF32" si="29">SUM(AE5/1600)</f>
        <v>0.20833333333333331</v>
      </c>
      <c r="AG5" s="408">
        <f t="shared" ref="AG5:AG32" si="30">SUM(320*AF5)</f>
        <v>66.666666666666657</v>
      </c>
      <c r="AH5" s="408">
        <f t="shared" si="26"/>
        <v>177</v>
      </c>
      <c r="AI5" s="73">
        <f t="shared" ref="AI5:AI32" si="31">AD5*AJ5</f>
        <v>257.38396624472574</v>
      </c>
      <c r="AJ5" s="292">
        <f t="shared" si="9"/>
        <v>0.25738396624472576</v>
      </c>
      <c r="AK5" s="292">
        <f t="shared" si="10"/>
        <v>85.794655414908576</v>
      </c>
    </row>
    <row r="6" spans="1:37" ht="15.75" thickBot="1">
      <c r="A6" s="4">
        <f>ELEC!C6</f>
        <v>44108</v>
      </c>
      <c r="B6" s="560">
        <v>9218</v>
      </c>
      <c r="C6" s="290">
        <f t="shared" si="12"/>
        <v>4</v>
      </c>
      <c r="D6" s="561">
        <v>246617</v>
      </c>
      <c r="E6" s="290">
        <f t="shared" si="14"/>
        <v>734</v>
      </c>
      <c r="F6" s="290">
        <f t="shared" si="0"/>
        <v>183.5</v>
      </c>
      <c r="G6" s="197"/>
      <c r="H6" s="291">
        <v>9298</v>
      </c>
      <c r="I6" s="290" t="str">
        <f t="shared" si="1"/>
        <v>ok</v>
      </c>
      <c r="J6" s="561">
        <f t="shared" si="16"/>
        <v>10698</v>
      </c>
      <c r="K6" s="290">
        <f t="shared" si="2"/>
        <v>0</v>
      </c>
      <c r="L6" s="561">
        <f t="shared" si="17"/>
        <v>238500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61">
        <f t="shared" si="20"/>
        <v>11705</v>
      </c>
      <c r="S6" s="290">
        <f t="shared" si="5"/>
        <v>0</v>
      </c>
      <c r="T6" s="561">
        <f t="shared" si="27"/>
        <v>357664</v>
      </c>
      <c r="U6" s="290">
        <f t="shared" si="6"/>
        <v>0</v>
      </c>
      <c r="V6" s="290">
        <f t="shared" si="21"/>
        <v>0</v>
      </c>
      <c r="W6" s="310"/>
      <c r="X6" s="291">
        <f t="shared" si="22"/>
        <v>12609</v>
      </c>
      <c r="Y6" s="290" t="str">
        <f t="shared" si="7"/>
        <v>ok</v>
      </c>
      <c r="Z6" s="290">
        <f t="shared" si="8"/>
        <v>4</v>
      </c>
      <c r="AA6" s="290">
        <f t="shared" si="23"/>
        <v>734</v>
      </c>
      <c r="AB6" s="290">
        <f t="shared" si="24"/>
        <v>183.5</v>
      </c>
      <c r="AC6" s="290">
        <f t="shared" si="25"/>
        <v>183.5</v>
      </c>
      <c r="AD6" s="73">
        <f>ELEC!Q6</f>
        <v>2000</v>
      </c>
      <c r="AE6" s="73">
        <f>SUM(AD6/Z6)</f>
        <v>500</v>
      </c>
      <c r="AF6" s="407">
        <f t="shared" si="29"/>
        <v>0.3125</v>
      </c>
      <c r="AG6" s="408">
        <f>SUM(320*AF6)</f>
        <v>100</v>
      </c>
      <c r="AH6" s="408">
        <f t="shared" si="26"/>
        <v>83.5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44109</v>
      </c>
      <c r="B7" s="560">
        <v>9221</v>
      </c>
      <c r="C7" s="290">
        <f t="shared" si="12"/>
        <v>3</v>
      </c>
      <c r="D7" s="561">
        <v>247280</v>
      </c>
      <c r="E7" s="290">
        <f t="shared" si="14"/>
        <v>663</v>
      </c>
      <c r="F7" s="290">
        <f t="shared" si="0"/>
        <v>221</v>
      </c>
      <c r="G7" s="197"/>
      <c r="H7" s="291">
        <f t="shared" si="15"/>
        <v>9298</v>
      </c>
      <c r="I7" s="290" t="str">
        <f t="shared" si="1"/>
        <v>ok</v>
      </c>
      <c r="J7" s="561">
        <f t="shared" si="16"/>
        <v>10698</v>
      </c>
      <c r="K7" s="290">
        <f t="shared" si="2"/>
        <v>0</v>
      </c>
      <c r="L7" s="561">
        <f t="shared" si="17"/>
        <v>238500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61">
        <v>11705</v>
      </c>
      <c r="S7" s="290">
        <f t="shared" si="5"/>
        <v>0</v>
      </c>
      <c r="T7" s="561">
        <f t="shared" si="27"/>
        <v>357664</v>
      </c>
      <c r="U7" s="290">
        <f t="shared" si="6"/>
        <v>0</v>
      </c>
      <c r="V7" s="290">
        <f t="shared" si="21"/>
        <v>0</v>
      </c>
      <c r="W7" s="197"/>
      <c r="X7" s="291">
        <f t="shared" si="22"/>
        <v>12609</v>
      </c>
      <c r="Y7" s="290" t="str">
        <f t="shared" si="7"/>
        <v>ok</v>
      </c>
      <c r="Z7" s="290">
        <f t="shared" si="8"/>
        <v>3</v>
      </c>
      <c r="AA7" s="290">
        <f>U7+M7+E7</f>
        <v>663</v>
      </c>
      <c r="AB7" s="290">
        <f t="shared" si="24"/>
        <v>221</v>
      </c>
      <c r="AC7" s="290">
        <f t="shared" si="25"/>
        <v>221</v>
      </c>
      <c r="AD7" s="73">
        <f>ELEC!Q7</f>
        <v>2000</v>
      </c>
      <c r="AE7" s="73">
        <f t="shared" si="28"/>
        <v>666.66666666666663</v>
      </c>
      <c r="AF7" s="407">
        <f t="shared" si="29"/>
        <v>0.41666666666666663</v>
      </c>
      <c r="AG7" s="512" t="s">
        <v>405</v>
      </c>
      <c r="AH7" s="408" t="e">
        <f t="shared" si="26"/>
        <v>#VALUE!</v>
      </c>
      <c r="AI7" s="73">
        <f t="shared" si="31"/>
        <v>514.76793248945148</v>
      </c>
      <c r="AJ7" s="292">
        <f t="shared" si="9"/>
        <v>0.25738396624472576</v>
      </c>
      <c r="AK7" s="292">
        <f t="shared" si="10"/>
        <v>171.58931082981715</v>
      </c>
    </row>
    <row r="8" spans="1:37" ht="15.75" thickBot="1">
      <c r="A8" s="4">
        <f>ELEC!C8</f>
        <v>44110</v>
      </c>
      <c r="B8" s="560">
        <v>9224</v>
      </c>
      <c r="C8" s="290">
        <f t="shared" si="12"/>
        <v>3</v>
      </c>
      <c r="D8" s="561">
        <v>247938</v>
      </c>
      <c r="E8" s="290">
        <f t="shared" si="14"/>
        <v>658</v>
      </c>
      <c r="F8" s="290">
        <f t="shared" si="0"/>
        <v>219.33333333333334</v>
      </c>
      <c r="G8" s="197"/>
      <c r="H8" s="291">
        <f t="shared" si="15"/>
        <v>9298</v>
      </c>
      <c r="I8" s="290" t="str">
        <f t="shared" si="1"/>
        <v>ok</v>
      </c>
      <c r="J8" s="561">
        <f t="shared" si="16"/>
        <v>10698</v>
      </c>
      <c r="K8" s="290">
        <f t="shared" si="2"/>
        <v>0</v>
      </c>
      <c r="L8" s="561">
        <f t="shared" si="17"/>
        <v>238500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61">
        <f t="shared" si="20"/>
        <v>11705</v>
      </c>
      <c r="S8" s="290">
        <f t="shared" si="5"/>
        <v>0</v>
      </c>
      <c r="T8" s="561">
        <f t="shared" si="27"/>
        <v>357664</v>
      </c>
      <c r="U8" s="290">
        <f t="shared" si="6"/>
        <v>0</v>
      </c>
      <c r="V8" s="290">
        <f t="shared" si="21"/>
        <v>0</v>
      </c>
      <c r="W8" s="197"/>
      <c r="X8" s="291">
        <f t="shared" si="22"/>
        <v>12609</v>
      </c>
      <c r="Y8" s="290" t="str">
        <f t="shared" si="7"/>
        <v>ok</v>
      </c>
      <c r="Z8" s="290">
        <f t="shared" si="8"/>
        <v>3</v>
      </c>
      <c r="AA8" s="290">
        <f t="shared" si="23"/>
        <v>658</v>
      </c>
      <c r="AB8" s="290">
        <f t="shared" si="24"/>
        <v>219.33333333333334</v>
      </c>
      <c r="AC8" s="290">
        <f t="shared" si="25"/>
        <v>219.33333333333334</v>
      </c>
      <c r="AD8" s="73">
        <f>ELEC!Q8</f>
        <v>1000</v>
      </c>
      <c r="AE8" s="73">
        <f t="shared" si="28"/>
        <v>333.33333333333331</v>
      </c>
      <c r="AF8" s="407">
        <f t="shared" si="29"/>
        <v>0.20833333333333331</v>
      </c>
      <c r="AG8" s="408">
        <f t="shared" si="30"/>
        <v>66.666666666666657</v>
      </c>
      <c r="AH8" s="408">
        <f t="shared" si="26"/>
        <v>152.66666666666669</v>
      </c>
      <c r="AI8" s="73">
        <f t="shared" si="31"/>
        <v>257.38396624472574</v>
      </c>
      <c r="AJ8" s="292">
        <f t="shared" si="9"/>
        <v>0.25738396624472576</v>
      </c>
      <c r="AK8" s="292">
        <f t="shared" si="10"/>
        <v>85.794655414908576</v>
      </c>
    </row>
    <row r="9" spans="1:37" ht="15.75" thickBot="1">
      <c r="A9" s="4">
        <f>ELEC!C9</f>
        <v>44111</v>
      </c>
      <c r="B9" s="560">
        <v>9227</v>
      </c>
      <c r="C9" s="290">
        <f t="shared" si="12"/>
        <v>3</v>
      </c>
      <c r="D9" s="561">
        <v>248648</v>
      </c>
      <c r="E9" s="290">
        <f t="shared" si="14"/>
        <v>710</v>
      </c>
      <c r="F9" s="290">
        <f t="shared" si="0"/>
        <v>236.66666666666666</v>
      </c>
      <c r="G9" s="197"/>
      <c r="H9" s="291">
        <f t="shared" si="15"/>
        <v>9298</v>
      </c>
      <c r="I9" s="290" t="str">
        <f t="shared" si="1"/>
        <v>ok</v>
      </c>
      <c r="J9" s="561">
        <v>10698</v>
      </c>
      <c r="K9" s="290">
        <f t="shared" si="2"/>
        <v>0</v>
      </c>
      <c r="L9" s="561">
        <f t="shared" si="17"/>
        <v>238500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61">
        <f t="shared" si="20"/>
        <v>11705</v>
      </c>
      <c r="S9" s="290">
        <f t="shared" si="5"/>
        <v>0</v>
      </c>
      <c r="T9" s="561">
        <f t="shared" si="27"/>
        <v>357664</v>
      </c>
      <c r="U9" s="290">
        <f t="shared" si="6"/>
        <v>0</v>
      </c>
      <c r="V9" s="290">
        <f t="shared" si="21"/>
        <v>0</v>
      </c>
      <c r="W9" s="197"/>
      <c r="X9" s="291">
        <f t="shared" si="22"/>
        <v>12609</v>
      </c>
      <c r="Y9" s="290" t="str">
        <f t="shared" si="7"/>
        <v>ok</v>
      </c>
      <c r="Z9" s="290">
        <f t="shared" si="8"/>
        <v>3</v>
      </c>
      <c r="AA9" s="290">
        <f t="shared" si="23"/>
        <v>710</v>
      </c>
      <c r="AB9" s="290">
        <f t="shared" si="24"/>
        <v>236.66666666666666</v>
      </c>
      <c r="AC9" s="290">
        <f t="shared" si="25"/>
        <v>236.66666666666666</v>
      </c>
      <c r="AD9" s="73">
        <f>ELEC!Q9</f>
        <v>2000</v>
      </c>
      <c r="AE9" s="73">
        <f t="shared" si="28"/>
        <v>666.66666666666663</v>
      </c>
      <c r="AF9" s="407">
        <f t="shared" si="29"/>
        <v>0.41666666666666663</v>
      </c>
      <c r="AG9" s="408">
        <f t="shared" si="30"/>
        <v>133.33333333333331</v>
      </c>
      <c r="AH9" s="408">
        <f t="shared" si="26"/>
        <v>103.33333333333334</v>
      </c>
      <c r="AI9" s="73">
        <f t="shared" si="31"/>
        <v>514.76793248945148</v>
      </c>
      <c r="AJ9" s="292">
        <v>0.25738396624472576</v>
      </c>
      <c r="AK9" s="292">
        <f t="shared" ref="AK9:AK16" si="32">IF(Z9&gt;0,AI9/Z9,0)</f>
        <v>171.58931082981715</v>
      </c>
    </row>
    <row r="10" spans="1:37" ht="15.75" thickBot="1">
      <c r="A10" s="4">
        <f>ELEC!C10</f>
        <v>44112</v>
      </c>
      <c r="B10" s="560">
        <v>9230</v>
      </c>
      <c r="C10" s="290">
        <f t="shared" si="12"/>
        <v>3</v>
      </c>
      <c r="D10" s="561">
        <v>249332</v>
      </c>
      <c r="E10" s="290">
        <f t="shared" si="14"/>
        <v>684</v>
      </c>
      <c r="F10" s="290">
        <f t="shared" si="0"/>
        <v>228</v>
      </c>
      <c r="G10" s="197"/>
      <c r="H10" s="291">
        <f t="shared" si="15"/>
        <v>9298</v>
      </c>
      <c r="I10" s="290" t="str">
        <f t="shared" si="1"/>
        <v>ok</v>
      </c>
      <c r="J10" s="561">
        <f t="shared" si="16"/>
        <v>10698</v>
      </c>
      <c r="K10" s="290">
        <f t="shared" si="2"/>
        <v>0</v>
      </c>
      <c r="L10" s="561">
        <f t="shared" si="17"/>
        <v>238500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61">
        <f t="shared" si="20"/>
        <v>11705</v>
      </c>
      <c r="S10" s="290">
        <f t="shared" si="5"/>
        <v>0</v>
      </c>
      <c r="T10" s="561">
        <f t="shared" si="27"/>
        <v>357664</v>
      </c>
      <c r="U10" s="290">
        <f t="shared" si="6"/>
        <v>0</v>
      </c>
      <c r="V10" s="290">
        <f t="shared" si="21"/>
        <v>0</v>
      </c>
      <c r="W10" s="197"/>
      <c r="X10" s="291">
        <f t="shared" si="22"/>
        <v>12609</v>
      </c>
      <c r="Y10" s="290" t="str">
        <f t="shared" si="7"/>
        <v>ok</v>
      </c>
      <c r="Z10" s="290">
        <f t="shared" si="8"/>
        <v>3</v>
      </c>
      <c r="AA10" s="290">
        <f t="shared" si="23"/>
        <v>684</v>
      </c>
      <c r="AB10" s="290">
        <f t="shared" si="24"/>
        <v>228</v>
      </c>
      <c r="AC10" s="290">
        <f t="shared" si="25"/>
        <v>228</v>
      </c>
      <c r="AD10" s="73">
        <f>ELEC!Q10</f>
        <v>2000</v>
      </c>
      <c r="AE10" s="73">
        <f t="shared" si="28"/>
        <v>666.66666666666663</v>
      </c>
      <c r="AF10" s="407">
        <f t="shared" si="29"/>
        <v>0.41666666666666663</v>
      </c>
      <c r="AG10" s="408">
        <f t="shared" si="30"/>
        <v>133.33333333333331</v>
      </c>
      <c r="AH10" s="408">
        <f t="shared" si="26"/>
        <v>94.666666666666686</v>
      </c>
      <c r="AI10" s="73">
        <f t="shared" si="31"/>
        <v>514.76793248945148</v>
      </c>
      <c r="AJ10" s="292">
        <f t="shared" si="9"/>
        <v>0.25738396624472576</v>
      </c>
      <c r="AK10" s="292">
        <f t="shared" si="32"/>
        <v>171.58931082981715</v>
      </c>
    </row>
    <row r="11" spans="1:37" ht="15.75" thickBot="1">
      <c r="A11" s="4">
        <f>ELEC!C11</f>
        <v>44113</v>
      </c>
      <c r="B11" s="560">
        <v>9234</v>
      </c>
      <c r="C11" s="290">
        <f t="shared" si="12"/>
        <v>4</v>
      </c>
      <c r="D11" s="561">
        <v>250031</v>
      </c>
      <c r="E11" s="290">
        <f t="shared" si="14"/>
        <v>699</v>
      </c>
      <c r="F11" s="290">
        <f t="shared" si="0"/>
        <v>174.75</v>
      </c>
      <c r="G11" s="197"/>
      <c r="H11" s="291">
        <f t="shared" si="15"/>
        <v>9298</v>
      </c>
      <c r="I11" s="290" t="str">
        <f t="shared" si="1"/>
        <v>ok</v>
      </c>
      <c r="J11" s="561">
        <f t="shared" si="16"/>
        <v>10698</v>
      </c>
      <c r="K11" s="290">
        <f t="shared" si="2"/>
        <v>0</v>
      </c>
      <c r="L11" s="561">
        <f t="shared" si="17"/>
        <v>238500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561">
        <v>11705</v>
      </c>
      <c r="S11" s="290">
        <f t="shared" si="5"/>
        <v>0</v>
      </c>
      <c r="T11" s="561">
        <f t="shared" si="27"/>
        <v>357664</v>
      </c>
      <c r="U11" s="290">
        <f t="shared" si="6"/>
        <v>0</v>
      </c>
      <c r="V11" s="290">
        <f t="shared" si="21"/>
        <v>0</v>
      </c>
      <c r="W11" s="197"/>
      <c r="X11" s="291">
        <f t="shared" si="22"/>
        <v>12609</v>
      </c>
      <c r="Y11" s="290" t="str">
        <f t="shared" si="7"/>
        <v>ok</v>
      </c>
      <c r="Z11" s="290">
        <f t="shared" si="8"/>
        <v>4</v>
      </c>
      <c r="AA11" s="290">
        <f t="shared" si="23"/>
        <v>699</v>
      </c>
      <c r="AB11" s="290">
        <f t="shared" si="24"/>
        <v>174.75</v>
      </c>
      <c r="AC11" s="290">
        <f t="shared" si="25"/>
        <v>174.75</v>
      </c>
      <c r="AD11" s="73">
        <f>ELEC!Q11</f>
        <v>2000</v>
      </c>
      <c r="AE11" s="73">
        <f t="shared" si="28"/>
        <v>500</v>
      </c>
      <c r="AF11" s="407">
        <f t="shared" si="29"/>
        <v>0.3125</v>
      </c>
      <c r="AG11" s="408">
        <f t="shared" si="30"/>
        <v>100</v>
      </c>
      <c r="AH11" s="408">
        <f t="shared" si="26"/>
        <v>74.75</v>
      </c>
      <c r="AI11" s="73">
        <f t="shared" si="31"/>
        <v>514.76793248945148</v>
      </c>
      <c r="AJ11" s="292">
        <f t="shared" si="9"/>
        <v>0.25738396624472576</v>
      </c>
      <c r="AK11" s="292">
        <f t="shared" si="32"/>
        <v>128.69198312236287</v>
      </c>
    </row>
    <row r="12" spans="1:37" ht="15.75" thickBot="1">
      <c r="A12" s="4">
        <f>ELEC!C12</f>
        <v>44114</v>
      </c>
      <c r="B12" s="560">
        <v>9237</v>
      </c>
      <c r="C12" s="290">
        <f t="shared" si="12"/>
        <v>3</v>
      </c>
      <c r="D12" s="561">
        <v>250700</v>
      </c>
      <c r="E12" s="290">
        <f t="shared" si="14"/>
        <v>669</v>
      </c>
      <c r="F12" s="290">
        <f t="shared" si="0"/>
        <v>223</v>
      </c>
      <c r="G12" s="197"/>
      <c r="H12" s="291">
        <f t="shared" si="15"/>
        <v>9298</v>
      </c>
      <c r="I12" s="290" t="str">
        <f t="shared" si="1"/>
        <v>ok</v>
      </c>
      <c r="J12" s="561">
        <f t="shared" si="16"/>
        <v>10698</v>
      </c>
      <c r="K12" s="290">
        <f t="shared" si="2"/>
        <v>0</v>
      </c>
      <c r="L12" s="561">
        <f t="shared" si="17"/>
        <v>238500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61">
        <f t="shared" si="20"/>
        <v>11705</v>
      </c>
      <c r="S12" s="290">
        <f t="shared" si="5"/>
        <v>0</v>
      </c>
      <c r="T12" s="561">
        <f t="shared" si="27"/>
        <v>357664</v>
      </c>
      <c r="U12" s="290">
        <f t="shared" si="6"/>
        <v>0</v>
      </c>
      <c r="V12" s="290">
        <f t="shared" si="21"/>
        <v>0</v>
      </c>
      <c r="W12" s="197"/>
      <c r="X12" s="291">
        <f t="shared" si="22"/>
        <v>12609</v>
      </c>
      <c r="Y12" s="290" t="str">
        <f t="shared" si="7"/>
        <v>ok</v>
      </c>
      <c r="Z12" s="290">
        <f t="shared" si="8"/>
        <v>3</v>
      </c>
      <c r="AA12" s="290">
        <f t="shared" si="23"/>
        <v>669</v>
      </c>
      <c r="AB12" s="290">
        <f t="shared" si="24"/>
        <v>223</v>
      </c>
      <c r="AC12" s="290">
        <f t="shared" si="25"/>
        <v>223</v>
      </c>
      <c r="AD12" s="73">
        <f>ELEC!Q12</f>
        <v>1000</v>
      </c>
      <c r="AE12" s="73">
        <f t="shared" si="28"/>
        <v>333.33333333333331</v>
      </c>
      <c r="AF12" s="407">
        <f t="shared" si="29"/>
        <v>0.20833333333333331</v>
      </c>
      <c r="AG12" s="408">
        <f t="shared" si="30"/>
        <v>66.666666666666657</v>
      </c>
      <c r="AH12" s="408">
        <f t="shared" si="26"/>
        <v>156.33333333333334</v>
      </c>
      <c r="AI12" s="73">
        <f t="shared" si="31"/>
        <v>257.38396624472574</v>
      </c>
      <c r="AJ12" s="292">
        <f t="shared" si="9"/>
        <v>0.25738396624472576</v>
      </c>
      <c r="AK12" s="292">
        <f t="shared" si="32"/>
        <v>85.794655414908576</v>
      </c>
    </row>
    <row r="13" spans="1:37" ht="15.75" thickBot="1">
      <c r="A13" s="4">
        <f>ELEC!C13</f>
        <v>44115</v>
      </c>
      <c r="B13" s="560">
        <v>9240</v>
      </c>
      <c r="C13" s="290">
        <f t="shared" si="12"/>
        <v>3</v>
      </c>
      <c r="D13" s="561">
        <v>251465</v>
      </c>
      <c r="E13" s="290">
        <f t="shared" si="14"/>
        <v>765</v>
      </c>
      <c r="F13" s="290">
        <f t="shared" si="0"/>
        <v>255</v>
      </c>
      <c r="G13" s="197"/>
      <c r="H13" s="291">
        <f t="shared" si="15"/>
        <v>9298</v>
      </c>
      <c r="I13" s="290" t="str">
        <f t="shared" si="1"/>
        <v>ok</v>
      </c>
      <c r="J13" s="561">
        <f t="shared" si="16"/>
        <v>10698</v>
      </c>
      <c r="K13" s="290">
        <f t="shared" si="2"/>
        <v>0</v>
      </c>
      <c r="L13" s="561">
        <f t="shared" si="17"/>
        <v>238500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61">
        <f t="shared" si="20"/>
        <v>11705</v>
      </c>
      <c r="S13" s="290">
        <f t="shared" si="5"/>
        <v>0</v>
      </c>
      <c r="T13" s="561">
        <f t="shared" si="27"/>
        <v>357664</v>
      </c>
      <c r="U13" s="290">
        <f t="shared" si="6"/>
        <v>0</v>
      </c>
      <c r="V13" s="290">
        <f t="shared" si="21"/>
        <v>0</v>
      </c>
      <c r="W13" s="197"/>
      <c r="X13" s="291">
        <f>X12+180</f>
        <v>12789</v>
      </c>
      <c r="Y13" s="290" t="str">
        <f t="shared" si="7"/>
        <v>ok</v>
      </c>
      <c r="Z13" s="290">
        <f t="shared" si="8"/>
        <v>3</v>
      </c>
      <c r="AA13" s="290">
        <f t="shared" si="23"/>
        <v>765</v>
      </c>
      <c r="AB13" s="290">
        <f t="shared" si="24"/>
        <v>255</v>
      </c>
      <c r="AC13" s="290">
        <f t="shared" si="25"/>
        <v>255</v>
      </c>
      <c r="AD13" s="73">
        <f>ELEC!Q13</f>
        <v>2000</v>
      </c>
      <c r="AE13" s="73">
        <f t="shared" si="28"/>
        <v>666.66666666666663</v>
      </c>
      <c r="AF13" s="407">
        <f t="shared" si="29"/>
        <v>0.41666666666666663</v>
      </c>
      <c r="AG13" s="408">
        <f t="shared" si="30"/>
        <v>133.33333333333331</v>
      </c>
      <c r="AH13" s="408">
        <f t="shared" si="26"/>
        <v>121.66666666666669</v>
      </c>
      <c r="AI13" s="73">
        <f t="shared" si="31"/>
        <v>514.76793248945148</v>
      </c>
      <c r="AJ13" s="292">
        <f t="shared" si="9"/>
        <v>0.25738396624472576</v>
      </c>
      <c r="AK13" s="292">
        <f t="shared" si="32"/>
        <v>171.58931082981715</v>
      </c>
    </row>
    <row r="14" spans="1:37" ht="15.75" thickBot="1">
      <c r="A14" s="4">
        <f>ELEC!C14</f>
        <v>44116</v>
      </c>
      <c r="B14" s="560">
        <v>9243</v>
      </c>
      <c r="C14" s="290">
        <f t="shared" si="12"/>
        <v>3</v>
      </c>
      <c r="D14" s="561">
        <v>252166</v>
      </c>
      <c r="E14" s="290">
        <f t="shared" si="14"/>
        <v>701</v>
      </c>
      <c r="F14" s="290">
        <f t="shared" si="0"/>
        <v>233.66666666666666</v>
      </c>
      <c r="G14" s="197"/>
      <c r="H14" s="291">
        <f t="shared" si="15"/>
        <v>9298</v>
      </c>
      <c r="I14" s="290" t="str">
        <f t="shared" si="1"/>
        <v>ok</v>
      </c>
      <c r="J14" s="561">
        <f t="shared" si="16"/>
        <v>10698</v>
      </c>
      <c r="K14" s="290">
        <f t="shared" si="2"/>
        <v>0</v>
      </c>
      <c r="L14" s="561">
        <f t="shared" si="17"/>
        <v>238500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61">
        <f t="shared" si="20"/>
        <v>11705</v>
      </c>
      <c r="S14" s="290">
        <f t="shared" si="5"/>
        <v>0</v>
      </c>
      <c r="T14" s="561">
        <f t="shared" si="27"/>
        <v>357664</v>
      </c>
      <c r="U14" s="290">
        <f t="shared" si="6"/>
        <v>0</v>
      </c>
      <c r="V14" s="290">
        <f t="shared" si="21"/>
        <v>0</v>
      </c>
      <c r="W14" s="197"/>
      <c r="X14" s="291">
        <f t="shared" si="22"/>
        <v>12789</v>
      </c>
      <c r="Y14" s="290" t="str">
        <f t="shared" si="7"/>
        <v>ok</v>
      </c>
      <c r="Z14" s="290">
        <f t="shared" si="8"/>
        <v>3</v>
      </c>
      <c r="AA14" s="290">
        <f t="shared" si="23"/>
        <v>701</v>
      </c>
      <c r="AB14" s="290">
        <f t="shared" si="24"/>
        <v>233.66666666666666</v>
      </c>
      <c r="AC14" s="290">
        <f t="shared" si="25"/>
        <v>233.66666666666666</v>
      </c>
      <c r="AD14" s="73">
        <f>ELEC!Q14</f>
        <v>2000</v>
      </c>
      <c r="AE14" s="73">
        <f t="shared" si="28"/>
        <v>666.66666666666663</v>
      </c>
      <c r="AF14" s="407">
        <f t="shared" si="29"/>
        <v>0.41666666666666663</v>
      </c>
      <c r="AG14" s="408">
        <f t="shared" si="30"/>
        <v>133.33333333333331</v>
      </c>
      <c r="AH14" s="408">
        <f t="shared" si="26"/>
        <v>100.33333333333334</v>
      </c>
      <c r="AI14" s="73">
        <f t="shared" si="31"/>
        <v>514.76793248945148</v>
      </c>
      <c r="AJ14" s="292">
        <f t="shared" si="9"/>
        <v>0.25738396624472576</v>
      </c>
      <c r="AK14" s="292">
        <f t="shared" si="32"/>
        <v>171.58931082981715</v>
      </c>
    </row>
    <row r="15" spans="1:37" ht="15.75" thickBot="1">
      <c r="A15" s="4">
        <f>ELEC!C15</f>
        <v>44117</v>
      </c>
      <c r="B15" s="612">
        <v>9246</v>
      </c>
      <c r="C15" s="290">
        <f t="shared" si="12"/>
        <v>3</v>
      </c>
      <c r="D15" s="272">
        <v>252744</v>
      </c>
      <c r="E15" s="290">
        <f t="shared" si="14"/>
        <v>578</v>
      </c>
      <c r="F15" s="290">
        <f t="shared" si="0"/>
        <v>192.66666666666666</v>
      </c>
      <c r="G15" s="197"/>
      <c r="H15" s="291">
        <f t="shared" si="15"/>
        <v>9298</v>
      </c>
      <c r="I15" s="290" t="str">
        <f t="shared" si="1"/>
        <v>ok</v>
      </c>
      <c r="J15" s="561">
        <f t="shared" si="16"/>
        <v>10698</v>
      </c>
      <c r="K15" s="290">
        <f t="shared" si="2"/>
        <v>0</v>
      </c>
      <c r="L15" s="561">
        <f t="shared" si="17"/>
        <v>238500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61">
        <f t="shared" si="20"/>
        <v>11705</v>
      </c>
      <c r="S15" s="290">
        <f t="shared" si="5"/>
        <v>0</v>
      </c>
      <c r="T15" s="561">
        <f t="shared" si="27"/>
        <v>357664</v>
      </c>
      <c r="U15" s="290">
        <f t="shared" si="6"/>
        <v>0</v>
      </c>
      <c r="V15" s="290">
        <f t="shared" si="21"/>
        <v>0</v>
      </c>
      <c r="W15" s="197"/>
      <c r="X15" s="291">
        <f t="shared" si="22"/>
        <v>12789</v>
      </c>
      <c r="Y15" s="290" t="str">
        <f t="shared" si="7"/>
        <v>ok</v>
      </c>
      <c r="Z15" s="290">
        <f t="shared" si="8"/>
        <v>3</v>
      </c>
      <c r="AA15" s="290">
        <f t="shared" si="23"/>
        <v>578</v>
      </c>
      <c r="AB15" s="290">
        <f t="shared" si="24"/>
        <v>192.66666666666666</v>
      </c>
      <c r="AC15" s="290">
        <f t="shared" si="25"/>
        <v>192.66666666666666</v>
      </c>
      <c r="AD15" s="73">
        <f>ELEC!Q15</f>
        <v>2000</v>
      </c>
      <c r="AE15" s="73">
        <f t="shared" si="28"/>
        <v>666.66666666666663</v>
      </c>
      <c r="AF15" s="407">
        <f t="shared" si="29"/>
        <v>0.41666666666666663</v>
      </c>
      <c r="AG15" s="408">
        <f t="shared" si="30"/>
        <v>133.33333333333331</v>
      </c>
      <c r="AH15" s="408">
        <f t="shared" si="26"/>
        <v>59.333333333333343</v>
      </c>
      <c r="AI15" s="73">
        <f t="shared" si="31"/>
        <v>514.76793248945148</v>
      </c>
      <c r="AJ15" s="292">
        <f t="shared" si="9"/>
        <v>0.25738396624472576</v>
      </c>
      <c r="AK15" s="292">
        <f t="shared" si="32"/>
        <v>171.58931082981715</v>
      </c>
    </row>
    <row r="16" spans="1:37" ht="15.75" thickBot="1">
      <c r="A16" s="4">
        <f>ELEC!C16</f>
        <v>44118</v>
      </c>
      <c r="B16" s="560">
        <v>9251</v>
      </c>
      <c r="C16" s="290">
        <f t="shared" si="12"/>
        <v>5</v>
      </c>
      <c r="D16" s="561">
        <v>253512</v>
      </c>
      <c r="E16" s="290">
        <f t="shared" si="14"/>
        <v>768</v>
      </c>
      <c r="F16" s="290">
        <f t="shared" si="0"/>
        <v>153.6</v>
      </c>
      <c r="G16" s="197"/>
      <c r="H16" s="291">
        <f t="shared" si="15"/>
        <v>9298</v>
      </c>
      <c r="I16" s="290" t="str">
        <f t="shared" si="1"/>
        <v>ok</v>
      </c>
      <c r="J16" s="561">
        <f>J15</f>
        <v>10698</v>
      </c>
      <c r="K16" s="290">
        <f t="shared" si="2"/>
        <v>0</v>
      </c>
      <c r="L16" s="561">
        <f t="shared" si="17"/>
        <v>238500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61">
        <v>11705</v>
      </c>
      <c r="S16" s="290">
        <f t="shared" si="5"/>
        <v>0</v>
      </c>
      <c r="T16" s="561">
        <f t="shared" si="27"/>
        <v>357664</v>
      </c>
      <c r="U16" s="290">
        <f t="shared" si="6"/>
        <v>0</v>
      </c>
      <c r="V16" s="290">
        <f t="shared" si="21"/>
        <v>0</v>
      </c>
      <c r="W16" s="197"/>
      <c r="X16" s="291">
        <f t="shared" si="22"/>
        <v>12789</v>
      </c>
      <c r="Y16" s="290" t="str">
        <f t="shared" si="7"/>
        <v>ok</v>
      </c>
      <c r="Z16" s="290">
        <f t="shared" si="8"/>
        <v>5</v>
      </c>
      <c r="AA16" s="290">
        <f t="shared" si="23"/>
        <v>768</v>
      </c>
      <c r="AB16" s="290">
        <f t="shared" si="24"/>
        <v>153.6</v>
      </c>
      <c r="AC16" s="290">
        <f t="shared" si="25"/>
        <v>153.6</v>
      </c>
      <c r="AD16" s="73">
        <f>ELEC!Q16</f>
        <v>3000</v>
      </c>
      <c r="AE16" s="73">
        <f t="shared" si="28"/>
        <v>600</v>
      </c>
      <c r="AF16" s="407">
        <f t="shared" si="29"/>
        <v>0.375</v>
      </c>
      <c r="AG16" s="408">
        <f t="shared" si="30"/>
        <v>120</v>
      </c>
      <c r="AH16" s="408">
        <f t="shared" si="26"/>
        <v>33.599999999999994</v>
      </c>
      <c r="AI16" s="73">
        <f t="shared" si="31"/>
        <v>772.15189873417728</v>
      </c>
      <c r="AJ16" s="292">
        <f t="shared" si="9"/>
        <v>0.25738396624472576</v>
      </c>
      <c r="AK16" s="292">
        <f t="shared" si="32"/>
        <v>154.43037974683546</v>
      </c>
    </row>
    <row r="17" spans="1:37" ht="15.75" thickBot="1">
      <c r="A17" s="4">
        <f>ELEC!C17</f>
        <v>44119</v>
      </c>
      <c r="B17" s="560">
        <v>9254</v>
      </c>
      <c r="C17" s="290">
        <f t="shared" si="12"/>
        <v>3</v>
      </c>
      <c r="D17" s="561">
        <v>254236</v>
      </c>
      <c r="E17" s="290">
        <f t="shared" si="14"/>
        <v>724</v>
      </c>
      <c r="F17" s="290">
        <f t="shared" si="0"/>
        <v>241.33333333333334</v>
      </c>
      <c r="G17" s="197"/>
      <c r="H17" s="291">
        <f t="shared" si="15"/>
        <v>9298</v>
      </c>
      <c r="I17" s="290" t="str">
        <f t="shared" si="1"/>
        <v>ok</v>
      </c>
      <c r="J17" s="561">
        <f t="shared" si="16"/>
        <v>10698</v>
      </c>
      <c r="K17" s="290">
        <f t="shared" si="2"/>
        <v>0</v>
      </c>
      <c r="L17" s="561">
        <f t="shared" si="17"/>
        <v>238500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61">
        <f t="shared" si="20"/>
        <v>11705</v>
      </c>
      <c r="S17" s="290">
        <f t="shared" si="5"/>
        <v>0</v>
      </c>
      <c r="T17" s="561">
        <f t="shared" si="27"/>
        <v>357664</v>
      </c>
      <c r="U17" s="290">
        <f t="shared" si="6"/>
        <v>0</v>
      </c>
      <c r="V17" s="290">
        <f t="shared" si="21"/>
        <v>0</v>
      </c>
      <c r="W17" s="197"/>
      <c r="X17" s="291">
        <f t="shared" si="22"/>
        <v>12789</v>
      </c>
      <c r="Y17" s="290" t="str">
        <f t="shared" si="7"/>
        <v>ok</v>
      </c>
      <c r="Z17" s="290">
        <f t="shared" si="8"/>
        <v>3</v>
      </c>
      <c r="AA17" s="290">
        <f t="shared" si="23"/>
        <v>724</v>
      </c>
      <c r="AB17" s="290">
        <f t="shared" si="24"/>
        <v>241.33333333333334</v>
      </c>
      <c r="AC17" s="290">
        <f t="shared" si="25"/>
        <v>241.33333333333334</v>
      </c>
      <c r="AD17" s="73">
        <f>ELEC!Q17</f>
        <v>2000</v>
      </c>
      <c r="AE17" s="73">
        <f t="shared" si="28"/>
        <v>666.66666666666663</v>
      </c>
      <c r="AF17" s="407">
        <f t="shared" si="29"/>
        <v>0.41666666666666663</v>
      </c>
      <c r="AG17" s="408">
        <f t="shared" si="30"/>
        <v>133.33333333333331</v>
      </c>
      <c r="AH17" s="408">
        <f t="shared" si="26"/>
        <v>108.00000000000003</v>
      </c>
      <c r="AI17" s="73">
        <f t="shared" si="31"/>
        <v>514.76793248945148</v>
      </c>
      <c r="AJ17" s="292">
        <f t="shared" si="9"/>
        <v>0.25738396624472576</v>
      </c>
      <c r="AK17" s="292">
        <f t="shared" ref="AK17:AK32" si="33">IF(Z17&gt;0,AI17/Z17,0)</f>
        <v>171.58931082981715</v>
      </c>
    </row>
    <row r="18" spans="1:37" ht="15.75" thickBot="1">
      <c r="A18" s="4">
        <f>ELEC!C18</f>
        <v>44120</v>
      </c>
      <c r="B18" s="560">
        <v>9257</v>
      </c>
      <c r="C18" s="290">
        <f t="shared" si="12"/>
        <v>3</v>
      </c>
      <c r="D18" s="561">
        <v>254942</v>
      </c>
      <c r="E18" s="290">
        <f t="shared" si="14"/>
        <v>706</v>
      </c>
      <c r="F18" s="290">
        <f t="shared" si="0"/>
        <v>235.33333333333334</v>
      </c>
      <c r="G18" s="197"/>
      <c r="H18" s="291">
        <f t="shared" si="15"/>
        <v>9298</v>
      </c>
      <c r="I18" s="290" t="str">
        <f t="shared" si="1"/>
        <v>ok</v>
      </c>
      <c r="J18" s="561">
        <f t="shared" si="16"/>
        <v>10698</v>
      </c>
      <c r="K18" s="290">
        <f t="shared" si="2"/>
        <v>0</v>
      </c>
      <c r="L18" s="561">
        <f t="shared" si="17"/>
        <v>238500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61">
        <f t="shared" si="20"/>
        <v>11705</v>
      </c>
      <c r="S18" s="290">
        <f t="shared" si="5"/>
        <v>0</v>
      </c>
      <c r="T18" s="561">
        <f t="shared" si="27"/>
        <v>357664</v>
      </c>
      <c r="U18" s="290">
        <f t="shared" si="6"/>
        <v>0</v>
      </c>
      <c r="V18" s="290">
        <f t="shared" si="21"/>
        <v>0</v>
      </c>
      <c r="W18" s="341"/>
      <c r="X18" s="291">
        <f t="shared" si="22"/>
        <v>12789</v>
      </c>
      <c r="Y18" s="290" t="str">
        <f t="shared" si="7"/>
        <v>ok</v>
      </c>
      <c r="Z18" s="290">
        <f t="shared" si="8"/>
        <v>3</v>
      </c>
      <c r="AA18" s="290">
        <f t="shared" si="23"/>
        <v>706</v>
      </c>
      <c r="AB18" s="290">
        <f t="shared" si="24"/>
        <v>235.33333333333334</v>
      </c>
      <c r="AC18" s="290">
        <f t="shared" si="25"/>
        <v>235.33333333333334</v>
      </c>
      <c r="AD18" s="73">
        <f>ELEC!Q18</f>
        <v>1000</v>
      </c>
      <c r="AE18" s="73">
        <f t="shared" si="28"/>
        <v>333.33333333333331</v>
      </c>
      <c r="AF18" s="407">
        <f t="shared" si="29"/>
        <v>0.20833333333333331</v>
      </c>
      <c r="AG18" s="408">
        <f t="shared" si="30"/>
        <v>66.666666666666657</v>
      </c>
      <c r="AH18" s="408">
        <f t="shared" si="26"/>
        <v>168.66666666666669</v>
      </c>
      <c r="AI18" s="73">
        <f t="shared" si="31"/>
        <v>257.38396624472574</v>
      </c>
      <c r="AJ18" s="292">
        <f t="shared" si="9"/>
        <v>0.25738396624472576</v>
      </c>
      <c r="AK18" s="292">
        <f t="shared" si="33"/>
        <v>85.794655414908576</v>
      </c>
    </row>
    <row r="19" spans="1:37" ht="15.75" thickBot="1">
      <c r="A19" s="4">
        <f>ELEC!C19</f>
        <v>44121</v>
      </c>
      <c r="B19" s="560">
        <v>9259</v>
      </c>
      <c r="C19" s="290">
        <f t="shared" si="12"/>
        <v>2</v>
      </c>
      <c r="D19" s="561">
        <v>255366</v>
      </c>
      <c r="E19" s="290">
        <f t="shared" si="14"/>
        <v>424</v>
      </c>
      <c r="F19" s="290">
        <f t="shared" si="0"/>
        <v>212</v>
      </c>
      <c r="G19" s="197"/>
      <c r="H19" s="291">
        <f t="shared" si="15"/>
        <v>9298</v>
      </c>
      <c r="I19" s="290" t="str">
        <f t="shared" si="1"/>
        <v>ok</v>
      </c>
      <c r="J19" s="561">
        <f t="shared" si="16"/>
        <v>10698</v>
      </c>
      <c r="K19" s="290">
        <f t="shared" si="2"/>
        <v>0</v>
      </c>
      <c r="L19" s="561">
        <f t="shared" si="17"/>
        <v>238500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61">
        <f t="shared" si="20"/>
        <v>11705</v>
      </c>
      <c r="S19" s="290">
        <f t="shared" si="5"/>
        <v>0</v>
      </c>
      <c r="T19" s="561">
        <f t="shared" si="27"/>
        <v>357664</v>
      </c>
      <c r="U19" s="290">
        <f t="shared" si="6"/>
        <v>0</v>
      </c>
      <c r="V19" s="290">
        <f t="shared" si="21"/>
        <v>0</v>
      </c>
      <c r="W19" s="197"/>
      <c r="X19" s="291">
        <f t="shared" si="22"/>
        <v>12789</v>
      </c>
      <c r="Y19" s="290" t="str">
        <f t="shared" si="7"/>
        <v>ok</v>
      </c>
      <c r="Z19" s="290">
        <f t="shared" si="8"/>
        <v>2</v>
      </c>
      <c r="AA19" s="290">
        <f t="shared" si="23"/>
        <v>424</v>
      </c>
      <c r="AB19" s="290">
        <f t="shared" si="24"/>
        <v>212</v>
      </c>
      <c r="AC19" s="290">
        <f t="shared" si="25"/>
        <v>212</v>
      </c>
      <c r="AD19" s="73">
        <f>ELEC!Q19</f>
        <v>1000</v>
      </c>
      <c r="AE19" s="73">
        <f t="shared" si="28"/>
        <v>500</v>
      </c>
      <c r="AF19" s="407">
        <f t="shared" si="29"/>
        <v>0.3125</v>
      </c>
      <c r="AG19" s="408">
        <f t="shared" si="30"/>
        <v>100</v>
      </c>
      <c r="AH19" s="408">
        <f t="shared" si="26"/>
        <v>112</v>
      </c>
      <c r="AI19" s="73">
        <f t="shared" si="31"/>
        <v>257.38396624472574</v>
      </c>
      <c r="AJ19" s="292">
        <f t="shared" si="9"/>
        <v>0.25738396624472576</v>
      </c>
      <c r="AK19" s="292">
        <f t="shared" si="33"/>
        <v>128.69198312236287</v>
      </c>
    </row>
    <row r="20" spans="1:37" ht="15.75" thickBot="1">
      <c r="A20" s="4">
        <f>ELEC!C20</f>
        <v>44122</v>
      </c>
      <c r="B20" s="612">
        <v>9262</v>
      </c>
      <c r="C20" s="290">
        <f>B20-B19</f>
        <v>3</v>
      </c>
      <c r="D20" s="272">
        <v>255867</v>
      </c>
      <c r="E20" s="290">
        <f t="shared" si="14"/>
        <v>501</v>
      </c>
      <c r="F20" s="290">
        <f t="shared" si="0"/>
        <v>167</v>
      </c>
      <c r="G20" s="197"/>
      <c r="H20" s="291">
        <f t="shared" si="15"/>
        <v>9298</v>
      </c>
      <c r="I20" s="290" t="str">
        <f t="shared" si="1"/>
        <v>ok</v>
      </c>
      <c r="J20" s="561">
        <f t="shared" si="16"/>
        <v>10698</v>
      </c>
      <c r="K20" s="290">
        <f t="shared" si="2"/>
        <v>0</v>
      </c>
      <c r="L20" s="561">
        <f t="shared" si="17"/>
        <v>238500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61">
        <f t="shared" si="20"/>
        <v>11705</v>
      </c>
      <c r="S20" s="290">
        <f t="shared" si="5"/>
        <v>0</v>
      </c>
      <c r="T20" s="561">
        <f t="shared" si="27"/>
        <v>357664</v>
      </c>
      <c r="U20" s="290">
        <f t="shared" ref="U20:U32" si="35">SUM(T20-T19)</f>
        <v>0</v>
      </c>
      <c r="V20" s="290">
        <f t="shared" si="21"/>
        <v>0</v>
      </c>
      <c r="W20" s="197"/>
      <c r="X20" s="291">
        <f t="shared" si="22"/>
        <v>12789</v>
      </c>
      <c r="Y20" s="290" t="str">
        <f t="shared" si="7"/>
        <v>ok</v>
      </c>
      <c r="Z20" s="290">
        <f t="shared" si="8"/>
        <v>3</v>
      </c>
      <c r="AA20" s="290">
        <f t="shared" si="23"/>
        <v>501</v>
      </c>
      <c r="AB20" s="290">
        <f t="shared" si="24"/>
        <v>167</v>
      </c>
      <c r="AC20" s="290">
        <f t="shared" si="25"/>
        <v>167</v>
      </c>
      <c r="AD20" s="73">
        <f>ELEC!Q20</f>
        <v>2000</v>
      </c>
      <c r="AE20" s="73">
        <f t="shared" si="28"/>
        <v>666.66666666666663</v>
      </c>
      <c r="AF20" s="407">
        <f t="shared" si="29"/>
        <v>0.41666666666666663</v>
      </c>
      <c r="AG20" s="408">
        <f t="shared" si="30"/>
        <v>133.33333333333331</v>
      </c>
      <c r="AH20" s="408">
        <f t="shared" si="26"/>
        <v>33.666666666666686</v>
      </c>
      <c r="AI20" s="73">
        <f>AD20*AJ20</f>
        <v>514.76793248945148</v>
      </c>
      <c r="AJ20" s="292">
        <f t="shared" si="9"/>
        <v>0.25738396624472576</v>
      </c>
      <c r="AK20" s="292">
        <f t="shared" si="33"/>
        <v>171.58931082981715</v>
      </c>
    </row>
    <row r="21" spans="1:37" ht="15.75" thickBot="1">
      <c r="A21" s="4">
        <f>ELEC!C21</f>
        <v>44123</v>
      </c>
      <c r="B21" s="560">
        <v>9265</v>
      </c>
      <c r="C21" s="290">
        <f t="shared" si="12"/>
        <v>3</v>
      </c>
      <c r="D21" s="561">
        <v>256546</v>
      </c>
      <c r="E21" s="290">
        <f t="shared" si="14"/>
        <v>679</v>
      </c>
      <c r="F21" s="290">
        <f t="shared" si="0"/>
        <v>226.33333333333334</v>
      </c>
      <c r="G21" s="197"/>
      <c r="H21" s="291">
        <f t="shared" si="15"/>
        <v>9298</v>
      </c>
      <c r="I21" s="290" t="str">
        <f t="shared" si="1"/>
        <v>ok</v>
      </c>
      <c r="J21" s="561">
        <f t="shared" si="16"/>
        <v>10698</v>
      </c>
      <c r="K21" s="290">
        <f t="shared" si="2"/>
        <v>0</v>
      </c>
      <c r="L21" s="561">
        <f t="shared" si="17"/>
        <v>238500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61">
        <f t="shared" si="20"/>
        <v>11705</v>
      </c>
      <c r="S21" s="290">
        <f t="shared" si="5"/>
        <v>0</v>
      </c>
      <c r="T21" s="561">
        <f t="shared" si="27"/>
        <v>357664</v>
      </c>
      <c r="U21" s="290">
        <f t="shared" si="35"/>
        <v>0</v>
      </c>
      <c r="V21" s="290">
        <f t="shared" si="21"/>
        <v>0</v>
      </c>
      <c r="W21" s="197"/>
      <c r="X21" s="291">
        <f t="shared" si="22"/>
        <v>12789</v>
      </c>
      <c r="Y21" s="290" t="str">
        <f>Y20</f>
        <v>ok</v>
      </c>
      <c r="Z21" s="290">
        <f t="shared" si="8"/>
        <v>3</v>
      </c>
      <c r="AA21" s="290">
        <f t="shared" si="23"/>
        <v>679</v>
      </c>
      <c r="AB21" s="290">
        <f t="shared" si="24"/>
        <v>226.33333333333334</v>
      </c>
      <c r="AC21" s="290">
        <f t="shared" si="25"/>
        <v>226.33333333333334</v>
      </c>
      <c r="AD21" s="73">
        <f>ELEC!Q21</f>
        <v>2000</v>
      </c>
      <c r="AE21" s="73">
        <f t="shared" si="28"/>
        <v>666.66666666666663</v>
      </c>
      <c r="AF21" s="407">
        <f t="shared" si="29"/>
        <v>0.41666666666666663</v>
      </c>
      <c r="AG21" s="408">
        <f t="shared" si="30"/>
        <v>133.33333333333331</v>
      </c>
      <c r="AH21" s="408">
        <f t="shared" si="26"/>
        <v>93.000000000000028</v>
      </c>
      <c r="AI21" s="73">
        <f t="shared" si="31"/>
        <v>514.76793248945148</v>
      </c>
      <c r="AJ21" s="292">
        <f t="shared" si="9"/>
        <v>0.25738396624472576</v>
      </c>
      <c r="AK21" s="292">
        <f t="shared" si="33"/>
        <v>171.58931082981715</v>
      </c>
    </row>
    <row r="22" spans="1:37" ht="15.75" thickBot="1">
      <c r="A22" s="4">
        <f>ELEC!C22</f>
        <v>44124</v>
      </c>
      <c r="B22" s="612">
        <v>9270</v>
      </c>
      <c r="C22" s="290">
        <f t="shared" si="12"/>
        <v>5</v>
      </c>
      <c r="D22" s="272">
        <v>257813</v>
      </c>
      <c r="E22" s="290">
        <f t="shared" si="14"/>
        <v>1267</v>
      </c>
      <c r="F22" s="290">
        <f t="shared" si="0"/>
        <v>253.4</v>
      </c>
      <c r="G22" s="197"/>
      <c r="H22" s="291">
        <f t="shared" si="15"/>
        <v>9298</v>
      </c>
      <c r="I22" s="290" t="str">
        <f t="shared" si="1"/>
        <v>ok</v>
      </c>
      <c r="J22" s="561">
        <f t="shared" si="16"/>
        <v>10698</v>
      </c>
      <c r="K22" s="290">
        <f t="shared" si="2"/>
        <v>0</v>
      </c>
      <c r="L22" s="561">
        <f t="shared" si="17"/>
        <v>238500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61">
        <f t="shared" si="20"/>
        <v>11705</v>
      </c>
      <c r="S22" s="290">
        <f t="shared" si="5"/>
        <v>0</v>
      </c>
      <c r="T22" s="561">
        <f t="shared" si="27"/>
        <v>357664</v>
      </c>
      <c r="U22" s="290">
        <f t="shared" si="35"/>
        <v>0</v>
      </c>
      <c r="V22" s="290">
        <f t="shared" si="21"/>
        <v>0</v>
      </c>
      <c r="W22" s="197"/>
      <c r="X22" s="291">
        <f t="shared" si="22"/>
        <v>12789</v>
      </c>
      <c r="Y22" s="290" t="str">
        <f t="shared" ref="Y22:Y32" si="36">IF(R22-X22&lt;=0,"ok","oil change")</f>
        <v>ok</v>
      </c>
      <c r="Z22" s="290">
        <f t="shared" si="8"/>
        <v>5</v>
      </c>
      <c r="AA22" s="290">
        <f t="shared" si="23"/>
        <v>1267</v>
      </c>
      <c r="AB22" s="290">
        <f t="shared" si="24"/>
        <v>253.4</v>
      </c>
      <c r="AC22" s="290">
        <f t="shared" si="25"/>
        <v>253.4</v>
      </c>
      <c r="AD22" s="73">
        <f>ELEC!Q22</f>
        <v>2000</v>
      </c>
      <c r="AE22" s="73">
        <f t="shared" si="28"/>
        <v>400</v>
      </c>
      <c r="AF22" s="407">
        <f t="shared" si="29"/>
        <v>0.25</v>
      </c>
      <c r="AG22" s="408">
        <f t="shared" si="30"/>
        <v>80</v>
      </c>
      <c r="AH22" s="408">
        <f t="shared" si="26"/>
        <v>173.4</v>
      </c>
      <c r="AI22" s="73">
        <f t="shared" si="31"/>
        <v>514.76793248945148</v>
      </c>
      <c r="AJ22" s="292">
        <f t="shared" si="9"/>
        <v>0.25738396624472576</v>
      </c>
      <c r="AK22" s="292">
        <f t="shared" si="33"/>
        <v>102.9535864978903</v>
      </c>
    </row>
    <row r="23" spans="1:37" ht="15.75" thickBot="1">
      <c r="A23" s="4">
        <f>ELEC!C23</f>
        <v>44125</v>
      </c>
      <c r="B23" s="560">
        <v>9277</v>
      </c>
      <c r="C23" s="290">
        <f t="shared" si="12"/>
        <v>7</v>
      </c>
      <c r="D23" s="561">
        <v>259328</v>
      </c>
      <c r="E23" s="290">
        <f t="shared" si="14"/>
        <v>1515</v>
      </c>
      <c r="F23" s="290">
        <f t="shared" si="0"/>
        <v>216.42857142857142</v>
      </c>
      <c r="G23" s="197"/>
      <c r="H23" s="291">
        <f t="shared" si="15"/>
        <v>9298</v>
      </c>
      <c r="I23" s="290" t="str">
        <f t="shared" si="1"/>
        <v>ok</v>
      </c>
      <c r="J23" s="561">
        <v>10698</v>
      </c>
      <c r="K23" s="290">
        <f t="shared" si="2"/>
        <v>0</v>
      </c>
      <c r="L23" s="561">
        <f t="shared" si="17"/>
        <v>238500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61">
        <v>11705</v>
      </c>
      <c r="S23" s="290">
        <f t="shared" si="5"/>
        <v>0</v>
      </c>
      <c r="T23" s="561">
        <f t="shared" si="27"/>
        <v>357664</v>
      </c>
      <c r="U23" s="290">
        <f t="shared" si="35"/>
        <v>0</v>
      </c>
      <c r="V23" s="290">
        <f t="shared" si="21"/>
        <v>0</v>
      </c>
      <c r="W23" s="197"/>
      <c r="X23" s="291">
        <f t="shared" si="22"/>
        <v>12789</v>
      </c>
      <c r="Y23" s="290" t="str">
        <f t="shared" si="36"/>
        <v>ok</v>
      </c>
      <c r="Z23" s="290">
        <f t="shared" si="8"/>
        <v>7</v>
      </c>
      <c r="AA23" s="290">
        <f t="shared" si="23"/>
        <v>1515</v>
      </c>
      <c r="AB23" s="290">
        <f t="shared" si="24"/>
        <v>216.42857142857142</v>
      </c>
      <c r="AC23" s="290">
        <f t="shared" si="25"/>
        <v>216.42857142857142</v>
      </c>
      <c r="AD23" s="73">
        <f>ELEC!Q23</f>
        <v>4000</v>
      </c>
      <c r="AE23" s="73">
        <f t="shared" si="28"/>
        <v>571.42857142857144</v>
      </c>
      <c r="AF23" s="407">
        <f t="shared" si="29"/>
        <v>0.35714285714285715</v>
      </c>
      <c r="AG23" s="408">
        <f t="shared" si="30"/>
        <v>114.28571428571429</v>
      </c>
      <c r="AH23" s="408">
        <f t="shared" si="26"/>
        <v>102.14285714285712</v>
      </c>
      <c r="AI23" s="73">
        <f t="shared" si="31"/>
        <v>1029.535864978903</v>
      </c>
      <c r="AJ23" s="292">
        <f t="shared" si="9"/>
        <v>0.25738396624472576</v>
      </c>
      <c r="AK23" s="292">
        <f t="shared" si="33"/>
        <v>147.07655213984327</v>
      </c>
    </row>
    <row r="24" spans="1:37" ht="15.75" thickBot="1">
      <c r="A24" s="4">
        <f>ELEC!C24</f>
        <v>44126</v>
      </c>
      <c r="B24" s="560">
        <v>9283</v>
      </c>
      <c r="C24" s="290">
        <f t="shared" si="12"/>
        <v>6</v>
      </c>
      <c r="D24" s="561">
        <v>260815</v>
      </c>
      <c r="E24" s="290">
        <f t="shared" si="14"/>
        <v>1487</v>
      </c>
      <c r="F24" s="290">
        <f t="shared" si="0"/>
        <v>247.83333333333334</v>
      </c>
      <c r="G24" s="197"/>
      <c r="H24" s="291">
        <f>H23</f>
        <v>9298</v>
      </c>
      <c r="I24" s="290" t="str">
        <f t="shared" si="1"/>
        <v>ok</v>
      </c>
      <c r="J24" s="561">
        <f t="shared" si="16"/>
        <v>10698</v>
      </c>
      <c r="K24" s="290">
        <f t="shared" si="2"/>
        <v>0</v>
      </c>
      <c r="L24" s="561">
        <f t="shared" si="17"/>
        <v>238500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61">
        <f t="shared" si="20"/>
        <v>11705</v>
      </c>
      <c r="S24" s="290">
        <f t="shared" si="5"/>
        <v>0</v>
      </c>
      <c r="T24" s="561">
        <f t="shared" si="27"/>
        <v>357664</v>
      </c>
      <c r="U24" s="290">
        <f t="shared" si="35"/>
        <v>0</v>
      </c>
      <c r="V24" s="290">
        <f t="shared" si="21"/>
        <v>0</v>
      </c>
      <c r="W24" s="197"/>
      <c r="X24" s="291">
        <f t="shared" si="22"/>
        <v>12789</v>
      </c>
      <c r="Y24" s="290" t="str">
        <f t="shared" si="36"/>
        <v>ok</v>
      </c>
      <c r="Z24" s="290">
        <f t="shared" si="8"/>
        <v>6</v>
      </c>
      <c r="AA24" s="290">
        <f t="shared" si="23"/>
        <v>1487</v>
      </c>
      <c r="AB24" s="290">
        <f t="shared" si="24"/>
        <v>247.83333333333334</v>
      </c>
      <c r="AC24" s="290">
        <f t="shared" si="25"/>
        <v>247.83333333333334</v>
      </c>
      <c r="AD24" s="73">
        <f>ELEC!Q24</f>
        <v>3000</v>
      </c>
      <c r="AE24" s="73">
        <f t="shared" si="28"/>
        <v>500</v>
      </c>
      <c r="AF24" s="407">
        <f t="shared" si="29"/>
        <v>0.3125</v>
      </c>
      <c r="AG24" s="408">
        <f t="shared" si="30"/>
        <v>100</v>
      </c>
      <c r="AH24" s="408">
        <f t="shared" si="26"/>
        <v>147.83333333333334</v>
      </c>
      <c r="AI24" s="73">
        <f t="shared" si="31"/>
        <v>772.15189873417728</v>
      </c>
      <c r="AJ24" s="292">
        <f t="shared" si="9"/>
        <v>0.25738396624472576</v>
      </c>
      <c r="AK24" s="292">
        <f t="shared" si="33"/>
        <v>128.69198312236287</v>
      </c>
    </row>
    <row r="25" spans="1:37" ht="15.75" thickBot="1">
      <c r="A25" s="4">
        <f>ELEC!C25</f>
        <v>44127</v>
      </c>
      <c r="B25" s="560">
        <v>9286</v>
      </c>
      <c r="C25" s="290">
        <f t="shared" si="12"/>
        <v>3</v>
      </c>
      <c r="D25" s="561">
        <v>261358</v>
      </c>
      <c r="E25" s="290">
        <f t="shared" si="14"/>
        <v>543</v>
      </c>
      <c r="F25" s="290">
        <f t="shared" si="0"/>
        <v>181</v>
      </c>
      <c r="G25" s="197"/>
      <c r="H25" s="291">
        <f t="shared" ref="H25:H33" si="37">H24</f>
        <v>9298</v>
      </c>
      <c r="I25" s="290" t="str">
        <f t="shared" si="1"/>
        <v>ok</v>
      </c>
      <c r="J25" s="561">
        <f t="shared" si="16"/>
        <v>10698</v>
      </c>
      <c r="K25" s="290">
        <f t="shared" si="2"/>
        <v>0</v>
      </c>
      <c r="L25" s="561">
        <f t="shared" si="17"/>
        <v>238500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61">
        <f t="shared" si="20"/>
        <v>11705</v>
      </c>
      <c r="S25" s="290">
        <f t="shared" si="5"/>
        <v>0</v>
      </c>
      <c r="T25" s="561">
        <f t="shared" si="27"/>
        <v>357664</v>
      </c>
      <c r="U25" s="290">
        <f t="shared" si="35"/>
        <v>0</v>
      </c>
      <c r="V25" s="290">
        <f t="shared" si="21"/>
        <v>0</v>
      </c>
      <c r="W25" s="197"/>
      <c r="X25" s="291">
        <f t="shared" si="22"/>
        <v>12789</v>
      </c>
      <c r="Y25" s="290" t="str">
        <f t="shared" si="36"/>
        <v>ok</v>
      </c>
      <c r="Z25" s="290">
        <f t="shared" si="8"/>
        <v>3</v>
      </c>
      <c r="AA25" s="290">
        <f t="shared" si="23"/>
        <v>543</v>
      </c>
      <c r="AB25" s="290">
        <f t="shared" si="24"/>
        <v>181</v>
      </c>
      <c r="AC25" s="290">
        <f t="shared" si="25"/>
        <v>181</v>
      </c>
      <c r="AD25" s="73">
        <f>ELEC!Q25</f>
        <v>1000</v>
      </c>
      <c r="AE25" s="73">
        <f t="shared" si="28"/>
        <v>333.33333333333331</v>
      </c>
      <c r="AF25" s="407">
        <f t="shared" si="29"/>
        <v>0.20833333333333331</v>
      </c>
      <c r="AG25" s="408">
        <f t="shared" si="30"/>
        <v>66.666666666666657</v>
      </c>
      <c r="AH25" s="408">
        <f t="shared" si="26"/>
        <v>114.33333333333334</v>
      </c>
      <c r="AI25" s="73">
        <f t="shared" si="31"/>
        <v>257.38396624472574</v>
      </c>
      <c r="AJ25" s="292">
        <f t="shared" si="9"/>
        <v>0.25738396624472576</v>
      </c>
      <c r="AK25" s="292">
        <f t="shared" si="33"/>
        <v>85.794655414908576</v>
      </c>
    </row>
    <row r="26" spans="1:37" ht="15.75" thickBot="1">
      <c r="A26" s="4">
        <f>ELEC!C26</f>
        <v>44128</v>
      </c>
      <c r="B26" s="560">
        <v>9289</v>
      </c>
      <c r="C26" s="290">
        <f t="shared" si="12"/>
        <v>3</v>
      </c>
      <c r="D26" s="561">
        <v>262027</v>
      </c>
      <c r="E26" s="290">
        <f t="shared" si="14"/>
        <v>669</v>
      </c>
      <c r="F26" s="290">
        <f t="shared" si="0"/>
        <v>223</v>
      </c>
      <c r="G26" s="197"/>
      <c r="H26" s="291">
        <f t="shared" si="37"/>
        <v>9298</v>
      </c>
      <c r="I26" s="290" t="str">
        <f t="shared" si="1"/>
        <v>ok</v>
      </c>
      <c r="J26" s="561">
        <f t="shared" si="16"/>
        <v>10698</v>
      </c>
      <c r="K26" s="290">
        <f t="shared" si="2"/>
        <v>0</v>
      </c>
      <c r="L26" s="561">
        <f t="shared" si="17"/>
        <v>238500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61">
        <f t="shared" si="20"/>
        <v>11705</v>
      </c>
      <c r="S26" s="290">
        <f t="shared" si="5"/>
        <v>0</v>
      </c>
      <c r="T26" s="561">
        <f t="shared" si="27"/>
        <v>357664</v>
      </c>
      <c r="U26" s="290">
        <f t="shared" si="35"/>
        <v>0</v>
      </c>
      <c r="V26" s="290">
        <f t="shared" si="21"/>
        <v>0</v>
      </c>
      <c r="W26" s="197"/>
      <c r="X26" s="291">
        <f t="shared" si="22"/>
        <v>12789</v>
      </c>
      <c r="Y26" s="290" t="str">
        <f t="shared" si="36"/>
        <v>ok</v>
      </c>
      <c r="Z26" s="290">
        <f t="shared" si="8"/>
        <v>3</v>
      </c>
      <c r="AA26" s="290">
        <f t="shared" si="23"/>
        <v>669</v>
      </c>
      <c r="AB26" s="290">
        <f t="shared" si="24"/>
        <v>223</v>
      </c>
      <c r="AC26" s="290">
        <f t="shared" si="25"/>
        <v>223</v>
      </c>
      <c r="AD26" s="73">
        <f>ELEC!Q26</f>
        <v>2000</v>
      </c>
      <c r="AE26" s="73">
        <f t="shared" si="28"/>
        <v>666.66666666666663</v>
      </c>
      <c r="AF26" s="407">
        <f t="shared" si="29"/>
        <v>0.41666666666666663</v>
      </c>
      <c r="AG26" s="408">
        <f t="shared" si="30"/>
        <v>133.33333333333331</v>
      </c>
      <c r="AH26" s="408">
        <f t="shared" si="26"/>
        <v>89.666666666666686</v>
      </c>
      <c r="AI26" s="73">
        <f t="shared" si="31"/>
        <v>514.76793248945148</v>
      </c>
      <c r="AJ26" s="292">
        <f t="shared" si="9"/>
        <v>0.25738396624472576</v>
      </c>
      <c r="AK26" s="292">
        <f t="shared" si="33"/>
        <v>171.58931082981715</v>
      </c>
    </row>
    <row r="27" spans="1:37" ht="15.75" thickBot="1">
      <c r="A27" s="4">
        <f>ELEC!C27</f>
        <v>44129</v>
      </c>
      <c r="B27" s="560">
        <v>9292</v>
      </c>
      <c r="C27" s="290">
        <f t="shared" si="12"/>
        <v>3</v>
      </c>
      <c r="D27" s="561">
        <v>262614</v>
      </c>
      <c r="E27" s="290">
        <f t="shared" si="14"/>
        <v>587</v>
      </c>
      <c r="F27" s="290">
        <f t="shared" si="0"/>
        <v>195.66666666666666</v>
      </c>
      <c r="G27" s="197"/>
      <c r="H27" s="291">
        <f t="shared" si="37"/>
        <v>9298</v>
      </c>
      <c r="I27" s="290" t="str">
        <f>IF(B27-H27&lt;=0,"ok","oil change")</f>
        <v>ok</v>
      </c>
      <c r="J27" s="561">
        <f t="shared" si="16"/>
        <v>10698</v>
      </c>
      <c r="K27" s="290">
        <f t="shared" si="2"/>
        <v>0</v>
      </c>
      <c r="L27" s="561">
        <f t="shared" si="17"/>
        <v>238500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61">
        <v>11705</v>
      </c>
      <c r="S27" s="290">
        <f t="shared" si="5"/>
        <v>0</v>
      </c>
      <c r="T27" s="561">
        <v>357690</v>
      </c>
      <c r="U27" s="290">
        <f t="shared" si="35"/>
        <v>26</v>
      </c>
      <c r="V27" s="290">
        <f t="shared" si="21"/>
        <v>0</v>
      </c>
      <c r="W27" s="197"/>
      <c r="X27" s="291">
        <f t="shared" si="22"/>
        <v>12789</v>
      </c>
      <c r="Y27" s="290" t="str">
        <f t="shared" si="36"/>
        <v>ok</v>
      </c>
      <c r="Z27" s="290">
        <f t="shared" si="8"/>
        <v>3</v>
      </c>
      <c r="AA27" s="290">
        <f t="shared" si="23"/>
        <v>613</v>
      </c>
      <c r="AB27" s="290">
        <f t="shared" si="24"/>
        <v>195.66666666666666</v>
      </c>
      <c r="AC27" s="290">
        <f t="shared" si="25"/>
        <v>204.33333333333334</v>
      </c>
      <c r="AD27" s="73">
        <f>ELEC!Q27</f>
        <v>2000</v>
      </c>
      <c r="AE27" s="73">
        <f t="shared" si="28"/>
        <v>666.66666666666663</v>
      </c>
      <c r="AF27" s="407">
        <f t="shared" si="29"/>
        <v>0.41666666666666663</v>
      </c>
      <c r="AG27" s="408">
        <f t="shared" si="30"/>
        <v>133.33333333333331</v>
      </c>
      <c r="AH27" s="408">
        <f t="shared" si="26"/>
        <v>71.000000000000028</v>
      </c>
      <c r="AI27" s="73">
        <f t="shared" si="31"/>
        <v>514.76793248945148</v>
      </c>
      <c r="AJ27" s="292">
        <f t="shared" si="9"/>
        <v>0.25738396624472576</v>
      </c>
      <c r="AK27" s="292">
        <f t="shared" si="33"/>
        <v>171.58931082981715</v>
      </c>
    </row>
    <row r="28" spans="1:37" ht="15.75" thickBot="1">
      <c r="A28" s="4">
        <f>ELEC!C28</f>
        <v>44130</v>
      </c>
      <c r="B28" s="560">
        <v>9297</v>
      </c>
      <c r="C28" s="290">
        <f t="shared" si="12"/>
        <v>5</v>
      </c>
      <c r="D28" s="561">
        <v>263491</v>
      </c>
      <c r="E28" s="290">
        <f t="shared" si="14"/>
        <v>877</v>
      </c>
      <c r="F28" s="290">
        <f t="shared" si="0"/>
        <v>175.4</v>
      </c>
      <c r="G28" s="288"/>
      <c r="H28" s="291">
        <f t="shared" si="37"/>
        <v>9298</v>
      </c>
      <c r="I28" s="290" t="str">
        <f t="shared" si="1"/>
        <v>ok</v>
      </c>
      <c r="J28" s="561">
        <f t="shared" si="16"/>
        <v>10698</v>
      </c>
      <c r="K28" s="290">
        <f t="shared" si="2"/>
        <v>0</v>
      </c>
      <c r="L28" s="561">
        <f t="shared" si="17"/>
        <v>238500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61">
        <v>11705</v>
      </c>
      <c r="S28" s="290">
        <f t="shared" si="5"/>
        <v>0</v>
      </c>
      <c r="T28" s="561">
        <f t="shared" si="27"/>
        <v>357690</v>
      </c>
      <c r="U28" s="290">
        <f t="shared" si="35"/>
        <v>0</v>
      </c>
      <c r="V28" s="290">
        <f t="shared" si="21"/>
        <v>0</v>
      </c>
      <c r="W28" s="197"/>
      <c r="X28" s="291">
        <f t="shared" si="22"/>
        <v>12789</v>
      </c>
      <c r="Y28" s="290" t="str">
        <f t="shared" si="36"/>
        <v>ok</v>
      </c>
      <c r="Z28" s="290">
        <f t="shared" si="8"/>
        <v>5</v>
      </c>
      <c r="AA28" s="290">
        <f t="shared" si="23"/>
        <v>877</v>
      </c>
      <c r="AB28" s="290">
        <f t="shared" si="24"/>
        <v>175.4</v>
      </c>
      <c r="AC28" s="290">
        <f t="shared" si="25"/>
        <v>175.4</v>
      </c>
      <c r="AD28" s="73">
        <f>ELEC!Q28</f>
        <v>2000</v>
      </c>
      <c r="AE28" s="73">
        <f t="shared" si="28"/>
        <v>400</v>
      </c>
      <c r="AF28" s="407">
        <f t="shared" si="29"/>
        <v>0.25</v>
      </c>
      <c r="AG28" s="408">
        <f t="shared" si="30"/>
        <v>80</v>
      </c>
      <c r="AH28" s="408">
        <f t="shared" si="26"/>
        <v>95.4</v>
      </c>
      <c r="AI28" s="73">
        <f t="shared" si="31"/>
        <v>514.76793248945148</v>
      </c>
      <c r="AJ28" s="292">
        <f t="shared" si="9"/>
        <v>0.25738396624472576</v>
      </c>
      <c r="AK28" s="292">
        <f t="shared" si="33"/>
        <v>102.9535864978903</v>
      </c>
    </row>
    <row r="29" spans="1:37" ht="15.75" thickBot="1">
      <c r="A29" s="4">
        <f>ELEC!C29</f>
        <v>44131</v>
      </c>
      <c r="B29" s="560">
        <v>9302</v>
      </c>
      <c r="C29" s="290">
        <f t="shared" si="12"/>
        <v>5</v>
      </c>
      <c r="D29" s="561">
        <v>264705</v>
      </c>
      <c r="E29" s="290">
        <f>SUM(D29-D28)</f>
        <v>1214</v>
      </c>
      <c r="F29" s="290">
        <f t="shared" si="0"/>
        <v>242.8</v>
      </c>
      <c r="G29" s="197"/>
      <c r="H29" s="291">
        <f t="shared" si="37"/>
        <v>9298</v>
      </c>
      <c r="I29" s="290" t="str">
        <f t="shared" si="1"/>
        <v>oil change</v>
      </c>
      <c r="J29" s="561">
        <f t="shared" si="16"/>
        <v>10698</v>
      </c>
      <c r="K29" s="290">
        <f t="shared" si="2"/>
        <v>0</v>
      </c>
      <c r="L29" s="561">
        <f t="shared" si="17"/>
        <v>238500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61">
        <f t="shared" si="20"/>
        <v>11705</v>
      </c>
      <c r="S29" s="290">
        <f t="shared" si="5"/>
        <v>0</v>
      </c>
      <c r="T29" s="561">
        <f t="shared" si="27"/>
        <v>357690</v>
      </c>
      <c r="U29" s="290">
        <f t="shared" si="35"/>
        <v>0</v>
      </c>
      <c r="V29" s="290">
        <f t="shared" si="21"/>
        <v>0</v>
      </c>
      <c r="W29" s="197"/>
      <c r="X29" s="291">
        <f t="shared" si="22"/>
        <v>12789</v>
      </c>
      <c r="Y29" s="290" t="str">
        <f t="shared" si="36"/>
        <v>ok</v>
      </c>
      <c r="Z29" s="290">
        <f t="shared" si="8"/>
        <v>5</v>
      </c>
      <c r="AA29" s="290">
        <f t="shared" si="23"/>
        <v>1214</v>
      </c>
      <c r="AB29" s="290">
        <f t="shared" si="24"/>
        <v>242.8</v>
      </c>
      <c r="AC29" s="290">
        <f t="shared" si="25"/>
        <v>242.8</v>
      </c>
      <c r="AD29" s="73">
        <f>ELEC!Q29</f>
        <v>3000</v>
      </c>
      <c r="AE29" s="73">
        <f t="shared" si="28"/>
        <v>600</v>
      </c>
      <c r="AF29" s="407">
        <f t="shared" si="29"/>
        <v>0.375</v>
      </c>
      <c r="AG29" s="408">
        <f t="shared" si="30"/>
        <v>120</v>
      </c>
      <c r="AH29" s="408">
        <f t="shared" si="26"/>
        <v>122.80000000000001</v>
      </c>
      <c r="AI29" s="73">
        <f t="shared" si="31"/>
        <v>772.15189873417728</v>
      </c>
      <c r="AJ29" s="292">
        <f t="shared" si="9"/>
        <v>0.25738396624472576</v>
      </c>
      <c r="AK29" s="292">
        <f t="shared" si="33"/>
        <v>154.43037974683546</v>
      </c>
    </row>
    <row r="30" spans="1:37" ht="15.75" thickBot="1">
      <c r="A30" s="4">
        <f>ELEC!C30</f>
        <v>44132</v>
      </c>
      <c r="B30" s="560">
        <v>9305</v>
      </c>
      <c r="C30" s="290">
        <f t="shared" si="12"/>
        <v>3</v>
      </c>
      <c r="D30" s="561">
        <v>265356</v>
      </c>
      <c r="E30" s="290">
        <f t="shared" si="14"/>
        <v>651</v>
      </c>
      <c r="F30" s="290">
        <f t="shared" si="0"/>
        <v>217</v>
      </c>
      <c r="G30" s="197"/>
      <c r="H30" s="291">
        <f t="shared" si="37"/>
        <v>9298</v>
      </c>
      <c r="I30" s="290" t="str">
        <f t="shared" si="1"/>
        <v>oil change</v>
      </c>
      <c r="J30" s="561">
        <f t="shared" si="16"/>
        <v>10698</v>
      </c>
      <c r="K30" s="290">
        <f t="shared" si="2"/>
        <v>0</v>
      </c>
      <c r="L30" s="561">
        <f t="shared" si="17"/>
        <v>238500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61">
        <f t="shared" si="20"/>
        <v>11705</v>
      </c>
      <c r="S30" s="290">
        <f t="shared" si="5"/>
        <v>0</v>
      </c>
      <c r="T30" s="561">
        <f t="shared" si="27"/>
        <v>357690</v>
      </c>
      <c r="U30" s="290">
        <f t="shared" si="35"/>
        <v>0</v>
      </c>
      <c r="V30" s="290">
        <f t="shared" si="21"/>
        <v>0</v>
      </c>
      <c r="W30" s="288"/>
      <c r="X30" s="291">
        <f t="shared" si="22"/>
        <v>12789</v>
      </c>
      <c r="Y30" s="290" t="str">
        <f t="shared" si="36"/>
        <v>ok</v>
      </c>
      <c r="Z30" s="290">
        <f t="shared" si="8"/>
        <v>3</v>
      </c>
      <c r="AA30" s="290">
        <f t="shared" si="23"/>
        <v>651</v>
      </c>
      <c r="AB30" s="290">
        <f t="shared" si="24"/>
        <v>217</v>
      </c>
      <c r="AC30" s="290">
        <f t="shared" si="25"/>
        <v>217</v>
      </c>
      <c r="AD30" s="73">
        <f>ELEC!Q30</f>
        <v>2000</v>
      </c>
      <c r="AE30" s="73">
        <f t="shared" si="28"/>
        <v>666.66666666666663</v>
      </c>
      <c r="AF30" s="407">
        <f t="shared" si="29"/>
        <v>0.41666666666666663</v>
      </c>
      <c r="AG30" s="408">
        <f t="shared" si="30"/>
        <v>133.33333333333331</v>
      </c>
      <c r="AH30" s="408">
        <f t="shared" si="26"/>
        <v>83.666666666666686</v>
      </c>
      <c r="AI30" s="73">
        <f t="shared" si="31"/>
        <v>514.76793248945148</v>
      </c>
      <c r="AJ30" s="292">
        <f t="shared" si="9"/>
        <v>0.25738396624472576</v>
      </c>
      <c r="AK30" s="292">
        <f t="shared" si="33"/>
        <v>171.58931082981715</v>
      </c>
    </row>
    <row r="31" spans="1:37" ht="15.75" thickBot="1">
      <c r="A31" s="4">
        <f>ELEC!C31</f>
        <v>44133</v>
      </c>
      <c r="B31" s="560">
        <v>9308</v>
      </c>
      <c r="C31" s="290">
        <f t="shared" si="12"/>
        <v>3</v>
      </c>
      <c r="D31" s="561">
        <v>265909</v>
      </c>
      <c r="E31" s="290">
        <f t="shared" si="14"/>
        <v>553</v>
      </c>
      <c r="F31" s="290">
        <f t="shared" si="0"/>
        <v>184.33333333333334</v>
      </c>
      <c r="G31" s="197"/>
      <c r="H31" s="291">
        <f t="shared" si="37"/>
        <v>9298</v>
      </c>
      <c r="I31" s="290" t="str">
        <f t="shared" si="1"/>
        <v>oil change</v>
      </c>
      <c r="J31" s="561">
        <f t="shared" si="16"/>
        <v>10698</v>
      </c>
      <c r="K31" s="290">
        <f t="shared" si="2"/>
        <v>0</v>
      </c>
      <c r="L31" s="561">
        <f t="shared" si="17"/>
        <v>238500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61">
        <f t="shared" si="20"/>
        <v>11705</v>
      </c>
      <c r="S31" s="290">
        <f t="shared" si="5"/>
        <v>0</v>
      </c>
      <c r="T31" s="561">
        <f t="shared" si="27"/>
        <v>357690</v>
      </c>
      <c r="U31" s="290">
        <f t="shared" si="35"/>
        <v>0</v>
      </c>
      <c r="V31" s="290">
        <f t="shared" si="21"/>
        <v>0</v>
      </c>
      <c r="W31" s="197"/>
      <c r="X31" s="291">
        <f t="shared" si="22"/>
        <v>12789</v>
      </c>
      <c r="Y31" s="290" t="str">
        <f t="shared" si="36"/>
        <v>ok</v>
      </c>
      <c r="Z31" s="290">
        <f t="shared" si="8"/>
        <v>3</v>
      </c>
      <c r="AA31" s="290">
        <f t="shared" si="23"/>
        <v>553</v>
      </c>
      <c r="AB31" s="290">
        <f t="shared" si="24"/>
        <v>184.33333333333334</v>
      </c>
      <c r="AC31" s="290">
        <f t="shared" si="25"/>
        <v>184.33333333333334</v>
      </c>
      <c r="AD31" s="73">
        <f>ELEC!Q31</f>
        <v>2000</v>
      </c>
      <c r="AE31" s="73">
        <f t="shared" si="28"/>
        <v>666.66666666666663</v>
      </c>
      <c r="AF31" s="407">
        <f t="shared" si="29"/>
        <v>0.41666666666666663</v>
      </c>
      <c r="AG31" s="408">
        <f t="shared" si="30"/>
        <v>133.33333333333331</v>
      </c>
      <c r="AH31" s="408">
        <f t="shared" si="26"/>
        <v>51.000000000000028</v>
      </c>
      <c r="AI31" s="73">
        <f t="shared" si="31"/>
        <v>514.76793248945148</v>
      </c>
      <c r="AJ31" s="292">
        <f t="shared" si="9"/>
        <v>0.25738396624472576</v>
      </c>
      <c r="AK31" s="292">
        <f t="shared" si="33"/>
        <v>171.58931082981715</v>
      </c>
    </row>
    <row r="32" spans="1:37" ht="15.75" thickBot="1">
      <c r="A32" s="4">
        <f>ELEC!C32</f>
        <v>44134</v>
      </c>
      <c r="B32" s="560">
        <v>9311</v>
      </c>
      <c r="C32" s="290">
        <f t="shared" si="12"/>
        <v>3</v>
      </c>
      <c r="D32" s="561">
        <v>266677</v>
      </c>
      <c r="E32" s="290">
        <f t="shared" si="14"/>
        <v>768</v>
      </c>
      <c r="F32" s="290">
        <f t="shared" si="0"/>
        <v>256</v>
      </c>
      <c r="G32" s="197"/>
      <c r="H32" s="291">
        <f t="shared" si="37"/>
        <v>9298</v>
      </c>
      <c r="I32" s="290" t="str">
        <f t="shared" si="1"/>
        <v>oil change</v>
      </c>
      <c r="J32" s="561">
        <f t="shared" si="16"/>
        <v>10698</v>
      </c>
      <c r="K32" s="290">
        <f>J32-J31</f>
        <v>0</v>
      </c>
      <c r="L32" s="561">
        <f t="shared" si="17"/>
        <v>238500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61">
        <f t="shared" si="20"/>
        <v>11705</v>
      </c>
      <c r="S32" s="290">
        <f t="shared" si="5"/>
        <v>0</v>
      </c>
      <c r="T32" s="561">
        <f t="shared" si="27"/>
        <v>357690</v>
      </c>
      <c r="U32" s="290">
        <f t="shared" si="35"/>
        <v>0</v>
      </c>
      <c r="V32" s="290">
        <f t="shared" si="21"/>
        <v>0</v>
      </c>
      <c r="W32" s="197"/>
      <c r="X32" s="291">
        <f t="shared" si="22"/>
        <v>12789</v>
      </c>
      <c r="Y32" s="290" t="str">
        <f t="shared" si="36"/>
        <v>ok</v>
      </c>
      <c r="Z32" s="290">
        <f t="shared" si="8"/>
        <v>3</v>
      </c>
      <c r="AA32" s="290">
        <f t="shared" si="23"/>
        <v>768</v>
      </c>
      <c r="AB32" s="290">
        <f t="shared" si="24"/>
        <v>256</v>
      </c>
      <c r="AC32" s="290">
        <f t="shared" si="25"/>
        <v>256</v>
      </c>
      <c r="AD32" s="73">
        <f>ELEC!Q32</f>
        <v>1000</v>
      </c>
      <c r="AE32" s="73">
        <f t="shared" si="28"/>
        <v>333.33333333333331</v>
      </c>
      <c r="AF32" s="407">
        <f t="shared" si="29"/>
        <v>0.20833333333333331</v>
      </c>
      <c r="AG32" s="408">
        <f t="shared" si="30"/>
        <v>66.666666666666657</v>
      </c>
      <c r="AH32" s="408">
        <f t="shared" si="26"/>
        <v>189.33333333333334</v>
      </c>
      <c r="AI32" s="73">
        <f t="shared" si="31"/>
        <v>257.38396624472574</v>
      </c>
      <c r="AJ32" s="292">
        <f t="shared" si="9"/>
        <v>0.25738396624472576</v>
      </c>
      <c r="AK32" s="292">
        <f t="shared" si="33"/>
        <v>85.794655414908576</v>
      </c>
    </row>
    <row r="33" spans="1:37">
      <c r="A33" s="4">
        <f>ELEC!C33</f>
        <v>44135</v>
      </c>
      <c r="B33" s="560">
        <f t="shared" si="11"/>
        <v>9311</v>
      </c>
      <c r="C33" s="290">
        <f t="shared" ref="C33" si="38">B33-B32</f>
        <v>0</v>
      </c>
      <c r="D33" s="561">
        <f t="shared" si="13"/>
        <v>266677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oil change</v>
      </c>
      <c r="J33" s="561">
        <f t="shared" si="16"/>
        <v>10698</v>
      </c>
      <c r="K33" s="290">
        <f>J33-J32</f>
        <v>0</v>
      </c>
      <c r="L33" s="561">
        <f>L32</f>
        <v>238500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61">
        <f t="shared" si="20"/>
        <v>11705</v>
      </c>
      <c r="S33" s="290">
        <f t="shared" ref="S33" si="45">R33-R32</f>
        <v>0</v>
      </c>
      <c r="T33" s="561">
        <f t="shared" si="27"/>
        <v>357690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2"/>
        <v>12789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7" t="e">
        <f t="shared" ref="AF33" si="54">SUM(AE33/1600)</f>
        <v>#DIV/0!</v>
      </c>
      <c r="AG33" s="512" t="e">
        <f t="shared" ref="AG33" si="55">SUM(320*AF33)</f>
        <v>#DIV/0!</v>
      </c>
      <c r="AH33" s="512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103</v>
      </c>
      <c r="V34" s="40"/>
      <c r="X34">
        <v>341</v>
      </c>
      <c r="Z34" s="426">
        <f>SUM(Z3:Z32)</f>
        <v>103</v>
      </c>
    </row>
    <row r="35" spans="1:37">
      <c r="C35" s="40">
        <f>SUM(C3:C32)</f>
        <v>103</v>
      </c>
      <c r="K35" s="40">
        <f>SUM(K3:K32)</f>
        <v>0</v>
      </c>
      <c r="S35" s="40">
        <f>SUM(S3:S32)</f>
        <v>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zoomScale="80" zoomScaleNormal="80" workbookViewId="0">
      <selection activeCell="G33" sqref="G3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44104</v>
      </c>
      <c r="B3" s="266">
        <f>'[2]EDl log'!B33</f>
        <v>469756</v>
      </c>
      <c r="C3" s="266">
        <f>'[2]EDl log'!C33</f>
        <v>4253</v>
      </c>
      <c r="D3" s="266">
        <f>'[2]EDl log'!D33</f>
        <v>4254</v>
      </c>
      <c r="E3" s="266">
        <f>'[2]EDl log'!E33</f>
        <v>469757</v>
      </c>
      <c r="F3" s="266">
        <f>'[2]EDl log'!F33</f>
        <v>63298</v>
      </c>
      <c r="G3" s="266">
        <f>'[2]EDl log'!G33</f>
        <v>695</v>
      </c>
      <c r="H3" s="266">
        <f>'[2]EDl log'!H33</f>
        <v>242131</v>
      </c>
      <c r="I3" s="266">
        <f>'[2]EDl log'!I33</f>
        <v>1832</v>
      </c>
      <c r="J3" s="266">
        <f>'[2]EDl log'!J33</f>
        <v>164328</v>
      </c>
      <c r="K3" s="266">
        <f>'[2]EDl log'!K33</f>
        <v>1727</v>
      </c>
      <c r="L3" s="266">
        <f>'[2]EDl log'!L33</f>
        <v>147.5290215588723</v>
      </c>
      <c r="M3" s="266">
        <f>'[2]EDl log'!M33</f>
        <v>136.10878938640133</v>
      </c>
      <c r="N3" s="266">
        <f>'[2]EDl log'!N33</f>
        <v>91.64842454394693</v>
      </c>
      <c r="O3" s="266">
        <f>'[2]EDl log'!O33</f>
        <v>159.96313985627418</v>
      </c>
      <c r="P3" s="266">
        <f>'[2]EDl log'!P33</f>
        <v>535.24937534549474</v>
      </c>
      <c r="Q3" s="266">
        <f>'[2]EDl log'!Q33</f>
        <v>656.55793978494864</v>
      </c>
      <c r="R3" s="266">
        <f>'[2]EDl log'!R33</f>
        <v>1191.8073151304434</v>
      </c>
      <c r="S3" s="266">
        <f>'[2]EDl log'!S33</f>
        <v>11854</v>
      </c>
      <c r="T3" s="266">
        <f>'[2]EDl log'!T33</f>
        <v>0.100540519245018</v>
      </c>
      <c r="Z3" t="s">
        <v>214</v>
      </c>
      <c r="AA3">
        <v>0.1</v>
      </c>
    </row>
    <row r="4" spans="1:30" ht="15.75" thickBot="1">
      <c r="A4" s="163">
        <f>ELEC!C3</f>
        <v>44105</v>
      </c>
      <c r="B4" s="558">
        <v>474142</v>
      </c>
      <c r="C4" s="266">
        <f t="shared" ref="C4:C33" si="0">SUM(B4-B3)</f>
        <v>4386</v>
      </c>
      <c r="D4" s="311">
        <f>SUM(G4+I4+K4)</f>
        <v>4379</v>
      </c>
      <c r="E4" s="311">
        <f>B3+D4</f>
        <v>474135</v>
      </c>
      <c r="F4" s="607">
        <v>63931</v>
      </c>
      <c r="G4" s="160">
        <f t="shared" ref="G4:G32" si="1">F4-F3</f>
        <v>633</v>
      </c>
      <c r="H4" s="558">
        <v>244754</v>
      </c>
      <c r="I4" s="161">
        <f t="shared" ref="I4:I33" si="2">H4-H3</f>
        <v>2623</v>
      </c>
      <c r="J4" s="558">
        <v>165451</v>
      </c>
      <c r="K4" s="162">
        <f t="shared" ref="K4:K33" si="3">J4-J3</f>
        <v>1123</v>
      </c>
      <c r="L4" s="299">
        <f t="shared" ref="L4:L13" si="4">SUM(G4*$Y$28)/1507.5</f>
        <v>134.3681592039801</v>
      </c>
      <c r="M4" s="299">
        <f t="shared" ref="M4:M13" si="5">SUM(I4*$Y$27)/1507.5</f>
        <v>194.87628524046434</v>
      </c>
      <c r="N4" s="299">
        <f t="shared" ref="N4:N13" si="6">SUM(K4*$Y$26)/1507.5</f>
        <v>59.595356550580433</v>
      </c>
      <c r="O4" s="299">
        <f t="shared" ref="O4:O34" si="7">($AC$31/$A$38)/1507.5</f>
        <v>149.80939216508509</v>
      </c>
      <c r="P4" s="300">
        <f>SUM(L4:O4)</f>
        <v>538.64919316010992</v>
      </c>
      <c r="Q4" s="300">
        <f>SUM(-tanks!AX6*tanks!$AU$37)</f>
        <v>311.89296774194361</v>
      </c>
      <c r="R4" s="300">
        <f>SUM(P4:Q4)</f>
        <v>850.54216090205352</v>
      </c>
      <c r="S4" s="302">
        <f>SUM(ELEC!N3)</f>
        <v>10203</v>
      </c>
      <c r="T4" s="339">
        <f>IF(S4&gt;0,R4/S4,0)</f>
        <v>8.3361968137023776E-2</v>
      </c>
      <c r="U4" s="252"/>
      <c r="V4" s="253" t="str">
        <f>'[5]EDl log'!V21</f>
        <v xml:space="preserve">EDL </v>
      </c>
      <c r="W4" s="167">
        <v>44094</v>
      </c>
      <c r="X4" s="169"/>
      <c r="Y4" s="169"/>
      <c r="Z4" s="169" t="s">
        <v>202</v>
      </c>
      <c r="AA4" s="169"/>
      <c r="AB4" s="678"/>
      <c r="AC4" s="679"/>
    </row>
    <row r="5" spans="1:30" ht="15.75" thickBot="1">
      <c r="A5" s="163">
        <f>ELEC!C4</f>
        <v>44106</v>
      </c>
      <c r="B5" s="558">
        <v>479360</v>
      </c>
      <c r="C5" s="266">
        <f t="shared" si="0"/>
        <v>5218</v>
      </c>
      <c r="D5" s="311">
        <f t="shared" ref="D5:D33" si="8">SUM(G5+I5+K5)</f>
        <v>5225</v>
      </c>
      <c r="E5" s="311">
        <f>B4+D5</f>
        <v>479367</v>
      </c>
      <c r="F5" s="558">
        <v>64751</v>
      </c>
      <c r="G5" s="160">
        <f t="shared" si="1"/>
        <v>820</v>
      </c>
      <c r="H5" s="558">
        <v>247413</v>
      </c>
      <c r="I5" s="161">
        <f t="shared" si="2"/>
        <v>2659</v>
      </c>
      <c r="J5" s="558">
        <v>167197</v>
      </c>
      <c r="K5" s="162">
        <f t="shared" si="3"/>
        <v>1746</v>
      </c>
      <c r="L5" s="299">
        <f t="shared" si="4"/>
        <v>174.06301824212272</v>
      </c>
      <c r="M5" s="299">
        <f t="shared" si="5"/>
        <v>197.550912106136</v>
      </c>
      <c r="N5" s="299">
        <f t="shared" si="6"/>
        <v>92.656716417910445</v>
      </c>
      <c r="O5" s="299">
        <f t="shared" si="7"/>
        <v>149.80939216508509</v>
      </c>
      <c r="P5" s="300">
        <f t="shared" ref="P5:P32" si="9">SUM(L5:O5)</f>
        <v>614.08003893125419</v>
      </c>
      <c r="Q5" s="300">
        <f>SUM(-tanks!AX7*tanks!$AU$37)</f>
        <v>20.235483870965108</v>
      </c>
      <c r="R5" s="300">
        <f t="shared" ref="R5:R32" si="10">SUM(P5:Q5)</f>
        <v>634.31552280221933</v>
      </c>
      <c r="S5" s="302">
        <f>SUM(ELEC!N4)</f>
        <v>10041</v>
      </c>
      <c r="T5" s="339">
        <f>IF(S5&gt;0,R5/S5,0)</f>
        <v>6.3172544846351888E-2</v>
      </c>
      <c r="U5" s="252"/>
      <c r="V5" s="672"/>
      <c r="W5" s="673"/>
      <c r="X5" s="673"/>
      <c r="Y5" s="674"/>
      <c r="Z5" s="26" t="s">
        <v>203</v>
      </c>
      <c r="AA5" s="266">
        <f>'[6]EDl log'!AA22</f>
        <v>5000</v>
      </c>
      <c r="AB5" s="680"/>
      <c r="AC5" s="681"/>
    </row>
    <row r="6" spans="1:30" ht="15.75" thickBot="1">
      <c r="A6" s="163">
        <f>ELEC!C5</f>
        <v>44107</v>
      </c>
      <c r="B6" s="558">
        <v>483076</v>
      </c>
      <c r="C6" s="266">
        <f t="shared" si="0"/>
        <v>3716</v>
      </c>
      <c r="D6" s="311">
        <f t="shared" si="8"/>
        <v>3714</v>
      </c>
      <c r="E6" s="311">
        <f t="shared" ref="E6:E33" si="11">B5+D6</f>
        <v>483074</v>
      </c>
      <c r="F6" s="558">
        <v>65640</v>
      </c>
      <c r="G6" s="160">
        <f t="shared" si="1"/>
        <v>889</v>
      </c>
      <c r="H6" s="558">
        <v>249049</v>
      </c>
      <c r="I6" s="161">
        <f t="shared" si="2"/>
        <v>1636</v>
      </c>
      <c r="J6" s="558">
        <v>168386</v>
      </c>
      <c r="K6" s="162">
        <f t="shared" si="3"/>
        <v>1189</v>
      </c>
      <c r="L6" s="299">
        <f t="shared" si="4"/>
        <v>188.70978441127696</v>
      </c>
      <c r="M6" s="299">
        <f t="shared" si="5"/>
        <v>121.5469320066335</v>
      </c>
      <c r="N6" s="299">
        <f t="shared" si="6"/>
        <v>63.097844112769486</v>
      </c>
      <c r="O6" s="299">
        <f t="shared" si="7"/>
        <v>149.80939216508509</v>
      </c>
      <c r="P6" s="300">
        <f t="shared" si="9"/>
        <v>523.16395269576503</v>
      </c>
      <c r="Q6" s="300">
        <f>SUM(-tanks!AX8*tanks!$AU$37)</f>
        <v>239.70822580645137</v>
      </c>
      <c r="R6" s="300">
        <f t="shared" si="10"/>
        <v>762.87217850221646</v>
      </c>
      <c r="S6" s="302">
        <f>SUM(ELEC!N5)</f>
        <v>8684</v>
      </c>
      <c r="T6" s="339">
        <f t="shared" ref="T6:T32" si="12">IF(S6&gt;0,R6/S6,0)</f>
        <v>8.7848016870361173E-2</v>
      </c>
      <c r="V6" s="675"/>
      <c r="W6" s="676"/>
      <c r="X6" s="676"/>
      <c r="Y6" s="677"/>
      <c r="Z6" s="3"/>
      <c r="AA6" s="3"/>
      <c r="AB6" s="680"/>
      <c r="AC6" s="681"/>
    </row>
    <row r="7" spans="1:30" ht="15" customHeight="1" thickBot="1">
      <c r="A7" s="163">
        <f>ELEC!C6</f>
        <v>44108</v>
      </c>
      <c r="B7" s="558">
        <v>486458</v>
      </c>
      <c r="C7" s="266">
        <f t="shared" si="0"/>
        <v>3382</v>
      </c>
      <c r="D7" s="311">
        <f t="shared" si="8"/>
        <v>3384</v>
      </c>
      <c r="E7" s="311">
        <f t="shared" si="11"/>
        <v>486460</v>
      </c>
      <c r="F7" s="558">
        <v>66328</v>
      </c>
      <c r="G7" s="160">
        <f t="shared" si="1"/>
        <v>688</v>
      </c>
      <c r="H7" s="558">
        <v>250661</v>
      </c>
      <c r="I7" s="161">
        <f t="shared" si="2"/>
        <v>1612</v>
      </c>
      <c r="J7" s="558">
        <v>169470</v>
      </c>
      <c r="K7" s="162">
        <f t="shared" si="3"/>
        <v>1084</v>
      </c>
      <c r="L7" s="299">
        <f t="shared" si="4"/>
        <v>146.04311774461027</v>
      </c>
      <c r="M7" s="299">
        <f t="shared" si="5"/>
        <v>119.76384742951907</v>
      </c>
      <c r="N7" s="299">
        <f t="shared" si="6"/>
        <v>57.5257048092869</v>
      </c>
      <c r="O7" s="299">
        <f t="shared" si="7"/>
        <v>149.80939216508509</v>
      </c>
      <c r="P7" s="300">
        <f t="shared" si="9"/>
        <v>473.14206214850128</v>
      </c>
      <c r="Q7" s="300">
        <f>SUM(-tanks!AX9*tanks!$AU$37)</f>
        <v>353.27370967740904</v>
      </c>
      <c r="R7" s="300">
        <f t="shared" si="10"/>
        <v>826.41577182591027</v>
      </c>
      <c r="S7" s="302">
        <f>SUM(ELEC!N6)</f>
        <v>7992</v>
      </c>
      <c r="T7" s="339">
        <f t="shared" si="12"/>
        <v>0.10340537685509388</v>
      </c>
      <c r="V7" s="668" t="s">
        <v>204</v>
      </c>
      <c r="W7" s="669"/>
      <c r="X7" s="670" t="s">
        <v>205</v>
      </c>
      <c r="Y7" s="671"/>
      <c r="Z7" s="669"/>
      <c r="AA7" s="26"/>
      <c r="AB7" s="682"/>
      <c r="AC7" s="683"/>
    </row>
    <row r="8" spans="1:30" ht="15.75" customHeight="1" thickBot="1">
      <c r="A8" s="163">
        <f>ELEC!C7</f>
        <v>44109</v>
      </c>
      <c r="B8" s="558">
        <v>490415</v>
      </c>
      <c r="C8" s="266">
        <f t="shared" si="0"/>
        <v>3957</v>
      </c>
      <c r="D8" s="311">
        <f t="shared" si="8"/>
        <v>3955</v>
      </c>
      <c r="E8" s="311">
        <f t="shared" si="11"/>
        <v>490413</v>
      </c>
      <c r="F8" s="558">
        <v>67070</v>
      </c>
      <c r="G8" s="160">
        <f t="shared" si="1"/>
        <v>742</v>
      </c>
      <c r="H8" s="558">
        <v>252839</v>
      </c>
      <c r="I8" s="161">
        <f t="shared" si="2"/>
        <v>2178</v>
      </c>
      <c r="J8" s="558">
        <v>170505</v>
      </c>
      <c r="K8" s="162">
        <f>J8-J7</f>
        <v>1035</v>
      </c>
      <c r="L8" s="299">
        <f t="shared" si="4"/>
        <v>157.50580431177445</v>
      </c>
      <c r="M8" s="299">
        <f t="shared" si="5"/>
        <v>161.81492537313432</v>
      </c>
      <c r="N8" s="299">
        <f t="shared" si="6"/>
        <v>54.92537313432836</v>
      </c>
      <c r="O8" s="299">
        <f t="shared" si="7"/>
        <v>149.80939216508509</v>
      </c>
      <c r="P8" s="300">
        <f t="shared" si="9"/>
        <v>524.05549498432219</v>
      </c>
      <c r="Q8" s="300">
        <f>SUM(-tanks!AX10*tanks!$AU$37)</f>
        <v>253.14096774194508</v>
      </c>
      <c r="R8" s="300">
        <f t="shared" si="10"/>
        <v>777.19646272626733</v>
      </c>
      <c r="S8" s="302">
        <f>SUM(ELEC!N7)</f>
        <v>9176</v>
      </c>
      <c r="T8" s="339">
        <f>IF(S8&gt;0,R8/S8,0)</f>
        <v>8.4698829852470278E-2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1" t="str">
        <f>'[7]EDl log'!AB25</f>
        <v>Total cost LL</v>
      </c>
      <c r="AC8" s="254" t="s">
        <v>212</v>
      </c>
    </row>
    <row r="9" spans="1:30" ht="15.75" thickBot="1">
      <c r="A9" s="163">
        <f>ELEC!C8</f>
        <v>44110</v>
      </c>
      <c r="B9" s="558">
        <v>495235</v>
      </c>
      <c r="C9" s="266">
        <f t="shared" si="0"/>
        <v>4820</v>
      </c>
      <c r="D9" s="311">
        <f t="shared" si="8"/>
        <v>3753</v>
      </c>
      <c r="E9" s="311">
        <f t="shared" si="11"/>
        <v>494168</v>
      </c>
      <c r="F9" s="558">
        <v>67070</v>
      </c>
      <c r="G9" s="160">
        <f t="shared" si="1"/>
        <v>0</v>
      </c>
      <c r="H9" s="558">
        <v>255238</v>
      </c>
      <c r="I9" s="161">
        <f t="shared" si="2"/>
        <v>2399</v>
      </c>
      <c r="J9" s="558">
        <v>171859</v>
      </c>
      <c r="K9" s="162">
        <f>J9-J8</f>
        <v>1354</v>
      </c>
      <c r="L9" s="299">
        <f t="shared" si="4"/>
        <v>0</v>
      </c>
      <c r="M9" s="299">
        <f t="shared" si="5"/>
        <v>178.23416252072968</v>
      </c>
      <c r="N9" s="299">
        <f t="shared" si="6"/>
        <v>71.85406301824213</v>
      </c>
      <c r="O9" s="299">
        <f t="shared" si="7"/>
        <v>149.80939216508509</v>
      </c>
      <c r="P9" s="300">
        <f t="shared" si="9"/>
        <v>399.89761770405687</v>
      </c>
      <c r="Q9" s="300">
        <f>SUM(-tanks!AX11*tanks!$AU$37)</f>
        <v>370.27645161291019</v>
      </c>
      <c r="R9" s="300">
        <f>SUM(P9:Q9)</f>
        <v>770.17406931696701</v>
      </c>
      <c r="S9" s="302">
        <f>SUM(ELEC!N8)</f>
        <v>10962</v>
      </c>
      <c r="T9" s="339">
        <f t="shared" si="12"/>
        <v>7.0258535788812901E-2</v>
      </c>
      <c r="V9" s="592">
        <f>'[2]EDl log'!V26</f>
        <v>119653</v>
      </c>
      <c r="W9" s="266">
        <f>'[2]EDl log'!W26</f>
        <v>164328</v>
      </c>
      <c r="X9" s="266" t="str">
        <f>'[2]EDl log'!X26</f>
        <v>Night</v>
      </c>
      <c r="Y9" s="266">
        <f>'[2]EDl log'!Y26</f>
        <v>80</v>
      </c>
      <c r="Z9" s="266">
        <f>'[2]EDl log'!Z26</f>
        <v>1</v>
      </c>
      <c r="AA9" s="266">
        <f>'[2]EDl log'!AA26</f>
        <v>44675</v>
      </c>
      <c r="AB9" s="588">
        <f>'[2]EDl log'!AB26</f>
        <v>3574000</v>
      </c>
      <c r="AC9" s="593">
        <f>'[2]EDl log'!AC26</f>
        <v>1033333</v>
      </c>
      <c r="AD9" s="590">
        <f>'[2]EDl log'!AD26</f>
        <v>0.37081458855558691</v>
      </c>
    </row>
    <row r="10" spans="1:30" ht="15.75" thickBot="1">
      <c r="A10" s="163">
        <f>ELEC!C9</f>
        <v>44111</v>
      </c>
      <c r="B10" s="558">
        <v>500073</v>
      </c>
      <c r="C10" s="266">
        <f t="shared" si="0"/>
        <v>4838</v>
      </c>
      <c r="D10" s="311">
        <f t="shared" si="8"/>
        <v>5905</v>
      </c>
      <c r="E10" s="311">
        <f t="shared" si="11"/>
        <v>501140</v>
      </c>
      <c r="F10" s="558">
        <v>68533</v>
      </c>
      <c r="G10" s="160">
        <f t="shared" si="1"/>
        <v>1463</v>
      </c>
      <c r="H10" s="558">
        <v>257453</v>
      </c>
      <c r="I10" s="161">
        <f t="shared" si="2"/>
        <v>2215</v>
      </c>
      <c r="J10" s="558">
        <v>174086</v>
      </c>
      <c r="K10" s="162">
        <f t="shared" si="3"/>
        <v>2227</v>
      </c>
      <c r="L10" s="299">
        <f t="shared" si="4"/>
        <v>310.55389718076287</v>
      </c>
      <c r="M10" s="299">
        <f t="shared" si="5"/>
        <v>164.56384742951906</v>
      </c>
      <c r="N10" s="299">
        <f t="shared" si="6"/>
        <v>118.18242122719735</v>
      </c>
      <c r="O10" s="299">
        <f t="shared" si="7"/>
        <v>149.80939216508509</v>
      </c>
      <c r="P10" s="300">
        <f t="shared" si="9"/>
        <v>743.10955800256443</v>
      </c>
      <c r="Q10" s="300">
        <f>SUM(-tanks!AX12*tanks!$AU$37)</f>
        <v>266.91096774193767</v>
      </c>
      <c r="R10" s="300">
        <f t="shared" si="10"/>
        <v>1010.020525744502</v>
      </c>
      <c r="S10" s="302">
        <f>SUM(ELEC!N9)</f>
        <v>11040</v>
      </c>
      <c r="T10" s="339">
        <f t="shared" si="12"/>
        <v>9.1487366462364314E-2</v>
      </c>
      <c r="V10" s="592">
        <f>'[2]EDl log'!V27</f>
        <v>182116</v>
      </c>
      <c r="W10" s="266">
        <f>'[2]EDl log'!W27</f>
        <v>242131</v>
      </c>
      <c r="X10" s="266" t="str">
        <f>'[3]EDl log'!X27</f>
        <v>day</v>
      </c>
      <c r="Y10" s="266">
        <f>'[2]EDl log'!Y27</f>
        <v>112</v>
      </c>
      <c r="Z10" s="266">
        <f>'[2]EDl log'!Z27</f>
        <v>1</v>
      </c>
      <c r="AA10" s="266">
        <f>'[2]EDl log'!AA27</f>
        <v>60015</v>
      </c>
      <c r="AB10" s="588">
        <f>'[2]EDl log'!AB27</f>
        <v>6721680</v>
      </c>
      <c r="AC10" s="593">
        <f>'[2]EDl log'!AC27</f>
        <v>6200000</v>
      </c>
      <c r="AD10" s="590">
        <f>'[2]EDl log'!AD27</f>
        <v>0.49814073938810405</v>
      </c>
    </row>
    <row r="11" spans="1:30" ht="15.75" thickBot="1">
      <c r="A11" s="163">
        <f>ELEC!C10</f>
        <v>44112</v>
      </c>
      <c r="B11" s="558">
        <v>505182</v>
      </c>
      <c r="C11" s="266">
        <f t="shared" si="0"/>
        <v>5109</v>
      </c>
      <c r="D11" s="311">
        <f>SUM(G11+I11+K11)</f>
        <v>5109</v>
      </c>
      <c r="E11" s="311">
        <f t="shared" si="11"/>
        <v>505182</v>
      </c>
      <c r="F11" s="558">
        <v>69603</v>
      </c>
      <c r="G11" s="160">
        <f t="shared" si="1"/>
        <v>1070</v>
      </c>
      <c r="H11" s="558">
        <v>259474</v>
      </c>
      <c r="I11" s="161">
        <f t="shared" si="2"/>
        <v>2021</v>
      </c>
      <c r="J11" s="558">
        <v>176104</v>
      </c>
      <c r="K11" s="162">
        <f t="shared" si="3"/>
        <v>2018</v>
      </c>
      <c r="L11" s="299">
        <f t="shared" si="4"/>
        <v>227.13101160862354</v>
      </c>
      <c r="M11" s="299">
        <f t="shared" si="5"/>
        <v>150.15058043117745</v>
      </c>
      <c r="N11" s="299">
        <f t="shared" si="6"/>
        <v>107.09121061359868</v>
      </c>
      <c r="O11" s="299">
        <f t="shared" si="7"/>
        <v>149.80939216508509</v>
      </c>
      <c r="P11" s="300">
        <f t="shared" si="9"/>
        <v>634.18219481848473</v>
      </c>
      <c r="Q11" s="300">
        <f>SUM(-tanks!AX13*tanks!$AU$37)</f>
        <v>346.30645161289533</v>
      </c>
      <c r="R11" s="300">
        <f t="shared" si="10"/>
        <v>980.48864643138006</v>
      </c>
      <c r="S11" s="302">
        <f>SUM(ELEC!N10)</f>
        <v>11456</v>
      </c>
      <c r="T11" s="339">
        <f t="shared" si="12"/>
        <v>8.5587346930113481E-2</v>
      </c>
      <c r="V11" s="592">
        <f>'[2]EDl log'!V28</f>
        <v>47510</v>
      </c>
      <c r="W11" s="266">
        <f>'[2]EDl log'!W28</f>
        <v>63298</v>
      </c>
      <c r="X11" s="266" t="str">
        <f>'[3]EDl log'!X28</f>
        <v>Peak</v>
      </c>
      <c r="Y11" s="266">
        <f>'[2]EDl log'!Y28</f>
        <v>320</v>
      </c>
      <c r="Z11" s="266">
        <f>'[2]EDl log'!Z28</f>
        <v>1</v>
      </c>
      <c r="AA11" s="266">
        <f>'[2]EDl log'!AA28</f>
        <v>15788</v>
      </c>
      <c r="AB11" s="588">
        <f>'[2]EDl log'!AB28</f>
        <v>5052160</v>
      </c>
      <c r="AC11" s="593">
        <f>'[2]EDl log'!AC28</f>
        <v>1000</v>
      </c>
      <c r="AD11" s="590">
        <f>'[2]EDl log'!AD28</f>
        <v>0.13104467205630904</v>
      </c>
    </row>
    <row r="12" spans="1:30" ht="15.75" thickBot="1">
      <c r="A12" s="163">
        <v>509352</v>
      </c>
      <c r="B12" s="558">
        <v>509352</v>
      </c>
      <c r="C12" s="266">
        <f t="shared" si="0"/>
        <v>4170</v>
      </c>
      <c r="D12" s="311">
        <f t="shared" si="8"/>
        <v>4169</v>
      </c>
      <c r="E12" s="311">
        <f t="shared" si="11"/>
        <v>509351</v>
      </c>
      <c r="F12" s="558">
        <v>70450</v>
      </c>
      <c r="G12" s="160">
        <f t="shared" si="1"/>
        <v>847</v>
      </c>
      <c r="H12" s="558">
        <v>261501</v>
      </c>
      <c r="I12" s="161">
        <f t="shared" si="2"/>
        <v>2027</v>
      </c>
      <c r="J12" s="558">
        <v>177399</v>
      </c>
      <c r="K12" s="162">
        <f t="shared" si="3"/>
        <v>1295</v>
      </c>
      <c r="L12" s="299">
        <f t="shared" si="4"/>
        <v>179.7943615257048</v>
      </c>
      <c r="M12" s="299">
        <f t="shared" si="5"/>
        <v>150.59635157545605</v>
      </c>
      <c r="N12" s="299">
        <f t="shared" si="6"/>
        <v>68.723051409618577</v>
      </c>
      <c r="O12" s="299">
        <f t="shared" si="7"/>
        <v>149.80939216508509</v>
      </c>
      <c r="P12" s="300">
        <f t="shared" si="9"/>
        <v>548.92315667586445</v>
      </c>
      <c r="Q12" s="300">
        <f>SUM(-tanks!AX14*tanks!$AU$37)</f>
        <v>413.11645161290278</v>
      </c>
      <c r="R12" s="300">
        <f t="shared" si="10"/>
        <v>962.03960828876723</v>
      </c>
      <c r="S12" s="302">
        <f>SUM(ELEC!N11)</f>
        <v>10070</v>
      </c>
      <c r="T12" s="339">
        <f t="shared" si="12"/>
        <v>9.5535214328576687E-2</v>
      </c>
      <c r="V12" s="592"/>
      <c r="W12" s="266"/>
      <c r="X12" s="3"/>
      <c r="Y12" s="266"/>
      <c r="Z12" s="28"/>
      <c r="AA12" s="266">
        <f>'[2]EDl log'!AA29</f>
        <v>120478</v>
      </c>
      <c r="AB12" s="588">
        <f>'[2]EDl log'!AB29</f>
        <v>0</v>
      </c>
      <c r="AC12" s="593">
        <f>'[2]EDl log'!AC29</f>
        <v>0</v>
      </c>
      <c r="AD12" s="590"/>
    </row>
    <row r="13" spans="1:30" ht="15.75" thickBot="1">
      <c r="A13" s="163">
        <f>ELEC!C12</f>
        <v>44114</v>
      </c>
      <c r="B13" s="558">
        <v>513696</v>
      </c>
      <c r="C13" s="266">
        <f t="shared" si="0"/>
        <v>4344</v>
      </c>
      <c r="D13" s="311">
        <f t="shared" si="8"/>
        <v>4346</v>
      </c>
      <c r="E13" s="311">
        <f t="shared" si="11"/>
        <v>513698</v>
      </c>
      <c r="F13" s="558">
        <v>71219</v>
      </c>
      <c r="G13" s="160">
        <f t="shared" si="1"/>
        <v>769</v>
      </c>
      <c r="H13" s="558">
        <v>263353</v>
      </c>
      <c r="I13" s="161">
        <f t="shared" si="2"/>
        <v>1852</v>
      </c>
      <c r="J13" s="558">
        <v>179124</v>
      </c>
      <c r="K13" s="162">
        <f t="shared" si="3"/>
        <v>1725</v>
      </c>
      <c r="L13" s="299">
        <f t="shared" si="4"/>
        <v>163.23714759535656</v>
      </c>
      <c r="M13" s="299">
        <f t="shared" si="5"/>
        <v>137.59469320066336</v>
      </c>
      <c r="N13" s="299">
        <f t="shared" si="6"/>
        <v>91.542288557213936</v>
      </c>
      <c r="O13" s="299">
        <f t="shared" si="7"/>
        <v>149.80939216508509</v>
      </c>
      <c r="P13" s="300">
        <f t="shared" si="9"/>
        <v>542.18352151831903</v>
      </c>
      <c r="Q13" s="300">
        <f>SUM(-tanks!AX15*tanks!$AU$37)</f>
        <v>242.93932258065033</v>
      </c>
      <c r="R13" s="300">
        <f t="shared" si="10"/>
        <v>785.12284409896938</v>
      </c>
      <c r="S13" s="302">
        <f>SUM(ELEC!N12)</f>
        <v>9759</v>
      </c>
      <c r="T13" s="339">
        <f t="shared" si="12"/>
        <v>8.0451157300847356E-2</v>
      </c>
      <c r="V13" s="592" t="str">
        <f>'[6]EDl log'!V30</f>
        <v>Occ %</v>
      </c>
      <c r="W13" s="514">
        <f>'[2]EDl log'!W30</f>
        <v>0</v>
      </c>
      <c r="X13" s="514"/>
      <c r="Y13" s="266" t="str">
        <f>'[3]EDl log'!Y30</f>
        <v>Per G</v>
      </c>
      <c r="Z13" s="3"/>
      <c r="AA13" s="3"/>
      <c r="AB13" s="588">
        <f>'[2]EDl log'!AB30</f>
        <v>15347840</v>
      </c>
      <c r="AC13" s="593">
        <f>'[2]EDl log'!AC30</f>
        <v>7234333</v>
      </c>
    </row>
    <row r="14" spans="1:30">
      <c r="A14" s="163">
        <f>ELEC!C13</f>
        <v>44115</v>
      </c>
      <c r="B14" s="558">
        <v>518268</v>
      </c>
      <c r="C14" s="266">
        <f t="shared" si="0"/>
        <v>4572</v>
      </c>
      <c r="D14" s="311">
        <f t="shared" si="8"/>
        <v>4572</v>
      </c>
      <c r="E14" s="311">
        <f t="shared" si="11"/>
        <v>518268</v>
      </c>
      <c r="F14" s="558">
        <v>71931</v>
      </c>
      <c r="G14" s="160">
        <f t="shared" si="1"/>
        <v>712</v>
      </c>
      <c r="H14" s="558">
        <v>265493</v>
      </c>
      <c r="I14" s="161">
        <f t="shared" si="2"/>
        <v>2140</v>
      </c>
      <c r="J14" s="558">
        <v>180844</v>
      </c>
      <c r="K14" s="162">
        <f t="shared" ref="K14:K17" si="13">J14-J13</f>
        <v>1720</v>
      </c>
      <c r="L14" s="299">
        <f t="shared" ref="L14:L17" si="14">SUM(G14*$Y$28)/1507.5</f>
        <v>151.13764510779436</v>
      </c>
      <c r="M14" s="299">
        <f t="shared" ref="M14:M17" si="15">SUM(I14*$Y$27)/1507.5</f>
        <v>158.99170812603649</v>
      </c>
      <c r="N14" s="299">
        <f t="shared" ref="N14:N17" si="16">SUM(K14*$Y$26)/1507.5</f>
        <v>91.276948590381423</v>
      </c>
      <c r="O14" s="299">
        <f t="shared" si="7"/>
        <v>149.80939216508509</v>
      </c>
      <c r="P14" s="300">
        <f t="shared" ref="P14:P17" si="17">SUM(L14:O14)</f>
        <v>551.21569398929739</v>
      </c>
      <c r="Q14" s="300">
        <f>SUM(-tanks!AX16*tanks!$AU$37)</f>
        <v>268.271516129026</v>
      </c>
      <c r="R14" s="300">
        <f t="shared" ref="R14:R17" si="18">SUM(P14:Q14)</f>
        <v>819.48721011832345</v>
      </c>
      <c r="S14" s="302">
        <f>SUM(ELEC!N13)</f>
        <v>10551</v>
      </c>
      <c r="T14" s="339">
        <f t="shared" ref="T14:T17" si="19">IF(S14&gt;0,R14/S14,0)</f>
        <v>7.7669150802608611E-2</v>
      </c>
      <c r="V14" s="592" t="str">
        <f>'[6]EDl log'!V31</f>
        <v>Gen RH</v>
      </c>
      <c r="W14" s="589">
        <f>'[2]EDl log'!$W$31</f>
        <v>151</v>
      </c>
      <c r="X14" s="266">
        <f>'[2]EDl log'!$X$14</f>
        <v>5.387096774193548</v>
      </c>
      <c r="Y14" s="588">
        <f>'[2]EDl log'!$Y$31</f>
        <v>2.5166666666666666</v>
      </c>
      <c r="Z14" s="266"/>
      <c r="AA14" s="3"/>
      <c r="AB14" s="588">
        <f>'[2]EDl log'!AB31</f>
        <v>22582173</v>
      </c>
      <c r="AC14" s="593">
        <f>'[2]EDl log'!AC31</f>
        <v>7234333</v>
      </c>
    </row>
    <row r="15" spans="1:30">
      <c r="A15" s="163">
        <f>ELEC!C14</f>
        <v>44116</v>
      </c>
      <c r="B15" s="609">
        <v>523195</v>
      </c>
      <c r="C15" s="266">
        <f t="shared" si="0"/>
        <v>4927</v>
      </c>
      <c r="D15" s="311">
        <f t="shared" si="8"/>
        <v>4928</v>
      </c>
      <c r="E15" s="311">
        <f t="shared" si="11"/>
        <v>523196</v>
      </c>
      <c r="F15" s="611">
        <v>72858</v>
      </c>
      <c r="G15" s="160">
        <f t="shared" si="1"/>
        <v>927</v>
      </c>
      <c r="H15" s="609">
        <v>267773</v>
      </c>
      <c r="I15" s="161">
        <f t="shared" si="2"/>
        <v>2280</v>
      </c>
      <c r="J15" s="609">
        <v>182565</v>
      </c>
      <c r="K15" s="162">
        <f t="shared" si="13"/>
        <v>1721</v>
      </c>
      <c r="L15" s="299">
        <f t="shared" si="14"/>
        <v>196.77611940298507</v>
      </c>
      <c r="M15" s="299">
        <f t="shared" si="15"/>
        <v>169.39303482587064</v>
      </c>
      <c r="N15" s="299">
        <f t="shared" si="16"/>
        <v>91.330016583747934</v>
      </c>
      <c r="O15" s="299">
        <f t="shared" si="7"/>
        <v>149.80939216508509</v>
      </c>
      <c r="P15" s="300">
        <f t="shared" si="17"/>
        <v>607.30856297768878</v>
      </c>
      <c r="Q15" s="300">
        <f>SUM(-tanks!AX17*tanks!$AU$37)</f>
        <v>280.34206451613659</v>
      </c>
      <c r="R15" s="300">
        <f t="shared" si="18"/>
        <v>887.65062749382537</v>
      </c>
      <c r="S15" s="302">
        <f>SUM(ELEC!N14)</f>
        <v>11193</v>
      </c>
      <c r="T15" s="339">
        <f t="shared" si="19"/>
        <v>7.9304085365302007E-2</v>
      </c>
      <c r="V15" s="592" t="str">
        <f>'[6]EDl log'!V32</f>
        <v>H Deg</v>
      </c>
      <c r="W15" s="589">
        <f>'[2]EDl log'!W32</f>
        <v>0</v>
      </c>
      <c r="X15" s="564">
        <f>'[8]EDl log'!X15</f>
        <v>0</v>
      </c>
      <c r="Y15" s="266"/>
      <c r="Z15" s="266"/>
      <c r="AA15" s="3"/>
      <c r="AB15" s="588">
        <f>'[2]EDl log'!AB32</f>
        <v>0</v>
      </c>
      <c r="AC15" s="593">
        <f>'[2]EDl log'!AC32</f>
        <v>0</v>
      </c>
    </row>
    <row r="16" spans="1:30" ht="15.75" thickBot="1">
      <c r="A16" s="163">
        <f>ELEC!C15</f>
        <v>44117</v>
      </c>
      <c r="B16" s="610">
        <v>527973</v>
      </c>
      <c r="C16" s="266">
        <f t="shared" si="0"/>
        <v>4778</v>
      </c>
      <c r="D16" s="311">
        <f t="shared" si="8"/>
        <v>4777</v>
      </c>
      <c r="E16" s="311">
        <f t="shared" si="11"/>
        <v>527972</v>
      </c>
      <c r="F16" s="611">
        <v>74044</v>
      </c>
      <c r="G16" s="160">
        <f t="shared" si="1"/>
        <v>1186</v>
      </c>
      <c r="H16" s="610">
        <v>270124</v>
      </c>
      <c r="I16" s="161">
        <f t="shared" si="2"/>
        <v>2351</v>
      </c>
      <c r="J16" s="610">
        <v>183805</v>
      </c>
      <c r="K16" s="162">
        <f t="shared" si="13"/>
        <v>1240</v>
      </c>
      <c r="L16" s="299">
        <f t="shared" si="14"/>
        <v>251.75456053067992</v>
      </c>
      <c r="M16" s="299">
        <f t="shared" si="15"/>
        <v>174.66799336650084</v>
      </c>
      <c r="N16" s="299">
        <f t="shared" si="16"/>
        <v>65.804311774461027</v>
      </c>
      <c r="O16" s="299">
        <f t="shared" si="7"/>
        <v>149.80939216508509</v>
      </c>
      <c r="P16" s="300">
        <f t="shared" si="17"/>
        <v>642.03625783672692</v>
      </c>
      <c r="Q16" s="300">
        <f>SUM(-tanks!AX18*tanks!$AU$37)</f>
        <v>469.21645161290274</v>
      </c>
      <c r="R16" s="300">
        <f t="shared" si="18"/>
        <v>1111.2527094496297</v>
      </c>
      <c r="S16" s="302">
        <f>SUM(ELEC!N15)</f>
        <v>11177</v>
      </c>
      <c r="T16" s="339">
        <f t="shared" si="19"/>
        <v>9.9423164485070215E-2</v>
      </c>
      <c r="V16" s="592" t="str">
        <f>'[6]EDl log'!V33</f>
        <v>C Deg</v>
      </c>
      <c r="W16" s="589">
        <f>'[2]EDl log'!$W$33</f>
        <v>306.99999999999983</v>
      </c>
      <c r="X16" s="564">
        <f>'[8]EDl log'!X16</f>
        <v>0</v>
      </c>
      <c r="Y16" s="564">
        <f>'[6]EDl log'!Y33</f>
        <v>0</v>
      </c>
      <c r="Z16" s="3"/>
      <c r="AA16" s="3"/>
      <c r="AB16" s="588">
        <f>'[2]EDl log'!AB33</f>
        <v>0</v>
      </c>
      <c r="AC16" s="593">
        <f>'[2]EDl log'!AC33</f>
        <v>0</v>
      </c>
    </row>
    <row r="17" spans="1:32" ht="15.75" thickBot="1">
      <c r="A17" s="163">
        <f>ELEC!C16</f>
        <v>44118</v>
      </c>
      <c r="B17" s="558">
        <v>531741</v>
      </c>
      <c r="C17" s="266">
        <f t="shared" si="0"/>
        <v>3768</v>
      </c>
      <c r="D17" s="311">
        <f t="shared" si="8"/>
        <v>3767</v>
      </c>
      <c r="E17" s="311">
        <f t="shared" si="11"/>
        <v>531740</v>
      </c>
      <c r="F17" s="558">
        <v>74773</v>
      </c>
      <c r="G17" s="160">
        <f t="shared" si="1"/>
        <v>729</v>
      </c>
      <c r="H17" s="558">
        <v>271597</v>
      </c>
      <c r="I17" s="161">
        <f t="shared" si="2"/>
        <v>1473</v>
      </c>
      <c r="J17" s="558">
        <v>185370</v>
      </c>
      <c r="K17" s="162">
        <f t="shared" si="13"/>
        <v>1565</v>
      </c>
      <c r="L17" s="299">
        <f t="shared" si="14"/>
        <v>154.74626865671641</v>
      </c>
      <c r="M17" s="299">
        <f t="shared" si="15"/>
        <v>109.436815920398</v>
      </c>
      <c r="N17" s="299">
        <f t="shared" si="16"/>
        <v>83.0514096185738</v>
      </c>
      <c r="O17" s="299">
        <f t="shared" si="7"/>
        <v>149.80939216508509</v>
      </c>
      <c r="P17" s="300">
        <f t="shared" si="17"/>
        <v>497.04388636077329</v>
      </c>
      <c r="Q17" s="300">
        <f>SUM(-tanks!AX19*tanks!$AU$37)</f>
        <v>385.7459032258144</v>
      </c>
      <c r="R17" s="300">
        <f t="shared" si="18"/>
        <v>882.78978958658763</v>
      </c>
      <c r="S17" s="302">
        <f>SUM(ELEC!N16)</f>
        <v>10182</v>
      </c>
      <c r="T17" s="339">
        <f t="shared" si="19"/>
        <v>8.6701020387604369E-2</v>
      </c>
      <c r="V17" s="255"/>
      <c r="W17" s="514"/>
      <c r="X17" s="17"/>
      <c r="Y17" s="437"/>
      <c r="Z17" s="514"/>
      <c r="AA17" s="514"/>
      <c r="AB17" s="588">
        <f>'[2]EDl log'!AB34</f>
        <v>0</v>
      </c>
      <c r="AC17" s="593">
        <f>'[2]EDl log'!AC34</f>
        <v>0</v>
      </c>
    </row>
    <row r="18" spans="1:32" ht="15.75" thickBot="1">
      <c r="A18" s="163">
        <f>ELEC!C17</f>
        <v>44119</v>
      </c>
      <c r="B18" s="558">
        <v>535998</v>
      </c>
      <c r="C18" s="266">
        <f t="shared" si="0"/>
        <v>4257</v>
      </c>
      <c r="D18" s="311">
        <f t="shared" si="8"/>
        <v>4257</v>
      </c>
      <c r="E18" s="311">
        <f t="shared" si="11"/>
        <v>535998</v>
      </c>
      <c r="F18" s="558">
        <v>75641</v>
      </c>
      <c r="G18" s="160">
        <f t="shared" si="1"/>
        <v>868</v>
      </c>
      <c r="H18" s="558">
        <v>273459</v>
      </c>
      <c r="I18" s="161">
        <f t="shared" si="2"/>
        <v>1862</v>
      </c>
      <c r="J18" s="558">
        <v>186897</v>
      </c>
      <c r="K18" s="162">
        <f t="shared" si="3"/>
        <v>1527</v>
      </c>
      <c r="L18" s="299">
        <f t="shared" ref="L18:L33" si="20">SUM(G18*$Y$28)/1507.5</f>
        <v>184.25207296849089</v>
      </c>
      <c r="M18" s="299">
        <f t="shared" ref="M18:M33" si="21">SUM(I18*$Y$27)/1507.5</f>
        <v>138.33764510779437</v>
      </c>
      <c r="N18" s="299">
        <f t="shared" ref="N18:N33" si="22">SUM(K18*$Y$26)/1507.5</f>
        <v>81.03482587064677</v>
      </c>
      <c r="O18" s="299">
        <f t="shared" si="7"/>
        <v>149.80939216508509</v>
      </c>
      <c r="P18" s="300">
        <f t="shared" si="9"/>
        <v>553.43393611201714</v>
      </c>
      <c r="Q18" s="300">
        <f>SUM(-tanks!AX20*tanks!$AU$37)</f>
        <v>308.90535483868894</v>
      </c>
      <c r="R18" s="300">
        <f t="shared" si="10"/>
        <v>862.33929095070607</v>
      </c>
      <c r="S18" s="302">
        <f>SUM(ELEC!N17)</f>
        <v>9917</v>
      </c>
      <c r="T18" s="339">
        <f t="shared" si="12"/>
        <v>8.6955661082051633E-2</v>
      </c>
      <c r="V18" s="230"/>
      <c r="W18" s="231"/>
      <c r="X18" s="231"/>
      <c r="Y18" s="437"/>
      <c r="Z18" s="514" t="str">
        <f>'[6]EDl log'!Z35</f>
        <v xml:space="preserve">VAT </v>
      </c>
      <c r="AA18" s="514">
        <f>'[6]EDl log'!AA35</f>
        <v>0.11</v>
      </c>
      <c r="AB18" s="588">
        <f>'[2]EDl log'!AB35</f>
        <v>2484039.0299999998</v>
      </c>
      <c r="AC18" s="593">
        <f>'[2]EDl log'!AC35</f>
        <v>0</v>
      </c>
    </row>
    <row r="19" spans="1:32" ht="15.75" thickBot="1">
      <c r="A19" s="163">
        <f>ELEC!C18</f>
        <v>44120</v>
      </c>
      <c r="B19" s="558">
        <v>540013</v>
      </c>
      <c r="C19" s="266">
        <f t="shared" si="0"/>
        <v>4015</v>
      </c>
      <c r="D19" s="311">
        <f t="shared" si="8"/>
        <v>4016</v>
      </c>
      <c r="E19" s="311">
        <f t="shared" si="11"/>
        <v>540014</v>
      </c>
      <c r="F19" s="558">
        <v>76611</v>
      </c>
      <c r="G19" s="160">
        <f t="shared" si="1"/>
        <v>970</v>
      </c>
      <c r="H19" s="558">
        <v>275123</v>
      </c>
      <c r="I19" s="161">
        <f t="shared" si="2"/>
        <v>1664</v>
      </c>
      <c r="J19" s="558">
        <v>188279</v>
      </c>
      <c r="K19" s="162">
        <f t="shared" si="3"/>
        <v>1382</v>
      </c>
      <c r="L19" s="299">
        <f t="shared" si="20"/>
        <v>205.90381426202322</v>
      </c>
      <c r="M19" s="299">
        <f t="shared" si="21"/>
        <v>123.62719734660033</v>
      </c>
      <c r="N19" s="299">
        <f t="shared" si="22"/>
        <v>73.339966832504146</v>
      </c>
      <c r="O19" s="299">
        <f t="shared" si="7"/>
        <v>149.80939216508509</v>
      </c>
      <c r="P19" s="300">
        <f t="shared" si="9"/>
        <v>552.68037060621282</v>
      </c>
      <c r="Q19" s="300">
        <f>SUM(-tanks!AX21*tanks!$AU$37)</f>
        <v>344.43261290323238</v>
      </c>
      <c r="R19" s="300">
        <f t="shared" si="10"/>
        <v>897.11298350944526</v>
      </c>
      <c r="S19" s="302">
        <f>SUM(ELEC!N18)</f>
        <v>9359</v>
      </c>
      <c r="T19" s="339">
        <f t="shared" si="12"/>
        <v>9.5855645208830567E-2</v>
      </c>
      <c r="V19" s="230"/>
      <c r="W19" s="231"/>
      <c r="X19" s="231"/>
      <c r="Y19" s="594"/>
      <c r="Z19" s="594"/>
      <c r="AA19" s="595"/>
      <c r="AB19" s="596">
        <f>'[2]EDl log'!AB36</f>
        <v>25066212.030000001</v>
      </c>
      <c r="AC19" s="597">
        <f>'[2]EDl log'!AC36</f>
        <v>0</v>
      </c>
    </row>
    <row r="20" spans="1:32" ht="15.75" thickBot="1">
      <c r="A20" s="163">
        <f>ELEC!C19</f>
        <v>44121</v>
      </c>
      <c r="B20" s="558">
        <v>544297</v>
      </c>
      <c r="C20" s="266">
        <f t="shared" si="0"/>
        <v>4284</v>
      </c>
      <c r="D20" s="311">
        <f t="shared" si="8"/>
        <v>4283</v>
      </c>
      <c r="E20" s="311">
        <f t="shared" si="11"/>
        <v>544296</v>
      </c>
      <c r="F20" s="558">
        <v>77260</v>
      </c>
      <c r="G20" s="160">
        <f t="shared" si="1"/>
        <v>649</v>
      </c>
      <c r="H20" s="558">
        <v>277292</v>
      </c>
      <c r="I20" s="161">
        <f t="shared" si="2"/>
        <v>2169</v>
      </c>
      <c r="J20" s="558">
        <v>189744</v>
      </c>
      <c r="K20" s="162">
        <f t="shared" si="3"/>
        <v>1465</v>
      </c>
      <c r="L20" s="299">
        <f t="shared" si="20"/>
        <v>137.76451077943616</v>
      </c>
      <c r="M20" s="299">
        <f t="shared" si="21"/>
        <v>161.14626865671642</v>
      </c>
      <c r="N20" s="299">
        <f t="shared" si="22"/>
        <v>77.744610281923713</v>
      </c>
      <c r="O20" s="299">
        <f t="shared" si="7"/>
        <v>149.80939216508509</v>
      </c>
      <c r="P20" s="300">
        <f t="shared" si="9"/>
        <v>526.46478188316132</v>
      </c>
      <c r="Q20" s="300">
        <f>SUM(-tanks!AX22*tanks!$AU$37)</f>
        <v>164.7398709677461</v>
      </c>
      <c r="R20" s="300">
        <f t="shared" si="10"/>
        <v>691.20465285090745</v>
      </c>
      <c r="S20" s="302">
        <f>SUM(ELEC!N19)</f>
        <v>9178</v>
      </c>
      <c r="T20" s="339">
        <f t="shared" si="12"/>
        <v>7.5311032125834329E-2</v>
      </c>
      <c r="V20" t="s">
        <v>414</v>
      </c>
      <c r="AB20" s="591"/>
    </row>
    <row r="21" spans="1:32">
      <c r="A21" s="163">
        <f>ELEC!C20</f>
        <v>44122</v>
      </c>
      <c r="B21" s="614">
        <v>548021</v>
      </c>
      <c r="C21" s="266">
        <f t="shared" si="0"/>
        <v>3724</v>
      </c>
      <c r="D21" s="311">
        <f t="shared" si="8"/>
        <v>3724</v>
      </c>
      <c r="E21" s="311">
        <f t="shared" si="11"/>
        <v>548021</v>
      </c>
      <c r="F21" s="611">
        <v>77728</v>
      </c>
      <c r="G21" s="160">
        <f t="shared" si="1"/>
        <v>468</v>
      </c>
      <c r="H21" s="614">
        <v>279066</v>
      </c>
      <c r="I21" s="161">
        <f t="shared" si="2"/>
        <v>1774</v>
      </c>
      <c r="J21" s="614">
        <v>191226</v>
      </c>
      <c r="K21" s="162">
        <f t="shared" si="3"/>
        <v>1482</v>
      </c>
      <c r="L21" s="299">
        <f t="shared" si="20"/>
        <v>99.343283582089555</v>
      </c>
      <c r="M21" s="299">
        <f t="shared" si="21"/>
        <v>131.79966832504147</v>
      </c>
      <c r="N21" s="299">
        <f t="shared" si="22"/>
        <v>78.646766169154233</v>
      </c>
      <c r="O21" s="299">
        <f t="shared" si="7"/>
        <v>149.80939216508509</v>
      </c>
      <c r="P21" s="300">
        <f t="shared" si="9"/>
        <v>459.59911024137034</v>
      </c>
      <c r="Q21" s="300">
        <f>SUM(-tanks!AX23*tanks!$AU$37)</f>
        <v>421.4475483870869</v>
      </c>
      <c r="R21" s="300">
        <f t="shared" si="10"/>
        <v>881.04665862845718</v>
      </c>
      <c r="S21" s="302">
        <f>SUM(ELEC!N20)</f>
        <v>8824</v>
      </c>
      <c r="T21" s="339">
        <f t="shared" si="12"/>
        <v>9.9846629490985633E-2</v>
      </c>
      <c r="V21" s="166" t="s">
        <v>201</v>
      </c>
      <c r="W21" s="167">
        <v>44124</v>
      </c>
      <c r="X21" s="168"/>
      <c r="Y21" s="168"/>
      <c r="Z21" s="169" t="s">
        <v>202</v>
      </c>
      <c r="AA21" s="168"/>
      <c r="AB21" s="678"/>
      <c r="AC21" s="679"/>
    </row>
    <row r="22" spans="1:32">
      <c r="A22" s="163">
        <f>ELEC!C21</f>
        <v>44123</v>
      </c>
      <c r="B22" s="615">
        <v>552206</v>
      </c>
      <c r="C22" s="266">
        <f t="shared" si="0"/>
        <v>4185</v>
      </c>
      <c r="D22" s="311">
        <f t="shared" si="8"/>
        <v>4185</v>
      </c>
      <c r="E22" s="311">
        <f t="shared" si="11"/>
        <v>552206</v>
      </c>
      <c r="F22" s="611">
        <v>78524</v>
      </c>
      <c r="G22" s="160">
        <f t="shared" si="1"/>
        <v>796</v>
      </c>
      <c r="H22" s="615">
        <v>280650</v>
      </c>
      <c r="I22" s="161">
        <f t="shared" si="2"/>
        <v>1584</v>
      </c>
      <c r="J22" s="615">
        <v>193031</v>
      </c>
      <c r="K22" s="162">
        <f t="shared" si="3"/>
        <v>1805</v>
      </c>
      <c r="L22" s="299">
        <f t="shared" si="20"/>
        <v>168.96849087893864</v>
      </c>
      <c r="M22" s="299">
        <f t="shared" si="21"/>
        <v>117.68358208955223</v>
      </c>
      <c r="N22" s="299">
        <f t="shared" si="22"/>
        <v>95.787728026533998</v>
      </c>
      <c r="O22" s="299">
        <f t="shared" si="7"/>
        <v>149.80939216508509</v>
      </c>
      <c r="P22" s="300">
        <f t="shared" si="9"/>
        <v>532.24919316010994</v>
      </c>
      <c r="Q22" s="300">
        <f>SUM(-tanks!AX24*tanks!$AU$37)</f>
        <v>130.39548387097994</v>
      </c>
      <c r="R22" s="300">
        <f t="shared" si="10"/>
        <v>662.64467703108994</v>
      </c>
      <c r="S22" s="302">
        <f>SUM(ELEC!N21)</f>
        <v>9544</v>
      </c>
      <c r="T22" s="339">
        <f t="shared" si="12"/>
        <v>6.943049843158948E-2</v>
      </c>
      <c r="V22" s="684"/>
      <c r="W22" s="685"/>
      <c r="X22" s="685"/>
      <c r="Y22" s="686"/>
      <c r="Z22" s="26" t="s">
        <v>203</v>
      </c>
      <c r="AA22" s="26">
        <v>5000</v>
      </c>
      <c r="AB22" s="680"/>
      <c r="AC22" s="681"/>
    </row>
    <row r="23" spans="1:32" ht="15.75" thickBot="1">
      <c r="A23" s="163">
        <f>ELEC!C22</f>
        <v>44124</v>
      </c>
      <c r="B23" s="616">
        <v>555951</v>
      </c>
      <c r="C23" s="266">
        <f t="shared" si="0"/>
        <v>3745</v>
      </c>
      <c r="D23" s="311">
        <f t="shared" si="8"/>
        <v>3746</v>
      </c>
      <c r="E23" s="311">
        <f t="shared" si="11"/>
        <v>555952</v>
      </c>
      <c r="F23" s="611">
        <v>79276</v>
      </c>
      <c r="G23" s="160">
        <f t="shared" si="1"/>
        <v>752</v>
      </c>
      <c r="H23" s="616">
        <v>282384</v>
      </c>
      <c r="I23" s="161">
        <f t="shared" si="2"/>
        <v>1734</v>
      </c>
      <c r="J23" s="616">
        <v>194291</v>
      </c>
      <c r="K23" s="162">
        <f t="shared" si="3"/>
        <v>1260</v>
      </c>
      <c r="L23" s="299">
        <f t="shared" si="20"/>
        <v>159.62852404643451</v>
      </c>
      <c r="M23" s="299">
        <f t="shared" si="21"/>
        <v>128.8278606965174</v>
      </c>
      <c r="N23" s="299">
        <f t="shared" si="22"/>
        <v>66.865671641791039</v>
      </c>
      <c r="O23" s="299">
        <f t="shared" si="7"/>
        <v>149.80939216508509</v>
      </c>
      <c r="P23" s="300">
        <f t="shared" si="9"/>
        <v>505.13144854982806</v>
      </c>
      <c r="Q23" s="300">
        <f>SUM(-tanks!AX25*tanks!$AU$37)</f>
        <v>527.70193548386783</v>
      </c>
      <c r="R23" s="300">
        <f t="shared" si="10"/>
        <v>1032.8333840336959</v>
      </c>
      <c r="S23" s="302">
        <f>SUM(ELEC!N22)</f>
        <v>9684</v>
      </c>
      <c r="T23" s="339">
        <f t="shared" si="12"/>
        <v>0.10665359190765138</v>
      </c>
      <c r="V23" s="687"/>
      <c r="W23" s="688"/>
      <c r="X23" s="688"/>
      <c r="Y23" s="689"/>
      <c r="Z23" s="690"/>
      <c r="AA23" s="691"/>
      <c r="AB23" s="680"/>
      <c r="AC23" s="681"/>
    </row>
    <row r="24" spans="1:32" ht="15" customHeight="1" thickBot="1">
      <c r="A24" s="163">
        <f>ELEC!C23</f>
        <v>44125</v>
      </c>
      <c r="B24" s="558">
        <v>559472</v>
      </c>
      <c r="C24" s="266">
        <f t="shared" si="0"/>
        <v>3521</v>
      </c>
      <c r="D24" s="311">
        <f t="shared" si="8"/>
        <v>3521</v>
      </c>
      <c r="E24" s="311">
        <f t="shared" si="11"/>
        <v>559472</v>
      </c>
      <c r="F24" s="558">
        <v>80072</v>
      </c>
      <c r="G24" s="160">
        <f t="shared" si="1"/>
        <v>796</v>
      </c>
      <c r="H24" s="558">
        <v>283877</v>
      </c>
      <c r="I24" s="161">
        <f t="shared" si="2"/>
        <v>1493</v>
      </c>
      <c r="J24" s="558">
        <v>195523</v>
      </c>
      <c r="K24" s="162">
        <f t="shared" si="3"/>
        <v>1232</v>
      </c>
      <c r="L24" s="299">
        <f t="shared" si="20"/>
        <v>168.96849087893864</v>
      </c>
      <c r="M24" s="299">
        <f t="shared" si="21"/>
        <v>110.92271973466003</v>
      </c>
      <c r="N24" s="299">
        <f t="shared" si="22"/>
        <v>65.379767827529022</v>
      </c>
      <c r="O24" s="299">
        <f t="shared" si="7"/>
        <v>149.80939216508509</v>
      </c>
      <c r="P24" s="300">
        <f t="shared" si="9"/>
        <v>495.0803706062128</v>
      </c>
      <c r="Q24" s="300">
        <f>SUM(-tanks!AX26*tanks!$AU$37)</f>
        <v>-337.9654838709651</v>
      </c>
      <c r="R24" s="300">
        <f t="shared" si="10"/>
        <v>157.11488673524769</v>
      </c>
      <c r="S24" s="302">
        <f>SUM(ELEC!N23)</f>
        <v>9285</v>
      </c>
      <c r="T24" s="339">
        <f t="shared" si="12"/>
        <v>1.6921366368901205E-2</v>
      </c>
      <c r="V24" s="692" t="s">
        <v>204</v>
      </c>
      <c r="W24" s="693"/>
      <c r="X24" s="694" t="s">
        <v>205</v>
      </c>
      <c r="Y24" s="695"/>
      <c r="Z24" s="696"/>
      <c r="AA24" s="170"/>
      <c r="AB24" s="682"/>
      <c r="AC24" s="683"/>
    </row>
    <row r="25" spans="1:32" ht="17.25" customHeight="1">
      <c r="A25" s="163">
        <f>ELEC!C24</f>
        <v>44126</v>
      </c>
      <c r="B25" s="618">
        <v>563316</v>
      </c>
      <c r="C25" s="266">
        <f t="shared" si="0"/>
        <v>3844</v>
      </c>
      <c r="D25" s="311">
        <f t="shared" si="8"/>
        <v>3843</v>
      </c>
      <c r="E25" s="311">
        <f t="shared" si="11"/>
        <v>563315</v>
      </c>
      <c r="F25" s="558">
        <v>80550</v>
      </c>
      <c r="G25" s="160">
        <f t="shared" si="1"/>
        <v>478</v>
      </c>
      <c r="H25" s="558">
        <v>285238</v>
      </c>
      <c r="I25" s="161">
        <f t="shared" si="2"/>
        <v>1361</v>
      </c>
      <c r="J25" s="558">
        <v>197527</v>
      </c>
      <c r="K25" s="162">
        <f t="shared" si="3"/>
        <v>2004</v>
      </c>
      <c r="L25" s="299">
        <f t="shared" si="20"/>
        <v>101.46600331674959</v>
      </c>
      <c r="M25" s="299">
        <f t="shared" si="21"/>
        <v>101.11575456053068</v>
      </c>
      <c r="N25" s="299">
        <f t="shared" si="22"/>
        <v>106.34825870646766</v>
      </c>
      <c r="O25" s="299">
        <f t="shared" si="7"/>
        <v>149.80939216508509</v>
      </c>
      <c r="P25" s="300">
        <f t="shared" si="9"/>
        <v>458.73940874883306</v>
      </c>
      <c r="Q25" s="300">
        <f>SUM(-tanks!AX27*tanks!$AU$37)</f>
        <v>723.88741935483301</v>
      </c>
      <c r="R25" s="300">
        <f t="shared" si="10"/>
        <v>1182.626828103666</v>
      </c>
      <c r="S25" s="302">
        <f>SUM(ELEC!N24)</f>
        <v>10813</v>
      </c>
      <c r="T25" s="339">
        <f t="shared" si="12"/>
        <v>0.10937083400570295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44127</v>
      </c>
      <c r="B26" s="619">
        <v>568136</v>
      </c>
      <c r="C26" s="266">
        <f t="shared" si="0"/>
        <v>4820</v>
      </c>
      <c r="D26" s="311">
        <f t="shared" si="8"/>
        <v>4820</v>
      </c>
      <c r="E26" s="311">
        <f t="shared" si="11"/>
        <v>568136</v>
      </c>
      <c r="F26" s="611">
        <v>81581</v>
      </c>
      <c r="G26" s="160">
        <f t="shared" si="1"/>
        <v>1031</v>
      </c>
      <c r="H26" s="619">
        <v>287537</v>
      </c>
      <c r="I26" s="161">
        <f t="shared" si="2"/>
        <v>2299</v>
      </c>
      <c r="J26" s="619">
        <v>199017</v>
      </c>
      <c r="K26" s="162">
        <f t="shared" si="3"/>
        <v>1490</v>
      </c>
      <c r="L26" s="299">
        <f t="shared" si="20"/>
        <v>218.85240464344943</v>
      </c>
      <c r="M26" s="299">
        <f t="shared" si="21"/>
        <v>170.80464344941956</v>
      </c>
      <c r="N26" s="299">
        <f t="shared" si="22"/>
        <v>79.071310116086238</v>
      </c>
      <c r="O26" s="299">
        <f t="shared" si="7"/>
        <v>149.80939216508509</v>
      </c>
      <c r="P26" s="300">
        <f t="shared" si="9"/>
        <v>618.53775037404034</v>
      </c>
      <c r="Q26" s="300">
        <f>SUM(-tanks!AX28*tanks!$AU$37)</f>
        <v>251.10096774193022</v>
      </c>
      <c r="R26" s="300">
        <f t="shared" si="10"/>
        <v>869.63871811597051</v>
      </c>
      <c r="S26" s="302">
        <f>SUM(ELEC!N25)</f>
        <v>11168</v>
      </c>
      <c r="T26" s="339">
        <f t="shared" si="12"/>
        <v>7.786879639290567E-2</v>
      </c>
      <c r="V26" s="256">
        <f>W9</f>
        <v>164328</v>
      </c>
      <c r="W26" s="170">
        <f>J33</f>
        <v>208716</v>
      </c>
      <c r="X26" s="172" t="s">
        <v>199</v>
      </c>
      <c r="Y26" s="172">
        <v>80</v>
      </c>
      <c r="Z26" s="172">
        <v>1</v>
      </c>
      <c r="AA26" s="341">
        <f>(W26-V26)*Z26</f>
        <v>44388</v>
      </c>
      <c r="AB26" s="341">
        <f>AA26*Y26</f>
        <v>3551040</v>
      </c>
      <c r="AC26" s="251">
        <f>AC9</f>
        <v>1033333</v>
      </c>
      <c r="AD26" s="213">
        <f>SUM(K37)</f>
        <v>0.34629697532357095</v>
      </c>
    </row>
    <row r="27" spans="1:32" ht="15.75" thickBot="1">
      <c r="A27" s="163">
        <f>ELEC!C26</f>
        <v>44128</v>
      </c>
      <c r="B27" s="558">
        <v>572023</v>
      </c>
      <c r="C27" s="266">
        <f t="shared" si="0"/>
        <v>3887</v>
      </c>
      <c r="D27" s="311">
        <f t="shared" si="8"/>
        <v>3887</v>
      </c>
      <c r="E27" s="311">
        <f t="shared" si="11"/>
        <v>572023</v>
      </c>
      <c r="F27" s="558">
        <v>82201</v>
      </c>
      <c r="G27" s="160">
        <f t="shared" si="1"/>
        <v>620</v>
      </c>
      <c r="H27" s="558">
        <v>289345</v>
      </c>
      <c r="I27" s="161">
        <f t="shared" si="2"/>
        <v>1808</v>
      </c>
      <c r="J27" s="558">
        <v>200476</v>
      </c>
      <c r="K27" s="162">
        <f t="shared" si="3"/>
        <v>1459</v>
      </c>
      <c r="L27" s="299">
        <f t="shared" si="20"/>
        <v>131.60862354892205</v>
      </c>
      <c r="M27" s="299">
        <f t="shared" si="21"/>
        <v>134.32570480928689</v>
      </c>
      <c r="N27" s="299">
        <f t="shared" si="22"/>
        <v>77.426202321724716</v>
      </c>
      <c r="O27" s="299">
        <f t="shared" si="7"/>
        <v>149.80939216508509</v>
      </c>
      <c r="P27" s="300">
        <f t="shared" si="9"/>
        <v>493.16992284501873</v>
      </c>
      <c r="Q27" s="300">
        <f>SUM(-tanks!AX29*tanks!$AU$37)</f>
        <v>269.46096774193762</v>
      </c>
      <c r="R27" s="300">
        <f t="shared" si="10"/>
        <v>762.63089058695641</v>
      </c>
      <c r="S27" s="302">
        <f>SUM(ELEC!N26)</f>
        <v>9035</v>
      </c>
      <c r="T27" s="339">
        <f t="shared" si="12"/>
        <v>8.4408510302928216E-2</v>
      </c>
      <c r="V27" s="256">
        <f t="shared" ref="V27:V28" si="23">W10</f>
        <v>242131</v>
      </c>
      <c r="W27" s="170">
        <f>H33</f>
        <v>302891</v>
      </c>
      <c r="X27" s="172" t="s">
        <v>213</v>
      </c>
      <c r="Y27" s="172">
        <v>112</v>
      </c>
      <c r="Z27" s="172">
        <v>1</v>
      </c>
      <c r="AA27" s="341">
        <f>(W27-V27)*Z27</f>
        <v>60760</v>
      </c>
      <c r="AB27" s="341">
        <f>SUM(AA27*Y27)</f>
        <v>6805120</v>
      </c>
      <c r="AC27" s="251">
        <f>AC10</f>
        <v>6200000</v>
      </c>
      <c r="AD27" s="213">
        <f>SUM(I37)</f>
        <v>0.47402460621474657</v>
      </c>
    </row>
    <row r="28" spans="1:32" ht="15.75" thickBot="1">
      <c r="A28" s="163">
        <f>ELEC!C27</f>
        <v>44129</v>
      </c>
      <c r="B28" s="558">
        <v>576349</v>
      </c>
      <c r="C28" s="266">
        <f t="shared" si="0"/>
        <v>4326</v>
      </c>
      <c r="D28" s="311">
        <f t="shared" si="8"/>
        <v>4027</v>
      </c>
      <c r="E28" s="311">
        <f t="shared" si="11"/>
        <v>576050</v>
      </c>
      <c r="F28" s="558">
        <v>82616</v>
      </c>
      <c r="G28" s="160">
        <f t="shared" si="1"/>
        <v>415</v>
      </c>
      <c r="H28" s="558">
        <v>291744</v>
      </c>
      <c r="I28" s="161">
        <f t="shared" si="2"/>
        <v>2399</v>
      </c>
      <c r="J28" s="558">
        <v>201689</v>
      </c>
      <c r="K28" s="162">
        <f t="shared" si="3"/>
        <v>1213</v>
      </c>
      <c r="L28" s="299">
        <f t="shared" si="20"/>
        <v>88.092868988391373</v>
      </c>
      <c r="M28" s="299">
        <f t="shared" si="21"/>
        <v>178.23416252072968</v>
      </c>
      <c r="N28" s="299">
        <f t="shared" si="22"/>
        <v>64.371475953565508</v>
      </c>
      <c r="O28" s="299">
        <f t="shared" si="7"/>
        <v>149.80939216508509</v>
      </c>
      <c r="P28" s="300">
        <f t="shared" si="9"/>
        <v>480.50789962777162</v>
      </c>
      <c r="Q28" s="300">
        <f>SUM(-tanks!AX30*tanks!$AU$37)</f>
        <v>393.73645161291017</v>
      </c>
      <c r="R28" s="300">
        <f t="shared" si="10"/>
        <v>874.24435124068179</v>
      </c>
      <c r="S28" s="302">
        <f>SUM(ELEC!N27)</f>
        <v>10172</v>
      </c>
      <c r="T28" s="339">
        <f t="shared" si="12"/>
        <v>8.5946161152249484E-2</v>
      </c>
      <c r="V28" s="256">
        <f t="shared" si="23"/>
        <v>63298</v>
      </c>
      <c r="W28" s="170">
        <f>F33</f>
        <v>86327</v>
      </c>
      <c r="X28" s="172" t="s">
        <v>197</v>
      </c>
      <c r="Y28" s="172">
        <v>320</v>
      </c>
      <c r="Z28" s="172">
        <v>1</v>
      </c>
      <c r="AA28" s="341">
        <f>(W28-V28)*Z28</f>
        <v>23029</v>
      </c>
      <c r="AB28" s="341">
        <f>SUM(AA28*Y28)</f>
        <v>7369280</v>
      </c>
      <c r="AC28" s="251">
        <f>AC11</f>
        <v>1000</v>
      </c>
      <c r="AD28" s="213">
        <f>SUM(G37)</f>
        <v>0.17966281528175443</v>
      </c>
      <c r="AE28" s="40">
        <f>SUM(AB28*5%)</f>
        <v>368464</v>
      </c>
      <c r="AF28" s="82">
        <f>SUM(AE28/7)*31</f>
        <v>1631769.1428571427</v>
      </c>
    </row>
    <row r="29" spans="1:32" ht="15.75" thickBot="1">
      <c r="A29" s="163">
        <f>ELEC!C28</f>
        <v>44130</v>
      </c>
      <c r="B29" s="558">
        <v>580010</v>
      </c>
      <c r="C29" s="266">
        <f t="shared" si="0"/>
        <v>3661</v>
      </c>
      <c r="D29" s="311">
        <f t="shared" si="8"/>
        <v>3960</v>
      </c>
      <c r="E29" s="311">
        <f t="shared" si="11"/>
        <v>580309</v>
      </c>
      <c r="F29" s="558">
        <v>83384</v>
      </c>
      <c r="G29" s="160">
        <f t="shared" si="1"/>
        <v>768</v>
      </c>
      <c r="H29" s="558">
        <v>293559</v>
      </c>
      <c r="I29" s="161">
        <f t="shared" si="2"/>
        <v>1815</v>
      </c>
      <c r="J29" s="558">
        <v>203066</v>
      </c>
      <c r="K29" s="162">
        <f t="shared" si="3"/>
        <v>1377</v>
      </c>
      <c r="L29" s="299">
        <f t="shared" si="20"/>
        <v>163.02487562189054</v>
      </c>
      <c r="M29" s="299">
        <f t="shared" si="21"/>
        <v>134.84577114427861</v>
      </c>
      <c r="N29" s="299">
        <f t="shared" si="22"/>
        <v>73.074626865671647</v>
      </c>
      <c r="O29" s="299">
        <f t="shared" si="7"/>
        <v>149.80939216508509</v>
      </c>
      <c r="P29" s="300">
        <f t="shared" si="9"/>
        <v>520.75466579692591</v>
      </c>
      <c r="Q29" s="300">
        <f>SUM(-tanks!AX31*tanks!$AU$37)</f>
        <v>380.98645161291017</v>
      </c>
      <c r="R29" s="300">
        <f t="shared" si="10"/>
        <v>901.74111740983608</v>
      </c>
      <c r="S29" s="302">
        <f>SUM(ELEC!N28)</f>
        <v>9306</v>
      </c>
      <c r="T29" s="339">
        <f t="shared" si="12"/>
        <v>9.6898895058009471E-2</v>
      </c>
      <c r="V29" s="214"/>
      <c r="W29" s="215"/>
      <c r="X29" s="215"/>
      <c r="Y29" s="216"/>
      <c r="Z29" s="3"/>
      <c r="AA29" s="341">
        <f>SUM(AA26:AA28)</f>
        <v>128177</v>
      </c>
      <c r="AB29" s="341"/>
      <c r="AC29" s="251"/>
    </row>
    <row r="30" spans="1:32" ht="14.25" customHeight="1">
      <c r="A30" s="163">
        <f>ELEC!C29</f>
        <v>44131</v>
      </c>
      <c r="B30" s="558">
        <v>584094</v>
      </c>
      <c r="C30" s="266">
        <f t="shared" si="0"/>
        <v>4084</v>
      </c>
      <c r="D30" s="311">
        <f t="shared" si="8"/>
        <v>4084</v>
      </c>
      <c r="E30" s="311">
        <f t="shared" si="11"/>
        <v>584094</v>
      </c>
      <c r="F30" s="558">
        <v>84131</v>
      </c>
      <c r="G30" s="160">
        <f t="shared" si="1"/>
        <v>747</v>
      </c>
      <c r="H30" s="558">
        <v>295466</v>
      </c>
      <c r="I30" s="161">
        <f t="shared" si="2"/>
        <v>1907</v>
      </c>
      <c r="J30" s="558">
        <v>204496</v>
      </c>
      <c r="K30" s="162">
        <f t="shared" si="3"/>
        <v>1430</v>
      </c>
      <c r="L30" s="299">
        <f t="shared" si="20"/>
        <v>158.56716417910448</v>
      </c>
      <c r="M30" s="299">
        <f t="shared" si="21"/>
        <v>141.68092868988393</v>
      </c>
      <c r="N30" s="299">
        <f t="shared" si="22"/>
        <v>75.887230514096188</v>
      </c>
      <c r="O30" s="299">
        <f t="shared" si="7"/>
        <v>149.80939216508509</v>
      </c>
      <c r="P30" s="300">
        <f t="shared" si="9"/>
        <v>525.94471554816971</v>
      </c>
      <c r="Q30" s="300">
        <f>SUM(-tanks!AX32*tanks!$AU$37)</f>
        <v>548.61193548386041</v>
      </c>
      <c r="R30" s="300">
        <f t="shared" si="10"/>
        <v>1074.55665103203</v>
      </c>
      <c r="S30" s="302">
        <f>SUM(ELEC!N29)</f>
        <v>10645</v>
      </c>
      <c r="T30" s="339">
        <f t="shared" si="12"/>
        <v>0.10094473001710005</v>
      </c>
      <c r="V30" s="217" t="s">
        <v>316</v>
      </c>
      <c r="W30" s="450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17725440</v>
      </c>
      <c r="AC30" s="251">
        <f>SUM(AC26:AC29)/A38*A36</f>
        <v>7000967.4193548393</v>
      </c>
    </row>
    <row r="31" spans="1:32" ht="15.75" thickBot="1">
      <c r="A31" s="163">
        <f>ELEC!C30</f>
        <v>44132</v>
      </c>
      <c r="B31" s="620">
        <v>588625</v>
      </c>
      <c r="C31" s="266">
        <f t="shared" si="0"/>
        <v>4531</v>
      </c>
      <c r="D31" s="311">
        <f t="shared" si="8"/>
        <v>4531</v>
      </c>
      <c r="E31" s="311">
        <f t="shared" si="11"/>
        <v>588625</v>
      </c>
      <c r="F31" s="611">
        <v>84719</v>
      </c>
      <c r="G31" s="160">
        <f t="shared" si="1"/>
        <v>588</v>
      </c>
      <c r="H31" s="620">
        <v>297605</v>
      </c>
      <c r="I31" s="161">
        <f t="shared" si="2"/>
        <v>2139</v>
      </c>
      <c r="J31" s="620">
        <v>206300</v>
      </c>
      <c r="K31" s="162">
        <f t="shared" si="3"/>
        <v>1804</v>
      </c>
      <c r="L31" s="299">
        <f t="shared" si="20"/>
        <v>124.81592039800995</v>
      </c>
      <c r="M31" s="299">
        <f t="shared" si="21"/>
        <v>158.91741293532337</v>
      </c>
      <c r="N31" s="299">
        <f t="shared" si="22"/>
        <v>95.734660033167501</v>
      </c>
      <c r="O31" s="299">
        <f t="shared" si="7"/>
        <v>149.80939216508509</v>
      </c>
      <c r="P31" s="300">
        <f t="shared" si="9"/>
        <v>529.27738553158599</v>
      </c>
      <c r="Q31" s="300">
        <f>SUM(-tanks!AX33*tanks!$AU$37)</f>
        <v>-564.24096774193026</v>
      </c>
      <c r="R31" s="300">
        <f t="shared" si="10"/>
        <v>-34.963582210344271</v>
      </c>
      <c r="S31" s="302">
        <f>SUM(ELEC!N30)</f>
        <v>10433</v>
      </c>
      <c r="T31" s="339">
        <f t="shared" si="12"/>
        <v>-3.3512491335516408E-3</v>
      </c>
      <c r="V31" s="217" t="s">
        <v>317</v>
      </c>
      <c r="W31" s="218">
        <f>SUM(GEN!U34)</f>
        <v>103</v>
      </c>
      <c r="X31" s="223">
        <f>SUM(W31/A36)</f>
        <v>3.4333333333333331</v>
      </c>
      <c r="Y31" s="262">
        <f>SUM(X31/2)</f>
        <v>1.7166666666666666</v>
      </c>
      <c r="Z31" s="3"/>
      <c r="AA31" s="3"/>
      <c r="AB31" s="562">
        <f>SUM(AB30+AC31)</f>
        <v>24726407.419354841</v>
      </c>
      <c r="AC31" s="251">
        <f>SUM(AC30)</f>
        <v>7000967.4193548393</v>
      </c>
    </row>
    <row r="32" spans="1:32" ht="15.75" thickBot="1">
      <c r="A32" s="163">
        <f>ELEC!C31</f>
        <v>44133</v>
      </c>
      <c r="B32" s="558">
        <v>593175</v>
      </c>
      <c r="C32" s="266">
        <f t="shared" si="0"/>
        <v>4550</v>
      </c>
      <c r="D32" s="311">
        <f t="shared" si="8"/>
        <v>4549</v>
      </c>
      <c r="E32" s="311">
        <f t="shared" si="11"/>
        <v>593174</v>
      </c>
      <c r="F32" s="558">
        <v>85601</v>
      </c>
      <c r="G32" s="160">
        <f t="shared" si="1"/>
        <v>882</v>
      </c>
      <c r="H32" s="558">
        <v>300432</v>
      </c>
      <c r="I32" s="161">
        <f t="shared" si="2"/>
        <v>2827</v>
      </c>
      <c r="J32" s="558">
        <v>207140</v>
      </c>
      <c r="K32" s="162">
        <f t="shared" si="3"/>
        <v>840</v>
      </c>
      <c r="L32" s="299">
        <f t="shared" si="20"/>
        <v>187.22388059701493</v>
      </c>
      <c r="M32" s="299">
        <f t="shared" si="21"/>
        <v>210.03250414593697</v>
      </c>
      <c r="N32" s="299">
        <f t="shared" si="22"/>
        <v>44.5771144278607</v>
      </c>
      <c r="O32" s="299">
        <f t="shared" si="7"/>
        <v>149.80939216508509</v>
      </c>
      <c r="P32" s="300">
        <f t="shared" si="9"/>
        <v>591.64289133589773</v>
      </c>
      <c r="Q32" s="300">
        <f>SUM(-tanks!AX34*tanks!$AU$37)</f>
        <v>385.06645161290277</v>
      </c>
      <c r="R32" s="300">
        <f t="shared" si="10"/>
        <v>976.70934294880044</v>
      </c>
      <c r="S32" s="302">
        <f>SUM(ELEC!N31)</f>
        <v>10482</v>
      </c>
      <c r="T32" s="339">
        <f t="shared" si="12"/>
        <v>9.3179674007708491E-2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44134</v>
      </c>
      <c r="B33" s="558">
        <v>597935</v>
      </c>
      <c r="C33" s="266">
        <f t="shared" si="0"/>
        <v>4760</v>
      </c>
      <c r="D33" s="311">
        <f t="shared" si="8"/>
        <v>4761</v>
      </c>
      <c r="E33" s="311">
        <f t="shared" si="11"/>
        <v>597936</v>
      </c>
      <c r="F33" s="558">
        <v>86327</v>
      </c>
      <c r="G33" s="160">
        <f>F33-F32</f>
        <v>726</v>
      </c>
      <c r="H33" s="558">
        <v>302891</v>
      </c>
      <c r="I33" s="161">
        <f t="shared" si="2"/>
        <v>2459</v>
      </c>
      <c r="J33" s="558">
        <v>208716</v>
      </c>
      <c r="K33" s="162">
        <f t="shared" si="3"/>
        <v>1576</v>
      </c>
      <c r="L33" s="299">
        <f t="shared" si="20"/>
        <v>154.10945273631842</v>
      </c>
      <c r="M33" s="299">
        <f t="shared" si="21"/>
        <v>182.69187396351575</v>
      </c>
      <c r="N33" s="299">
        <f t="shared" si="22"/>
        <v>83.63515754560531</v>
      </c>
      <c r="O33" s="299">
        <f t="shared" si="7"/>
        <v>149.80939216508509</v>
      </c>
      <c r="P33" s="300">
        <f>SUM(L33:O33)</f>
        <v>570.24587641052449</v>
      </c>
      <c r="Q33" s="300">
        <f>SUM(-tanks!AX35*tanks!$AU$37)</f>
        <v>0</v>
      </c>
      <c r="R33" s="300">
        <f>SUM(P33:Q33)</f>
        <v>570.24587641052449</v>
      </c>
      <c r="S33" s="302">
        <f>SUM(ELEC!N32)</f>
        <v>10489</v>
      </c>
      <c r="T33" s="339">
        <f>IF(S33&gt;0,R33/S33,0)</f>
        <v>5.4366086033990325E-2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44135</v>
      </c>
      <c r="B34" s="558">
        <f t="shared" ref="B34" si="24">B33</f>
        <v>597935</v>
      </c>
      <c r="C34" s="266">
        <f t="shared" ref="C34" si="25">SUM(B34-B33)</f>
        <v>0</v>
      </c>
      <c r="D34" s="311">
        <f t="shared" ref="D34" si="26">SUM(G34+I34+K34)</f>
        <v>0</v>
      </c>
      <c r="E34" s="311">
        <f t="shared" ref="E34" si="27">B33+D34</f>
        <v>597935</v>
      </c>
      <c r="F34" s="558">
        <f t="shared" ref="F34" si="28">F33</f>
        <v>86327</v>
      </c>
      <c r="G34" s="160">
        <f>F34-F33</f>
        <v>0</v>
      </c>
      <c r="H34" s="558">
        <f t="shared" ref="H34" si="29">H33</f>
        <v>302891</v>
      </c>
      <c r="I34" s="161">
        <f t="shared" ref="I34" si="30">H34-H33</f>
        <v>0</v>
      </c>
      <c r="J34" s="558">
        <f t="shared" ref="J34" si="31">J33</f>
        <v>208716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149.80939216508509</v>
      </c>
      <c r="P34" s="300">
        <f>SUM(L34:O34)</f>
        <v>149.80939216508509</v>
      </c>
      <c r="Q34" s="300">
        <f>SUM(-tanks!AX36*tanks!$AU$37)</f>
        <v>244.98096774193021</v>
      </c>
      <c r="R34" s="300">
        <f>SUM(P34:Q34)</f>
        <v>394.79035990701527</v>
      </c>
      <c r="S34" s="302">
        <f>SUM(ELEC!N33)</f>
        <v>0</v>
      </c>
      <c r="T34" s="339">
        <f>IF(S34&gt;0,R34/S34,0)</f>
        <v>0</v>
      </c>
      <c r="V34" s="217"/>
      <c r="W34" s="218"/>
      <c r="X34" s="218"/>
      <c r="Y34" s="218"/>
      <c r="Z34" s="3"/>
      <c r="AA34" s="3"/>
      <c r="AB34" s="3"/>
      <c r="AC34" s="173"/>
    </row>
    <row r="35" spans="1:32">
      <c r="A35" s="549"/>
      <c r="B35" s="550"/>
      <c r="C35" s="551"/>
      <c r="D35" s="551"/>
      <c r="E35" s="551"/>
      <c r="F35" s="550"/>
      <c r="G35" s="550"/>
      <c r="H35" s="550"/>
      <c r="I35" s="550"/>
      <c r="J35" s="550"/>
      <c r="K35" s="555"/>
      <c r="L35" s="552"/>
      <c r="M35" s="552"/>
      <c r="N35" s="552"/>
      <c r="O35" s="552"/>
      <c r="P35" s="553"/>
      <c r="Q35" s="553"/>
      <c r="R35" s="553"/>
      <c r="S35" s="553"/>
      <c r="T35" s="554"/>
      <c r="V35" s="255"/>
      <c r="W35" s="17"/>
      <c r="X35" s="17"/>
      <c r="Y35" s="17"/>
      <c r="Z35" s="3" t="s">
        <v>214</v>
      </c>
      <c r="AA35" s="280">
        <v>0.11</v>
      </c>
      <c r="AB35" s="294">
        <f>SUM(AB31*AA35)</f>
        <v>2719904.8161290325</v>
      </c>
      <c r="AC35" s="601"/>
    </row>
    <row r="36" spans="1:32" ht="15.75" thickBot="1">
      <c r="A36" s="548">
        <f>A38-COUNTIF(C4:C34,0)</f>
        <v>30</v>
      </c>
      <c r="C36" s="174">
        <f>SUM(C4:C34)/A36</f>
        <v>4272.6333333333332</v>
      </c>
      <c r="D36" s="174"/>
      <c r="E36" s="174"/>
      <c r="G36" s="174">
        <f>SUM(G4:G34)/A36</f>
        <v>767.63333333333333</v>
      </c>
      <c r="I36" s="174">
        <f>SUM(I4:I34)/A36</f>
        <v>2025.3333333333333</v>
      </c>
      <c r="K36" s="174">
        <f>SUM(K4:K35)/A36</f>
        <v>1479.6</v>
      </c>
      <c r="L36" s="174">
        <f>SUM(L35*1507.5)</f>
        <v>0</v>
      </c>
      <c r="M36" s="174">
        <f>SUM(M35*1507.5)</f>
        <v>0</v>
      </c>
      <c r="N36" s="174">
        <f>SUM(N35*1507.5)</f>
        <v>0</v>
      </c>
      <c r="O36" s="174">
        <f>SUM(O35*1507.5)</f>
        <v>0</v>
      </c>
      <c r="P36" s="174"/>
      <c r="Q36" s="174"/>
      <c r="R36" s="174"/>
      <c r="S36" s="303"/>
      <c r="V36" s="230"/>
      <c r="W36" s="231"/>
      <c r="X36" s="231"/>
      <c r="Y36" s="231"/>
      <c r="Z36" s="3"/>
      <c r="AA36" s="45"/>
      <c r="AB36" s="294">
        <f>SUM(AB31+AB35)</f>
        <v>27446312.235483874</v>
      </c>
      <c r="AC36" s="601"/>
    </row>
    <row r="37" spans="1:32" ht="15.75" thickBot="1">
      <c r="A37" s="211"/>
      <c r="C37" s="213">
        <f>SUM(G37:K37)</f>
        <v>0.9999843968200719</v>
      </c>
      <c r="G37" s="226">
        <f>IF(C36&gt;0,G36/C36,0)</f>
        <v>0.17966281528175443</v>
      </c>
      <c r="H37" s="213"/>
      <c r="I37" s="226">
        <f>SUM(I36/C36)</f>
        <v>0.47402460621474657</v>
      </c>
      <c r="J37" s="213"/>
      <c r="K37" s="226">
        <f>SUM(K36/C36)</f>
        <v>0.34629697532357095</v>
      </c>
      <c r="L37" s="226"/>
      <c r="M37" s="226"/>
      <c r="N37" s="226"/>
      <c r="O37" s="226"/>
      <c r="P37" s="226"/>
      <c r="Q37" s="226"/>
      <c r="R37" s="226"/>
      <c r="S37" s="304"/>
      <c r="V37" s="230"/>
      <c r="W37" s="231"/>
      <c r="X37" s="231"/>
      <c r="Y37" s="231"/>
      <c r="Z37" s="231"/>
      <c r="AA37" s="231" t="s">
        <v>215</v>
      </c>
      <c r="AB37" s="602">
        <f>SUM(AB31/1507.5)</f>
        <v>16402.260311346494</v>
      </c>
      <c r="AC37" s="603"/>
    </row>
    <row r="38" spans="1:32" ht="15.75" thickBot="1">
      <c r="A38">
        <v>31</v>
      </c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V38" s="277"/>
      <c r="W38" s="220"/>
      <c r="X38" s="220"/>
      <c r="Y38" s="221"/>
      <c r="Z38" s="598"/>
      <c r="AA38" s="598"/>
      <c r="AB38" s="599"/>
      <c r="AC38" s="600"/>
    </row>
    <row r="39" spans="1:32">
      <c r="V39" s="218"/>
      <c r="W39" s="82">
        <f>AC30/1507.5</f>
        <v>4644.0911571176384</v>
      </c>
      <c r="Z39" s="40"/>
      <c r="AA39" s="295" t="s">
        <v>215</v>
      </c>
      <c r="AB39" s="296">
        <f>SUM(AB37)</f>
        <v>16402.260311346494</v>
      </c>
    </row>
    <row r="40" spans="1:32">
      <c r="V40" s="218"/>
      <c r="W40" s="82">
        <f>(AB30+AB55)/1507.5</f>
        <v>11758.169154228855</v>
      </c>
      <c r="X40" s="563"/>
      <c r="Z40" s="297">
        <f>SUM(AB39)</f>
        <v>16402.260311346494</v>
      </c>
      <c r="AA40" s="296"/>
      <c r="AB40" s="296"/>
    </row>
    <row r="41" spans="1:32">
      <c r="V41" s="17"/>
      <c r="W41" s="82">
        <f>SUM(W39:W40)</f>
        <v>16402.260311346494</v>
      </c>
      <c r="X41" s="563"/>
      <c r="Y41" s="82"/>
      <c r="Z41" s="297">
        <f>SUM(-tanks!AX37)*tanks!AU37</f>
        <v>8169.6439354838813</v>
      </c>
      <c r="AA41" s="101">
        <f>SUM(AB31/A36)</f>
        <v>824213.58064516133</v>
      </c>
      <c r="AB41" s="352">
        <f>SUM(AA41*A38)</f>
        <v>25550621</v>
      </c>
    </row>
    <row r="42" spans="1:32" ht="18.75">
      <c r="W42" s="82">
        <f>(AB30+AB55)/1507.5</f>
        <v>11758.169154228855</v>
      </c>
      <c r="Z42" s="278">
        <f>SUM(Z40:Z41)</f>
        <v>24571.904246830374</v>
      </c>
      <c r="AA42" s="296">
        <f>SUM(AA41/1507.5)</f>
        <v>546.74201037821649</v>
      </c>
      <c r="AB42" s="351">
        <f>SUM(AB41/1507.5)</f>
        <v>16949.002321724711</v>
      </c>
    </row>
    <row r="43" spans="1:32">
      <c r="D43" s="527"/>
      <c r="E43" s="527"/>
      <c r="F43" s="527"/>
      <c r="W43" s="82">
        <f>SUM(W41:W42)</f>
        <v>28160.429465575347</v>
      </c>
      <c r="Z43" s="298" t="e">
        <f>SUM(ELEC!#REF!)</f>
        <v>#REF!</v>
      </c>
    </row>
    <row r="44" spans="1:32">
      <c r="Z44" s="296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65"/>
      <c r="W46" s="566"/>
      <c r="X46" s="17"/>
      <c r="Y46" s="17"/>
      <c r="Z46" s="567"/>
      <c r="AA46" s="17"/>
      <c r="AB46" s="665"/>
      <c r="AC46" s="665"/>
      <c r="AD46" s="17"/>
      <c r="AE46" s="17"/>
      <c r="AF46" s="17"/>
    </row>
    <row r="47" spans="1:32">
      <c r="V47" s="665"/>
      <c r="W47" s="665"/>
      <c r="X47" s="665"/>
      <c r="Y47" s="665"/>
      <c r="Z47" s="567"/>
      <c r="AA47" s="567"/>
      <c r="AB47" s="665"/>
      <c r="AC47" s="665"/>
      <c r="AD47" s="17"/>
      <c r="AE47" s="17"/>
      <c r="AF47" s="17"/>
    </row>
    <row r="48" spans="1:32">
      <c r="V48" s="665"/>
      <c r="W48" s="665"/>
      <c r="X48" s="665"/>
      <c r="Y48" s="665"/>
      <c r="Z48" s="665"/>
      <c r="AA48" s="665"/>
      <c r="AB48" s="665"/>
      <c r="AC48" s="665"/>
      <c r="AD48" s="17"/>
      <c r="AE48" s="17"/>
      <c r="AF48" s="17"/>
    </row>
    <row r="49" spans="22:32">
      <c r="V49" s="666"/>
      <c r="W49" s="666"/>
      <c r="X49" s="667"/>
      <c r="Y49" s="667"/>
      <c r="Z49" s="667"/>
      <c r="AA49" s="568"/>
      <c r="AB49" s="665"/>
      <c r="AC49" s="665"/>
      <c r="AD49" s="17"/>
      <c r="AE49" s="17"/>
      <c r="AF49" s="17"/>
    </row>
    <row r="50" spans="22:32">
      <c r="V50" s="565"/>
      <c r="W50" s="565"/>
      <c r="X50" s="565"/>
      <c r="Y50" s="565"/>
      <c r="Z50" s="565"/>
      <c r="AA50" s="565"/>
      <c r="AB50" s="565"/>
      <c r="AC50" s="569"/>
      <c r="AD50" s="17"/>
      <c r="AE50" s="17"/>
      <c r="AF50" s="17"/>
    </row>
    <row r="51" spans="22:32">
      <c r="V51" s="568"/>
      <c r="W51" s="568"/>
      <c r="X51" s="570"/>
      <c r="Y51" s="570"/>
      <c r="Z51" s="570"/>
      <c r="AA51" s="73"/>
      <c r="AB51" s="73"/>
      <c r="AC51" s="73"/>
      <c r="AD51" s="571"/>
      <c r="AE51" s="17"/>
      <c r="AF51" s="17"/>
    </row>
    <row r="52" spans="22:32">
      <c r="V52" s="568"/>
      <c r="W52" s="568"/>
      <c r="X52" s="570"/>
      <c r="Y52" s="570"/>
      <c r="Z52" s="570"/>
      <c r="AA52" s="73"/>
      <c r="AB52" s="73"/>
      <c r="AC52" s="73"/>
      <c r="AD52" s="571"/>
      <c r="AE52" s="17"/>
      <c r="AF52" s="17"/>
    </row>
    <row r="53" spans="22:32">
      <c r="V53" s="568"/>
      <c r="W53" s="568"/>
      <c r="X53" s="570"/>
      <c r="Y53" s="570"/>
      <c r="Z53" s="570"/>
      <c r="AA53" s="73"/>
      <c r="AB53" s="73"/>
      <c r="AC53" s="73"/>
      <c r="AD53" s="571"/>
      <c r="AE53" s="572"/>
      <c r="AF53" s="573"/>
    </row>
    <row r="54" spans="22:32">
      <c r="V54" s="218"/>
      <c r="W54" s="218"/>
      <c r="X54" s="218"/>
      <c r="Y54" s="218"/>
      <c r="Z54" s="17"/>
      <c r="AA54" s="73"/>
      <c r="AB54" s="73"/>
      <c r="AC54" s="73"/>
      <c r="AD54" s="17"/>
      <c r="AE54" s="17"/>
      <c r="AF54" s="17"/>
    </row>
    <row r="55" spans="22:32">
      <c r="V55" s="218"/>
      <c r="W55" s="574"/>
      <c r="X55" s="218"/>
      <c r="Y55" s="218"/>
      <c r="Z55" s="17"/>
      <c r="AA55" s="73"/>
      <c r="AB55" s="269"/>
      <c r="AC55" s="73"/>
      <c r="AD55" s="17"/>
      <c r="AE55" s="17"/>
      <c r="AF55" s="17"/>
    </row>
    <row r="56" spans="22:32">
      <c r="V56" s="218"/>
      <c r="W56" s="218"/>
      <c r="X56" s="223"/>
      <c r="Y56" s="575"/>
      <c r="Z56" s="17"/>
      <c r="AA56" s="17"/>
      <c r="AB56" s="73"/>
      <c r="AC56" s="73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218"/>
      <c r="W59" s="218"/>
      <c r="X59" s="218"/>
      <c r="Y59" s="218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6"/>
      <c r="AB60" s="577"/>
      <c r="AC60" s="578"/>
      <c r="AD60" s="17"/>
      <c r="AE60" s="17"/>
      <c r="AF60" s="17"/>
    </row>
    <row r="61" spans="22:32">
      <c r="V61" s="17"/>
      <c r="W61" s="17"/>
      <c r="X61" s="17"/>
      <c r="Y61" s="17"/>
      <c r="Z61" s="17"/>
      <c r="AA61" s="579"/>
      <c r="AB61" s="577"/>
      <c r="AC61" s="578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77"/>
      <c r="AC62" s="578"/>
      <c r="AD62" s="17"/>
      <c r="AE62" s="17"/>
      <c r="AF62" s="17"/>
    </row>
    <row r="63" spans="22:32">
      <c r="V63" s="218"/>
      <c r="W63" s="218"/>
      <c r="X63" s="218"/>
      <c r="Y63" s="218"/>
      <c r="Z63" s="17"/>
      <c r="AA63" s="17"/>
      <c r="AB63" s="580"/>
      <c r="AC63" s="17"/>
      <c r="AD63" s="17"/>
      <c r="AE63" s="17"/>
      <c r="AF63" s="17"/>
    </row>
    <row r="64" spans="22:32">
      <c r="V64" s="218"/>
      <c r="W64" s="573"/>
      <c r="X64" s="17"/>
      <c r="Y64" s="17"/>
      <c r="Z64" s="572"/>
      <c r="AA64" s="581"/>
      <c r="AB64" s="570"/>
      <c r="AC64" s="17"/>
      <c r="AD64" s="17"/>
      <c r="AE64" s="17"/>
      <c r="AF64" s="17"/>
    </row>
    <row r="65" spans="22:32">
      <c r="V65" s="218"/>
      <c r="W65" s="573"/>
      <c r="X65" s="17"/>
      <c r="Y65" s="17"/>
      <c r="Z65" s="427"/>
      <c r="AA65" s="570"/>
      <c r="AB65" s="570"/>
      <c r="AC65" s="17"/>
      <c r="AD65" s="17"/>
      <c r="AE65" s="17"/>
      <c r="AF65" s="17"/>
    </row>
    <row r="66" spans="22:32">
      <c r="V66" s="17"/>
      <c r="W66" s="573"/>
      <c r="X66" s="17"/>
      <c r="Y66" s="573"/>
      <c r="Z66" s="427"/>
      <c r="AA66" s="570"/>
      <c r="AB66" s="582"/>
      <c r="AC66" s="17"/>
      <c r="AD66" s="17"/>
      <c r="AE66" s="17"/>
      <c r="AF66" s="17"/>
    </row>
    <row r="67" spans="22:32" ht="18.75">
      <c r="V67" s="17"/>
      <c r="W67" s="573"/>
      <c r="X67" s="17"/>
      <c r="Y67" s="17"/>
      <c r="Z67" s="583"/>
      <c r="AA67" s="570"/>
      <c r="AB67" s="584"/>
      <c r="AC67" s="17"/>
      <c r="AD67" s="17"/>
      <c r="AE67" s="17"/>
      <c r="AF67" s="17"/>
    </row>
    <row r="68" spans="22:32">
      <c r="V68" s="17"/>
      <c r="W68" s="573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0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6:AC49"/>
    <mergeCell ref="V47:Y48"/>
    <mergeCell ref="Z48:AA48"/>
    <mergeCell ref="V49:W49"/>
    <mergeCell ref="X49:Z49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3" activePane="bottomLeft" state="frozen"/>
      <selection pane="bottomLeft" activeCell="I35" sqref="I35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7" customWidth="1"/>
    <col min="9" max="9" width="12.7109375" bestFit="1" customWidth="1"/>
    <col min="10" max="10" width="25.42578125" style="498" customWidth="1"/>
    <col min="12" max="12" width="26.42578125" bestFit="1" customWidth="1"/>
    <col min="14" max="14" width="14.28515625" customWidth="1"/>
  </cols>
  <sheetData>
    <row r="1" spans="1:18" ht="39.75" customHeight="1" thickBot="1">
      <c r="A1" s="697" t="s">
        <v>51</v>
      </c>
      <c r="B1" s="709" t="s">
        <v>320</v>
      </c>
      <c r="C1" s="710"/>
      <c r="D1" s="712"/>
      <c r="E1" s="709" t="s">
        <v>321</v>
      </c>
      <c r="F1" s="710"/>
      <c r="G1" s="711"/>
      <c r="H1" s="706" t="s">
        <v>326</v>
      </c>
      <c r="I1" s="703" t="s">
        <v>327</v>
      </c>
      <c r="J1" s="700" t="s">
        <v>43</v>
      </c>
    </row>
    <row r="2" spans="1:18" ht="38.25" thickBot="1">
      <c r="A2" s="698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7"/>
      <c r="I2" s="704"/>
      <c r="J2" s="701"/>
    </row>
    <row r="3" spans="1:18" ht="24" customHeight="1" thickBot="1">
      <c r="A3" s="699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8"/>
      <c r="I3" s="705"/>
      <c r="J3" s="702"/>
    </row>
    <row r="4" spans="1:18" ht="19.5" thickBot="1">
      <c r="A4" s="245"/>
      <c r="B4" s="516"/>
      <c r="C4" s="516"/>
      <c r="D4" s="516"/>
      <c r="E4" s="516"/>
      <c r="F4" s="516"/>
      <c r="G4" s="516"/>
      <c r="H4" s="246">
        <v>0</v>
      </c>
      <c r="I4" s="246"/>
      <c r="J4" s="493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5">
        <f>ELEC!C2</f>
        <v>44104</v>
      </c>
      <c r="B5" s="517"/>
      <c r="C5" s="517"/>
      <c r="D5" s="517"/>
      <c r="E5" s="517"/>
      <c r="F5" s="517"/>
      <c r="G5" s="517"/>
      <c r="H5" s="517">
        <v>6555</v>
      </c>
      <c r="I5" s="517">
        <f>'[3]Swimming Pool quality check '!$B$36</f>
        <v>2.5</v>
      </c>
      <c r="J5" s="525">
        <f>'[9]Swimming Pool quality check '!J36</f>
        <v>0.33333333333333398</v>
      </c>
      <c r="K5" s="411">
        <v>0</v>
      </c>
      <c r="L5" s="542">
        <f>A5</f>
        <v>44104</v>
      </c>
      <c r="M5" s="517">
        <v>6541</v>
      </c>
      <c r="N5" s="517">
        <f>'[6]Swimming Pool quality check '!N36</f>
        <v>642</v>
      </c>
      <c r="O5" s="517">
        <f>'[6]Swimming Pool quality check '!O36</f>
        <v>6836</v>
      </c>
    </row>
    <row r="6" spans="1:18" ht="15.75" customHeight="1" thickBot="1">
      <c r="A6" s="242">
        <f>ELEC!C3</f>
        <v>44105</v>
      </c>
      <c r="B6" s="557"/>
      <c r="C6" s="558"/>
      <c r="D6" s="559"/>
      <c r="E6" s="559"/>
      <c r="F6" s="559"/>
      <c r="G6" s="559"/>
      <c r="H6" s="45">
        <v>6555</v>
      </c>
      <c r="I6" s="517">
        <f>H6-H5</f>
        <v>0</v>
      </c>
      <c r="J6" s="494">
        <v>0.29166666666666669</v>
      </c>
      <c r="L6" s="99">
        <f t="shared" ref="L6:L35" si="0">A6</f>
        <v>44105</v>
      </c>
      <c r="M6" s="3">
        <v>6543</v>
      </c>
      <c r="N6" s="517">
        <v>487</v>
      </c>
      <c r="O6" s="517">
        <f t="shared" ref="O6:O35" si="1">M6+N6</f>
        <v>7030</v>
      </c>
    </row>
    <row r="7" spans="1:18" ht="15.75" thickBot="1">
      <c r="A7" s="242">
        <f>ELEC!C4</f>
        <v>44106</v>
      </c>
      <c r="B7" s="546"/>
      <c r="C7" s="556"/>
      <c r="D7" s="170"/>
      <c r="E7" s="170"/>
      <c r="F7" s="170"/>
      <c r="G7" s="170"/>
      <c r="H7" s="45">
        <v>6555</v>
      </c>
      <c r="I7" s="517">
        <f t="shared" ref="I7:I35" si="2">H7-H6</f>
        <v>0</v>
      </c>
      <c r="J7" s="495">
        <v>0.29166666666666669</v>
      </c>
      <c r="L7" s="99">
        <f t="shared" si="0"/>
        <v>44106</v>
      </c>
      <c r="M7" s="3">
        <v>6550</v>
      </c>
      <c r="N7" s="517">
        <v>487</v>
      </c>
      <c r="O7" s="517">
        <f t="shared" si="1"/>
        <v>7037</v>
      </c>
    </row>
    <row r="8" spans="1:18" ht="15.75" thickBot="1">
      <c r="A8" s="242">
        <f>ELEC!C5</f>
        <v>44107</v>
      </c>
      <c r="B8" s="546"/>
      <c r="C8" s="545"/>
      <c r="D8" s="170"/>
      <c r="E8" s="170"/>
      <c r="F8" s="170"/>
      <c r="G8" s="170"/>
      <c r="H8" s="45">
        <v>6555</v>
      </c>
      <c r="I8" s="517">
        <f t="shared" si="2"/>
        <v>0</v>
      </c>
      <c r="J8" s="495">
        <v>0.29166666666666669</v>
      </c>
      <c r="L8" s="99">
        <f t="shared" si="0"/>
        <v>44107</v>
      </c>
      <c r="M8" s="3">
        <v>6555</v>
      </c>
      <c r="N8" s="517">
        <v>487</v>
      </c>
      <c r="O8" s="517">
        <f t="shared" si="1"/>
        <v>7042</v>
      </c>
    </row>
    <row r="9" spans="1:18" ht="15.75" thickBot="1">
      <c r="A9" s="242">
        <f>ELEC!C6</f>
        <v>44108</v>
      </c>
      <c r="B9" s="546"/>
      <c r="C9" s="546"/>
      <c r="D9" s="546"/>
      <c r="E9" s="546"/>
      <c r="F9" s="546"/>
      <c r="G9" s="546"/>
      <c r="H9" s="45">
        <v>6555</v>
      </c>
      <c r="I9" s="517">
        <f t="shared" si="2"/>
        <v>0</v>
      </c>
      <c r="J9" s="495">
        <v>0.29166666666666669</v>
      </c>
      <c r="L9" s="99">
        <f t="shared" si="0"/>
        <v>44108</v>
      </c>
      <c r="M9" s="3">
        <f t="shared" ref="M9:M36" si="3">M8</f>
        <v>6555</v>
      </c>
      <c r="N9" s="517">
        <v>487</v>
      </c>
      <c r="O9" s="517">
        <f t="shared" si="1"/>
        <v>7042</v>
      </c>
    </row>
    <row r="10" spans="1:18" ht="15.75" thickBot="1">
      <c r="A10" s="242">
        <f>ELEC!C7</f>
        <v>44109</v>
      </c>
      <c r="B10" s="546"/>
      <c r="C10" s="546"/>
      <c r="D10" s="546"/>
      <c r="E10" s="546"/>
      <c r="F10" s="546"/>
      <c r="G10" s="546"/>
      <c r="H10" s="45">
        <v>6555</v>
      </c>
      <c r="I10" s="517">
        <f t="shared" si="2"/>
        <v>0</v>
      </c>
      <c r="J10" s="495">
        <v>0.29166666666666669</v>
      </c>
      <c r="L10" s="99">
        <f t="shared" si="0"/>
        <v>44109</v>
      </c>
      <c r="M10" s="3">
        <f t="shared" si="3"/>
        <v>6555</v>
      </c>
      <c r="N10" s="517">
        <v>487</v>
      </c>
      <c r="O10" s="517">
        <f t="shared" si="1"/>
        <v>7042</v>
      </c>
    </row>
    <row r="11" spans="1:18" ht="15.75" thickBot="1">
      <c r="A11" s="242">
        <f>ELEC!C8</f>
        <v>44110</v>
      </c>
      <c r="B11" s="546"/>
      <c r="C11" s="546"/>
      <c r="D11" s="546"/>
      <c r="E11" s="546"/>
      <c r="F11" s="546"/>
      <c r="G11" s="546"/>
      <c r="H11" s="45">
        <v>6555</v>
      </c>
      <c r="I11" s="517">
        <f t="shared" si="2"/>
        <v>0</v>
      </c>
      <c r="J11" s="495">
        <v>0.29166666666666669</v>
      </c>
      <c r="L11" s="99">
        <f t="shared" si="0"/>
        <v>44110</v>
      </c>
      <c r="M11" s="3">
        <f t="shared" si="3"/>
        <v>6555</v>
      </c>
      <c r="N11" s="517">
        <v>487</v>
      </c>
      <c r="O11" s="517">
        <f t="shared" si="1"/>
        <v>7042</v>
      </c>
    </row>
    <row r="12" spans="1:18" ht="16.5" thickBot="1">
      <c r="A12" s="242">
        <f>ELEC!C9</f>
        <v>44111</v>
      </c>
      <c r="B12" s="546"/>
      <c r="C12" s="546"/>
      <c r="D12" s="546"/>
      <c r="E12" s="546"/>
      <c r="F12" s="546"/>
      <c r="G12" s="546"/>
      <c r="H12" s="45">
        <v>6555</v>
      </c>
      <c r="I12" s="517">
        <f t="shared" si="2"/>
        <v>0</v>
      </c>
      <c r="J12" s="495">
        <v>0.29166666666666669</v>
      </c>
      <c r="L12" s="99">
        <f t="shared" si="0"/>
        <v>44111</v>
      </c>
      <c r="M12" s="3">
        <f t="shared" si="3"/>
        <v>6555</v>
      </c>
      <c r="N12" s="517">
        <v>487</v>
      </c>
      <c r="O12" s="517">
        <f t="shared" si="1"/>
        <v>7042</v>
      </c>
      <c r="P12" s="444"/>
      <c r="Q12" s="362"/>
      <c r="R12" s="362"/>
    </row>
    <row r="13" spans="1:18" ht="15.75" thickBot="1">
      <c r="A13" s="242">
        <f>ELEC!C10</f>
        <v>44112</v>
      </c>
      <c r="B13" s="546"/>
      <c r="C13" s="546"/>
      <c r="D13" s="546"/>
      <c r="E13" s="546"/>
      <c r="F13" s="546"/>
      <c r="G13" s="546"/>
      <c r="H13" s="45">
        <v>6555</v>
      </c>
      <c r="I13" s="517">
        <f t="shared" si="2"/>
        <v>0</v>
      </c>
      <c r="J13" s="495">
        <v>0.29166666666666669</v>
      </c>
      <c r="L13" s="99">
        <f t="shared" si="0"/>
        <v>44112</v>
      </c>
      <c r="M13" s="3">
        <f t="shared" si="3"/>
        <v>6555</v>
      </c>
      <c r="N13" s="517">
        <v>487</v>
      </c>
      <c r="O13" s="517">
        <f t="shared" si="1"/>
        <v>7042</v>
      </c>
    </row>
    <row r="14" spans="1:18" ht="15.75" thickBot="1">
      <c r="A14" s="242">
        <f>ELEC!C11</f>
        <v>44113</v>
      </c>
      <c r="B14" s="546"/>
      <c r="C14" s="546"/>
      <c r="D14" s="546"/>
      <c r="E14" s="546"/>
      <c r="F14" s="546"/>
      <c r="G14" s="546"/>
      <c r="H14" s="45">
        <v>6555</v>
      </c>
      <c r="I14" s="517">
        <f t="shared" si="2"/>
        <v>0</v>
      </c>
      <c r="J14" s="495">
        <v>0.29166666666666669</v>
      </c>
      <c r="L14" s="99">
        <f t="shared" si="0"/>
        <v>44113</v>
      </c>
      <c r="M14" s="3">
        <f t="shared" si="3"/>
        <v>6555</v>
      </c>
      <c r="N14" s="517">
        <v>487</v>
      </c>
      <c r="O14" s="517">
        <f t="shared" si="1"/>
        <v>7042</v>
      </c>
    </row>
    <row r="15" spans="1:18" ht="15.75" thickBot="1">
      <c r="A15" s="242">
        <f>ELEC!C12</f>
        <v>44114</v>
      </c>
      <c r="B15" s="546"/>
      <c r="C15" s="546"/>
      <c r="D15" s="546"/>
      <c r="E15" s="546"/>
      <c r="F15" s="546"/>
      <c r="G15" s="546"/>
      <c r="H15" s="45">
        <v>6555</v>
      </c>
      <c r="I15" s="517">
        <f t="shared" si="2"/>
        <v>0</v>
      </c>
      <c r="J15" s="495">
        <v>0.29166666666666669</v>
      </c>
      <c r="L15" s="99">
        <f t="shared" si="0"/>
        <v>44114</v>
      </c>
      <c r="M15" s="3">
        <f t="shared" si="3"/>
        <v>6555</v>
      </c>
      <c r="N15" s="517">
        <v>487</v>
      </c>
      <c r="O15" s="517">
        <f t="shared" si="1"/>
        <v>7042</v>
      </c>
    </row>
    <row r="16" spans="1:18" ht="15.75" thickBot="1">
      <c r="A16" s="242">
        <f>ELEC!C13</f>
        <v>44115</v>
      </c>
      <c r="B16" s="546"/>
      <c r="C16" s="546"/>
      <c r="D16" s="546"/>
      <c r="E16" s="546"/>
      <c r="F16" s="546"/>
      <c r="G16" s="546"/>
      <c r="H16" s="45">
        <v>6555</v>
      </c>
      <c r="I16" s="517">
        <f t="shared" si="2"/>
        <v>0</v>
      </c>
      <c r="J16" s="495">
        <v>0.29166666666666669</v>
      </c>
      <c r="L16" s="99">
        <f t="shared" si="0"/>
        <v>44115</v>
      </c>
      <c r="M16" s="3">
        <f t="shared" si="3"/>
        <v>6555</v>
      </c>
      <c r="N16" s="517">
        <v>487</v>
      </c>
      <c r="O16" s="517">
        <f t="shared" si="1"/>
        <v>7042</v>
      </c>
    </row>
    <row r="17" spans="1:15" ht="15.75" thickBot="1">
      <c r="A17" s="242">
        <f>ELEC!C14</f>
        <v>44116</v>
      </c>
      <c r="B17" s="546"/>
      <c r="C17" s="546"/>
      <c r="D17" s="546"/>
      <c r="E17" s="546"/>
      <c r="F17" s="546"/>
      <c r="G17" s="546"/>
      <c r="H17" s="45">
        <v>6555</v>
      </c>
      <c r="I17" s="517">
        <f t="shared" si="2"/>
        <v>0</v>
      </c>
      <c r="J17" s="495">
        <v>0.29166666666666669</v>
      </c>
      <c r="L17" s="99">
        <f t="shared" si="0"/>
        <v>44116</v>
      </c>
      <c r="M17" s="3">
        <f t="shared" si="3"/>
        <v>6555</v>
      </c>
      <c r="N17" s="517">
        <v>487</v>
      </c>
      <c r="O17" s="517">
        <f t="shared" si="1"/>
        <v>7042</v>
      </c>
    </row>
    <row r="18" spans="1:15" ht="15.75" thickBot="1">
      <c r="A18" s="242">
        <f>ELEC!C15</f>
        <v>44117</v>
      </c>
      <c r="B18" s="546"/>
      <c r="C18" s="546"/>
      <c r="D18" s="546"/>
      <c r="E18" s="546"/>
      <c r="F18" s="546"/>
      <c r="G18" s="546"/>
      <c r="H18" s="45">
        <v>6555</v>
      </c>
      <c r="I18" s="517">
        <f t="shared" si="2"/>
        <v>0</v>
      </c>
      <c r="J18" s="495">
        <v>0.29166666666666669</v>
      </c>
      <c r="L18" s="99">
        <f t="shared" si="0"/>
        <v>44117</v>
      </c>
      <c r="M18" s="3">
        <f t="shared" si="3"/>
        <v>6555</v>
      </c>
      <c r="N18" s="517">
        <v>487</v>
      </c>
      <c r="O18" s="517">
        <f t="shared" si="1"/>
        <v>7042</v>
      </c>
    </row>
    <row r="19" spans="1:15" ht="15.75" thickBot="1">
      <c r="A19" s="242">
        <f>ELEC!C16</f>
        <v>44118</v>
      </c>
      <c r="B19" s="546"/>
      <c r="C19" s="546"/>
      <c r="D19" s="546"/>
      <c r="E19" s="546"/>
      <c r="F19" s="546"/>
      <c r="G19" s="546"/>
      <c r="H19" s="45">
        <v>6555</v>
      </c>
      <c r="I19" s="517">
        <f t="shared" si="2"/>
        <v>0</v>
      </c>
      <c r="J19" s="495">
        <v>0.29166666666666669</v>
      </c>
      <c r="L19" s="99">
        <f t="shared" si="0"/>
        <v>44118</v>
      </c>
      <c r="M19" s="3">
        <f t="shared" si="3"/>
        <v>6555</v>
      </c>
      <c r="N19" s="517">
        <v>487</v>
      </c>
      <c r="O19" s="517">
        <f t="shared" si="1"/>
        <v>7042</v>
      </c>
    </row>
    <row r="20" spans="1:15" ht="15.75" thickBot="1">
      <c r="A20" s="242">
        <f>ELEC!C17</f>
        <v>44119</v>
      </c>
      <c r="B20" s="546"/>
      <c r="C20" s="546"/>
      <c r="D20" s="546"/>
      <c r="E20" s="546"/>
      <c r="F20" s="546"/>
      <c r="G20" s="546"/>
      <c r="H20" s="45">
        <v>6555</v>
      </c>
      <c r="I20" s="517">
        <f t="shared" si="2"/>
        <v>0</v>
      </c>
      <c r="J20" s="495">
        <v>0.29166666666666669</v>
      </c>
      <c r="L20" s="99">
        <f t="shared" si="0"/>
        <v>44119</v>
      </c>
      <c r="M20" s="3">
        <f t="shared" si="3"/>
        <v>6555</v>
      </c>
      <c r="N20" s="517">
        <v>645</v>
      </c>
      <c r="O20" s="517">
        <f t="shared" si="1"/>
        <v>7200</v>
      </c>
    </row>
    <row r="21" spans="1:15" ht="15.75" thickBot="1">
      <c r="A21" s="242">
        <f>ELEC!C18</f>
        <v>44120</v>
      </c>
      <c r="B21" s="546">
        <v>1.1000000000000001</v>
      </c>
      <c r="C21" s="546">
        <v>8</v>
      </c>
      <c r="D21" s="546">
        <v>25</v>
      </c>
      <c r="E21" s="546"/>
      <c r="F21" s="546"/>
      <c r="G21" s="546"/>
      <c r="H21" s="170">
        <v>6568</v>
      </c>
      <c r="I21" s="517">
        <f t="shared" si="2"/>
        <v>13</v>
      </c>
      <c r="J21" s="613" t="s">
        <v>417</v>
      </c>
      <c r="L21" s="99">
        <f t="shared" si="0"/>
        <v>44120</v>
      </c>
      <c r="M21" s="3">
        <f t="shared" si="3"/>
        <v>6555</v>
      </c>
      <c r="N21" s="517">
        <v>645</v>
      </c>
      <c r="O21" s="517">
        <f t="shared" si="1"/>
        <v>7200</v>
      </c>
    </row>
    <row r="22" spans="1:15" ht="15.75" thickBot="1">
      <c r="A22" s="242">
        <f>ELEC!C19</f>
        <v>44121</v>
      </c>
      <c r="B22" s="546">
        <v>0.8</v>
      </c>
      <c r="C22" s="546">
        <v>8.1</v>
      </c>
      <c r="D22" s="546">
        <v>25</v>
      </c>
      <c r="E22" s="546">
        <v>2</v>
      </c>
      <c r="F22" s="546">
        <v>8.3000000000000007</v>
      </c>
      <c r="G22" s="546"/>
      <c r="H22" s="170">
        <v>6571</v>
      </c>
      <c r="I22" s="517">
        <f t="shared" si="2"/>
        <v>3</v>
      </c>
      <c r="J22" s="495">
        <v>0.29166666666666669</v>
      </c>
      <c r="L22" s="99">
        <f t="shared" si="0"/>
        <v>44121</v>
      </c>
      <c r="M22" s="3">
        <f t="shared" si="3"/>
        <v>6555</v>
      </c>
      <c r="N22" s="517">
        <v>645</v>
      </c>
      <c r="O22" s="517">
        <f t="shared" si="1"/>
        <v>7200</v>
      </c>
    </row>
    <row r="23" spans="1:15" ht="15.75" thickBot="1">
      <c r="A23" s="242">
        <f>ELEC!C20</f>
        <v>44122</v>
      </c>
      <c r="B23" s="546">
        <v>1</v>
      </c>
      <c r="C23" s="546">
        <v>7.8</v>
      </c>
      <c r="D23" s="546"/>
      <c r="E23" s="546">
        <v>1.5</v>
      </c>
      <c r="F23" s="546">
        <v>8</v>
      </c>
      <c r="G23" s="546"/>
      <c r="H23" s="170">
        <v>6571</v>
      </c>
      <c r="I23" s="517">
        <f t="shared" si="2"/>
        <v>0</v>
      </c>
      <c r="J23" s="495">
        <v>0.29166666666666669</v>
      </c>
      <c r="L23" s="99">
        <f t="shared" si="0"/>
        <v>44122</v>
      </c>
      <c r="M23" s="3">
        <f t="shared" si="3"/>
        <v>6555</v>
      </c>
      <c r="N23" s="517">
        <v>645</v>
      </c>
      <c r="O23" s="517">
        <f t="shared" si="1"/>
        <v>7200</v>
      </c>
    </row>
    <row r="24" spans="1:15" ht="15.75" thickBot="1">
      <c r="A24" s="242">
        <f>ELEC!C21</f>
        <v>44123</v>
      </c>
      <c r="B24" s="620">
        <v>1.5</v>
      </c>
      <c r="C24" s="620">
        <v>7.8</v>
      </c>
      <c r="D24" s="620">
        <v>0</v>
      </c>
      <c r="E24" s="620">
        <v>1.5</v>
      </c>
      <c r="F24" s="620">
        <v>8</v>
      </c>
      <c r="G24" s="620">
        <v>0</v>
      </c>
      <c r="H24" s="622">
        <v>6574</v>
      </c>
      <c r="I24" s="517">
        <f t="shared" si="2"/>
        <v>3</v>
      </c>
      <c r="J24" s="495">
        <v>0.29166666666666702</v>
      </c>
      <c r="L24" s="99">
        <f t="shared" si="0"/>
        <v>44123</v>
      </c>
      <c r="M24" s="3">
        <f t="shared" si="3"/>
        <v>6555</v>
      </c>
      <c r="N24" s="517">
        <v>645</v>
      </c>
      <c r="O24" s="517">
        <f t="shared" si="1"/>
        <v>7200</v>
      </c>
    </row>
    <row r="25" spans="1:15" ht="15.75" thickBot="1">
      <c r="A25" s="242">
        <f>ELEC!C22</f>
        <v>44124</v>
      </c>
      <c r="B25" s="620">
        <v>1.5</v>
      </c>
      <c r="C25" s="620">
        <v>7.8</v>
      </c>
      <c r="D25" s="620">
        <v>0</v>
      </c>
      <c r="E25" s="620">
        <v>1.5</v>
      </c>
      <c r="F25" s="620">
        <v>8</v>
      </c>
      <c r="G25" s="620">
        <v>0</v>
      </c>
      <c r="H25" s="622">
        <v>6577</v>
      </c>
      <c r="I25" s="517">
        <f t="shared" si="2"/>
        <v>3</v>
      </c>
      <c r="J25" s="495">
        <v>0.29166666666666702</v>
      </c>
      <c r="L25" s="99">
        <f t="shared" si="0"/>
        <v>44124</v>
      </c>
      <c r="M25" s="3">
        <f t="shared" si="3"/>
        <v>6555</v>
      </c>
      <c r="N25" s="517">
        <v>645</v>
      </c>
      <c r="O25" s="517">
        <f t="shared" si="1"/>
        <v>7200</v>
      </c>
    </row>
    <row r="26" spans="1:15" ht="15.75" thickBot="1">
      <c r="A26" s="242">
        <f>ELEC!C23</f>
        <v>44125</v>
      </c>
      <c r="B26" s="620">
        <v>1.5</v>
      </c>
      <c r="C26" s="620">
        <v>7.8</v>
      </c>
      <c r="D26" s="620">
        <v>0</v>
      </c>
      <c r="E26" s="620">
        <v>1.2</v>
      </c>
      <c r="F26" s="620">
        <v>8</v>
      </c>
      <c r="G26" s="620">
        <v>0</v>
      </c>
      <c r="H26" s="170">
        <v>6584</v>
      </c>
      <c r="I26" s="517">
        <f t="shared" si="2"/>
        <v>7</v>
      </c>
      <c r="J26" s="495">
        <v>0.29166666666666702</v>
      </c>
      <c r="L26" s="99">
        <f t="shared" si="0"/>
        <v>44125</v>
      </c>
      <c r="M26" s="3">
        <f t="shared" si="3"/>
        <v>6555</v>
      </c>
      <c r="N26" s="517">
        <v>645</v>
      </c>
      <c r="O26" s="517">
        <f t="shared" si="1"/>
        <v>7200</v>
      </c>
    </row>
    <row r="27" spans="1:15" ht="15.75" thickBot="1">
      <c r="A27" s="242">
        <f>ELEC!C24</f>
        <v>44126</v>
      </c>
      <c r="B27" s="620">
        <v>1</v>
      </c>
      <c r="C27" s="620">
        <v>7.8</v>
      </c>
      <c r="D27" s="620">
        <v>0</v>
      </c>
      <c r="E27" s="620">
        <v>1</v>
      </c>
      <c r="F27" s="620">
        <v>8</v>
      </c>
      <c r="G27" s="620">
        <v>0</v>
      </c>
      <c r="H27" s="170">
        <v>6588</v>
      </c>
      <c r="I27" s="517">
        <f t="shared" si="2"/>
        <v>4</v>
      </c>
      <c r="J27" s="495">
        <v>0.29166666666666702</v>
      </c>
      <c r="L27" s="99">
        <f t="shared" si="0"/>
        <v>44126</v>
      </c>
      <c r="M27" s="3">
        <f t="shared" si="3"/>
        <v>6555</v>
      </c>
      <c r="N27" s="517">
        <v>645</v>
      </c>
      <c r="O27" s="517">
        <f t="shared" si="1"/>
        <v>7200</v>
      </c>
    </row>
    <row r="28" spans="1:15" ht="15.75" thickBot="1">
      <c r="A28" s="242">
        <f>ELEC!C25</f>
        <v>44127</v>
      </c>
      <c r="B28" s="546">
        <v>1.5</v>
      </c>
      <c r="C28" s="620">
        <v>7.8</v>
      </c>
      <c r="D28" s="620">
        <v>0</v>
      </c>
      <c r="E28" s="620">
        <v>1.3</v>
      </c>
      <c r="F28" s="620">
        <v>8</v>
      </c>
      <c r="G28" s="620">
        <v>0</v>
      </c>
      <c r="H28" s="170">
        <v>6591</v>
      </c>
      <c r="I28" s="517">
        <f t="shared" si="2"/>
        <v>3</v>
      </c>
      <c r="J28" s="496">
        <v>0.29166666666666702</v>
      </c>
      <c r="L28" s="99">
        <f t="shared" si="0"/>
        <v>44127</v>
      </c>
      <c r="M28" s="3">
        <f t="shared" si="3"/>
        <v>6555</v>
      </c>
      <c r="N28" s="517">
        <v>645</v>
      </c>
      <c r="O28" s="517">
        <f t="shared" si="1"/>
        <v>7200</v>
      </c>
    </row>
    <row r="29" spans="1:15" ht="15.75" thickBot="1">
      <c r="A29" s="242">
        <f>ELEC!C26</f>
        <v>44128</v>
      </c>
      <c r="B29" s="546">
        <v>1</v>
      </c>
      <c r="C29" s="546">
        <v>7.8</v>
      </c>
      <c r="D29" s="546"/>
      <c r="E29" s="546">
        <v>1.3</v>
      </c>
      <c r="F29" s="546">
        <v>8</v>
      </c>
      <c r="G29" s="546"/>
      <c r="H29" s="170">
        <v>6598</v>
      </c>
      <c r="I29" s="517">
        <f t="shared" si="2"/>
        <v>7</v>
      </c>
      <c r="J29" s="495">
        <v>0.29166666666666702</v>
      </c>
      <c r="L29" s="99">
        <f t="shared" si="0"/>
        <v>44128</v>
      </c>
      <c r="M29" s="3">
        <f t="shared" si="3"/>
        <v>6555</v>
      </c>
      <c r="N29" s="517">
        <v>645</v>
      </c>
      <c r="O29" s="517">
        <f t="shared" si="1"/>
        <v>7200</v>
      </c>
    </row>
    <row r="30" spans="1:15" ht="15.75" thickBot="1">
      <c r="A30" s="242">
        <f>ELEC!C27</f>
        <v>44129</v>
      </c>
      <c r="B30" s="620">
        <v>1.5</v>
      </c>
      <c r="C30" s="620">
        <v>7.8</v>
      </c>
      <c r="D30" s="620">
        <v>0</v>
      </c>
      <c r="E30" s="620">
        <v>1</v>
      </c>
      <c r="F30" s="620">
        <v>8</v>
      </c>
      <c r="G30" s="620">
        <v>0</v>
      </c>
      <c r="H30" s="170">
        <v>6611</v>
      </c>
      <c r="I30" s="517">
        <f t="shared" si="2"/>
        <v>13</v>
      </c>
      <c r="J30" s="495">
        <v>0.29166666666666702</v>
      </c>
      <c r="L30" s="99">
        <f t="shared" si="0"/>
        <v>44129</v>
      </c>
      <c r="M30" s="3">
        <f t="shared" si="3"/>
        <v>6555</v>
      </c>
      <c r="N30" s="517">
        <v>645</v>
      </c>
      <c r="O30" s="517">
        <f t="shared" si="1"/>
        <v>7200</v>
      </c>
    </row>
    <row r="31" spans="1:15" ht="15.75" thickBot="1">
      <c r="A31" s="242">
        <f>ELEC!C28</f>
        <v>44130</v>
      </c>
      <c r="B31" s="546">
        <v>1.5</v>
      </c>
      <c r="C31" s="620">
        <v>7.8</v>
      </c>
      <c r="D31" s="620">
        <v>0</v>
      </c>
      <c r="E31" s="620">
        <v>1</v>
      </c>
      <c r="F31" s="620">
        <v>8</v>
      </c>
      <c r="G31" s="620"/>
      <c r="H31" s="170">
        <v>6623</v>
      </c>
      <c r="I31" s="517">
        <f t="shared" si="2"/>
        <v>12</v>
      </c>
      <c r="J31" s="495">
        <v>0.29166666666666702</v>
      </c>
      <c r="L31" s="99">
        <f t="shared" si="0"/>
        <v>44130</v>
      </c>
      <c r="M31" s="3">
        <f t="shared" si="3"/>
        <v>6555</v>
      </c>
      <c r="N31" s="517">
        <v>645</v>
      </c>
      <c r="O31" s="517">
        <f t="shared" si="1"/>
        <v>7200</v>
      </c>
    </row>
    <row r="32" spans="1:15" ht="15.75" thickBot="1">
      <c r="A32" s="242">
        <f>ELEC!C29</f>
        <v>44131</v>
      </c>
      <c r="B32" s="620">
        <v>1.5</v>
      </c>
      <c r="C32" s="620">
        <v>7.8</v>
      </c>
      <c r="D32" s="620">
        <v>0</v>
      </c>
      <c r="E32" s="620">
        <v>1.5</v>
      </c>
      <c r="F32" s="620">
        <v>8</v>
      </c>
      <c r="G32" s="620"/>
      <c r="H32" s="170">
        <v>6629</v>
      </c>
      <c r="I32" s="517">
        <f t="shared" si="2"/>
        <v>6</v>
      </c>
      <c r="J32" s="495">
        <v>0.29166666666666702</v>
      </c>
      <c r="L32" s="99">
        <f t="shared" si="0"/>
        <v>44131</v>
      </c>
      <c r="M32" s="3">
        <f t="shared" si="3"/>
        <v>6555</v>
      </c>
      <c r="N32" s="517">
        <v>645</v>
      </c>
      <c r="O32" s="517">
        <f t="shared" si="1"/>
        <v>7200</v>
      </c>
    </row>
    <row r="33" spans="1:15" ht="15.75" thickBot="1">
      <c r="A33" s="242">
        <f>ELEC!C30</f>
        <v>44132</v>
      </c>
      <c r="B33" s="620">
        <v>1.5</v>
      </c>
      <c r="C33" s="620">
        <v>7.8</v>
      </c>
      <c r="D33" s="620">
        <v>0</v>
      </c>
      <c r="E33" s="620">
        <v>1.5</v>
      </c>
      <c r="F33" s="620">
        <v>8</v>
      </c>
      <c r="G33" s="620">
        <v>0</v>
      </c>
      <c r="H33" s="622">
        <v>6636</v>
      </c>
      <c r="I33" s="517">
        <f t="shared" si="2"/>
        <v>7</v>
      </c>
      <c r="J33" s="495">
        <v>0.29166666666666702</v>
      </c>
      <c r="L33" s="99">
        <f t="shared" si="0"/>
        <v>44132</v>
      </c>
      <c r="M33" s="3">
        <f t="shared" si="3"/>
        <v>6555</v>
      </c>
      <c r="N33" s="517">
        <v>645</v>
      </c>
      <c r="O33" s="517">
        <f t="shared" si="1"/>
        <v>7200</v>
      </c>
    </row>
    <row r="34" spans="1:15" ht="15.75" thickBot="1">
      <c r="A34" s="242">
        <f>ELEC!C31</f>
        <v>44133</v>
      </c>
      <c r="B34" s="620">
        <v>1.5</v>
      </c>
      <c r="C34" s="620">
        <v>7.8</v>
      </c>
      <c r="D34" s="620"/>
      <c r="E34" s="620">
        <v>1.5</v>
      </c>
      <c r="F34" s="620">
        <v>8</v>
      </c>
      <c r="G34" s="620"/>
      <c r="H34" s="170">
        <v>6650</v>
      </c>
      <c r="I34" s="517">
        <f t="shared" si="2"/>
        <v>14</v>
      </c>
      <c r="J34" s="495">
        <v>0.29166666666666702</v>
      </c>
      <c r="L34" s="99">
        <f t="shared" si="0"/>
        <v>44133</v>
      </c>
      <c r="M34" s="3">
        <f t="shared" si="3"/>
        <v>6555</v>
      </c>
      <c r="N34" s="517">
        <v>645</v>
      </c>
      <c r="O34" s="517">
        <f t="shared" si="1"/>
        <v>7200</v>
      </c>
    </row>
    <row r="35" spans="1:15" ht="15.75" thickBot="1">
      <c r="A35" s="412">
        <f>ELEC!C32</f>
        <v>44134</v>
      </c>
      <c r="B35" s="620">
        <v>0.9</v>
      </c>
      <c r="C35" s="620">
        <v>7.8</v>
      </c>
      <c r="D35" s="620"/>
      <c r="E35" s="620">
        <v>1.2</v>
      </c>
      <c r="F35" s="620">
        <v>8</v>
      </c>
      <c r="G35" s="620"/>
      <c r="H35" s="170">
        <v>6655</v>
      </c>
      <c r="I35" s="517">
        <f t="shared" si="2"/>
        <v>5</v>
      </c>
      <c r="J35" s="497">
        <v>0.29166666666666702</v>
      </c>
      <c r="L35" s="99">
        <f t="shared" si="0"/>
        <v>44134</v>
      </c>
      <c r="M35" s="3">
        <f t="shared" si="3"/>
        <v>6555</v>
      </c>
      <c r="N35" s="517">
        <v>645</v>
      </c>
      <c r="O35" s="517">
        <f t="shared" si="1"/>
        <v>7200</v>
      </c>
    </row>
    <row r="36" spans="1:15">
      <c r="A36" s="412">
        <f>ELEC!C33</f>
        <v>44135</v>
      </c>
      <c r="B36" s="620"/>
      <c r="C36" s="620"/>
      <c r="D36" s="620"/>
      <c r="E36" s="620"/>
      <c r="F36" s="620"/>
      <c r="G36" s="620"/>
      <c r="H36" s="170">
        <f t="shared" ref="H36" si="4">H35</f>
        <v>6655</v>
      </c>
      <c r="I36" s="517">
        <f t="shared" ref="I36" si="5">H36-H35</f>
        <v>0</v>
      </c>
      <c r="J36" s="497">
        <v>0.29166666666666702</v>
      </c>
      <c r="L36" s="99">
        <f t="shared" ref="L36" si="6">A36</f>
        <v>44135</v>
      </c>
      <c r="M36" s="3">
        <f t="shared" si="3"/>
        <v>6555</v>
      </c>
      <c r="N36" s="517">
        <v>645</v>
      </c>
      <c r="O36" s="517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D20" zoomScale="80" zoomScaleNormal="80" workbookViewId="0">
      <selection activeCell="AA20" sqref="AA2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3" t="s">
        <v>161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3"/>
      <c r="U1" s="713"/>
      <c r="V1" s="713"/>
      <c r="W1" s="713"/>
      <c r="X1" s="713"/>
    </row>
    <row r="2" spans="1:28" ht="19.5">
      <c r="A2" s="714"/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714"/>
      <c r="Q2" s="714"/>
      <c r="R2" s="714"/>
      <c r="S2" s="714"/>
      <c r="T2" s="714"/>
      <c r="U2" s="714"/>
      <c r="V2" s="714"/>
      <c r="W2" s="714"/>
      <c r="X2" s="714"/>
    </row>
    <row r="3" spans="1:28" ht="19.5">
      <c r="A3" s="714" t="s">
        <v>162</v>
      </c>
      <c r="B3" s="714"/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714"/>
      <c r="N3" s="714"/>
      <c r="O3" s="714"/>
      <c r="P3" s="714"/>
      <c r="Q3" s="714"/>
      <c r="R3" s="714"/>
      <c r="S3" s="714"/>
      <c r="T3" s="714"/>
      <c r="U3" s="714"/>
      <c r="V3" s="714"/>
      <c r="W3" s="714"/>
      <c r="X3" s="71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4" t="s">
        <v>411</v>
      </c>
      <c r="B5" s="714"/>
      <c r="C5" s="714"/>
      <c r="D5" s="714"/>
      <c r="E5" s="714"/>
      <c r="F5" s="714"/>
      <c r="G5" s="714"/>
      <c r="H5" s="714"/>
      <c r="I5" s="714"/>
      <c r="J5" s="714"/>
      <c r="K5" s="714"/>
      <c r="L5" s="714"/>
      <c r="M5" s="714"/>
      <c r="N5" s="714"/>
      <c r="O5" s="714"/>
      <c r="P5" s="714"/>
      <c r="Q5" s="714"/>
      <c r="R5" s="714"/>
      <c r="S5" s="714"/>
      <c r="T5" s="714"/>
      <c r="U5" s="714"/>
      <c r="V5" s="714"/>
      <c r="W5" s="714"/>
      <c r="X5" s="714"/>
    </row>
    <row r="6" spans="1:28" ht="15.75" thickBot="1">
      <c r="A6" s="715"/>
      <c r="B6" s="715"/>
      <c r="C6" s="715"/>
      <c r="D6" s="715"/>
      <c r="E6" s="715"/>
      <c r="F6" s="715"/>
      <c r="G6" s="715"/>
      <c r="H6" s="715"/>
      <c r="I6" s="715"/>
      <c r="J6" s="715"/>
      <c r="K6" s="715"/>
      <c r="L6" s="715"/>
      <c r="M6" s="715"/>
      <c r="N6" s="715"/>
      <c r="O6" s="715"/>
      <c r="P6" s="715"/>
      <c r="Q6" s="715"/>
      <c r="R6" s="715"/>
      <c r="S6" s="715"/>
      <c r="T6" s="715"/>
      <c r="U6" s="715"/>
      <c r="V6" s="715"/>
      <c r="W6" s="715"/>
      <c r="X6" s="715"/>
    </row>
    <row r="7" spans="1:28" ht="15.75" thickBot="1">
      <c r="A7" s="717" t="s">
        <v>163</v>
      </c>
      <c r="B7" s="718"/>
      <c r="C7" s="719" t="s">
        <v>164</v>
      </c>
      <c r="D7" s="720"/>
      <c r="E7" s="720"/>
      <c r="F7" s="720"/>
      <c r="G7" s="720"/>
      <c r="H7" s="720"/>
      <c r="I7" s="720"/>
      <c r="J7" s="720"/>
      <c r="K7" s="72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'[8]Degree Days 2020'!B10</f>
        <v>16</v>
      </c>
      <c r="C10" s="274">
        <f>'[8]Degree Days 2020'!C10</f>
        <v>11</v>
      </c>
      <c r="D10" s="274">
        <f>(B10+C10)/2-18.3</f>
        <v>-4.8000000000000007</v>
      </c>
      <c r="E10" s="274">
        <f>'[8]Degree Days 2020'!E10</f>
        <v>1</v>
      </c>
      <c r="F10" s="274">
        <f>'[8]Degree Days 2020'!F10</f>
        <v>17</v>
      </c>
      <c r="G10" s="274">
        <f>'[8]Degree Days 2020'!G10</f>
        <v>12</v>
      </c>
      <c r="H10" s="274">
        <f>(F10+G10)/2-18.3</f>
        <v>-3.8000000000000007</v>
      </c>
      <c r="I10" s="274">
        <f>'[7]Degree Days 2018'!I10</f>
        <v>1</v>
      </c>
      <c r="J10" s="274">
        <f>'[8]Degree Days 2020'!J10</f>
        <v>17</v>
      </c>
      <c r="K10" s="274">
        <f>'[8]Degree Days 2020'!K10</f>
        <v>10</v>
      </c>
      <c r="L10" s="274">
        <f>(J10+K10)/2-18.3</f>
        <v>-4.8000000000000007</v>
      </c>
      <c r="M10" s="274">
        <f>'[8]Degree Days 2020'!M10</f>
        <v>1</v>
      </c>
      <c r="N10" s="274">
        <f>'[8]Degree Days 2020'!N10</f>
        <v>19</v>
      </c>
      <c r="O10" s="274">
        <f>'[8]Degree Days 2020'!O10</f>
        <v>14</v>
      </c>
      <c r="P10" s="274">
        <f>(N10+O10)/2-18.3</f>
        <v>-1.8000000000000007</v>
      </c>
      <c r="Q10" s="539">
        <v>1</v>
      </c>
      <c r="R10" s="274">
        <f>'[8]Degree Days 2020'!R10</f>
        <v>22</v>
      </c>
      <c r="S10" s="274">
        <f>'[8]Degree Days 2020'!S10</f>
        <v>16</v>
      </c>
      <c r="T10" s="274">
        <f>(R10+S10)/2-18.3</f>
        <v>0.69999999999999929</v>
      </c>
      <c r="U10" s="539">
        <v>1</v>
      </c>
      <c r="V10" s="274">
        <f>'[8]Degree Days 2020'!V10</f>
        <v>25</v>
      </c>
      <c r="W10" s="274">
        <f>'[8]Degree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'[8]Degree Days 2020'!B11</f>
        <v>17</v>
      </c>
      <c r="C11" s="274">
        <f>'[8]Degree Days 2020'!C11</f>
        <v>12</v>
      </c>
      <c r="D11" s="274">
        <f t="shared" ref="D11:D40" si="0">(B11+C11)/2-18.3</f>
        <v>-3.8000000000000007</v>
      </c>
      <c r="E11" s="274">
        <f>'[8]Degree Days 2020'!E11</f>
        <v>2</v>
      </c>
      <c r="F11" s="274">
        <f>'[8]Degree Days 2020'!F11</f>
        <v>17</v>
      </c>
      <c r="G11" s="274">
        <f>'[8]Degree Days 2020'!G11</f>
        <v>11</v>
      </c>
      <c r="H11" s="274">
        <f t="shared" ref="H11:H40" si="1">(F11+G11)/2-18.3</f>
        <v>-4.3000000000000007</v>
      </c>
      <c r="I11" s="274">
        <f>'[7]Degree Days 2018'!I11</f>
        <v>2</v>
      </c>
      <c r="J11" s="274">
        <f>'[8]Degree Days 2020'!J11</f>
        <v>18</v>
      </c>
      <c r="K11" s="274">
        <f>'[8]Degree Days 2020'!K11</f>
        <v>11</v>
      </c>
      <c r="L11" s="274">
        <f t="shared" ref="L11:L40" si="2">(J11+K11)/2-18.3</f>
        <v>-3.8000000000000007</v>
      </c>
      <c r="M11" s="274">
        <f>'[8]Degree Days 2020'!M11</f>
        <v>2</v>
      </c>
      <c r="N11" s="274">
        <f>'[8]Degree Days 2020'!N11</f>
        <v>19</v>
      </c>
      <c r="O11" s="274">
        <f>'[8]Degree Days 2020'!O11</f>
        <v>15</v>
      </c>
      <c r="P11" s="274">
        <f t="shared" ref="P11:P40" si="3">(N11+O11)/2-18.3</f>
        <v>-1.3000000000000007</v>
      </c>
      <c r="Q11" s="539">
        <v>2</v>
      </c>
      <c r="R11" s="274">
        <f>'[8]Degree Days 2020'!R11</f>
        <v>21</v>
      </c>
      <c r="S11" s="274">
        <f>'[8]Degree Days 2020'!S11</f>
        <v>14</v>
      </c>
      <c r="T11" s="274">
        <f t="shared" ref="T11:T40" si="4">(R11+S11)/2-18.3</f>
        <v>-0.80000000000000071</v>
      </c>
      <c r="U11" s="539">
        <v>2</v>
      </c>
      <c r="V11" s="274">
        <f>'[8]Degree Days 2020'!V11</f>
        <v>24</v>
      </c>
      <c r="W11" s="274">
        <f>'[8]Degree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'[8]Degree Days 2020'!B12</f>
        <v>16</v>
      </c>
      <c r="C12" s="274">
        <f>'[8]Degree Days 2020'!C12</f>
        <v>12</v>
      </c>
      <c r="D12" s="274">
        <f t="shared" si="0"/>
        <v>-4.3000000000000007</v>
      </c>
      <c r="E12" s="274">
        <f>'[8]Degree Days 2020'!E12</f>
        <v>3</v>
      </c>
      <c r="F12" s="274">
        <f>'[8]Degree Days 2020'!F12</f>
        <v>16</v>
      </c>
      <c r="G12" s="274">
        <f>'[8]Degree Days 2020'!G12</f>
        <v>10</v>
      </c>
      <c r="H12" s="274">
        <f t="shared" si="1"/>
        <v>-5.3000000000000007</v>
      </c>
      <c r="I12" s="274">
        <f>'[7]Degree Days 2018'!I12</f>
        <v>3</v>
      </c>
      <c r="J12" s="274">
        <f>'[8]Degree Days 2020'!J12</f>
        <v>19</v>
      </c>
      <c r="K12" s="274">
        <f>'[8]Degree Days 2020'!K12</f>
        <v>12</v>
      </c>
      <c r="L12" s="274">
        <f t="shared" si="2"/>
        <v>-2.8000000000000007</v>
      </c>
      <c r="M12" s="274">
        <f>'[8]Degree Days 2020'!M12</f>
        <v>3</v>
      </c>
      <c r="N12" s="274">
        <f>'[8]Degree Days 2020'!N12</f>
        <v>20</v>
      </c>
      <c r="O12" s="274">
        <f>'[8]Degree Days 2020'!O12</f>
        <v>14</v>
      </c>
      <c r="P12" s="274">
        <f t="shared" si="3"/>
        <v>-1.3000000000000007</v>
      </c>
      <c r="Q12" s="539">
        <v>3</v>
      </c>
      <c r="R12" s="274">
        <f>'[8]Degree Days 2020'!R12</f>
        <v>24</v>
      </c>
      <c r="S12" s="274">
        <f>'[8]Degree Days 2020'!S12</f>
        <v>17</v>
      </c>
      <c r="T12" s="274">
        <f t="shared" si="4"/>
        <v>2.1999999999999993</v>
      </c>
      <c r="U12" s="539">
        <v>3</v>
      </c>
      <c r="V12" s="274">
        <f>'[8]Degree Days 2020'!V12</f>
        <v>27</v>
      </c>
      <c r="W12" s="274">
        <f>'[8]Degree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'[8]Degree Days 2020'!B13</f>
        <v>15</v>
      </c>
      <c r="C13" s="274">
        <f>'[8]Degree Days 2020'!C13</f>
        <v>11</v>
      </c>
      <c r="D13" s="274">
        <f t="shared" si="0"/>
        <v>-5.3000000000000007</v>
      </c>
      <c r="E13" s="274">
        <f>'[8]Degree Days 2020'!E13</f>
        <v>4</v>
      </c>
      <c r="F13" s="274">
        <f>'[8]Degree Days 2020'!F13</f>
        <v>17</v>
      </c>
      <c r="G13" s="274">
        <f>'[8]Degree Days 2020'!G13</f>
        <v>13</v>
      </c>
      <c r="H13" s="274">
        <f t="shared" si="1"/>
        <v>-3.3000000000000007</v>
      </c>
      <c r="I13" s="274">
        <f>'[7]Degree Days 2018'!I13</f>
        <v>4</v>
      </c>
      <c r="J13" s="274">
        <f>'[8]Degree Days 2020'!J13</f>
        <v>19</v>
      </c>
      <c r="K13" s="274">
        <f>'[8]Degree Days 2020'!K13</f>
        <v>12</v>
      </c>
      <c r="L13" s="274">
        <f t="shared" si="2"/>
        <v>-2.8000000000000007</v>
      </c>
      <c r="M13" s="274">
        <f>'[8]Degree Days 2020'!M13</f>
        <v>4</v>
      </c>
      <c r="N13" s="274">
        <f>'[8]Degree Days 2020'!N13</f>
        <v>23</v>
      </c>
      <c r="O13" s="274">
        <f>'[8]Degree Days 2020'!O13</f>
        <v>14</v>
      </c>
      <c r="P13" s="274">
        <f t="shared" si="3"/>
        <v>0.19999999999999929</v>
      </c>
      <c r="Q13" s="539">
        <v>4</v>
      </c>
      <c r="R13" s="274">
        <f>'[8]Degree Days 2020'!R13</f>
        <v>23</v>
      </c>
      <c r="S13" s="274">
        <f>'[8]Degree Days 2020'!S13</f>
        <v>17</v>
      </c>
      <c r="T13" s="274">
        <f t="shared" si="4"/>
        <v>1.6999999999999993</v>
      </c>
      <c r="U13" s="539">
        <v>4</v>
      </c>
      <c r="V13" s="274">
        <f>'[8]Degree Days 2020'!V13</f>
        <v>26</v>
      </c>
      <c r="W13" s="274">
        <f>'[8]Degree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'[8]Degree Days 2020'!B14</f>
        <v>15</v>
      </c>
      <c r="C14" s="274">
        <f>'[8]Degree Days 2020'!C14</f>
        <v>11</v>
      </c>
      <c r="D14" s="274">
        <f t="shared" si="0"/>
        <v>-5.3000000000000007</v>
      </c>
      <c r="E14" s="274">
        <f>'[8]Degree Days 2020'!E14</f>
        <v>5</v>
      </c>
      <c r="F14" s="274">
        <f>'[8]Degree Days 2020'!F14</f>
        <v>20</v>
      </c>
      <c r="G14" s="274">
        <f>'[8]Degree Days 2020'!G14</f>
        <v>15</v>
      </c>
      <c r="H14" s="274">
        <f t="shared" si="1"/>
        <v>-0.80000000000000071</v>
      </c>
      <c r="I14" s="274">
        <f>'[7]Degree Days 2018'!I14</f>
        <v>5</v>
      </c>
      <c r="J14" s="274">
        <f>'[8]Degree Days 2020'!J14</f>
        <v>19</v>
      </c>
      <c r="K14" s="274">
        <f>'[8]Degree Days 2020'!K14</f>
        <v>14</v>
      </c>
      <c r="L14" s="274">
        <f t="shared" si="2"/>
        <v>-1.8000000000000007</v>
      </c>
      <c r="M14" s="274">
        <f>'[8]Degree Days 2020'!M14</f>
        <v>5</v>
      </c>
      <c r="N14" s="274">
        <f>'[8]Degree Days 2020'!N14</f>
        <v>34</v>
      </c>
      <c r="O14" s="274">
        <f>'[8]Degree Days 2020'!O14</f>
        <v>17</v>
      </c>
      <c r="P14" s="274">
        <f t="shared" si="3"/>
        <v>7.1999999999999993</v>
      </c>
      <c r="Q14" s="539">
        <v>5</v>
      </c>
      <c r="R14" s="274">
        <f>'[8]Degree Days 2020'!R14</f>
        <v>22</v>
      </c>
      <c r="S14" s="274">
        <f>'[8]Degree Days 2020'!S14</f>
        <v>18</v>
      </c>
      <c r="T14" s="274">
        <f t="shared" si="4"/>
        <v>1.6999999999999993</v>
      </c>
      <c r="U14" s="539">
        <v>5</v>
      </c>
      <c r="V14" s="274">
        <f>'[8]Degree Days 2020'!V14</f>
        <v>25</v>
      </c>
      <c r="W14" s="274">
        <f>'[8]Degree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'[8]Degree Days 2020'!B15</f>
        <v>16</v>
      </c>
      <c r="C15" s="274">
        <f>'[8]Degree Days 2020'!C15</f>
        <v>12</v>
      </c>
      <c r="D15" s="274">
        <f t="shared" si="0"/>
        <v>-4.3000000000000007</v>
      </c>
      <c r="E15" s="274">
        <f>'[8]Degree Days 2020'!E15</f>
        <v>6</v>
      </c>
      <c r="F15" s="274">
        <f>'[8]Degree Days 2020'!F15</f>
        <v>22</v>
      </c>
      <c r="G15" s="274">
        <f>'[8]Degree Days 2020'!G15</f>
        <v>16</v>
      </c>
      <c r="H15" s="274">
        <f t="shared" si="1"/>
        <v>0.69999999999999929</v>
      </c>
      <c r="I15" s="274">
        <f>'[7]Degree Days 2018'!I15</f>
        <v>6</v>
      </c>
      <c r="J15" s="274">
        <f>'[8]Degree Days 2020'!J15</f>
        <v>18</v>
      </c>
      <c r="K15" s="274">
        <f>'[8]Degree Days 2020'!K15</f>
        <v>12</v>
      </c>
      <c r="L15" s="274">
        <f t="shared" si="2"/>
        <v>-3.3000000000000007</v>
      </c>
      <c r="M15" s="274">
        <f>'[8]Degree Days 2020'!M15</f>
        <v>6</v>
      </c>
      <c r="N15" s="274">
        <f>'[8]Degree Days 2020'!N15</f>
        <v>19</v>
      </c>
      <c r="O15" s="274">
        <f>'[8]Degree Days 2020'!O15</f>
        <v>17</v>
      </c>
      <c r="P15" s="274">
        <f t="shared" si="3"/>
        <v>-0.30000000000000071</v>
      </c>
      <c r="Q15" s="539">
        <v>6</v>
      </c>
      <c r="R15" s="274">
        <f>'[8]Degree Days 2020'!R15</f>
        <v>23</v>
      </c>
      <c r="S15" s="274">
        <f>'[8]Degree Days 2020'!S15</f>
        <v>17</v>
      </c>
      <c r="T15" s="274">
        <f t="shared" si="4"/>
        <v>1.6999999999999993</v>
      </c>
      <c r="U15" s="539">
        <v>6</v>
      </c>
      <c r="V15" s="274">
        <f>'[8]Degree Days 2020'!V15</f>
        <v>26</v>
      </c>
      <c r="W15" s="274">
        <f>'[8]Degree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'[8]Degree Days 2020'!B16</f>
        <v>16</v>
      </c>
      <c r="C16" s="274">
        <f>'[8]Degree Days 2020'!C16</f>
        <v>12</v>
      </c>
      <c r="D16" s="274">
        <f t="shared" si="0"/>
        <v>-4.3000000000000007</v>
      </c>
      <c r="E16" s="274">
        <f>'[8]Degree Days 2020'!E16</f>
        <v>7</v>
      </c>
      <c r="F16" s="274">
        <f>'[8]Degree Days 2020'!F16</f>
        <v>16</v>
      </c>
      <c r="G16" s="274">
        <f>'[8]Degree Days 2020'!G16</f>
        <v>10</v>
      </c>
      <c r="H16" s="274">
        <f t="shared" si="1"/>
        <v>-5.3000000000000007</v>
      </c>
      <c r="I16" s="274">
        <f>'[7]Degree Days 2018'!I16</f>
        <v>7</v>
      </c>
      <c r="J16" s="274">
        <f>'[8]Degree Days 2020'!J16</f>
        <v>18</v>
      </c>
      <c r="K16" s="274">
        <f>'[8]Degree Days 2020'!K16</f>
        <v>12</v>
      </c>
      <c r="L16" s="274">
        <f t="shared" si="2"/>
        <v>-3.3000000000000007</v>
      </c>
      <c r="M16" s="274">
        <f>'[8]Degree Days 2020'!M16</f>
        <v>7</v>
      </c>
      <c r="N16" s="274">
        <f>'[8]Degree Days 2020'!N16</f>
        <v>20</v>
      </c>
      <c r="O16" s="274">
        <f>'[8]Degree Days 2020'!O16</f>
        <v>16</v>
      </c>
      <c r="P16" s="274">
        <f t="shared" si="3"/>
        <v>-0.30000000000000071</v>
      </c>
      <c r="Q16" s="539">
        <v>7</v>
      </c>
      <c r="R16" s="274">
        <f>'[8]Degree Days 2020'!R16</f>
        <v>25</v>
      </c>
      <c r="S16" s="274">
        <f>'[8]Degree Days 2020'!S16</f>
        <v>18</v>
      </c>
      <c r="T16" s="274">
        <f t="shared" si="4"/>
        <v>3.1999999999999993</v>
      </c>
      <c r="U16" s="539">
        <v>7</v>
      </c>
      <c r="V16" s="274">
        <f>'[8]Degree Days 2020'!V16</f>
        <v>27</v>
      </c>
      <c r="W16" s="274">
        <f>'[8]Degree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'[8]Degree Days 2020'!B17</f>
        <v>14</v>
      </c>
      <c r="C17" s="274">
        <f>'[8]Degree Days 2020'!C17</f>
        <v>11</v>
      </c>
      <c r="D17" s="274">
        <f t="shared" si="0"/>
        <v>-5.8000000000000007</v>
      </c>
      <c r="E17" s="274">
        <f>'[8]Degree Days 2020'!E17</f>
        <v>8</v>
      </c>
      <c r="F17" s="274">
        <f>'[8]Degree Days 2020'!F17</f>
        <v>14</v>
      </c>
      <c r="G17" s="274">
        <f>'[8]Degree Days 2020'!G17</f>
        <v>9</v>
      </c>
      <c r="H17" s="274">
        <f t="shared" si="1"/>
        <v>-6.8000000000000007</v>
      </c>
      <c r="I17" s="274">
        <f>'[7]Degree Days 2018'!I17</f>
        <v>8</v>
      </c>
      <c r="J17" s="274">
        <f>'[8]Degree Days 2020'!J17</f>
        <v>19</v>
      </c>
      <c r="K17" s="274">
        <f>'[8]Degree Days 2020'!K17</f>
        <v>13</v>
      </c>
      <c r="L17" s="274">
        <f t="shared" si="2"/>
        <v>-2.3000000000000007</v>
      </c>
      <c r="M17" s="274">
        <f>'[8]Degree Days 2020'!M17</f>
        <v>8</v>
      </c>
      <c r="N17" s="274">
        <f>'[8]Degree Days 2020'!N17</f>
        <v>19</v>
      </c>
      <c r="O17" s="274">
        <f>'[8]Degree Days 2020'!O17</f>
        <v>15</v>
      </c>
      <c r="P17" s="274">
        <f t="shared" si="3"/>
        <v>-1.3000000000000007</v>
      </c>
      <c r="Q17" s="539">
        <v>8</v>
      </c>
      <c r="R17" s="274">
        <f>'[8]Degree Days 2020'!R17</f>
        <v>23</v>
      </c>
      <c r="S17" s="274">
        <f>'[8]Degree Days 2020'!S17</f>
        <v>17</v>
      </c>
      <c r="T17" s="274">
        <f t="shared" si="4"/>
        <v>1.6999999999999993</v>
      </c>
      <c r="U17" s="539">
        <v>8</v>
      </c>
      <c r="V17" s="274">
        <f>'[8]Degree Days 2020'!V17</f>
        <v>26</v>
      </c>
      <c r="W17" s="274">
        <f>'[8]Degree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'[8]Degree Days 2020'!B18</f>
        <v>14</v>
      </c>
      <c r="C18" s="274">
        <f>'[8]Degree Days 2020'!C18</f>
        <v>11</v>
      </c>
      <c r="D18" s="274">
        <f t="shared" si="0"/>
        <v>-5.8000000000000007</v>
      </c>
      <c r="E18" s="274">
        <f>'[8]Degree Days 2020'!E18</f>
        <v>9</v>
      </c>
      <c r="F18" s="274">
        <f>'[8]Degree Days 2020'!F18</f>
        <v>9</v>
      </c>
      <c r="G18" s="274">
        <f>'[8]Degree Days 2020'!G18</f>
        <v>8</v>
      </c>
      <c r="H18" s="274">
        <f t="shared" si="1"/>
        <v>-9.8000000000000007</v>
      </c>
      <c r="I18" s="274">
        <f>'[7]Degree Days 2018'!I18</f>
        <v>9</v>
      </c>
      <c r="J18" s="274">
        <f>'[8]Degree Days 2020'!J18</f>
        <v>20</v>
      </c>
      <c r="K18" s="274">
        <f>'[8]Degree Days 2020'!K18</f>
        <v>14</v>
      </c>
      <c r="L18" s="274">
        <f t="shared" si="2"/>
        <v>-1.3000000000000007</v>
      </c>
      <c r="M18" s="274">
        <f>'[8]Degree Days 2020'!M18</f>
        <v>9</v>
      </c>
      <c r="N18" s="274">
        <f>'[8]Degree Days 2020'!N18</f>
        <v>18</v>
      </c>
      <c r="O18" s="274">
        <f>'[8]Degree Days 2020'!O18</f>
        <v>15</v>
      </c>
      <c r="P18" s="274">
        <f t="shared" si="3"/>
        <v>-1.8000000000000007</v>
      </c>
      <c r="Q18" s="539">
        <v>9</v>
      </c>
      <c r="R18" s="274">
        <f>'[8]Degree Days 2020'!R18</f>
        <v>24</v>
      </c>
      <c r="S18" s="274">
        <f>'[8]Degree Days 2020'!S18</f>
        <v>18</v>
      </c>
      <c r="T18" s="274">
        <f t="shared" si="4"/>
        <v>2.6999999999999993</v>
      </c>
      <c r="U18" s="539">
        <v>9</v>
      </c>
      <c r="V18" s="274">
        <f>'[8]Degree Days 2020'!V18</f>
        <v>28</v>
      </c>
      <c r="W18" s="274">
        <f>'[8]Degree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'[8]Degree Days 2020'!B19</f>
        <v>17</v>
      </c>
      <c r="C19" s="274">
        <f>'[8]Degree Days 2020'!C19</f>
        <v>12</v>
      </c>
      <c r="D19" s="274">
        <f t="shared" si="0"/>
        <v>-3.8000000000000007</v>
      </c>
      <c r="E19" s="274">
        <f>'[8]Degree Days 2020'!E19</f>
        <v>10</v>
      </c>
      <c r="F19" s="274">
        <f>'[8]Degree Days 2020'!F19</f>
        <v>10</v>
      </c>
      <c r="G19" s="274">
        <f>'[8]Degree Days 2020'!G19</f>
        <v>7</v>
      </c>
      <c r="H19" s="274">
        <f t="shared" si="1"/>
        <v>-9.8000000000000007</v>
      </c>
      <c r="I19" s="274">
        <f>'[7]Degree Days 2018'!I19</f>
        <v>10</v>
      </c>
      <c r="J19" s="274">
        <f>'[8]Degree Days 2020'!J19</f>
        <v>19</v>
      </c>
      <c r="K19" s="274">
        <f>'[8]Degree Days 2020'!K19</f>
        <v>16</v>
      </c>
      <c r="L19" s="274">
        <f t="shared" si="2"/>
        <v>-0.80000000000000071</v>
      </c>
      <c r="M19" s="274">
        <f>'[8]Degree Days 2020'!M19</f>
        <v>10</v>
      </c>
      <c r="N19" s="274">
        <f>'[8]Degree Days 2020'!N19</f>
        <v>16</v>
      </c>
      <c r="O19" s="274">
        <f>'[8]Degree Days 2020'!O19</f>
        <v>13</v>
      </c>
      <c r="P19" s="274">
        <f t="shared" si="3"/>
        <v>-3.8000000000000007</v>
      </c>
      <c r="Q19" s="539">
        <v>10</v>
      </c>
      <c r="R19" s="274">
        <f>'[8]Degree Days 2020'!R19</f>
        <v>23</v>
      </c>
      <c r="S19" s="274">
        <f>'[8]Degree Days 2020'!S19</f>
        <v>17</v>
      </c>
      <c r="T19" s="274">
        <f t="shared" si="4"/>
        <v>1.6999999999999993</v>
      </c>
      <c r="U19" s="539">
        <v>10</v>
      </c>
      <c r="V19" s="274">
        <f>'[8]Degree Days 2020'!V19</f>
        <v>28</v>
      </c>
      <c r="W19" s="274">
        <f>'[8]Degree Days 2020'!W19</f>
        <v>20</v>
      </c>
      <c r="X19" s="274">
        <f t="shared" si="5"/>
        <v>5.6999999999999993</v>
      </c>
      <c r="Z19" t="s">
        <v>179</v>
      </c>
      <c r="AA19" s="274">
        <f>N81</f>
        <v>-18.3</v>
      </c>
      <c r="AB19" s="274">
        <f>O81</f>
        <v>246.49999999999986</v>
      </c>
    </row>
    <row r="20" spans="1:28">
      <c r="A20" s="117">
        <v>11</v>
      </c>
      <c r="B20" s="274">
        <f>'[8]Degree Days 2020'!B20</f>
        <v>17</v>
      </c>
      <c r="C20" s="274">
        <f>'[8]Degree Days 2020'!C20</f>
        <v>13</v>
      </c>
      <c r="D20" s="274">
        <f t="shared" si="0"/>
        <v>-3.3000000000000007</v>
      </c>
      <c r="E20" s="274">
        <f>'[8]Degree Days 2020'!E20</f>
        <v>11</v>
      </c>
      <c r="F20" s="274">
        <f>'[8]Degree Days 2020'!F20</f>
        <v>14</v>
      </c>
      <c r="G20" s="274">
        <f>'[8]Degree Days 2020'!G20</f>
        <v>8</v>
      </c>
      <c r="H20" s="274">
        <f t="shared" si="1"/>
        <v>-7.3000000000000007</v>
      </c>
      <c r="I20" s="274">
        <f>'[7]Degree Days 2018'!I20</f>
        <v>11</v>
      </c>
      <c r="J20" s="274">
        <f>'[8]Degree Days 2020'!J20</f>
        <v>18</v>
      </c>
      <c r="K20" s="274">
        <f>'[8]Degree Days 2020'!K20</f>
        <v>14</v>
      </c>
      <c r="L20" s="274">
        <f t="shared" si="2"/>
        <v>-2.3000000000000007</v>
      </c>
      <c r="M20" s="274">
        <f>'[8]Degree Days 2020'!M20</f>
        <v>11</v>
      </c>
      <c r="N20" s="274">
        <f>'[8]Degree Days 2020'!N20</f>
        <v>17</v>
      </c>
      <c r="O20" s="274">
        <f>'[8]Degree Days 2020'!O20</f>
        <v>14</v>
      </c>
      <c r="P20" s="274">
        <f t="shared" si="3"/>
        <v>-2.8000000000000007</v>
      </c>
      <c r="Q20" s="539">
        <v>11</v>
      </c>
      <c r="R20" s="274">
        <f>'[8]Degree Days 2020'!R20</f>
        <v>23</v>
      </c>
      <c r="S20" s="274">
        <f>'[8]Degree Days 2020'!S20</f>
        <v>18</v>
      </c>
      <c r="T20" s="274">
        <f t="shared" si="4"/>
        <v>2.1999999999999993</v>
      </c>
      <c r="U20" s="539">
        <v>11</v>
      </c>
      <c r="V20" s="274">
        <f>'[8]Degree Days 2020'!V20</f>
        <v>28</v>
      </c>
      <c r="W20" s="274">
        <f>'[8]Degree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'[8]Degree Days 2020'!B21</f>
        <v>16</v>
      </c>
      <c r="C21" s="274">
        <f>'[8]Degree Days 2020'!C21</f>
        <v>12</v>
      </c>
      <c r="D21" s="274">
        <f t="shared" si="0"/>
        <v>-4.3000000000000007</v>
      </c>
      <c r="E21" s="274">
        <f>'[8]Degree Days 2020'!E21</f>
        <v>12</v>
      </c>
      <c r="F21" s="274">
        <f>'[8]Degree Days 2020'!F21</f>
        <v>16</v>
      </c>
      <c r="G21" s="274">
        <f>'[8]Degree Days 2020'!G21</f>
        <v>13</v>
      </c>
      <c r="H21" s="274">
        <f t="shared" si="1"/>
        <v>-3.8000000000000007</v>
      </c>
      <c r="I21" s="274">
        <f>'[7]Degree Days 2018'!I21</f>
        <v>12</v>
      </c>
      <c r="J21" s="274">
        <f>'[8]Degree Days 2020'!J21</f>
        <v>27</v>
      </c>
      <c r="K21" s="274">
        <f>'[8]Degree Days 2020'!K21</f>
        <v>16</v>
      </c>
      <c r="L21" s="274">
        <f t="shared" si="2"/>
        <v>3.1999999999999993</v>
      </c>
      <c r="M21" s="274">
        <f>'[8]Degree Days 2020'!M21</f>
        <v>12</v>
      </c>
      <c r="N21" s="274">
        <f>'[8]Degree Days 2020'!N21</f>
        <v>20</v>
      </c>
      <c r="O21" s="274">
        <f>'[8]Degree Days 2020'!O21</f>
        <v>14</v>
      </c>
      <c r="P21" s="274">
        <f t="shared" si="3"/>
        <v>-1.3000000000000007</v>
      </c>
      <c r="Q21" s="539">
        <v>12</v>
      </c>
      <c r="R21" s="274">
        <f>'[8]Degree Days 2020'!R21</f>
        <v>24</v>
      </c>
      <c r="S21" s="274">
        <f>'[8]Degree Days 2020'!S21</f>
        <v>18</v>
      </c>
      <c r="T21" s="274">
        <f t="shared" si="4"/>
        <v>2.6999999999999993</v>
      </c>
      <c r="U21" s="539">
        <v>12</v>
      </c>
      <c r="V21" s="274">
        <f>'[8]Degree Days 2020'!V21</f>
        <v>27</v>
      </c>
      <c r="W21" s="274">
        <f>'[8]Degree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'[8]Degree Days 2020'!B22</f>
        <v>17</v>
      </c>
      <c r="C22" s="274">
        <f>'[8]Degree Days 2020'!C22</f>
        <v>13</v>
      </c>
      <c r="D22" s="274">
        <f t="shared" si="0"/>
        <v>-3.3000000000000007</v>
      </c>
      <c r="E22" s="274">
        <f>'[8]Degree Days 2020'!E22</f>
        <v>13</v>
      </c>
      <c r="F22" s="274">
        <f>'[8]Degree Days 2020'!F22</f>
        <v>17</v>
      </c>
      <c r="G22" s="274">
        <f>'[8]Degree Days 2020'!G22</f>
        <v>14</v>
      </c>
      <c r="H22" s="274">
        <f t="shared" si="1"/>
        <v>-2.8000000000000007</v>
      </c>
      <c r="I22" s="274">
        <f>'[7]Degree Days 2018'!I22</f>
        <v>13</v>
      </c>
      <c r="J22" s="274">
        <f>'[8]Degree Days 2020'!J22</f>
        <v>26</v>
      </c>
      <c r="K22" s="274">
        <f>'[8]Degree Days 2020'!K22</f>
        <v>15</v>
      </c>
      <c r="L22" s="274">
        <f t="shared" si="2"/>
        <v>2.1999999999999993</v>
      </c>
      <c r="M22" s="274">
        <f>'[8]Degree Days 2020'!M22</f>
        <v>13</v>
      </c>
      <c r="N22" s="274">
        <f>'[8]Degree Days 2020'!N22</f>
        <v>21</v>
      </c>
      <c r="O22" s="274">
        <f>'[8]Degree Days 2020'!O22</f>
        <v>15</v>
      </c>
      <c r="P22" s="274">
        <f t="shared" si="3"/>
        <v>-0.30000000000000071</v>
      </c>
      <c r="Q22" s="539">
        <v>13</v>
      </c>
      <c r="R22" s="274">
        <f>'[8]Degree Days 2020'!R22</f>
        <v>27</v>
      </c>
      <c r="S22" s="274">
        <f>'[8]Degree Days 2020'!S22</f>
        <v>21</v>
      </c>
      <c r="T22" s="274">
        <f t="shared" si="4"/>
        <v>5.6999999999999993</v>
      </c>
      <c r="U22" s="539">
        <v>13</v>
      </c>
      <c r="V22" s="274">
        <f>'[8]Degree Days 2020'!V22</f>
        <v>25</v>
      </c>
      <c r="W22" s="274">
        <f>'[8]Degree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'[8]Degree Days 2020'!B23</f>
        <v>16</v>
      </c>
      <c r="C23" s="274">
        <f>'[8]Degree Days 2020'!C23</f>
        <v>12</v>
      </c>
      <c r="D23" s="274">
        <f t="shared" si="0"/>
        <v>-4.3000000000000007</v>
      </c>
      <c r="E23" s="274">
        <f>'[8]Degree Days 2020'!E23</f>
        <v>14</v>
      </c>
      <c r="F23" s="274">
        <f>'[8]Degree Days 2020'!F23</f>
        <v>17</v>
      </c>
      <c r="G23" s="274">
        <f>'[8]Degree Days 2020'!G23</f>
        <v>11</v>
      </c>
      <c r="H23" s="274">
        <f t="shared" si="1"/>
        <v>-4.3000000000000007</v>
      </c>
      <c r="I23" s="274">
        <f>'[7]Degree Days 2018'!I23</f>
        <v>14</v>
      </c>
      <c r="J23" s="274">
        <f>'[8]Degree Days 2020'!J23</f>
        <v>19</v>
      </c>
      <c r="K23" s="274">
        <f>'[8]Degree Days 2020'!K23</f>
        <v>15</v>
      </c>
      <c r="L23" s="274">
        <f t="shared" si="2"/>
        <v>-1.3000000000000007</v>
      </c>
      <c r="M23" s="274">
        <f>'[8]Degree Days 2020'!M23</f>
        <v>14</v>
      </c>
      <c r="N23" s="274">
        <f>'[8]Degree Days 2020'!N23</f>
        <v>22</v>
      </c>
      <c r="O23" s="274">
        <f>'[8]Degree Days 2020'!O23</f>
        <v>16</v>
      </c>
      <c r="P23" s="274">
        <f t="shared" si="3"/>
        <v>0.69999999999999929</v>
      </c>
      <c r="Q23" s="539">
        <v>14</v>
      </c>
      <c r="R23" s="274">
        <f>'[8]Degree Days 2020'!R23</f>
        <v>29</v>
      </c>
      <c r="S23" s="274">
        <f>'[8]Degree Days 2020'!S23</f>
        <v>22</v>
      </c>
      <c r="T23" s="274">
        <f t="shared" si="4"/>
        <v>7.1999999999999993</v>
      </c>
      <c r="U23" s="539">
        <v>14</v>
      </c>
      <c r="V23" s="274">
        <f>'[8]Degree Days 2020'!V23</f>
        <v>26</v>
      </c>
      <c r="W23" s="274">
        <f>'[8]Degree Days 2020'!W23</f>
        <v>21</v>
      </c>
      <c r="X23" s="274">
        <f t="shared" si="5"/>
        <v>5.1999999999999993</v>
      </c>
      <c r="AA23" s="134">
        <f>SUM(AA10:AA22)</f>
        <v>-426.09999999999997</v>
      </c>
      <c r="AB23" s="134">
        <f>SUM(AB10:AB22)</f>
        <v>1510.8999999999992</v>
      </c>
    </row>
    <row r="24" spans="1:28">
      <c r="A24" s="117">
        <v>15</v>
      </c>
      <c r="B24" s="274">
        <f>'[8]Degree Days 2020'!B24</f>
        <v>17</v>
      </c>
      <c r="C24" s="274">
        <f>'[8]Degree Days 2020'!C24</f>
        <v>13</v>
      </c>
      <c r="D24" s="274">
        <f t="shared" si="0"/>
        <v>-3.3000000000000007</v>
      </c>
      <c r="E24" s="274">
        <f>'[8]Degree Days 2020'!E24</f>
        <v>15</v>
      </c>
      <c r="F24" s="274">
        <f>'[8]Degree Days 2020'!F24</f>
        <v>17</v>
      </c>
      <c r="G24" s="274">
        <f>'[8]Degree Days 2020'!G24</f>
        <v>12</v>
      </c>
      <c r="H24" s="274">
        <f t="shared" si="1"/>
        <v>-3.8000000000000007</v>
      </c>
      <c r="I24" s="274">
        <f>'[7]Degree Days 2018'!I24</f>
        <v>15</v>
      </c>
      <c r="J24" s="274">
        <f>'[8]Degree Days 2020'!J24</f>
        <v>19</v>
      </c>
      <c r="K24" s="274">
        <f>'[8]Degree Days 2020'!K24</f>
        <v>15</v>
      </c>
      <c r="L24" s="274">
        <f t="shared" si="2"/>
        <v>-1.3000000000000007</v>
      </c>
      <c r="M24" s="274">
        <f>'[8]Degree Days 2020'!M24</f>
        <v>15</v>
      </c>
      <c r="N24" s="274">
        <f>'[8]Degree Days 2020'!N24</f>
        <v>20</v>
      </c>
      <c r="O24" s="274">
        <f>'[8]Degree Days 2020'!O24</f>
        <v>16</v>
      </c>
      <c r="P24" s="274">
        <f t="shared" si="3"/>
        <v>-0.30000000000000071</v>
      </c>
      <c r="Q24" s="539">
        <v>15</v>
      </c>
      <c r="R24" s="274">
        <f>'[8]Degree Days 2020'!R24</f>
        <v>30</v>
      </c>
      <c r="S24" s="274">
        <f>'[8]Degree Days 2020'!S24</f>
        <v>23</v>
      </c>
      <c r="T24" s="274">
        <f t="shared" si="4"/>
        <v>8.1999999999999993</v>
      </c>
      <c r="U24" s="539">
        <v>15</v>
      </c>
      <c r="V24" s="274">
        <f>'[8]Degree Days 2020'!V24</f>
        <v>26</v>
      </c>
      <c r="W24" s="274">
        <f>'[8]Degree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'[8]Degree Days 2020'!B25</f>
        <v>19</v>
      </c>
      <c r="C25" s="274">
        <f>'[8]Degree Days 2020'!C25</f>
        <v>13</v>
      </c>
      <c r="D25" s="274">
        <f t="shared" si="0"/>
        <v>-2.3000000000000007</v>
      </c>
      <c r="E25" s="274">
        <f>'[8]Degree Days 2020'!E25</f>
        <v>16</v>
      </c>
      <c r="F25" s="274">
        <f>'[8]Degree Days 2020'!F25</f>
        <v>17</v>
      </c>
      <c r="G25" s="274">
        <f>'[8]Degree Days 2020'!G25</f>
        <v>11</v>
      </c>
      <c r="H25" s="274">
        <f t="shared" si="1"/>
        <v>-4.3000000000000007</v>
      </c>
      <c r="I25" s="274">
        <f>'[7]Degree Days 2018'!I25</f>
        <v>16</v>
      </c>
      <c r="J25" s="274">
        <f>'[8]Degree Days 2020'!J25</f>
        <v>18</v>
      </c>
      <c r="K25" s="274">
        <f>'[8]Degree Days 2020'!K25</f>
        <v>11</v>
      </c>
      <c r="L25" s="274">
        <f t="shared" si="2"/>
        <v>-3.8000000000000007</v>
      </c>
      <c r="M25" s="274">
        <f>'[8]Degree Days 2020'!M25</f>
        <v>16</v>
      </c>
      <c r="N25" s="274">
        <f>'[8]Degree Days 2020'!N25</f>
        <v>20</v>
      </c>
      <c r="O25" s="274">
        <f>'[8]Degree Days 2020'!O25</f>
        <v>15</v>
      </c>
      <c r="P25" s="274">
        <f t="shared" si="3"/>
        <v>-0.80000000000000071</v>
      </c>
      <c r="Q25" s="539">
        <v>16</v>
      </c>
      <c r="R25" s="274">
        <f>'[8]Degree Days 2020'!R25</f>
        <v>32</v>
      </c>
      <c r="S25" s="274">
        <f>'[8]Degree Days 2020'!S25</f>
        <v>24</v>
      </c>
      <c r="T25" s="274">
        <f t="shared" si="4"/>
        <v>9.6999999999999993</v>
      </c>
      <c r="U25" s="539">
        <v>16</v>
      </c>
      <c r="V25" s="274">
        <f>'[8]Degree Days 2020'!V25</f>
        <v>26</v>
      </c>
      <c r="W25" s="274">
        <f>'[8]Degree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'[8]Degree Days 2020'!B26</f>
        <v>20</v>
      </c>
      <c r="C26" s="274">
        <f>'[8]Degree Days 2020'!C26</f>
        <v>13</v>
      </c>
      <c r="D26" s="274">
        <f t="shared" si="0"/>
        <v>-1.8000000000000007</v>
      </c>
      <c r="E26" s="274">
        <f>'[8]Degree Days 2020'!E26</f>
        <v>17</v>
      </c>
      <c r="F26" s="274">
        <f>'[8]Degree Days 2020'!F26</f>
        <v>16</v>
      </c>
      <c r="G26" s="274">
        <f>'[8]Degree Days 2020'!G26</f>
        <v>12</v>
      </c>
      <c r="H26" s="274">
        <f t="shared" si="1"/>
        <v>-4.3000000000000007</v>
      </c>
      <c r="I26" s="274">
        <f>'[7]Degree Days 2018'!I26</f>
        <v>17</v>
      </c>
      <c r="J26" s="274">
        <f>'[8]Degree Days 2020'!J26</f>
        <v>19</v>
      </c>
      <c r="K26" s="274">
        <f>'[8]Degree Days 2020'!K26</f>
        <v>12</v>
      </c>
      <c r="L26" s="274">
        <f t="shared" si="2"/>
        <v>-2.8000000000000007</v>
      </c>
      <c r="M26" s="274">
        <f>'[8]Degree Days 2020'!M26</f>
        <v>17</v>
      </c>
      <c r="N26" s="274">
        <f>'[8]Degree Days 2020'!N26</f>
        <v>22</v>
      </c>
      <c r="O26" s="274">
        <f>'[8]Degree Days 2020'!O26</f>
        <v>17</v>
      </c>
      <c r="P26" s="274">
        <f t="shared" si="3"/>
        <v>1.1999999999999993</v>
      </c>
      <c r="Q26" s="539">
        <v>17</v>
      </c>
      <c r="R26" s="274">
        <f>'[8]Degree Days 2020'!R26</f>
        <v>36</v>
      </c>
      <c r="S26" s="274">
        <f>'[8]Degree Days 2020'!S26</f>
        <v>26</v>
      </c>
      <c r="T26" s="274">
        <f t="shared" si="4"/>
        <v>12.7</v>
      </c>
      <c r="U26" s="539">
        <v>17</v>
      </c>
      <c r="V26" s="274">
        <f>'[8]Degree Days 2020'!V26</f>
        <v>27</v>
      </c>
      <c r="W26" s="274">
        <f>'[8]Degree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'[8]Degree Days 2020'!B27</f>
        <v>14</v>
      </c>
      <c r="C27" s="274">
        <f>'[8]Degree Days 2020'!C27</f>
        <v>13</v>
      </c>
      <c r="D27" s="274">
        <f t="shared" si="0"/>
        <v>-4.8000000000000007</v>
      </c>
      <c r="E27" s="274">
        <f>'[8]Degree Days 2020'!E27</f>
        <v>18</v>
      </c>
      <c r="F27" s="274">
        <f>'[8]Degree Days 2020'!F27</f>
        <v>17</v>
      </c>
      <c r="G27" s="274">
        <f>'[8]Degree Days 2020'!G27</f>
        <v>11</v>
      </c>
      <c r="H27" s="274">
        <f t="shared" si="1"/>
        <v>-4.3000000000000007</v>
      </c>
      <c r="I27" s="274">
        <f>'[7]Degree Days 2018'!I27</f>
        <v>18</v>
      </c>
      <c r="J27" s="274">
        <f>'[8]Degree Days 2020'!J27</f>
        <v>15</v>
      </c>
      <c r="K27" s="274">
        <f>'[8]Degree Days 2020'!K27</f>
        <v>13</v>
      </c>
      <c r="L27" s="274">
        <f t="shared" si="2"/>
        <v>-4.3000000000000007</v>
      </c>
      <c r="M27" s="274">
        <f>'[8]Degree Days 2020'!M27</f>
        <v>18</v>
      </c>
      <c r="N27" s="274">
        <f>'[8]Degree Days 2020'!N27</f>
        <v>24</v>
      </c>
      <c r="O27" s="274">
        <f>'[8]Degree Days 2020'!O27</f>
        <v>17</v>
      </c>
      <c r="P27" s="274">
        <f t="shared" si="3"/>
        <v>2.1999999999999993</v>
      </c>
      <c r="Q27" s="539">
        <v>18</v>
      </c>
      <c r="R27" s="274">
        <f>'[8]Degree Days 2020'!R27</f>
        <v>32</v>
      </c>
      <c r="S27" s="274">
        <f>'[8]Degree Days 2020'!S27</f>
        <v>24</v>
      </c>
      <c r="T27" s="274">
        <f t="shared" si="4"/>
        <v>9.6999999999999993</v>
      </c>
      <c r="U27" s="539">
        <v>18</v>
      </c>
      <c r="V27" s="274">
        <f>'[8]Degree Days 2020'!V27</f>
        <v>27</v>
      </c>
      <c r="W27" s="274">
        <f>'[8]Degree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'[8]Degree Days 2020'!B28</f>
        <v>15</v>
      </c>
      <c r="C28" s="274">
        <f>'[8]Degree Days 2020'!C28</f>
        <v>13</v>
      </c>
      <c r="D28" s="274">
        <f t="shared" si="0"/>
        <v>-4.3000000000000007</v>
      </c>
      <c r="E28" s="274">
        <f>'[8]Degree Days 2020'!E28</f>
        <v>19</v>
      </c>
      <c r="F28" s="274">
        <f>'[8]Degree Days 2020'!F28</f>
        <v>17</v>
      </c>
      <c r="G28" s="274">
        <f>'[8]Degree Days 2020'!G28</f>
        <v>14</v>
      </c>
      <c r="H28" s="274">
        <f t="shared" si="1"/>
        <v>-2.8000000000000007</v>
      </c>
      <c r="I28" s="274">
        <f>'[7]Degree Days 2018'!I28</f>
        <v>19</v>
      </c>
      <c r="J28" s="274">
        <f>'[8]Degree Days 2020'!J28</f>
        <v>17</v>
      </c>
      <c r="K28" s="274">
        <f>'[8]Degree Days 2020'!K28</f>
        <v>14</v>
      </c>
      <c r="L28" s="274">
        <f t="shared" si="2"/>
        <v>-2.8000000000000007</v>
      </c>
      <c r="M28" s="274">
        <f>'[8]Degree Days 2020'!M28</f>
        <v>19</v>
      </c>
      <c r="N28" s="274">
        <f>'[8]Degree Days 2020'!N28</f>
        <v>24</v>
      </c>
      <c r="O28" s="274">
        <f>'[8]Degree Days 2020'!O28</f>
        <v>17</v>
      </c>
      <c r="P28" s="274">
        <f t="shared" si="3"/>
        <v>2.1999999999999993</v>
      </c>
      <c r="Q28" s="539">
        <v>19</v>
      </c>
      <c r="R28" s="274">
        <f>'[8]Degree Days 2020'!R28</f>
        <v>34</v>
      </c>
      <c r="S28" s="274">
        <f>'[8]Degree Days 2020'!S28</f>
        <v>27</v>
      </c>
      <c r="T28" s="274">
        <f t="shared" si="4"/>
        <v>12.2</v>
      </c>
      <c r="U28" s="539">
        <v>19</v>
      </c>
      <c r="V28" s="274">
        <f>'[8]Degree Days 2020'!V28</f>
        <v>27</v>
      </c>
      <c r="W28" s="274">
        <f>'[8]Degree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'[8]Degree Days 2020'!B29</f>
        <v>15</v>
      </c>
      <c r="C29" s="274">
        <f>'[8]Degree Days 2020'!C29</f>
        <v>10</v>
      </c>
      <c r="D29" s="274">
        <f t="shared" si="0"/>
        <v>-5.8000000000000007</v>
      </c>
      <c r="E29" s="274">
        <f>'[8]Degree Days 2020'!E29</f>
        <v>20</v>
      </c>
      <c r="F29" s="274">
        <f>'[8]Degree Days 2020'!F29</f>
        <v>17</v>
      </c>
      <c r="G29" s="274">
        <f>'[8]Degree Days 2020'!G29</f>
        <v>14</v>
      </c>
      <c r="H29" s="274">
        <f t="shared" si="1"/>
        <v>-2.8000000000000007</v>
      </c>
      <c r="I29" s="274">
        <f>'[7]Degree Days 2018'!I29</f>
        <v>20</v>
      </c>
      <c r="J29" s="274">
        <f>'[8]Degree Days 2020'!J29</f>
        <v>16</v>
      </c>
      <c r="K29" s="274">
        <f>'[8]Degree Days 2020'!K29</f>
        <v>13</v>
      </c>
      <c r="L29" s="274">
        <f t="shared" si="2"/>
        <v>-3.8000000000000007</v>
      </c>
      <c r="M29" s="274">
        <f>'[8]Degree Days 2020'!M29</f>
        <v>20</v>
      </c>
      <c r="N29" s="274">
        <f>'[8]Degree Days 2020'!N29</f>
        <v>23</v>
      </c>
      <c r="O29" s="274">
        <f>'[8]Degree Days 2020'!O29</f>
        <v>18</v>
      </c>
      <c r="P29" s="274">
        <f t="shared" si="3"/>
        <v>2.1999999999999993</v>
      </c>
      <c r="Q29" s="539">
        <v>20</v>
      </c>
      <c r="R29" s="274">
        <f>'[8]Degree Days 2020'!R29</f>
        <v>30</v>
      </c>
      <c r="S29" s="274">
        <f>'[8]Degree Days 2020'!S29</f>
        <v>22</v>
      </c>
      <c r="T29" s="274">
        <f t="shared" si="4"/>
        <v>7.6999999999999993</v>
      </c>
      <c r="U29" s="539">
        <v>20</v>
      </c>
      <c r="V29" s="274">
        <f>'[8]Degree Days 2020'!V29</f>
        <v>26</v>
      </c>
      <c r="W29" s="274">
        <f>'[8]Degree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'[8]Degree Days 2020'!B30</f>
        <v>13</v>
      </c>
      <c r="C30" s="274">
        <f>'[8]Degree Days 2020'!C30</f>
        <v>9</v>
      </c>
      <c r="D30" s="274">
        <f t="shared" si="0"/>
        <v>-7.3000000000000007</v>
      </c>
      <c r="E30" s="274">
        <f>'[8]Degree Days 2020'!E30</f>
        <v>21</v>
      </c>
      <c r="F30" s="274">
        <f>'[8]Degree Days 2020'!F30</f>
        <v>16</v>
      </c>
      <c r="G30" s="274">
        <f>'[8]Degree Days 2020'!G30</f>
        <v>12</v>
      </c>
      <c r="H30" s="274">
        <f t="shared" si="1"/>
        <v>-4.3000000000000007</v>
      </c>
      <c r="I30" s="274">
        <f>'[7]Degree Days 2018'!I30</f>
        <v>21</v>
      </c>
      <c r="J30" s="274">
        <f>'[8]Degree Days 2020'!J30</f>
        <v>17</v>
      </c>
      <c r="K30" s="274">
        <f>'[8]Degree Days 2020'!K30</f>
        <v>14</v>
      </c>
      <c r="L30" s="274">
        <f t="shared" si="2"/>
        <v>-2.8000000000000007</v>
      </c>
      <c r="M30" s="274">
        <f>'[8]Degree Days 2020'!M30</f>
        <v>21</v>
      </c>
      <c r="N30" s="274">
        <f>'[8]Degree Days 2020'!N30</f>
        <v>24</v>
      </c>
      <c r="O30" s="274">
        <f>'[8]Degree Days 2020'!O30</f>
        <v>18</v>
      </c>
      <c r="P30" s="274">
        <f t="shared" si="3"/>
        <v>2.6999999999999993</v>
      </c>
      <c r="Q30" s="539">
        <v>21</v>
      </c>
      <c r="R30" s="274">
        <f>'[8]Degree Days 2020'!R30</f>
        <v>31</v>
      </c>
      <c r="S30" s="274">
        <f>'[8]Degree Days 2020'!S30</f>
        <v>23</v>
      </c>
      <c r="T30" s="274">
        <f t="shared" si="4"/>
        <v>8.6999999999999993</v>
      </c>
      <c r="U30" s="539">
        <v>21</v>
      </c>
      <c r="V30" s="274">
        <f>'[8]Degree Days 2020'!V30</f>
        <v>29</v>
      </c>
      <c r="W30" s="274">
        <f>'[8]Degree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'[8]Degree Days 2020'!B31</f>
        <v>14</v>
      </c>
      <c r="C31" s="274">
        <f>'[8]Degree Days 2020'!C31</f>
        <v>10</v>
      </c>
      <c r="D31" s="274">
        <f t="shared" si="0"/>
        <v>-6.3000000000000007</v>
      </c>
      <c r="E31" s="274">
        <f>'[8]Degree Days 2020'!E31</f>
        <v>22</v>
      </c>
      <c r="F31" s="274">
        <f>'[8]Degree Days 2020'!F31</f>
        <v>17</v>
      </c>
      <c r="G31" s="274">
        <f>'[8]Degree Days 2020'!G31</f>
        <v>12</v>
      </c>
      <c r="H31" s="274">
        <f t="shared" si="1"/>
        <v>-3.8000000000000007</v>
      </c>
      <c r="I31" s="274">
        <f>'[7]Degree Days 2018'!I31</f>
        <v>22</v>
      </c>
      <c r="J31" s="274">
        <f>'[8]Degree Days 2020'!J31</f>
        <v>19</v>
      </c>
      <c r="K31" s="274">
        <f>'[8]Degree Days 2020'!K31</f>
        <v>14</v>
      </c>
      <c r="L31" s="274">
        <f t="shared" si="2"/>
        <v>-1.8000000000000007</v>
      </c>
      <c r="M31" s="274">
        <f>'[8]Degree Days 2020'!M31</f>
        <v>22</v>
      </c>
      <c r="N31" s="274">
        <f>'[8]Degree Days 2020'!N31</f>
        <v>25</v>
      </c>
      <c r="O31" s="274">
        <f>'[8]Degree Days 2020'!O31</f>
        <v>18</v>
      </c>
      <c r="P31" s="274">
        <f t="shared" si="3"/>
        <v>3.1999999999999993</v>
      </c>
      <c r="Q31" s="539">
        <v>22</v>
      </c>
      <c r="R31" s="274">
        <f>'[8]Degree Days 2020'!R31</f>
        <v>25</v>
      </c>
      <c r="S31" s="274">
        <f>'[8]Degree Days 2020'!S31</f>
        <v>16</v>
      </c>
      <c r="T31" s="274">
        <f t="shared" si="4"/>
        <v>2.1999999999999993</v>
      </c>
      <c r="U31" s="539">
        <v>22</v>
      </c>
      <c r="V31" s="274">
        <f>'[8]Degree Days 2020'!V31</f>
        <v>29</v>
      </c>
      <c r="W31" s="274">
        <f>'[8]Degree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'[8]Degree Days 2020'!B32</f>
        <v>13</v>
      </c>
      <c r="C32" s="274">
        <f>'[8]Degree Days 2020'!C32</f>
        <v>7</v>
      </c>
      <c r="D32" s="274">
        <f t="shared" si="0"/>
        <v>-8.3000000000000007</v>
      </c>
      <c r="E32" s="274">
        <f>'[8]Degree Days 2020'!E32</f>
        <v>23</v>
      </c>
      <c r="F32" s="274">
        <f>'[8]Degree Days 2020'!F32</f>
        <v>16</v>
      </c>
      <c r="G32" s="274">
        <f>'[8]Degree Days 2020'!G32</f>
        <v>14</v>
      </c>
      <c r="H32" s="274">
        <f t="shared" si="1"/>
        <v>-3.3000000000000007</v>
      </c>
      <c r="I32" s="274">
        <f>'[7]Degree Days 2018'!I32</f>
        <v>23</v>
      </c>
      <c r="J32" s="274">
        <f>'[8]Degree Days 2020'!J32</f>
        <v>21</v>
      </c>
      <c r="K32" s="274">
        <f>'[8]Degree Days 2020'!K32</f>
        <v>14</v>
      </c>
      <c r="L32" s="274">
        <f t="shared" si="2"/>
        <v>-0.80000000000000071</v>
      </c>
      <c r="M32" s="274">
        <f>'[8]Degree Days 2020'!M32</f>
        <v>23</v>
      </c>
      <c r="N32" s="274">
        <f>'[8]Degree Days 2020'!N32</f>
        <v>23</v>
      </c>
      <c r="O32" s="274">
        <f>'[8]Degree Days 2020'!O32</f>
        <v>15</v>
      </c>
      <c r="P32" s="274">
        <f t="shared" si="3"/>
        <v>0.69999999999999929</v>
      </c>
      <c r="Q32" s="539">
        <v>23</v>
      </c>
      <c r="R32" s="274">
        <f>'[8]Degree Days 2020'!R32</f>
        <v>22</v>
      </c>
      <c r="S32" s="274">
        <f>'[8]Degree Days 2020'!S32</f>
        <v>19</v>
      </c>
      <c r="T32" s="274">
        <f t="shared" si="4"/>
        <v>2.1999999999999993</v>
      </c>
      <c r="U32" s="539">
        <v>23</v>
      </c>
      <c r="V32" s="274">
        <f>'[8]Degree Days 2020'!V32</f>
        <v>27</v>
      </c>
      <c r="W32" s="274">
        <f>'[8]Degree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'[8]Degree Days 2020'!B33</f>
        <v>14</v>
      </c>
      <c r="C33" s="274">
        <f>'[8]Degree Days 2020'!C33</f>
        <v>8</v>
      </c>
      <c r="D33" s="274">
        <f t="shared" si="0"/>
        <v>-7.3000000000000007</v>
      </c>
      <c r="E33" s="274">
        <f>'[8]Degree Days 2020'!E33</f>
        <v>24</v>
      </c>
      <c r="F33" s="274">
        <f>'[8]Degree Days 2020'!F33</f>
        <v>17</v>
      </c>
      <c r="G33" s="274">
        <f>'[8]Degree Days 2020'!G33</f>
        <v>13</v>
      </c>
      <c r="H33" s="274">
        <f t="shared" si="1"/>
        <v>-3.3000000000000007</v>
      </c>
      <c r="I33" s="274">
        <f>'[7]Degree Days 2018'!I33</f>
        <v>24</v>
      </c>
      <c r="J33" s="274">
        <f>'[8]Degree Days 2020'!J33</f>
        <v>22</v>
      </c>
      <c r="K33" s="274">
        <f>'[8]Degree Days 2020'!K33</f>
        <v>15</v>
      </c>
      <c r="L33" s="274">
        <f t="shared" si="2"/>
        <v>0.19999999999999929</v>
      </c>
      <c r="M33" s="274">
        <f>'[8]Degree Days 2020'!M33</f>
        <v>24</v>
      </c>
      <c r="N33" s="274">
        <f>'[8]Degree Days 2020'!N33</f>
        <v>23</v>
      </c>
      <c r="O33" s="274">
        <f>'[8]Degree Days 2020'!O33</f>
        <v>16</v>
      </c>
      <c r="P33" s="274">
        <f t="shared" si="3"/>
        <v>1.1999999999999993</v>
      </c>
      <c r="Q33" s="539">
        <v>24</v>
      </c>
      <c r="R33" s="274">
        <f>'[8]Degree Days 2020'!R33</f>
        <v>24</v>
      </c>
      <c r="S33" s="274">
        <f>'[8]Degree Days 2020'!S33</f>
        <v>16</v>
      </c>
      <c r="T33" s="274">
        <f t="shared" si="4"/>
        <v>1.6999999999999993</v>
      </c>
      <c r="U33" s="539">
        <v>24</v>
      </c>
      <c r="V33" s="274">
        <f>'[8]Degree Days 2020'!V33</f>
        <v>27</v>
      </c>
      <c r="W33" s="274">
        <f>'[8]Degree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'[8]Degree Days 2020'!B34</f>
        <v>16</v>
      </c>
      <c r="C34" s="274">
        <f>'[8]Degree Days 2020'!C34</f>
        <v>10</v>
      </c>
      <c r="D34" s="274">
        <f t="shared" si="0"/>
        <v>-5.3000000000000007</v>
      </c>
      <c r="E34" s="274">
        <f>'[8]Degree Days 2020'!E34</f>
        <v>25</v>
      </c>
      <c r="F34" s="274">
        <f>'[8]Degree Days 2020'!F34</f>
        <v>17</v>
      </c>
      <c r="G34" s="274">
        <f>'[8]Degree Days 2020'!G34</f>
        <v>13</v>
      </c>
      <c r="H34" s="274">
        <f t="shared" si="1"/>
        <v>-3.3000000000000007</v>
      </c>
      <c r="I34" s="274">
        <f>'[7]Degree Days 2018'!I34</f>
        <v>25</v>
      </c>
      <c r="J34" s="274">
        <f>'[8]Degree Days 2020'!J34</f>
        <v>21</v>
      </c>
      <c r="K34" s="274">
        <f>'[8]Degree Days 2020'!K34</f>
        <v>15</v>
      </c>
      <c r="L34" s="274">
        <f t="shared" si="2"/>
        <v>-0.30000000000000071</v>
      </c>
      <c r="M34" s="274">
        <f>'[8]Degree Days 2020'!M34</f>
        <v>25</v>
      </c>
      <c r="N34" s="274">
        <f>'[8]Degree Days 2020'!N34</f>
        <v>22</v>
      </c>
      <c r="O34" s="274">
        <f>'[8]Degree Days 2020'!O34</f>
        <v>14</v>
      </c>
      <c r="P34" s="274">
        <f t="shared" si="3"/>
        <v>-0.30000000000000071</v>
      </c>
      <c r="Q34" s="539">
        <v>25</v>
      </c>
      <c r="R34" s="274">
        <f>'[8]Degree Days 2020'!R34</f>
        <v>24</v>
      </c>
      <c r="S34" s="274">
        <f>'[8]Degree Days 2020'!S34</f>
        <v>18</v>
      </c>
      <c r="T34" s="274">
        <f t="shared" si="4"/>
        <v>2.6999999999999993</v>
      </c>
      <c r="U34" s="539">
        <v>25</v>
      </c>
      <c r="V34" s="274">
        <f>'[8]Degree Days 2020'!V34</f>
        <v>33</v>
      </c>
      <c r="W34" s="274">
        <f>'[8]Degree Days 2020'!W34</f>
        <v>27</v>
      </c>
      <c r="X34" s="274">
        <f t="shared" si="5"/>
        <v>11.7</v>
      </c>
    </row>
    <row r="35" spans="1:24">
      <c r="A35" s="117">
        <v>26</v>
      </c>
      <c r="B35" s="274">
        <f>'[8]Degree Days 2020'!B35</f>
        <v>15</v>
      </c>
      <c r="C35" s="274">
        <f>'[8]Degree Days 2020'!C35</f>
        <v>9</v>
      </c>
      <c r="D35" s="274">
        <f t="shared" si="0"/>
        <v>-6.3000000000000007</v>
      </c>
      <c r="E35" s="274">
        <f>'[8]Degree Days 2020'!E35</f>
        <v>26</v>
      </c>
      <c r="F35" s="274">
        <f>'[8]Degree Days 2020'!F35</f>
        <v>18</v>
      </c>
      <c r="G35" s="274">
        <f>'[8]Degree Days 2020'!G35</f>
        <v>14</v>
      </c>
      <c r="H35" s="274">
        <f t="shared" si="1"/>
        <v>-2.3000000000000007</v>
      </c>
      <c r="I35" s="274">
        <f>'[7]Degree Days 2018'!I35</f>
        <v>26</v>
      </c>
      <c r="J35" s="274">
        <f>'[8]Degree Days 2020'!J35</f>
        <v>21</v>
      </c>
      <c r="K35" s="274">
        <f>'[8]Degree Days 2020'!K35</f>
        <v>15</v>
      </c>
      <c r="L35" s="274">
        <f t="shared" si="2"/>
        <v>-0.30000000000000071</v>
      </c>
      <c r="M35" s="274">
        <f>'[8]Degree Days 2020'!M35</f>
        <v>26</v>
      </c>
      <c r="N35" s="274">
        <f>'[8]Degree Days 2020'!N35</f>
        <v>21</v>
      </c>
      <c r="O35" s="274">
        <f>'[8]Degree Days 2020'!O35</f>
        <v>17</v>
      </c>
      <c r="P35" s="274">
        <f t="shared" si="3"/>
        <v>0.69999999999999929</v>
      </c>
      <c r="Q35" s="539">
        <v>26</v>
      </c>
      <c r="R35" s="274">
        <f>'[8]Degree Days 2020'!R35</f>
        <v>25</v>
      </c>
      <c r="S35" s="274">
        <f>'[8]Degree Days 2020'!S35</f>
        <v>20</v>
      </c>
      <c r="T35" s="274">
        <f t="shared" si="4"/>
        <v>4.1999999999999993</v>
      </c>
      <c r="U35" s="539">
        <v>26</v>
      </c>
      <c r="V35" s="274">
        <f>'[8]Degree Days 2020'!V35</f>
        <v>28</v>
      </c>
      <c r="W35" s="274">
        <f>'[8]Degree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'[8]Degree Days 2020'!B36</f>
        <v>17</v>
      </c>
      <c r="C36" s="274">
        <f>'[8]Degree Days 2020'!C36</f>
        <v>11</v>
      </c>
      <c r="D36" s="274">
        <f t="shared" si="0"/>
        <v>-4.3000000000000007</v>
      </c>
      <c r="E36" s="274">
        <f>'[8]Degree Days 2020'!E36</f>
        <v>27</v>
      </c>
      <c r="F36" s="274">
        <f>'[8]Degree Days 2020'!F36</f>
        <v>19</v>
      </c>
      <c r="G36" s="274">
        <f>'[8]Degree Days 2020'!G36</f>
        <v>13</v>
      </c>
      <c r="H36" s="274">
        <f t="shared" si="1"/>
        <v>-2.3000000000000007</v>
      </c>
      <c r="I36" s="274">
        <f>'[7]Degree Days 2018'!I36</f>
        <v>27</v>
      </c>
      <c r="J36" s="274">
        <f>'[8]Degree Days 2020'!J36</f>
        <v>18</v>
      </c>
      <c r="K36" s="274">
        <f>'[8]Degree Days 2020'!K36</f>
        <v>13</v>
      </c>
      <c r="L36" s="274">
        <f t="shared" si="2"/>
        <v>-2.8000000000000007</v>
      </c>
      <c r="M36" s="274">
        <f>'[8]Degree Days 2020'!M36</f>
        <v>27</v>
      </c>
      <c r="N36" s="274">
        <f>'[8]Degree Days 2020'!N36</f>
        <v>20</v>
      </c>
      <c r="O36" s="274">
        <f>'[8]Degree Days 2020'!O36</f>
        <v>16</v>
      </c>
      <c r="P36" s="274">
        <f t="shared" si="3"/>
        <v>-0.30000000000000071</v>
      </c>
      <c r="Q36" s="539">
        <v>27</v>
      </c>
      <c r="R36" s="274">
        <f>'[8]Degree Days 2020'!R36</f>
        <v>27</v>
      </c>
      <c r="S36" s="274">
        <f>'[8]Degree Days 2020'!S36</f>
        <v>19</v>
      </c>
      <c r="T36" s="274">
        <f t="shared" si="4"/>
        <v>4.6999999999999993</v>
      </c>
      <c r="U36" s="539">
        <v>27</v>
      </c>
      <c r="V36" s="274">
        <f>'[8]Degree Days 2020'!V36</f>
        <v>29</v>
      </c>
      <c r="W36" s="274">
        <f>'[8]Degree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'[8]Degree Days 2020'!B37</f>
        <v>16</v>
      </c>
      <c r="C37" s="274">
        <f>'[8]Degree Days 2020'!C37</f>
        <v>10</v>
      </c>
      <c r="D37" s="274">
        <f t="shared" si="0"/>
        <v>-5.3000000000000007</v>
      </c>
      <c r="E37" s="274">
        <f>'[8]Degree Days 2020'!E37</f>
        <v>28</v>
      </c>
      <c r="F37" s="274">
        <f>'[8]Degree Days 2020'!F37</f>
        <v>19</v>
      </c>
      <c r="G37" s="274">
        <f>'[8]Degree Days 2020'!G37</f>
        <v>14</v>
      </c>
      <c r="H37" s="274">
        <f t="shared" si="1"/>
        <v>-1.8000000000000007</v>
      </c>
      <c r="I37" s="274">
        <f>'[7]Degree Days 2018'!I37</f>
        <v>28</v>
      </c>
      <c r="J37" s="274">
        <f>'[8]Degree Days 2020'!J37</f>
        <v>17</v>
      </c>
      <c r="K37" s="274">
        <f>'[8]Degree Days 2020'!K37</f>
        <v>13</v>
      </c>
      <c r="L37" s="274">
        <f t="shared" si="2"/>
        <v>-3.3000000000000007</v>
      </c>
      <c r="M37" s="274">
        <f>'[8]Degree Days 2020'!M37</f>
        <v>28</v>
      </c>
      <c r="N37" s="274">
        <f>'[8]Degree Days 2020'!N37</f>
        <v>21</v>
      </c>
      <c r="O37" s="274">
        <f>'[8]Degree Days 2020'!O37</f>
        <v>16</v>
      </c>
      <c r="P37" s="274">
        <f t="shared" si="3"/>
        <v>0.19999999999999929</v>
      </c>
      <c r="Q37" s="539">
        <v>28</v>
      </c>
      <c r="R37" s="274">
        <f>'[8]Degree Days 2020'!R37</f>
        <v>27</v>
      </c>
      <c r="S37" s="274">
        <f>'[8]Degree Days 2020'!S37</f>
        <v>19</v>
      </c>
      <c r="T37" s="274">
        <f t="shared" si="4"/>
        <v>4.6999999999999993</v>
      </c>
      <c r="U37" s="539">
        <v>28</v>
      </c>
      <c r="V37" s="274">
        <f>'[8]Degree Days 2020'!V37</f>
        <v>30</v>
      </c>
      <c r="W37" s="274">
        <f>'[8]Degree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'[8]Degree Days 2020'!B38</f>
        <v>16</v>
      </c>
      <c r="C38" s="274">
        <f>'[8]Degree Days 2020'!C38</f>
        <v>10</v>
      </c>
      <c r="D38" s="274">
        <f t="shared" si="0"/>
        <v>-5.3000000000000007</v>
      </c>
      <c r="E38" s="274">
        <f>'[8]Degree Days 2020'!E38</f>
        <v>29</v>
      </c>
      <c r="F38" s="274">
        <f>'[8]Degree Days 2020'!F38</f>
        <v>18</v>
      </c>
      <c r="G38" s="274">
        <f>'[8]Degree Days 2020'!G38</f>
        <v>13</v>
      </c>
      <c r="H38" s="274">
        <f t="shared" si="1"/>
        <v>-2.8000000000000007</v>
      </c>
      <c r="I38" s="274">
        <f>'[7]Degree Days 2018'!I38</f>
        <v>29</v>
      </c>
      <c r="J38" s="274">
        <f>'[8]Degree Days 2020'!J38</f>
        <v>20</v>
      </c>
      <c r="K38" s="274">
        <f>'[8]Degree Days 2020'!K38</f>
        <v>16</v>
      </c>
      <c r="L38" s="274">
        <f t="shared" si="2"/>
        <v>-0.30000000000000071</v>
      </c>
      <c r="M38" s="274">
        <f>'[8]Degree Days 2020'!M38</f>
        <v>29</v>
      </c>
      <c r="N38" s="274">
        <f>'[8]Degree Days 2020'!N38</f>
        <v>21</v>
      </c>
      <c r="O38" s="274">
        <f>'[8]Degree Days 2020'!O38</f>
        <v>17</v>
      </c>
      <c r="P38" s="274">
        <f t="shared" si="3"/>
        <v>0.69999999999999929</v>
      </c>
      <c r="Q38" s="539">
        <v>29</v>
      </c>
      <c r="R38" s="274">
        <f>'[8]Degree Days 2020'!R38</f>
        <v>23</v>
      </c>
      <c r="S38" s="274">
        <f>'[8]Degree Days 2020'!S38</f>
        <v>14</v>
      </c>
      <c r="T38" s="274">
        <f t="shared" si="4"/>
        <v>0.19999999999999929</v>
      </c>
      <c r="U38" s="539">
        <v>29</v>
      </c>
      <c r="V38" s="274">
        <f>'[8]Degree Days 2020'!V38</f>
        <v>28</v>
      </c>
      <c r="W38" s="274">
        <f>'[8]Degree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'[8]Degree Days 2020'!B39</f>
        <v>16</v>
      </c>
      <c r="C39" s="274">
        <f>'[8]Degree Days 2020'!C39</f>
        <v>11</v>
      </c>
      <c r="D39" s="274">
        <f t="shared" si="0"/>
        <v>-4.8000000000000007</v>
      </c>
      <c r="E39" s="274">
        <f>'[8]Degree Days 2020'!E39</f>
        <v>0</v>
      </c>
      <c r="F39" s="274">
        <f>'[8]Degree Days 2020'!F39</f>
        <v>0</v>
      </c>
      <c r="G39" s="274">
        <f>'[8]Degree Days 2020'!G39</f>
        <v>0</v>
      </c>
      <c r="H39" s="274">
        <f t="shared" si="1"/>
        <v>-18.3</v>
      </c>
      <c r="I39" s="274">
        <f>'[7]Degree Days 2018'!I39</f>
        <v>30</v>
      </c>
      <c r="J39" s="274">
        <f>'[8]Degree Days 2020'!J39</f>
        <v>20</v>
      </c>
      <c r="K39" s="274">
        <f>'[8]Degree Days 2020'!K39</f>
        <v>17</v>
      </c>
      <c r="L39" s="274">
        <f t="shared" si="2"/>
        <v>0.19999999999999929</v>
      </c>
      <c r="M39" s="274">
        <f>'[8]Degree Days 2020'!M39</f>
        <v>30</v>
      </c>
      <c r="N39" s="274">
        <f>'[8]Degree Days 2020'!N39</f>
        <v>0</v>
      </c>
      <c r="O39" s="274">
        <f>'[8]Degree Days 2020'!O39</f>
        <v>0</v>
      </c>
      <c r="P39" s="274">
        <f t="shared" si="3"/>
        <v>-18.3</v>
      </c>
      <c r="Q39" s="539">
        <v>30</v>
      </c>
      <c r="R39" s="274">
        <f>'[8]Degree Days 2020'!R39</f>
        <v>23</v>
      </c>
      <c r="S39" s="274">
        <f>'[8]Degree Days 2020'!S39</f>
        <v>17</v>
      </c>
      <c r="T39" s="274">
        <f t="shared" si="4"/>
        <v>1.6999999999999993</v>
      </c>
      <c r="U39" s="539">
        <v>30</v>
      </c>
      <c r="V39" s="274">
        <f>'[8]Degree Days 2020'!V39</f>
        <v>30</v>
      </c>
      <c r="W39" s="274">
        <f>'[8]Degree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'[8]Degree Days 2020'!B40</f>
        <v>17</v>
      </c>
      <c r="C40" s="274">
        <f>'[8]Degree Days 2020'!C40</f>
        <v>13</v>
      </c>
      <c r="D40" s="274">
        <f t="shared" si="0"/>
        <v>-3.3000000000000007</v>
      </c>
      <c r="E40" s="274">
        <f>'[8]Degree Days 2020'!E40</f>
        <v>0</v>
      </c>
      <c r="F40" s="274">
        <f>'[8]Degree Days 2020'!F40</f>
        <v>0</v>
      </c>
      <c r="G40" s="274">
        <f>'[8]Degree Days 2020'!G40</f>
        <v>0</v>
      </c>
      <c r="H40" s="274">
        <f t="shared" si="1"/>
        <v>-18.3</v>
      </c>
      <c r="I40" s="274">
        <f>'[7]Degree Days 2018'!I40</f>
        <v>31</v>
      </c>
      <c r="J40" s="274">
        <f>'[8]Degree Days 2020'!J40</f>
        <v>30</v>
      </c>
      <c r="K40" s="274">
        <f>'[8]Degree Days 2020'!K40</f>
        <v>18</v>
      </c>
      <c r="L40" s="274">
        <f t="shared" si="2"/>
        <v>5.6999999999999993</v>
      </c>
      <c r="M40" s="274">
        <f>'[8]Degree Days 2020'!M40</f>
        <v>0</v>
      </c>
      <c r="N40" s="274">
        <f>'[8]Degree Days 2020'!N40</f>
        <v>0</v>
      </c>
      <c r="O40" s="274">
        <f>'[8]Degree Days 2020'!O40</f>
        <v>0</v>
      </c>
      <c r="P40" s="274">
        <f t="shared" si="3"/>
        <v>-18.3</v>
      </c>
      <c r="Q40" s="539">
        <v>31</v>
      </c>
      <c r="R40" s="274">
        <f>'[8]Degree Days 2020'!R40</f>
        <v>24</v>
      </c>
      <c r="S40" s="274">
        <f>'[8]Degree Days 2020'!S40</f>
        <v>19</v>
      </c>
      <c r="T40" s="274">
        <f t="shared" si="4"/>
        <v>3.1999999999999993</v>
      </c>
      <c r="U40" s="274"/>
      <c r="V40" s="274">
        <f>'[8]Degree Days 2020'!V40</f>
        <v>0</v>
      </c>
      <c r="W40" s="274">
        <f>'[8]Degree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'[1]Degree Days 2020'!F48</f>
        <v>30</v>
      </c>
      <c r="G48" s="274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'[2]Degree Days 2020'!J48</f>
        <v>32</v>
      </c>
      <c r="K48" s="274">
        <f>'[2]Degree Days 2020'!K48</f>
        <v>28</v>
      </c>
      <c r="L48" s="119">
        <f>(J48+K48)/2-18.3</f>
        <v>11.7</v>
      </c>
      <c r="M48" s="117">
        <v>1</v>
      </c>
      <c r="N48" s="274">
        <f>'General information '!B6</f>
        <v>30</v>
      </c>
      <c r="O48" s="274">
        <f>'General information '!C6</f>
        <v>25</v>
      </c>
      <c r="P48" s="119">
        <f>(N48+O48)/2-18.3</f>
        <v>9.1999999999999993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'[1]Degree Days 2020'!F49</f>
        <v>31</v>
      </c>
      <c r="G49" s="274">
        <f>'[1]Degree Days 2020'!G49</f>
        <v>26</v>
      </c>
      <c r="H49" s="119">
        <f t="shared" si="9"/>
        <v>10.199999999999999</v>
      </c>
      <c r="I49" s="117">
        <v>2</v>
      </c>
      <c r="J49" s="274">
        <f>'[2]Degree Days 2020'!J49</f>
        <v>31</v>
      </c>
      <c r="K49" s="274">
        <f>'[2]Degree Days 2020'!K49</f>
        <v>27</v>
      </c>
      <c r="L49" s="119">
        <f t="shared" ref="L49:L77" si="11">(J49+K49)/2-18.3</f>
        <v>10.7</v>
      </c>
      <c r="M49" s="117">
        <v>2</v>
      </c>
      <c r="N49" s="274">
        <f>'General information '!B7</f>
        <v>30</v>
      </c>
      <c r="O49" s="274">
        <f>'General information '!C7</f>
        <v>26</v>
      </c>
      <c r="P49" s="119">
        <f t="shared" ref="P49:P78" si="12">(N49+O49)/2-18.3</f>
        <v>9.6999999999999993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'[1]Degree Days 2020'!F50</f>
        <v>31</v>
      </c>
      <c r="G50" s="274">
        <f>'[1]Degree Days 2020'!G50</f>
        <v>27</v>
      </c>
      <c r="H50" s="119">
        <f t="shared" si="9"/>
        <v>10.7</v>
      </c>
      <c r="I50" s="117">
        <v>3</v>
      </c>
      <c r="J50" s="274">
        <f>'[2]Degree Days 2020'!J50</f>
        <v>34</v>
      </c>
      <c r="K50" s="274">
        <f>'[2]Degree Days 2020'!K50</f>
        <v>29</v>
      </c>
      <c r="L50" s="119">
        <f t="shared" si="11"/>
        <v>13.2</v>
      </c>
      <c r="M50" s="117">
        <v>3</v>
      </c>
      <c r="N50" s="274">
        <f>'General information '!B8</f>
        <v>29</v>
      </c>
      <c r="O50" s="274">
        <f>'General information '!C8</f>
        <v>24</v>
      </c>
      <c r="P50" s="119">
        <f t="shared" si="12"/>
        <v>8.1999999999999993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'[1]Degree Days 2020'!F51</f>
        <v>31</v>
      </c>
      <c r="G51" s="274">
        <f>'[1]Degree Days 2020'!G51</f>
        <v>26</v>
      </c>
      <c r="H51" s="119">
        <f t="shared" si="9"/>
        <v>10.199999999999999</v>
      </c>
      <c r="I51" s="117">
        <v>4</v>
      </c>
      <c r="J51" s="274">
        <f>'[2]Degree Days 2020'!J51</f>
        <v>33</v>
      </c>
      <c r="K51" s="274">
        <f>'[2]Degree Days 2020'!K51</f>
        <v>27</v>
      </c>
      <c r="L51" s="119">
        <f t="shared" si="11"/>
        <v>11.7</v>
      </c>
      <c r="M51" s="117">
        <v>4</v>
      </c>
      <c r="N51" s="274">
        <f>'General information '!B9</f>
        <v>29</v>
      </c>
      <c r="O51" s="274">
        <f>'General information '!C9</f>
        <v>25</v>
      </c>
      <c r="P51" s="119">
        <f t="shared" si="12"/>
        <v>8.6999999999999993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'[1]Degree Days 2020'!F52</f>
        <v>30</v>
      </c>
      <c r="G52" s="274">
        <f>'[1]Degree Days 2020'!G52</f>
        <v>27</v>
      </c>
      <c r="H52" s="119">
        <f t="shared" si="9"/>
        <v>10.199999999999999</v>
      </c>
      <c r="I52" s="117">
        <v>5</v>
      </c>
      <c r="J52" s="274">
        <f>'[2]Degree Days 2020'!J52</f>
        <v>31</v>
      </c>
      <c r="K52" s="274">
        <f>'[2]Degree Days 2020'!K52</f>
        <v>25</v>
      </c>
      <c r="L52" s="119">
        <f t="shared" si="11"/>
        <v>9.6999999999999993</v>
      </c>
      <c r="M52" s="117">
        <v>5</v>
      </c>
      <c r="N52" s="274">
        <f>'General information '!B10</f>
        <v>29</v>
      </c>
      <c r="O52" s="274">
        <f>'General information '!C10</f>
        <v>24</v>
      </c>
      <c r="P52" s="119">
        <f t="shared" si="12"/>
        <v>8.1999999999999993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'[1]Degree Days 2020'!F53</f>
        <v>31</v>
      </c>
      <c r="G53" s="274">
        <f>'[1]Degree Days 2020'!G53</f>
        <v>26</v>
      </c>
      <c r="H53" s="119">
        <f t="shared" si="9"/>
        <v>10.199999999999999</v>
      </c>
      <c r="I53" s="117">
        <v>6</v>
      </c>
      <c r="J53" s="274">
        <f>'[2]Degree Days 2020'!J53</f>
        <v>31</v>
      </c>
      <c r="K53" s="274">
        <f>'[2]Degree Days 2020'!K53</f>
        <v>25</v>
      </c>
      <c r="L53" s="119">
        <f t="shared" si="11"/>
        <v>9.6999999999999993</v>
      </c>
      <c r="M53" s="117">
        <v>6</v>
      </c>
      <c r="N53" s="274">
        <f>'General information '!B11</f>
        <v>31</v>
      </c>
      <c r="O53" s="274">
        <f>'General information '!C11</f>
        <v>26</v>
      </c>
      <c r="P53" s="119">
        <f t="shared" si="12"/>
        <v>10.199999999999999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'[1]Degree Days 2020'!F54</f>
        <v>31</v>
      </c>
      <c r="G54" s="274">
        <f>'[1]Degree Days 2020'!G54</f>
        <v>23</v>
      </c>
      <c r="H54" s="119">
        <f t="shared" si="9"/>
        <v>8.6999999999999993</v>
      </c>
      <c r="I54" s="117">
        <v>7</v>
      </c>
      <c r="J54" s="274">
        <f>'[2]Degree Days 2020'!J54</f>
        <v>32</v>
      </c>
      <c r="K54" s="274">
        <f>'[2]Degree Days 2020'!K54</f>
        <v>27</v>
      </c>
      <c r="L54" s="119">
        <f t="shared" si="11"/>
        <v>11.2</v>
      </c>
      <c r="M54" s="117">
        <v>7</v>
      </c>
      <c r="N54" s="274">
        <f>'General information '!B12</f>
        <v>30</v>
      </c>
      <c r="O54" s="274">
        <f>'General information '!C12</f>
        <v>23</v>
      </c>
      <c r="P54" s="119">
        <f t="shared" si="12"/>
        <v>8.1999999999999993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'[1]Degree Days 2020'!F55</f>
        <v>33</v>
      </c>
      <c r="G55" s="274">
        <f>'[1]Degree Days 2020'!G55</f>
        <v>24</v>
      </c>
      <c r="H55" s="119">
        <f t="shared" si="9"/>
        <v>10.199999999999999</v>
      </c>
      <c r="I55" s="117">
        <v>8</v>
      </c>
      <c r="J55" s="274">
        <f>'[2]Degree Days 2020'!J55</f>
        <v>32</v>
      </c>
      <c r="K55" s="274">
        <f>'[2]Degree Days 2020'!K55</f>
        <v>27</v>
      </c>
      <c r="L55" s="119">
        <f t="shared" si="11"/>
        <v>11.2</v>
      </c>
      <c r="M55" s="117">
        <v>8</v>
      </c>
      <c r="N55" s="274">
        <f>'General information '!B13</f>
        <v>30</v>
      </c>
      <c r="O55" s="274">
        <f>'General information '!C13</f>
        <v>26</v>
      </c>
      <c r="P55" s="119">
        <f t="shared" si="12"/>
        <v>9.6999999999999993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'[1]Degree Days 2020'!F56</f>
        <v>31</v>
      </c>
      <c r="G56" s="274">
        <f>'[1]Degree Days 2020'!G56</f>
        <v>27</v>
      </c>
      <c r="H56" s="119">
        <f t="shared" si="9"/>
        <v>10.7</v>
      </c>
      <c r="I56" s="117">
        <v>9</v>
      </c>
      <c r="J56" s="274">
        <f>'[2]Degree Days 2020'!J56</f>
        <v>31</v>
      </c>
      <c r="K56" s="274">
        <f>'[2]Degree Days 2020'!K56</f>
        <v>28</v>
      </c>
      <c r="L56" s="119">
        <f t="shared" si="11"/>
        <v>11.2</v>
      </c>
      <c r="M56" s="117">
        <v>9</v>
      </c>
      <c r="N56" s="274">
        <f>'General information '!B14</f>
        <v>30</v>
      </c>
      <c r="O56" s="274">
        <f>'General information '!C14</f>
        <v>23</v>
      </c>
      <c r="P56" s="119">
        <f t="shared" si="12"/>
        <v>8.1999999999999993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'[1]Degree Days 2020'!F57</f>
        <v>31</v>
      </c>
      <c r="G57" s="274">
        <f>'[1]Degree Days 2020'!G57</f>
        <v>23</v>
      </c>
      <c r="H57" s="119">
        <f t="shared" si="9"/>
        <v>8.6999999999999993</v>
      </c>
      <c r="I57" s="117">
        <v>10</v>
      </c>
      <c r="J57" s="274">
        <f>'[2]Degree Days 2020'!J57</f>
        <v>32</v>
      </c>
      <c r="K57" s="274">
        <f>'[2]Degree Days 2020'!K57</f>
        <v>26</v>
      </c>
      <c r="L57" s="119">
        <f t="shared" si="11"/>
        <v>10.7</v>
      </c>
      <c r="M57" s="117">
        <v>10</v>
      </c>
      <c r="N57" s="274">
        <f>'General information '!B15</f>
        <v>27</v>
      </c>
      <c r="O57" s="274">
        <f>'General information '!C15</f>
        <v>23</v>
      </c>
      <c r="P57" s="119">
        <f t="shared" si="12"/>
        <v>6.6999999999999993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'[1]Degree Days 2020'!F58</f>
        <v>30</v>
      </c>
      <c r="G58" s="274">
        <f>'[1]Degree Days 2020'!G58</f>
        <v>27</v>
      </c>
      <c r="H58" s="119">
        <f t="shared" si="9"/>
        <v>10.199999999999999</v>
      </c>
      <c r="I58" s="117">
        <v>11</v>
      </c>
      <c r="J58" s="274">
        <f>'[2]Degree Days 2020'!J58</f>
        <v>32</v>
      </c>
      <c r="K58" s="274">
        <f>'[2]Degree Days 2020'!K58</f>
        <v>28</v>
      </c>
      <c r="L58" s="119">
        <f t="shared" si="11"/>
        <v>11.7</v>
      </c>
      <c r="M58" s="117">
        <v>11</v>
      </c>
      <c r="N58" s="274">
        <f>'General information '!B16</f>
        <v>30</v>
      </c>
      <c r="O58" s="274">
        <f>'General information '!C16</f>
        <v>26</v>
      </c>
      <c r="P58" s="119">
        <f t="shared" si="12"/>
        <v>9.6999999999999993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'[1]Degree Days 2020'!F59</f>
        <v>30</v>
      </c>
      <c r="G59" s="274">
        <f>'[1]Degree Days 2020'!G59</f>
        <v>26</v>
      </c>
      <c r="H59" s="119">
        <f t="shared" si="9"/>
        <v>9.6999999999999993</v>
      </c>
      <c r="I59" s="117">
        <v>12</v>
      </c>
      <c r="J59" s="274">
        <f>'[2]Degree Days 2020'!J59</f>
        <v>31</v>
      </c>
      <c r="K59" s="274">
        <f>'[2]Degree Days 2020'!K59</f>
        <v>28</v>
      </c>
      <c r="L59" s="119">
        <f t="shared" si="11"/>
        <v>11.2</v>
      </c>
      <c r="M59" s="117">
        <v>12</v>
      </c>
      <c r="N59" s="274">
        <f>'General information '!B17</f>
        <v>28</v>
      </c>
      <c r="O59" s="274">
        <f>'General information '!C17</f>
        <v>24</v>
      </c>
      <c r="P59" s="119">
        <f t="shared" si="12"/>
        <v>7.6999999999999993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'[1]Degree Days 2020'!F60</f>
        <v>32</v>
      </c>
      <c r="G60" s="274">
        <f>'[1]Degree Days 2020'!G60</f>
        <v>23</v>
      </c>
      <c r="H60" s="119">
        <f t="shared" si="9"/>
        <v>9.1999999999999993</v>
      </c>
      <c r="I60" s="117">
        <v>13</v>
      </c>
      <c r="J60" s="274">
        <f>'[2]Degree Days 2020'!J60</f>
        <v>31</v>
      </c>
      <c r="K60" s="274">
        <f>'[2]Degree Days 2020'!K60</f>
        <v>25</v>
      </c>
      <c r="L60" s="119">
        <f t="shared" si="11"/>
        <v>9.6999999999999993</v>
      </c>
      <c r="M60" s="117">
        <v>13</v>
      </c>
      <c r="N60" s="274">
        <f>'General information '!B18</f>
        <v>27</v>
      </c>
      <c r="O60" s="274">
        <f>'General information '!C18</f>
        <v>25</v>
      </c>
      <c r="P60" s="119">
        <f t="shared" si="12"/>
        <v>7.6999999999999993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'[1]Degree Days 2020'!F61</f>
        <v>31</v>
      </c>
      <c r="G61" s="274">
        <f>'[1]Degree Days 2020'!G61</f>
        <v>24</v>
      </c>
      <c r="H61" s="119">
        <f t="shared" si="9"/>
        <v>9.1999999999999993</v>
      </c>
      <c r="I61" s="117">
        <v>14</v>
      </c>
      <c r="J61" s="274">
        <f>'[2]Degree Days 2020'!J61</f>
        <v>31</v>
      </c>
      <c r="K61" s="274">
        <f>'[2]Degree Days 2020'!K61</f>
        <v>26</v>
      </c>
      <c r="L61" s="119">
        <f t="shared" si="11"/>
        <v>10.199999999999999</v>
      </c>
      <c r="M61" s="117">
        <v>14</v>
      </c>
      <c r="N61" s="274">
        <f>'General information '!B19</f>
        <v>27</v>
      </c>
      <c r="O61" s="274">
        <f>'General information '!C19</f>
        <v>24</v>
      </c>
      <c r="P61" s="119">
        <f t="shared" si="12"/>
        <v>7.1999999999999993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'[1]Degree Days 2020'!F62</f>
        <v>31</v>
      </c>
      <c r="G62" s="274">
        <f>'[1]Degree Days 2020'!G62</f>
        <v>24</v>
      </c>
      <c r="H62" s="119">
        <f t="shared" si="9"/>
        <v>9.1999999999999993</v>
      </c>
      <c r="I62" s="117">
        <v>15</v>
      </c>
      <c r="J62" s="274">
        <f>'[2]Degree Days 2020'!J62</f>
        <v>30</v>
      </c>
      <c r="K62" s="274">
        <f>'[2]Degree Days 2020'!K62</f>
        <v>23</v>
      </c>
      <c r="L62" s="119">
        <f t="shared" si="11"/>
        <v>8.1999999999999993</v>
      </c>
      <c r="M62" s="117">
        <v>15</v>
      </c>
      <c r="N62" s="274">
        <f>'General information '!B20</f>
        <v>28</v>
      </c>
      <c r="O62" s="274">
        <f>'General information '!C20</f>
        <v>22</v>
      </c>
      <c r="P62" s="119">
        <f t="shared" si="12"/>
        <v>6.6999999999999993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'[1]Degree Days 2020'!F63</f>
        <v>31</v>
      </c>
      <c r="G63" s="274">
        <f>'[1]Degree Days 2020'!G63</f>
        <v>25</v>
      </c>
      <c r="H63" s="119">
        <f t="shared" si="9"/>
        <v>9.6999999999999993</v>
      </c>
      <c r="I63" s="117">
        <v>16</v>
      </c>
      <c r="J63" s="274">
        <f>'[2]Degree Days 2020'!J63</f>
        <v>31</v>
      </c>
      <c r="K63" s="274">
        <f>'[2]Degree Days 2020'!K63</f>
        <v>26</v>
      </c>
      <c r="L63" s="119">
        <f t="shared" si="11"/>
        <v>10.199999999999999</v>
      </c>
      <c r="M63" s="117">
        <v>16</v>
      </c>
      <c r="N63" s="274">
        <f>'General information '!B21</f>
        <v>28</v>
      </c>
      <c r="O63" s="274">
        <f>'General information '!C21</f>
        <v>23</v>
      </c>
      <c r="P63" s="119">
        <f t="shared" si="12"/>
        <v>7.1999999999999993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'[1]Degree Days 2020'!F64</f>
        <v>31</v>
      </c>
      <c r="G64" s="274">
        <f>'[1]Degree Days 2020'!G64</f>
        <v>26</v>
      </c>
      <c r="H64" s="119">
        <f t="shared" si="9"/>
        <v>10.199999999999999</v>
      </c>
      <c r="I64" s="117">
        <v>17</v>
      </c>
      <c r="J64" s="274">
        <f>'[2]Degree Days 2020'!J64</f>
        <v>30</v>
      </c>
      <c r="K64" s="274">
        <f>'[2]Degree Days 2020'!K64</f>
        <v>26</v>
      </c>
      <c r="L64" s="119">
        <f t="shared" si="11"/>
        <v>9.6999999999999993</v>
      </c>
      <c r="M64" s="117">
        <v>17</v>
      </c>
      <c r="N64" s="274">
        <f>'General information '!B22</f>
        <v>27</v>
      </c>
      <c r="O64" s="274">
        <f>'General information '!C22</f>
        <v>22</v>
      </c>
      <c r="P64" s="119">
        <f t="shared" si="12"/>
        <v>6.1999999999999993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'[1]Degree Days 2020'!F65</f>
        <v>30</v>
      </c>
      <c r="G65" s="274">
        <f>'[1]Degree Days 2020'!G65</f>
        <v>26</v>
      </c>
      <c r="H65" s="119">
        <f t="shared" si="9"/>
        <v>9.6999999999999993</v>
      </c>
      <c r="I65" s="117">
        <v>18</v>
      </c>
      <c r="J65" s="274">
        <f>'[2]Degree Days 2020'!J65</f>
        <v>30</v>
      </c>
      <c r="K65" s="274">
        <f>'[2]Degree Days 2020'!K65</f>
        <v>25</v>
      </c>
      <c r="L65" s="119">
        <f t="shared" si="11"/>
        <v>9.1999999999999993</v>
      </c>
      <c r="M65" s="117">
        <v>18</v>
      </c>
      <c r="N65" s="274">
        <f>'General information '!B23</f>
        <v>30</v>
      </c>
      <c r="O65" s="274">
        <f>'General information '!C23</f>
        <v>22</v>
      </c>
      <c r="P65" s="119">
        <f t="shared" si="12"/>
        <v>7.6999999999999993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'[1]Degree Days 2020'!F66</f>
        <v>30</v>
      </c>
      <c r="G66" s="274">
        <f>'[1]Degree Days 2020'!G66</f>
        <v>25</v>
      </c>
      <c r="H66" s="119">
        <f t="shared" si="9"/>
        <v>9.1999999999999993</v>
      </c>
      <c r="I66" s="117">
        <v>19</v>
      </c>
      <c r="J66" s="274">
        <f>'[2]Degree Days 2020'!J66</f>
        <v>32</v>
      </c>
      <c r="K66" s="274">
        <f>'[2]Degree Days 2020'!K66</f>
        <v>25</v>
      </c>
      <c r="L66" s="119">
        <f t="shared" si="11"/>
        <v>10.199999999999999</v>
      </c>
      <c r="M66" s="117">
        <v>19</v>
      </c>
      <c r="N66" s="274">
        <f>'General information '!B24</f>
        <v>33</v>
      </c>
      <c r="O66" s="274">
        <f>'General information '!C24</f>
        <v>22</v>
      </c>
      <c r="P66" s="119">
        <f t="shared" si="12"/>
        <v>9.1999999999999993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'[1]Degree Days 2020'!F67</f>
        <v>30</v>
      </c>
      <c r="G67" s="274">
        <f>'[1]Degree Days 2020'!G67</f>
        <v>25</v>
      </c>
      <c r="H67" s="119">
        <f t="shared" si="9"/>
        <v>9.1999999999999993</v>
      </c>
      <c r="I67" s="117">
        <v>20</v>
      </c>
      <c r="J67" s="274">
        <f>'[2]Degree Days 2020'!J67</f>
        <v>30</v>
      </c>
      <c r="K67" s="274">
        <f>'[2]Degree Days 2020'!K67</f>
        <v>22</v>
      </c>
      <c r="L67" s="119">
        <f t="shared" si="11"/>
        <v>7.6999999999999993</v>
      </c>
      <c r="M67" s="117">
        <v>20</v>
      </c>
      <c r="N67" s="274">
        <f>'General information '!B25</f>
        <v>31</v>
      </c>
      <c r="O67" s="274">
        <f>'General information '!C25</f>
        <v>23</v>
      </c>
      <c r="P67" s="119">
        <f t="shared" si="12"/>
        <v>8.6999999999999993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'[1]Degree Days 2020'!F68</f>
        <v>31</v>
      </c>
      <c r="G68" s="274">
        <f>'[1]Degree Days 2020'!G68</f>
        <v>27</v>
      </c>
      <c r="H68" s="119">
        <f t="shared" si="9"/>
        <v>10.7</v>
      </c>
      <c r="I68" s="117">
        <v>21</v>
      </c>
      <c r="J68" s="274">
        <f>'[2]Degree Days 2020'!J68</f>
        <v>30</v>
      </c>
      <c r="K68" s="274">
        <f>'[2]Degree Days 2020'!K68</f>
        <v>27</v>
      </c>
      <c r="L68" s="119">
        <f t="shared" si="11"/>
        <v>10.199999999999999</v>
      </c>
      <c r="M68" s="117">
        <v>21</v>
      </c>
      <c r="N68" s="274">
        <f>'General information '!B26</f>
        <v>29</v>
      </c>
      <c r="O68" s="274">
        <f>'General information '!C26</f>
        <v>24</v>
      </c>
      <c r="P68" s="119">
        <f t="shared" si="12"/>
        <v>8.1999999999999993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'[1]Degree Days 2020'!F69</f>
        <v>30</v>
      </c>
      <c r="G69" s="274">
        <f>'[1]Degree Days 2020'!G69</f>
        <v>26</v>
      </c>
      <c r="H69" s="119">
        <f t="shared" si="9"/>
        <v>9.6999999999999993</v>
      </c>
      <c r="I69" s="117">
        <v>22</v>
      </c>
      <c r="J69" s="274">
        <f>'[2]Degree Days 2020'!J69</f>
        <v>30</v>
      </c>
      <c r="K69" s="274">
        <f>'[2]Degree Days 2020'!K69</f>
        <v>27</v>
      </c>
      <c r="L69" s="119">
        <f t="shared" si="11"/>
        <v>10.199999999999999</v>
      </c>
      <c r="M69" s="117">
        <v>22</v>
      </c>
      <c r="N69" s="274">
        <f>'General information '!B27</f>
        <v>29</v>
      </c>
      <c r="O69" s="274">
        <f>'General information '!C27</f>
        <v>23</v>
      </c>
      <c r="P69" s="119">
        <f t="shared" si="12"/>
        <v>7.6999999999999993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'[1]Degree Days 2020'!F70</f>
        <v>32</v>
      </c>
      <c r="G70" s="274">
        <f>'[1]Degree Days 2020'!G70</f>
        <v>26</v>
      </c>
      <c r="H70" s="119">
        <f t="shared" si="9"/>
        <v>10.7</v>
      </c>
      <c r="I70" s="117">
        <v>23</v>
      </c>
      <c r="J70" s="274">
        <f>'[2]Degree Days 2020'!J70</f>
        <v>30</v>
      </c>
      <c r="K70" s="274">
        <f>'[2]Degree Days 2020'!K70</f>
        <v>26</v>
      </c>
      <c r="L70" s="119">
        <f t="shared" si="11"/>
        <v>9.6999999999999993</v>
      </c>
      <c r="M70" s="117">
        <v>23</v>
      </c>
      <c r="N70" s="274">
        <f>'General information '!B28</f>
        <v>28</v>
      </c>
      <c r="O70" s="274">
        <f>'General information '!C28</f>
        <v>23</v>
      </c>
      <c r="P70" s="119">
        <f t="shared" si="12"/>
        <v>7.1999999999999993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'[1]Degree Days 2020'!F71</f>
        <v>32</v>
      </c>
      <c r="G71" s="274">
        <f>'[1]Degree Days 2020'!G71</f>
        <v>27</v>
      </c>
      <c r="H71" s="119">
        <f t="shared" si="9"/>
        <v>11.2</v>
      </c>
      <c r="I71" s="117">
        <v>24</v>
      </c>
      <c r="J71" s="274">
        <f>'[2]Degree Days 2020'!J71</f>
        <v>31</v>
      </c>
      <c r="K71" s="274">
        <f>'[2]Degree Days 2020'!K71</f>
        <v>26</v>
      </c>
      <c r="L71" s="119">
        <f t="shared" si="11"/>
        <v>10.199999999999999</v>
      </c>
      <c r="M71" s="117">
        <v>24</v>
      </c>
      <c r="N71" s="274">
        <f>'General information '!B29</f>
        <v>29</v>
      </c>
      <c r="O71" s="274">
        <f>'General information '!C29</f>
        <v>24</v>
      </c>
      <c r="P71" s="119">
        <f t="shared" si="12"/>
        <v>8.1999999999999993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'[1]Degree Days 2020'!F72</f>
        <v>34</v>
      </c>
      <c r="G72" s="274">
        <f>'[1]Degree Days 2020'!G72</f>
        <v>18</v>
      </c>
      <c r="H72" s="119">
        <f t="shared" si="9"/>
        <v>7.6999999999999993</v>
      </c>
      <c r="I72" s="117">
        <v>25</v>
      </c>
      <c r="J72" s="274">
        <f>'[2]Degree Days 2020'!J72</f>
        <v>29</v>
      </c>
      <c r="K72" s="274">
        <f>'[2]Degree Days 2020'!K72</f>
        <v>26</v>
      </c>
      <c r="L72" s="119">
        <f t="shared" si="11"/>
        <v>9.1999999999999993</v>
      </c>
      <c r="M72" s="117">
        <v>25</v>
      </c>
      <c r="N72" s="274">
        <f>'General information '!B30</f>
        <v>35</v>
      </c>
      <c r="O72" s="274">
        <f>'General information '!C30</f>
        <v>25</v>
      </c>
      <c r="P72" s="119">
        <f t="shared" si="12"/>
        <v>11.7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'[1]Degree Days 2020'!F73</f>
        <v>31</v>
      </c>
      <c r="G73" s="274">
        <f>'[1]Degree Days 2020'!G73</f>
        <v>27</v>
      </c>
      <c r="H73" s="119">
        <f t="shared" si="9"/>
        <v>10.7</v>
      </c>
      <c r="I73" s="117">
        <v>26</v>
      </c>
      <c r="J73" s="274">
        <f>'[2]Degree Days 2020'!J73</f>
        <v>30</v>
      </c>
      <c r="K73" s="274">
        <f>'[2]Degree Days 2020'!K73</f>
        <v>26</v>
      </c>
      <c r="L73" s="119">
        <f t="shared" si="11"/>
        <v>9.6999999999999993</v>
      </c>
      <c r="M73" s="117">
        <v>26</v>
      </c>
      <c r="N73" s="274">
        <f>'General information '!B31</f>
        <v>34</v>
      </c>
      <c r="O73" s="274">
        <f>'General information '!C31</f>
        <v>26</v>
      </c>
      <c r="P73" s="119">
        <f t="shared" si="12"/>
        <v>11.7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'[1]Degree Days 2020'!F74</f>
        <v>30</v>
      </c>
      <c r="G74" s="274">
        <f>'[1]Degree Days 2020'!G74</f>
        <v>26</v>
      </c>
      <c r="H74" s="119">
        <f t="shared" si="9"/>
        <v>9.6999999999999993</v>
      </c>
      <c r="I74" s="117">
        <v>27</v>
      </c>
      <c r="J74" s="274">
        <f>'[2]Degree Days 2020'!J74</f>
        <v>30</v>
      </c>
      <c r="K74" s="274">
        <f>'[2]Degree Days 2020'!K74</f>
        <v>25</v>
      </c>
      <c r="L74" s="119">
        <f t="shared" si="11"/>
        <v>9.1999999999999993</v>
      </c>
      <c r="M74" s="117">
        <v>27</v>
      </c>
      <c r="N74" s="274">
        <f>'General information '!B32</f>
        <v>28</v>
      </c>
      <c r="O74" s="274">
        <f>'General information '!C32</f>
        <v>24</v>
      </c>
      <c r="P74" s="119">
        <f t="shared" si="12"/>
        <v>7.6999999999999993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'[1]Degree Days 2020'!F75</f>
        <v>30</v>
      </c>
      <c r="G75" s="274">
        <f>'[1]Degree Days 2020'!G75</f>
        <v>26</v>
      </c>
      <c r="H75" s="119">
        <f t="shared" si="9"/>
        <v>9.6999999999999993</v>
      </c>
      <c r="I75" s="117">
        <v>28</v>
      </c>
      <c r="J75" s="274">
        <f>'[2]Degree Days 2020'!J75</f>
        <v>30</v>
      </c>
      <c r="K75" s="274">
        <f>'[2]Degree Days 2020'!K75</f>
        <v>25</v>
      </c>
      <c r="L75" s="119">
        <f t="shared" si="11"/>
        <v>9.1999999999999993</v>
      </c>
      <c r="M75" s="117">
        <v>28</v>
      </c>
      <c r="N75" s="274">
        <f>'General information '!B33</f>
        <v>27</v>
      </c>
      <c r="O75" s="274">
        <f>'General information '!C33</f>
        <v>24</v>
      </c>
      <c r="P75" s="119">
        <f t="shared" si="12"/>
        <v>7.1999999999999993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'[1]Degree Days 2020'!F76</f>
        <v>29</v>
      </c>
      <c r="G76" s="274">
        <f>'[1]Degree Days 2020'!G76</f>
        <v>26</v>
      </c>
      <c r="H76" s="119">
        <f t="shared" si="9"/>
        <v>9.1999999999999993</v>
      </c>
      <c r="I76" s="117">
        <v>29</v>
      </c>
      <c r="J76" s="274">
        <f>'[2]Degree Days 2020'!J76</f>
        <v>32</v>
      </c>
      <c r="K76" s="274">
        <f>'[2]Degree Days 2020'!K76</f>
        <v>25</v>
      </c>
      <c r="L76" s="119">
        <f t="shared" si="11"/>
        <v>10.199999999999999</v>
      </c>
      <c r="M76" s="117">
        <v>29</v>
      </c>
      <c r="N76" s="274">
        <f>'General information '!B34</f>
        <v>27</v>
      </c>
      <c r="O76" s="274">
        <f>'General information '!C34</f>
        <v>21</v>
      </c>
      <c r="P76" s="119">
        <f t="shared" si="12"/>
        <v>5.6999999999999993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'[1]Degree Days 2020'!F77</f>
        <v>33</v>
      </c>
      <c r="G77" s="274">
        <f>'[1]Degree Days 2020'!G77</f>
        <v>27</v>
      </c>
      <c r="H77" s="119">
        <f t="shared" si="9"/>
        <v>11.7</v>
      </c>
      <c r="I77" s="117">
        <v>30</v>
      </c>
      <c r="J77" s="274">
        <f>'[2]Degree Days 2020'!J77</f>
        <v>31</v>
      </c>
      <c r="K77" s="274">
        <f>'[2]Degree Days 2020'!K77</f>
        <v>26</v>
      </c>
      <c r="L77" s="119">
        <f t="shared" si="11"/>
        <v>10.199999999999999</v>
      </c>
      <c r="M77" s="117">
        <v>30</v>
      </c>
      <c r="N77" s="274">
        <f>'General information '!B35</f>
        <v>27</v>
      </c>
      <c r="O77" s="274">
        <f>'General information '!C35</f>
        <v>22</v>
      </c>
      <c r="P77" s="119">
        <f t="shared" si="12"/>
        <v>6.1999999999999993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'[1]Degree Days 2020'!F78</f>
        <v>32</v>
      </c>
      <c r="G78" s="274">
        <f>'[1]Degree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'General information '!B36</f>
        <v>0</v>
      </c>
      <c r="O78" s="274">
        <f>'General information '!C36</f>
        <v>0</v>
      </c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-18.3</v>
      </c>
      <c r="O81" s="119">
        <f>SUMIF(P48:P78,"&gt;0")</f>
        <v>246.49999999999986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22" t="s">
        <v>174</v>
      </c>
      <c r="O84" s="722" t="s">
        <v>175</v>
      </c>
      <c r="P84" s="134"/>
      <c r="T84" s="134"/>
      <c r="X84" s="134"/>
    </row>
    <row r="85" spans="1:24" ht="20.25" thickBot="1">
      <c r="D85" s="134"/>
      <c r="I85" s="724" t="s">
        <v>182</v>
      </c>
      <c r="J85" s="725"/>
      <c r="K85" s="725"/>
      <c r="L85" s="725"/>
      <c r="N85" s="723"/>
      <c r="O85" s="723"/>
      <c r="P85" s="134"/>
      <c r="R85" s="17"/>
      <c r="S85" s="17"/>
      <c r="T85" s="140"/>
      <c r="U85" s="141"/>
      <c r="X85" s="134"/>
    </row>
    <row r="86" spans="1:24" ht="18.75" thickBot="1">
      <c r="D86" s="134"/>
      <c r="I86" s="726" t="s">
        <v>183</v>
      </c>
      <c r="J86" s="726"/>
      <c r="K86" s="726"/>
      <c r="L86" s="726"/>
      <c r="N86" s="142">
        <f>B43+F43+J43+N43+R43+V43+B81+F81+J81+N81+R81+V81</f>
        <v>-1554.1000000000004</v>
      </c>
      <c r="O86" s="142">
        <f>C43+G43+K43+O43+S43+W43+C81+G81+K81+O81+S81+W81</f>
        <v>1488.8999999999992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6"/>
      <c r="C88" s="716"/>
      <c r="D88" s="716"/>
      <c r="E88" s="716"/>
      <c r="F88" s="716"/>
      <c r="G88" s="716"/>
      <c r="H88" s="716"/>
      <c r="I88" s="716"/>
      <c r="J88" s="716"/>
      <c r="K88" s="716"/>
      <c r="L88" s="716"/>
      <c r="M88" s="716"/>
      <c r="N88" s="716"/>
      <c r="O88" s="716"/>
      <c r="P88" s="716"/>
      <c r="Q88" s="716"/>
      <c r="R88" s="716"/>
      <c r="S88" s="716"/>
      <c r="T88" s="716"/>
      <c r="U88" s="716"/>
      <c r="V88" s="716"/>
      <c r="W88" s="71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G10" sqref="G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7" t="s">
        <v>216</v>
      </c>
      <c r="B2" s="727"/>
      <c r="C2" s="727"/>
      <c r="D2" s="727"/>
      <c r="E2" s="727"/>
      <c r="F2" s="727"/>
      <c r="G2" s="727"/>
      <c r="H2" s="727"/>
      <c r="I2" s="727"/>
    </row>
    <row r="3" spans="1:11">
      <c r="A3" s="194">
        <v>44075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log'!A36</f>
        <v>30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6"/>
    </row>
    <row r="6" spans="1:11">
      <c r="A6" s="185" t="s">
        <v>217</v>
      </c>
      <c r="B6" s="354">
        <f>WATER!C37</f>
        <v>221</v>
      </c>
      <c r="C6" s="332">
        <v>1.66</v>
      </c>
      <c r="D6" s="185">
        <f>SUM(C6*B6)*D4</f>
        <v>553041.44999999995</v>
      </c>
      <c r="E6" s="442">
        <f>SUM(D6/D4)/F4</f>
        <v>12.228666666666665</v>
      </c>
      <c r="F6" s="186">
        <f>SUM(E6*F4)</f>
        <v>366.85999999999996</v>
      </c>
      <c r="G6" s="187">
        <f>SUM(B6*C6)</f>
        <v>366.85999999999996</v>
      </c>
      <c r="H6" s="186">
        <f>7500-H7</f>
        <v>0</v>
      </c>
      <c r="I6" s="608">
        <f>11100-I7</f>
        <v>3600</v>
      </c>
      <c r="J6" s="278"/>
    </row>
    <row r="7" spans="1:11">
      <c r="A7" s="185" t="s">
        <v>218</v>
      </c>
      <c r="B7" s="354">
        <f>WATER!H37</f>
        <v>1729</v>
      </c>
      <c r="C7" s="185">
        <v>7500</v>
      </c>
      <c r="D7" s="188">
        <f>SUM(C7)*D4</f>
        <v>11306250</v>
      </c>
      <c r="E7" s="186">
        <f>SUM(I7/G4)</f>
        <v>241.93548387096774</v>
      </c>
      <c r="F7" s="186">
        <f>SUM(E7*F4)</f>
        <v>7258.0645161290322</v>
      </c>
      <c r="G7" s="518">
        <v>7500</v>
      </c>
      <c r="H7" s="190">
        <f>[10]Sheet1!$C$9</f>
        <v>7500</v>
      </c>
      <c r="I7" s="186">
        <v>7500</v>
      </c>
      <c r="J7" s="278"/>
    </row>
    <row r="8" spans="1:11">
      <c r="A8" s="191" t="s">
        <v>219</v>
      </c>
      <c r="B8" s="355">
        <f>tanks!AT37</f>
        <v>18403</v>
      </c>
      <c r="C8" s="501">
        <f>SUM(tanks!AU37)</f>
        <v>0.51</v>
      </c>
      <c r="D8" s="192">
        <f>SUM(B8*C8)*D4</f>
        <v>14148686.475000001</v>
      </c>
      <c r="E8" s="193">
        <f>SUM(D8/D4/F4)</f>
        <v>312.851</v>
      </c>
      <c r="F8" s="193">
        <f>SUM(E8*F4)</f>
        <v>9385.5300000000007</v>
      </c>
      <c r="G8" s="518">
        <f>E8*$F$4</f>
        <v>9385.5300000000007</v>
      </c>
      <c r="H8" s="190">
        <f>[10]Sheet1!$D$8</f>
        <v>30000</v>
      </c>
      <c r="I8" s="193">
        <v>46500</v>
      </c>
      <c r="J8" s="278"/>
    </row>
    <row r="9" spans="1:11">
      <c r="A9" s="2" t="s">
        <v>416</v>
      </c>
      <c r="B9" s="356">
        <f>'B5'!AV36</f>
        <v>0</v>
      </c>
      <c r="C9" s="353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8">
        <f>E9*$G$4</f>
        <v>0</v>
      </c>
      <c r="H9" s="190">
        <f>[10]Sheet1!$D$7</f>
        <v>1000</v>
      </c>
      <c r="I9" s="190">
        <v>7200</v>
      </c>
      <c r="J9" s="278"/>
    </row>
    <row r="10" spans="1:11">
      <c r="A10" s="182" t="s">
        <v>220</v>
      </c>
      <c r="B10" s="357"/>
      <c r="C10" s="182"/>
      <c r="D10" s="184">
        <f>SUM('EDl log'!AB31)</f>
        <v>24726407.419354841</v>
      </c>
      <c r="E10" s="183">
        <f>SUM(D10/D4/F4)</f>
        <v>546.74201037821649</v>
      </c>
      <c r="F10" s="183">
        <f>SUM(E10*F4)</f>
        <v>16402.260311346494</v>
      </c>
      <c r="G10" s="518">
        <f>E10*$G$4</f>
        <v>16949.002321724711</v>
      </c>
      <c r="H10" s="190">
        <f>[10]Sheet1!$D$6</f>
        <v>19000</v>
      </c>
      <c r="I10" s="281">
        <v>37300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5">
        <f>SUM(E6:E11)</f>
        <v>1113.7571609158508</v>
      </c>
      <c r="F12" s="181">
        <f>SUM(F6:F10)</f>
        <v>33412.714827475531</v>
      </c>
      <c r="G12" s="180">
        <f>SUM(G6:G10)</f>
        <v>34201.392321724707</v>
      </c>
      <c r="H12" s="180">
        <f>SUM(H6:H11)</f>
        <v>57500</v>
      </c>
      <c r="I12" s="222">
        <f>SUM(I6:I11)</f>
        <v>102100</v>
      </c>
      <c r="J12" s="278"/>
    </row>
    <row r="13" spans="1:11" ht="30">
      <c r="A13" s="3"/>
      <c r="B13" s="176" t="s">
        <v>226</v>
      </c>
      <c r="C13" s="425" t="s">
        <v>386</v>
      </c>
      <c r="D13" s="425" t="s">
        <v>390</v>
      </c>
      <c r="E13" s="425" t="s">
        <v>387</v>
      </c>
      <c r="F13" s="425" t="s">
        <v>412</v>
      </c>
      <c r="G13" s="427"/>
      <c r="H13" s="17"/>
      <c r="I13" s="17"/>
      <c r="J13" s="17"/>
    </row>
    <row r="14" spans="1:11">
      <c r="A14" s="456" t="s">
        <v>302</v>
      </c>
      <c r="B14" s="97">
        <f>'Degree Days 2020'!AB19</f>
        <v>246.49999999999986</v>
      </c>
      <c r="C14" s="439">
        <f>'[11]Utility Cost '!C14</f>
        <v>151</v>
      </c>
      <c r="D14" s="170"/>
      <c r="E14" s="170">
        <f t="shared" ref="E14:E18" si="0">B14-C14</f>
        <v>95.499999999999858</v>
      </c>
      <c r="F14" s="517">
        <v>0</v>
      </c>
      <c r="G14" s="427"/>
      <c r="H14" s="428">
        <f>SUM(G12-H12)</f>
        <v>-23298.607678275293</v>
      </c>
      <c r="I14" s="428">
        <f>SUM(G12-I12)</f>
        <v>-67898.607678275293</v>
      </c>
    </row>
    <row r="15" spans="1:11">
      <c r="A15" s="456" t="s">
        <v>303</v>
      </c>
      <c r="B15" s="97">
        <f>'Degree Days 2020'!AA19</f>
        <v>-18.3</v>
      </c>
      <c r="C15" s="439">
        <f>'[11]Utility Cost '!C15</f>
        <v>-18.3</v>
      </c>
      <c r="D15" s="170"/>
      <c r="E15" s="170">
        <f t="shared" si="0"/>
        <v>0</v>
      </c>
      <c r="F15" s="517">
        <v>0</v>
      </c>
      <c r="G15" s="427"/>
      <c r="H15" s="17"/>
      <c r="I15" s="17"/>
      <c r="J15" s="17"/>
    </row>
    <row r="16" spans="1:11">
      <c r="A16" s="456" t="s">
        <v>304</v>
      </c>
      <c r="B16" s="586">
        <f>'General information '!D38</f>
        <v>26.516666666666666</v>
      </c>
      <c r="C16" s="439">
        <f>'[11]Utility Cost '!C16</f>
        <v>25.306451612903224</v>
      </c>
      <c r="D16" s="439"/>
      <c r="E16" s="440">
        <f t="shared" si="0"/>
        <v>1.2102150537634415</v>
      </c>
      <c r="F16" s="537">
        <v>0</v>
      </c>
      <c r="G16" s="427"/>
      <c r="H16" s="17"/>
      <c r="I16" s="17"/>
      <c r="J16" s="17"/>
    </row>
    <row r="17" spans="1:10">
      <c r="A17" s="529" t="s">
        <v>316</v>
      </c>
      <c r="B17" s="532">
        <f>'General information '!F37</f>
        <v>0</v>
      </c>
      <c r="C17" s="531">
        <f>'[11]Utility Cost '!C17</f>
        <v>0.45897096774193541</v>
      </c>
      <c r="D17" s="484">
        <f>'[12]Other Fuel Calculation 2020'!$K$62</f>
        <v>0.61470000000000002</v>
      </c>
      <c r="E17" s="531">
        <f t="shared" si="0"/>
        <v>-0.45897096774193541</v>
      </c>
      <c r="F17" s="535">
        <f>B17-D17</f>
        <v>-0.61470000000000002</v>
      </c>
      <c r="G17" s="17"/>
      <c r="H17" s="17"/>
      <c r="I17" s="17"/>
      <c r="J17" s="17"/>
    </row>
    <row r="18" spans="1:10">
      <c r="A18" s="530" t="s">
        <v>388</v>
      </c>
      <c r="B18" s="534">
        <f>GEN!Z34</f>
        <v>103</v>
      </c>
      <c r="C18" s="439">
        <f>'[11]Utility Cost '!C18</f>
        <v>247.5</v>
      </c>
      <c r="D18" s="437">
        <f>'[12]Other Fuel Calculation 2020'!$K$60</f>
        <v>291.50666666666666</v>
      </c>
      <c r="E18" s="533">
        <f t="shared" si="0"/>
        <v>-144.5</v>
      </c>
      <c r="F18" s="536">
        <f>B18-D18</f>
        <v>-188.50666666666666</v>
      </c>
    </row>
    <row r="19" spans="1:10">
      <c r="A19" s="530" t="s">
        <v>413</v>
      </c>
      <c r="B19" s="528">
        <f>SUM(B18/$F$4)</f>
        <v>3.4333333333333331</v>
      </c>
      <c r="C19" s="439">
        <f>'[11]Utility Cost '!C19</f>
        <v>7.9838709677419351</v>
      </c>
      <c r="D19" s="438"/>
      <c r="E19" s="438"/>
      <c r="F19" s="51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9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2020-10-31T07:45:19Z</dcterms:modified>
</cp:coreProperties>
</file>