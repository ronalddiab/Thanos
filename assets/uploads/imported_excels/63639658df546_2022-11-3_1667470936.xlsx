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25"/>
  <workbookPr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0" documentId="8_{34C15DED-4151-4557-B8FF-D815D010B4B6}" xr6:coauthVersionLast="47" xr6:coauthVersionMax="47" xr10:uidLastSave="{00000000-0000-0000-0000-000000000000}"/>
  <bookViews>
    <workbookView xWindow="-120" yWindow="-120" windowWidth="20730" windowHeight="11160" tabRatio="598" firstSheet="3" activeTab="4" xr2:uid="{00000000-000D-0000-FFFF-FFFF00000000}"/>
  </bookViews>
  <sheets>
    <sheet name="TOTAL" sheetId="9" r:id="rId1"/>
    <sheet name="Submetering" sheetId="8" r:id="rId2"/>
    <sheet name="Water" sheetId="3" r:id="rId3"/>
    <sheet name="ELECT." sheetId="4" r:id="rId4"/>
    <sheet name="Gas" sheetId="5" r:id="rId5"/>
  </sheets>
  <definedNames>
    <definedName name="_xlnm.Print_Area" localSheetId="4">Gas!$A$1:$AJ$35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32" i="8" l="1"/>
  <c r="AG33" i="5"/>
  <c r="AA31" i="8" s="1"/>
  <c r="AG32" i="5"/>
  <c r="AA30" i="8" s="1"/>
  <c r="AG31" i="5"/>
  <c r="AA29" i="8" s="1"/>
  <c r="AG30" i="5"/>
  <c r="AA28" i="8" s="1"/>
  <c r="AG29" i="5"/>
  <c r="AA27" i="8" s="1"/>
  <c r="AG28" i="5"/>
  <c r="AA26" i="8" s="1"/>
  <c r="AG27" i="5"/>
  <c r="AA25" i="8" s="1"/>
  <c r="AG26" i="5"/>
  <c r="AA24" i="8" s="1"/>
  <c r="AG25" i="5"/>
  <c r="AA23" i="8" s="1"/>
  <c r="AG24" i="5"/>
  <c r="AA22" i="8" s="1"/>
  <c r="AG23" i="5"/>
  <c r="AA21" i="8" s="1"/>
  <c r="AG22" i="5"/>
  <c r="AA20" i="8" s="1"/>
  <c r="AG21" i="5"/>
  <c r="AA19" i="8" s="1"/>
  <c r="AG20" i="5"/>
  <c r="AA18" i="8" s="1"/>
  <c r="AG19" i="5"/>
  <c r="AA17" i="8" s="1"/>
  <c r="AG18" i="5"/>
  <c r="AA16" i="8" s="1"/>
  <c r="AG17" i="5"/>
  <c r="AA15" i="8" s="1"/>
  <c r="AG16" i="5"/>
  <c r="AA14" i="8" s="1"/>
  <c r="AG15" i="5"/>
  <c r="AA13" i="8" s="1"/>
  <c r="AG14" i="5"/>
  <c r="AA12" i="8" s="1"/>
  <c r="AG13" i="5"/>
  <c r="AA11" i="8" s="1"/>
  <c r="AG12" i="5"/>
  <c r="AA10" i="8" s="1"/>
  <c r="AG11" i="5"/>
  <c r="AA9" i="8" s="1"/>
  <c r="AG10" i="5"/>
  <c r="AA8" i="8" s="1"/>
  <c r="AG9" i="5"/>
  <c r="AA7" i="8" s="1"/>
  <c r="AG8" i="5"/>
  <c r="AA6" i="8" s="1"/>
  <c r="AG7" i="5"/>
  <c r="AA5" i="8" s="1"/>
  <c r="AG6" i="5"/>
  <c r="AA4" i="8" s="1"/>
  <c r="AG5" i="5"/>
  <c r="AA3" i="8" s="1"/>
  <c r="AG4" i="5"/>
  <c r="AA2" i="8" s="1"/>
  <c r="AE34" i="5"/>
  <c r="Z32" i="8" s="1"/>
  <c r="AE33" i="5"/>
  <c r="Z31" i="8" s="1"/>
  <c r="AE32" i="5"/>
  <c r="Z30" i="8" s="1"/>
  <c r="AE31" i="5"/>
  <c r="Z29" i="8" s="1"/>
  <c r="AE30" i="5"/>
  <c r="Z28" i="8" s="1"/>
  <c r="AE29" i="5"/>
  <c r="Z27" i="8" s="1"/>
  <c r="AE28" i="5"/>
  <c r="Z26" i="8" s="1"/>
  <c r="AE27" i="5"/>
  <c r="Z25" i="8" s="1"/>
  <c r="AE26" i="5"/>
  <c r="Z24" i="8" s="1"/>
  <c r="AE25" i="5"/>
  <c r="Z23" i="8" s="1"/>
  <c r="AE24" i="5"/>
  <c r="Z22" i="8" s="1"/>
  <c r="AE23" i="5"/>
  <c r="Z21" i="8" s="1"/>
  <c r="AE22" i="5"/>
  <c r="Z20" i="8" s="1"/>
  <c r="AE21" i="5"/>
  <c r="Z19" i="8" s="1"/>
  <c r="AE20" i="5"/>
  <c r="Z18" i="8" s="1"/>
  <c r="AE19" i="5"/>
  <c r="Z17" i="8" s="1"/>
  <c r="AE18" i="5"/>
  <c r="Z16" i="8" s="1"/>
  <c r="AE17" i="5"/>
  <c r="Z15" i="8" s="1"/>
  <c r="AE16" i="5"/>
  <c r="Z14" i="8" s="1"/>
  <c r="AE15" i="5"/>
  <c r="Z13" i="8" s="1"/>
  <c r="AE14" i="5"/>
  <c r="Z12" i="8" s="1"/>
  <c r="AE13" i="5"/>
  <c r="Z11" i="8" s="1"/>
  <c r="AE12" i="5"/>
  <c r="Z10" i="8" s="1"/>
  <c r="AE11" i="5"/>
  <c r="Z9" i="8" s="1"/>
  <c r="AE10" i="5"/>
  <c r="Z8" i="8" s="1"/>
  <c r="AE9" i="5"/>
  <c r="Z7" i="8" s="1"/>
  <c r="AE8" i="5"/>
  <c r="Z6" i="8" s="1"/>
  <c r="AE7" i="5"/>
  <c r="Z5" i="8" s="1"/>
  <c r="AE6" i="5"/>
  <c r="Z4" i="8" s="1"/>
  <c r="AE5" i="5"/>
  <c r="Z3" i="8" s="1"/>
  <c r="AE4" i="5"/>
  <c r="Z2" i="8" s="1"/>
  <c r="AB3" i="8"/>
  <c r="AB4" i="8"/>
  <c r="AB5" i="8"/>
  <c r="AB6" i="8"/>
  <c r="AB7" i="8"/>
  <c r="AB8" i="8"/>
  <c r="AB9" i="8"/>
  <c r="AB10" i="8"/>
  <c r="AB11" i="8"/>
  <c r="AB12" i="8"/>
  <c r="AB13" i="8"/>
  <c r="AB14" i="8"/>
  <c r="AB15" i="8"/>
  <c r="AB16" i="8"/>
  <c r="AB17" i="8"/>
  <c r="AB18" i="8"/>
  <c r="AB19" i="8"/>
  <c r="AB20" i="8"/>
  <c r="AB21" i="8"/>
  <c r="AB22" i="8"/>
  <c r="AB23" i="8"/>
  <c r="AB24" i="8"/>
  <c r="AB25" i="8"/>
  <c r="AB26" i="8"/>
  <c r="AB27" i="8"/>
  <c r="AB28" i="8"/>
  <c r="AB29" i="8"/>
  <c r="AB30" i="8"/>
  <c r="AB31" i="8"/>
  <c r="AB32" i="8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G6" i="5"/>
  <c r="G7" i="5"/>
  <c r="G8" i="5"/>
  <c r="N6" i="8" s="1"/>
  <c r="G9" i="5"/>
  <c r="N7" i="8" s="1"/>
  <c r="G10" i="5"/>
  <c r="G11" i="5"/>
  <c r="G12" i="5"/>
  <c r="G13" i="5"/>
  <c r="G14" i="5"/>
  <c r="G15" i="5"/>
  <c r="G16" i="5"/>
  <c r="N14" i="8" s="1"/>
  <c r="G17" i="5"/>
  <c r="N15" i="8" s="1"/>
  <c r="G18" i="5"/>
  <c r="G19" i="5"/>
  <c r="G20" i="5"/>
  <c r="G21" i="5"/>
  <c r="G22" i="5"/>
  <c r="G23" i="5"/>
  <c r="N21" i="8" s="1"/>
  <c r="G24" i="5"/>
  <c r="N22" i="8" s="1"/>
  <c r="G25" i="5"/>
  <c r="N23" i="8" s="1"/>
  <c r="G26" i="5"/>
  <c r="G27" i="5"/>
  <c r="G28" i="5"/>
  <c r="G29" i="5"/>
  <c r="G30" i="5"/>
  <c r="G31" i="5"/>
  <c r="N29" i="8" s="1"/>
  <c r="G32" i="5"/>
  <c r="N30" i="8" s="1"/>
  <c r="G33" i="5"/>
  <c r="N31" i="8" s="1"/>
  <c r="G34" i="5"/>
  <c r="N32" i="8" s="1"/>
  <c r="M36" i="4"/>
  <c r="K32" i="8" s="1"/>
  <c r="K36" i="4"/>
  <c r="J32" i="8" s="1"/>
  <c r="H36" i="4"/>
  <c r="I32" i="8" s="1"/>
  <c r="F36" i="4"/>
  <c r="H32" i="8" s="1"/>
  <c r="D36" i="4"/>
  <c r="M35" i="4"/>
  <c r="K31" i="8" s="1"/>
  <c r="K35" i="4"/>
  <c r="J31" i="8" s="1"/>
  <c r="M34" i="4"/>
  <c r="K30" i="8" s="1"/>
  <c r="K34" i="4"/>
  <c r="J30" i="8" s="1"/>
  <c r="M33" i="4"/>
  <c r="K29" i="8" s="1"/>
  <c r="K33" i="4"/>
  <c r="J29" i="8" s="1"/>
  <c r="M32" i="4"/>
  <c r="K28" i="8" s="1"/>
  <c r="K32" i="4"/>
  <c r="J28" i="8" s="1"/>
  <c r="M31" i="4"/>
  <c r="K27" i="8" s="1"/>
  <c r="K31" i="4"/>
  <c r="J27" i="8" s="1"/>
  <c r="M30" i="4"/>
  <c r="K26" i="8" s="1"/>
  <c r="K30" i="4"/>
  <c r="J26" i="8" s="1"/>
  <c r="M29" i="4"/>
  <c r="K25" i="8" s="1"/>
  <c r="K29" i="4"/>
  <c r="J25" i="8" s="1"/>
  <c r="M28" i="4"/>
  <c r="K24" i="8" s="1"/>
  <c r="K28" i="4"/>
  <c r="J24" i="8" s="1"/>
  <c r="M27" i="4"/>
  <c r="K23" i="8" s="1"/>
  <c r="K27" i="4"/>
  <c r="J23" i="8" s="1"/>
  <c r="M26" i="4"/>
  <c r="K22" i="8" s="1"/>
  <c r="K26" i="4"/>
  <c r="J22" i="8" s="1"/>
  <c r="M25" i="4"/>
  <c r="K21" i="8" s="1"/>
  <c r="K25" i="4"/>
  <c r="J21" i="8" s="1"/>
  <c r="M24" i="4"/>
  <c r="K20" i="8" s="1"/>
  <c r="K24" i="4"/>
  <c r="J20" i="8" s="1"/>
  <c r="M23" i="4"/>
  <c r="K19" i="8" s="1"/>
  <c r="K23" i="4"/>
  <c r="J19" i="8" s="1"/>
  <c r="M22" i="4"/>
  <c r="K18" i="8" s="1"/>
  <c r="K22" i="4"/>
  <c r="J18" i="8" s="1"/>
  <c r="M21" i="4"/>
  <c r="K17" i="8" s="1"/>
  <c r="K21" i="4"/>
  <c r="J17" i="8" s="1"/>
  <c r="M20" i="4"/>
  <c r="K16" i="8" s="1"/>
  <c r="K20" i="4"/>
  <c r="J16" i="8" s="1"/>
  <c r="M19" i="4"/>
  <c r="K15" i="8" s="1"/>
  <c r="K19" i="4"/>
  <c r="J15" i="8" s="1"/>
  <c r="M18" i="4"/>
  <c r="K14" i="8" s="1"/>
  <c r="K18" i="4"/>
  <c r="J14" i="8" s="1"/>
  <c r="M17" i="4"/>
  <c r="K13" i="8" s="1"/>
  <c r="K17" i="4"/>
  <c r="J13" i="8" s="1"/>
  <c r="M16" i="4"/>
  <c r="K12" i="8" s="1"/>
  <c r="K16" i="4"/>
  <c r="J12" i="8" s="1"/>
  <c r="M15" i="4"/>
  <c r="K11" i="8" s="1"/>
  <c r="K15" i="4"/>
  <c r="J11" i="8" s="1"/>
  <c r="M14" i="4"/>
  <c r="K10" i="8" s="1"/>
  <c r="K14" i="4"/>
  <c r="J10" i="8" s="1"/>
  <c r="M13" i="4"/>
  <c r="K9" i="8" s="1"/>
  <c r="K13" i="4"/>
  <c r="J9" i="8" s="1"/>
  <c r="M12" i="4"/>
  <c r="K8" i="8" s="1"/>
  <c r="K12" i="4"/>
  <c r="J8" i="8" s="1"/>
  <c r="M11" i="4"/>
  <c r="K7" i="8" s="1"/>
  <c r="K11" i="4"/>
  <c r="J7" i="8" s="1"/>
  <c r="M10" i="4"/>
  <c r="K6" i="8" s="1"/>
  <c r="K10" i="4"/>
  <c r="J6" i="8" s="1"/>
  <c r="M9" i="4"/>
  <c r="K5" i="8" s="1"/>
  <c r="K9" i="4"/>
  <c r="J5" i="8" s="1"/>
  <c r="M8" i="4"/>
  <c r="K4" i="8" s="1"/>
  <c r="K8" i="4"/>
  <c r="J4" i="8" s="1"/>
  <c r="M7" i="4"/>
  <c r="K7" i="4"/>
  <c r="J3" i="8" s="1"/>
  <c r="M6" i="4"/>
  <c r="K2" i="8" s="1"/>
  <c r="K6" i="4"/>
  <c r="J2" i="8" s="1"/>
  <c r="AJ34" i="5"/>
  <c r="AC34" i="5"/>
  <c r="Y32" i="8" s="1"/>
  <c r="AA34" i="5"/>
  <c r="X32" i="8" s="1"/>
  <c r="Y34" i="5"/>
  <c r="W32" i="8" s="1"/>
  <c r="W34" i="5"/>
  <c r="V32" i="8"/>
  <c r="U34" i="5"/>
  <c r="U32" i="8"/>
  <c r="S34" i="5"/>
  <c r="T32" i="8" s="1"/>
  <c r="Q34" i="5"/>
  <c r="S32" i="8" s="1"/>
  <c r="O34" i="5"/>
  <c r="R32" i="8" s="1"/>
  <c r="M34" i="5"/>
  <c r="Q32" i="8" s="1"/>
  <c r="K34" i="5"/>
  <c r="P32" i="8" s="1"/>
  <c r="I34" i="5"/>
  <c r="O32" i="8" s="1"/>
  <c r="E34" i="5"/>
  <c r="M32" i="8" s="1"/>
  <c r="C34" i="5"/>
  <c r="E35" i="3"/>
  <c r="F32" i="8"/>
  <c r="C35" i="3"/>
  <c r="E32" i="8"/>
  <c r="C23" i="5"/>
  <c r="L21" i="8" s="1"/>
  <c r="E23" i="5"/>
  <c r="M21" i="8" s="1"/>
  <c r="I23" i="5"/>
  <c r="K23" i="5"/>
  <c r="M23" i="5"/>
  <c r="Q21" i="8" s="1"/>
  <c r="O23" i="5"/>
  <c r="R21" i="8" s="1"/>
  <c r="Q23" i="5"/>
  <c r="S23" i="5"/>
  <c r="T21" i="8" s="1"/>
  <c r="U23" i="5"/>
  <c r="U21" i="8" s="1"/>
  <c r="W23" i="5"/>
  <c r="V21" i="8" s="1"/>
  <c r="Y23" i="5"/>
  <c r="W21" i="8" s="1"/>
  <c r="AA23" i="5"/>
  <c r="AC23" i="5"/>
  <c r="AJ23" i="5"/>
  <c r="C24" i="5"/>
  <c r="L22" i="8" s="1"/>
  <c r="E24" i="5"/>
  <c r="M22" i="8" s="1"/>
  <c r="I24" i="5"/>
  <c r="O22" i="8" s="1"/>
  <c r="K24" i="5"/>
  <c r="P22" i="8" s="1"/>
  <c r="M24" i="5"/>
  <c r="Q22" i="8" s="1"/>
  <c r="O24" i="5"/>
  <c r="R22" i="8" s="1"/>
  <c r="Q24" i="5"/>
  <c r="S22" i="8" s="1"/>
  <c r="S24" i="5"/>
  <c r="T22" i="8" s="1"/>
  <c r="U24" i="5"/>
  <c r="U22" i="8" s="1"/>
  <c r="W24" i="5"/>
  <c r="V22" i="8" s="1"/>
  <c r="Y24" i="5"/>
  <c r="W22" i="8" s="1"/>
  <c r="AA24" i="5"/>
  <c r="X22" i="8" s="1"/>
  <c r="AC24" i="5"/>
  <c r="AJ24" i="5"/>
  <c r="C25" i="5"/>
  <c r="L23" i="8" s="1"/>
  <c r="E25" i="5"/>
  <c r="M23" i="8" s="1"/>
  <c r="I25" i="5"/>
  <c r="O23" i="8" s="1"/>
  <c r="K25" i="5"/>
  <c r="P23" i="8" s="1"/>
  <c r="M25" i="5"/>
  <c r="Q23" i="8" s="1"/>
  <c r="O25" i="5"/>
  <c r="Q25" i="5"/>
  <c r="S23" i="8" s="1"/>
  <c r="S25" i="5"/>
  <c r="U25" i="5"/>
  <c r="U23" i="8" s="1"/>
  <c r="W25" i="5"/>
  <c r="V23" i="8" s="1"/>
  <c r="Y25" i="5"/>
  <c r="W23" i="8" s="1"/>
  <c r="AA25" i="5"/>
  <c r="X23" i="8" s="1"/>
  <c r="AC25" i="5"/>
  <c r="Y23" i="8" s="1"/>
  <c r="AJ25" i="5"/>
  <c r="C26" i="5"/>
  <c r="L24" i="8" s="1"/>
  <c r="E26" i="5"/>
  <c r="M24" i="8" s="1"/>
  <c r="N24" i="8"/>
  <c r="I26" i="5"/>
  <c r="O24" i="8" s="1"/>
  <c r="K26" i="5"/>
  <c r="P24" i="8" s="1"/>
  <c r="M26" i="5"/>
  <c r="Q24" i="8" s="1"/>
  <c r="O26" i="5"/>
  <c r="R24" i="8" s="1"/>
  <c r="Q26" i="5"/>
  <c r="S24" i="8" s="1"/>
  <c r="S26" i="5"/>
  <c r="T24" i="8" s="1"/>
  <c r="U26" i="5"/>
  <c r="W26" i="5"/>
  <c r="V24" i="8"/>
  <c r="Y26" i="5"/>
  <c r="W24" i="8" s="1"/>
  <c r="AA26" i="5"/>
  <c r="X24" i="8" s="1"/>
  <c r="AC26" i="5"/>
  <c r="Y24" i="8" s="1"/>
  <c r="AJ26" i="5"/>
  <c r="C27" i="5"/>
  <c r="E27" i="5"/>
  <c r="M25" i="8" s="1"/>
  <c r="N25" i="8"/>
  <c r="I27" i="5"/>
  <c r="O25" i="8" s="1"/>
  <c r="K27" i="5"/>
  <c r="P25" i="8" s="1"/>
  <c r="M27" i="5"/>
  <c r="O27" i="5"/>
  <c r="Q27" i="5"/>
  <c r="S25" i="8" s="1"/>
  <c r="S27" i="5"/>
  <c r="T25" i="8" s="1"/>
  <c r="U27" i="5"/>
  <c r="U25" i="8" s="1"/>
  <c r="W27" i="5"/>
  <c r="Y27" i="5"/>
  <c r="W25" i="8" s="1"/>
  <c r="AA27" i="5"/>
  <c r="X25" i="8" s="1"/>
  <c r="AC27" i="5"/>
  <c r="Y25" i="8" s="1"/>
  <c r="AJ27" i="5"/>
  <c r="C28" i="5"/>
  <c r="E28" i="5"/>
  <c r="M26" i="8" s="1"/>
  <c r="N26" i="8"/>
  <c r="I28" i="5"/>
  <c r="O26" i="8" s="1"/>
  <c r="K28" i="5"/>
  <c r="P26" i="8" s="1"/>
  <c r="M28" i="5"/>
  <c r="Q26" i="8" s="1"/>
  <c r="O28" i="5"/>
  <c r="R26" i="8" s="1"/>
  <c r="Q28" i="5"/>
  <c r="S28" i="5"/>
  <c r="U28" i="5"/>
  <c r="U26" i="8" s="1"/>
  <c r="W28" i="5"/>
  <c r="V26" i="8" s="1"/>
  <c r="Y28" i="5"/>
  <c r="W26" i="8" s="1"/>
  <c r="AA28" i="5"/>
  <c r="X26" i="8" s="1"/>
  <c r="AC28" i="5"/>
  <c r="Y26" i="8" s="1"/>
  <c r="AJ28" i="5"/>
  <c r="C29" i="5"/>
  <c r="E29" i="5"/>
  <c r="M27" i="8" s="1"/>
  <c r="N27" i="8"/>
  <c r="I29" i="5"/>
  <c r="O27" i="8" s="1"/>
  <c r="K29" i="5"/>
  <c r="P27" i="8" s="1"/>
  <c r="M29" i="5"/>
  <c r="Q27" i="8" s="1"/>
  <c r="O29" i="5"/>
  <c r="Q29" i="5"/>
  <c r="S27" i="8" s="1"/>
  <c r="S29" i="5"/>
  <c r="U29" i="5"/>
  <c r="W29" i="5"/>
  <c r="V27" i="8" s="1"/>
  <c r="Y29" i="5"/>
  <c r="W27" i="8" s="1"/>
  <c r="AA29" i="5"/>
  <c r="X27" i="8" s="1"/>
  <c r="AC29" i="5"/>
  <c r="Y27" i="8" s="1"/>
  <c r="AJ29" i="5"/>
  <c r="C30" i="5"/>
  <c r="L28" i="8" s="1"/>
  <c r="E30" i="5"/>
  <c r="M28" i="8" s="1"/>
  <c r="N28" i="8"/>
  <c r="I30" i="5"/>
  <c r="K30" i="5"/>
  <c r="P28" i="8" s="1"/>
  <c r="M30" i="5"/>
  <c r="Q28" i="8" s="1"/>
  <c r="O30" i="5"/>
  <c r="R28" i="8" s="1"/>
  <c r="Q30" i="5"/>
  <c r="S28" i="8" s="1"/>
  <c r="S30" i="5"/>
  <c r="T28" i="8" s="1"/>
  <c r="U30" i="5"/>
  <c r="U28" i="8" s="1"/>
  <c r="W30" i="5"/>
  <c r="V28" i="8" s="1"/>
  <c r="Y30" i="5"/>
  <c r="W28" i="8" s="1"/>
  <c r="AA30" i="5"/>
  <c r="X28" i="8" s="1"/>
  <c r="AC30" i="5"/>
  <c r="Y28" i="8" s="1"/>
  <c r="AJ30" i="5"/>
  <c r="C31" i="5"/>
  <c r="L29" i="8" s="1"/>
  <c r="E31" i="5"/>
  <c r="M29" i="8" s="1"/>
  <c r="I31" i="5"/>
  <c r="K31" i="5"/>
  <c r="M31" i="5"/>
  <c r="Q29" i="8" s="1"/>
  <c r="O31" i="5"/>
  <c r="R29" i="8" s="1"/>
  <c r="Q31" i="5"/>
  <c r="S29" i="8" s="1"/>
  <c r="S31" i="5"/>
  <c r="T29" i="8" s="1"/>
  <c r="U31" i="5"/>
  <c r="U29" i="8" s="1"/>
  <c r="W31" i="5"/>
  <c r="V29" i="8" s="1"/>
  <c r="Y31" i="5"/>
  <c r="AA31" i="5"/>
  <c r="X29" i="8" s="1"/>
  <c r="AC31" i="5"/>
  <c r="Y29" i="8" s="1"/>
  <c r="AJ31" i="5"/>
  <c r="C32" i="5"/>
  <c r="L30" i="8" s="1"/>
  <c r="E32" i="5"/>
  <c r="M30" i="8" s="1"/>
  <c r="I32" i="5"/>
  <c r="O30" i="8" s="1"/>
  <c r="K32" i="5"/>
  <c r="P30" i="8" s="1"/>
  <c r="M32" i="5"/>
  <c r="Q30" i="8" s="1"/>
  <c r="O32" i="5"/>
  <c r="R30" i="8" s="1"/>
  <c r="Q32" i="5"/>
  <c r="S30" i="8" s="1"/>
  <c r="S32" i="5"/>
  <c r="T30" i="8" s="1"/>
  <c r="U32" i="5"/>
  <c r="U30" i="8" s="1"/>
  <c r="W32" i="5"/>
  <c r="Y32" i="5"/>
  <c r="W30" i="8" s="1"/>
  <c r="AA32" i="5"/>
  <c r="X30" i="8" s="1"/>
  <c r="AC32" i="5"/>
  <c r="Y30" i="8" s="1"/>
  <c r="AJ32" i="5"/>
  <c r="C33" i="5"/>
  <c r="L31" i="8" s="1"/>
  <c r="E33" i="5"/>
  <c r="M31" i="8" s="1"/>
  <c r="I33" i="5"/>
  <c r="O31" i="8" s="1"/>
  <c r="K33" i="5"/>
  <c r="P31" i="8" s="1"/>
  <c r="M33" i="5"/>
  <c r="Q31" i="8" s="1"/>
  <c r="O33" i="5"/>
  <c r="R31" i="8" s="1"/>
  <c r="Q33" i="5"/>
  <c r="S33" i="5"/>
  <c r="T31" i="8" s="1"/>
  <c r="U33" i="5"/>
  <c r="U31" i="8" s="1"/>
  <c r="W33" i="5"/>
  <c r="V31" i="8" s="1"/>
  <c r="Y33" i="5"/>
  <c r="W31" i="8" s="1"/>
  <c r="AA33" i="5"/>
  <c r="X31" i="8" s="1"/>
  <c r="AC33" i="5"/>
  <c r="Y31" i="8" s="1"/>
  <c r="AJ33" i="5"/>
  <c r="H35" i="4"/>
  <c r="I31" i="8" s="1"/>
  <c r="H34" i="4"/>
  <c r="I30" i="8" s="1"/>
  <c r="H33" i="4"/>
  <c r="I29" i="8" s="1"/>
  <c r="D35" i="4"/>
  <c r="D34" i="4"/>
  <c r="D33" i="4"/>
  <c r="E7" i="3"/>
  <c r="E6" i="3"/>
  <c r="F3" i="8"/>
  <c r="E8" i="3"/>
  <c r="E5" i="3"/>
  <c r="E9" i="3"/>
  <c r="F6" i="8"/>
  <c r="E10" i="3"/>
  <c r="F7" i="8"/>
  <c r="E11" i="3"/>
  <c r="F8" i="8"/>
  <c r="E12" i="3"/>
  <c r="F9" i="8"/>
  <c r="E13" i="3"/>
  <c r="F10" i="8"/>
  <c r="E14" i="3"/>
  <c r="F11" i="8"/>
  <c r="E15" i="3"/>
  <c r="F12" i="8"/>
  <c r="E16" i="3"/>
  <c r="F13" i="8"/>
  <c r="E17" i="3"/>
  <c r="E18" i="3"/>
  <c r="F15" i="8"/>
  <c r="E19" i="3"/>
  <c r="F16" i="8"/>
  <c r="E20" i="3"/>
  <c r="F17" i="8"/>
  <c r="E21" i="3"/>
  <c r="E22" i="3"/>
  <c r="F19" i="8"/>
  <c r="E23" i="3"/>
  <c r="F20" i="8"/>
  <c r="E24" i="3"/>
  <c r="F21" i="8"/>
  <c r="E25" i="3"/>
  <c r="E26" i="3"/>
  <c r="F23" i="8"/>
  <c r="E27" i="3"/>
  <c r="F24" i="8"/>
  <c r="E28" i="3"/>
  <c r="F25" i="8"/>
  <c r="E29" i="3"/>
  <c r="F26" i="8"/>
  <c r="E30" i="3"/>
  <c r="F27" i="8"/>
  <c r="E31" i="3"/>
  <c r="F28" i="8"/>
  <c r="E32" i="3"/>
  <c r="F29" i="8"/>
  <c r="E33" i="3"/>
  <c r="F30" i="8"/>
  <c r="E34" i="3"/>
  <c r="F31" i="8"/>
  <c r="I12" i="5"/>
  <c r="O10" i="8" s="1"/>
  <c r="G4" i="5"/>
  <c r="N2" i="8" s="1"/>
  <c r="W29" i="8"/>
  <c r="P29" i="8"/>
  <c r="O29" i="8"/>
  <c r="C33" i="3"/>
  <c r="E30" i="8"/>
  <c r="I30" i="9" s="1"/>
  <c r="C34" i="3"/>
  <c r="E31" i="8"/>
  <c r="I31" i="9" s="1"/>
  <c r="D6" i="4"/>
  <c r="F35" i="4"/>
  <c r="H31" i="8" s="1"/>
  <c r="F33" i="4"/>
  <c r="H29" i="8" s="1"/>
  <c r="K2" i="9"/>
  <c r="AB2" i="8"/>
  <c r="AJ22" i="5"/>
  <c r="AJ21" i="5"/>
  <c r="AJ20" i="5"/>
  <c r="AJ19" i="5"/>
  <c r="AJ18" i="5"/>
  <c r="AJ17" i="5"/>
  <c r="AJ16" i="5"/>
  <c r="AJ15" i="5"/>
  <c r="AJ14" i="5"/>
  <c r="AJ13" i="5"/>
  <c r="AJ12" i="5"/>
  <c r="AJ11" i="5"/>
  <c r="AJ10" i="5"/>
  <c r="AJ9" i="5"/>
  <c r="AJ8" i="5"/>
  <c r="AJ7" i="5"/>
  <c r="AJ6" i="5"/>
  <c r="AJ5" i="5"/>
  <c r="AJ4" i="5"/>
  <c r="Y22" i="8"/>
  <c r="Y21" i="8"/>
  <c r="AC22" i="5"/>
  <c r="Y20" i="8" s="1"/>
  <c r="AC21" i="5"/>
  <c r="Y19" i="8" s="1"/>
  <c r="AC20" i="5"/>
  <c r="Y18" i="8" s="1"/>
  <c r="AC19" i="5"/>
  <c r="Y17" i="8" s="1"/>
  <c r="AC18" i="5"/>
  <c r="Y16" i="8" s="1"/>
  <c r="AC17" i="5"/>
  <c r="Y15" i="8" s="1"/>
  <c r="AC16" i="5"/>
  <c r="Y14" i="8" s="1"/>
  <c r="AC15" i="5"/>
  <c r="Y13" i="8" s="1"/>
  <c r="AC14" i="5"/>
  <c r="Y12" i="8" s="1"/>
  <c r="AC13" i="5"/>
  <c r="Y11" i="8" s="1"/>
  <c r="AC12" i="5"/>
  <c r="Y10" i="8" s="1"/>
  <c r="AC11" i="5"/>
  <c r="Y9" i="8" s="1"/>
  <c r="AC10" i="5"/>
  <c r="Y8" i="8" s="1"/>
  <c r="AC9" i="5"/>
  <c r="Y7" i="8" s="1"/>
  <c r="AC8" i="5"/>
  <c r="Y6" i="8" s="1"/>
  <c r="AC7" i="5"/>
  <c r="Y5" i="8" s="1"/>
  <c r="AC6" i="5"/>
  <c r="Y4" i="8" s="1"/>
  <c r="AC5" i="5"/>
  <c r="Y3" i="8" s="1"/>
  <c r="AC4" i="5"/>
  <c r="Y2" i="8" s="1"/>
  <c r="X21" i="8"/>
  <c r="AA22" i="5"/>
  <c r="X20" i="8" s="1"/>
  <c r="AA21" i="5"/>
  <c r="X19" i="8" s="1"/>
  <c r="AA20" i="5"/>
  <c r="X18" i="8" s="1"/>
  <c r="AA19" i="5"/>
  <c r="X17" i="8" s="1"/>
  <c r="AA18" i="5"/>
  <c r="X16" i="8" s="1"/>
  <c r="AA17" i="5"/>
  <c r="X15" i="8" s="1"/>
  <c r="AA16" i="5"/>
  <c r="X14" i="8" s="1"/>
  <c r="AA15" i="5"/>
  <c r="X13" i="8" s="1"/>
  <c r="AA14" i="5"/>
  <c r="X12" i="8" s="1"/>
  <c r="AA13" i="5"/>
  <c r="X11" i="8" s="1"/>
  <c r="AA12" i="5"/>
  <c r="X10" i="8" s="1"/>
  <c r="AA11" i="5"/>
  <c r="X9" i="8" s="1"/>
  <c r="AA10" i="5"/>
  <c r="X8" i="8" s="1"/>
  <c r="AA9" i="5"/>
  <c r="X7" i="8" s="1"/>
  <c r="AA8" i="5"/>
  <c r="X6" i="8" s="1"/>
  <c r="AA7" i="5"/>
  <c r="X5" i="8" s="1"/>
  <c r="AA6" i="5"/>
  <c r="X4" i="8" s="1"/>
  <c r="AA5" i="5"/>
  <c r="X3" i="8" s="1"/>
  <c r="AA4" i="5"/>
  <c r="X2" i="8" s="1"/>
  <c r="Y22" i="5"/>
  <c r="W20" i="8" s="1"/>
  <c r="Y21" i="5"/>
  <c r="W19" i="8" s="1"/>
  <c r="Y20" i="5"/>
  <c r="W18" i="8" s="1"/>
  <c r="Y19" i="5"/>
  <c r="W17" i="8" s="1"/>
  <c r="Y18" i="5"/>
  <c r="W16" i="8" s="1"/>
  <c r="Y17" i="5"/>
  <c r="W15" i="8" s="1"/>
  <c r="Y16" i="5"/>
  <c r="W14" i="8" s="1"/>
  <c r="Y15" i="5"/>
  <c r="W13" i="8" s="1"/>
  <c r="Y14" i="5"/>
  <c r="W12" i="8" s="1"/>
  <c r="Y13" i="5"/>
  <c r="W11" i="8" s="1"/>
  <c r="Y12" i="5"/>
  <c r="W10" i="8" s="1"/>
  <c r="Y11" i="5"/>
  <c r="W9" i="8" s="1"/>
  <c r="Y10" i="5"/>
  <c r="W8" i="8" s="1"/>
  <c r="Y9" i="5"/>
  <c r="W7" i="8" s="1"/>
  <c r="Y8" i="5"/>
  <c r="W6" i="8" s="1"/>
  <c r="Y7" i="5"/>
  <c r="W5" i="8" s="1"/>
  <c r="Y6" i="5"/>
  <c r="W4" i="8" s="1"/>
  <c r="Y5" i="5"/>
  <c r="W3" i="8"/>
  <c r="Y4" i="5"/>
  <c r="W2" i="8"/>
  <c r="V25" i="8"/>
  <c r="W22" i="5"/>
  <c r="V20" i="8" s="1"/>
  <c r="W21" i="5"/>
  <c r="W20" i="5"/>
  <c r="V18" i="8" s="1"/>
  <c r="W19" i="5"/>
  <c r="V17" i="8" s="1"/>
  <c r="W18" i="5"/>
  <c r="V16" i="8" s="1"/>
  <c r="W17" i="5"/>
  <c r="V15" i="8" s="1"/>
  <c r="W16" i="5"/>
  <c r="V14" i="8" s="1"/>
  <c r="W15" i="5"/>
  <c r="V13" i="8" s="1"/>
  <c r="W14" i="5"/>
  <c r="V12" i="8" s="1"/>
  <c r="W13" i="5"/>
  <c r="V11" i="8" s="1"/>
  <c r="W12" i="5"/>
  <c r="V10" i="8" s="1"/>
  <c r="W11" i="5"/>
  <c r="V9" i="8" s="1"/>
  <c r="W10" i="5"/>
  <c r="V8" i="8" s="1"/>
  <c r="W9" i="5"/>
  <c r="V7" i="8" s="1"/>
  <c r="W8" i="5"/>
  <c r="V6" i="8" s="1"/>
  <c r="W7" i="5"/>
  <c r="V5" i="8" s="1"/>
  <c r="W6" i="5"/>
  <c r="V4" i="8" s="1"/>
  <c r="W5" i="5"/>
  <c r="V3" i="8" s="1"/>
  <c r="W4" i="5"/>
  <c r="V2" i="8" s="1"/>
  <c r="U27" i="8"/>
  <c r="U24" i="8"/>
  <c r="U22" i="5"/>
  <c r="U20" i="8" s="1"/>
  <c r="U21" i="5"/>
  <c r="U19" i="8" s="1"/>
  <c r="U20" i="5"/>
  <c r="U18" i="8" s="1"/>
  <c r="U19" i="5"/>
  <c r="U17" i="8" s="1"/>
  <c r="U18" i="5"/>
  <c r="U16" i="8" s="1"/>
  <c r="U17" i="5"/>
  <c r="U15" i="8" s="1"/>
  <c r="U16" i="5"/>
  <c r="U14" i="8" s="1"/>
  <c r="U15" i="5"/>
  <c r="U13" i="8" s="1"/>
  <c r="U14" i="5"/>
  <c r="U12" i="8" s="1"/>
  <c r="U13" i="5"/>
  <c r="U11" i="8" s="1"/>
  <c r="U12" i="5"/>
  <c r="U10" i="8" s="1"/>
  <c r="U11" i="5"/>
  <c r="U9" i="8"/>
  <c r="U10" i="5"/>
  <c r="U8" i="8" s="1"/>
  <c r="U9" i="5"/>
  <c r="U7" i="8" s="1"/>
  <c r="U8" i="5"/>
  <c r="U6" i="8" s="1"/>
  <c r="U7" i="5"/>
  <c r="U5" i="8" s="1"/>
  <c r="U6" i="5"/>
  <c r="U4" i="8" s="1"/>
  <c r="U5" i="5"/>
  <c r="U3" i="8"/>
  <c r="U4" i="5"/>
  <c r="U2" i="8" s="1"/>
  <c r="T26" i="8"/>
  <c r="S22" i="5"/>
  <c r="T20" i="8" s="1"/>
  <c r="S21" i="5"/>
  <c r="T19" i="8" s="1"/>
  <c r="S20" i="5"/>
  <c r="T18" i="8" s="1"/>
  <c r="S19" i="5"/>
  <c r="T17" i="8" s="1"/>
  <c r="S18" i="5"/>
  <c r="T16" i="8" s="1"/>
  <c r="S17" i="5"/>
  <c r="T15" i="8" s="1"/>
  <c r="S16" i="5"/>
  <c r="T14" i="8" s="1"/>
  <c r="S15" i="5"/>
  <c r="T13" i="8" s="1"/>
  <c r="S14" i="5"/>
  <c r="T12" i="8" s="1"/>
  <c r="S13" i="5"/>
  <c r="T11" i="8" s="1"/>
  <c r="S12" i="5"/>
  <c r="T10" i="8" s="1"/>
  <c r="S11" i="5"/>
  <c r="T9" i="8" s="1"/>
  <c r="S10" i="5"/>
  <c r="T8" i="8" s="1"/>
  <c r="S9" i="5"/>
  <c r="T7" i="8" s="1"/>
  <c r="S8" i="5"/>
  <c r="T6" i="8"/>
  <c r="S7" i="5"/>
  <c r="T5" i="8" s="1"/>
  <c r="S6" i="5"/>
  <c r="T4" i="8" s="1"/>
  <c r="S5" i="5"/>
  <c r="T3" i="8" s="1"/>
  <c r="S4" i="5"/>
  <c r="T2" i="8" s="1"/>
  <c r="S26" i="8"/>
  <c r="S21" i="8"/>
  <c r="Q22" i="5"/>
  <c r="S20" i="8" s="1"/>
  <c r="Q21" i="5"/>
  <c r="S19" i="8" s="1"/>
  <c r="Q20" i="5"/>
  <c r="S18" i="8" s="1"/>
  <c r="Q19" i="5"/>
  <c r="S17" i="8" s="1"/>
  <c r="Q18" i="5"/>
  <c r="S16" i="8" s="1"/>
  <c r="Q17" i="5"/>
  <c r="S15" i="8" s="1"/>
  <c r="Q16" i="5"/>
  <c r="S14" i="8" s="1"/>
  <c r="Q15" i="5"/>
  <c r="S13" i="8" s="1"/>
  <c r="Q14" i="5"/>
  <c r="S12" i="8" s="1"/>
  <c r="Q13" i="5"/>
  <c r="S11" i="8" s="1"/>
  <c r="Q12" i="5"/>
  <c r="S10" i="8" s="1"/>
  <c r="Q11" i="5"/>
  <c r="S9" i="8" s="1"/>
  <c r="Q10" i="5"/>
  <c r="S8" i="8" s="1"/>
  <c r="Q9" i="5"/>
  <c r="S7" i="8" s="1"/>
  <c r="Q8" i="5"/>
  <c r="S6" i="8" s="1"/>
  <c r="Q7" i="5"/>
  <c r="S5" i="8" s="1"/>
  <c r="Q6" i="5"/>
  <c r="S4" i="8" s="1"/>
  <c r="Q5" i="5"/>
  <c r="S3" i="8" s="1"/>
  <c r="Q4" i="5"/>
  <c r="S2" i="8" s="1"/>
  <c r="R27" i="8"/>
  <c r="R25" i="8"/>
  <c r="R23" i="8"/>
  <c r="O22" i="5"/>
  <c r="R20" i="8" s="1"/>
  <c r="O21" i="5"/>
  <c r="R19" i="8" s="1"/>
  <c r="O20" i="5"/>
  <c r="R18" i="8" s="1"/>
  <c r="O19" i="5"/>
  <c r="R17" i="8" s="1"/>
  <c r="O18" i="5"/>
  <c r="R16" i="8" s="1"/>
  <c r="O17" i="5"/>
  <c r="R15" i="8" s="1"/>
  <c r="O16" i="5"/>
  <c r="R14" i="8" s="1"/>
  <c r="O15" i="5"/>
  <c r="R13" i="8" s="1"/>
  <c r="O14" i="5"/>
  <c r="R12" i="8" s="1"/>
  <c r="O13" i="5"/>
  <c r="R11" i="8" s="1"/>
  <c r="O12" i="5"/>
  <c r="R10" i="8" s="1"/>
  <c r="O11" i="5"/>
  <c r="R9" i="8" s="1"/>
  <c r="O10" i="5"/>
  <c r="R8" i="8" s="1"/>
  <c r="O9" i="5"/>
  <c r="R7" i="8" s="1"/>
  <c r="O8" i="5"/>
  <c r="R6" i="8" s="1"/>
  <c r="O7" i="5"/>
  <c r="R5" i="8" s="1"/>
  <c r="O6" i="5"/>
  <c r="R4" i="8" s="1"/>
  <c r="O5" i="5"/>
  <c r="R3" i="8" s="1"/>
  <c r="O4" i="5"/>
  <c r="R2" i="8" s="1"/>
  <c r="M22" i="5"/>
  <c r="Q20" i="8" s="1"/>
  <c r="M21" i="5"/>
  <c r="Q19" i="8" s="1"/>
  <c r="M20" i="5"/>
  <c r="Q18" i="8" s="1"/>
  <c r="M19" i="5"/>
  <c r="Q17" i="8" s="1"/>
  <c r="M18" i="5"/>
  <c r="Q16" i="8" s="1"/>
  <c r="M17" i="5"/>
  <c r="Q15" i="8" s="1"/>
  <c r="M16" i="5"/>
  <c r="Q14" i="8" s="1"/>
  <c r="M15" i="5"/>
  <c r="Q13" i="8" s="1"/>
  <c r="M14" i="5"/>
  <c r="Q12" i="8" s="1"/>
  <c r="M13" i="5"/>
  <c r="Q11" i="8"/>
  <c r="M12" i="5"/>
  <c r="Q10" i="8" s="1"/>
  <c r="M11" i="5"/>
  <c r="Q9" i="8" s="1"/>
  <c r="M10" i="5"/>
  <c r="Q8" i="8" s="1"/>
  <c r="M9" i="5"/>
  <c r="Q7" i="8" s="1"/>
  <c r="M8" i="5"/>
  <c r="Q6" i="8" s="1"/>
  <c r="M7" i="5"/>
  <c r="Q5" i="8" s="1"/>
  <c r="M6" i="5"/>
  <c r="Q4" i="8" s="1"/>
  <c r="M5" i="5"/>
  <c r="Q3" i="8"/>
  <c r="M4" i="5"/>
  <c r="Q2" i="8"/>
  <c r="P21" i="8"/>
  <c r="K22" i="5"/>
  <c r="P20" i="8" s="1"/>
  <c r="K21" i="5"/>
  <c r="P19" i="8" s="1"/>
  <c r="K20" i="5"/>
  <c r="P18" i="8" s="1"/>
  <c r="K19" i="5"/>
  <c r="P17" i="8" s="1"/>
  <c r="K18" i="5"/>
  <c r="P16" i="8" s="1"/>
  <c r="K17" i="5"/>
  <c r="P15" i="8" s="1"/>
  <c r="K16" i="5"/>
  <c r="P14" i="8" s="1"/>
  <c r="K15" i="5"/>
  <c r="P13" i="8" s="1"/>
  <c r="K14" i="5"/>
  <c r="P12" i="8" s="1"/>
  <c r="K13" i="5"/>
  <c r="P11" i="8" s="1"/>
  <c r="K12" i="5"/>
  <c r="P10" i="8" s="1"/>
  <c r="K11" i="5"/>
  <c r="P9" i="8" s="1"/>
  <c r="K10" i="5"/>
  <c r="P8" i="8"/>
  <c r="K9" i="5"/>
  <c r="P7" i="8" s="1"/>
  <c r="K8" i="5"/>
  <c r="P6" i="8" s="1"/>
  <c r="K7" i="5"/>
  <c r="P5" i="8" s="1"/>
  <c r="K6" i="5"/>
  <c r="P4" i="8" s="1"/>
  <c r="K5" i="5"/>
  <c r="P3" i="8" s="1"/>
  <c r="K4" i="5"/>
  <c r="P2" i="8" s="1"/>
  <c r="O28" i="8"/>
  <c r="G28" i="9" s="1"/>
  <c r="I22" i="5"/>
  <c r="O20" i="8" s="1"/>
  <c r="I21" i="5"/>
  <c r="O19" i="8" s="1"/>
  <c r="I20" i="5"/>
  <c r="O18" i="8" s="1"/>
  <c r="I19" i="5"/>
  <c r="O17" i="8" s="1"/>
  <c r="I18" i="5"/>
  <c r="O16" i="8" s="1"/>
  <c r="I17" i="5"/>
  <c r="I16" i="5"/>
  <c r="I15" i="5"/>
  <c r="O13" i="8" s="1"/>
  <c r="I14" i="5"/>
  <c r="O12" i="8" s="1"/>
  <c r="I13" i="5"/>
  <c r="O11" i="8" s="1"/>
  <c r="I11" i="5"/>
  <c r="O9" i="8" s="1"/>
  <c r="I10" i="5"/>
  <c r="O8" i="8" s="1"/>
  <c r="I9" i="5"/>
  <c r="O7" i="8" s="1"/>
  <c r="I8" i="5"/>
  <c r="O6" i="8" s="1"/>
  <c r="I7" i="5"/>
  <c r="O5" i="8" s="1"/>
  <c r="I6" i="5"/>
  <c r="O4" i="8" s="1"/>
  <c r="I5" i="5"/>
  <c r="O3" i="8" s="1"/>
  <c r="I4" i="5"/>
  <c r="O2" i="8" s="1"/>
  <c r="N20" i="8"/>
  <c r="N19" i="8"/>
  <c r="N18" i="8"/>
  <c r="N17" i="8"/>
  <c r="N16" i="8"/>
  <c r="N13" i="8"/>
  <c r="N12" i="8"/>
  <c r="N11" i="8"/>
  <c r="N10" i="8"/>
  <c r="N9" i="8"/>
  <c r="N8" i="8"/>
  <c r="N5" i="8"/>
  <c r="N4" i="8"/>
  <c r="G5" i="5"/>
  <c r="N3" i="8" s="1"/>
  <c r="E22" i="5"/>
  <c r="M20" i="8" s="1"/>
  <c r="E21" i="5"/>
  <c r="M19" i="8" s="1"/>
  <c r="E20" i="5"/>
  <c r="M18" i="8" s="1"/>
  <c r="E19" i="5"/>
  <c r="M17" i="8" s="1"/>
  <c r="E18" i="5"/>
  <c r="M16" i="8" s="1"/>
  <c r="E17" i="5"/>
  <c r="M15" i="8" s="1"/>
  <c r="E16" i="5"/>
  <c r="M14" i="8" s="1"/>
  <c r="E15" i="5"/>
  <c r="M13" i="8" s="1"/>
  <c r="E14" i="5"/>
  <c r="M12" i="8" s="1"/>
  <c r="E13" i="5"/>
  <c r="M11" i="8" s="1"/>
  <c r="E12" i="5"/>
  <c r="M10" i="8" s="1"/>
  <c r="E11" i="5"/>
  <c r="M9" i="8" s="1"/>
  <c r="E10" i="5"/>
  <c r="M8" i="8" s="1"/>
  <c r="E9" i="5"/>
  <c r="M7" i="8" s="1"/>
  <c r="E8" i="5"/>
  <c r="M6" i="8" s="1"/>
  <c r="E7" i="5"/>
  <c r="M5" i="8" s="1"/>
  <c r="E6" i="5"/>
  <c r="M4" i="8" s="1"/>
  <c r="E5" i="5"/>
  <c r="M3" i="8" s="1"/>
  <c r="E4" i="5"/>
  <c r="M2" i="8" s="1"/>
  <c r="L26" i="8"/>
  <c r="C22" i="5"/>
  <c r="L20" i="8" s="1"/>
  <c r="C21" i="5"/>
  <c r="L19" i="8" s="1"/>
  <c r="C20" i="5"/>
  <c r="L18" i="8" s="1"/>
  <c r="C19" i="5"/>
  <c r="L17" i="8" s="1"/>
  <c r="G17" i="9" s="1"/>
  <c r="C18" i="5"/>
  <c r="L16" i="8" s="1"/>
  <c r="C17" i="5"/>
  <c r="L15" i="8" s="1"/>
  <c r="C16" i="5"/>
  <c r="L14" i="8" s="1"/>
  <c r="C15" i="5"/>
  <c r="L13" i="8" s="1"/>
  <c r="C14" i="5"/>
  <c r="L12" i="8" s="1"/>
  <c r="C13" i="5"/>
  <c r="L11" i="8" s="1"/>
  <c r="C12" i="5"/>
  <c r="L10" i="8" s="1"/>
  <c r="C11" i="5"/>
  <c r="L9" i="8" s="1"/>
  <c r="G9" i="9" s="1"/>
  <c r="C10" i="5"/>
  <c r="L8" i="8" s="1"/>
  <c r="C9" i="5"/>
  <c r="L7" i="8" s="1"/>
  <c r="C8" i="5"/>
  <c r="L6" i="8" s="1"/>
  <c r="C7" i="5"/>
  <c r="L5" i="8" s="1"/>
  <c r="C6" i="5"/>
  <c r="L4" i="8" s="1"/>
  <c r="C5" i="5"/>
  <c r="L3" i="8" s="1"/>
  <c r="C4" i="5"/>
  <c r="L2" i="8"/>
  <c r="G2" i="9" s="1"/>
  <c r="F6" i="4"/>
  <c r="H2" i="8" s="1"/>
  <c r="H6" i="4"/>
  <c r="D7" i="4"/>
  <c r="F7" i="4"/>
  <c r="H3" i="8" s="1"/>
  <c r="H7" i="4"/>
  <c r="I3" i="8" s="1"/>
  <c r="D8" i="4"/>
  <c r="F8" i="4"/>
  <c r="H4" i="8" s="1"/>
  <c r="H8" i="4"/>
  <c r="I4" i="8" s="1"/>
  <c r="D9" i="4"/>
  <c r="F9" i="4"/>
  <c r="H5" i="8" s="1"/>
  <c r="H9" i="4"/>
  <c r="I5" i="8" s="1"/>
  <c r="D10" i="4"/>
  <c r="F10" i="4"/>
  <c r="H6" i="8" s="1"/>
  <c r="H10" i="4"/>
  <c r="I6" i="8" s="1"/>
  <c r="D11" i="4"/>
  <c r="F11" i="4"/>
  <c r="H7" i="8" s="1"/>
  <c r="H11" i="4"/>
  <c r="I7" i="8" s="1"/>
  <c r="D12" i="4"/>
  <c r="F12" i="4"/>
  <c r="H8" i="8" s="1"/>
  <c r="H12" i="4"/>
  <c r="I8" i="8" s="1"/>
  <c r="D13" i="4"/>
  <c r="F13" i="4"/>
  <c r="H9" i="8" s="1"/>
  <c r="H13" i="4"/>
  <c r="I9" i="8" s="1"/>
  <c r="D14" i="4"/>
  <c r="F14" i="4"/>
  <c r="H10" i="8" s="1"/>
  <c r="H14" i="4"/>
  <c r="I10" i="8" s="1"/>
  <c r="D15" i="4"/>
  <c r="F15" i="4"/>
  <c r="H11" i="8" s="1"/>
  <c r="H15" i="4"/>
  <c r="I11" i="8" s="1"/>
  <c r="D16" i="4"/>
  <c r="F16" i="4"/>
  <c r="H12" i="8" s="1"/>
  <c r="H16" i="4"/>
  <c r="I12" i="8" s="1"/>
  <c r="D17" i="4"/>
  <c r="F17" i="4"/>
  <c r="H13" i="8" s="1"/>
  <c r="H17" i="4"/>
  <c r="I13" i="8" s="1"/>
  <c r="D18" i="4"/>
  <c r="F18" i="4"/>
  <c r="H14" i="8" s="1"/>
  <c r="H18" i="4"/>
  <c r="I14" i="8" s="1"/>
  <c r="D19" i="4"/>
  <c r="F19" i="4"/>
  <c r="H15" i="8" s="1"/>
  <c r="H19" i="4"/>
  <c r="I15" i="8" s="1"/>
  <c r="D20" i="4"/>
  <c r="F20" i="4"/>
  <c r="H16" i="8" s="1"/>
  <c r="H20" i="4"/>
  <c r="I16" i="8" s="1"/>
  <c r="D21" i="4"/>
  <c r="F21" i="4"/>
  <c r="H17" i="8" s="1"/>
  <c r="H21" i="4"/>
  <c r="I17" i="8" s="1"/>
  <c r="D22" i="4"/>
  <c r="F22" i="4"/>
  <c r="H18" i="8" s="1"/>
  <c r="H22" i="4"/>
  <c r="I18" i="8" s="1"/>
  <c r="D23" i="4"/>
  <c r="F23" i="4"/>
  <c r="H19" i="8" s="1"/>
  <c r="H23" i="4"/>
  <c r="I19" i="8" s="1"/>
  <c r="D24" i="4"/>
  <c r="F24" i="4"/>
  <c r="H20" i="8" s="1"/>
  <c r="H24" i="4"/>
  <c r="I20" i="8" s="1"/>
  <c r="D25" i="4"/>
  <c r="F25" i="4"/>
  <c r="H21" i="8" s="1"/>
  <c r="H25" i="4"/>
  <c r="I21" i="8" s="1"/>
  <c r="D26" i="4"/>
  <c r="F26" i="4"/>
  <c r="H22" i="8" s="1"/>
  <c r="H26" i="4"/>
  <c r="I22" i="8" s="1"/>
  <c r="D27" i="4"/>
  <c r="F27" i="4"/>
  <c r="H23" i="8" s="1"/>
  <c r="H27" i="4"/>
  <c r="I23" i="8" s="1"/>
  <c r="D28" i="4"/>
  <c r="F28" i="4"/>
  <c r="H24" i="8" s="1"/>
  <c r="H28" i="4"/>
  <c r="I24" i="8" s="1"/>
  <c r="D29" i="4"/>
  <c r="F29" i="4"/>
  <c r="H25" i="8" s="1"/>
  <c r="H29" i="4"/>
  <c r="I25" i="8" s="1"/>
  <c r="D30" i="4"/>
  <c r="F30" i="4"/>
  <c r="H26" i="8" s="1"/>
  <c r="H30" i="4"/>
  <c r="I26" i="8" s="1"/>
  <c r="D31" i="4"/>
  <c r="F31" i="4"/>
  <c r="H27" i="8" s="1"/>
  <c r="H31" i="4"/>
  <c r="I27" i="8" s="1"/>
  <c r="D32" i="4"/>
  <c r="F32" i="4"/>
  <c r="H28" i="8" s="1"/>
  <c r="H32" i="4"/>
  <c r="I28" i="8" s="1"/>
  <c r="F34" i="4"/>
  <c r="H30" i="8" s="1"/>
  <c r="C5" i="3"/>
  <c r="C6" i="3"/>
  <c r="E3" i="8"/>
  <c r="C7" i="3"/>
  <c r="E4" i="8"/>
  <c r="I4" i="9"/>
  <c r="C8" i="3"/>
  <c r="E5" i="8"/>
  <c r="I5" i="9" s="1"/>
  <c r="C9" i="3"/>
  <c r="E6" i="8"/>
  <c r="I6" i="9" s="1"/>
  <c r="C10" i="3"/>
  <c r="C11" i="3"/>
  <c r="E8" i="8"/>
  <c r="I8" i="9" s="1"/>
  <c r="C12" i="3"/>
  <c r="E9" i="8"/>
  <c r="I9" i="9" s="1"/>
  <c r="C13" i="3"/>
  <c r="E10" i="8"/>
  <c r="I10" i="9" s="1"/>
  <c r="C14" i="3"/>
  <c r="E11" i="8"/>
  <c r="I11" i="9" s="1"/>
  <c r="C15" i="3"/>
  <c r="E12" i="8"/>
  <c r="I12" i="9" s="1"/>
  <c r="C16" i="3"/>
  <c r="E13" i="8"/>
  <c r="I13" i="9" s="1"/>
  <c r="C17" i="3"/>
  <c r="E14" i="8"/>
  <c r="I14" i="9" s="1"/>
  <c r="C18" i="3"/>
  <c r="E15" i="8"/>
  <c r="I15" i="9" s="1"/>
  <c r="C19" i="3"/>
  <c r="E16" i="8"/>
  <c r="C20" i="3"/>
  <c r="E17" i="8"/>
  <c r="I17" i="9" s="1"/>
  <c r="C21" i="3"/>
  <c r="E18" i="8"/>
  <c r="I18" i="9" s="1"/>
  <c r="C22" i="3"/>
  <c r="E19" i="8"/>
  <c r="C23" i="3"/>
  <c r="E20" i="8"/>
  <c r="I20" i="9" s="1"/>
  <c r="C24" i="3"/>
  <c r="E21" i="8"/>
  <c r="I21" i="9" s="1"/>
  <c r="C25" i="3"/>
  <c r="E22" i="8"/>
  <c r="I22" i="9" s="1"/>
  <c r="C26" i="3"/>
  <c r="E23" i="8"/>
  <c r="I23" i="9" s="1"/>
  <c r="C27" i="3"/>
  <c r="E24" i="8"/>
  <c r="I24" i="9" s="1"/>
  <c r="C28" i="3"/>
  <c r="E25" i="8"/>
  <c r="I25" i="9" s="1"/>
  <c r="C29" i="3"/>
  <c r="E26" i="8"/>
  <c r="I26" i="9" s="1"/>
  <c r="C30" i="3"/>
  <c r="E27" i="8"/>
  <c r="I27" i="9" s="1"/>
  <c r="C31" i="3"/>
  <c r="E28" i="8"/>
  <c r="I28" i="9" s="1"/>
  <c r="C32" i="3"/>
  <c r="E29" i="8"/>
  <c r="I29" i="9" s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" i="9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Q25" i="8"/>
  <c r="O15" i="8"/>
  <c r="E2" i="8"/>
  <c r="I2" i="9" s="1"/>
  <c r="F22" i="8"/>
  <c r="F18" i="8"/>
  <c r="F5" i="8"/>
  <c r="E7" i="8"/>
  <c r="I7" i="9" s="1"/>
  <c r="T27" i="8"/>
  <c r="V19" i="8"/>
  <c r="V30" i="8"/>
  <c r="I11" i="4"/>
  <c r="F14" i="8"/>
  <c r="L25" i="8"/>
  <c r="K37" i="4"/>
  <c r="I27" i="4"/>
  <c r="F2" i="8"/>
  <c r="I32" i="4"/>
  <c r="S31" i="8"/>
  <c r="L32" i="8"/>
  <c r="F4" i="8"/>
  <c r="C36" i="3"/>
  <c r="I2" i="8"/>
  <c r="I19" i="4"/>
  <c r="I8" i="4"/>
  <c r="E36" i="3"/>
  <c r="I16" i="9"/>
  <c r="I19" i="9"/>
  <c r="I3" i="9"/>
  <c r="I32" i="9"/>
  <c r="T23" i="8"/>
  <c r="O21" i="8"/>
  <c r="I36" i="4"/>
  <c r="I24" i="4"/>
  <c r="I13" i="4"/>
  <c r="I14" i="4"/>
  <c r="I35" i="4"/>
  <c r="H37" i="4"/>
  <c r="M37" i="4" l="1"/>
  <c r="K3" i="8"/>
  <c r="G31" i="9"/>
  <c r="AH28" i="5"/>
  <c r="G24" i="9"/>
  <c r="G25" i="9"/>
  <c r="L27" i="8"/>
  <c r="AH29" i="5"/>
  <c r="AH4" i="5"/>
  <c r="AH6" i="5"/>
  <c r="AH7" i="5"/>
  <c r="AH8" i="5"/>
  <c r="AH11" i="5"/>
  <c r="AH14" i="5"/>
  <c r="AH15" i="5"/>
  <c r="AH16" i="5"/>
  <c r="AH19" i="5"/>
  <c r="AH22" i="5"/>
  <c r="AH23" i="5"/>
  <c r="AH24" i="5"/>
  <c r="AH27" i="5"/>
  <c r="AH30" i="5"/>
  <c r="AH31" i="5"/>
  <c r="AH32" i="5"/>
  <c r="AH34" i="5"/>
  <c r="AH5" i="5"/>
  <c r="AH12" i="5"/>
  <c r="AH13" i="5"/>
  <c r="AH20" i="5"/>
  <c r="AH21" i="5"/>
  <c r="I29" i="4"/>
  <c r="I26" i="4"/>
  <c r="I25" i="4"/>
  <c r="I18" i="4"/>
  <c r="I10" i="4"/>
  <c r="E2" i="9"/>
  <c r="I34" i="4"/>
  <c r="G3" i="9"/>
  <c r="G11" i="9"/>
  <c r="G19" i="9"/>
  <c r="G27" i="9"/>
  <c r="G21" i="9"/>
  <c r="G18" i="9"/>
  <c r="G32" i="9"/>
  <c r="G4" i="9"/>
  <c r="G12" i="9"/>
  <c r="G20" i="9"/>
  <c r="G5" i="9"/>
  <c r="G13" i="9"/>
  <c r="G26" i="9"/>
  <c r="G29" i="9"/>
  <c r="G22" i="9"/>
  <c r="G10" i="9"/>
  <c r="G6" i="9"/>
  <c r="G7" i="9"/>
  <c r="G15" i="9"/>
  <c r="G30" i="9"/>
  <c r="G23" i="9"/>
  <c r="G8" i="9"/>
  <c r="G16" i="9"/>
  <c r="AH33" i="5"/>
  <c r="AH10" i="5"/>
  <c r="AH18" i="5"/>
  <c r="AH26" i="5"/>
  <c r="AH9" i="5"/>
  <c r="AH25" i="5"/>
  <c r="AH17" i="5"/>
  <c r="O14" i="8"/>
  <c r="G14" i="9" s="1"/>
  <c r="I20" i="4"/>
  <c r="I31" i="4"/>
  <c r="I23" i="4"/>
  <c r="I7" i="4"/>
  <c r="I12" i="4"/>
  <c r="I15" i="4"/>
  <c r="I30" i="4"/>
  <c r="I16" i="4"/>
  <c r="D37" i="4"/>
  <c r="G2" i="8"/>
  <c r="I6" i="4"/>
  <c r="I22" i="4"/>
  <c r="F37" i="4"/>
  <c r="I9" i="4"/>
  <c r="I17" i="4"/>
  <c r="I21" i="4"/>
  <c r="E28" i="9"/>
  <c r="G28" i="8"/>
  <c r="E27" i="9"/>
  <c r="G27" i="8"/>
  <c r="E26" i="9"/>
  <c r="G26" i="8"/>
  <c r="E25" i="9"/>
  <c r="G25" i="8"/>
  <c r="E24" i="9"/>
  <c r="G24" i="8"/>
  <c r="E23" i="9"/>
  <c r="G23" i="8"/>
  <c r="E22" i="9"/>
  <c r="G22" i="8"/>
  <c r="E21" i="9"/>
  <c r="G21" i="8"/>
  <c r="E20" i="9"/>
  <c r="G20" i="8"/>
  <c r="E19" i="9"/>
  <c r="G19" i="8"/>
  <c r="E18" i="9"/>
  <c r="G18" i="8"/>
  <c r="E17" i="9"/>
  <c r="G17" i="8"/>
  <c r="E16" i="9"/>
  <c r="G16" i="8"/>
  <c r="E15" i="9"/>
  <c r="G15" i="8"/>
  <c r="E14" i="9"/>
  <c r="G14" i="8"/>
  <c r="E13" i="9"/>
  <c r="G13" i="8"/>
  <c r="E12" i="9"/>
  <c r="G12" i="8"/>
  <c r="E11" i="9"/>
  <c r="G11" i="8"/>
  <c r="E10" i="9"/>
  <c r="G10" i="8"/>
  <c r="E9" i="9"/>
  <c r="G9" i="8"/>
  <c r="E8" i="9"/>
  <c r="G8" i="8"/>
  <c r="E7" i="9"/>
  <c r="G7" i="8"/>
  <c r="E6" i="9"/>
  <c r="G6" i="8"/>
  <c r="E5" i="9"/>
  <c r="G5" i="8"/>
  <c r="E4" i="9"/>
  <c r="G4" i="8"/>
  <c r="E3" i="9"/>
  <c r="G3" i="8"/>
  <c r="E29" i="9"/>
  <c r="G29" i="8"/>
  <c r="E30" i="9"/>
  <c r="G30" i="8"/>
  <c r="E31" i="9"/>
  <c r="G31" i="8"/>
  <c r="E32" i="9"/>
  <c r="G32" i="8"/>
  <c r="I28" i="4"/>
  <c r="I33" i="4"/>
  <c r="I37" i="4" l="1"/>
</calcChain>
</file>

<file path=xl/sharedStrings.xml><?xml version="1.0" encoding="utf-8"?>
<sst xmlns="http://schemas.openxmlformats.org/spreadsheetml/2006/main" count="176" uniqueCount="73">
  <si>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</si>
  <si>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</si>
  <si>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</si>
  <si>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</si>
  <si>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</si>
  <si>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</si>
  <si>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</si>
  <si>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</si>
  <si>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</si>
  <si>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</si>
  <si>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</si>
  <si>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Alexandria at San Stefano</t>
  </si>
  <si>
    <t>Main- m3</t>
  </si>
  <si>
    <t>Beach Water - m3</t>
  </si>
  <si>
    <t xml:space="preserve">Hotel Trans-1 - KWh </t>
  </si>
  <si>
    <t xml:space="preserve">Hotel Trans-2 - KWh </t>
  </si>
  <si>
    <t xml:space="preserve">Hotel Trans-3 - KWh </t>
  </si>
  <si>
    <t>Marina 1 - KWh</t>
  </si>
  <si>
    <t>Marina 2 - KWh</t>
  </si>
  <si>
    <t>st. gas - m3</t>
  </si>
  <si>
    <t>H.Water  boiler - m3</t>
  </si>
  <si>
    <t>Kala Kit. - m3</t>
  </si>
  <si>
    <t>Pastry Kit. - m3</t>
  </si>
  <si>
    <t>Italian Kit. - m3</t>
  </si>
  <si>
    <t>Byblos kit - m3</t>
  </si>
  <si>
    <t>Banquet Kit. - m3</t>
  </si>
  <si>
    <t>Pool Kit. - m3</t>
  </si>
  <si>
    <t>Laundry - m3</t>
  </si>
  <si>
    <t>Dining - m3</t>
  </si>
  <si>
    <t>Fressca - m3</t>
  </si>
  <si>
    <t>jacuzzi Heater - m3</t>
  </si>
  <si>
    <t>s.Pool Heater - m3</t>
  </si>
  <si>
    <t>Lobby Lou. Heater - m3</t>
  </si>
  <si>
    <t>Beach Kitchen - m3</t>
  </si>
  <si>
    <t>Beach Laundry - m3</t>
  </si>
  <si>
    <t>Room Night</t>
  </si>
  <si>
    <t>Hotel OCT 2022</t>
  </si>
  <si>
    <t>Main Reading</t>
  </si>
  <si>
    <t>Cons.</t>
  </si>
  <si>
    <t>Beach Water</t>
  </si>
  <si>
    <t>Last</t>
  </si>
  <si>
    <t>Total</t>
  </si>
  <si>
    <t>Feeders and transformers Electrity cons.  OCT 22</t>
  </si>
  <si>
    <t>Hotel</t>
  </si>
  <si>
    <t>Room Sold</t>
  </si>
  <si>
    <t>Trans-1</t>
  </si>
  <si>
    <t>Trans-2</t>
  </si>
  <si>
    <t>Trans-3</t>
  </si>
  <si>
    <t>Marina 1</t>
  </si>
  <si>
    <t>Marina 2</t>
  </si>
  <si>
    <t>Readings</t>
  </si>
  <si>
    <t>Reading</t>
  </si>
  <si>
    <t>Cons</t>
  </si>
  <si>
    <t>Gas Con. OCT 2022</t>
  </si>
  <si>
    <t>st. gas</t>
  </si>
  <si>
    <t>H.Water  boiler</t>
  </si>
  <si>
    <t>Kala Kit.</t>
  </si>
  <si>
    <t>Pastery Kit.</t>
  </si>
  <si>
    <t>Italian Kit.</t>
  </si>
  <si>
    <t>Byblos kit</t>
  </si>
  <si>
    <t>Banquet Kit.</t>
  </si>
  <si>
    <t>Pool Kit.</t>
  </si>
  <si>
    <t>Laundry</t>
  </si>
  <si>
    <t>Dinning</t>
  </si>
  <si>
    <t>Fresca</t>
  </si>
  <si>
    <t>jacuuzi Heater</t>
  </si>
  <si>
    <t>s.Pool Heater</t>
  </si>
  <si>
    <t>Lobby Lou. Heater</t>
  </si>
  <si>
    <t>Beach Kitchen</t>
  </si>
  <si>
    <t>Beach Laundry</t>
  </si>
  <si>
    <t>Total Cons</t>
  </si>
  <si>
    <t>Boiler 26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</si>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</sst>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yy;@"/>
    <numFmt numFmtId="165" formatCode="0.000"/>
  </numFmts>
  <fonts count="39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8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4"/>
      <color indexed="8"/>
      <name val="Arial"/>
      <family val="2"/>
    </font>
    <font>
      <sz val="14"/>
      <color indexed="8"/>
      <name val="Arial"/>
      <family val="2"/>
    </font>
    <font>
      <b/>
      <sz val="14"/>
      <color indexed="10"/>
      <name val="Arial"/>
      <family val="2"/>
    </font>
    <font>
      <sz val="22"/>
      <name val="Arial"/>
      <family val="2"/>
    </font>
    <font>
      <b/>
      <sz val="30"/>
      <name val="Arial"/>
      <family val="2"/>
      <charset val="1"/>
    </font>
    <font>
      <b/>
      <sz val="20"/>
      <name val="Arial"/>
      <family val="2"/>
      <charset val="1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0070C0"/>
      <name val="Arial"/>
      <family val="2"/>
    </font>
    <font>
      <b/>
      <sz val="14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0000"/>
      <name val="Arial"/>
      <family val="2"/>
    </font>
    <font>
      <sz val="18"/>
      <color theme="1"/>
      <name val="Arial"/>
      <family val="2"/>
    </font>
    <font>
      <sz val="12"/>
      <color rgb="FFFF0000"/>
      <name val="Arial"/>
      <family val="2"/>
    </font>
    <font>
      <b/>
      <sz val="12"/>
      <color rgb="FFFF0000"/>
      <name val="Arial"/>
      <family val="2"/>
    </font>
    <font>
      <b/>
      <sz val="20"/>
      <name val="Arial"/>
      <family val="2"/>
    </font>
    <font>
      <b/>
      <sz val="16"/>
      <name val="Arial"/>
      <family val="2"/>
    </font>
    <font>
      <b/>
      <sz val="20"/>
      <color rgb="FF000000"/>
      <name val="Arial"/>
      <family val="2"/>
    </font>
    <font>
      <b/>
      <sz val="22"/>
      <name val="Arial"/>
      <family val="2"/>
    </font>
    <font>
      <b/>
      <sz val="16"/>
      <color rgb="FF000000"/>
      <name val="Arial"/>
      <charset val="1"/>
    </font>
  </fonts>
  <fills count="15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31"/>
      </patternFill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rgb="FFCCFFFF"/>
      </patternFill>
    </fill>
    <fill>
      <patternFill patternType="solid">
        <fgColor rgb="FFFFFFFF"/>
        <bgColor rgb="FFCCFFFF"/>
      </patternFill>
    </fill>
    <fill>
      <patternFill patternType="solid">
        <fgColor rgb="FFFFFFFF"/>
        <bgColor rgb="FF000000"/>
      </patternFill>
    </fill>
    <fill>
      <patternFill patternType="solid">
        <fgColor rgb="FFEDEDED"/>
        <bgColor rgb="FF000000"/>
      </patternFill>
    </fill>
  </fills>
  <borders count="6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3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/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/>
      <top style="medium">
        <color indexed="64"/>
      </top>
      <bottom style="double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3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5" tint="-0.249977111117893"/>
      </left>
      <right style="medium">
        <color indexed="64"/>
      </right>
      <top/>
      <bottom style="thin">
        <color theme="5" tint="-0.249977111117893"/>
      </bottom>
      <diagonal/>
    </border>
    <border>
      <left style="medium">
        <color indexed="64"/>
      </left>
      <right style="thin">
        <color theme="5" tint="-0.249977111117893"/>
      </right>
      <top/>
      <bottom style="thin">
        <color theme="5" tint="-0.24997711111789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/>
      <bottom style="double">
        <color rgb="FF000000"/>
      </bottom>
      <diagonal/>
    </border>
    <border>
      <left style="medium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</borders>
  <cellStyleXfs count="6">
    <xf numFmtId="0" fontId="0" fillId="0" borderId="0"/>
    <xf numFmtId="0" fontId="7" fillId="2" borderId="0" applyNumberFormat="0" applyBorder="0" applyAlignment="0" applyProtection="0"/>
    <xf numFmtId="0" fontId="22" fillId="0" borderId="0" applyNumberFormat="0" applyFill="0" applyBorder="0" applyAlignment="0" applyProtection="0"/>
    <xf numFmtId="0" fontId="2" fillId="0" borderId="0"/>
    <xf numFmtId="0" fontId="2" fillId="0" borderId="0"/>
    <xf numFmtId="0" fontId="1" fillId="0" borderId="0"/>
  </cellStyleXfs>
  <cellXfs count="146">
    <xf numFmtId="0" fontId="0" fillId="0" borderId="0" xfId="0"/>
    <xf numFmtId="0" fontId="0" fillId="0" borderId="0" xfId="0" applyAlignment="1">
      <alignment horizontal="center"/>
    </xf>
    <xf numFmtId="164" fontId="3" fillId="0" borderId="0" xfId="0" applyNumberFormat="1" applyFont="1" applyAlignment="1">
      <alignment horizontal="center" vertical="center"/>
    </xf>
    <xf numFmtId="0" fontId="8" fillId="0" borderId="0" xfId="0" applyFont="1"/>
    <xf numFmtId="164" fontId="4" fillId="0" borderId="0" xfId="0" applyNumberFormat="1" applyFont="1" applyAlignment="1">
      <alignment horizontal="center" vertical="center"/>
    </xf>
    <xf numFmtId="0" fontId="23" fillId="0" borderId="0" xfId="0" applyFont="1"/>
    <xf numFmtId="1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9" fillId="0" borderId="0" xfId="0" applyFont="1"/>
    <xf numFmtId="0" fontId="24" fillId="0" borderId="1" xfId="0" applyFont="1" applyBorder="1"/>
    <xf numFmtId="0" fontId="25" fillId="0" borderId="0" xfId="0" applyFont="1"/>
    <xf numFmtId="0" fontId="26" fillId="0" borderId="1" xfId="0" applyFont="1" applyBorder="1" applyAlignment="1">
      <alignment horizontal="center"/>
    </xf>
    <xf numFmtId="1" fontId="23" fillId="0" borderId="1" xfId="0" applyNumberFormat="1" applyFont="1" applyBorder="1" applyAlignment="1">
      <alignment horizontal="center" wrapText="1"/>
    </xf>
    <xf numFmtId="0" fontId="25" fillId="0" borderId="0" xfId="0" applyFont="1" applyAlignment="1">
      <alignment horizontal="center"/>
    </xf>
    <xf numFmtId="2" fontId="23" fillId="0" borderId="1" xfId="0" applyNumberFormat="1" applyFont="1" applyBorder="1" applyAlignment="1">
      <alignment horizontal="center" wrapText="1"/>
    </xf>
    <xf numFmtId="4" fontId="0" fillId="0" borderId="0" xfId="0" applyNumberFormat="1" applyAlignment="1">
      <alignment horizontal="center"/>
    </xf>
    <xf numFmtId="1" fontId="9" fillId="0" borderId="0" xfId="0" applyNumberFormat="1" applyFont="1"/>
    <xf numFmtId="0" fontId="10" fillId="0" borderId="2" xfId="0" applyFont="1" applyBorder="1" applyAlignment="1">
      <alignment horizontal="center" vertical="center"/>
    </xf>
    <xf numFmtId="0" fontId="27" fillId="0" borderId="0" xfId="0" applyFont="1" applyAlignment="1">
      <alignment horizontal="center"/>
    </xf>
    <xf numFmtId="4" fontId="27" fillId="0" borderId="0" xfId="0" applyNumberFormat="1" applyFont="1" applyAlignment="1">
      <alignment horizontal="center"/>
    </xf>
    <xf numFmtId="0" fontId="4" fillId="0" borderId="0" xfId="0" applyFont="1"/>
    <xf numFmtId="0" fontId="15" fillId="0" borderId="0" xfId="0" applyFont="1"/>
    <xf numFmtId="165" fontId="15" fillId="0" borderId="0" xfId="0" applyNumberFormat="1" applyFont="1"/>
    <xf numFmtId="164" fontId="14" fillId="8" borderId="0" xfId="0" applyNumberFormat="1" applyFont="1" applyFill="1" applyAlignment="1">
      <alignment horizontal="center" vertical="center"/>
    </xf>
    <xf numFmtId="1" fontId="8" fillId="0" borderId="0" xfId="0" applyNumberFormat="1" applyFont="1"/>
    <xf numFmtId="1" fontId="4" fillId="0" borderId="0" xfId="0" applyNumberFormat="1" applyFont="1" applyAlignment="1">
      <alignment horizontal="center" vertical="center"/>
    </xf>
    <xf numFmtId="14" fontId="28" fillId="8" borderId="4" xfId="0" applyNumberFormat="1" applyFont="1" applyFill="1" applyBorder="1" applyAlignment="1">
      <alignment horizontal="center" vertical="center"/>
    </xf>
    <xf numFmtId="14" fontId="28" fillId="8" borderId="5" xfId="0" applyNumberFormat="1" applyFont="1" applyFill="1" applyBorder="1" applyAlignment="1">
      <alignment horizontal="center" vertical="center"/>
    </xf>
    <xf numFmtId="0" fontId="16" fillId="3" borderId="6" xfId="0" applyFont="1" applyFill="1" applyBorder="1" applyAlignment="1">
      <alignment horizontal="center" vertical="center"/>
    </xf>
    <xf numFmtId="0" fontId="16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164" fontId="8" fillId="3" borderId="9" xfId="0" applyNumberFormat="1" applyFont="1" applyFill="1" applyBorder="1" applyAlignment="1">
      <alignment horizontal="center" vertical="center"/>
    </xf>
    <xf numFmtId="1" fontId="8" fillId="3" borderId="10" xfId="0" applyNumberFormat="1" applyFont="1" applyFill="1" applyBorder="1" applyAlignment="1">
      <alignment horizontal="center" vertical="center"/>
    </xf>
    <xf numFmtId="1" fontId="8" fillId="3" borderId="11" xfId="0" applyNumberFormat="1" applyFont="1" applyFill="1" applyBorder="1" applyAlignment="1">
      <alignment horizontal="center" vertical="center"/>
    </xf>
    <xf numFmtId="164" fontId="8" fillId="3" borderId="12" xfId="0" applyNumberFormat="1" applyFont="1" applyFill="1" applyBorder="1" applyAlignment="1">
      <alignment horizontal="center" vertical="center"/>
    </xf>
    <xf numFmtId="1" fontId="8" fillId="3" borderId="13" xfId="0" applyNumberFormat="1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12" fillId="4" borderId="10" xfId="0" applyFont="1" applyFill="1" applyBorder="1" applyAlignment="1">
      <alignment horizontal="center" vertical="center"/>
    </xf>
    <xf numFmtId="0" fontId="12" fillId="4" borderId="11" xfId="0" applyFont="1" applyFill="1" applyBorder="1" applyAlignment="1">
      <alignment horizontal="center" vertical="center"/>
    </xf>
    <xf numFmtId="164" fontId="8" fillId="3" borderId="16" xfId="0" applyNumberFormat="1" applyFont="1" applyFill="1" applyBorder="1" applyAlignment="1">
      <alignment horizontal="center" vertical="center"/>
    </xf>
    <xf numFmtId="164" fontId="4" fillId="3" borderId="6" xfId="0" applyNumberFormat="1" applyFont="1" applyFill="1" applyBorder="1" applyAlignment="1">
      <alignment horizontal="center" vertical="center"/>
    </xf>
    <xf numFmtId="1" fontId="4" fillId="3" borderId="7" xfId="0" applyNumberFormat="1" applyFont="1" applyFill="1" applyBorder="1" applyAlignment="1">
      <alignment horizontal="center" vertical="center"/>
    </xf>
    <xf numFmtId="14" fontId="28" fillId="8" borderId="9" xfId="0" applyNumberFormat="1" applyFont="1" applyFill="1" applyBorder="1" applyAlignment="1">
      <alignment horizontal="center" vertical="center"/>
    </xf>
    <xf numFmtId="1" fontId="18" fillId="5" borderId="7" xfId="0" applyNumberFormat="1" applyFont="1" applyFill="1" applyBorder="1" applyAlignment="1">
      <alignment horizontal="center"/>
    </xf>
    <xf numFmtId="0" fontId="26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30" fillId="0" borderId="1" xfId="0" applyFont="1" applyBorder="1" applyAlignment="1">
      <alignment vertical="center"/>
    </xf>
    <xf numFmtId="164" fontId="10" fillId="3" borderId="7" xfId="0" applyNumberFormat="1" applyFont="1" applyFill="1" applyBorder="1" applyAlignment="1">
      <alignment horizontal="center" vertical="center"/>
    </xf>
    <xf numFmtId="0" fontId="9" fillId="9" borderId="54" xfId="0" applyFont="1" applyFill="1" applyBorder="1" applyAlignment="1">
      <alignment horizontal="center"/>
    </xf>
    <xf numFmtId="164" fontId="10" fillId="3" borderId="13" xfId="0" applyNumberFormat="1" applyFont="1" applyFill="1" applyBorder="1" applyAlignment="1">
      <alignment horizontal="center" vertical="center"/>
    </xf>
    <xf numFmtId="0" fontId="6" fillId="6" borderId="17" xfId="0" applyFont="1" applyFill="1" applyBorder="1" applyAlignment="1">
      <alignment horizontal="center" vertical="center"/>
    </xf>
    <xf numFmtId="164" fontId="6" fillId="3" borderId="7" xfId="0" applyNumberFormat="1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21" xfId="0" applyFont="1" applyFill="1" applyBorder="1" applyAlignment="1">
      <alignment horizontal="center" vertical="center"/>
    </xf>
    <xf numFmtId="0" fontId="11" fillId="4" borderId="22" xfId="0" applyFont="1" applyFill="1" applyBorder="1" applyAlignment="1">
      <alignment horizontal="center" vertical="center"/>
    </xf>
    <xf numFmtId="0" fontId="11" fillId="4" borderId="23" xfId="0" applyFont="1" applyFill="1" applyBorder="1" applyAlignment="1">
      <alignment horizontal="center" vertical="center"/>
    </xf>
    <xf numFmtId="0" fontId="11" fillId="4" borderId="24" xfId="0" applyFont="1" applyFill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1" fillId="7" borderId="26" xfId="0" applyFont="1" applyFill="1" applyBorder="1" applyAlignment="1">
      <alignment horizontal="center" vertical="center"/>
    </xf>
    <xf numFmtId="0" fontId="11" fillId="7" borderId="27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/>
    </xf>
    <xf numFmtId="0" fontId="31" fillId="10" borderId="55" xfId="0" applyFont="1" applyFill="1" applyBorder="1" applyAlignment="1">
      <alignment horizontal="center"/>
    </xf>
    <xf numFmtId="0" fontId="12" fillId="4" borderId="29" xfId="0" applyFont="1" applyFill="1" applyBorder="1" applyAlignment="1">
      <alignment horizontal="center" vertical="center"/>
    </xf>
    <xf numFmtId="0" fontId="13" fillId="4" borderId="7" xfId="0" applyFont="1" applyFill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2" fillId="4" borderId="5" xfId="0" applyFont="1" applyFill="1" applyBorder="1" applyAlignment="1">
      <alignment horizontal="center" vertical="center"/>
    </xf>
    <xf numFmtId="0" fontId="12" fillId="4" borderId="31" xfId="0" applyFont="1" applyFill="1" applyBorder="1" applyAlignment="1">
      <alignment horizontal="center" vertical="center"/>
    </xf>
    <xf numFmtId="0" fontId="4" fillId="11" borderId="6" xfId="2" applyFont="1" applyFill="1" applyBorder="1" applyAlignment="1">
      <alignment horizontal="center" vertical="center"/>
    </xf>
    <xf numFmtId="0" fontId="4" fillId="0" borderId="3" xfId="0" applyFont="1" applyBorder="1"/>
    <xf numFmtId="0" fontId="19" fillId="11" borderId="32" xfId="2" applyFont="1" applyFill="1" applyBorder="1" applyAlignment="1">
      <alignment horizontal="center" vertical="center"/>
    </xf>
    <xf numFmtId="0" fontId="17" fillId="4" borderId="33" xfId="0" applyFont="1" applyFill="1" applyBorder="1" applyAlignment="1">
      <alignment horizontal="center" vertical="center"/>
    </xf>
    <xf numFmtId="0" fontId="17" fillId="4" borderId="34" xfId="0" applyFont="1" applyFill="1" applyBorder="1" applyAlignment="1">
      <alignment horizontal="center" vertical="center"/>
    </xf>
    <xf numFmtId="14" fontId="28" fillId="8" borderId="6" xfId="0" applyNumberFormat="1" applyFont="1" applyFill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7" fillId="4" borderId="35" xfId="0" applyFont="1" applyFill="1" applyBorder="1" applyAlignment="1">
      <alignment horizontal="center" vertical="center"/>
    </xf>
    <xf numFmtId="0" fontId="17" fillId="4" borderId="13" xfId="0" applyFont="1" applyFill="1" applyBorder="1" applyAlignment="1">
      <alignment horizontal="center" vertical="center"/>
    </xf>
    <xf numFmtId="1" fontId="18" fillId="5" borderId="14" xfId="0" applyNumberFormat="1" applyFont="1" applyFill="1" applyBorder="1" applyAlignment="1">
      <alignment horizontal="center"/>
    </xf>
    <xf numFmtId="0" fontId="17" fillId="4" borderId="36" xfId="0" applyFont="1" applyFill="1" applyBorder="1" applyAlignment="1">
      <alignment horizontal="center" vertical="center"/>
    </xf>
    <xf numFmtId="0" fontId="16" fillId="3" borderId="5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4" fillId="3" borderId="37" xfId="0" applyFont="1" applyFill="1" applyBorder="1" applyAlignment="1">
      <alignment horizontal="center" vertical="center"/>
    </xf>
    <xf numFmtId="0" fontId="4" fillId="3" borderId="38" xfId="0" applyFont="1" applyFill="1" applyBorder="1" applyAlignment="1">
      <alignment horizontal="center" vertical="center"/>
    </xf>
    <xf numFmtId="0" fontId="32" fillId="11" borderId="39" xfId="2" applyFont="1" applyFill="1" applyBorder="1" applyAlignment="1">
      <alignment horizontal="center" vertical="center"/>
    </xf>
    <xf numFmtId="0" fontId="32" fillId="11" borderId="40" xfId="2" applyFont="1" applyFill="1" applyBorder="1" applyAlignment="1">
      <alignment horizontal="center" vertical="center"/>
    </xf>
    <xf numFmtId="0" fontId="32" fillId="11" borderId="41" xfId="2" applyFont="1" applyFill="1" applyBorder="1" applyAlignment="1">
      <alignment horizontal="center" vertical="center"/>
    </xf>
    <xf numFmtId="0" fontId="33" fillId="11" borderId="37" xfId="2" applyFont="1" applyFill="1" applyBorder="1" applyAlignment="1">
      <alignment horizontal="center" vertical="center"/>
    </xf>
    <xf numFmtId="0" fontId="4" fillId="3" borderId="42" xfId="0" applyFont="1" applyFill="1" applyBorder="1" applyAlignment="1">
      <alignment horizontal="center" vertical="center"/>
    </xf>
    <xf numFmtId="0" fontId="4" fillId="3" borderId="43" xfId="0" applyFont="1" applyFill="1" applyBorder="1" applyAlignment="1">
      <alignment horizontal="center" vertical="center"/>
    </xf>
    <xf numFmtId="0" fontId="4" fillId="3" borderId="20" xfId="0" applyFont="1" applyFill="1" applyBorder="1" applyAlignment="1">
      <alignment horizontal="center" vertical="center"/>
    </xf>
    <xf numFmtId="0" fontId="4" fillId="3" borderId="44" xfId="0" applyFont="1" applyFill="1" applyBorder="1" applyAlignment="1">
      <alignment horizontal="center" vertical="center"/>
    </xf>
    <xf numFmtId="0" fontId="8" fillId="11" borderId="45" xfId="2" applyFont="1" applyFill="1" applyBorder="1" applyAlignment="1">
      <alignment horizontal="center" vertical="center"/>
    </xf>
    <xf numFmtId="0" fontId="8" fillId="11" borderId="46" xfId="2" applyFont="1" applyFill="1" applyBorder="1" applyAlignment="1">
      <alignment horizontal="center" vertical="center"/>
    </xf>
    <xf numFmtId="0" fontId="8" fillId="11" borderId="47" xfId="2" applyFont="1" applyFill="1" applyBorder="1" applyAlignment="1">
      <alignment horizontal="center" vertical="center"/>
    </xf>
    <xf numFmtId="1" fontId="8" fillId="3" borderId="48" xfId="0" applyNumberFormat="1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164" fontId="14" fillId="0" borderId="6" xfId="0" applyNumberFormat="1" applyFont="1" applyBorder="1" applyAlignment="1">
      <alignment horizontal="center" vertical="center"/>
    </xf>
    <xf numFmtId="164" fontId="14" fillId="0" borderId="3" xfId="0" applyNumberFormat="1" applyFont="1" applyBorder="1" applyAlignment="1">
      <alignment horizontal="center" vertical="center"/>
    </xf>
    <xf numFmtId="164" fontId="14" fillId="0" borderId="8" xfId="0" applyNumberFormat="1" applyFont="1" applyBorder="1" applyAlignment="1">
      <alignment horizontal="center" vertical="center"/>
    </xf>
    <xf numFmtId="0" fontId="14" fillId="0" borderId="49" xfId="0" applyFont="1" applyBorder="1" applyAlignment="1">
      <alignment horizontal="center"/>
    </xf>
    <xf numFmtId="0" fontId="14" fillId="0" borderId="50" xfId="0" applyFont="1" applyBorder="1" applyAlignment="1">
      <alignment horizontal="center"/>
    </xf>
    <xf numFmtId="0" fontId="14" fillId="0" borderId="51" xfId="0" applyFont="1" applyBorder="1" applyAlignment="1">
      <alignment horizontal="center"/>
    </xf>
    <xf numFmtId="164" fontId="5" fillId="0" borderId="49" xfId="0" applyNumberFormat="1" applyFont="1" applyBorder="1" applyAlignment="1">
      <alignment horizontal="center" vertical="center"/>
    </xf>
    <xf numFmtId="164" fontId="5" fillId="0" borderId="50" xfId="0" applyNumberFormat="1" applyFont="1" applyBorder="1" applyAlignment="1">
      <alignment horizontal="center" vertical="center"/>
    </xf>
    <xf numFmtId="164" fontId="5" fillId="0" borderId="51" xfId="0" applyNumberFormat="1" applyFont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52" xfId="0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0" fontId="34" fillId="12" borderId="57" xfId="0" applyFont="1" applyFill="1" applyBorder="1" applyAlignment="1"/>
    <xf numFmtId="0" fontId="36" fillId="0" borderId="53" xfId="0" applyFont="1" applyFill="1" applyBorder="1" applyAlignment="1"/>
    <xf numFmtId="0" fontId="36" fillId="0" borderId="57" xfId="0" applyFont="1" applyFill="1" applyBorder="1" applyAlignment="1"/>
    <xf numFmtId="0" fontId="36" fillId="13" borderId="56" xfId="0" applyFont="1" applyFill="1" applyBorder="1" applyAlignment="1"/>
    <xf numFmtId="0" fontId="36" fillId="13" borderId="58" xfId="0" applyFont="1" applyFill="1" applyBorder="1" applyAlignment="1"/>
    <xf numFmtId="0" fontId="36" fillId="0" borderId="59" xfId="0" applyFont="1" applyFill="1" applyBorder="1" applyAlignment="1"/>
    <xf numFmtId="0" fontId="36" fillId="0" borderId="21" xfId="0" applyFont="1" applyFill="1" applyBorder="1" applyAlignment="1"/>
    <xf numFmtId="0" fontId="34" fillId="14" borderId="56" xfId="0" applyFont="1" applyFill="1" applyBorder="1" applyAlignment="1"/>
    <xf numFmtId="0" fontId="34" fillId="13" borderId="58" xfId="0" applyFont="1" applyFill="1" applyBorder="1" applyAlignment="1"/>
    <xf numFmtId="0" fontId="34" fillId="0" borderId="59" xfId="0" applyFont="1" applyFill="1" applyBorder="1" applyAlignment="1"/>
    <xf numFmtId="0" fontId="34" fillId="0" borderId="60" xfId="0" applyFont="1" applyFill="1" applyBorder="1" applyAlignment="1"/>
    <xf numFmtId="0" fontId="36" fillId="0" borderId="0" xfId="0" applyFont="1" applyFill="1" applyBorder="1" applyAlignment="1"/>
    <xf numFmtId="0" fontId="34" fillId="0" borderId="2" xfId="0" applyFont="1" applyFill="1" applyBorder="1" applyAlignment="1"/>
    <xf numFmtId="0" fontId="37" fillId="0" borderId="60" xfId="0" applyFont="1" applyFill="1" applyBorder="1" applyAlignment="1"/>
    <xf numFmtId="0" fontId="19" fillId="0" borderId="60" xfId="0" applyFont="1" applyFill="1" applyBorder="1" applyAlignment="1"/>
    <xf numFmtId="0" fontId="35" fillId="0" borderId="2" xfId="0" applyFont="1" applyFill="1" applyBorder="1" applyAlignment="1"/>
    <xf numFmtId="0" fontId="35" fillId="0" borderId="60" xfId="0" applyFont="1" applyFill="1" applyBorder="1" applyAlignment="1"/>
    <xf numFmtId="3" fontId="35" fillId="0" borderId="60" xfId="0" applyNumberFormat="1" applyFont="1" applyFill="1" applyBorder="1" applyAlignment="1"/>
    <xf numFmtId="0" fontId="35" fillId="0" borderId="61" xfId="0" applyFont="1" applyFill="1" applyBorder="1" applyAlignment="1"/>
    <xf numFmtId="0" fontId="35" fillId="0" borderId="62" xfId="0" applyFont="1" applyFill="1" applyBorder="1" applyAlignment="1"/>
    <xf numFmtId="0" fontId="35" fillId="13" borderId="61" xfId="0" applyFont="1" applyFill="1" applyBorder="1" applyAlignment="1"/>
    <xf numFmtId="0" fontId="35" fillId="13" borderId="62" xfId="0" applyFont="1" applyFill="1" applyBorder="1" applyAlignment="1"/>
    <xf numFmtId="0" fontId="38" fillId="0" borderId="0" xfId="0" applyFont="1" applyFill="1" applyBorder="1" applyAlignment="1"/>
    <xf numFmtId="0" fontId="35" fillId="0" borderId="53" xfId="0" applyFont="1" applyFill="1" applyBorder="1" applyAlignment="1"/>
    <xf numFmtId="0" fontId="35" fillId="0" borderId="57" xfId="0" applyFont="1" applyFill="1" applyBorder="1" applyAlignment="1"/>
  </cellXfs>
  <cellStyles count="6">
    <cellStyle name="Bad" xfId="1" builtinId="27" customBuiltin="1"/>
    <cellStyle name="Explanatory Text" xfId="2" builtinId="53"/>
    <cellStyle name="Normal" xfId="0" builtinId="0"/>
    <cellStyle name="Normal 12" xfId="3" xr:uid="{00000000-0005-0000-0000-000003000000}"/>
    <cellStyle name="Normal 14" xfId="4" xr:uid="{00000000-0005-0000-0000-000004000000}"/>
    <cellStyle name="Normal 2" xfId="5" xr:uid="{00000000-0005-0000-0000-000005000000}"/>
  </cellStyles>
  <dxfs count="4"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K32"/>
  <sheetViews>
    <sheetView topLeftCell="C11" zoomScale="85" zoomScaleNormal="85" workbookViewId="0">
      <selection activeCell="C2" sqref="C2:C32"/>
    </sheetView>
  </sheetViews>
  <sheetFormatPr defaultColWidth="11.5703125" defaultRowHeight="12.75"/>
  <cols>
    <col min="1" max="1" width="23.140625" style="11" bestFit="1" customWidth="1"/>
    <col min="2" max="3" width="11.5703125" style="14"/>
    <col min="4" max="4" width="13.42578125" style="14" customWidth="1"/>
    <col min="5" max="5" width="12.5703125" style="1" customWidth="1"/>
    <col min="6" max="6" width="12.5703125" style="19" customWidth="1"/>
    <col min="7" max="7" width="11.5703125" style="1"/>
    <col min="8" max="8" width="11.5703125" style="19"/>
    <col min="9" max="9" width="11.5703125" style="1"/>
    <col min="10" max="10" width="11.5703125" style="19"/>
    <col min="11" max="11" width="11.5703125" style="1"/>
  </cols>
  <sheetData>
    <row r="1" spans="1:11" s="5" customFormat="1" ht="60">
      <c r="A1" s="51" t="s">
        <v>0</v>
      </c>
      <c r="B1" s="48" t="s">
        <v>1</v>
      </c>
      <c r="C1" s="48" t="s">
        <v>2</v>
      </c>
      <c r="D1" s="48" t="s">
        <v>3</v>
      </c>
      <c r="E1" s="49" t="s">
        <v>4</v>
      </c>
      <c r="F1" s="50" t="s">
        <v>5</v>
      </c>
      <c r="G1" s="49" t="s">
        <v>6</v>
      </c>
      <c r="H1" s="50" t="s">
        <v>7</v>
      </c>
      <c r="I1" s="49" t="s">
        <v>8</v>
      </c>
      <c r="J1" s="50" t="s">
        <v>9</v>
      </c>
      <c r="K1" s="49" t="s">
        <v>10</v>
      </c>
    </row>
    <row r="2" spans="1:11">
      <c r="A2" s="11" t="s">
        <v>11</v>
      </c>
      <c r="B2" s="14">
        <v>1</v>
      </c>
      <c r="C2" s="14">
        <v>10</v>
      </c>
      <c r="D2" s="14">
        <v>2022</v>
      </c>
      <c r="E2" s="7">
        <f>ELECT.!D6+ELECT.!F6+ELECT.!H6</f>
        <v>22565</v>
      </c>
      <c r="F2" s="19">
        <v>1.56</v>
      </c>
      <c r="G2" s="7">
        <f>Submetering!L2+Submetering!M2+Submetering!N2+Submetering!O2+Submetering!P2+Submetering!Q2+Submetering!R2+Submetering!S2+Submetering!T2+Submetering!U2+Submetering!V2+Submetering!W2+Submetering!X2+Submetering!Y2+Submetering!Z2+Submetering!AA2</f>
        <v>1987</v>
      </c>
      <c r="H2" s="20">
        <v>3.6</v>
      </c>
      <c r="I2" s="7">
        <f>Submetering!E2+Water!E5</f>
        <v>629</v>
      </c>
      <c r="J2" s="20">
        <v>9.1</v>
      </c>
      <c r="K2" s="7">
        <f>ELECT.!B6</f>
        <v>110</v>
      </c>
    </row>
    <row r="3" spans="1:11">
      <c r="A3" s="11" t="s">
        <v>11</v>
      </c>
      <c r="B3" s="14">
        <f>B2+1</f>
        <v>2</v>
      </c>
      <c r="C3" s="14">
        <v>10</v>
      </c>
      <c r="D3" s="14">
        <v>2022</v>
      </c>
      <c r="E3" s="7">
        <f>ELECT.!D7+ELECT.!F7+ELECT.!H7</f>
        <v>18486</v>
      </c>
      <c r="F3" s="19">
        <v>1.56</v>
      </c>
      <c r="G3" s="7">
        <f>Submetering!L3+Submetering!M3+Submetering!N3+Submetering!O3+Submetering!P3+Submetering!Q3+Submetering!R3+Submetering!S3+Submetering!T3+Submetering!U3+Submetering!V3+Submetering!W3+Submetering!X3+Submetering!Y3+Submetering!Z3+Submetering!AA3</f>
        <v>1729</v>
      </c>
      <c r="H3" s="20">
        <v>3.6</v>
      </c>
      <c r="I3" s="7">
        <f>Submetering!E3+Water!E6</f>
        <v>667</v>
      </c>
      <c r="J3" s="20">
        <v>9.1</v>
      </c>
      <c r="K3" s="7">
        <f>ELECT.!B7</f>
        <v>102</v>
      </c>
    </row>
    <row r="4" spans="1:11">
      <c r="A4" s="11" t="s">
        <v>11</v>
      </c>
      <c r="B4" s="14">
        <f t="shared" ref="B4:B32" si="0">B3+1</f>
        <v>3</v>
      </c>
      <c r="C4" s="14">
        <v>10</v>
      </c>
      <c r="D4" s="14">
        <v>2022</v>
      </c>
      <c r="E4" s="7">
        <f>ELECT.!D8+ELECT.!F8+ELECT.!H8</f>
        <v>20204</v>
      </c>
      <c r="F4" s="19">
        <v>1.56</v>
      </c>
      <c r="G4" s="7">
        <f>Submetering!L4+Submetering!M4+Submetering!N4+Submetering!O4+Submetering!P4+Submetering!Q4+Submetering!R4+Submetering!S4+Submetering!T4+Submetering!U4+Submetering!V4+Submetering!W4+Submetering!X4+Submetering!Y4+Submetering!Z4+Submetering!AA4</f>
        <v>1698</v>
      </c>
      <c r="H4" s="20">
        <v>3.6</v>
      </c>
      <c r="I4" s="7">
        <f>Submetering!E4+Water!E7</f>
        <v>667</v>
      </c>
      <c r="J4" s="20">
        <v>9.1</v>
      </c>
      <c r="K4" s="7">
        <f>ELECT.!B8</f>
        <v>98</v>
      </c>
    </row>
    <row r="5" spans="1:11">
      <c r="A5" s="11" t="s">
        <v>11</v>
      </c>
      <c r="B5" s="14">
        <f t="shared" si="0"/>
        <v>4</v>
      </c>
      <c r="C5" s="14">
        <v>10</v>
      </c>
      <c r="D5" s="14">
        <v>2022</v>
      </c>
      <c r="E5" s="7">
        <f>ELECT.!D9+ELECT.!F9+ELECT.!H9</f>
        <v>21460</v>
      </c>
      <c r="F5" s="19">
        <v>1.56</v>
      </c>
      <c r="G5" s="7">
        <f>Submetering!L5+Submetering!M5+Submetering!N5+Submetering!O5+Submetering!P5+Submetering!Q5+Submetering!R5+Submetering!S5+Submetering!T5+Submetering!U5+Submetering!V5+Submetering!W5+Submetering!X5+Submetering!Y5+Submetering!Z5+Submetering!AA5</f>
        <v>1887</v>
      </c>
      <c r="H5" s="20">
        <v>3.6</v>
      </c>
      <c r="I5" s="7">
        <f>Submetering!E5+Water!E8</f>
        <v>619</v>
      </c>
      <c r="J5" s="20">
        <v>9.1</v>
      </c>
      <c r="K5" s="7">
        <f>ELECT.!B9</f>
        <v>95</v>
      </c>
    </row>
    <row r="6" spans="1:11">
      <c r="A6" s="11" t="s">
        <v>11</v>
      </c>
      <c r="B6" s="14">
        <f t="shared" si="0"/>
        <v>5</v>
      </c>
      <c r="C6" s="14">
        <v>10</v>
      </c>
      <c r="D6" s="14">
        <v>2022</v>
      </c>
      <c r="E6" s="7">
        <f>ELECT.!D10+ELECT.!F10+ELECT.!H10</f>
        <v>18680</v>
      </c>
      <c r="F6" s="19">
        <v>1.56</v>
      </c>
      <c r="G6" s="7">
        <f>Submetering!L6+Submetering!M6+Submetering!N6+Submetering!O6+Submetering!P6+Submetering!Q6+Submetering!R6+Submetering!S6+Submetering!T6+Submetering!U6+Submetering!V6+Submetering!W6+Submetering!X6+Submetering!Y6+Submetering!Z6+Submetering!AA6</f>
        <v>2038</v>
      </c>
      <c r="H6" s="20">
        <v>3.6</v>
      </c>
      <c r="I6" s="7">
        <f>Submetering!E6+Water!E9</f>
        <v>618</v>
      </c>
      <c r="J6" s="20">
        <v>9.1</v>
      </c>
      <c r="K6" s="7">
        <f>ELECT.!B10</f>
        <v>111</v>
      </c>
    </row>
    <row r="7" spans="1:11">
      <c r="A7" s="11" t="s">
        <v>11</v>
      </c>
      <c r="B7" s="14">
        <f t="shared" si="0"/>
        <v>6</v>
      </c>
      <c r="C7" s="14">
        <v>10</v>
      </c>
      <c r="D7" s="14">
        <v>2022</v>
      </c>
      <c r="E7" s="7">
        <f>ELECT.!D11+ELECT.!F11+ELECT.!H11</f>
        <v>20767</v>
      </c>
      <c r="F7" s="19">
        <v>1.56</v>
      </c>
      <c r="G7" s="7">
        <f>Submetering!L7+Submetering!M7+Submetering!N7+Submetering!O7+Submetering!P7+Submetering!Q7+Submetering!R7+Submetering!S7+Submetering!T7+Submetering!U7+Submetering!V7+Submetering!W7+Submetering!X7+Submetering!Y7+Submetering!Z7+Submetering!AA7</f>
        <v>2128</v>
      </c>
      <c r="H7" s="20">
        <v>3.6</v>
      </c>
      <c r="I7" s="7">
        <f>Submetering!E7+Water!E10</f>
        <v>699</v>
      </c>
      <c r="J7" s="20">
        <v>9.1</v>
      </c>
      <c r="K7" s="7">
        <f>ELECT.!B11</f>
        <v>160</v>
      </c>
    </row>
    <row r="8" spans="1:11">
      <c r="A8" s="11" t="s">
        <v>11</v>
      </c>
      <c r="B8" s="14">
        <f t="shared" si="0"/>
        <v>7</v>
      </c>
      <c r="C8" s="14">
        <v>10</v>
      </c>
      <c r="D8" s="14">
        <v>2022</v>
      </c>
      <c r="E8" s="7">
        <f>ELECT.!D12+ELECT.!F12+ELECT.!H12</f>
        <v>20329</v>
      </c>
      <c r="F8" s="19">
        <v>1.56</v>
      </c>
      <c r="G8" s="7">
        <f>Submetering!L8+Submetering!M8+Submetering!N8+Submetering!O8+Submetering!P8+Submetering!Q8+Submetering!R8+Submetering!S8+Submetering!T8+Submetering!U8+Submetering!V8+Submetering!W8+Submetering!X8+Submetering!Y8+Submetering!Z8+Submetering!AA8</f>
        <v>2306</v>
      </c>
      <c r="H8" s="20">
        <v>3.6</v>
      </c>
      <c r="I8" s="7">
        <f>Submetering!E8+Water!E11</f>
        <v>672</v>
      </c>
      <c r="J8" s="20">
        <v>9.1</v>
      </c>
      <c r="K8" s="7">
        <f>ELECT.!B12</f>
        <v>164</v>
      </c>
    </row>
    <row r="9" spans="1:11">
      <c r="A9" s="11" t="s">
        <v>11</v>
      </c>
      <c r="B9" s="14">
        <f t="shared" si="0"/>
        <v>8</v>
      </c>
      <c r="C9" s="14">
        <v>10</v>
      </c>
      <c r="D9" s="14">
        <v>2022</v>
      </c>
      <c r="E9" s="7">
        <f>ELECT.!D13+ELECT.!F13+ELECT.!H13</f>
        <v>20283</v>
      </c>
      <c r="F9" s="19">
        <v>1.56</v>
      </c>
      <c r="G9" s="7">
        <f>Submetering!L9+Submetering!M9+Submetering!N9+Submetering!O9+Submetering!P9+Submetering!Q9+Submetering!R9+Submetering!S9+Submetering!T9+Submetering!U9+Submetering!V9+Submetering!W9+Submetering!X9+Submetering!Y9+Submetering!Z9+Submetering!AA9</f>
        <v>1867</v>
      </c>
      <c r="H9" s="20">
        <v>3.6</v>
      </c>
      <c r="I9" s="7">
        <f>Submetering!E9+Water!E12</f>
        <v>805</v>
      </c>
      <c r="J9" s="20">
        <v>9.1</v>
      </c>
      <c r="K9" s="7">
        <f>ELECT.!B13</f>
        <v>130</v>
      </c>
    </row>
    <row r="10" spans="1:11">
      <c r="A10" s="11" t="s">
        <v>11</v>
      </c>
      <c r="B10" s="14">
        <f t="shared" si="0"/>
        <v>9</v>
      </c>
      <c r="C10" s="14">
        <v>10</v>
      </c>
      <c r="D10" s="14">
        <v>2022</v>
      </c>
      <c r="E10" s="7">
        <f>ELECT.!D14+ELECT.!F14+ELECT.!H14</f>
        <v>17835</v>
      </c>
      <c r="F10" s="19">
        <v>1.56</v>
      </c>
      <c r="G10" s="7">
        <f>Submetering!L10+Submetering!M10+Submetering!N10+Submetering!O10+Submetering!P10+Submetering!Q10+Submetering!R10+Submetering!S10+Submetering!T10+Submetering!U10+Submetering!V10+Submetering!W10+Submetering!X10+Submetering!Y10+Submetering!Z10+Submetering!AA10</f>
        <v>2360</v>
      </c>
      <c r="H10" s="20">
        <v>3.6</v>
      </c>
      <c r="I10" s="7">
        <f>Submetering!E10+Water!E13</f>
        <v>450</v>
      </c>
      <c r="J10" s="20">
        <v>9.1</v>
      </c>
      <c r="K10" s="7">
        <f>ELECT.!B14</f>
        <v>100</v>
      </c>
    </row>
    <row r="11" spans="1:11">
      <c r="A11" s="11" t="s">
        <v>11</v>
      </c>
      <c r="B11" s="14">
        <f t="shared" si="0"/>
        <v>10</v>
      </c>
      <c r="C11" s="14">
        <v>10</v>
      </c>
      <c r="D11" s="14">
        <v>2022</v>
      </c>
      <c r="E11" s="7">
        <f>ELECT.!D15+ELECT.!F15+ELECT.!H15</f>
        <v>20990</v>
      </c>
      <c r="F11" s="19">
        <v>1.56</v>
      </c>
      <c r="G11" s="7">
        <f>Submetering!L11+Submetering!M11+Submetering!N11+Submetering!O11+Submetering!P11+Submetering!Q11+Submetering!R11+Submetering!S11+Submetering!T11+Submetering!U11+Submetering!V11+Submetering!W11+Submetering!X11+Submetering!Y11+Submetering!Z11+Submetering!AA11</f>
        <v>2051</v>
      </c>
      <c r="H11" s="20">
        <v>3.6</v>
      </c>
      <c r="I11" s="7">
        <f>Submetering!E11+Water!E14</f>
        <v>670</v>
      </c>
      <c r="J11" s="20">
        <v>9.1</v>
      </c>
      <c r="K11" s="7">
        <f>ELECT.!B15</f>
        <v>102</v>
      </c>
    </row>
    <row r="12" spans="1:11">
      <c r="A12" s="11" t="s">
        <v>11</v>
      </c>
      <c r="B12" s="14">
        <f t="shared" si="0"/>
        <v>11</v>
      </c>
      <c r="C12" s="14">
        <v>10</v>
      </c>
      <c r="D12" s="14">
        <v>2022</v>
      </c>
      <c r="E12" s="7">
        <f>ELECT.!D16+ELECT.!F16+ELECT.!H16</f>
        <v>19953</v>
      </c>
      <c r="F12" s="19">
        <v>1.56</v>
      </c>
      <c r="G12" s="7">
        <f>Submetering!L12+Submetering!M12+Submetering!N12+Submetering!O12+Submetering!P12+Submetering!Q12+Submetering!R12+Submetering!S12+Submetering!T12+Submetering!U12+Submetering!V12+Submetering!W12+Submetering!X12+Submetering!Y12+Submetering!Z12+Submetering!AA12</f>
        <v>2219</v>
      </c>
      <c r="H12" s="20">
        <v>3.6</v>
      </c>
      <c r="I12" s="7">
        <f>Submetering!E12+Water!E15</f>
        <v>679</v>
      </c>
      <c r="J12" s="20">
        <v>9.1</v>
      </c>
      <c r="K12" s="7">
        <f>ELECT.!B16</f>
        <v>122</v>
      </c>
    </row>
    <row r="13" spans="1:11">
      <c r="A13" s="11" t="s">
        <v>11</v>
      </c>
      <c r="B13" s="14">
        <f t="shared" si="0"/>
        <v>12</v>
      </c>
      <c r="C13" s="14">
        <v>10</v>
      </c>
      <c r="D13" s="14">
        <v>2022</v>
      </c>
      <c r="E13" s="7">
        <f>ELECT.!D17+ELECT.!F17+ELECT.!H17</f>
        <v>21404</v>
      </c>
      <c r="F13" s="19">
        <v>1.56</v>
      </c>
      <c r="G13" s="7">
        <f>Submetering!L13+Submetering!M13+Submetering!N13+Submetering!O13+Submetering!P13+Submetering!Q13+Submetering!R13+Submetering!S13+Submetering!T13+Submetering!U13+Submetering!V13+Submetering!W13+Submetering!X13+Submetering!Y13+Submetering!Z13+Submetering!AA13</f>
        <v>2494</v>
      </c>
      <c r="H13" s="20">
        <v>3.6</v>
      </c>
      <c r="I13" s="7">
        <f>Submetering!E13+Water!E16</f>
        <v>713</v>
      </c>
      <c r="J13" s="20">
        <v>9.1</v>
      </c>
      <c r="K13" s="7">
        <f>ELECT.!B17</f>
        <v>135</v>
      </c>
    </row>
    <row r="14" spans="1:11">
      <c r="A14" s="11" t="s">
        <v>11</v>
      </c>
      <c r="B14" s="14">
        <f t="shared" si="0"/>
        <v>13</v>
      </c>
      <c r="C14" s="14">
        <v>10</v>
      </c>
      <c r="D14" s="14">
        <v>2022</v>
      </c>
      <c r="E14" s="7">
        <f>ELECT.!D18+ELECT.!F18+ELECT.!H18</f>
        <v>22017</v>
      </c>
      <c r="F14" s="19">
        <v>1.56</v>
      </c>
      <c r="G14" s="7">
        <f>Submetering!L14+Submetering!M14+Submetering!N14+Submetering!O14+Submetering!P14+Submetering!Q14+Submetering!R14+Submetering!S14+Submetering!T14+Submetering!U14+Submetering!V14+Submetering!W14+Submetering!X14+Submetering!Y14+Submetering!Z14+Submetering!AA14</f>
        <v>2501</v>
      </c>
      <c r="H14" s="20">
        <v>3.6</v>
      </c>
      <c r="I14" s="7">
        <f>Submetering!E14+Water!E17</f>
        <v>716</v>
      </c>
      <c r="J14" s="20">
        <v>9.1</v>
      </c>
      <c r="K14" s="7">
        <f>ELECT.!B18</f>
        <v>144</v>
      </c>
    </row>
    <row r="15" spans="1:11">
      <c r="A15" s="11" t="s">
        <v>11</v>
      </c>
      <c r="B15" s="14">
        <f t="shared" si="0"/>
        <v>14</v>
      </c>
      <c r="C15" s="14">
        <v>10</v>
      </c>
      <c r="D15" s="14">
        <v>2022</v>
      </c>
      <c r="E15" s="7">
        <f>ELECT.!D19+ELECT.!F19+ELECT.!H19</f>
        <v>20602</v>
      </c>
      <c r="F15" s="19">
        <v>1.56</v>
      </c>
      <c r="G15" s="7">
        <f>Submetering!L15+Submetering!M15+Submetering!N15+Submetering!O15+Submetering!P15+Submetering!Q15+Submetering!R15+Submetering!S15+Submetering!T15+Submetering!U15+Submetering!V15+Submetering!W15+Submetering!X15+Submetering!Y15+Submetering!Z15+Submetering!AA15</f>
        <v>2290</v>
      </c>
      <c r="H15" s="20">
        <v>3.6</v>
      </c>
      <c r="I15" s="7">
        <f>Submetering!E15+Water!E18</f>
        <v>750</v>
      </c>
      <c r="J15" s="20">
        <v>9.1</v>
      </c>
      <c r="K15" s="7">
        <f>ELECT.!B19</f>
        <v>103</v>
      </c>
    </row>
    <row r="16" spans="1:11">
      <c r="A16" s="11" t="s">
        <v>11</v>
      </c>
      <c r="B16" s="14">
        <f t="shared" si="0"/>
        <v>15</v>
      </c>
      <c r="C16" s="14">
        <v>10</v>
      </c>
      <c r="D16" s="14">
        <v>2022</v>
      </c>
      <c r="E16" s="7">
        <f>ELECT.!D20+ELECT.!F20+ELECT.!H20</f>
        <v>19780</v>
      </c>
      <c r="F16" s="19">
        <v>1.56</v>
      </c>
      <c r="G16" s="7">
        <f>Submetering!L16+Submetering!M16+Submetering!N16+Submetering!O16+Submetering!P16+Submetering!Q16+Submetering!R16+Submetering!S16+Submetering!T16+Submetering!U16+Submetering!V16+Submetering!W16+Submetering!X16+Submetering!Y16+Submetering!Z16+Submetering!AA16</f>
        <v>2297</v>
      </c>
      <c r="H16" s="20">
        <v>3.6</v>
      </c>
      <c r="I16" s="7">
        <f>Submetering!E16+Water!E19</f>
        <v>640</v>
      </c>
      <c r="J16" s="20">
        <v>9.1</v>
      </c>
      <c r="K16" s="7">
        <f>ELECT.!B20</f>
        <v>82</v>
      </c>
    </row>
    <row r="17" spans="1:11">
      <c r="A17" s="11" t="s">
        <v>11</v>
      </c>
      <c r="B17" s="14">
        <f t="shared" si="0"/>
        <v>16</v>
      </c>
      <c r="C17" s="14">
        <v>10</v>
      </c>
      <c r="D17" s="14">
        <v>2022</v>
      </c>
      <c r="E17" s="7">
        <f>ELECT.!D21+ELECT.!F21+ELECT.!H21</f>
        <v>18455</v>
      </c>
      <c r="F17" s="19">
        <v>1.56</v>
      </c>
      <c r="G17" s="7">
        <f>Submetering!L17+Submetering!M17+Submetering!N17+Submetering!O17+Submetering!P17+Submetering!Q17+Submetering!R17+Submetering!S17+Submetering!T17+Submetering!U17+Submetering!V17+Submetering!W17+Submetering!X17+Submetering!Y17+Submetering!Z17+Submetering!AA17</f>
        <v>2096</v>
      </c>
      <c r="H17" s="20">
        <v>3.6</v>
      </c>
      <c r="I17" s="7">
        <f>Submetering!E17+Water!E20</f>
        <v>568</v>
      </c>
      <c r="J17" s="20">
        <v>9.1</v>
      </c>
      <c r="K17" s="7">
        <f>ELECT.!B21</f>
        <v>79</v>
      </c>
    </row>
    <row r="18" spans="1:11">
      <c r="A18" s="11" t="s">
        <v>11</v>
      </c>
      <c r="B18" s="14">
        <f t="shared" si="0"/>
        <v>17</v>
      </c>
      <c r="C18" s="14">
        <v>10</v>
      </c>
      <c r="D18" s="14">
        <v>2022</v>
      </c>
      <c r="E18" s="7">
        <f>ELECT.!D22+ELECT.!F22+ELECT.!H22</f>
        <v>18464</v>
      </c>
      <c r="F18" s="19">
        <v>1.56</v>
      </c>
      <c r="G18" s="7">
        <f>Submetering!L18+Submetering!M18+Submetering!N18+Submetering!O18+Submetering!P18+Submetering!Q18+Submetering!R18+Submetering!S18+Submetering!T18+Submetering!U18+Submetering!V18+Submetering!W18+Submetering!X18+Submetering!Y18+Submetering!Z18+Submetering!AA18</f>
        <v>2215</v>
      </c>
      <c r="H18" s="20">
        <v>3.6</v>
      </c>
      <c r="I18" s="7">
        <f>Submetering!E18+Water!E21</f>
        <v>475</v>
      </c>
      <c r="J18" s="20">
        <v>9.1</v>
      </c>
      <c r="K18" s="7">
        <f>ELECT.!B22</f>
        <v>102</v>
      </c>
    </row>
    <row r="19" spans="1:11">
      <c r="A19" s="11" t="s">
        <v>11</v>
      </c>
      <c r="B19" s="14">
        <f t="shared" si="0"/>
        <v>18</v>
      </c>
      <c r="C19" s="14">
        <v>10</v>
      </c>
      <c r="D19" s="14">
        <v>2022</v>
      </c>
      <c r="E19" s="7">
        <f>ELECT.!D23+ELECT.!F23+ELECT.!H23</f>
        <v>18736</v>
      </c>
      <c r="F19" s="19">
        <v>1.56</v>
      </c>
      <c r="G19" s="7">
        <f>Submetering!L19+Submetering!M19+Submetering!N19+Submetering!O19+Submetering!P19+Submetering!Q19+Submetering!R19+Submetering!S19+Submetering!T19+Submetering!U19+Submetering!V19+Submetering!W19+Submetering!X19+Submetering!Y19+Submetering!Z19+Submetering!AA19</f>
        <v>2112</v>
      </c>
      <c r="H19" s="20">
        <v>3.6</v>
      </c>
      <c r="I19" s="7">
        <f>Submetering!E19+Water!E22</f>
        <v>538</v>
      </c>
      <c r="J19" s="20">
        <v>9.1</v>
      </c>
      <c r="K19" s="7">
        <f>ELECT.!B23</f>
        <v>81</v>
      </c>
    </row>
    <row r="20" spans="1:11">
      <c r="A20" s="11" t="s">
        <v>11</v>
      </c>
      <c r="B20" s="14">
        <f t="shared" si="0"/>
        <v>19</v>
      </c>
      <c r="C20" s="14">
        <v>10</v>
      </c>
      <c r="D20" s="14">
        <v>2022</v>
      </c>
      <c r="E20" s="7">
        <f>ELECT.!D24+ELECT.!F24+ELECT.!H24</f>
        <v>19259</v>
      </c>
      <c r="F20" s="19">
        <v>1.56</v>
      </c>
      <c r="G20" s="7">
        <f>Submetering!L20+Submetering!M20+Submetering!N20+Submetering!O20+Submetering!P20+Submetering!Q20+Submetering!R20+Submetering!S20+Submetering!T20+Submetering!U20+Submetering!V20+Submetering!W20+Submetering!X20+Submetering!Y20+Submetering!Z20+Submetering!AA20</f>
        <v>1589</v>
      </c>
      <c r="H20" s="20">
        <v>3.6</v>
      </c>
      <c r="I20" s="7">
        <f>Submetering!E20+Water!E23</f>
        <v>388</v>
      </c>
      <c r="J20" s="20">
        <v>9.1</v>
      </c>
      <c r="K20" s="7">
        <f>ELECT.!B24</f>
        <v>63</v>
      </c>
    </row>
    <row r="21" spans="1:11">
      <c r="A21" s="11" t="s">
        <v>11</v>
      </c>
      <c r="B21" s="14">
        <f t="shared" si="0"/>
        <v>20</v>
      </c>
      <c r="C21" s="14">
        <v>10</v>
      </c>
      <c r="D21" s="14">
        <v>2022</v>
      </c>
      <c r="E21" s="7">
        <f>ELECT.!D25+ELECT.!F25+ELECT.!H25</f>
        <v>19005</v>
      </c>
      <c r="F21" s="19">
        <v>1.56</v>
      </c>
      <c r="G21" s="7">
        <f>Submetering!L21+Submetering!M21+Submetering!N21+Submetering!O21+Submetering!P21+Submetering!Q21+Submetering!R21+Submetering!S21+Submetering!T21+Submetering!U21+Submetering!V21+Submetering!W21+Submetering!X21+Submetering!Y21+Submetering!Z21+Submetering!AA21</f>
        <v>2158</v>
      </c>
      <c r="H21" s="20">
        <v>3.6</v>
      </c>
      <c r="I21" s="7">
        <f>Submetering!E21+Water!E24</f>
        <v>466</v>
      </c>
      <c r="J21" s="20">
        <v>9.1</v>
      </c>
      <c r="K21" s="7">
        <f>ELECT.!B25</f>
        <v>127</v>
      </c>
    </row>
    <row r="22" spans="1:11">
      <c r="A22" s="11" t="s">
        <v>11</v>
      </c>
      <c r="B22" s="14">
        <f t="shared" si="0"/>
        <v>21</v>
      </c>
      <c r="C22" s="14">
        <v>10</v>
      </c>
      <c r="D22" s="14">
        <v>2022</v>
      </c>
      <c r="E22" s="7">
        <f>ELECT.!D26+ELECT.!F26+ELECT.!H26</f>
        <v>19333</v>
      </c>
      <c r="F22" s="19">
        <v>1.56</v>
      </c>
      <c r="G22" s="7">
        <f>Submetering!L22+Submetering!M22+Submetering!N22+Submetering!O22+Submetering!P22+Submetering!Q22+Submetering!R22+Submetering!S22+Submetering!T22+Submetering!U22+Submetering!V22+Submetering!W22+Submetering!X22+Submetering!Y22+Submetering!Z22+Submetering!AA22</f>
        <v>2474</v>
      </c>
      <c r="H22" s="20">
        <v>3.6</v>
      </c>
      <c r="I22" s="7">
        <f>Submetering!E22+Water!E25</f>
        <v>506</v>
      </c>
      <c r="J22" s="20">
        <v>9.1</v>
      </c>
      <c r="K22" s="7">
        <f>ELECT.!B26</f>
        <v>111</v>
      </c>
    </row>
    <row r="23" spans="1:11">
      <c r="A23" s="11" t="s">
        <v>11</v>
      </c>
      <c r="B23" s="14">
        <f t="shared" si="0"/>
        <v>22</v>
      </c>
      <c r="C23" s="14">
        <v>10</v>
      </c>
      <c r="D23" s="14">
        <v>2022</v>
      </c>
      <c r="E23" s="7">
        <f>ELECT.!D27+ELECT.!F27+ELECT.!H27</f>
        <v>20112</v>
      </c>
      <c r="F23" s="19">
        <v>1.56</v>
      </c>
      <c r="G23" s="7">
        <f>Submetering!L23+Submetering!M23+Submetering!N23+Submetering!O23+Submetering!P23+Submetering!Q23+Submetering!R23+Submetering!S23+Submetering!T23+Submetering!U23+Submetering!V23+Submetering!W23+Submetering!X23+Submetering!Y23+Submetering!Z23+Submetering!AA23</f>
        <v>2035</v>
      </c>
      <c r="H23" s="20">
        <v>3.6</v>
      </c>
      <c r="I23" s="7">
        <f>Submetering!E23+Water!E26</f>
        <v>328</v>
      </c>
      <c r="J23" s="20">
        <v>9.1</v>
      </c>
      <c r="K23" s="7">
        <f>ELECT.!B27</f>
        <v>83</v>
      </c>
    </row>
    <row r="24" spans="1:11">
      <c r="A24" s="11" t="s">
        <v>11</v>
      </c>
      <c r="B24" s="14">
        <f t="shared" si="0"/>
        <v>23</v>
      </c>
      <c r="C24" s="14">
        <v>10</v>
      </c>
      <c r="D24" s="14">
        <v>2022</v>
      </c>
      <c r="E24" s="7">
        <f>ELECT.!D28+ELECT.!F28+ELECT.!H28</f>
        <v>17367</v>
      </c>
      <c r="F24" s="19">
        <v>1.56</v>
      </c>
      <c r="G24" s="7">
        <f>Submetering!L24+Submetering!M24+Submetering!N24+Submetering!O24+Submetering!P24+Submetering!Q24+Submetering!R24+Submetering!S24+Submetering!T24+Submetering!U24+Submetering!V24+Submetering!W24+Submetering!X24+Submetering!Y24+Submetering!Z24+Submetering!AA24</f>
        <v>2010</v>
      </c>
      <c r="H24" s="20">
        <v>3.6</v>
      </c>
      <c r="I24" s="7">
        <f>Submetering!E24+Water!E27</f>
        <v>354</v>
      </c>
      <c r="J24" s="20">
        <v>9.1</v>
      </c>
      <c r="K24" s="7">
        <f>ELECT.!B28</f>
        <v>90</v>
      </c>
    </row>
    <row r="25" spans="1:11">
      <c r="A25" s="11" t="s">
        <v>11</v>
      </c>
      <c r="B25" s="14">
        <f t="shared" si="0"/>
        <v>24</v>
      </c>
      <c r="C25" s="14">
        <v>10</v>
      </c>
      <c r="D25" s="14">
        <v>2022</v>
      </c>
      <c r="E25" s="7">
        <f>ELECT.!D29+ELECT.!F29+ELECT.!H29</f>
        <v>19346</v>
      </c>
      <c r="F25" s="19">
        <v>1.56</v>
      </c>
      <c r="G25" s="7">
        <f>Submetering!L25+Submetering!M25+Submetering!N25+Submetering!O25+Submetering!P25+Submetering!Q25+Submetering!R25+Submetering!S25+Submetering!T25+Submetering!U25+Submetering!V25+Submetering!W25+Submetering!X25+Submetering!Y25+Submetering!Z25+Submetering!AA25</f>
        <v>2393</v>
      </c>
      <c r="H25" s="20">
        <v>3.6</v>
      </c>
      <c r="I25" s="7">
        <f>Submetering!E25+Water!E28</f>
        <v>537</v>
      </c>
      <c r="J25" s="20">
        <v>9.1</v>
      </c>
      <c r="K25" s="7">
        <f>ELECT.!B29</f>
        <v>79</v>
      </c>
    </row>
    <row r="26" spans="1:11">
      <c r="A26" s="11" t="s">
        <v>11</v>
      </c>
      <c r="B26" s="14">
        <f>B25+1</f>
        <v>25</v>
      </c>
      <c r="C26" s="14">
        <v>10</v>
      </c>
      <c r="D26" s="14">
        <v>2022</v>
      </c>
      <c r="E26" s="7">
        <f>ELECT.!D30+ELECT.!F30+ELECT.!H30</f>
        <v>18533</v>
      </c>
      <c r="F26" s="19">
        <v>1.56</v>
      </c>
      <c r="G26" s="7">
        <f>Submetering!L26+Submetering!M26+Submetering!N26+Submetering!O26+Submetering!P26+Submetering!Q26+Submetering!R26+Submetering!S26+Submetering!T26+Submetering!U26+Submetering!V26+Submetering!W26+Submetering!X26+Submetering!Y26+Submetering!Z26+Submetering!AA26</f>
        <v>2114</v>
      </c>
      <c r="H26" s="20">
        <v>3.6</v>
      </c>
      <c r="I26" s="7">
        <f>Submetering!E26+Water!E29</f>
        <v>457</v>
      </c>
      <c r="J26" s="20">
        <v>9.1</v>
      </c>
      <c r="K26" s="7">
        <f>ELECT.!B30</f>
        <v>77</v>
      </c>
    </row>
    <row r="27" spans="1:11">
      <c r="A27" s="11" t="s">
        <v>11</v>
      </c>
      <c r="B27" s="14">
        <f t="shared" si="0"/>
        <v>26</v>
      </c>
      <c r="C27" s="14">
        <v>10</v>
      </c>
      <c r="D27" s="14">
        <v>2022</v>
      </c>
      <c r="E27" s="7">
        <f>ELECT.!D31+ELECT.!F31+ELECT.!H31</f>
        <v>19379</v>
      </c>
      <c r="F27" s="19">
        <v>1.56</v>
      </c>
      <c r="G27" s="7">
        <f>Submetering!L27+Submetering!M27+Submetering!N27+Submetering!O27+Submetering!P27+Submetering!Q27+Submetering!R27+Submetering!S27+Submetering!T27+Submetering!U27+Submetering!V27+Submetering!W27+Submetering!X27+Submetering!Y27+Submetering!Z27+Submetering!AA27</f>
        <v>2356</v>
      </c>
      <c r="H27" s="20">
        <v>3.6</v>
      </c>
      <c r="I27" s="7">
        <f>Submetering!E27+Water!E30</f>
        <v>504</v>
      </c>
      <c r="J27" s="20">
        <v>9.1</v>
      </c>
      <c r="K27" s="7">
        <f>ELECT.!B31</f>
        <v>92</v>
      </c>
    </row>
    <row r="28" spans="1:11">
      <c r="A28" s="11" t="s">
        <v>11</v>
      </c>
      <c r="B28" s="14">
        <f t="shared" si="0"/>
        <v>27</v>
      </c>
      <c r="C28" s="14">
        <v>10</v>
      </c>
      <c r="D28" s="14">
        <v>2022</v>
      </c>
      <c r="E28" s="7">
        <f>ELECT.!D32+ELECT.!F32+ELECT.!H32</f>
        <v>20310</v>
      </c>
      <c r="F28" s="19">
        <v>1.56</v>
      </c>
      <c r="G28" s="7">
        <f>Submetering!L28+Submetering!M28+Submetering!N28+Submetering!O28+Submetering!P28+Submetering!Q28+Submetering!R28+Submetering!S28+Submetering!T28+Submetering!U28+Submetering!V28+Submetering!W28+Submetering!X28+Submetering!Y28+Submetering!Z28+Submetering!AA28</f>
        <v>2245</v>
      </c>
      <c r="H28" s="20">
        <v>3.6</v>
      </c>
      <c r="I28" s="7">
        <f>Submetering!E28+Water!E31</f>
        <v>543</v>
      </c>
      <c r="J28" s="20">
        <v>9.1</v>
      </c>
      <c r="K28" s="7">
        <f>ELECT.!B32</f>
        <v>103</v>
      </c>
    </row>
    <row r="29" spans="1:11">
      <c r="A29" s="11" t="s">
        <v>11</v>
      </c>
      <c r="B29" s="14">
        <f t="shared" si="0"/>
        <v>28</v>
      </c>
      <c r="C29" s="14">
        <v>10</v>
      </c>
      <c r="D29" s="14">
        <v>2022</v>
      </c>
      <c r="E29" s="7">
        <f>ELECT.!D33+ELECT.!F33+ELECT.!H33</f>
        <v>29572</v>
      </c>
      <c r="F29" s="19">
        <v>1.56</v>
      </c>
      <c r="G29" s="7">
        <f>Submetering!L29+Submetering!M29+Submetering!N29+Submetering!O29+Submetering!P29+Submetering!Q29+Submetering!R29+Submetering!S29+Submetering!T29+Submetering!U29+Submetering!V29+Submetering!W29+Submetering!X29+Submetering!Y29+Submetering!Z29+Submetering!AA29</f>
        <v>2367</v>
      </c>
      <c r="H29" s="20">
        <v>3.6</v>
      </c>
      <c r="I29" s="7">
        <f>Submetering!E29+Water!E32</f>
        <v>520</v>
      </c>
      <c r="J29" s="20">
        <v>9.1</v>
      </c>
      <c r="K29" s="7">
        <f>ELECT.!B33</f>
        <v>111</v>
      </c>
    </row>
    <row r="30" spans="1:11">
      <c r="A30" s="11" t="s">
        <v>11</v>
      </c>
      <c r="B30" s="14">
        <f t="shared" si="0"/>
        <v>29</v>
      </c>
      <c r="C30" s="14">
        <v>10</v>
      </c>
      <c r="D30" s="14">
        <v>2022</v>
      </c>
      <c r="E30" s="7">
        <f>ELECT.!D34+ELECT.!F34+ELECT.!H34</f>
        <v>29751</v>
      </c>
      <c r="F30" s="19">
        <v>1.56</v>
      </c>
      <c r="G30" s="7">
        <f>Submetering!L30+Submetering!M30+Submetering!N30+Submetering!O30+Submetering!P30+Submetering!Q30+Submetering!R30+Submetering!S30+Submetering!T30+Submetering!U30+Submetering!V30+Submetering!W30+Submetering!X30+Submetering!Y30+Submetering!Z30+Submetering!AA30</f>
        <v>2302</v>
      </c>
      <c r="H30" s="20">
        <v>3.6</v>
      </c>
      <c r="I30" s="7">
        <f>Submetering!E30+Water!E33</f>
        <v>531</v>
      </c>
      <c r="J30" s="20">
        <v>9.1</v>
      </c>
      <c r="K30" s="7">
        <f>ELECT.!B34</f>
        <v>93</v>
      </c>
    </row>
    <row r="31" spans="1:11">
      <c r="A31" s="11" t="s">
        <v>11</v>
      </c>
      <c r="B31" s="14">
        <f t="shared" si="0"/>
        <v>30</v>
      </c>
      <c r="C31" s="14">
        <v>10</v>
      </c>
      <c r="D31" s="14">
        <v>2022</v>
      </c>
      <c r="E31" s="7">
        <f>ELECT.!D35+ELECT.!F35+ELECT.!H35</f>
        <v>29661</v>
      </c>
      <c r="F31" s="19">
        <v>1.56</v>
      </c>
      <c r="G31" s="7">
        <f>Submetering!L31+Submetering!M31+Submetering!N31+Submetering!O31+Submetering!P31+Submetering!Q31+Submetering!R31+Submetering!S31+Submetering!T31+Submetering!U31+Submetering!V31+Submetering!W31+Submetering!X31+Submetering!Y31+Submetering!Z31+Submetering!AA31</f>
        <v>2274</v>
      </c>
      <c r="H31" s="20">
        <v>3.6</v>
      </c>
      <c r="I31" s="7">
        <f>Submetering!E31+Water!E34</f>
        <v>520</v>
      </c>
      <c r="J31" s="20">
        <v>9.1</v>
      </c>
      <c r="K31" s="7">
        <f>ELECT.!B35</f>
        <v>85</v>
      </c>
    </row>
    <row r="32" spans="1:11">
      <c r="A32" s="11" t="s">
        <v>11</v>
      </c>
      <c r="B32" s="14">
        <f t="shared" si="0"/>
        <v>31</v>
      </c>
      <c r="C32" s="14">
        <v>10</v>
      </c>
      <c r="D32" s="14">
        <v>2022</v>
      </c>
      <c r="E32" s="7">
        <f>ELECT.!D36+ELECT.!F36+ELECT.!H36</f>
        <v>14689</v>
      </c>
      <c r="F32" s="19">
        <v>1.56</v>
      </c>
      <c r="G32" s="7">
        <f>Submetering!L32+Submetering!M32+Submetering!N32+Submetering!O32+Submetering!P32+Submetering!Q32+Submetering!R32+Submetering!S32+Submetering!T32+Submetering!U32+Submetering!V32+Submetering!W32+Submetering!X32+Submetering!Y32+Submetering!Z32+Submetering!AA32</f>
        <v>2474</v>
      </c>
      <c r="H32" s="20">
        <v>3.6</v>
      </c>
      <c r="I32" s="7">
        <f>Submetering!E32+Water!E35</f>
        <v>399</v>
      </c>
      <c r="J32" s="20">
        <v>9.1</v>
      </c>
      <c r="K32" s="7">
        <f>ELECT.!B36</f>
        <v>79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AB32"/>
  <sheetViews>
    <sheetView topLeftCell="A15" zoomScale="85" zoomScaleNormal="85" workbookViewId="0">
      <selection activeCell="C2" sqref="C2:C32"/>
    </sheetView>
  </sheetViews>
  <sheetFormatPr defaultColWidth="11.5703125" defaultRowHeight="12.75"/>
  <cols>
    <col min="1" max="1" width="25.7109375" style="11" customWidth="1"/>
    <col min="2" max="3" width="11.5703125" style="14"/>
    <col min="4" max="4" width="13.42578125" style="14" customWidth="1"/>
    <col min="5" max="6" width="12.5703125" style="7" customWidth="1"/>
    <col min="7" max="7" width="13.7109375" style="7" bestFit="1" customWidth="1"/>
    <col min="8" max="11" width="12.5703125" style="7" customWidth="1"/>
    <col min="12" max="12" width="11.42578125" style="8" customWidth="1"/>
    <col min="13" max="14" width="12.5703125" style="8" customWidth="1"/>
    <col min="15" max="15" width="11.5703125" style="6"/>
  </cols>
  <sheetData>
    <row r="1" spans="1:28" s="5" customFormat="1" ht="45">
      <c r="A1" s="10" t="s">
        <v>0</v>
      </c>
      <c r="B1" s="12" t="s">
        <v>1</v>
      </c>
      <c r="C1" s="12" t="s">
        <v>2</v>
      </c>
      <c r="D1" s="12" t="s">
        <v>3</v>
      </c>
      <c r="E1" s="13" t="s">
        <v>12</v>
      </c>
      <c r="F1" s="13" t="s">
        <v>13</v>
      </c>
      <c r="G1" s="13" t="s">
        <v>14</v>
      </c>
      <c r="H1" s="13" t="s">
        <v>15</v>
      </c>
      <c r="I1" s="13" t="s">
        <v>16</v>
      </c>
      <c r="J1" s="13" t="s">
        <v>17</v>
      </c>
      <c r="K1" s="13" t="s">
        <v>18</v>
      </c>
      <c r="L1" s="15" t="s">
        <v>19</v>
      </c>
      <c r="M1" s="15" t="s">
        <v>20</v>
      </c>
      <c r="N1" s="15" t="s">
        <v>21</v>
      </c>
      <c r="O1" s="15" t="s">
        <v>22</v>
      </c>
      <c r="P1" s="15" t="s">
        <v>23</v>
      </c>
      <c r="Q1" s="15" t="s">
        <v>24</v>
      </c>
      <c r="R1" s="15" t="s">
        <v>25</v>
      </c>
      <c r="S1" s="15" t="s">
        <v>26</v>
      </c>
      <c r="T1" s="15" t="s">
        <v>27</v>
      </c>
      <c r="U1" s="15" t="s">
        <v>28</v>
      </c>
      <c r="V1" s="15" t="s">
        <v>29</v>
      </c>
      <c r="W1" s="15" t="s">
        <v>30</v>
      </c>
      <c r="X1" s="15" t="s">
        <v>31</v>
      </c>
      <c r="Y1" s="15" t="s">
        <v>32</v>
      </c>
      <c r="Z1" s="15" t="s">
        <v>33</v>
      </c>
      <c r="AA1" s="15" t="s">
        <v>34</v>
      </c>
      <c r="AB1" s="15" t="s">
        <v>35</v>
      </c>
    </row>
    <row r="2" spans="1:28">
      <c r="A2" s="11" t="s">
        <v>11</v>
      </c>
      <c r="B2" s="14">
        <v>1</v>
      </c>
      <c r="C2" s="14">
        <v>10</v>
      </c>
      <c r="D2" s="14">
        <v>2022</v>
      </c>
      <c r="E2" s="7">
        <f>Water!C5</f>
        <v>230</v>
      </c>
      <c r="F2" s="7">
        <f>Water!E5</f>
        <v>399</v>
      </c>
      <c r="G2" s="7">
        <f>ELECT.!D6</f>
        <v>5468</v>
      </c>
      <c r="H2" s="7">
        <f>ELECT.!F6</f>
        <v>10498</v>
      </c>
      <c r="I2" s="7">
        <f>ELECT.!H6</f>
        <v>6599</v>
      </c>
      <c r="J2" s="7">
        <f>ELECT.!K6</f>
        <v>730</v>
      </c>
      <c r="K2" s="7">
        <f>ELECT.!M6</f>
        <v>160</v>
      </c>
      <c r="L2" s="8">
        <f>Gas!C4</f>
        <v>243</v>
      </c>
      <c r="M2" s="8">
        <f>Gas!E4</f>
        <v>653</v>
      </c>
      <c r="N2" s="8">
        <f>Gas!G4</f>
        <v>160</v>
      </c>
      <c r="O2" s="16">
        <f>Gas!I4</f>
        <v>30</v>
      </c>
      <c r="P2" s="16">
        <f>Gas!K4</f>
        <v>1</v>
      </c>
      <c r="Q2" s="8">
        <f>Gas!M4</f>
        <v>55</v>
      </c>
      <c r="R2" s="8">
        <f>Gas!O4</f>
        <v>182</v>
      </c>
      <c r="S2" s="8">
        <f>Gas!Q4</f>
        <v>0</v>
      </c>
      <c r="T2" s="8">
        <f>Gas!S4</f>
        <v>269</v>
      </c>
      <c r="U2" s="8">
        <f>Gas!U4</f>
        <v>32</v>
      </c>
      <c r="V2" s="8">
        <f>Gas!W4</f>
        <v>0</v>
      </c>
      <c r="W2" s="8">
        <f>Gas!Y4</f>
        <v>33</v>
      </c>
      <c r="X2" s="8">
        <f>Gas!AA4</f>
        <v>131</v>
      </c>
      <c r="Y2" s="8">
        <f>Gas!AC4</f>
        <v>0</v>
      </c>
      <c r="Z2" s="8">
        <f>Gas!AE4</f>
        <v>198</v>
      </c>
      <c r="AA2" s="8">
        <f>Gas!AG4</f>
        <v>0</v>
      </c>
      <c r="AB2" s="7">
        <f>ELECT.!B6</f>
        <v>110</v>
      </c>
    </row>
    <row r="3" spans="1:28">
      <c r="A3" s="11" t="s">
        <v>11</v>
      </c>
      <c r="B3" s="14">
        <f>B2+1</f>
        <v>2</v>
      </c>
      <c r="C3" s="14">
        <v>10</v>
      </c>
      <c r="D3" s="14">
        <v>2022</v>
      </c>
      <c r="E3" s="7">
        <f>Water!C6</f>
        <v>220</v>
      </c>
      <c r="F3" s="7">
        <f>Water!E6</f>
        <v>447</v>
      </c>
      <c r="G3" s="7">
        <f>ELECT.!D7</f>
        <v>4427</v>
      </c>
      <c r="H3" s="7">
        <f>ELECT.!F7</f>
        <v>8652</v>
      </c>
      <c r="I3" s="7">
        <f>ELECT.!H7</f>
        <v>5407</v>
      </c>
      <c r="J3" s="7">
        <f>ELECT.!K7</f>
        <v>690</v>
      </c>
      <c r="K3" s="7">
        <f>ELECT.!M7</f>
        <v>147</v>
      </c>
      <c r="L3" s="8">
        <f>Gas!C5</f>
        <v>217</v>
      </c>
      <c r="M3" s="8">
        <f>Gas!E5</f>
        <v>614</v>
      </c>
      <c r="N3" s="8">
        <f>Gas!G5</f>
        <v>144</v>
      </c>
      <c r="O3" s="16">
        <f>Gas!I5</f>
        <v>14</v>
      </c>
      <c r="P3" s="16">
        <f>Gas!K5</f>
        <v>1</v>
      </c>
      <c r="Q3" s="8">
        <f>Gas!M5</f>
        <v>47</v>
      </c>
      <c r="R3" s="8">
        <f>Gas!O5</f>
        <v>42</v>
      </c>
      <c r="S3" s="8">
        <f>Gas!Q5</f>
        <v>0</v>
      </c>
      <c r="T3" s="8">
        <f>Gas!S5</f>
        <v>275</v>
      </c>
      <c r="U3" s="8">
        <f>Gas!U5</f>
        <v>36</v>
      </c>
      <c r="V3" s="8">
        <f>Gas!W5</f>
        <v>0</v>
      </c>
      <c r="W3" s="8">
        <f>Gas!Y5</f>
        <v>26</v>
      </c>
      <c r="X3" s="8">
        <f>Gas!AA5</f>
        <v>126</v>
      </c>
      <c r="Y3" s="8">
        <f>Gas!AC5</f>
        <v>0</v>
      </c>
      <c r="Z3" s="8">
        <f>Gas!AE5</f>
        <v>187</v>
      </c>
      <c r="AA3" s="8">
        <f>Gas!AG5</f>
        <v>0</v>
      </c>
      <c r="AB3" s="7">
        <f>ELECT.!B7</f>
        <v>102</v>
      </c>
    </row>
    <row r="4" spans="1:28">
      <c r="A4" s="11" t="s">
        <v>11</v>
      </c>
      <c r="B4" s="14">
        <f t="shared" ref="B4:B32" si="0">B3+1</f>
        <v>3</v>
      </c>
      <c r="C4" s="14">
        <v>10</v>
      </c>
      <c r="D4" s="14">
        <v>2022</v>
      </c>
      <c r="E4" s="7">
        <f>Water!C7</f>
        <v>220</v>
      </c>
      <c r="F4" s="7">
        <f>Water!E7</f>
        <v>447</v>
      </c>
      <c r="G4" s="7">
        <f>ELECT.!D8</f>
        <v>4829</v>
      </c>
      <c r="H4" s="7">
        <f>ELECT.!F8</f>
        <v>9466</v>
      </c>
      <c r="I4" s="7">
        <f>ELECT.!H8</f>
        <v>5909</v>
      </c>
      <c r="J4" s="7">
        <f>ELECT.!K8</f>
        <v>680</v>
      </c>
      <c r="K4" s="7">
        <f>ELECT.!M8</f>
        <v>133</v>
      </c>
      <c r="L4" s="8">
        <f>Gas!C6</f>
        <v>180</v>
      </c>
      <c r="M4" s="8">
        <f>Gas!E6</f>
        <v>610</v>
      </c>
      <c r="N4" s="8">
        <f>Gas!G6</f>
        <v>128</v>
      </c>
      <c r="O4" s="16">
        <f>Gas!I6</f>
        <v>15</v>
      </c>
      <c r="P4" s="16">
        <f>Gas!K6</f>
        <v>3</v>
      </c>
      <c r="Q4" s="8">
        <f>Gas!M6</f>
        <v>46</v>
      </c>
      <c r="R4" s="8">
        <f>Gas!O6</f>
        <v>139</v>
      </c>
      <c r="S4" s="8">
        <f>Gas!Q6</f>
        <v>0</v>
      </c>
      <c r="T4" s="8">
        <f>Gas!S6</f>
        <v>203</v>
      </c>
      <c r="U4" s="8">
        <f>Gas!U6</f>
        <v>25</v>
      </c>
      <c r="V4" s="8">
        <f>Gas!W6</f>
        <v>0</v>
      </c>
      <c r="W4" s="8">
        <f>Gas!Y6</f>
        <v>52</v>
      </c>
      <c r="X4" s="8">
        <f>Gas!AA6</f>
        <v>118</v>
      </c>
      <c r="Y4" s="8">
        <f>Gas!AC6</f>
        <v>0</v>
      </c>
      <c r="Z4" s="8">
        <f>Gas!AE6</f>
        <v>179</v>
      </c>
      <c r="AA4" s="8">
        <f>Gas!AG6</f>
        <v>0</v>
      </c>
      <c r="AB4" s="7">
        <f>ELECT.!B8</f>
        <v>98</v>
      </c>
    </row>
    <row r="5" spans="1:28">
      <c r="A5" s="11" t="s">
        <v>11</v>
      </c>
      <c r="B5" s="14">
        <f t="shared" si="0"/>
        <v>4</v>
      </c>
      <c r="C5" s="14">
        <v>10</v>
      </c>
      <c r="D5" s="14">
        <v>2022</v>
      </c>
      <c r="E5" s="7">
        <f>Water!C8</f>
        <v>220</v>
      </c>
      <c r="F5" s="7">
        <f>Water!E8</f>
        <v>399</v>
      </c>
      <c r="G5" s="7">
        <f>ELECT.!D9</f>
        <v>5040</v>
      </c>
      <c r="H5" s="7">
        <f>ELECT.!F9</f>
        <v>10023</v>
      </c>
      <c r="I5" s="7">
        <f>ELECT.!H9</f>
        <v>6397</v>
      </c>
      <c r="J5" s="7">
        <f>ELECT.!K9</f>
        <v>580</v>
      </c>
      <c r="K5" s="7">
        <f>ELECT.!M9</f>
        <v>131</v>
      </c>
      <c r="L5" s="8">
        <f>Gas!C7</f>
        <v>255</v>
      </c>
      <c r="M5" s="8">
        <f>Gas!E7</f>
        <v>620</v>
      </c>
      <c r="N5" s="8">
        <f>Gas!G7</f>
        <v>149</v>
      </c>
      <c r="O5" s="16">
        <f>Gas!I7</f>
        <v>21</v>
      </c>
      <c r="P5" s="16">
        <f>Gas!K7</f>
        <v>2</v>
      </c>
      <c r="Q5" s="8">
        <f>Gas!M7</f>
        <v>47</v>
      </c>
      <c r="R5" s="8">
        <f>Gas!O7</f>
        <v>161</v>
      </c>
      <c r="S5" s="8">
        <f>Gas!Q7</f>
        <v>0</v>
      </c>
      <c r="T5" s="8">
        <f>Gas!S7</f>
        <v>219</v>
      </c>
      <c r="U5" s="8">
        <f>Gas!U7</f>
        <v>36</v>
      </c>
      <c r="V5" s="8">
        <f>Gas!W7</f>
        <v>0</v>
      </c>
      <c r="W5" s="8">
        <f>Gas!Y7</f>
        <v>29</v>
      </c>
      <c r="X5" s="8">
        <f>Gas!AA7</f>
        <v>153</v>
      </c>
      <c r="Y5" s="8">
        <f>Gas!AC7</f>
        <v>0</v>
      </c>
      <c r="Z5" s="8">
        <f>Gas!AE7</f>
        <v>195</v>
      </c>
      <c r="AA5" s="8">
        <f>Gas!AG7</f>
        <v>0</v>
      </c>
      <c r="AB5" s="7">
        <f>ELECT.!B9</f>
        <v>95</v>
      </c>
    </row>
    <row r="6" spans="1:28">
      <c r="A6" s="11" t="s">
        <v>11</v>
      </c>
      <c r="B6" s="14">
        <f t="shared" si="0"/>
        <v>5</v>
      </c>
      <c r="C6" s="14">
        <v>10</v>
      </c>
      <c r="D6" s="14">
        <v>2022</v>
      </c>
      <c r="E6" s="7">
        <f>Water!C9</f>
        <v>200</v>
      </c>
      <c r="F6" s="7">
        <f>Water!E9</f>
        <v>418</v>
      </c>
      <c r="G6" s="7">
        <f>ELECT.!D10</f>
        <v>4402</v>
      </c>
      <c r="H6" s="7">
        <f>ELECT.!F10</f>
        <v>8552</v>
      </c>
      <c r="I6" s="7">
        <f>ELECT.!H10</f>
        <v>5726</v>
      </c>
      <c r="J6" s="7">
        <f>ELECT.!K10</f>
        <v>640</v>
      </c>
      <c r="K6" s="7">
        <f>ELECT.!M10</f>
        <v>133</v>
      </c>
      <c r="L6" s="8">
        <f>Gas!C8</f>
        <v>294</v>
      </c>
      <c r="M6" s="8">
        <f>Gas!E8</f>
        <v>738</v>
      </c>
      <c r="N6" s="8">
        <f>Gas!G8</f>
        <v>149</v>
      </c>
      <c r="O6" s="16">
        <f>Gas!I8</f>
        <v>26</v>
      </c>
      <c r="P6" s="16">
        <f>Gas!K8</f>
        <v>1</v>
      </c>
      <c r="Q6" s="8">
        <f>Gas!M8</f>
        <v>52</v>
      </c>
      <c r="R6" s="8">
        <f>Gas!O8</f>
        <v>143</v>
      </c>
      <c r="S6" s="8">
        <f>Gas!Q8</f>
        <v>0</v>
      </c>
      <c r="T6" s="8">
        <f>Gas!S8</f>
        <v>218</v>
      </c>
      <c r="U6" s="8">
        <f>Gas!U8</f>
        <v>45</v>
      </c>
      <c r="V6" s="8">
        <f>Gas!W8</f>
        <v>0</v>
      </c>
      <c r="W6" s="8">
        <f>Gas!Y8</f>
        <v>41</v>
      </c>
      <c r="X6" s="8">
        <f>Gas!AA8</f>
        <v>143</v>
      </c>
      <c r="Y6" s="8">
        <f>Gas!AC8</f>
        <v>0</v>
      </c>
      <c r="Z6" s="8">
        <f>Gas!AE8</f>
        <v>188</v>
      </c>
      <c r="AA6" s="8">
        <f>Gas!AG8</f>
        <v>0</v>
      </c>
      <c r="AB6" s="7">
        <f>ELECT.!B10</f>
        <v>111</v>
      </c>
    </row>
    <row r="7" spans="1:28">
      <c r="A7" s="11" t="s">
        <v>11</v>
      </c>
      <c r="B7" s="14">
        <f t="shared" si="0"/>
        <v>6</v>
      </c>
      <c r="C7" s="14">
        <v>10</v>
      </c>
      <c r="D7" s="14">
        <v>2022</v>
      </c>
      <c r="E7" s="7">
        <f>Water!C10</f>
        <v>250</v>
      </c>
      <c r="F7" s="7">
        <f>Water!E10</f>
        <v>449</v>
      </c>
      <c r="G7" s="7">
        <f>ELECT.!D11</f>
        <v>4843</v>
      </c>
      <c r="H7" s="7">
        <f>ELECT.!F11</f>
        <v>9701</v>
      </c>
      <c r="I7" s="7">
        <f>ELECT.!H11</f>
        <v>6223</v>
      </c>
      <c r="J7" s="7">
        <f>ELECT.!K11</f>
        <v>960</v>
      </c>
      <c r="K7" s="7">
        <f>ELECT.!M11</f>
        <v>121</v>
      </c>
      <c r="L7" s="8">
        <f>Gas!C9</f>
        <v>258</v>
      </c>
      <c r="M7" s="8">
        <f>Gas!E9</f>
        <v>728</v>
      </c>
      <c r="N7" s="8">
        <f>Gas!G9</f>
        <v>156</v>
      </c>
      <c r="O7" s="16">
        <f>Gas!I9</f>
        <v>30</v>
      </c>
      <c r="P7" s="16">
        <f>Gas!K9</f>
        <v>0</v>
      </c>
      <c r="Q7" s="8">
        <f>Gas!M9</f>
        <v>50</v>
      </c>
      <c r="R7" s="8">
        <f>Gas!O9</f>
        <v>198</v>
      </c>
      <c r="S7" s="8">
        <f>Gas!Q9</f>
        <v>0</v>
      </c>
      <c r="T7" s="8">
        <f>Gas!S9</f>
        <v>251</v>
      </c>
      <c r="U7" s="8">
        <f>Gas!U9</f>
        <v>43</v>
      </c>
      <c r="V7" s="8">
        <f>Gas!W9</f>
        <v>0</v>
      </c>
      <c r="W7" s="8">
        <f>Gas!Y9</f>
        <v>47</v>
      </c>
      <c r="X7" s="8">
        <f>Gas!AA9</f>
        <v>148</v>
      </c>
      <c r="Y7" s="8">
        <f>Gas!AC9</f>
        <v>0</v>
      </c>
      <c r="Z7" s="8">
        <f>Gas!AE9</f>
        <v>219</v>
      </c>
      <c r="AA7" s="8">
        <f>Gas!AG9</f>
        <v>0</v>
      </c>
      <c r="AB7" s="7">
        <f>ELECT.!B11</f>
        <v>160</v>
      </c>
    </row>
    <row r="8" spans="1:28">
      <c r="A8" s="11" t="s">
        <v>11</v>
      </c>
      <c r="B8" s="14">
        <f t="shared" si="0"/>
        <v>7</v>
      </c>
      <c r="C8" s="14">
        <v>10</v>
      </c>
      <c r="D8" s="14">
        <v>2022</v>
      </c>
      <c r="E8" s="7">
        <f>Water!C11</f>
        <v>250</v>
      </c>
      <c r="F8" s="7">
        <f>Water!E11</f>
        <v>422</v>
      </c>
      <c r="G8" s="7">
        <f>ELECT.!D12</f>
        <v>5091</v>
      </c>
      <c r="H8" s="7">
        <f>ELECT.!F12</f>
        <v>9158</v>
      </c>
      <c r="I8" s="7">
        <f>ELECT.!H12</f>
        <v>6080</v>
      </c>
      <c r="J8" s="7">
        <f>ELECT.!K12</f>
        <v>240</v>
      </c>
      <c r="K8" s="7">
        <f>ELECT.!M12</f>
        <v>91</v>
      </c>
      <c r="L8" s="8">
        <f>Gas!C10</f>
        <v>299</v>
      </c>
      <c r="M8" s="8">
        <f>Gas!E10</f>
        <v>869</v>
      </c>
      <c r="N8" s="8">
        <f>Gas!G10</f>
        <v>150</v>
      </c>
      <c r="O8" s="16">
        <f>Gas!I10</f>
        <v>22</v>
      </c>
      <c r="P8" s="16">
        <f>Gas!K10</f>
        <v>1</v>
      </c>
      <c r="Q8" s="8">
        <f>Gas!M10</f>
        <v>59</v>
      </c>
      <c r="R8" s="8">
        <f>Gas!O10</f>
        <v>180</v>
      </c>
      <c r="S8" s="8">
        <f>Gas!Q10</f>
        <v>0</v>
      </c>
      <c r="T8" s="8">
        <f>Gas!S10</f>
        <v>268</v>
      </c>
      <c r="U8" s="8">
        <f>Gas!U10</f>
        <v>36</v>
      </c>
      <c r="V8" s="8">
        <f>Gas!W10</f>
        <v>0</v>
      </c>
      <c r="W8" s="8">
        <f>Gas!Y10</f>
        <v>35</v>
      </c>
      <c r="X8" s="8">
        <f>Gas!AA10</f>
        <v>144</v>
      </c>
      <c r="Y8" s="8">
        <f>Gas!AC10</f>
        <v>0</v>
      </c>
      <c r="Z8" s="8">
        <f>Gas!AE10</f>
        <v>243</v>
      </c>
      <c r="AA8" s="8">
        <f>Gas!AG10</f>
        <v>0</v>
      </c>
      <c r="AB8" s="7">
        <f>ELECT.!B12</f>
        <v>164</v>
      </c>
    </row>
    <row r="9" spans="1:28">
      <c r="A9" s="11" t="s">
        <v>11</v>
      </c>
      <c r="B9" s="14">
        <f t="shared" si="0"/>
        <v>8</v>
      </c>
      <c r="C9" s="14">
        <v>10</v>
      </c>
      <c r="D9" s="14">
        <v>2022</v>
      </c>
      <c r="E9" s="7">
        <f>Water!C12</f>
        <v>260</v>
      </c>
      <c r="F9" s="7">
        <f>Water!E12</f>
        <v>545</v>
      </c>
      <c r="G9" s="7">
        <f>ELECT.!D13</f>
        <v>4986</v>
      </c>
      <c r="H9" s="7">
        <f>ELECT.!F13</f>
        <v>9266</v>
      </c>
      <c r="I9" s="7">
        <f>ELECT.!H13</f>
        <v>6031</v>
      </c>
      <c r="J9" s="7">
        <f>ELECT.!K13</f>
        <v>580</v>
      </c>
      <c r="K9" s="7">
        <f>ELECT.!M13</f>
        <v>103</v>
      </c>
      <c r="L9" s="8">
        <f>Gas!C11</f>
        <v>239</v>
      </c>
      <c r="M9" s="8">
        <f>Gas!E11</f>
        <v>576</v>
      </c>
      <c r="N9" s="8">
        <f>Gas!G11</f>
        <v>142</v>
      </c>
      <c r="O9" s="16">
        <f>Gas!I11</f>
        <v>20</v>
      </c>
      <c r="P9" s="16">
        <f>Gas!K11</f>
        <v>0</v>
      </c>
      <c r="Q9" s="8">
        <f>Gas!M11</f>
        <v>46</v>
      </c>
      <c r="R9" s="8">
        <f>Gas!O11</f>
        <v>34</v>
      </c>
      <c r="S9" s="8">
        <f>Gas!Q11</f>
        <v>0</v>
      </c>
      <c r="T9" s="8">
        <f>Gas!S11</f>
        <v>344</v>
      </c>
      <c r="U9" s="8">
        <f>Gas!U11</f>
        <v>28</v>
      </c>
      <c r="V9" s="8">
        <f>Gas!W11</f>
        <v>0</v>
      </c>
      <c r="W9" s="8">
        <f>Gas!Y11</f>
        <v>51</v>
      </c>
      <c r="X9" s="8">
        <f>Gas!AA11</f>
        <v>146</v>
      </c>
      <c r="Y9" s="8">
        <f>Gas!AC11</f>
        <v>0</v>
      </c>
      <c r="Z9" s="8">
        <f>Gas!AE11</f>
        <v>241</v>
      </c>
      <c r="AA9" s="8">
        <f>Gas!AG11</f>
        <v>0</v>
      </c>
      <c r="AB9" s="7">
        <f>ELECT.!B13</f>
        <v>130</v>
      </c>
    </row>
    <row r="10" spans="1:28">
      <c r="A10" s="11" t="s">
        <v>11</v>
      </c>
      <c r="B10" s="14">
        <f t="shared" si="0"/>
        <v>9</v>
      </c>
      <c r="C10" s="14">
        <v>10</v>
      </c>
      <c r="D10" s="14">
        <v>2022</v>
      </c>
      <c r="E10" s="7">
        <f>Water!C13</f>
        <v>200</v>
      </c>
      <c r="F10" s="7">
        <f>Water!E13</f>
        <v>250</v>
      </c>
      <c r="G10" s="7">
        <f>ELECT.!D14</f>
        <v>4347</v>
      </c>
      <c r="H10" s="7">
        <f>ELECT.!F14</f>
        <v>8147</v>
      </c>
      <c r="I10" s="7">
        <f>ELECT.!H14</f>
        <v>5341</v>
      </c>
      <c r="J10" s="7">
        <f>ELECT.!K14</f>
        <v>580</v>
      </c>
      <c r="K10" s="7">
        <f>ELECT.!M14</f>
        <v>121</v>
      </c>
      <c r="L10" s="8">
        <f>Gas!C12</f>
        <v>304</v>
      </c>
      <c r="M10" s="8">
        <f>Gas!E12</f>
        <v>894</v>
      </c>
      <c r="N10" s="8">
        <f>Gas!G12</f>
        <v>149</v>
      </c>
      <c r="O10" s="16">
        <f>Gas!I12</f>
        <v>17</v>
      </c>
      <c r="P10" s="16">
        <f>Gas!K12</f>
        <v>0</v>
      </c>
      <c r="Q10" s="8">
        <f>Gas!M12</f>
        <v>51</v>
      </c>
      <c r="R10" s="8">
        <f>Gas!O12</f>
        <v>63</v>
      </c>
      <c r="S10" s="8">
        <f>Gas!Q12</f>
        <v>0</v>
      </c>
      <c r="T10" s="8">
        <f>Gas!S12</f>
        <v>322</v>
      </c>
      <c r="U10" s="8">
        <f>Gas!U12</f>
        <v>43</v>
      </c>
      <c r="V10" s="8">
        <f>Gas!W12</f>
        <v>0</v>
      </c>
      <c r="W10" s="8">
        <f>Gas!Y12</f>
        <v>42</v>
      </c>
      <c r="X10" s="8">
        <f>Gas!AA12</f>
        <v>245</v>
      </c>
      <c r="Y10" s="8">
        <f>Gas!AC12</f>
        <v>0</v>
      </c>
      <c r="Z10" s="8">
        <f>Gas!AE12</f>
        <v>230</v>
      </c>
      <c r="AA10" s="8">
        <f>Gas!AG12</f>
        <v>0</v>
      </c>
      <c r="AB10" s="7">
        <f>ELECT.!B14</f>
        <v>100</v>
      </c>
    </row>
    <row r="11" spans="1:28">
      <c r="A11" s="11" t="s">
        <v>11</v>
      </c>
      <c r="B11" s="14">
        <f t="shared" si="0"/>
        <v>10</v>
      </c>
      <c r="C11" s="14">
        <v>10</v>
      </c>
      <c r="D11" s="14">
        <v>2022</v>
      </c>
      <c r="E11" s="7">
        <f>Water!C14</f>
        <v>220</v>
      </c>
      <c r="F11" s="7">
        <f>Water!E14</f>
        <v>450</v>
      </c>
      <c r="G11" s="7">
        <f>ELECT.!D15</f>
        <v>4896</v>
      </c>
      <c r="H11" s="7">
        <f>ELECT.!F15</f>
        <v>9648</v>
      </c>
      <c r="I11" s="7">
        <f>ELECT.!H15</f>
        <v>6446</v>
      </c>
      <c r="J11" s="7">
        <f>ELECT.!K15</f>
        <v>620</v>
      </c>
      <c r="K11" s="7">
        <f>ELECT.!M15</f>
        <v>133</v>
      </c>
      <c r="L11" s="8">
        <f>Gas!C13</f>
        <v>299</v>
      </c>
      <c r="M11" s="8">
        <f>Gas!E13</f>
        <v>752</v>
      </c>
      <c r="N11" s="8">
        <f>Gas!G13</f>
        <v>102</v>
      </c>
      <c r="O11" s="16">
        <f>Gas!I13</f>
        <v>21</v>
      </c>
      <c r="P11" s="16">
        <f>Gas!K13</f>
        <v>0</v>
      </c>
      <c r="Q11" s="8">
        <f>Gas!M13</f>
        <v>54</v>
      </c>
      <c r="R11" s="8">
        <f>Gas!O13</f>
        <v>190</v>
      </c>
      <c r="S11" s="8">
        <f>Gas!Q13</f>
        <v>0</v>
      </c>
      <c r="T11" s="8">
        <f>Gas!S13</f>
        <v>190</v>
      </c>
      <c r="U11" s="8">
        <f>Gas!U13</f>
        <v>42</v>
      </c>
      <c r="V11" s="8">
        <f>Gas!W13</f>
        <v>0</v>
      </c>
      <c r="W11" s="8">
        <f>Gas!Y13</f>
        <v>45</v>
      </c>
      <c r="X11" s="8">
        <f>Gas!AA13</f>
        <v>215</v>
      </c>
      <c r="Y11" s="8">
        <f>Gas!AC13</f>
        <v>0</v>
      </c>
      <c r="Z11" s="8">
        <f>Gas!AE13</f>
        <v>141</v>
      </c>
      <c r="AA11" s="8">
        <f>Gas!AG13</f>
        <v>0</v>
      </c>
      <c r="AB11" s="7">
        <f>ELECT.!B15</f>
        <v>102</v>
      </c>
    </row>
    <row r="12" spans="1:28">
      <c r="A12" s="11" t="s">
        <v>11</v>
      </c>
      <c r="B12" s="14">
        <f t="shared" si="0"/>
        <v>11</v>
      </c>
      <c r="C12" s="14">
        <v>10</v>
      </c>
      <c r="D12" s="14">
        <v>2022</v>
      </c>
      <c r="E12" s="7">
        <f>Water!C15</f>
        <v>240</v>
      </c>
      <c r="F12" s="7">
        <f>Water!E15</f>
        <v>439</v>
      </c>
      <c r="G12" s="7">
        <f>ELECT.!D16</f>
        <v>4601</v>
      </c>
      <c r="H12" s="7">
        <f>ELECT.!F16</f>
        <v>9367</v>
      </c>
      <c r="I12" s="7">
        <f>ELECT.!H16</f>
        <v>5985</v>
      </c>
      <c r="J12" s="7">
        <f>ELECT.!K16</f>
        <v>490</v>
      </c>
      <c r="K12" s="7">
        <f>ELECT.!M16</f>
        <v>112</v>
      </c>
      <c r="L12" s="8">
        <f>Gas!C14</f>
        <v>259</v>
      </c>
      <c r="M12" s="8">
        <f>Gas!E14</f>
        <v>806</v>
      </c>
      <c r="N12" s="8">
        <f>Gas!G14</f>
        <v>141</v>
      </c>
      <c r="O12" s="16">
        <f>Gas!I14</f>
        <v>21</v>
      </c>
      <c r="P12" s="16">
        <f>Gas!K14</f>
        <v>0</v>
      </c>
      <c r="Q12" s="8">
        <f>Gas!M14</f>
        <v>51</v>
      </c>
      <c r="R12" s="8">
        <f>Gas!O14</f>
        <v>186</v>
      </c>
      <c r="S12" s="8">
        <f>Gas!Q14</f>
        <v>0</v>
      </c>
      <c r="T12" s="8">
        <f>Gas!S14</f>
        <v>307</v>
      </c>
      <c r="U12" s="8">
        <f>Gas!U14</f>
        <v>30</v>
      </c>
      <c r="V12" s="8">
        <f>Gas!W14</f>
        <v>0</v>
      </c>
      <c r="W12" s="8">
        <f>Gas!Y14</f>
        <v>36</v>
      </c>
      <c r="X12" s="8">
        <f>Gas!AA14</f>
        <v>170</v>
      </c>
      <c r="Y12" s="8">
        <f>Gas!AC14</f>
        <v>0</v>
      </c>
      <c r="Z12" s="8">
        <f>Gas!AE14</f>
        <v>212</v>
      </c>
      <c r="AA12" s="8">
        <f>Gas!AG14</f>
        <v>0</v>
      </c>
      <c r="AB12" s="7">
        <f>ELECT.!B16</f>
        <v>122</v>
      </c>
    </row>
    <row r="13" spans="1:28">
      <c r="A13" s="11" t="s">
        <v>11</v>
      </c>
      <c r="B13" s="14">
        <f t="shared" si="0"/>
        <v>12</v>
      </c>
      <c r="C13" s="14">
        <v>10</v>
      </c>
      <c r="D13" s="14">
        <v>2022</v>
      </c>
      <c r="E13" s="7">
        <f>Water!C16</f>
        <v>240</v>
      </c>
      <c r="F13" s="7">
        <f>Water!E16</f>
        <v>473</v>
      </c>
      <c r="G13" s="7">
        <f>ELECT.!D17</f>
        <v>4838</v>
      </c>
      <c r="H13" s="7">
        <f>ELECT.!F17</f>
        <v>9806</v>
      </c>
      <c r="I13" s="7">
        <f>ELECT.!H17</f>
        <v>6760</v>
      </c>
      <c r="J13" s="7">
        <f>ELECT.!K17</f>
        <v>570</v>
      </c>
      <c r="K13" s="7">
        <f>ELECT.!M17</f>
        <v>107</v>
      </c>
      <c r="L13" s="8">
        <f>Gas!C15</f>
        <v>360</v>
      </c>
      <c r="M13" s="8">
        <f>Gas!E15</f>
        <v>869</v>
      </c>
      <c r="N13" s="8">
        <f>Gas!G15</f>
        <v>134</v>
      </c>
      <c r="O13" s="16">
        <f>Gas!I15</f>
        <v>34</v>
      </c>
      <c r="P13" s="16">
        <f>Gas!K15</f>
        <v>0</v>
      </c>
      <c r="Q13" s="8">
        <f>Gas!M15</f>
        <v>58</v>
      </c>
      <c r="R13" s="8">
        <f>Gas!O15</f>
        <v>225</v>
      </c>
      <c r="S13" s="8">
        <f>Gas!Q15</f>
        <v>0</v>
      </c>
      <c r="T13" s="8">
        <f>Gas!S15</f>
        <v>227</v>
      </c>
      <c r="U13" s="8">
        <f>Gas!U15</f>
        <v>32</v>
      </c>
      <c r="V13" s="8">
        <f>Gas!W15</f>
        <v>0</v>
      </c>
      <c r="W13" s="8">
        <f>Gas!Y15</f>
        <v>51</v>
      </c>
      <c r="X13" s="8">
        <f>Gas!AA15</f>
        <v>306</v>
      </c>
      <c r="Y13" s="8">
        <f>Gas!AC15</f>
        <v>0</v>
      </c>
      <c r="Z13" s="8">
        <f>Gas!AE15</f>
        <v>198</v>
      </c>
      <c r="AA13" s="8">
        <f>Gas!AG15</f>
        <v>0</v>
      </c>
      <c r="AB13" s="7">
        <f>ELECT.!B17</f>
        <v>135</v>
      </c>
    </row>
    <row r="14" spans="1:28">
      <c r="A14" s="11" t="s">
        <v>11</v>
      </c>
      <c r="B14" s="14">
        <f t="shared" si="0"/>
        <v>13</v>
      </c>
      <c r="C14" s="14">
        <v>10</v>
      </c>
      <c r="D14" s="14">
        <v>2022</v>
      </c>
      <c r="E14" s="7">
        <f>Water!C17</f>
        <v>240</v>
      </c>
      <c r="F14" s="7">
        <f>Water!E17</f>
        <v>476</v>
      </c>
      <c r="G14" s="7">
        <f>ELECT.!D18</f>
        <v>4937</v>
      </c>
      <c r="H14" s="7">
        <f>ELECT.!F18</f>
        <v>10142</v>
      </c>
      <c r="I14" s="7">
        <f>ELECT.!H18</f>
        <v>6938</v>
      </c>
      <c r="J14" s="7">
        <f>ELECT.!K18</f>
        <v>600</v>
      </c>
      <c r="K14" s="7">
        <f>ELECT.!M18</f>
        <v>119</v>
      </c>
      <c r="L14" s="8">
        <f>Gas!C16</f>
        <v>268</v>
      </c>
      <c r="M14" s="8">
        <f>Gas!E16</f>
        <v>957</v>
      </c>
      <c r="N14" s="8">
        <f>Gas!G16</f>
        <v>138</v>
      </c>
      <c r="O14" s="16">
        <f>Gas!I16</f>
        <v>35</v>
      </c>
      <c r="P14" s="16">
        <f>Gas!K16</f>
        <v>0</v>
      </c>
      <c r="Q14" s="8">
        <f>Gas!M16</f>
        <v>63</v>
      </c>
      <c r="R14" s="8">
        <f>Gas!O16</f>
        <v>169</v>
      </c>
      <c r="S14" s="8">
        <f>Gas!Q16</f>
        <v>0</v>
      </c>
      <c r="T14" s="8">
        <f>Gas!S16</f>
        <v>238</v>
      </c>
      <c r="U14" s="8">
        <f>Gas!U16</f>
        <v>69</v>
      </c>
      <c r="V14" s="8">
        <f>Gas!W16</f>
        <v>0</v>
      </c>
      <c r="W14" s="8">
        <f>Gas!Y16</f>
        <v>37</v>
      </c>
      <c r="X14" s="8">
        <f>Gas!AA16</f>
        <v>299</v>
      </c>
      <c r="Y14" s="8">
        <f>Gas!AC16</f>
        <v>0</v>
      </c>
      <c r="Z14" s="8">
        <f>Gas!AE16</f>
        <v>228</v>
      </c>
      <c r="AA14" s="8">
        <f>Gas!AG16</f>
        <v>0</v>
      </c>
      <c r="AB14" s="7">
        <f>ELECT.!B18</f>
        <v>144</v>
      </c>
    </row>
    <row r="15" spans="1:28">
      <c r="A15" s="11" t="s">
        <v>11</v>
      </c>
      <c r="B15" s="14">
        <f t="shared" si="0"/>
        <v>14</v>
      </c>
      <c r="C15" s="14">
        <v>10</v>
      </c>
      <c r="D15" s="14">
        <v>2022</v>
      </c>
      <c r="E15" s="7">
        <f>Water!C18</f>
        <v>270</v>
      </c>
      <c r="F15" s="7">
        <f>Water!E18</f>
        <v>480</v>
      </c>
      <c r="G15" s="7">
        <f>ELECT.!D19</f>
        <v>5074</v>
      </c>
      <c r="H15" s="7">
        <f>ELECT.!F19</f>
        <v>9572</v>
      </c>
      <c r="I15" s="7">
        <f>ELECT.!H19</f>
        <v>5956</v>
      </c>
      <c r="J15" s="7">
        <f>ELECT.!K19</f>
        <v>470</v>
      </c>
      <c r="K15" s="7">
        <f>ELECT.!M19</f>
        <v>106</v>
      </c>
      <c r="L15" s="8">
        <f>Gas!C17</f>
        <v>325</v>
      </c>
      <c r="M15" s="8">
        <f>Gas!E17</f>
        <v>815</v>
      </c>
      <c r="N15" s="8">
        <f>Gas!G17</f>
        <v>138</v>
      </c>
      <c r="O15" s="16">
        <f>Gas!I17</f>
        <v>31</v>
      </c>
      <c r="P15" s="16">
        <f>Gas!K17</f>
        <v>10</v>
      </c>
      <c r="Q15" s="8">
        <f>Gas!M17</f>
        <v>71</v>
      </c>
      <c r="R15" s="8">
        <f>Gas!O17</f>
        <v>87</v>
      </c>
      <c r="S15" s="8">
        <f>Gas!Q17</f>
        <v>0</v>
      </c>
      <c r="T15" s="8">
        <f>Gas!S17</f>
        <v>234</v>
      </c>
      <c r="U15" s="8">
        <f>Gas!U17</f>
        <v>51</v>
      </c>
      <c r="V15" s="8">
        <f>Gas!W17</f>
        <v>0</v>
      </c>
      <c r="W15" s="8">
        <f>Gas!Y17</f>
        <v>41</v>
      </c>
      <c r="X15" s="8">
        <f>Gas!AA17</f>
        <v>275</v>
      </c>
      <c r="Y15" s="8">
        <f>Gas!AC17</f>
        <v>0</v>
      </c>
      <c r="Z15" s="8">
        <f>Gas!AE17</f>
        <v>212</v>
      </c>
      <c r="AA15" s="8">
        <f>Gas!AG17</f>
        <v>0</v>
      </c>
      <c r="AB15" s="7">
        <f>ELECT.!B19</f>
        <v>103</v>
      </c>
    </row>
    <row r="16" spans="1:28">
      <c r="A16" s="11" t="s">
        <v>11</v>
      </c>
      <c r="B16" s="14">
        <f t="shared" si="0"/>
        <v>15</v>
      </c>
      <c r="C16" s="14">
        <v>10</v>
      </c>
      <c r="D16" s="14">
        <v>2022</v>
      </c>
      <c r="E16" s="7">
        <f>Water!C19</f>
        <v>250</v>
      </c>
      <c r="F16" s="7">
        <f>Water!E19</f>
        <v>390</v>
      </c>
      <c r="G16" s="7">
        <f>ELECT.!D20</f>
        <v>4534</v>
      </c>
      <c r="H16" s="7">
        <f>ELECT.!F20</f>
        <v>9016</v>
      </c>
      <c r="I16" s="7">
        <f>ELECT.!H20</f>
        <v>6230</v>
      </c>
      <c r="J16" s="7">
        <f>ELECT.!K20</f>
        <v>600</v>
      </c>
      <c r="K16" s="7">
        <f>ELECT.!M20</f>
        <v>110</v>
      </c>
      <c r="L16" s="8">
        <f>Gas!C18</f>
        <v>299</v>
      </c>
      <c r="M16" s="8">
        <f>Gas!E18</f>
        <v>920</v>
      </c>
      <c r="N16" s="8">
        <f>Gas!G18</f>
        <v>115</v>
      </c>
      <c r="O16" s="16">
        <f>Gas!I18</f>
        <v>34</v>
      </c>
      <c r="P16" s="16">
        <f>Gas!K18</f>
        <v>0</v>
      </c>
      <c r="Q16" s="8">
        <f>Gas!M18</f>
        <v>81</v>
      </c>
      <c r="R16" s="8">
        <f>Gas!O18</f>
        <v>100</v>
      </c>
      <c r="S16" s="8">
        <f>Gas!Q18</f>
        <v>0</v>
      </c>
      <c r="T16" s="8">
        <f>Gas!S18</f>
        <v>208</v>
      </c>
      <c r="U16" s="8">
        <f>Gas!U18</f>
        <v>57</v>
      </c>
      <c r="V16" s="8">
        <f>Gas!W18</f>
        <v>0</v>
      </c>
      <c r="W16" s="8">
        <f>Gas!Y18</f>
        <v>31</v>
      </c>
      <c r="X16" s="8">
        <f>Gas!AA18</f>
        <v>247</v>
      </c>
      <c r="Y16" s="8">
        <f>Gas!AC18</f>
        <v>0</v>
      </c>
      <c r="Z16" s="8">
        <f>Gas!AE18</f>
        <v>205</v>
      </c>
      <c r="AA16" s="8">
        <f>Gas!AG18</f>
        <v>0</v>
      </c>
      <c r="AB16" s="7">
        <f>ELECT.!B20</f>
        <v>82</v>
      </c>
    </row>
    <row r="17" spans="1:28">
      <c r="A17" s="11" t="s">
        <v>11</v>
      </c>
      <c r="B17" s="14">
        <f t="shared" si="0"/>
        <v>16</v>
      </c>
      <c r="C17" s="14">
        <v>10</v>
      </c>
      <c r="D17" s="14">
        <v>2022</v>
      </c>
      <c r="E17" s="7">
        <f>Water!C20</f>
        <v>180</v>
      </c>
      <c r="F17" s="7">
        <f>Water!E20</f>
        <v>388</v>
      </c>
      <c r="G17" s="7">
        <f>ELECT.!D21</f>
        <v>4257</v>
      </c>
      <c r="H17" s="7">
        <f>ELECT.!F21</f>
        <v>8785</v>
      </c>
      <c r="I17" s="7">
        <f>ELECT.!H21</f>
        <v>5413</v>
      </c>
      <c r="J17" s="7">
        <f>ELECT.!K21</f>
        <v>530</v>
      </c>
      <c r="K17" s="7">
        <f>ELECT.!M21</f>
        <v>118</v>
      </c>
      <c r="L17" s="8">
        <f>Gas!C19</f>
        <v>329</v>
      </c>
      <c r="M17" s="8">
        <f>Gas!E19</f>
        <v>738</v>
      </c>
      <c r="N17" s="8">
        <f>Gas!G19</f>
        <v>149</v>
      </c>
      <c r="O17" s="16">
        <f>Gas!I19</f>
        <v>10</v>
      </c>
      <c r="P17" s="16">
        <f>Gas!K19</f>
        <v>0</v>
      </c>
      <c r="Q17" s="8">
        <f>Gas!M19</f>
        <v>53</v>
      </c>
      <c r="R17" s="8">
        <f>Gas!O19</f>
        <v>90</v>
      </c>
      <c r="S17" s="8">
        <f>Gas!Q19</f>
        <v>0</v>
      </c>
      <c r="T17" s="8">
        <f>Gas!S19</f>
        <v>231</v>
      </c>
      <c r="U17" s="8">
        <f>Gas!U19</f>
        <v>61</v>
      </c>
      <c r="V17" s="8">
        <f>Gas!W19</f>
        <v>0</v>
      </c>
      <c r="W17" s="8">
        <f>Gas!Y19</f>
        <v>29</v>
      </c>
      <c r="X17" s="8">
        <f>Gas!AA19</f>
        <v>210</v>
      </c>
      <c r="Y17" s="8">
        <f>Gas!AC19</f>
        <v>0</v>
      </c>
      <c r="Z17" s="8">
        <f>Gas!AE19</f>
        <v>196</v>
      </c>
      <c r="AA17" s="8">
        <f>Gas!AG19</f>
        <v>0</v>
      </c>
      <c r="AB17" s="7">
        <f>ELECT.!B21</f>
        <v>79</v>
      </c>
    </row>
    <row r="18" spans="1:28">
      <c r="A18" s="11" t="s">
        <v>11</v>
      </c>
      <c r="B18" s="14">
        <f t="shared" si="0"/>
        <v>17</v>
      </c>
      <c r="C18" s="14">
        <v>10</v>
      </c>
      <c r="D18" s="14">
        <v>2022</v>
      </c>
      <c r="E18" s="7">
        <f>Water!C21</f>
        <v>160</v>
      </c>
      <c r="F18" s="7">
        <f>Water!E21</f>
        <v>315</v>
      </c>
      <c r="G18" s="7">
        <f>ELECT.!D22</f>
        <v>4342</v>
      </c>
      <c r="H18" s="7">
        <f>ELECT.!F22</f>
        <v>8603</v>
      </c>
      <c r="I18" s="7">
        <f>ELECT.!H22</f>
        <v>5519</v>
      </c>
      <c r="J18" s="7">
        <f>ELECT.!K22</f>
        <v>450</v>
      </c>
      <c r="K18" s="7">
        <f>ELECT.!M22</f>
        <v>87</v>
      </c>
      <c r="L18" s="8">
        <f>Gas!C20</f>
        <v>318</v>
      </c>
      <c r="M18" s="8">
        <f>Gas!E20</f>
        <v>784</v>
      </c>
      <c r="N18" s="8">
        <f>Gas!G20</f>
        <v>129</v>
      </c>
      <c r="O18" s="16">
        <f>Gas!I20</f>
        <v>8</v>
      </c>
      <c r="P18" s="16">
        <f>Gas!K20</f>
        <v>0</v>
      </c>
      <c r="Q18" s="8">
        <f>Gas!M20</f>
        <v>71</v>
      </c>
      <c r="R18" s="8">
        <f>Gas!O20</f>
        <v>37</v>
      </c>
      <c r="S18" s="8">
        <f>Gas!Q20</f>
        <v>0</v>
      </c>
      <c r="T18" s="8">
        <f>Gas!S20</f>
        <v>301</v>
      </c>
      <c r="U18" s="8">
        <f>Gas!U20</f>
        <v>20</v>
      </c>
      <c r="V18" s="8">
        <f>Gas!W20</f>
        <v>0</v>
      </c>
      <c r="W18" s="8">
        <f>Gas!Y20</f>
        <v>39</v>
      </c>
      <c r="X18" s="8">
        <f>Gas!AA20</f>
        <v>293</v>
      </c>
      <c r="Y18" s="8">
        <f>Gas!AC20</f>
        <v>0</v>
      </c>
      <c r="Z18" s="8">
        <f>Gas!AE20</f>
        <v>215</v>
      </c>
      <c r="AA18" s="8">
        <f>Gas!AG20</f>
        <v>0</v>
      </c>
      <c r="AB18" s="7">
        <f>ELECT.!B22</f>
        <v>102</v>
      </c>
    </row>
    <row r="19" spans="1:28">
      <c r="A19" s="11" t="s">
        <v>11</v>
      </c>
      <c r="B19" s="14">
        <f t="shared" si="0"/>
        <v>18</v>
      </c>
      <c r="C19" s="14">
        <v>10</v>
      </c>
      <c r="D19" s="14">
        <v>2022</v>
      </c>
      <c r="E19" s="7">
        <f>Water!C22</f>
        <v>160</v>
      </c>
      <c r="F19" s="7">
        <f>Water!E22</f>
        <v>378</v>
      </c>
      <c r="G19" s="7">
        <f>ELECT.!D23</f>
        <v>4419</v>
      </c>
      <c r="H19" s="7">
        <f>ELECT.!F23</f>
        <v>8571</v>
      </c>
      <c r="I19" s="7">
        <f>ELECT.!H23</f>
        <v>5746</v>
      </c>
      <c r="J19" s="7">
        <f>ELECT.!K23</f>
        <v>490</v>
      </c>
      <c r="K19" s="7">
        <f>ELECT.!M23</f>
        <v>98</v>
      </c>
      <c r="L19" s="8">
        <f>Gas!C21</f>
        <v>356</v>
      </c>
      <c r="M19" s="8">
        <f>Gas!E21</f>
        <v>919</v>
      </c>
      <c r="N19" s="8">
        <f>Gas!G21</f>
        <v>141</v>
      </c>
      <c r="O19" s="16">
        <f>Gas!I21</f>
        <v>11</v>
      </c>
      <c r="P19" s="16">
        <f>Gas!K21</f>
        <v>0</v>
      </c>
      <c r="Q19" s="8">
        <f>Gas!M21</f>
        <v>30</v>
      </c>
      <c r="R19" s="8">
        <f>Gas!O21</f>
        <v>47</v>
      </c>
      <c r="S19" s="8">
        <f>Gas!Q21</f>
        <v>0</v>
      </c>
      <c r="T19" s="8">
        <f>Gas!S21</f>
        <v>261</v>
      </c>
      <c r="U19" s="8">
        <f>Gas!U21</f>
        <v>13</v>
      </c>
      <c r="V19" s="8">
        <f>Gas!W21</f>
        <v>0</v>
      </c>
      <c r="W19" s="8">
        <f>Gas!Y21</f>
        <v>55</v>
      </c>
      <c r="X19" s="8">
        <f>Gas!AA21</f>
        <v>75</v>
      </c>
      <c r="Y19" s="8">
        <f>Gas!AC21</f>
        <v>0</v>
      </c>
      <c r="Z19" s="8">
        <f>Gas!AE21</f>
        <v>204</v>
      </c>
      <c r="AA19" s="8">
        <f>Gas!AG21</f>
        <v>0</v>
      </c>
      <c r="AB19" s="7">
        <f>ELECT.!B23</f>
        <v>81</v>
      </c>
    </row>
    <row r="20" spans="1:28">
      <c r="A20" s="11" t="s">
        <v>11</v>
      </c>
      <c r="B20" s="14">
        <f t="shared" si="0"/>
        <v>19</v>
      </c>
      <c r="C20" s="14">
        <v>10</v>
      </c>
      <c r="D20" s="14">
        <v>2022</v>
      </c>
      <c r="E20" s="7">
        <f>Water!C23</f>
        <v>190</v>
      </c>
      <c r="F20" s="7">
        <f>Water!E23</f>
        <v>198</v>
      </c>
      <c r="G20" s="7">
        <f>ELECT.!D24</f>
        <v>4600</v>
      </c>
      <c r="H20" s="7">
        <f>ELECT.!F24</f>
        <v>8948</v>
      </c>
      <c r="I20" s="7">
        <f>ELECT.!H24</f>
        <v>5711</v>
      </c>
      <c r="J20" s="7">
        <f>ELECT.!K24</f>
        <v>460</v>
      </c>
      <c r="K20" s="7">
        <f>ELECT.!M24</f>
        <v>103</v>
      </c>
      <c r="L20" s="8">
        <f>Gas!C22</f>
        <v>236</v>
      </c>
      <c r="M20" s="8">
        <f>Gas!E22</f>
        <v>654</v>
      </c>
      <c r="N20" s="8">
        <f>Gas!G22</f>
        <v>128</v>
      </c>
      <c r="O20" s="16">
        <f>Gas!I22</f>
        <v>37</v>
      </c>
      <c r="P20" s="16">
        <f>Gas!K22</f>
        <v>4</v>
      </c>
      <c r="Q20" s="8">
        <f>Gas!M22</f>
        <v>12</v>
      </c>
      <c r="R20" s="8">
        <f>Gas!O22</f>
        <v>14</v>
      </c>
      <c r="S20" s="8">
        <f>Gas!Q22</f>
        <v>0</v>
      </c>
      <c r="T20" s="8">
        <f>Gas!S22</f>
        <v>224</v>
      </c>
      <c r="U20" s="8">
        <f>Gas!U22</f>
        <v>11</v>
      </c>
      <c r="V20" s="8">
        <f>Gas!W22</f>
        <v>0</v>
      </c>
      <c r="W20" s="8">
        <f>Gas!Y22</f>
        <v>22</v>
      </c>
      <c r="X20" s="8">
        <f>Gas!AA22</f>
        <v>50</v>
      </c>
      <c r="Y20" s="8">
        <f>Gas!AC22</f>
        <v>0</v>
      </c>
      <c r="Z20" s="8">
        <f>Gas!AE22</f>
        <v>197</v>
      </c>
      <c r="AA20" s="8">
        <f>Gas!AG22</f>
        <v>0</v>
      </c>
      <c r="AB20" s="7">
        <f>ELECT.!B24</f>
        <v>63</v>
      </c>
    </row>
    <row r="21" spans="1:28">
      <c r="A21" s="11" t="s">
        <v>11</v>
      </c>
      <c r="B21" s="14">
        <f t="shared" si="0"/>
        <v>20</v>
      </c>
      <c r="C21" s="14">
        <v>10</v>
      </c>
      <c r="D21" s="14">
        <v>2022</v>
      </c>
      <c r="E21" s="7">
        <f>Water!C24</f>
        <v>200</v>
      </c>
      <c r="F21" s="7">
        <f>Water!E24</f>
        <v>266</v>
      </c>
      <c r="G21" s="7">
        <f>ELECT.!D25</f>
        <v>4317</v>
      </c>
      <c r="H21" s="7">
        <f>ELECT.!F25</f>
        <v>8975</v>
      </c>
      <c r="I21" s="7">
        <f>ELECT.!H25</f>
        <v>5713</v>
      </c>
      <c r="J21" s="7">
        <f>ELECT.!K25</f>
        <v>470</v>
      </c>
      <c r="K21" s="7">
        <f>ELECT.!M25</f>
        <v>93</v>
      </c>
      <c r="L21" s="8">
        <f>Gas!C23</f>
        <v>300</v>
      </c>
      <c r="M21" s="8">
        <f>Gas!E23</f>
        <v>746</v>
      </c>
      <c r="N21" s="8">
        <f>Gas!G23</f>
        <v>118</v>
      </c>
      <c r="O21" s="16">
        <f>Gas!I23</f>
        <v>27</v>
      </c>
      <c r="P21" s="16">
        <f>Gas!K23</f>
        <v>1</v>
      </c>
      <c r="Q21" s="8">
        <f>Gas!M23</f>
        <v>21</v>
      </c>
      <c r="R21" s="8">
        <f>Gas!O23</f>
        <v>158</v>
      </c>
      <c r="S21" s="8">
        <f>Gas!Q23</f>
        <v>0</v>
      </c>
      <c r="T21" s="8">
        <f>Gas!S23</f>
        <v>175</v>
      </c>
      <c r="U21" s="8">
        <f>Gas!U23</f>
        <v>16</v>
      </c>
      <c r="V21" s="8">
        <f>Gas!W23</f>
        <v>0</v>
      </c>
      <c r="W21" s="8">
        <f>Gas!Y23</f>
        <v>34</v>
      </c>
      <c r="X21" s="8">
        <f>Gas!AA23</f>
        <v>282</v>
      </c>
      <c r="Y21" s="8">
        <f>Gas!AC23</f>
        <v>0</v>
      </c>
      <c r="Z21" s="8">
        <f>Gas!AE23</f>
        <v>280</v>
      </c>
      <c r="AA21" s="8">
        <f>Gas!AG23</f>
        <v>0</v>
      </c>
      <c r="AB21" s="7">
        <f>ELECT.!B25</f>
        <v>127</v>
      </c>
    </row>
    <row r="22" spans="1:28">
      <c r="A22" s="11" t="s">
        <v>11</v>
      </c>
      <c r="B22" s="14">
        <f t="shared" si="0"/>
        <v>21</v>
      </c>
      <c r="C22" s="14">
        <v>10</v>
      </c>
      <c r="D22" s="14">
        <v>2022</v>
      </c>
      <c r="E22" s="7">
        <f>Water!C25</f>
        <v>260</v>
      </c>
      <c r="F22" s="7">
        <f>Water!E25</f>
        <v>246</v>
      </c>
      <c r="G22" s="7">
        <f>ELECT.!D26</f>
        <v>5029</v>
      </c>
      <c r="H22" s="7">
        <f>ELECT.!F26</f>
        <v>8520</v>
      </c>
      <c r="I22" s="7">
        <f>ELECT.!H26</f>
        <v>5784</v>
      </c>
      <c r="J22" s="7">
        <f>ELECT.!K26</f>
        <v>420</v>
      </c>
      <c r="K22" s="7">
        <f>ELECT.!M26</f>
        <v>81</v>
      </c>
      <c r="L22" s="8">
        <f>Gas!C24</f>
        <v>345</v>
      </c>
      <c r="M22" s="8">
        <f>Gas!E24</f>
        <v>794</v>
      </c>
      <c r="N22" s="8">
        <f>Gas!G24</f>
        <v>155</v>
      </c>
      <c r="O22" s="16">
        <f>Gas!I24</f>
        <v>25</v>
      </c>
      <c r="P22" s="16">
        <f>Gas!K24</f>
        <v>2</v>
      </c>
      <c r="Q22" s="8">
        <f>Gas!M24</f>
        <v>64</v>
      </c>
      <c r="R22" s="8">
        <f>Gas!O24</f>
        <v>122</v>
      </c>
      <c r="S22" s="8">
        <f>Gas!Q24</f>
        <v>0</v>
      </c>
      <c r="T22" s="8">
        <f>Gas!S24</f>
        <v>299</v>
      </c>
      <c r="U22" s="8">
        <f>Gas!U24</f>
        <v>15</v>
      </c>
      <c r="V22" s="8">
        <f>Gas!W24</f>
        <v>0</v>
      </c>
      <c r="W22" s="8">
        <f>Gas!Y24</f>
        <v>48</v>
      </c>
      <c r="X22" s="8">
        <f>Gas!AA24</f>
        <v>359</v>
      </c>
      <c r="Y22" s="8">
        <f>Gas!AC24</f>
        <v>0</v>
      </c>
      <c r="Z22" s="8">
        <f>Gas!AE24</f>
        <v>246</v>
      </c>
      <c r="AA22" s="8">
        <f>Gas!AG24</f>
        <v>0</v>
      </c>
      <c r="AB22" s="7">
        <f>ELECT.!B26</f>
        <v>111</v>
      </c>
    </row>
    <row r="23" spans="1:28">
      <c r="A23" s="11" t="s">
        <v>11</v>
      </c>
      <c r="B23" s="14">
        <f t="shared" si="0"/>
        <v>22</v>
      </c>
      <c r="C23" s="14">
        <v>10</v>
      </c>
      <c r="D23" s="14">
        <v>2022</v>
      </c>
      <c r="E23" s="7">
        <f>Water!C26</f>
        <v>230</v>
      </c>
      <c r="F23" s="7">
        <f>Water!E26</f>
        <v>98</v>
      </c>
      <c r="G23" s="7">
        <f>ELECT.!D27</f>
        <v>5084</v>
      </c>
      <c r="H23" s="7">
        <f>ELECT.!F27</f>
        <v>9099</v>
      </c>
      <c r="I23" s="7">
        <f>ELECT.!H27</f>
        <v>5929</v>
      </c>
      <c r="J23" s="7">
        <f>ELECT.!K27</f>
        <v>450</v>
      </c>
      <c r="K23" s="7">
        <f>ELECT.!M27</f>
        <v>88</v>
      </c>
      <c r="L23" s="8">
        <f>Gas!C25</f>
        <v>277</v>
      </c>
      <c r="M23" s="8">
        <f>Gas!E25</f>
        <v>743</v>
      </c>
      <c r="N23" s="8">
        <f>Gas!G25</f>
        <v>132</v>
      </c>
      <c r="O23" s="16">
        <f>Gas!I25</f>
        <v>11</v>
      </c>
      <c r="P23" s="16">
        <f>Gas!K25</f>
        <v>1</v>
      </c>
      <c r="Q23" s="8">
        <f>Gas!M25</f>
        <v>44</v>
      </c>
      <c r="R23" s="8">
        <f>Gas!O25</f>
        <v>69</v>
      </c>
      <c r="S23" s="8">
        <f>Gas!Q25</f>
        <v>0</v>
      </c>
      <c r="T23" s="8">
        <f>Gas!S25</f>
        <v>239</v>
      </c>
      <c r="U23" s="8">
        <f>Gas!U25</f>
        <v>33</v>
      </c>
      <c r="V23" s="8">
        <f>Gas!W25</f>
        <v>0</v>
      </c>
      <c r="W23" s="8">
        <f>Gas!Y25</f>
        <v>36</v>
      </c>
      <c r="X23" s="8">
        <f>Gas!AA25</f>
        <v>248</v>
      </c>
      <c r="Y23" s="8">
        <f>Gas!AC25</f>
        <v>0</v>
      </c>
      <c r="Z23" s="8">
        <f>Gas!AE25</f>
        <v>202</v>
      </c>
      <c r="AA23" s="8">
        <f>Gas!AG25</f>
        <v>0</v>
      </c>
      <c r="AB23" s="7">
        <f>ELECT.!B27</f>
        <v>83</v>
      </c>
    </row>
    <row r="24" spans="1:28">
      <c r="A24" s="11" t="s">
        <v>11</v>
      </c>
      <c r="B24" s="14">
        <f t="shared" si="0"/>
        <v>23</v>
      </c>
      <c r="C24" s="14">
        <v>10</v>
      </c>
      <c r="D24" s="14">
        <v>2022</v>
      </c>
      <c r="E24" s="7">
        <f>Water!C27</f>
        <v>240</v>
      </c>
      <c r="F24" s="7">
        <f>Water!E27</f>
        <v>114</v>
      </c>
      <c r="G24" s="7">
        <f>ELECT.!D28</f>
        <v>4269</v>
      </c>
      <c r="H24" s="7">
        <f>ELECT.!F28</f>
        <v>7923</v>
      </c>
      <c r="I24" s="7">
        <f>ELECT.!H28</f>
        <v>5175</v>
      </c>
      <c r="J24" s="7">
        <f>ELECT.!K28</f>
        <v>430</v>
      </c>
      <c r="K24" s="7">
        <f>ELECT.!M28</f>
        <v>90</v>
      </c>
      <c r="L24" s="8">
        <f>Gas!C26</f>
        <v>260</v>
      </c>
      <c r="M24" s="8">
        <f>Gas!E26</f>
        <v>827</v>
      </c>
      <c r="N24" s="8">
        <f>Gas!G26</f>
        <v>139</v>
      </c>
      <c r="O24" s="16">
        <f>Gas!I26</f>
        <v>18</v>
      </c>
      <c r="P24" s="16">
        <f>Gas!K26</f>
        <v>0</v>
      </c>
      <c r="Q24" s="8">
        <f>Gas!M26</f>
        <v>50</v>
      </c>
      <c r="R24" s="8">
        <f>Gas!O26</f>
        <v>8</v>
      </c>
      <c r="S24" s="8">
        <f>Gas!Q26</f>
        <v>0</v>
      </c>
      <c r="T24" s="8">
        <f>Gas!S26</f>
        <v>218</v>
      </c>
      <c r="U24" s="8">
        <f>Gas!U26</f>
        <v>38</v>
      </c>
      <c r="V24" s="8">
        <f>Gas!W26</f>
        <v>0</v>
      </c>
      <c r="W24" s="8">
        <f>Gas!Y26</f>
        <v>32</v>
      </c>
      <c r="X24" s="8">
        <f>Gas!AA26</f>
        <v>223</v>
      </c>
      <c r="Y24" s="8">
        <f>Gas!AC26</f>
        <v>0</v>
      </c>
      <c r="Z24" s="8">
        <f>Gas!AE26</f>
        <v>197</v>
      </c>
      <c r="AA24" s="8">
        <f>Gas!AG26</f>
        <v>0</v>
      </c>
      <c r="AB24" s="7">
        <f>ELECT.!B28</f>
        <v>90</v>
      </c>
    </row>
    <row r="25" spans="1:28">
      <c r="A25" s="11" t="s">
        <v>11</v>
      </c>
      <c r="B25" s="14">
        <f t="shared" si="0"/>
        <v>24</v>
      </c>
      <c r="C25" s="14">
        <v>10</v>
      </c>
      <c r="D25" s="14">
        <v>2022</v>
      </c>
      <c r="E25" s="7">
        <f>Water!C28</f>
        <v>420</v>
      </c>
      <c r="F25" s="7">
        <f>Water!E28</f>
        <v>117</v>
      </c>
      <c r="G25" s="7">
        <f>ELECT.!D29</f>
        <v>4593</v>
      </c>
      <c r="H25" s="7">
        <f>ELECT.!F29</f>
        <v>8802</v>
      </c>
      <c r="I25" s="7">
        <f>ELECT.!H29</f>
        <v>5951</v>
      </c>
      <c r="J25" s="7">
        <f>ELECT.!K29</f>
        <v>540</v>
      </c>
      <c r="K25" s="7">
        <f>ELECT.!M29</f>
        <v>92</v>
      </c>
      <c r="L25" s="8">
        <f>Gas!C27</f>
        <v>322</v>
      </c>
      <c r="M25" s="8">
        <f>Gas!E27</f>
        <v>901</v>
      </c>
      <c r="N25" s="8">
        <f>Gas!G27</f>
        <v>130</v>
      </c>
      <c r="O25" s="16">
        <f>Gas!I27</f>
        <v>16</v>
      </c>
      <c r="P25" s="16">
        <f>Gas!K27</f>
        <v>0</v>
      </c>
      <c r="Q25" s="8">
        <f>Gas!M27</f>
        <v>52</v>
      </c>
      <c r="R25" s="8">
        <f>Gas!O27</f>
        <v>133</v>
      </c>
      <c r="S25" s="8">
        <f>Gas!Q27</f>
        <v>0</v>
      </c>
      <c r="T25" s="8">
        <f>Gas!S27</f>
        <v>234</v>
      </c>
      <c r="U25" s="8">
        <f>Gas!U27</f>
        <v>31</v>
      </c>
      <c r="V25" s="8">
        <f>Gas!W27</f>
        <v>0</v>
      </c>
      <c r="W25" s="8">
        <f>Gas!Y27</f>
        <v>44</v>
      </c>
      <c r="X25" s="8">
        <f>Gas!AA27</f>
        <v>301</v>
      </c>
      <c r="Y25" s="8">
        <f>Gas!AC27</f>
        <v>0</v>
      </c>
      <c r="Z25" s="8">
        <f>Gas!AE27</f>
        <v>229</v>
      </c>
      <c r="AA25" s="8">
        <f>Gas!AG27</f>
        <v>0</v>
      </c>
      <c r="AB25" s="7">
        <f>ELECT.!B29</f>
        <v>79</v>
      </c>
    </row>
    <row r="26" spans="1:28">
      <c r="A26" s="11" t="s">
        <v>11</v>
      </c>
      <c r="B26" s="14">
        <f>B25+1</f>
        <v>25</v>
      </c>
      <c r="C26" s="14">
        <v>10</v>
      </c>
      <c r="D26" s="14">
        <v>2022</v>
      </c>
      <c r="E26" s="7">
        <f>Water!C29</f>
        <v>230</v>
      </c>
      <c r="F26" s="7">
        <f>Water!E29</f>
        <v>227</v>
      </c>
      <c r="G26" s="7">
        <f>ELECT.!D30</f>
        <v>4275</v>
      </c>
      <c r="H26" s="7">
        <f>ELECT.!F30</f>
        <v>9120</v>
      </c>
      <c r="I26" s="7">
        <f>ELECT.!H30</f>
        <v>5138</v>
      </c>
      <c r="J26" s="7">
        <f>ELECT.!K30</f>
        <v>270</v>
      </c>
      <c r="K26" s="7">
        <f>ELECT.!M30</f>
        <v>97</v>
      </c>
      <c r="L26" s="8">
        <f>Gas!C28</f>
        <v>263</v>
      </c>
      <c r="M26" s="8">
        <f>Gas!E28</f>
        <v>804</v>
      </c>
      <c r="N26" s="8">
        <f>Gas!G28</f>
        <v>127</v>
      </c>
      <c r="O26" s="16">
        <f>Gas!I28</f>
        <v>14</v>
      </c>
      <c r="P26" s="16">
        <f>Gas!K28</f>
        <v>0</v>
      </c>
      <c r="Q26" s="8">
        <f>Gas!M28</f>
        <v>50</v>
      </c>
      <c r="R26" s="8">
        <f>Gas!O28</f>
        <v>65</v>
      </c>
      <c r="S26" s="8">
        <f>Gas!Q28</f>
        <v>0</v>
      </c>
      <c r="T26" s="8">
        <f>Gas!S28</f>
        <v>193</v>
      </c>
      <c r="U26" s="8">
        <f>Gas!U28</f>
        <v>36</v>
      </c>
      <c r="V26" s="8">
        <f>Gas!W28</f>
        <v>0</v>
      </c>
      <c r="W26" s="8">
        <f>Gas!Y28</f>
        <v>40</v>
      </c>
      <c r="X26" s="8">
        <f>Gas!AA28</f>
        <v>308</v>
      </c>
      <c r="Y26" s="8">
        <f>Gas!AC28</f>
        <v>0</v>
      </c>
      <c r="Z26" s="8">
        <f>Gas!AE28</f>
        <v>214</v>
      </c>
      <c r="AA26" s="8">
        <f>Gas!AG28</f>
        <v>0</v>
      </c>
      <c r="AB26" s="7">
        <f>ELECT.!B30</f>
        <v>77</v>
      </c>
    </row>
    <row r="27" spans="1:28">
      <c r="A27" s="11" t="s">
        <v>11</v>
      </c>
      <c r="B27" s="14">
        <f t="shared" si="0"/>
        <v>26</v>
      </c>
      <c r="C27" s="14">
        <v>10</v>
      </c>
      <c r="D27" s="14">
        <v>2022</v>
      </c>
      <c r="E27" s="7">
        <f>Water!C30</f>
        <v>250</v>
      </c>
      <c r="F27" s="7">
        <f>Water!E30</f>
        <v>254</v>
      </c>
      <c r="G27" s="7">
        <f>ELECT.!D31</f>
        <v>4427</v>
      </c>
      <c r="H27" s="7">
        <f>ELECT.!F31</f>
        <v>9119</v>
      </c>
      <c r="I27" s="7">
        <f>ELECT.!H31</f>
        <v>5833</v>
      </c>
      <c r="J27" s="7">
        <f>ELECT.!K31</f>
        <v>420</v>
      </c>
      <c r="K27" s="7">
        <f>ELECT.!M31</f>
        <v>97</v>
      </c>
      <c r="L27" s="8">
        <f>Gas!C29</f>
        <v>335</v>
      </c>
      <c r="M27" s="8">
        <f>Gas!E29</f>
        <v>794</v>
      </c>
      <c r="N27" s="8">
        <f>Gas!G29</f>
        <v>146</v>
      </c>
      <c r="O27" s="16">
        <f>Gas!I29</f>
        <v>23</v>
      </c>
      <c r="P27" s="16">
        <f>Gas!K29</f>
        <v>0</v>
      </c>
      <c r="Q27" s="8">
        <f>Gas!M29</f>
        <v>54</v>
      </c>
      <c r="R27" s="8">
        <f>Gas!O29</f>
        <v>82</v>
      </c>
      <c r="S27" s="8">
        <f>Gas!Q29</f>
        <v>0</v>
      </c>
      <c r="T27" s="8">
        <f>Gas!S29</f>
        <v>210</v>
      </c>
      <c r="U27" s="8">
        <f>Gas!U29</f>
        <v>43</v>
      </c>
      <c r="V27" s="8">
        <f>Gas!W29</f>
        <v>0</v>
      </c>
      <c r="W27" s="8">
        <f>Gas!Y29</f>
        <v>55</v>
      </c>
      <c r="X27" s="8">
        <f>Gas!AA29</f>
        <v>434</v>
      </c>
      <c r="Y27" s="8">
        <f>Gas!AC29</f>
        <v>0</v>
      </c>
      <c r="Z27" s="8">
        <f>Gas!AE29</f>
        <v>180</v>
      </c>
      <c r="AA27" s="8">
        <f>Gas!AG29</f>
        <v>0</v>
      </c>
      <c r="AB27" s="7">
        <f>ELECT.!B31</f>
        <v>92</v>
      </c>
    </row>
    <row r="28" spans="1:28">
      <c r="A28" s="11" t="s">
        <v>11</v>
      </c>
      <c r="B28" s="14">
        <f t="shared" si="0"/>
        <v>27</v>
      </c>
      <c r="C28" s="14">
        <v>10</v>
      </c>
      <c r="D28" s="14">
        <v>2022</v>
      </c>
      <c r="E28" s="7">
        <f>Water!C31</f>
        <v>260</v>
      </c>
      <c r="F28" s="7">
        <f>Water!E31</f>
        <v>283</v>
      </c>
      <c r="G28" s="7">
        <f>ELECT.!D32</f>
        <v>4552</v>
      </c>
      <c r="H28" s="7">
        <f>ELECT.!F32</f>
        <v>9135</v>
      </c>
      <c r="I28" s="7">
        <f>ELECT.!H32</f>
        <v>6623</v>
      </c>
      <c r="J28" s="7">
        <f>ELECT.!K32</f>
        <v>440</v>
      </c>
      <c r="K28" s="7">
        <f>ELECT.!M32</f>
        <v>90</v>
      </c>
      <c r="L28" s="8">
        <f>Gas!C30</f>
        <v>307</v>
      </c>
      <c r="M28" s="8">
        <f>Gas!E30</f>
        <v>781</v>
      </c>
      <c r="N28" s="8">
        <f>Gas!G30</f>
        <v>188</v>
      </c>
      <c r="O28" s="16">
        <f>Gas!I30</f>
        <v>29</v>
      </c>
      <c r="P28" s="16">
        <f>Gas!K30</f>
        <v>4</v>
      </c>
      <c r="Q28" s="8">
        <f>Gas!M30</f>
        <v>48</v>
      </c>
      <c r="R28" s="8">
        <f>Gas!O30</f>
        <v>76</v>
      </c>
      <c r="S28" s="8">
        <f>Gas!Q30</f>
        <v>0</v>
      </c>
      <c r="T28" s="8">
        <f>Gas!S30</f>
        <v>229</v>
      </c>
      <c r="U28" s="8">
        <f>Gas!U30</f>
        <v>30</v>
      </c>
      <c r="V28" s="8">
        <f>Gas!W30</f>
        <v>0</v>
      </c>
      <c r="W28" s="8">
        <f>Gas!Y30</f>
        <v>29</v>
      </c>
      <c r="X28" s="8">
        <f>Gas!AA30</f>
        <v>297</v>
      </c>
      <c r="Y28" s="8">
        <f>Gas!AC30</f>
        <v>0</v>
      </c>
      <c r="Z28" s="8">
        <f>Gas!AE30</f>
        <v>227</v>
      </c>
      <c r="AA28" s="8">
        <f>Gas!AG30</f>
        <v>0</v>
      </c>
      <c r="AB28" s="7">
        <f>ELECT.!B32</f>
        <v>103</v>
      </c>
    </row>
    <row r="29" spans="1:28">
      <c r="A29" s="11" t="s">
        <v>11</v>
      </c>
      <c r="B29" s="14">
        <f t="shared" si="0"/>
        <v>28</v>
      </c>
      <c r="C29" s="14">
        <v>10</v>
      </c>
      <c r="D29" s="14">
        <v>2022</v>
      </c>
      <c r="E29" s="7">
        <f>Water!C32</f>
        <v>280</v>
      </c>
      <c r="F29" s="7">
        <f>Water!E32</f>
        <v>240</v>
      </c>
      <c r="G29" s="7">
        <f>ELECT.!D33</f>
        <v>4727</v>
      </c>
      <c r="H29" s="7">
        <f>ELECT.!F33</f>
        <v>18511</v>
      </c>
      <c r="I29" s="7">
        <f>ELECT.!H33</f>
        <v>6334</v>
      </c>
      <c r="J29" s="7">
        <f>ELECT.!K33</f>
        <v>490</v>
      </c>
      <c r="K29" s="7">
        <f>ELECT.!M33</f>
        <v>91</v>
      </c>
      <c r="L29" s="8">
        <f>Gas!C31</f>
        <v>320</v>
      </c>
      <c r="M29" s="8">
        <f>Gas!E31</f>
        <v>783</v>
      </c>
      <c r="N29" s="8">
        <f>Gas!G31</f>
        <v>132</v>
      </c>
      <c r="O29" s="16">
        <f>Gas!I31</f>
        <v>28</v>
      </c>
      <c r="P29" s="16">
        <f>Gas!K31</f>
        <v>0</v>
      </c>
      <c r="Q29" s="8">
        <f>Gas!M31</f>
        <v>58</v>
      </c>
      <c r="R29" s="8">
        <f>Gas!O31</f>
        <v>79</v>
      </c>
      <c r="S29" s="8">
        <f>Gas!Q31</f>
        <v>0</v>
      </c>
      <c r="T29" s="8">
        <f>Gas!S31</f>
        <v>255</v>
      </c>
      <c r="U29" s="8">
        <f>Gas!U31</f>
        <v>26</v>
      </c>
      <c r="V29" s="8">
        <f>Gas!W31</f>
        <v>0</v>
      </c>
      <c r="W29" s="8">
        <f>Gas!Y31</f>
        <v>50</v>
      </c>
      <c r="X29" s="8">
        <f>Gas!AA31</f>
        <v>422</v>
      </c>
      <c r="Y29" s="8">
        <f>Gas!AC31</f>
        <v>0</v>
      </c>
      <c r="Z29" s="8">
        <f>Gas!AE31</f>
        <v>214</v>
      </c>
      <c r="AA29" s="8">
        <f>Gas!AG31</f>
        <v>0</v>
      </c>
      <c r="AB29" s="7">
        <f>ELECT.!B33</f>
        <v>111</v>
      </c>
    </row>
    <row r="30" spans="1:28">
      <c r="A30" s="11" t="s">
        <v>11</v>
      </c>
      <c r="B30" s="14">
        <f t="shared" si="0"/>
        <v>29</v>
      </c>
      <c r="C30" s="14">
        <v>10</v>
      </c>
      <c r="D30" s="14">
        <v>2022</v>
      </c>
      <c r="E30" s="7">
        <f>Water!C33</f>
        <v>270</v>
      </c>
      <c r="F30" s="7">
        <f>Water!E33</f>
        <v>261</v>
      </c>
      <c r="G30" s="7">
        <f>ELECT.!D34</f>
        <v>4640</v>
      </c>
      <c r="H30" s="7">
        <f>ELECT.!F34</f>
        <v>18632</v>
      </c>
      <c r="I30" s="7">
        <f>ELECT.!H34</f>
        <v>6479</v>
      </c>
      <c r="J30" s="7">
        <f>ELECT.!K34</f>
        <v>465</v>
      </c>
      <c r="K30" s="7">
        <f>ELECT.!M34</f>
        <v>90</v>
      </c>
      <c r="L30" s="8">
        <f>Gas!C32</f>
        <v>313</v>
      </c>
      <c r="M30" s="8">
        <f>Gas!E32</f>
        <v>782</v>
      </c>
      <c r="N30" s="8">
        <f>Gas!G32</f>
        <v>160</v>
      </c>
      <c r="O30" s="16">
        <f>Gas!I32</f>
        <v>28</v>
      </c>
      <c r="P30" s="16">
        <f>Gas!K32</f>
        <v>0</v>
      </c>
      <c r="Q30" s="8">
        <f>Gas!M32</f>
        <v>53</v>
      </c>
      <c r="R30" s="8">
        <f>Gas!O32</f>
        <v>77</v>
      </c>
      <c r="S30" s="8">
        <f>Gas!Q32</f>
        <v>0</v>
      </c>
      <c r="T30" s="8">
        <f>Gas!S32</f>
        <v>242</v>
      </c>
      <c r="U30" s="8">
        <f>Gas!U32</f>
        <v>28</v>
      </c>
      <c r="V30" s="8">
        <f>Gas!W32</f>
        <v>0</v>
      </c>
      <c r="W30" s="8">
        <f>Gas!Y32</f>
        <v>40</v>
      </c>
      <c r="X30" s="8">
        <f>Gas!AA32</f>
        <v>359</v>
      </c>
      <c r="Y30" s="8">
        <f>Gas!AC32</f>
        <v>0</v>
      </c>
      <c r="Z30" s="8">
        <f>Gas!AE32</f>
        <v>220</v>
      </c>
      <c r="AA30" s="8">
        <f>Gas!AG32</f>
        <v>0</v>
      </c>
      <c r="AB30" s="7">
        <f>ELECT.!B34</f>
        <v>93</v>
      </c>
    </row>
    <row r="31" spans="1:28">
      <c r="A31" s="11" t="s">
        <v>11</v>
      </c>
      <c r="B31" s="14">
        <f t="shared" si="0"/>
        <v>30</v>
      </c>
      <c r="C31" s="14">
        <v>10</v>
      </c>
      <c r="D31" s="14">
        <v>2022</v>
      </c>
      <c r="E31" s="7">
        <f>Water!C34</f>
        <v>270</v>
      </c>
      <c r="F31" s="7">
        <f>Water!E34</f>
        <v>250</v>
      </c>
      <c r="G31" s="7">
        <f>ELECT.!D35</f>
        <v>4683</v>
      </c>
      <c r="H31" s="7">
        <f>ELECT.!F35</f>
        <v>18572</v>
      </c>
      <c r="I31" s="7">
        <f>ELECT.!H35</f>
        <v>6406</v>
      </c>
      <c r="J31" s="7">
        <f>ELECT.!K35</f>
        <v>477</v>
      </c>
      <c r="K31" s="7">
        <f>ELECT.!M35</f>
        <v>90</v>
      </c>
      <c r="L31" s="8">
        <f>Gas!C33</f>
        <v>316</v>
      </c>
      <c r="M31" s="8">
        <f>Gas!E33</f>
        <v>782</v>
      </c>
      <c r="N31" s="8">
        <f>Gas!G33</f>
        <v>146</v>
      </c>
      <c r="O31" s="16">
        <f>Gas!I33</f>
        <v>15</v>
      </c>
      <c r="P31" s="16">
        <f>Gas!K33</f>
        <v>0</v>
      </c>
      <c r="Q31" s="8">
        <f>Gas!M33</f>
        <v>55</v>
      </c>
      <c r="R31" s="8">
        <f>Gas!O33</f>
        <v>33</v>
      </c>
      <c r="S31" s="8">
        <f>Gas!Q33</f>
        <v>0</v>
      </c>
      <c r="T31" s="8">
        <f>Gas!S33</f>
        <v>248</v>
      </c>
      <c r="U31" s="8">
        <f>Gas!U33</f>
        <v>27</v>
      </c>
      <c r="V31" s="8">
        <f>Gas!W33</f>
        <v>0</v>
      </c>
      <c r="W31" s="8">
        <f>Gas!Y33</f>
        <v>45</v>
      </c>
      <c r="X31" s="8">
        <f>Gas!AA33</f>
        <v>390</v>
      </c>
      <c r="Y31" s="8">
        <f>Gas!AC33</f>
        <v>0</v>
      </c>
      <c r="Z31" s="8">
        <f>Gas!AE33</f>
        <v>217</v>
      </c>
      <c r="AA31" s="8">
        <f>Gas!AG33</f>
        <v>0</v>
      </c>
      <c r="AB31" s="7">
        <f>ELECT.!B35</f>
        <v>85</v>
      </c>
    </row>
    <row r="32" spans="1:28">
      <c r="A32" s="11" t="s">
        <v>11</v>
      </c>
      <c r="B32" s="14">
        <f t="shared" si="0"/>
        <v>31</v>
      </c>
      <c r="C32" s="14">
        <v>10</v>
      </c>
      <c r="D32" s="14">
        <v>2022</v>
      </c>
      <c r="E32" s="7">
        <f>Water!C35</f>
        <v>130</v>
      </c>
      <c r="F32" s="7">
        <f>Water!E35</f>
        <v>269</v>
      </c>
      <c r="G32" s="7">
        <f>ELECT.!D36</f>
        <v>3472</v>
      </c>
      <c r="H32" s="7">
        <f>ELECT.!F36</f>
        <v>6498</v>
      </c>
      <c r="I32" s="7">
        <f>ELECT.!H36</f>
        <v>4719</v>
      </c>
      <c r="J32" s="7">
        <f>ELECT.!K36</f>
        <v>118</v>
      </c>
      <c r="K32" s="7">
        <f>ELECT.!M36</f>
        <v>83</v>
      </c>
      <c r="L32" s="8">
        <f>Gas!C34</f>
        <v>175</v>
      </c>
      <c r="M32" s="8">
        <f>Gas!E34</f>
        <v>1228</v>
      </c>
      <c r="N32" s="8">
        <f>Gas!G34</f>
        <v>92</v>
      </c>
      <c r="O32" s="16">
        <f>Gas!I34</f>
        <v>12</v>
      </c>
      <c r="P32" s="16">
        <f>Gas!K34</f>
        <v>2</v>
      </c>
      <c r="Q32" s="8">
        <f>Gas!M34</f>
        <v>48</v>
      </c>
      <c r="R32" s="8">
        <f>Gas!O34</f>
        <v>40</v>
      </c>
      <c r="S32" s="8">
        <f>Gas!Q34</f>
        <v>0</v>
      </c>
      <c r="T32" s="8">
        <f>Gas!S34</f>
        <v>175</v>
      </c>
      <c r="U32" s="8">
        <f>Gas!U34</f>
        <v>38</v>
      </c>
      <c r="V32" s="8">
        <f>Gas!W34</f>
        <v>0</v>
      </c>
      <c r="W32" s="8">
        <f>Gas!Y34</f>
        <v>34</v>
      </c>
      <c r="X32" s="8">
        <f>Gas!AA34</f>
        <v>352</v>
      </c>
      <c r="Y32" s="8">
        <f>Gas!AC34</f>
        <v>0</v>
      </c>
      <c r="Z32" s="8">
        <f>Gas!AE34</f>
        <v>278</v>
      </c>
      <c r="AA32" s="8">
        <f>Gas!AG34</f>
        <v>0</v>
      </c>
      <c r="AB32" s="7">
        <f>ELECT.!B36</f>
        <v>79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1:K36"/>
  <sheetViews>
    <sheetView zoomScale="70" zoomScaleNormal="70" workbookViewId="0">
      <selection activeCell="K34" sqref="K34"/>
    </sheetView>
  </sheetViews>
  <sheetFormatPr defaultColWidth="8.7109375" defaultRowHeight="18"/>
  <cols>
    <col min="1" max="1" width="15.42578125" style="24" bestFit="1" customWidth="1"/>
    <col min="2" max="2" width="21.5703125" style="22" bestFit="1" customWidth="1"/>
    <col min="3" max="3" width="12.42578125" style="22" bestFit="1" customWidth="1"/>
    <col min="4" max="4" width="21.5703125" style="22" bestFit="1" customWidth="1"/>
    <col min="5" max="5" width="11.140625" style="22" bestFit="1" customWidth="1"/>
    <col min="6" max="10" width="8.7109375" style="22"/>
    <col min="11" max="11" width="18.28515625" style="22" bestFit="1" customWidth="1"/>
    <col min="12" max="16384" width="8.7109375" style="22"/>
  </cols>
  <sheetData>
    <row r="1" spans="1:5" ht="28.5" customHeight="1" thickBot="1">
      <c r="A1" s="108" t="s">
        <v>36</v>
      </c>
      <c r="B1" s="109"/>
      <c r="C1" s="109"/>
      <c r="D1" s="109"/>
      <c r="E1" s="110"/>
    </row>
    <row r="2" spans="1:5" ht="19.5" thickBot="1">
      <c r="A2" s="27" t="s">
        <v>1</v>
      </c>
      <c r="B2" s="111"/>
      <c r="C2" s="112"/>
      <c r="D2" s="112"/>
      <c r="E2" s="113"/>
    </row>
    <row r="3" spans="1:5" ht="18.75">
      <c r="A3" s="28"/>
      <c r="B3" s="29" t="s">
        <v>37</v>
      </c>
      <c r="C3" s="29" t="s">
        <v>38</v>
      </c>
      <c r="D3" s="89" t="s">
        <v>39</v>
      </c>
      <c r="E3" s="30" t="s">
        <v>38</v>
      </c>
    </row>
    <row r="4" spans="1:5" ht="26.25">
      <c r="A4" s="46" t="s">
        <v>40</v>
      </c>
      <c r="B4" s="124">
        <v>71009</v>
      </c>
      <c r="C4" s="80">
        <v>0</v>
      </c>
      <c r="D4" s="128">
        <v>717898</v>
      </c>
      <c r="E4" s="85">
        <v>0</v>
      </c>
    </row>
    <row r="5" spans="1:5" ht="26.25">
      <c r="A5" s="46">
        <v>44835</v>
      </c>
      <c r="B5" s="125">
        <v>71032</v>
      </c>
      <c r="C5" s="81">
        <f>(IF((B5-B4)&lt;0,"0",(B5-B4)))*10</f>
        <v>230</v>
      </c>
      <c r="D5" s="129">
        <v>718308</v>
      </c>
      <c r="E5" s="85">
        <f>E8</f>
        <v>399</v>
      </c>
    </row>
    <row r="6" spans="1:5" ht="26.25">
      <c r="A6" s="46">
        <v>44836</v>
      </c>
      <c r="B6" s="126">
        <v>71054</v>
      </c>
      <c r="C6" s="81">
        <f t="shared" ref="C6:C34" si="0">(IF((B6-B5)&lt;0,"0",(B6-B5)))*10</f>
        <v>220</v>
      </c>
      <c r="D6" s="130">
        <v>718562</v>
      </c>
      <c r="E6" s="85">
        <f>E7</f>
        <v>447</v>
      </c>
    </row>
    <row r="7" spans="1:5" ht="26.25">
      <c r="A7" s="46">
        <v>44837</v>
      </c>
      <c r="B7" s="126">
        <v>71076</v>
      </c>
      <c r="C7" s="81">
        <f t="shared" si="0"/>
        <v>220</v>
      </c>
      <c r="D7" s="130">
        <v>719009</v>
      </c>
      <c r="E7" s="85">
        <f t="shared" ref="E7:E34" si="1">(IF((D7-D6)&lt;0,"0",(D7-D6)))</f>
        <v>447</v>
      </c>
    </row>
    <row r="8" spans="1:5" ht="26.25">
      <c r="A8" s="46">
        <v>44838</v>
      </c>
      <c r="B8" s="126">
        <v>71098</v>
      </c>
      <c r="C8" s="81">
        <f t="shared" si="0"/>
        <v>220</v>
      </c>
      <c r="D8" s="130">
        <v>719408</v>
      </c>
      <c r="E8" s="85">
        <f t="shared" si="1"/>
        <v>399</v>
      </c>
    </row>
    <row r="9" spans="1:5" ht="26.25">
      <c r="A9" s="46">
        <v>44839</v>
      </c>
      <c r="B9" s="126">
        <v>71118</v>
      </c>
      <c r="C9" s="81">
        <f t="shared" si="0"/>
        <v>200</v>
      </c>
      <c r="D9" s="130">
        <v>719826</v>
      </c>
      <c r="E9" s="85">
        <f t="shared" si="1"/>
        <v>418</v>
      </c>
    </row>
    <row r="10" spans="1:5" ht="26.25">
      <c r="A10" s="46">
        <v>44840</v>
      </c>
      <c r="B10" s="127">
        <v>71143</v>
      </c>
      <c r="C10" s="81">
        <f t="shared" si="0"/>
        <v>250</v>
      </c>
      <c r="D10" s="131">
        <v>720275</v>
      </c>
      <c r="E10" s="85">
        <f t="shared" si="1"/>
        <v>449</v>
      </c>
    </row>
    <row r="11" spans="1:5" ht="26.25">
      <c r="A11" s="46">
        <v>44841</v>
      </c>
      <c r="B11" s="127">
        <v>71168</v>
      </c>
      <c r="C11" s="81">
        <f t="shared" si="0"/>
        <v>250</v>
      </c>
      <c r="D11" s="132">
        <v>720697</v>
      </c>
      <c r="E11" s="85">
        <f t="shared" si="1"/>
        <v>422</v>
      </c>
    </row>
    <row r="12" spans="1:5" ht="26.25">
      <c r="A12" s="46">
        <v>44842</v>
      </c>
      <c r="B12" s="127">
        <v>71194</v>
      </c>
      <c r="C12" s="81">
        <f t="shared" si="0"/>
        <v>260</v>
      </c>
      <c r="D12" s="133">
        <v>721242</v>
      </c>
      <c r="E12" s="85">
        <f t="shared" si="1"/>
        <v>545</v>
      </c>
    </row>
    <row r="13" spans="1:5" ht="26.25">
      <c r="A13" s="46">
        <v>44843</v>
      </c>
      <c r="B13" s="127">
        <v>71214</v>
      </c>
      <c r="C13" s="81">
        <f t="shared" si="0"/>
        <v>200</v>
      </c>
      <c r="D13" s="131">
        <v>721492</v>
      </c>
      <c r="E13" s="85">
        <f t="shared" si="1"/>
        <v>250</v>
      </c>
    </row>
    <row r="14" spans="1:5" ht="26.25">
      <c r="A14" s="46">
        <v>44844</v>
      </c>
      <c r="B14" s="127">
        <v>71236</v>
      </c>
      <c r="C14" s="81">
        <f t="shared" si="0"/>
        <v>220</v>
      </c>
      <c r="D14" s="131">
        <v>721942</v>
      </c>
      <c r="E14" s="85">
        <f t="shared" si="1"/>
        <v>450</v>
      </c>
    </row>
    <row r="15" spans="1:5" ht="26.25">
      <c r="A15" s="46">
        <v>44845</v>
      </c>
      <c r="B15" s="127">
        <v>71260</v>
      </c>
      <c r="C15" s="81">
        <f t="shared" si="0"/>
        <v>240</v>
      </c>
      <c r="D15" s="131">
        <v>722381</v>
      </c>
      <c r="E15" s="85">
        <f t="shared" si="1"/>
        <v>439</v>
      </c>
    </row>
    <row r="16" spans="1:5" ht="26.25">
      <c r="A16" s="46">
        <v>44846</v>
      </c>
      <c r="B16" s="127">
        <v>71284</v>
      </c>
      <c r="C16" s="81">
        <f t="shared" si="0"/>
        <v>240</v>
      </c>
      <c r="D16" s="131">
        <v>722854</v>
      </c>
      <c r="E16" s="86">
        <f t="shared" si="1"/>
        <v>473</v>
      </c>
    </row>
    <row r="17" spans="1:11" ht="26.25">
      <c r="A17" s="46">
        <v>44847</v>
      </c>
      <c r="B17" s="127">
        <v>71308</v>
      </c>
      <c r="C17" s="81">
        <f t="shared" si="0"/>
        <v>240</v>
      </c>
      <c r="D17" s="131">
        <v>723330</v>
      </c>
      <c r="E17" s="88">
        <f t="shared" si="1"/>
        <v>476</v>
      </c>
    </row>
    <row r="18" spans="1:11" ht="26.25">
      <c r="A18" s="46">
        <v>44848</v>
      </c>
      <c r="B18" s="127">
        <v>71335</v>
      </c>
      <c r="C18" s="81">
        <f t="shared" si="0"/>
        <v>270</v>
      </c>
      <c r="D18" s="131">
        <v>723810</v>
      </c>
      <c r="E18" s="85">
        <f t="shared" si="1"/>
        <v>480</v>
      </c>
    </row>
    <row r="19" spans="1:11" ht="26.25">
      <c r="A19" s="46">
        <v>44849</v>
      </c>
      <c r="B19" s="127">
        <v>71360</v>
      </c>
      <c r="C19" s="81">
        <f t="shared" si="0"/>
        <v>250</v>
      </c>
      <c r="D19" s="131">
        <v>724200</v>
      </c>
      <c r="E19" s="85">
        <f t="shared" si="1"/>
        <v>390</v>
      </c>
    </row>
    <row r="20" spans="1:11" ht="26.25">
      <c r="A20" s="46">
        <v>44850</v>
      </c>
      <c r="B20" s="127">
        <v>71378</v>
      </c>
      <c r="C20" s="81">
        <f t="shared" si="0"/>
        <v>180</v>
      </c>
      <c r="D20" s="131">
        <v>724588</v>
      </c>
      <c r="E20" s="85">
        <f t="shared" si="1"/>
        <v>388</v>
      </c>
    </row>
    <row r="21" spans="1:11" ht="26.25">
      <c r="A21" s="46">
        <v>44851</v>
      </c>
      <c r="B21" s="127">
        <v>71394</v>
      </c>
      <c r="C21" s="81">
        <f t="shared" si="0"/>
        <v>160</v>
      </c>
      <c r="D21" s="131">
        <v>724903</v>
      </c>
      <c r="E21" s="85">
        <f t="shared" si="1"/>
        <v>315</v>
      </c>
    </row>
    <row r="22" spans="1:11" ht="26.25">
      <c r="A22" s="46">
        <v>44852</v>
      </c>
      <c r="B22" s="127">
        <v>71410</v>
      </c>
      <c r="C22" s="81">
        <f t="shared" si="0"/>
        <v>160</v>
      </c>
      <c r="D22" s="131">
        <v>725281</v>
      </c>
      <c r="E22" s="85">
        <f t="shared" si="1"/>
        <v>378</v>
      </c>
    </row>
    <row r="23" spans="1:11" ht="26.25">
      <c r="A23" s="46">
        <v>44853</v>
      </c>
      <c r="B23" s="127">
        <v>71429</v>
      </c>
      <c r="C23" s="81">
        <f t="shared" si="0"/>
        <v>190</v>
      </c>
      <c r="D23" s="131">
        <v>725479</v>
      </c>
      <c r="E23" s="85">
        <f t="shared" si="1"/>
        <v>198</v>
      </c>
    </row>
    <row r="24" spans="1:11" ht="26.25">
      <c r="A24" s="46">
        <v>44854</v>
      </c>
      <c r="B24" s="127">
        <v>71449</v>
      </c>
      <c r="C24" s="81">
        <f t="shared" si="0"/>
        <v>200</v>
      </c>
      <c r="D24" s="131">
        <v>725745</v>
      </c>
      <c r="E24" s="85">
        <f t="shared" si="1"/>
        <v>266</v>
      </c>
    </row>
    <row r="25" spans="1:11" ht="26.25">
      <c r="A25" s="46">
        <v>44855</v>
      </c>
      <c r="B25" s="127">
        <v>71475</v>
      </c>
      <c r="C25" s="81">
        <f t="shared" si="0"/>
        <v>260</v>
      </c>
      <c r="D25" s="131">
        <v>725991</v>
      </c>
      <c r="E25" s="85">
        <f t="shared" si="1"/>
        <v>246</v>
      </c>
    </row>
    <row r="26" spans="1:11" ht="26.25">
      <c r="A26" s="46">
        <v>44856</v>
      </c>
      <c r="B26" s="127">
        <v>71498</v>
      </c>
      <c r="C26" s="81">
        <f t="shared" si="0"/>
        <v>230</v>
      </c>
      <c r="D26" s="131">
        <v>726089</v>
      </c>
      <c r="E26" s="85">
        <f t="shared" si="1"/>
        <v>98</v>
      </c>
    </row>
    <row r="27" spans="1:11" ht="27.75">
      <c r="A27" s="46">
        <v>44857</v>
      </c>
      <c r="B27" s="127">
        <v>71522</v>
      </c>
      <c r="C27" s="81">
        <f t="shared" si="0"/>
        <v>240</v>
      </c>
      <c r="D27" s="134">
        <v>726203</v>
      </c>
      <c r="E27" s="85">
        <f t="shared" si="1"/>
        <v>114</v>
      </c>
      <c r="K27" s="23"/>
    </row>
    <row r="28" spans="1:11" ht="26.25">
      <c r="A28" s="46">
        <v>44858</v>
      </c>
      <c r="B28" s="127">
        <v>71564</v>
      </c>
      <c r="C28" s="81">
        <f t="shared" si="0"/>
        <v>420</v>
      </c>
      <c r="D28" s="131">
        <v>726320</v>
      </c>
      <c r="E28" s="85">
        <f t="shared" si="1"/>
        <v>117</v>
      </c>
    </row>
    <row r="29" spans="1:11" ht="26.25">
      <c r="A29" s="46">
        <v>44859</v>
      </c>
      <c r="B29" s="127">
        <v>71587</v>
      </c>
      <c r="C29" s="81">
        <f t="shared" si="0"/>
        <v>230</v>
      </c>
      <c r="D29" s="131">
        <v>726547</v>
      </c>
      <c r="E29" s="85">
        <f t="shared" si="1"/>
        <v>227</v>
      </c>
    </row>
    <row r="30" spans="1:11" ht="26.25">
      <c r="A30" s="46">
        <v>44860</v>
      </c>
      <c r="B30" s="127">
        <v>71612</v>
      </c>
      <c r="C30" s="81">
        <f t="shared" si="0"/>
        <v>250</v>
      </c>
      <c r="D30" s="131">
        <v>726801</v>
      </c>
      <c r="E30" s="85">
        <f t="shared" si="1"/>
        <v>254</v>
      </c>
    </row>
    <row r="31" spans="1:11" ht="26.25">
      <c r="A31" s="46">
        <v>44861</v>
      </c>
      <c r="B31" s="127">
        <v>71638</v>
      </c>
      <c r="C31" s="81">
        <f t="shared" si="0"/>
        <v>260</v>
      </c>
      <c r="D31" s="131">
        <v>727084</v>
      </c>
      <c r="E31" s="85">
        <f t="shared" si="1"/>
        <v>283</v>
      </c>
    </row>
    <row r="32" spans="1:11" ht="26.25">
      <c r="A32" s="46">
        <v>44862</v>
      </c>
      <c r="B32" s="127">
        <v>71666</v>
      </c>
      <c r="C32" s="81">
        <f t="shared" si="0"/>
        <v>280</v>
      </c>
      <c r="D32" s="131">
        <v>727324</v>
      </c>
      <c r="E32" s="85">
        <f t="shared" si="1"/>
        <v>240</v>
      </c>
    </row>
    <row r="33" spans="1:5" ht="27.75">
      <c r="A33" s="46">
        <v>44863</v>
      </c>
      <c r="B33" s="127">
        <v>71693</v>
      </c>
      <c r="C33" s="81">
        <f t="shared" si="0"/>
        <v>270</v>
      </c>
      <c r="D33" s="134">
        <v>727585</v>
      </c>
      <c r="E33" s="85">
        <f t="shared" si="1"/>
        <v>261</v>
      </c>
    </row>
    <row r="34" spans="1:5" ht="27.75">
      <c r="A34" s="46">
        <v>44864</v>
      </c>
      <c r="B34" s="127">
        <v>71720</v>
      </c>
      <c r="C34" s="81">
        <f t="shared" si="0"/>
        <v>270</v>
      </c>
      <c r="D34" s="135">
        <v>727835</v>
      </c>
      <c r="E34" s="86">
        <f t="shared" si="1"/>
        <v>250</v>
      </c>
    </row>
    <row r="35" spans="1:5" ht="27.75">
      <c r="A35" s="46">
        <v>44865</v>
      </c>
      <c r="B35" s="127">
        <v>71733</v>
      </c>
      <c r="C35" s="81">
        <f>(IF((B35-B34)&lt;0,"0",(B35-B34)))*10</f>
        <v>130</v>
      </c>
      <c r="D35" s="135">
        <v>728104</v>
      </c>
      <c r="E35" s="86">
        <f>(IF((D35-D34)&lt;0,"0",(D35-D34)))</f>
        <v>269</v>
      </c>
    </row>
    <row r="36" spans="1:5" ht="27">
      <c r="A36" s="82" t="s">
        <v>41</v>
      </c>
      <c r="B36" s="83"/>
      <c r="C36" s="47">
        <f>SUM(C5:C34)</f>
        <v>7110</v>
      </c>
      <c r="D36" s="84"/>
      <c r="E36" s="87">
        <f>SUM(E5:E34)</f>
        <v>10119</v>
      </c>
    </row>
  </sheetData>
  <mergeCells count="2">
    <mergeCell ref="A1:E1"/>
    <mergeCell ref="B2:E2"/>
  </mergeCells>
  <phoneticPr fontId="0" type="noConversion"/>
  <conditionalFormatting sqref="B36 C4:C35 D36 E4:E35">
    <cfRule type="cellIs" dxfId="3" priority="110" stopIfTrue="1" operator="lessThan">
      <formula>0</formula>
    </cfRule>
  </conditionalFormatting>
  <conditionalFormatting sqref="D36">
    <cfRule type="cellIs" dxfId="2" priority="108" stopIfTrue="1" operator="lessThan">
      <formula>0</formula>
    </cfRule>
  </conditionalFormatting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M54"/>
  <sheetViews>
    <sheetView topLeftCell="K1" zoomScale="60" zoomScaleNormal="60" workbookViewId="0">
      <selection activeCell="N5" sqref="N5"/>
    </sheetView>
  </sheetViews>
  <sheetFormatPr defaultColWidth="41.85546875" defaultRowHeight="15.75"/>
  <cols>
    <col min="1" max="1" width="19" style="4" bestFit="1" customWidth="1"/>
    <col min="2" max="2" width="19" style="26" customWidth="1"/>
    <col min="3" max="3" width="25.7109375" style="3" bestFit="1" customWidth="1"/>
    <col min="4" max="4" width="16.5703125" style="3" bestFit="1" customWidth="1"/>
    <col min="5" max="5" width="25.7109375" style="3" bestFit="1" customWidth="1"/>
    <col min="6" max="6" width="9.42578125" style="3" bestFit="1" customWidth="1"/>
    <col min="7" max="7" width="25.7109375" style="3" bestFit="1" customWidth="1"/>
    <col min="8" max="8" width="13.5703125" style="3" bestFit="1" customWidth="1"/>
    <col min="9" max="9" width="14.42578125" style="3" bestFit="1" customWidth="1"/>
    <col min="10" max="10" width="25.5703125" style="3" bestFit="1" customWidth="1"/>
    <col min="11" max="11" width="21.5703125" style="3" bestFit="1" customWidth="1"/>
    <col min="12" max="12" width="25.5703125" style="3" bestFit="1" customWidth="1"/>
    <col min="13" max="13" width="21.5703125" style="3" customWidth="1"/>
    <col min="14" max="16384" width="41.85546875" style="3"/>
  </cols>
  <sheetData>
    <row r="1" spans="1:13" ht="16.5" thickBot="1">
      <c r="A1" s="114" t="s">
        <v>42</v>
      </c>
      <c r="B1" s="115"/>
      <c r="C1" s="115"/>
      <c r="D1" s="115"/>
      <c r="E1" s="115"/>
      <c r="F1" s="115"/>
      <c r="G1" s="115"/>
      <c r="H1" s="115"/>
      <c r="I1" s="116"/>
    </row>
    <row r="2" spans="1:13" ht="15.75" customHeight="1" thickTop="1" thickBot="1">
      <c r="A2" s="117" t="s">
        <v>43</v>
      </c>
      <c r="B2" s="118"/>
      <c r="C2" s="118"/>
      <c r="D2" s="118"/>
      <c r="E2" s="118"/>
      <c r="F2" s="118"/>
      <c r="G2" s="118"/>
      <c r="H2" s="118"/>
      <c r="I2" s="119"/>
      <c r="J2" s="98"/>
      <c r="K2" s="99"/>
      <c r="L2" s="98"/>
      <c r="M2" s="99"/>
    </row>
    <row r="3" spans="1:13" ht="16.5" thickBot="1">
      <c r="A3" s="44" t="s">
        <v>1</v>
      </c>
      <c r="B3" s="45" t="s">
        <v>44</v>
      </c>
      <c r="C3" s="106" t="s">
        <v>45</v>
      </c>
      <c r="D3" s="38" t="s">
        <v>38</v>
      </c>
      <c r="E3" s="38" t="s">
        <v>46</v>
      </c>
      <c r="F3" s="107" t="s">
        <v>38</v>
      </c>
      <c r="G3" s="38" t="s">
        <v>47</v>
      </c>
      <c r="H3" s="31" t="s">
        <v>38</v>
      </c>
      <c r="I3" s="92" t="s">
        <v>41</v>
      </c>
      <c r="J3" s="100" t="s">
        <v>48</v>
      </c>
      <c r="K3" s="38"/>
      <c r="L3" s="100" t="s">
        <v>49</v>
      </c>
      <c r="M3" s="38"/>
    </row>
    <row r="4" spans="1:13" ht="16.5" thickBot="1">
      <c r="A4" s="43"/>
      <c r="B4" s="36"/>
      <c r="C4" s="40" t="s">
        <v>50</v>
      </c>
      <c r="D4" s="39" t="s">
        <v>38</v>
      </c>
      <c r="E4" s="39" t="s">
        <v>50</v>
      </c>
      <c r="F4" s="40" t="s">
        <v>38</v>
      </c>
      <c r="G4" s="39" t="s">
        <v>50</v>
      </c>
      <c r="H4" s="37" t="s">
        <v>38</v>
      </c>
      <c r="I4" s="93" t="s">
        <v>50</v>
      </c>
      <c r="J4" s="101" t="s">
        <v>51</v>
      </c>
      <c r="K4" s="39" t="s">
        <v>52</v>
      </c>
      <c r="L4" s="101" t="s">
        <v>51</v>
      </c>
      <c r="M4" s="39" t="s">
        <v>52</v>
      </c>
    </row>
    <row r="5" spans="1:13" ht="26.25">
      <c r="A5" s="35" t="s">
        <v>40</v>
      </c>
      <c r="B5" s="33">
        <v>110</v>
      </c>
      <c r="C5" s="121">
        <v>50729148</v>
      </c>
      <c r="D5" s="41">
        <v>0</v>
      </c>
      <c r="E5" s="121">
        <v>51204326</v>
      </c>
      <c r="F5" s="75">
        <v>0</v>
      </c>
      <c r="G5" s="121">
        <v>38583000</v>
      </c>
      <c r="H5" s="75">
        <v>0</v>
      </c>
      <c r="I5" s="94"/>
      <c r="J5" s="122">
        <v>287270</v>
      </c>
      <c r="K5" s="102"/>
      <c r="L5" s="122">
        <v>83672</v>
      </c>
      <c r="M5" s="102"/>
    </row>
    <row r="6" spans="1:13" ht="26.25">
      <c r="A6" s="32">
        <v>44835</v>
      </c>
      <c r="B6" s="34">
        <v>110</v>
      </c>
      <c r="C6" s="121">
        <v>50734616</v>
      </c>
      <c r="D6" s="42">
        <f>IF((C6-C5)&lt;0,"0",(C6-C5))</f>
        <v>5468</v>
      </c>
      <c r="E6" s="121">
        <v>51214824</v>
      </c>
      <c r="F6" s="42">
        <f>IF((E6-E5)&lt;0,"0",(E6-E5))</f>
        <v>10498</v>
      </c>
      <c r="G6" s="121">
        <v>38589599</v>
      </c>
      <c r="H6" s="42">
        <f>IF((G6-G5)&lt;0,"0",(G6-G5))</f>
        <v>6599</v>
      </c>
      <c r="I6" s="95">
        <f>D6+F6+H6</f>
        <v>22565</v>
      </c>
      <c r="J6" s="123">
        <v>288000</v>
      </c>
      <c r="K6" s="102">
        <f t="shared" ref="K6:K34" si="0">IF(J6-J5&lt;0,0,J6-J5)</f>
        <v>730</v>
      </c>
      <c r="L6" s="123">
        <v>83832</v>
      </c>
      <c r="M6" s="102">
        <f t="shared" ref="M6:M21" si="1">IF(L6-L5&lt;0,0,L6-L5)</f>
        <v>160</v>
      </c>
    </row>
    <row r="7" spans="1:13" ht="26.25">
      <c r="A7" s="32">
        <v>44836</v>
      </c>
      <c r="B7" s="34">
        <v>102</v>
      </c>
      <c r="C7" s="121">
        <v>50739043</v>
      </c>
      <c r="D7" s="42">
        <f t="shared" ref="D7:D32" si="2">IF((C7-C6)&lt;0,"0",(C7-C6))</f>
        <v>4427</v>
      </c>
      <c r="E7" s="121">
        <v>51223476</v>
      </c>
      <c r="F7" s="42">
        <f t="shared" ref="F7:F32" si="3">IF((E7-E6)&lt;0,"0",(E7-E6))</f>
        <v>8652</v>
      </c>
      <c r="G7" s="121">
        <v>38595006</v>
      </c>
      <c r="H7" s="42">
        <f t="shared" ref="H7:H32" si="4">IF((G7-G6)&lt;0,"0",(G7-G6))</f>
        <v>5407</v>
      </c>
      <c r="I7" s="95">
        <f t="shared" ref="I7:I37" si="5">D7+F7+H7</f>
        <v>18486</v>
      </c>
      <c r="J7" s="123">
        <v>288690</v>
      </c>
      <c r="K7" s="102">
        <f t="shared" si="0"/>
        <v>690</v>
      </c>
      <c r="L7" s="123">
        <v>83979</v>
      </c>
      <c r="M7" s="102">
        <f t="shared" si="1"/>
        <v>147</v>
      </c>
    </row>
    <row r="8" spans="1:13" ht="26.25">
      <c r="A8" s="32">
        <v>44837</v>
      </c>
      <c r="B8" s="34">
        <v>98</v>
      </c>
      <c r="C8" s="121">
        <v>50743872</v>
      </c>
      <c r="D8" s="42">
        <f t="shared" si="2"/>
        <v>4829</v>
      </c>
      <c r="E8" s="121">
        <v>51232942</v>
      </c>
      <c r="F8" s="42">
        <f t="shared" si="3"/>
        <v>9466</v>
      </c>
      <c r="G8" s="121">
        <v>38600915</v>
      </c>
      <c r="H8" s="42">
        <f t="shared" si="4"/>
        <v>5909</v>
      </c>
      <c r="I8" s="95">
        <f t="shared" si="5"/>
        <v>20204</v>
      </c>
      <c r="J8" s="123">
        <v>289370</v>
      </c>
      <c r="K8" s="102">
        <f t="shared" si="0"/>
        <v>680</v>
      </c>
      <c r="L8" s="123">
        <v>84112</v>
      </c>
      <c r="M8" s="102">
        <f t="shared" si="1"/>
        <v>133</v>
      </c>
    </row>
    <row r="9" spans="1:13" ht="26.25">
      <c r="A9" s="32">
        <v>44838</v>
      </c>
      <c r="B9" s="34">
        <v>95</v>
      </c>
      <c r="C9" s="121">
        <v>50748912</v>
      </c>
      <c r="D9" s="42">
        <f t="shared" si="2"/>
        <v>5040</v>
      </c>
      <c r="E9" s="121">
        <v>51242965</v>
      </c>
      <c r="F9" s="42">
        <f t="shared" si="3"/>
        <v>10023</v>
      </c>
      <c r="G9" s="121">
        <v>38607312</v>
      </c>
      <c r="H9" s="42">
        <f t="shared" si="4"/>
        <v>6397</v>
      </c>
      <c r="I9" s="95">
        <f t="shared" si="5"/>
        <v>21460</v>
      </c>
      <c r="J9" s="123">
        <v>289950</v>
      </c>
      <c r="K9" s="102">
        <f t="shared" si="0"/>
        <v>580</v>
      </c>
      <c r="L9" s="123">
        <v>84243</v>
      </c>
      <c r="M9" s="102">
        <f t="shared" si="1"/>
        <v>131</v>
      </c>
    </row>
    <row r="10" spans="1:13" ht="26.25">
      <c r="A10" s="32">
        <v>44839</v>
      </c>
      <c r="B10" s="34">
        <v>111</v>
      </c>
      <c r="C10" s="121">
        <v>50753314</v>
      </c>
      <c r="D10" s="42">
        <f t="shared" si="2"/>
        <v>4402</v>
      </c>
      <c r="E10" s="121">
        <v>51251517</v>
      </c>
      <c r="F10" s="42">
        <f t="shared" si="3"/>
        <v>8552</v>
      </c>
      <c r="G10" s="121">
        <v>38613038</v>
      </c>
      <c r="H10" s="42">
        <f t="shared" si="4"/>
        <v>5726</v>
      </c>
      <c r="I10" s="95">
        <f t="shared" si="5"/>
        <v>18680</v>
      </c>
      <c r="J10" s="123">
        <v>290590</v>
      </c>
      <c r="K10" s="102">
        <f t="shared" si="0"/>
        <v>640</v>
      </c>
      <c r="L10" s="123">
        <v>84376</v>
      </c>
      <c r="M10" s="102">
        <f t="shared" si="1"/>
        <v>133</v>
      </c>
    </row>
    <row r="11" spans="1:13" ht="26.25">
      <c r="A11" s="32">
        <v>44840</v>
      </c>
      <c r="B11" s="34">
        <v>160</v>
      </c>
      <c r="C11" s="121">
        <v>50758157</v>
      </c>
      <c r="D11" s="42">
        <f t="shared" si="2"/>
        <v>4843</v>
      </c>
      <c r="E11" s="121">
        <v>51261218</v>
      </c>
      <c r="F11" s="42">
        <f t="shared" si="3"/>
        <v>9701</v>
      </c>
      <c r="G11" s="121">
        <v>38619261</v>
      </c>
      <c r="H11" s="42">
        <f t="shared" si="4"/>
        <v>6223</v>
      </c>
      <c r="I11" s="95">
        <f t="shared" si="5"/>
        <v>20767</v>
      </c>
      <c r="J11" s="123">
        <v>291550</v>
      </c>
      <c r="K11" s="102">
        <f t="shared" si="0"/>
        <v>960</v>
      </c>
      <c r="L11" s="123">
        <v>84497</v>
      </c>
      <c r="M11" s="102">
        <f t="shared" si="1"/>
        <v>121</v>
      </c>
    </row>
    <row r="12" spans="1:13" ht="26.25">
      <c r="A12" s="32">
        <v>44841</v>
      </c>
      <c r="B12" s="34">
        <v>164</v>
      </c>
      <c r="C12" s="121">
        <v>50763248</v>
      </c>
      <c r="D12" s="42">
        <f t="shared" si="2"/>
        <v>5091</v>
      </c>
      <c r="E12" s="121">
        <v>51270376</v>
      </c>
      <c r="F12" s="42">
        <f t="shared" si="3"/>
        <v>9158</v>
      </c>
      <c r="G12" s="121">
        <v>38625341</v>
      </c>
      <c r="H12" s="42">
        <f t="shared" si="4"/>
        <v>6080</v>
      </c>
      <c r="I12" s="95">
        <f t="shared" si="5"/>
        <v>20329</v>
      </c>
      <c r="J12" s="123">
        <v>291790</v>
      </c>
      <c r="K12" s="102">
        <f t="shared" si="0"/>
        <v>240</v>
      </c>
      <c r="L12" s="123">
        <v>84588</v>
      </c>
      <c r="M12" s="102">
        <f t="shared" si="1"/>
        <v>91</v>
      </c>
    </row>
    <row r="13" spans="1:13" ht="26.25">
      <c r="A13" s="32">
        <v>44842</v>
      </c>
      <c r="B13" s="34">
        <v>130</v>
      </c>
      <c r="C13" s="121">
        <v>50768234</v>
      </c>
      <c r="D13" s="42">
        <f t="shared" si="2"/>
        <v>4986</v>
      </c>
      <c r="E13" s="121">
        <v>51279642</v>
      </c>
      <c r="F13" s="42">
        <f t="shared" si="3"/>
        <v>9266</v>
      </c>
      <c r="G13" s="121">
        <v>38631372</v>
      </c>
      <c r="H13" s="42">
        <f t="shared" si="4"/>
        <v>6031</v>
      </c>
      <c r="I13" s="95">
        <f t="shared" si="5"/>
        <v>20283</v>
      </c>
      <c r="J13" s="123">
        <v>292370</v>
      </c>
      <c r="K13" s="102">
        <f t="shared" si="0"/>
        <v>580</v>
      </c>
      <c r="L13" s="123">
        <v>84691</v>
      </c>
      <c r="M13" s="102">
        <f t="shared" si="1"/>
        <v>103</v>
      </c>
    </row>
    <row r="14" spans="1:13" ht="26.25">
      <c r="A14" s="32">
        <v>44843</v>
      </c>
      <c r="B14" s="34">
        <v>100</v>
      </c>
      <c r="C14" s="121">
        <v>50772581</v>
      </c>
      <c r="D14" s="42">
        <f t="shared" si="2"/>
        <v>4347</v>
      </c>
      <c r="E14" s="121">
        <v>51287789</v>
      </c>
      <c r="F14" s="42">
        <f t="shared" si="3"/>
        <v>8147</v>
      </c>
      <c r="G14" s="121">
        <v>38636713</v>
      </c>
      <c r="H14" s="42">
        <f t="shared" si="4"/>
        <v>5341</v>
      </c>
      <c r="I14" s="95">
        <f t="shared" si="5"/>
        <v>17835</v>
      </c>
      <c r="J14" s="123">
        <v>292950</v>
      </c>
      <c r="K14" s="102">
        <f t="shared" si="0"/>
        <v>580</v>
      </c>
      <c r="L14" s="123">
        <v>84812</v>
      </c>
      <c r="M14" s="102">
        <f t="shared" si="1"/>
        <v>121</v>
      </c>
    </row>
    <row r="15" spans="1:13" ht="26.25">
      <c r="A15" s="32">
        <v>44844</v>
      </c>
      <c r="B15" s="34">
        <v>102</v>
      </c>
      <c r="C15" s="121">
        <v>50777477</v>
      </c>
      <c r="D15" s="42">
        <f t="shared" ref="D15:D27" si="6">IF((C15-C14)&lt;0,"0",(C15-C14))</f>
        <v>4896</v>
      </c>
      <c r="E15" s="121">
        <v>51297437</v>
      </c>
      <c r="F15" s="42">
        <f t="shared" si="3"/>
        <v>9648</v>
      </c>
      <c r="G15" s="121">
        <v>38643159</v>
      </c>
      <c r="H15" s="42">
        <f t="shared" si="4"/>
        <v>6446</v>
      </c>
      <c r="I15" s="95">
        <f t="shared" si="5"/>
        <v>20990</v>
      </c>
      <c r="J15" s="123">
        <v>293570</v>
      </c>
      <c r="K15" s="102">
        <f t="shared" si="0"/>
        <v>620</v>
      </c>
      <c r="L15" s="123">
        <v>84945</v>
      </c>
      <c r="M15" s="102">
        <f t="shared" si="1"/>
        <v>133</v>
      </c>
    </row>
    <row r="16" spans="1:13" ht="26.25">
      <c r="A16" s="32">
        <v>44845</v>
      </c>
      <c r="B16" s="34">
        <v>122</v>
      </c>
      <c r="C16" s="121">
        <v>50782078</v>
      </c>
      <c r="D16" s="42">
        <f t="shared" si="6"/>
        <v>4601</v>
      </c>
      <c r="E16" s="121">
        <v>51306804</v>
      </c>
      <c r="F16" s="42">
        <f t="shared" si="3"/>
        <v>9367</v>
      </c>
      <c r="G16" s="121">
        <v>38649144</v>
      </c>
      <c r="H16" s="42">
        <f t="shared" si="4"/>
        <v>5985</v>
      </c>
      <c r="I16" s="95">
        <f t="shared" si="5"/>
        <v>19953</v>
      </c>
      <c r="J16" s="123">
        <v>294060</v>
      </c>
      <c r="K16" s="102">
        <f t="shared" si="0"/>
        <v>490</v>
      </c>
      <c r="L16" s="123">
        <v>85057</v>
      </c>
      <c r="M16" s="102">
        <f t="shared" si="1"/>
        <v>112</v>
      </c>
    </row>
    <row r="17" spans="1:13" ht="26.25">
      <c r="A17" s="32">
        <v>44846</v>
      </c>
      <c r="B17" s="34">
        <v>135</v>
      </c>
      <c r="C17" s="121">
        <v>50786916</v>
      </c>
      <c r="D17" s="42">
        <f t="shared" si="6"/>
        <v>4838</v>
      </c>
      <c r="E17" s="121">
        <v>51316610</v>
      </c>
      <c r="F17" s="42">
        <f t="shared" si="3"/>
        <v>9806</v>
      </c>
      <c r="G17" s="121">
        <v>38655904</v>
      </c>
      <c r="H17" s="42">
        <f t="shared" si="4"/>
        <v>6760</v>
      </c>
      <c r="I17" s="95">
        <f t="shared" si="5"/>
        <v>21404</v>
      </c>
      <c r="J17" s="123">
        <v>294630</v>
      </c>
      <c r="K17" s="102">
        <f t="shared" si="0"/>
        <v>570</v>
      </c>
      <c r="L17" s="123">
        <v>85164</v>
      </c>
      <c r="M17" s="102">
        <f t="shared" si="1"/>
        <v>107</v>
      </c>
    </row>
    <row r="18" spans="1:13" ht="26.25">
      <c r="A18" s="32">
        <v>44847</v>
      </c>
      <c r="B18" s="34">
        <v>144</v>
      </c>
      <c r="C18" s="121">
        <v>50791853</v>
      </c>
      <c r="D18" s="42">
        <f t="shared" si="6"/>
        <v>4937</v>
      </c>
      <c r="E18" s="121">
        <v>51326752</v>
      </c>
      <c r="F18" s="42">
        <f t="shared" si="3"/>
        <v>10142</v>
      </c>
      <c r="G18" s="121">
        <v>38662842</v>
      </c>
      <c r="H18" s="42">
        <f t="shared" si="4"/>
        <v>6938</v>
      </c>
      <c r="I18" s="95">
        <f t="shared" si="5"/>
        <v>22017</v>
      </c>
      <c r="J18" s="123">
        <v>295230</v>
      </c>
      <c r="K18" s="102">
        <f t="shared" si="0"/>
        <v>600</v>
      </c>
      <c r="L18" s="123">
        <v>85283</v>
      </c>
      <c r="M18" s="102">
        <f t="shared" si="1"/>
        <v>119</v>
      </c>
    </row>
    <row r="19" spans="1:13" ht="26.25">
      <c r="A19" s="32">
        <v>44848</v>
      </c>
      <c r="B19" s="34">
        <v>103</v>
      </c>
      <c r="C19" s="121">
        <v>50796927</v>
      </c>
      <c r="D19" s="42">
        <f t="shared" si="6"/>
        <v>5074</v>
      </c>
      <c r="E19" s="121">
        <v>51336324</v>
      </c>
      <c r="F19" s="42">
        <f t="shared" si="3"/>
        <v>9572</v>
      </c>
      <c r="G19" s="121">
        <v>38668798</v>
      </c>
      <c r="H19" s="42">
        <f t="shared" si="4"/>
        <v>5956</v>
      </c>
      <c r="I19" s="95">
        <f t="shared" si="5"/>
        <v>20602</v>
      </c>
      <c r="J19" s="123">
        <v>295700</v>
      </c>
      <c r="K19" s="102">
        <f t="shared" si="0"/>
        <v>470</v>
      </c>
      <c r="L19" s="123">
        <v>85389</v>
      </c>
      <c r="M19" s="102">
        <f t="shared" si="1"/>
        <v>106</v>
      </c>
    </row>
    <row r="20" spans="1:13" ht="26.25">
      <c r="A20" s="32">
        <v>44849</v>
      </c>
      <c r="B20" s="34">
        <v>82</v>
      </c>
      <c r="C20" s="121">
        <v>50801461</v>
      </c>
      <c r="D20" s="42">
        <f t="shared" si="6"/>
        <v>4534</v>
      </c>
      <c r="E20" s="121">
        <v>51345340</v>
      </c>
      <c r="F20" s="42">
        <f t="shared" si="3"/>
        <v>9016</v>
      </c>
      <c r="G20" s="121">
        <v>38675028</v>
      </c>
      <c r="H20" s="42">
        <f t="shared" si="4"/>
        <v>6230</v>
      </c>
      <c r="I20" s="95">
        <f t="shared" si="5"/>
        <v>19780</v>
      </c>
      <c r="J20" s="123">
        <v>296300</v>
      </c>
      <c r="K20" s="102">
        <f t="shared" si="0"/>
        <v>600</v>
      </c>
      <c r="L20" s="123">
        <v>85499</v>
      </c>
      <c r="M20" s="102">
        <f t="shared" si="1"/>
        <v>110</v>
      </c>
    </row>
    <row r="21" spans="1:13" ht="26.25">
      <c r="A21" s="32">
        <v>44850</v>
      </c>
      <c r="B21" s="34">
        <v>79</v>
      </c>
      <c r="C21" s="121">
        <v>50805718</v>
      </c>
      <c r="D21" s="42">
        <f t="shared" si="6"/>
        <v>4257</v>
      </c>
      <c r="E21" s="121">
        <v>51354125</v>
      </c>
      <c r="F21" s="42">
        <f t="shared" si="3"/>
        <v>8785</v>
      </c>
      <c r="G21" s="121">
        <v>38680441</v>
      </c>
      <c r="H21" s="42">
        <f t="shared" si="4"/>
        <v>5413</v>
      </c>
      <c r="I21" s="95">
        <f t="shared" si="5"/>
        <v>18455</v>
      </c>
      <c r="J21" s="123">
        <v>296830</v>
      </c>
      <c r="K21" s="102">
        <f t="shared" si="0"/>
        <v>530</v>
      </c>
      <c r="L21" s="123">
        <v>85617</v>
      </c>
      <c r="M21" s="102">
        <f t="shared" si="1"/>
        <v>118</v>
      </c>
    </row>
    <row r="22" spans="1:13" ht="26.25">
      <c r="A22" s="32">
        <v>44851</v>
      </c>
      <c r="B22" s="34">
        <v>102</v>
      </c>
      <c r="C22" s="121">
        <v>50810060</v>
      </c>
      <c r="D22" s="42">
        <f t="shared" si="6"/>
        <v>4342</v>
      </c>
      <c r="E22" s="121">
        <v>51362728</v>
      </c>
      <c r="F22" s="42">
        <f t="shared" si="3"/>
        <v>8603</v>
      </c>
      <c r="G22" s="121">
        <v>38685960</v>
      </c>
      <c r="H22" s="42">
        <f t="shared" si="4"/>
        <v>5519</v>
      </c>
      <c r="I22" s="95">
        <f t="shared" si="5"/>
        <v>18464</v>
      </c>
      <c r="J22" s="123">
        <v>297280</v>
      </c>
      <c r="K22" s="102">
        <f t="shared" si="0"/>
        <v>450</v>
      </c>
      <c r="L22" s="123">
        <v>85704</v>
      </c>
      <c r="M22" s="102">
        <f t="shared" ref="M22:M27" si="7">IF(L22-L21&lt;0,0,L22-L21)</f>
        <v>87</v>
      </c>
    </row>
    <row r="23" spans="1:13" ht="26.25">
      <c r="A23" s="32">
        <v>44852</v>
      </c>
      <c r="B23" s="34">
        <v>81</v>
      </c>
      <c r="C23" s="121">
        <v>50814479</v>
      </c>
      <c r="D23" s="42">
        <f t="shared" si="6"/>
        <v>4419</v>
      </c>
      <c r="E23" s="121">
        <v>51371299</v>
      </c>
      <c r="F23" s="42">
        <f t="shared" si="3"/>
        <v>8571</v>
      </c>
      <c r="G23" s="121">
        <v>38691706</v>
      </c>
      <c r="H23" s="42">
        <f t="shared" si="4"/>
        <v>5746</v>
      </c>
      <c r="I23" s="95">
        <f t="shared" si="5"/>
        <v>18736</v>
      </c>
      <c r="J23" s="123">
        <v>297770</v>
      </c>
      <c r="K23" s="102">
        <f t="shared" si="0"/>
        <v>490</v>
      </c>
      <c r="L23" s="123">
        <v>85802</v>
      </c>
      <c r="M23" s="102">
        <f t="shared" si="7"/>
        <v>98</v>
      </c>
    </row>
    <row r="24" spans="1:13" ht="26.25">
      <c r="A24" s="32">
        <v>44853</v>
      </c>
      <c r="B24" s="34">
        <v>63</v>
      </c>
      <c r="C24" s="121">
        <v>50819079</v>
      </c>
      <c r="D24" s="42">
        <f t="shared" si="6"/>
        <v>4600</v>
      </c>
      <c r="E24" s="121">
        <v>51380247</v>
      </c>
      <c r="F24" s="42">
        <f t="shared" si="3"/>
        <v>8948</v>
      </c>
      <c r="G24" s="121">
        <v>38697417</v>
      </c>
      <c r="H24" s="42">
        <f t="shared" si="4"/>
        <v>5711</v>
      </c>
      <c r="I24" s="95">
        <f t="shared" si="5"/>
        <v>19259</v>
      </c>
      <c r="J24" s="123">
        <v>298230</v>
      </c>
      <c r="K24" s="102">
        <f t="shared" si="0"/>
        <v>460</v>
      </c>
      <c r="L24" s="123">
        <v>85905</v>
      </c>
      <c r="M24" s="102">
        <f t="shared" si="7"/>
        <v>103</v>
      </c>
    </row>
    <row r="25" spans="1:13" ht="26.25">
      <c r="A25" s="32">
        <v>44854</v>
      </c>
      <c r="B25" s="34">
        <v>127</v>
      </c>
      <c r="C25" s="121">
        <v>50823396</v>
      </c>
      <c r="D25" s="42">
        <f t="shared" si="6"/>
        <v>4317</v>
      </c>
      <c r="E25" s="121">
        <v>51389222</v>
      </c>
      <c r="F25" s="42">
        <f t="shared" si="3"/>
        <v>8975</v>
      </c>
      <c r="G25" s="121">
        <v>38703130</v>
      </c>
      <c r="H25" s="42">
        <f t="shared" si="4"/>
        <v>5713</v>
      </c>
      <c r="I25" s="95">
        <f t="shared" si="5"/>
        <v>19005</v>
      </c>
      <c r="J25" s="123">
        <v>298700</v>
      </c>
      <c r="K25" s="102">
        <f t="shared" si="0"/>
        <v>470</v>
      </c>
      <c r="L25" s="123">
        <v>85998</v>
      </c>
      <c r="M25" s="102">
        <f t="shared" si="7"/>
        <v>93</v>
      </c>
    </row>
    <row r="26" spans="1:13" ht="26.25">
      <c r="A26" s="32">
        <v>44855</v>
      </c>
      <c r="B26" s="34">
        <v>111</v>
      </c>
      <c r="C26" s="121">
        <v>50828425</v>
      </c>
      <c r="D26" s="42">
        <f t="shared" si="6"/>
        <v>5029</v>
      </c>
      <c r="E26" s="121">
        <v>51397742</v>
      </c>
      <c r="F26" s="42">
        <f t="shared" si="3"/>
        <v>8520</v>
      </c>
      <c r="G26" s="121">
        <v>38708914</v>
      </c>
      <c r="H26" s="42">
        <f t="shared" si="4"/>
        <v>5784</v>
      </c>
      <c r="I26" s="95">
        <f t="shared" si="5"/>
        <v>19333</v>
      </c>
      <c r="J26" s="123">
        <v>299120</v>
      </c>
      <c r="K26" s="102">
        <f t="shared" si="0"/>
        <v>420</v>
      </c>
      <c r="L26" s="123">
        <v>86079</v>
      </c>
      <c r="M26" s="102">
        <f t="shared" si="7"/>
        <v>81</v>
      </c>
    </row>
    <row r="27" spans="1:13" ht="26.25">
      <c r="A27" s="32">
        <v>44856</v>
      </c>
      <c r="B27" s="34">
        <v>83</v>
      </c>
      <c r="C27" s="121">
        <v>50833509</v>
      </c>
      <c r="D27" s="42">
        <f t="shared" si="6"/>
        <v>5084</v>
      </c>
      <c r="E27" s="121">
        <v>51406841</v>
      </c>
      <c r="F27" s="42">
        <f t="shared" si="3"/>
        <v>9099</v>
      </c>
      <c r="G27" s="121">
        <v>38714843</v>
      </c>
      <c r="H27" s="42">
        <f t="shared" si="4"/>
        <v>5929</v>
      </c>
      <c r="I27" s="95">
        <f t="shared" si="5"/>
        <v>20112</v>
      </c>
      <c r="J27" s="123">
        <v>299570</v>
      </c>
      <c r="K27" s="102">
        <f t="shared" si="0"/>
        <v>450</v>
      </c>
      <c r="L27" s="123">
        <v>86167</v>
      </c>
      <c r="M27" s="102">
        <f t="shared" si="7"/>
        <v>88</v>
      </c>
    </row>
    <row r="28" spans="1:13" ht="26.25">
      <c r="A28" s="32">
        <v>44857</v>
      </c>
      <c r="B28" s="34">
        <v>90</v>
      </c>
      <c r="C28" s="121">
        <v>50837778</v>
      </c>
      <c r="D28" s="42">
        <f t="shared" si="2"/>
        <v>4269</v>
      </c>
      <c r="E28" s="121">
        <v>51414764</v>
      </c>
      <c r="F28" s="42">
        <f t="shared" si="3"/>
        <v>7923</v>
      </c>
      <c r="G28" s="121">
        <v>38720018</v>
      </c>
      <c r="H28" s="42">
        <f t="shared" si="4"/>
        <v>5175</v>
      </c>
      <c r="I28" s="95">
        <f t="shared" si="5"/>
        <v>17367</v>
      </c>
      <c r="J28" s="123">
        <v>300000</v>
      </c>
      <c r="K28" s="102">
        <f t="shared" si="0"/>
        <v>430</v>
      </c>
      <c r="L28" s="123">
        <v>86257</v>
      </c>
      <c r="M28" s="102">
        <f>IF(L28-L27&lt;0,0,L28-L27)</f>
        <v>90</v>
      </c>
    </row>
    <row r="29" spans="1:13" ht="26.25">
      <c r="A29" s="32">
        <v>44858</v>
      </c>
      <c r="B29" s="34">
        <v>79</v>
      </c>
      <c r="C29" s="121">
        <v>50842371</v>
      </c>
      <c r="D29" s="42">
        <f t="shared" si="2"/>
        <v>4593</v>
      </c>
      <c r="E29" s="121">
        <v>51423566</v>
      </c>
      <c r="F29" s="42">
        <f t="shared" si="3"/>
        <v>8802</v>
      </c>
      <c r="G29" s="121">
        <v>38725969</v>
      </c>
      <c r="H29" s="42">
        <f t="shared" si="4"/>
        <v>5951</v>
      </c>
      <c r="I29" s="95">
        <f t="shared" si="5"/>
        <v>19346</v>
      </c>
      <c r="J29" s="123">
        <v>300540</v>
      </c>
      <c r="K29" s="102">
        <f t="shared" si="0"/>
        <v>540</v>
      </c>
      <c r="L29" s="123">
        <v>86349</v>
      </c>
      <c r="M29" s="102">
        <f>IF(L29-L28&lt;0,0,L29-L28)</f>
        <v>92</v>
      </c>
    </row>
    <row r="30" spans="1:13" ht="26.25">
      <c r="A30" s="32">
        <v>44859</v>
      </c>
      <c r="B30" s="34">
        <v>77</v>
      </c>
      <c r="C30" s="121">
        <v>50846646</v>
      </c>
      <c r="D30" s="42">
        <f t="shared" si="2"/>
        <v>4275</v>
      </c>
      <c r="E30" s="121">
        <v>51432686</v>
      </c>
      <c r="F30" s="42">
        <f t="shared" si="3"/>
        <v>9120</v>
      </c>
      <c r="G30" s="121">
        <v>38731107</v>
      </c>
      <c r="H30" s="42">
        <f t="shared" si="4"/>
        <v>5138</v>
      </c>
      <c r="I30" s="95">
        <f t="shared" si="5"/>
        <v>18533</v>
      </c>
      <c r="J30" s="123">
        <v>300810</v>
      </c>
      <c r="K30" s="102">
        <f t="shared" si="0"/>
        <v>270</v>
      </c>
      <c r="L30" s="123">
        <v>86446</v>
      </c>
      <c r="M30" s="102">
        <f>IF(L30-L29&lt;0,0,L30-L29)</f>
        <v>97</v>
      </c>
    </row>
    <row r="31" spans="1:13" ht="26.25">
      <c r="A31" s="32">
        <v>44860</v>
      </c>
      <c r="B31" s="34">
        <v>92</v>
      </c>
      <c r="C31" s="121">
        <v>50851073</v>
      </c>
      <c r="D31" s="42">
        <f t="shared" si="2"/>
        <v>4427</v>
      </c>
      <c r="E31" s="121">
        <v>51441805</v>
      </c>
      <c r="F31" s="42">
        <f t="shared" si="3"/>
        <v>9119</v>
      </c>
      <c r="G31" s="121">
        <v>38736940</v>
      </c>
      <c r="H31" s="42">
        <f t="shared" si="4"/>
        <v>5833</v>
      </c>
      <c r="I31" s="95">
        <f t="shared" si="5"/>
        <v>19379</v>
      </c>
      <c r="J31" s="123">
        <v>301230</v>
      </c>
      <c r="K31" s="102">
        <f t="shared" si="0"/>
        <v>420</v>
      </c>
      <c r="L31" s="123">
        <v>86543</v>
      </c>
      <c r="M31" s="102">
        <f t="shared" ref="M31" si="8">IF(L31-L30&lt;0,0,L31-L30)</f>
        <v>97</v>
      </c>
    </row>
    <row r="32" spans="1:13" ht="26.25">
      <c r="A32" s="32">
        <v>44861</v>
      </c>
      <c r="B32" s="34">
        <v>103</v>
      </c>
      <c r="C32" s="121">
        <v>50855625</v>
      </c>
      <c r="D32" s="42">
        <f t="shared" si="2"/>
        <v>4552</v>
      </c>
      <c r="E32" s="121">
        <v>51450940</v>
      </c>
      <c r="F32" s="42">
        <f t="shared" si="3"/>
        <v>9135</v>
      </c>
      <c r="G32" s="121">
        <v>38743563</v>
      </c>
      <c r="H32" s="42">
        <f t="shared" si="4"/>
        <v>6623</v>
      </c>
      <c r="I32" s="95">
        <f t="shared" si="5"/>
        <v>20310</v>
      </c>
      <c r="J32" s="123">
        <v>301670</v>
      </c>
      <c r="K32" s="102">
        <f>IF(J32-J31&lt;0,0,J32-J31)</f>
        <v>440</v>
      </c>
      <c r="L32" s="123">
        <v>86633</v>
      </c>
      <c r="M32" s="102">
        <f>IF(L32-L31&lt;0,0,L32-L31)</f>
        <v>90</v>
      </c>
    </row>
    <row r="33" spans="1:13" ht="26.25">
      <c r="A33" s="32">
        <v>44862</v>
      </c>
      <c r="B33" s="34">
        <v>111</v>
      </c>
      <c r="C33" s="121">
        <v>50860352</v>
      </c>
      <c r="D33" s="42">
        <f>C33-C32</f>
        <v>4727</v>
      </c>
      <c r="E33" s="121">
        <v>51460316</v>
      </c>
      <c r="F33" s="42">
        <f>IF((E33-E31)&lt;0,"0",(E33-E31))</f>
        <v>18511</v>
      </c>
      <c r="G33" s="121">
        <v>38749897</v>
      </c>
      <c r="H33" s="42">
        <f>G33-G32</f>
        <v>6334</v>
      </c>
      <c r="I33" s="95">
        <f>D33+F33+H33</f>
        <v>29572</v>
      </c>
      <c r="J33" s="123">
        <v>302160</v>
      </c>
      <c r="K33" s="102">
        <f t="shared" si="0"/>
        <v>490</v>
      </c>
      <c r="L33" s="123">
        <v>86724</v>
      </c>
      <c r="M33" s="102">
        <f>IF(L33-L32&lt;0,0,L33-L32)</f>
        <v>91</v>
      </c>
    </row>
    <row r="34" spans="1:13" ht="26.25">
      <c r="A34" s="32">
        <v>44863</v>
      </c>
      <c r="B34" s="34">
        <v>93</v>
      </c>
      <c r="C34" s="121">
        <v>50864992</v>
      </c>
      <c r="D34" s="42">
        <f>C34-C33</f>
        <v>4640</v>
      </c>
      <c r="E34" s="121">
        <v>51469572</v>
      </c>
      <c r="F34" s="42">
        <f>IF((E34-E32)&lt;0,"0",(E34-E32))</f>
        <v>18632</v>
      </c>
      <c r="G34" s="121">
        <v>38756376</v>
      </c>
      <c r="H34" s="42">
        <f>G34-G33</f>
        <v>6479</v>
      </c>
      <c r="I34" s="95">
        <f t="shared" si="5"/>
        <v>29751</v>
      </c>
      <c r="J34" s="123">
        <v>302625</v>
      </c>
      <c r="K34" s="102">
        <f t="shared" si="0"/>
        <v>465</v>
      </c>
      <c r="L34" s="123">
        <v>86814</v>
      </c>
      <c r="M34" s="102">
        <f>IF(L34-L33&lt;0,0,L34-L33)</f>
        <v>90</v>
      </c>
    </row>
    <row r="35" spans="1:13" ht="26.25">
      <c r="A35" s="32">
        <v>44864</v>
      </c>
      <c r="B35" s="34">
        <v>85</v>
      </c>
      <c r="C35" s="121">
        <v>50869675</v>
      </c>
      <c r="D35" s="72">
        <f>C35-C34</f>
        <v>4683</v>
      </c>
      <c r="E35" s="121">
        <v>51478888</v>
      </c>
      <c r="F35" s="76">
        <f>IF((E35-E33)&lt;0,"0",(E35-E33))</f>
        <v>18572</v>
      </c>
      <c r="G35" s="121">
        <v>38762782</v>
      </c>
      <c r="H35" s="72">
        <f>G35-G34</f>
        <v>6406</v>
      </c>
      <c r="I35" s="96">
        <f t="shared" si="5"/>
        <v>29661</v>
      </c>
      <c r="J35" s="123">
        <v>303102</v>
      </c>
      <c r="K35" s="102">
        <f>IF(J35-J34&lt;0,0,J35-J34)</f>
        <v>477</v>
      </c>
      <c r="L35" s="123">
        <v>86904</v>
      </c>
      <c r="M35" s="102">
        <f>IF(L35-L34&lt;0,0,L35-L34)</f>
        <v>90</v>
      </c>
    </row>
    <row r="36" spans="1:13" ht="26.25">
      <c r="A36" s="32">
        <v>44865</v>
      </c>
      <c r="B36" s="105">
        <v>79</v>
      </c>
      <c r="C36" s="121">
        <v>50873147</v>
      </c>
      <c r="D36" s="42">
        <f>IF(C36-C35&lt;0,0,C36-C35)</f>
        <v>3472</v>
      </c>
      <c r="E36" s="121">
        <v>51485386</v>
      </c>
      <c r="F36" s="42">
        <f>IF(E36-E35&lt;0,0,E36-E35)</f>
        <v>6498</v>
      </c>
      <c r="G36" s="121">
        <v>38767501</v>
      </c>
      <c r="H36" s="72">
        <f>IF(G36-G35&lt;0,0,G36-G35)</f>
        <v>4719</v>
      </c>
      <c r="I36" s="96">
        <f t="shared" si="5"/>
        <v>14689</v>
      </c>
      <c r="J36" s="123">
        <v>303220</v>
      </c>
      <c r="K36" s="102">
        <f>IF(J36-J35&lt;0,0,J36-J35)</f>
        <v>118</v>
      </c>
      <c r="L36" s="123">
        <v>86987</v>
      </c>
      <c r="M36" s="102">
        <f t="shared" ref="M36" si="9">IF(L36-L35&lt;0,0,L36-L35)</f>
        <v>83</v>
      </c>
    </row>
    <row r="37" spans="1:13" s="21" customFormat="1" ht="27.75" thickBot="1">
      <c r="A37" s="44" t="s">
        <v>41</v>
      </c>
      <c r="B37" s="45"/>
      <c r="C37" s="78"/>
      <c r="D37" s="73">
        <f>SUM(D5:D35)</f>
        <v>140527</v>
      </c>
      <c r="E37" s="79"/>
      <c r="F37" s="73">
        <f>SUM(F5:F34)</f>
        <v>283757</v>
      </c>
      <c r="G37" s="77"/>
      <c r="H37" s="73">
        <f>SUM(H5:H35)</f>
        <v>179782</v>
      </c>
      <c r="I37" s="97">
        <f t="shared" si="5"/>
        <v>604066</v>
      </c>
      <c r="J37" s="103"/>
      <c r="K37" s="104">
        <f>SUM(K5:K34)</f>
        <v>15355</v>
      </c>
      <c r="L37" s="103"/>
      <c r="M37" s="104">
        <f>SUM(M5:M34)</f>
        <v>3142</v>
      </c>
    </row>
    <row r="38" spans="1:13" ht="37.5">
      <c r="J38" s="90"/>
      <c r="K38" s="90"/>
      <c r="L38" s="90"/>
      <c r="M38" s="90"/>
    </row>
    <row r="39" spans="1:13" ht="26.25">
      <c r="A39" s="3"/>
      <c r="B39" s="25"/>
      <c r="J39"/>
      <c r="K39" s="91"/>
      <c r="L39"/>
      <c r="M39" s="91"/>
    </row>
    <row r="54" spans="1:2" ht="15">
      <c r="A54" s="3"/>
      <c r="B54" s="25"/>
    </row>
  </sheetData>
  <mergeCells count="2">
    <mergeCell ref="A1:I1"/>
    <mergeCell ref="A2:I2"/>
  </mergeCells>
  <phoneticPr fontId="0" type="noConversion"/>
  <conditionalFormatting sqref="D5:D36 F5:F36 D37:M37 A3:B37 H5:I36 K5:K36 M5:M36">
    <cfRule type="cellIs" dxfId="1" priority="211" stopIfTrue="1" operator="lessThan">
      <formula>0</formula>
    </cfRule>
  </conditionalFormatting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AP35"/>
  <sheetViews>
    <sheetView tabSelected="1" view="pageBreakPreview" topLeftCell="T32" zoomScale="50" zoomScaleNormal="55" zoomScaleSheetLayoutView="50" workbookViewId="0">
      <selection activeCell="AF3" sqref="AF3:AF34"/>
    </sheetView>
  </sheetViews>
  <sheetFormatPr defaultRowHeight="23.25"/>
  <cols>
    <col min="1" max="1" width="37.140625" style="2" customWidth="1"/>
    <col min="2" max="2" width="18.5703125" customWidth="1"/>
    <col min="3" max="3" width="11.140625" style="9" bestFit="1" customWidth="1"/>
    <col min="4" max="4" width="26.140625" bestFit="1" customWidth="1"/>
    <col min="5" max="5" width="11.140625" style="9" bestFit="1" customWidth="1"/>
    <col min="6" max="6" width="15.42578125" bestFit="1" customWidth="1"/>
    <col min="7" max="7" width="11.140625" style="9" bestFit="1" customWidth="1"/>
    <col min="8" max="8" width="20.5703125" bestFit="1" customWidth="1"/>
    <col min="9" max="9" width="11.140625" style="9" bestFit="1" customWidth="1"/>
    <col min="10" max="10" width="18.42578125" bestFit="1" customWidth="1"/>
    <col min="11" max="11" width="11.140625" style="9" bestFit="1" customWidth="1"/>
    <col min="12" max="12" width="18.28515625" bestFit="1" customWidth="1"/>
    <col min="13" max="13" width="11.140625" style="9" bestFit="1" customWidth="1"/>
    <col min="14" max="14" width="22.5703125" bestFit="1" customWidth="1"/>
    <col min="15" max="15" width="11.7109375" style="9" bestFit="1" customWidth="1"/>
    <col min="16" max="16" width="15.85546875" bestFit="1" customWidth="1"/>
    <col min="17" max="17" width="11.140625" style="9" bestFit="1" customWidth="1"/>
    <col min="18" max="18" width="15.28515625" bestFit="1" customWidth="1"/>
    <col min="19" max="19" width="11.140625" style="9" bestFit="1" customWidth="1"/>
    <col min="20" max="20" width="14.7109375" bestFit="1" customWidth="1"/>
    <col min="21" max="21" width="11.140625" style="9" bestFit="1" customWidth="1"/>
    <col min="22" max="22" width="17.42578125" customWidth="1"/>
    <col min="23" max="23" width="11.140625" style="9" bestFit="1" customWidth="1"/>
    <col min="24" max="24" width="26.42578125" customWidth="1"/>
    <col min="25" max="25" width="11.140625" style="9" bestFit="1" customWidth="1"/>
    <col min="26" max="26" width="27" bestFit="1" customWidth="1"/>
    <col min="27" max="27" width="11.140625" style="9" bestFit="1" customWidth="1"/>
    <col min="28" max="28" width="32.7109375" bestFit="1" customWidth="1"/>
    <col min="29" max="29" width="11.140625" style="9" bestFit="1" customWidth="1"/>
    <col min="30" max="30" width="26.140625" style="9" bestFit="1" customWidth="1"/>
    <col min="31" max="31" width="11.140625" style="9" customWidth="1"/>
    <col min="32" max="32" width="27" style="9" bestFit="1" customWidth="1"/>
    <col min="33" max="33" width="11.140625" style="9" customWidth="1"/>
    <col min="34" max="34" width="37.140625" style="9" customWidth="1"/>
    <col min="35" max="35" width="32.7109375" bestFit="1" customWidth="1"/>
    <col min="36" max="36" width="11.140625" style="9" bestFit="1" customWidth="1"/>
    <col min="37" max="38" width="8.5703125" bestFit="1" customWidth="1"/>
    <col min="40" max="40" width="8.5703125" bestFit="1" customWidth="1"/>
  </cols>
  <sheetData>
    <row r="1" spans="1:42" ht="33" customHeight="1" thickBot="1">
      <c r="A1" s="120" t="s">
        <v>53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  <c r="AJ1" s="120"/>
    </row>
    <row r="2" spans="1:42">
      <c r="A2" s="56" t="s">
        <v>1</v>
      </c>
      <c r="B2" s="58" t="s">
        <v>54</v>
      </c>
      <c r="C2" s="57" t="s">
        <v>38</v>
      </c>
      <c r="D2" s="57" t="s">
        <v>55</v>
      </c>
      <c r="E2" s="57" t="s">
        <v>38</v>
      </c>
      <c r="F2" s="57" t="s">
        <v>56</v>
      </c>
      <c r="G2" s="57" t="s">
        <v>38</v>
      </c>
      <c r="H2" s="57" t="s">
        <v>57</v>
      </c>
      <c r="I2" s="57" t="s">
        <v>38</v>
      </c>
      <c r="J2" s="57" t="s">
        <v>58</v>
      </c>
      <c r="K2" s="57" t="s">
        <v>38</v>
      </c>
      <c r="L2" s="57" t="s">
        <v>59</v>
      </c>
      <c r="M2" s="57" t="s">
        <v>38</v>
      </c>
      <c r="N2" s="57" t="s">
        <v>60</v>
      </c>
      <c r="O2" s="57" t="s">
        <v>38</v>
      </c>
      <c r="P2" s="57" t="s">
        <v>61</v>
      </c>
      <c r="Q2" s="57" t="s">
        <v>38</v>
      </c>
      <c r="R2" s="57" t="s">
        <v>62</v>
      </c>
      <c r="S2" s="57" t="s">
        <v>38</v>
      </c>
      <c r="T2" s="57" t="s">
        <v>63</v>
      </c>
      <c r="U2" s="57" t="s">
        <v>38</v>
      </c>
      <c r="V2" s="57" t="s">
        <v>64</v>
      </c>
      <c r="W2" s="57" t="s">
        <v>38</v>
      </c>
      <c r="X2" s="57" t="s">
        <v>65</v>
      </c>
      <c r="Y2" s="57" t="s">
        <v>38</v>
      </c>
      <c r="Z2" s="57" t="s">
        <v>66</v>
      </c>
      <c r="AA2" s="57" t="s">
        <v>38</v>
      </c>
      <c r="AB2" s="57" t="s">
        <v>67</v>
      </c>
      <c r="AC2" s="57" t="s">
        <v>38</v>
      </c>
      <c r="AD2" s="57" t="s">
        <v>68</v>
      </c>
      <c r="AE2" s="57" t="s">
        <v>38</v>
      </c>
      <c r="AF2" s="57" t="s">
        <v>69</v>
      </c>
      <c r="AG2" s="57"/>
      <c r="AH2" s="69" t="s">
        <v>70</v>
      </c>
      <c r="AI2" s="70" t="s">
        <v>71</v>
      </c>
      <c r="AJ2" s="55" t="s">
        <v>38</v>
      </c>
    </row>
    <row r="3" spans="1:42">
      <c r="A3" s="54" t="s">
        <v>40</v>
      </c>
      <c r="B3" s="136">
        <v>1600092</v>
      </c>
      <c r="C3" s="62"/>
      <c r="D3" s="136">
        <v>33684080</v>
      </c>
      <c r="E3" s="60"/>
      <c r="F3" s="139">
        <v>80603</v>
      </c>
      <c r="G3" s="60"/>
      <c r="H3" s="139">
        <v>99995</v>
      </c>
      <c r="I3" s="59"/>
      <c r="J3" s="141">
        <v>184206</v>
      </c>
      <c r="K3" s="62"/>
      <c r="L3" s="139">
        <v>116015</v>
      </c>
      <c r="M3" s="60"/>
      <c r="N3" s="139">
        <v>655623</v>
      </c>
      <c r="O3" s="62"/>
      <c r="P3" s="139">
        <v>167764</v>
      </c>
      <c r="Q3" s="60"/>
      <c r="R3" s="139">
        <v>226</v>
      </c>
      <c r="S3" s="62"/>
      <c r="T3" s="139">
        <v>83224</v>
      </c>
      <c r="U3" s="60"/>
      <c r="V3" s="139">
        <v>305810</v>
      </c>
      <c r="W3" s="62"/>
      <c r="X3" s="141">
        <v>33165</v>
      </c>
      <c r="Y3" s="60"/>
      <c r="Z3" s="141">
        <v>734856</v>
      </c>
      <c r="AA3" s="62"/>
      <c r="AB3" s="74">
        <v>1410</v>
      </c>
      <c r="AC3" s="60"/>
      <c r="AD3" s="144">
        <v>119383</v>
      </c>
      <c r="AE3" s="60"/>
      <c r="AF3" s="74">
        <v>1982</v>
      </c>
      <c r="AG3" s="60"/>
      <c r="AH3" s="67"/>
      <c r="AI3" s="71"/>
      <c r="AJ3" s="53"/>
    </row>
    <row r="4" spans="1:42">
      <c r="A4" s="52">
        <v>44835</v>
      </c>
      <c r="B4" s="137">
        <v>1600335</v>
      </c>
      <c r="C4" s="63">
        <f>IF((B4-B3)&lt;0,"0",(B4-B3))</f>
        <v>243</v>
      </c>
      <c r="D4" s="137">
        <v>33684733</v>
      </c>
      <c r="E4" s="60">
        <f>IF((D4-D3)&lt;0,"0",(D4-D3))</f>
        <v>653</v>
      </c>
      <c r="F4" s="140">
        <v>80763</v>
      </c>
      <c r="G4" s="60">
        <f>IF((F4-F3)&lt;0,"0",(F4-F3))</f>
        <v>160</v>
      </c>
      <c r="H4" s="140">
        <v>100025</v>
      </c>
      <c r="I4" s="60">
        <f>IF((H4-H3)&lt;0,"0",(H4-H3))</f>
        <v>30</v>
      </c>
      <c r="J4" s="142">
        <v>184207</v>
      </c>
      <c r="K4" s="63">
        <f>IF((J4-J3)&lt;0,"0",(J4-J3))</f>
        <v>1</v>
      </c>
      <c r="L4" s="140">
        <v>116070</v>
      </c>
      <c r="M4" s="60">
        <f>IF((L4-L3)&lt;0,"0",(L4-L3))</f>
        <v>55</v>
      </c>
      <c r="N4" s="140">
        <v>655805</v>
      </c>
      <c r="O4" s="63">
        <f>IF((N4-N3)&lt;0,"0",(N4-N3))</f>
        <v>182</v>
      </c>
      <c r="P4" s="140">
        <v>167764</v>
      </c>
      <c r="Q4" s="60">
        <f>IF((P4-P3)&lt;0,"0",(P4-P3))</f>
        <v>0</v>
      </c>
      <c r="R4" s="140">
        <v>495</v>
      </c>
      <c r="S4" s="63">
        <f>IF((R4-R3)&lt;0,"0",(R4-R3))</f>
        <v>269</v>
      </c>
      <c r="T4" s="140">
        <v>83256</v>
      </c>
      <c r="U4" s="60">
        <f>IF((T4-T3)&lt;0,"0",(T4-T3))</f>
        <v>32</v>
      </c>
      <c r="V4" s="140">
        <v>305810</v>
      </c>
      <c r="W4" s="63">
        <f>IF((V4-V3)&lt;0,"0",(V4-V3))</f>
        <v>0</v>
      </c>
      <c r="X4" s="142">
        <v>33198</v>
      </c>
      <c r="Y4" s="60">
        <f>IF((X4-X3)&lt;0,"0",(X4-X3))</f>
        <v>33</v>
      </c>
      <c r="Z4" s="142">
        <v>734987</v>
      </c>
      <c r="AA4" s="63">
        <f>IF((Z4-Z3)&lt;0,"0",(Z4-Z3))</f>
        <v>131</v>
      </c>
      <c r="AB4" s="74">
        <v>1410</v>
      </c>
      <c r="AC4" s="60">
        <f>IF((AB4-AB3)&lt;0,"0",(AB4-AB3))</f>
        <v>0</v>
      </c>
      <c r="AD4" s="145">
        <v>119581</v>
      </c>
      <c r="AE4" s="60">
        <f>IF((AD4-AD3)&lt;0,"0",(AD4-AD3))</f>
        <v>198</v>
      </c>
      <c r="AF4" s="74">
        <v>1982</v>
      </c>
      <c r="AG4" s="60">
        <f t="shared" ref="AC4:AG33" si="0">IF((AF4-AF3)&lt;0,"0",(AF4-AF3))</f>
        <v>0</v>
      </c>
      <c r="AH4" s="68">
        <f>C4+E4+G4+I4+K4+M4+O4+Q4+S4+U4+W4+Y4+AA4+AC4+AE4+AG4</f>
        <v>1987</v>
      </c>
      <c r="AI4" s="18">
        <v>0</v>
      </c>
      <c r="AJ4" s="53">
        <f>IF((AI4-AI3)&lt;0,"0",(AI4-AI3))</f>
        <v>0</v>
      </c>
    </row>
    <row r="5" spans="1:42">
      <c r="A5" s="52">
        <v>44836</v>
      </c>
      <c r="B5" s="137">
        <v>1600552</v>
      </c>
      <c r="C5" s="63">
        <f t="shared" ref="C5:C33" si="1">IF((B5-B4)&lt;0,"0",(B5-B4))</f>
        <v>217</v>
      </c>
      <c r="D5" s="137">
        <v>33685347</v>
      </c>
      <c r="E5" s="60">
        <f t="shared" ref="E5:E33" si="2">IF((D5-D4)&lt;0,"0",(D5-D4))</f>
        <v>614</v>
      </c>
      <c r="F5" s="140">
        <v>80907</v>
      </c>
      <c r="G5" s="60">
        <f t="shared" ref="G5:G34" si="3">IF((F5-F4)&lt;0,"0",(F5-F4))</f>
        <v>144</v>
      </c>
      <c r="H5" s="140">
        <v>100039</v>
      </c>
      <c r="I5" s="60">
        <f t="shared" ref="I5:I33" si="4">IF((H5-H4)&lt;0,"0",(H5-H4))</f>
        <v>14</v>
      </c>
      <c r="J5" s="142">
        <v>184208</v>
      </c>
      <c r="K5" s="63">
        <f t="shared" ref="K5:K33" si="5">IF((J5-J4)&lt;0,"0",(J5-J4))</f>
        <v>1</v>
      </c>
      <c r="L5" s="140">
        <v>116117</v>
      </c>
      <c r="M5" s="60">
        <f t="shared" ref="M5:M33" si="6">IF((L5-L4)&lt;0,"0",(L5-L4))</f>
        <v>47</v>
      </c>
      <c r="N5" s="140">
        <v>655847</v>
      </c>
      <c r="O5" s="63">
        <f t="shared" ref="O5:O33" si="7">IF((N5-N4)&lt;0,"0",(N5-N4))</f>
        <v>42</v>
      </c>
      <c r="P5" s="140">
        <v>167764</v>
      </c>
      <c r="Q5" s="60">
        <f t="shared" ref="Q5:Q33" si="8">IF((P5-P4)&lt;0,"0",(P5-P4))</f>
        <v>0</v>
      </c>
      <c r="R5" s="140">
        <v>770</v>
      </c>
      <c r="S5" s="63">
        <f t="shared" ref="S5:S33" si="9">IF((R5-R4)&lt;0,"0",(R5-R4))</f>
        <v>275</v>
      </c>
      <c r="T5" s="140">
        <v>83292</v>
      </c>
      <c r="U5" s="60">
        <f t="shared" ref="U5:U33" si="10">IF((T5-T4)&lt;0,"0",(T5-T4))</f>
        <v>36</v>
      </c>
      <c r="V5" s="140">
        <v>305810</v>
      </c>
      <c r="W5" s="63">
        <f t="shared" ref="W5:W33" si="11">IF((V5-V4)&lt;0,"0",(V5-V4))</f>
        <v>0</v>
      </c>
      <c r="X5" s="142">
        <v>33224</v>
      </c>
      <c r="Y5" s="60">
        <f t="shared" ref="Y5:Y33" si="12">IF((X5-X4)&lt;0,"0",(X5-X4))</f>
        <v>26</v>
      </c>
      <c r="Z5" s="142">
        <v>735113</v>
      </c>
      <c r="AA5" s="63">
        <f t="shared" ref="AA5:AA33" si="13">IF((Z5-Z4)&lt;0,"0",(Z5-Z4))</f>
        <v>126</v>
      </c>
      <c r="AB5" s="74">
        <v>1410</v>
      </c>
      <c r="AC5" s="60">
        <f t="shared" si="0"/>
        <v>0</v>
      </c>
      <c r="AD5" s="145">
        <v>119768</v>
      </c>
      <c r="AE5" s="60">
        <f t="shared" si="0"/>
        <v>187</v>
      </c>
      <c r="AF5" s="74">
        <v>1982</v>
      </c>
      <c r="AG5" s="60">
        <f t="shared" si="0"/>
        <v>0</v>
      </c>
      <c r="AH5" s="68">
        <f t="shared" ref="AH5:AH34" si="14">C5+E5+G5+I5+K5+M5+O5+Q5+S5+U5+W5+Y5+AA5+AC5+AE5+AG5</f>
        <v>1729</v>
      </c>
      <c r="AI5" s="18">
        <v>0</v>
      </c>
      <c r="AJ5" s="53">
        <f t="shared" ref="AJ5:AJ33" si="15">IF((AI5-AI4)&lt;0,"0",(AI5-AI4))</f>
        <v>0</v>
      </c>
    </row>
    <row r="6" spans="1:42">
      <c r="A6" s="52">
        <v>44837</v>
      </c>
      <c r="B6" s="137">
        <v>1600732</v>
      </c>
      <c r="C6" s="63">
        <f t="shared" si="1"/>
        <v>180</v>
      </c>
      <c r="D6" s="137">
        <v>33685957</v>
      </c>
      <c r="E6" s="60">
        <f t="shared" si="2"/>
        <v>610</v>
      </c>
      <c r="F6" s="140">
        <v>81035</v>
      </c>
      <c r="G6" s="60">
        <f t="shared" si="3"/>
        <v>128</v>
      </c>
      <c r="H6" s="140">
        <v>100054</v>
      </c>
      <c r="I6" s="60">
        <f t="shared" si="4"/>
        <v>15</v>
      </c>
      <c r="J6" s="142">
        <v>184211</v>
      </c>
      <c r="K6" s="63">
        <f t="shared" si="5"/>
        <v>3</v>
      </c>
      <c r="L6" s="140">
        <v>116163</v>
      </c>
      <c r="M6" s="60">
        <f t="shared" si="6"/>
        <v>46</v>
      </c>
      <c r="N6" s="140">
        <v>655986</v>
      </c>
      <c r="O6" s="63">
        <f t="shared" si="7"/>
        <v>139</v>
      </c>
      <c r="P6" s="140">
        <v>167764</v>
      </c>
      <c r="Q6" s="60">
        <f t="shared" si="8"/>
        <v>0</v>
      </c>
      <c r="R6" s="140">
        <v>973</v>
      </c>
      <c r="S6" s="63">
        <f t="shared" si="9"/>
        <v>203</v>
      </c>
      <c r="T6" s="140">
        <v>83317</v>
      </c>
      <c r="U6" s="60">
        <f t="shared" si="10"/>
        <v>25</v>
      </c>
      <c r="V6" s="140">
        <v>305810</v>
      </c>
      <c r="W6" s="63">
        <f t="shared" si="11"/>
        <v>0</v>
      </c>
      <c r="X6" s="142">
        <v>33276</v>
      </c>
      <c r="Y6" s="60">
        <f t="shared" si="12"/>
        <v>52</v>
      </c>
      <c r="Z6" s="142">
        <v>735231</v>
      </c>
      <c r="AA6" s="63">
        <f t="shared" si="13"/>
        <v>118</v>
      </c>
      <c r="AB6" s="74">
        <v>1410</v>
      </c>
      <c r="AC6" s="60">
        <f t="shared" si="0"/>
        <v>0</v>
      </c>
      <c r="AD6" s="145">
        <v>119947</v>
      </c>
      <c r="AE6" s="60">
        <f t="shared" si="0"/>
        <v>179</v>
      </c>
      <c r="AF6" s="74">
        <v>1982</v>
      </c>
      <c r="AG6" s="60">
        <f t="shared" si="0"/>
        <v>0</v>
      </c>
      <c r="AH6" s="68">
        <f t="shared" si="14"/>
        <v>1698</v>
      </c>
      <c r="AI6" s="18">
        <v>0</v>
      </c>
      <c r="AJ6" s="53">
        <f t="shared" si="15"/>
        <v>0</v>
      </c>
    </row>
    <row r="7" spans="1:42">
      <c r="A7" s="52">
        <v>44838</v>
      </c>
      <c r="B7" s="137">
        <v>1600987</v>
      </c>
      <c r="C7" s="63">
        <f t="shared" si="1"/>
        <v>255</v>
      </c>
      <c r="D7" s="137">
        <v>33686577</v>
      </c>
      <c r="E7" s="60">
        <f t="shared" si="2"/>
        <v>620</v>
      </c>
      <c r="F7" s="140">
        <v>81184</v>
      </c>
      <c r="G7" s="60">
        <f t="shared" si="3"/>
        <v>149</v>
      </c>
      <c r="H7" s="140">
        <v>100075</v>
      </c>
      <c r="I7" s="60">
        <f t="shared" si="4"/>
        <v>21</v>
      </c>
      <c r="J7" s="142">
        <v>184213</v>
      </c>
      <c r="K7" s="63">
        <f t="shared" si="5"/>
        <v>2</v>
      </c>
      <c r="L7" s="140">
        <v>116210</v>
      </c>
      <c r="M7" s="60">
        <f t="shared" si="6"/>
        <v>47</v>
      </c>
      <c r="N7" s="140">
        <v>656147</v>
      </c>
      <c r="O7" s="63">
        <f t="shared" si="7"/>
        <v>161</v>
      </c>
      <c r="P7" s="140">
        <v>167764</v>
      </c>
      <c r="Q7" s="60">
        <f t="shared" si="8"/>
        <v>0</v>
      </c>
      <c r="R7" s="140">
        <v>1192</v>
      </c>
      <c r="S7" s="63">
        <f t="shared" si="9"/>
        <v>219</v>
      </c>
      <c r="T7" s="140">
        <v>83353</v>
      </c>
      <c r="U7" s="60">
        <f t="shared" si="10"/>
        <v>36</v>
      </c>
      <c r="V7" s="140">
        <v>305810</v>
      </c>
      <c r="W7" s="63">
        <f t="shared" si="11"/>
        <v>0</v>
      </c>
      <c r="X7" s="142">
        <v>33305</v>
      </c>
      <c r="Y7" s="60">
        <f t="shared" si="12"/>
        <v>29</v>
      </c>
      <c r="Z7" s="142">
        <v>735384</v>
      </c>
      <c r="AA7" s="63">
        <f t="shared" si="13"/>
        <v>153</v>
      </c>
      <c r="AB7" s="74">
        <v>1410</v>
      </c>
      <c r="AC7" s="60">
        <f t="shared" si="0"/>
        <v>0</v>
      </c>
      <c r="AD7" s="145">
        <v>120142</v>
      </c>
      <c r="AE7" s="60">
        <f t="shared" si="0"/>
        <v>195</v>
      </c>
      <c r="AF7" s="74">
        <v>1982</v>
      </c>
      <c r="AG7" s="60">
        <f t="shared" si="0"/>
        <v>0</v>
      </c>
      <c r="AH7" s="68">
        <f t="shared" si="14"/>
        <v>1887</v>
      </c>
      <c r="AI7" s="18">
        <v>0</v>
      </c>
      <c r="AJ7" s="53">
        <f t="shared" si="15"/>
        <v>0</v>
      </c>
    </row>
    <row r="8" spans="1:42">
      <c r="A8" s="52">
        <v>44839</v>
      </c>
      <c r="B8" s="137">
        <v>1601281</v>
      </c>
      <c r="C8" s="63">
        <f t="shared" si="1"/>
        <v>294</v>
      </c>
      <c r="D8" s="137">
        <v>33687315</v>
      </c>
      <c r="E8" s="60">
        <f t="shared" si="2"/>
        <v>738</v>
      </c>
      <c r="F8" s="140">
        <v>81333</v>
      </c>
      <c r="G8" s="60">
        <f t="shared" si="3"/>
        <v>149</v>
      </c>
      <c r="H8" s="140">
        <v>100101</v>
      </c>
      <c r="I8" s="60">
        <f t="shared" si="4"/>
        <v>26</v>
      </c>
      <c r="J8" s="142">
        <v>184214</v>
      </c>
      <c r="K8" s="63">
        <f t="shared" si="5"/>
        <v>1</v>
      </c>
      <c r="L8" s="140">
        <v>116262</v>
      </c>
      <c r="M8" s="60">
        <f t="shared" si="6"/>
        <v>52</v>
      </c>
      <c r="N8" s="140">
        <v>656290</v>
      </c>
      <c r="O8" s="63">
        <f t="shared" si="7"/>
        <v>143</v>
      </c>
      <c r="P8" s="140">
        <v>167764</v>
      </c>
      <c r="Q8" s="60">
        <f t="shared" si="8"/>
        <v>0</v>
      </c>
      <c r="R8" s="140">
        <v>1410</v>
      </c>
      <c r="S8" s="63">
        <f t="shared" si="9"/>
        <v>218</v>
      </c>
      <c r="T8" s="140">
        <v>83398</v>
      </c>
      <c r="U8" s="60">
        <f t="shared" si="10"/>
        <v>45</v>
      </c>
      <c r="V8" s="140">
        <v>305810</v>
      </c>
      <c r="W8" s="63">
        <f t="shared" si="11"/>
        <v>0</v>
      </c>
      <c r="X8" s="142">
        <v>33346</v>
      </c>
      <c r="Y8" s="60">
        <f t="shared" si="12"/>
        <v>41</v>
      </c>
      <c r="Z8" s="142">
        <v>735527</v>
      </c>
      <c r="AA8" s="63">
        <f t="shared" si="13"/>
        <v>143</v>
      </c>
      <c r="AB8" s="74">
        <v>1410</v>
      </c>
      <c r="AC8" s="60">
        <f t="shared" si="0"/>
        <v>0</v>
      </c>
      <c r="AD8" s="145">
        <v>120330</v>
      </c>
      <c r="AE8" s="60">
        <f t="shared" si="0"/>
        <v>188</v>
      </c>
      <c r="AF8" s="74">
        <v>1982</v>
      </c>
      <c r="AG8" s="60">
        <f t="shared" si="0"/>
        <v>0</v>
      </c>
      <c r="AH8" s="68">
        <f t="shared" si="14"/>
        <v>2038</v>
      </c>
      <c r="AI8" s="18">
        <v>0</v>
      </c>
      <c r="AJ8" s="53">
        <f t="shared" si="15"/>
        <v>0</v>
      </c>
    </row>
    <row r="9" spans="1:42">
      <c r="A9" s="52">
        <v>44840</v>
      </c>
      <c r="B9" s="137">
        <v>1601539</v>
      </c>
      <c r="C9" s="63">
        <f t="shared" si="1"/>
        <v>258</v>
      </c>
      <c r="D9" s="137">
        <v>33688043</v>
      </c>
      <c r="E9" s="60">
        <f t="shared" si="2"/>
        <v>728</v>
      </c>
      <c r="F9" s="140">
        <v>81489</v>
      </c>
      <c r="G9" s="60">
        <f t="shared" si="3"/>
        <v>156</v>
      </c>
      <c r="H9" s="140">
        <v>100131</v>
      </c>
      <c r="I9" s="60">
        <f t="shared" si="4"/>
        <v>30</v>
      </c>
      <c r="J9" s="142">
        <v>184214</v>
      </c>
      <c r="K9" s="63">
        <f t="shared" si="5"/>
        <v>0</v>
      </c>
      <c r="L9" s="140">
        <v>116312</v>
      </c>
      <c r="M9" s="60">
        <f t="shared" si="6"/>
        <v>50</v>
      </c>
      <c r="N9" s="140">
        <v>656488</v>
      </c>
      <c r="O9" s="63">
        <f t="shared" si="7"/>
        <v>198</v>
      </c>
      <c r="P9" s="140">
        <v>167764</v>
      </c>
      <c r="Q9" s="60">
        <f t="shared" si="8"/>
        <v>0</v>
      </c>
      <c r="R9" s="140">
        <v>1661</v>
      </c>
      <c r="S9" s="63">
        <f t="shared" si="9"/>
        <v>251</v>
      </c>
      <c r="T9" s="140">
        <v>83441</v>
      </c>
      <c r="U9" s="60">
        <f t="shared" si="10"/>
        <v>43</v>
      </c>
      <c r="V9" s="140">
        <v>305810</v>
      </c>
      <c r="W9" s="63">
        <f t="shared" si="11"/>
        <v>0</v>
      </c>
      <c r="X9" s="142">
        <v>33393</v>
      </c>
      <c r="Y9" s="60">
        <f t="shared" si="12"/>
        <v>47</v>
      </c>
      <c r="Z9" s="142">
        <v>735675</v>
      </c>
      <c r="AA9" s="63">
        <f t="shared" si="13"/>
        <v>148</v>
      </c>
      <c r="AB9" s="74">
        <v>1410</v>
      </c>
      <c r="AC9" s="60">
        <f t="shared" si="0"/>
        <v>0</v>
      </c>
      <c r="AD9" s="145">
        <v>120549</v>
      </c>
      <c r="AE9" s="60">
        <f t="shared" si="0"/>
        <v>219</v>
      </c>
      <c r="AF9" s="74">
        <v>1982</v>
      </c>
      <c r="AG9" s="60">
        <f t="shared" si="0"/>
        <v>0</v>
      </c>
      <c r="AH9" s="68">
        <f t="shared" si="14"/>
        <v>2128</v>
      </c>
      <c r="AI9" s="18">
        <v>0</v>
      </c>
      <c r="AJ9" s="53">
        <f t="shared" si="15"/>
        <v>0</v>
      </c>
    </row>
    <row r="10" spans="1:42">
      <c r="A10" s="52">
        <v>44841</v>
      </c>
      <c r="B10" s="137">
        <v>1601838</v>
      </c>
      <c r="C10" s="63">
        <f t="shared" si="1"/>
        <v>299</v>
      </c>
      <c r="D10" s="137">
        <v>33688912</v>
      </c>
      <c r="E10" s="60">
        <f t="shared" si="2"/>
        <v>869</v>
      </c>
      <c r="F10" s="140">
        <v>81639</v>
      </c>
      <c r="G10" s="60">
        <f t="shared" si="3"/>
        <v>150</v>
      </c>
      <c r="H10" s="140">
        <v>100153</v>
      </c>
      <c r="I10" s="60">
        <f t="shared" si="4"/>
        <v>22</v>
      </c>
      <c r="J10" s="142">
        <v>184215</v>
      </c>
      <c r="K10" s="63">
        <f t="shared" si="5"/>
        <v>1</v>
      </c>
      <c r="L10" s="140">
        <v>116371</v>
      </c>
      <c r="M10" s="60">
        <f t="shared" si="6"/>
        <v>59</v>
      </c>
      <c r="N10" s="140">
        <v>656668</v>
      </c>
      <c r="O10" s="63">
        <f t="shared" si="7"/>
        <v>180</v>
      </c>
      <c r="P10" s="140">
        <v>167764</v>
      </c>
      <c r="Q10" s="60">
        <f t="shared" si="8"/>
        <v>0</v>
      </c>
      <c r="R10" s="140">
        <v>1929</v>
      </c>
      <c r="S10" s="63">
        <f t="shared" si="9"/>
        <v>268</v>
      </c>
      <c r="T10" s="140">
        <v>83477</v>
      </c>
      <c r="U10" s="60">
        <f t="shared" si="10"/>
        <v>36</v>
      </c>
      <c r="V10" s="140">
        <v>305810</v>
      </c>
      <c r="W10" s="63">
        <f t="shared" si="11"/>
        <v>0</v>
      </c>
      <c r="X10" s="142">
        <v>33428</v>
      </c>
      <c r="Y10" s="60">
        <f t="shared" si="12"/>
        <v>35</v>
      </c>
      <c r="Z10" s="142">
        <v>735819</v>
      </c>
      <c r="AA10" s="63">
        <f t="shared" si="13"/>
        <v>144</v>
      </c>
      <c r="AB10" s="74">
        <v>1410</v>
      </c>
      <c r="AC10" s="60">
        <f t="shared" si="0"/>
        <v>0</v>
      </c>
      <c r="AD10" s="145">
        <v>120792</v>
      </c>
      <c r="AE10" s="60">
        <f t="shared" si="0"/>
        <v>243</v>
      </c>
      <c r="AF10" s="74">
        <v>1982</v>
      </c>
      <c r="AG10" s="60">
        <f t="shared" si="0"/>
        <v>0</v>
      </c>
      <c r="AH10" s="68">
        <f t="shared" si="14"/>
        <v>2306</v>
      </c>
      <c r="AI10" s="18">
        <v>0</v>
      </c>
      <c r="AJ10" s="53">
        <f t="shared" si="15"/>
        <v>0</v>
      </c>
    </row>
    <row r="11" spans="1:42">
      <c r="A11" s="52">
        <v>44842</v>
      </c>
      <c r="B11" s="137">
        <v>1602077</v>
      </c>
      <c r="C11" s="63">
        <f t="shared" si="1"/>
        <v>239</v>
      </c>
      <c r="D11" s="137">
        <v>33689488</v>
      </c>
      <c r="E11" s="60">
        <f>IF((D11-D10)&lt;0,"0",(D11-D10))</f>
        <v>576</v>
      </c>
      <c r="F11" s="140">
        <v>81781</v>
      </c>
      <c r="G11" s="60">
        <f t="shared" si="3"/>
        <v>142</v>
      </c>
      <c r="H11" s="140">
        <v>100173</v>
      </c>
      <c r="I11" s="60">
        <f t="shared" si="4"/>
        <v>20</v>
      </c>
      <c r="J11" s="142">
        <v>184215</v>
      </c>
      <c r="K11" s="63">
        <f t="shared" si="5"/>
        <v>0</v>
      </c>
      <c r="L11" s="140">
        <v>116417</v>
      </c>
      <c r="M11" s="60">
        <f t="shared" si="6"/>
        <v>46</v>
      </c>
      <c r="N11" s="140">
        <v>656702</v>
      </c>
      <c r="O11" s="63">
        <f t="shared" si="7"/>
        <v>34</v>
      </c>
      <c r="P11" s="140">
        <v>167764</v>
      </c>
      <c r="Q11" s="60">
        <f t="shared" si="8"/>
        <v>0</v>
      </c>
      <c r="R11" s="140">
        <v>2273</v>
      </c>
      <c r="S11" s="63">
        <f t="shared" si="9"/>
        <v>344</v>
      </c>
      <c r="T11" s="140">
        <v>83505</v>
      </c>
      <c r="U11" s="60">
        <f t="shared" si="10"/>
        <v>28</v>
      </c>
      <c r="V11" s="140">
        <v>305810</v>
      </c>
      <c r="W11" s="63">
        <f t="shared" si="11"/>
        <v>0</v>
      </c>
      <c r="X11" s="142">
        <v>33479</v>
      </c>
      <c r="Y11" s="60">
        <f t="shared" si="12"/>
        <v>51</v>
      </c>
      <c r="Z11" s="142">
        <v>735965</v>
      </c>
      <c r="AA11" s="63">
        <f t="shared" si="13"/>
        <v>146</v>
      </c>
      <c r="AB11" s="74">
        <v>1410</v>
      </c>
      <c r="AC11" s="60">
        <f t="shared" si="0"/>
        <v>0</v>
      </c>
      <c r="AD11" s="145">
        <v>121033</v>
      </c>
      <c r="AE11" s="60">
        <f t="shared" si="0"/>
        <v>241</v>
      </c>
      <c r="AF11" s="74">
        <v>1982</v>
      </c>
      <c r="AG11" s="60">
        <f t="shared" si="0"/>
        <v>0</v>
      </c>
      <c r="AH11" s="68">
        <f t="shared" si="14"/>
        <v>1867</v>
      </c>
      <c r="AI11" s="18">
        <v>0</v>
      </c>
      <c r="AJ11" s="53">
        <f t="shared" si="15"/>
        <v>0</v>
      </c>
    </row>
    <row r="12" spans="1:42">
      <c r="A12" s="52">
        <v>44843</v>
      </c>
      <c r="B12" s="137">
        <v>1602381</v>
      </c>
      <c r="C12" s="63">
        <f t="shared" si="1"/>
        <v>304</v>
      </c>
      <c r="D12" s="137">
        <v>33690382</v>
      </c>
      <c r="E12" s="60">
        <f>IF((D12-D11)&lt;0,"0",(D12-D11))</f>
        <v>894</v>
      </c>
      <c r="F12" s="140">
        <v>81930</v>
      </c>
      <c r="G12" s="60">
        <f t="shared" si="3"/>
        <v>149</v>
      </c>
      <c r="H12" s="140">
        <v>100190</v>
      </c>
      <c r="I12" s="60">
        <f t="shared" si="4"/>
        <v>17</v>
      </c>
      <c r="J12" s="142">
        <v>184215</v>
      </c>
      <c r="K12" s="63">
        <f t="shared" si="5"/>
        <v>0</v>
      </c>
      <c r="L12" s="140">
        <v>116468</v>
      </c>
      <c r="M12" s="60">
        <f t="shared" si="6"/>
        <v>51</v>
      </c>
      <c r="N12" s="140">
        <v>656765</v>
      </c>
      <c r="O12" s="63">
        <f t="shared" si="7"/>
        <v>63</v>
      </c>
      <c r="P12" s="140">
        <v>167764</v>
      </c>
      <c r="Q12" s="60">
        <f t="shared" si="8"/>
        <v>0</v>
      </c>
      <c r="R12" s="140">
        <v>2595</v>
      </c>
      <c r="S12" s="63">
        <f t="shared" si="9"/>
        <v>322</v>
      </c>
      <c r="T12" s="140">
        <v>83548</v>
      </c>
      <c r="U12" s="60">
        <f t="shared" si="10"/>
        <v>43</v>
      </c>
      <c r="V12" s="140">
        <v>305810</v>
      </c>
      <c r="W12" s="63">
        <f t="shared" si="11"/>
        <v>0</v>
      </c>
      <c r="X12" s="142">
        <v>33521</v>
      </c>
      <c r="Y12" s="60">
        <f t="shared" si="12"/>
        <v>42</v>
      </c>
      <c r="Z12" s="142">
        <v>736210</v>
      </c>
      <c r="AA12" s="63">
        <f t="shared" si="13"/>
        <v>245</v>
      </c>
      <c r="AB12" s="74">
        <v>1410</v>
      </c>
      <c r="AC12" s="60">
        <f t="shared" si="0"/>
        <v>0</v>
      </c>
      <c r="AD12" s="145">
        <v>121263</v>
      </c>
      <c r="AE12" s="60">
        <f t="shared" si="0"/>
        <v>230</v>
      </c>
      <c r="AF12" s="74">
        <v>1982</v>
      </c>
      <c r="AG12" s="60">
        <f t="shared" si="0"/>
        <v>0</v>
      </c>
      <c r="AH12" s="68">
        <f t="shared" si="14"/>
        <v>2360</v>
      </c>
      <c r="AI12" s="18">
        <v>0</v>
      </c>
      <c r="AJ12" s="53">
        <f t="shared" si="15"/>
        <v>0</v>
      </c>
    </row>
    <row r="13" spans="1:42">
      <c r="A13" s="52">
        <v>44844</v>
      </c>
      <c r="B13" s="137">
        <v>1602680</v>
      </c>
      <c r="C13" s="63">
        <f t="shared" si="1"/>
        <v>299</v>
      </c>
      <c r="D13" s="137">
        <v>33691134</v>
      </c>
      <c r="E13" s="60">
        <f>IF((D13-D12)&lt;0,"0",(D13-D12))</f>
        <v>752</v>
      </c>
      <c r="F13" s="140">
        <v>82032</v>
      </c>
      <c r="G13" s="60">
        <f t="shared" si="3"/>
        <v>102</v>
      </c>
      <c r="H13" s="140">
        <v>100211</v>
      </c>
      <c r="I13" s="60">
        <f t="shared" si="4"/>
        <v>21</v>
      </c>
      <c r="J13" s="142">
        <v>184215</v>
      </c>
      <c r="K13" s="63">
        <f t="shared" si="5"/>
        <v>0</v>
      </c>
      <c r="L13" s="140">
        <v>116522</v>
      </c>
      <c r="M13" s="60">
        <f t="shared" si="6"/>
        <v>54</v>
      </c>
      <c r="N13" s="140">
        <v>656955</v>
      </c>
      <c r="O13" s="63">
        <f t="shared" si="7"/>
        <v>190</v>
      </c>
      <c r="P13" s="140">
        <v>167764</v>
      </c>
      <c r="Q13" s="60">
        <f t="shared" si="8"/>
        <v>0</v>
      </c>
      <c r="R13" s="140">
        <v>2785</v>
      </c>
      <c r="S13" s="63">
        <f t="shared" si="9"/>
        <v>190</v>
      </c>
      <c r="T13" s="140">
        <v>83590</v>
      </c>
      <c r="U13" s="60">
        <f t="shared" si="10"/>
        <v>42</v>
      </c>
      <c r="V13" s="140">
        <v>305810</v>
      </c>
      <c r="W13" s="63">
        <f t="shared" si="11"/>
        <v>0</v>
      </c>
      <c r="X13" s="142">
        <v>33566</v>
      </c>
      <c r="Y13" s="60">
        <f t="shared" si="12"/>
        <v>45</v>
      </c>
      <c r="Z13" s="142">
        <v>736425</v>
      </c>
      <c r="AA13" s="63">
        <f t="shared" si="13"/>
        <v>215</v>
      </c>
      <c r="AB13" s="74">
        <v>1410</v>
      </c>
      <c r="AC13" s="60">
        <f t="shared" si="0"/>
        <v>0</v>
      </c>
      <c r="AD13" s="145">
        <v>121404</v>
      </c>
      <c r="AE13" s="60">
        <f t="shared" si="0"/>
        <v>141</v>
      </c>
      <c r="AF13" s="74">
        <v>1982</v>
      </c>
      <c r="AG13" s="60">
        <f t="shared" si="0"/>
        <v>0</v>
      </c>
      <c r="AH13" s="68">
        <f t="shared" si="14"/>
        <v>2051</v>
      </c>
      <c r="AI13" s="18">
        <v>0</v>
      </c>
      <c r="AJ13" s="53">
        <f t="shared" si="15"/>
        <v>0</v>
      </c>
    </row>
    <row r="14" spans="1:42">
      <c r="A14" s="52">
        <v>44845</v>
      </c>
      <c r="B14" s="137">
        <v>1602939</v>
      </c>
      <c r="C14" s="63">
        <f t="shared" si="1"/>
        <v>259</v>
      </c>
      <c r="D14" s="137">
        <v>33691940</v>
      </c>
      <c r="E14" s="60">
        <f t="shared" si="2"/>
        <v>806</v>
      </c>
      <c r="F14" s="140">
        <v>82173</v>
      </c>
      <c r="G14" s="60">
        <f t="shared" si="3"/>
        <v>141</v>
      </c>
      <c r="H14" s="140">
        <v>100232</v>
      </c>
      <c r="I14" s="60">
        <f t="shared" si="4"/>
        <v>21</v>
      </c>
      <c r="J14" s="142">
        <v>184215</v>
      </c>
      <c r="K14" s="63">
        <f t="shared" si="5"/>
        <v>0</v>
      </c>
      <c r="L14" s="140">
        <v>116573</v>
      </c>
      <c r="M14" s="60">
        <f t="shared" si="6"/>
        <v>51</v>
      </c>
      <c r="N14" s="140">
        <v>657141</v>
      </c>
      <c r="O14" s="63">
        <f t="shared" si="7"/>
        <v>186</v>
      </c>
      <c r="P14" s="140">
        <v>167764</v>
      </c>
      <c r="Q14" s="60">
        <f t="shared" si="8"/>
        <v>0</v>
      </c>
      <c r="R14" s="140">
        <v>3092</v>
      </c>
      <c r="S14" s="63">
        <f t="shared" si="9"/>
        <v>307</v>
      </c>
      <c r="T14" s="140">
        <v>83620</v>
      </c>
      <c r="U14" s="60">
        <f t="shared" si="10"/>
        <v>30</v>
      </c>
      <c r="V14" s="140">
        <v>305810</v>
      </c>
      <c r="W14" s="63">
        <f t="shared" si="11"/>
        <v>0</v>
      </c>
      <c r="X14" s="142">
        <v>33602</v>
      </c>
      <c r="Y14" s="60">
        <f t="shared" si="12"/>
        <v>36</v>
      </c>
      <c r="Z14" s="142">
        <v>736595</v>
      </c>
      <c r="AA14" s="63">
        <f t="shared" si="13"/>
        <v>170</v>
      </c>
      <c r="AB14" s="74">
        <v>1410</v>
      </c>
      <c r="AC14" s="60">
        <f t="shared" si="0"/>
        <v>0</v>
      </c>
      <c r="AD14" s="145">
        <v>121616</v>
      </c>
      <c r="AE14" s="60">
        <f t="shared" si="0"/>
        <v>212</v>
      </c>
      <c r="AF14" s="74">
        <v>1982</v>
      </c>
      <c r="AG14" s="60">
        <f t="shared" si="0"/>
        <v>0</v>
      </c>
      <c r="AH14" s="68">
        <f t="shared" si="14"/>
        <v>2219</v>
      </c>
      <c r="AI14" s="18">
        <v>0</v>
      </c>
      <c r="AJ14" s="53">
        <f t="shared" si="15"/>
        <v>0</v>
      </c>
    </row>
    <row r="15" spans="1:42">
      <c r="A15" s="52">
        <v>44846</v>
      </c>
      <c r="B15" s="137">
        <v>1603299</v>
      </c>
      <c r="C15" s="63">
        <f t="shared" si="1"/>
        <v>360</v>
      </c>
      <c r="D15" s="137">
        <v>33692809</v>
      </c>
      <c r="E15" s="60">
        <f t="shared" si="2"/>
        <v>869</v>
      </c>
      <c r="F15" s="140">
        <v>82307</v>
      </c>
      <c r="G15" s="60">
        <f t="shared" si="3"/>
        <v>134</v>
      </c>
      <c r="H15" s="140">
        <v>100266</v>
      </c>
      <c r="I15" s="60">
        <f t="shared" si="4"/>
        <v>34</v>
      </c>
      <c r="J15" s="142">
        <v>184215</v>
      </c>
      <c r="K15" s="63">
        <f t="shared" si="5"/>
        <v>0</v>
      </c>
      <c r="L15" s="140">
        <v>116631</v>
      </c>
      <c r="M15" s="60">
        <f t="shared" si="6"/>
        <v>58</v>
      </c>
      <c r="N15" s="140">
        <v>657366</v>
      </c>
      <c r="O15" s="63">
        <f t="shared" si="7"/>
        <v>225</v>
      </c>
      <c r="P15" s="140">
        <v>167764</v>
      </c>
      <c r="Q15" s="60">
        <f t="shared" si="8"/>
        <v>0</v>
      </c>
      <c r="R15" s="140">
        <v>3319</v>
      </c>
      <c r="S15" s="63">
        <f t="shared" si="9"/>
        <v>227</v>
      </c>
      <c r="T15" s="140">
        <v>83652</v>
      </c>
      <c r="U15" s="60">
        <f t="shared" si="10"/>
        <v>32</v>
      </c>
      <c r="V15" s="140">
        <v>305810</v>
      </c>
      <c r="W15" s="63">
        <f t="shared" si="11"/>
        <v>0</v>
      </c>
      <c r="X15" s="142">
        <v>33653</v>
      </c>
      <c r="Y15" s="60">
        <f t="shared" si="12"/>
        <v>51</v>
      </c>
      <c r="Z15" s="142">
        <v>736901</v>
      </c>
      <c r="AA15" s="63">
        <f t="shared" si="13"/>
        <v>306</v>
      </c>
      <c r="AB15" s="74">
        <v>1410</v>
      </c>
      <c r="AC15" s="60">
        <f t="shared" si="0"/>
        <v>0</v>
      </c>
      <c r="AD15" s="145">
        <v>121814</v>
      </c>
      <c r="AE15" s="60">
        <f t="shared" si="0"/>
        <v>198</v>
      </c>
      <c r="AF15" s="74">
        <v>1982</v>
      </c>
      <c r="AG15" s="60">
        <f t="shared" si="0"/>
        <v>0</v>
      </c>
      <c r="AH15" s="68">
        <f t="shared" si="14"/>
        <v>2494</v>
      </c>
      <c r="AI15" s="18">
        <v>0</v>
      </c>
      <c r="AJ15" s="53">
        <f t="shared" si="15"/>
        <v>0</v>
      </c>
    </row>
    <row r="16" spans="1:42">
      <c r="A16" s="52">
        <v>44847</v>
      </c>
      <c r="B16" s="137">
        <v>1603567</v>
      </c>
      <c r="C16" s="63">
        <f t="shared" si="1"/>
        <v>268</v>
      </c>
      <c r="D16" s="137">
        <v>33693766</v>
      </c>
      <c r="E16" s="60">
        <f t="shared" si="2"/>
        <v>957</v>
      </c>
      <c r="F16" s="140">
        <v>82445</v>
      </c>
      <c r="G16" s="60">
        <f t="shared" si="3"/>
        <v>138</v>
      </c>
      <c r="H16" s="140">
        <v>100301</v>
      </c>
      <c r="I16" s="60">
        <f t="shared" si="4"/>
        <v>35</v>
      </c>
      <c r="J16" s="142">
        <v>184215</v>
      </c>
      <c r="K16" s="63">
        <f t="shared" si="5"/>
        <v>0</v>
      </c>
      <c r="L16" s="140">
        <v>116694</v>
      </c>
      <c r="M16" s="60">
        <f t="shared" si="6"/>
        <v>63</v>
      </c>
      <c r="N16" s="140">
        <v>657535</v>
      </c>
      <c r="O16" s="63">
        <f t="shared" si="7"/>
        <v>169</v>
      </c>
      <c r="P16" s="140">
        <v>167764</v>
      </c>
      <c r="Q16" s="60">
        <f t="shared" si="8"/>
        <v>0</v>
      </c>
      <c r="R16" s="140">
        <v>3557</v>
      </c>
      <c r="S16" s="63">
        <f t="shared" si="9"/>
        <v>238</v>
      </c>
      <c r="T16" s="140">
        <v>83721</v>
      </c>
      <c r="U16" s="60">
        <f t="shared" si="10"/>
        <v>69</v>
      </c>
      <c r="V16" s="140">
        <v>305810</v>
      </c>
      <c r="W16" s="63">
        <f t="shared" si="11"/>
        <v>0</v>
      </c>
      <c r="X16" s="142">
        <v>33690</v>
      </c>
      <c r="Y16" s="60">
        <f t="shared" si="12"/>
        <v>37</v>
      </c>
      <c r="Z16" s="142">
        <v>737200</v>
      </c>
      <c r="AA16" s="63">
        <f t="shared" si="13"/>
        <v>299</v>
      </c>
      <c r="AB16" s="74">
        <v>1410</v>
      </c>
      <c r="AC16" s="60">
        <f t="shared" si="0"/>
        <v>0</v>
      </c>
      <c r="AD16" s="145">
        <v>122042</v>
      </c>
      <c r="AE16" s="60">
        <f t="shared" si="0"/>
        <v>228</v>
      </c>
      <c r="AF16" s="74">
        <v>1982</v>
      </c>
      <c r="AG16" s="60">
        <f t="shared" si="0"/>
        <v>0</v>
      </c>
      <c r="AH16" s="68">
        <f t="shared" si="14"/>
        <v>2501</v>
      </c>
      <c r="AI16" s="18">
        <v>0</v>
      </c>
      <c r="AJ16" s="53">
        <f t="shared" si="15"/>
        <v>0</v>
      </c>
      <c r="AP16" t="s">
        <v>72</v>
      </c>
    </row>
    <row r="17" spans="1:42">
      <c r="A17" s="52">
        <v>44848</v>
      </c>
      <c r="B17" s="137">
        <v>1603892</v>
      </c>
      <c r="C17" s="63">
        <f t="shared" si="1"/>
        <v>325</v>
      </c>
      <c r="D17" s="137">
        <v>33694581</v>
      </c>
      <c r="E17" s="60">
        <f t="shared" si="2"/>
        <v>815</v>
      </c>
      <c r="F17" s="140">
        <v>82583</v>
      </c>
      <c r="G17" s="60">
        <f t="shared" si="3"/>
        <v>138</v>
      </c>
      <c r="H17" s="140">
        <v>100332</v>
      </c>
      <c r="I17" s="60">
        <f t="shared" si="4"/>
        <v>31</v>
      </c>
      <c r="J17" s="142">
        <v>184225</v>
      </c>
      <c r="K17" s="63">
        <f t="shared" si="5"/>
        <v>10</v>
      </c>
      <c r="L17" s="140">
        <v>116765</v>
      </c>
      <c r="M17" s="60">
        <f t="shared" si="6"/>
        <v>71</v>
      </c>
      <c r="N17" s="140">
        <v>657622</v>
      </c>
      <c r="O17" s="63">
        <f t="shared" si="7"/>
        <v>87</v>
      </c>
      <c r="P17" s="140">
        <v>167764</v>
      </c>
      <c r="Q17" s="60">
        <f t="shared" si="8"/>
        <v>0</v>
      </c>
      <c r="R17" s="140">
        <v>3791</v>
      </c>
      <c r="S17" s="63">
        <f t="shared" si="9"/>
        <v>234</v>
      </c>
      <c r="T17" s="140">
        <v>83772</v>
      </c>
      <c r="U17" s="60">
        <f t="shared" si="10"/>
        <v>51</v>
      </c>
      <c r="V17" s="140">
        <v>305810</v>
      </c>
      <c r="W17" s="63">
        <f t="shared" si="11"/>
        <v>0</v>
      </c>
      <c r="X17" s="142">
        <v>33731</v>
      </c>
      <c r="Y17" s="60">
        <f t="shared" si="12"/>
        <v>41</v>
      </c>
      <c r="Z17" s="142">
        <v>737475</v>
      </c>
      <c r="AA17" s="63">
        <f t="shared" si="13"/>
        <v>275</v>
      </c>
      <c r="AB17" s="74">
        <v>1410</v>
      </c>
      <c r="AC17" s="60">
        <f t="shared" si="0"/>
        <v>0</v>
      </c>
      <c r="AD17" s="145">
        <v>122254</v>
      </c>
      <c r="AE17" s="60">
        <f t="shared" si="0"/>
        <v>212</v>
      </c>
      <c r="AF17" s="74">
        <v>1982</v>
      </c>
      <c r="AG17" s="60">
        <f t="shared" si="0"/>
        <v>0</v>
      </c>
      <c r="AH17" s="68">
        <f t="shared" si="14"/>
        <v>2290</v>
      </c>
      <c r="AI17" s="18">
        <v>0</v>
      </c>
      <c r="AJ17" s="53">
        <f t="shared" si="15"/>
        <v>0</v>
      </c>
    </row>
    <row r="18" spans="1:42">
      <c r="A18" s="52">
        <v>44849</v>
      </c>
      <c r="B18" s="137">
        <v>1604191</v>
      </c>
      <c r="C18" s="63">
        <f t="shared" si="1"/>
        <v>299</v>
      </c>
      <c r="D18" s="137">
        <v>33695501</v>
      </c>
      <c r="E18" s="60">
        <f t="shared" si="2"/>
        <v>920</v>
      </c>
      <c r="F18" s="140">
        <v>82698</v>
      </c>
      <c r="G18" s="60">
        <f t="shared" si="3"/>
        <v>115</v>
      </c>
      <c r="H18" s="140">
        <v>100366</v>
      </c>
      <c r="I18" s="60">
        <f t="shared" si="4"/>
        <v>34</v>
      </c>
      <c r="J18" s="142">
        <v>184225</v>
      </c>
      <c r="K18" s="63">
        <f t="shared" si="5"/>
        <v>0</v>
      </c>
      <c r="L18" s="143">
        <v>116846</v>
      </c>
      <c r="M18" s="60">
        <f t="shared" si="6"/>
        <v>81</v>
      </c>
      <c r="N18" s="140">
        <v>657722</v>
      </c>
      <c r="O18" s="63">
        <f t="shared" si="7"/>
        <v>100</v>
      </c>
      <c r="P18" s="140">
        <v>167764</v>
      </c>
      <c r="Q18" s="60">
        <f t="shared" si="8"/>
        <v>0</v>
      </c>
      <c r="R18" s="140">
        <v>3999</v>
      </c>
      <c r="S18" s="63">
        <f t="shared" si="9"/>
        <v>208</v>
      </c>
      <c r="T18" s="140">
        <v>83829</v>
      </c>
      <c r="U18" s="60">
        <f t="shared" si="10"/>
        <v>57</v>
      </c>
      <c r="V18" s="140">
        <v>305810</v>
      </c>
      <c r="W18" s="63">
        <f t="shared" si="11"/>
        <v>0</v>
      </c>
      <c r="X18" s="142">
        <v>33762</v>
      </c>
      <c r="Y18" s="60">
        <f t="shared" si="12"/>
        <v>31</v>
      </c>
      <c r="Z18" s="142">
        <v>737722</v>
      </c>
      <c r="AA18" s="63">
        <f t="shared" si="13"/>
        <v>247</v>
      </c>
      <c r="AB18" s="74">
        <v>1410</v>
      </c>
      <c r="AC18" s="60">
        <f t="shared" si="0"/>
        <v>0</v>
      </c>
      <c r="AD18" s="145">
        <v>122459</v>
      </c>
      <c r="AE18" s="60">
        <f t="shared" si="0"/>
        <v>205</v>
      </c>
      <c r="AF18" s="74">
        <v>1982</v>
      </c>
      <c r="AG18" s="60">
        <f t="shared" si="0"/>
        <v>0</v>
      </c>
      <c r="AH18" s="68">
        <f t="shared" si="14"/>
        <v>2297</v>
      </c>
      <c r="AI18" s="18">
        <v>0</v>
      </c>
      <c r="AJ18" s="53">
        <f t="shared" si="15"/>
        <v>0</v>
      </c>
    </row>
    <row r="19" spans="1:42">
      <c r="A19" s="52">
        <v>44850</v>
      </c>
      <c r="B19" s="137">
        <v>1604520</v>
      </c>
      <c r="C19" s="63">
        <f t="shared" si="1"/>
        <v>329</v>
      </c>
      <c r="D19" s="137">
        <v>33696239</v>
      </c>
      <c r="E19" s="60">
        <f t="shared" si="2"/>
        <v>738</v>
      </c>
      <c r="F19" s="140">
        <v>82847</v>
      </c>
      <c r="G19" s="60">
        <f t="shared" si="3"/>
        <v>149</v>
      </c>
      <c r="H19" s="140">
        <v>100376</v>
      </c>
      <c r="I19" s="60">
        <f t="shared" si="4"/>
        <v>10</v>
      </c>
      <c r="J19" s="142">
        <v>184225</v>
      </c>
      <c r="K19" s="63">
        <f t="shared" si="5"/>
        <v>0</v>
      </c>
      <c r="L19" s="139">
        <v>116899</v>
      </c>
      <c r="M19" s="60">
        <f t="shared" si="6"/>
        <v>53</v>
      </c>
      <c r="N19" s="140">
        <v>657812</v>
      </c>
      <c r="O19" s="63">
        <f t="shared" si="7"/>
        <v>90</v>
      </c>
      <c r="P19" s="140">
        <v>167764</v>
      </c>
      <c r="Q19" s="60">
        <f t="shared" si="8"/>
        <v>0</v>
      </c>
      <c r="R19" s="140">
        <v>4230</v>
      </c>
      <c r="S19" s="63">
        <f t="shared" si="9"/>
        <v>231</v>
      </c>
      <c r="T19" s="140">
        <v>83890</v>
      </c>
      <c r="U19" s="60">
        <f t="shared" si="10"/>
        <v>61</v>
      </c>
      <c r="V19" s="140">
        <v>305810</v>
      </c>
      <c r="W19" s="63">
        <f t="shared" si="11"/>
        <v>0</v>
      </c>
      <c r="X19" s="142">
        <v>33791</v>
      </c>
      <c r="Y19" s="60">
        <f t="shared" si="12"/>
        <v>29</v>
      </c>
      <c r="Z19" s="142">
        <v>737932</v>
      </c>
      <c r="AA19" s="63">
        <f t="shared" si="13"/>
        <v>210</v>
      </c>
      <c r="AB19" s="74">
        <v>1410</v>
      </c>
      <c r="AC19" s="60">
        <f t="shared" si="0"/>
        <v>0</v>
      </c>
      <c r="AD19" s="145">
        <v>122655</v>
      </c>
      <c r="AE19" s="60">
        <f t="shared" si="0"/>
        <v>196</v>
      </c>
      <c r="AF19" s="74">
        <v>1982</v>
      </c>
      <c r="AG19" s="60">
        <f t="shared" si="0"/>
        <v>0</v>
      </c>
      <c r="AH19" s="68">
        <f t="shared" si="14"/>
        <v>2096</v>
      </c>
      <c r="AI19" s="18">
        <v>0</v>
      </c>
      <c r="AJ19" s="53">
        <f t="shared" si="15"/>
        <v>0</v>
      </c>
    </row>
    <row r="20" spans="1:42">
      <c r="A20" s="52">
        <v>44851</v>
      </c>
      <c r="B20" s="137">
        <v>1604838</v>
      </c>
      <c r="C20" s="63">
        <f t="shared" si="1"/>
        <v>318</v>
      </c>
      <c r="D20" s="137">
        <v>33697023</v>
      </c>
      <c r="E20" s="60">
        <f t="shared" si="2"/>
        <v>784</v>
      </c>
      <c r="F20" s="140">
        <v>82976</v>
      </c>
      <c r="G20" s="60">
        <f t="shared" si="3"/>
        <v>129</v>
      </c>
      <c r="H20" s="140">
        <v>100384</v>
      </c>
      <c r="I20" s="60">
        <f t="shared" si="4"/>
        <v>8</v>
      </c>
      <c r="J20" s="142">
        <v>184225</v>
      </c>
      <c r="K20" s="63">
        <f t="shared" si="5"/>
        <v>0</v>
      </c>
      <c r="L20" s="140">
        <v>116970</v>
      </c>
      <c r="M20" s="60">
        <f t="shared" si="6"/>
        <v>71</v>
      </c>
      <c r="N20" s="140">
        <v>657849</v>
      </c>
      <c r="O20" s="63">
        <f t="shared" si="7"/>
        <v>37</v>
      </c>
      <c r="P20" s="140">
        <v>167764</v>
      </c>
      <c r="Q20" s="60">
        <f t="shared" si="8"/>
        <v>0</v>
      </c>
      <c r="R20" s="140">
        <v>4531</v>
      </c>
      <c r="S20" s="63">
        <f t="shared" si="9"/>
        <v>301</v>
      </c>
      <c r="T20" s="140">
        <v>83910</v>
      </c>
      <c r="U20" s="60">
        <f t="shared" si="10"/>
        <v>20</v>
      </c>
      <c r="V20" s="140">
        <v>305810</v>
      </c>
      <c r="W20" s="63">
        <f t="shared" si="11"/>
        <v>0</v>
      </c>
      <c r="X20" s="142">
        <v>33830</v>
      </c>
      <c r="Y20" s="60">
        <f t="shared" si="12"/>
        <v>39</v>
      </c>
      <c r="Z20" s="142">
        <v>738225</v>
      </c>
      <c r="AA20" s="63">
        <f t="shared" si="13"/>
        <v>293</v>
      </c>
      <c r="AB20" s="74">
        <v>1410</v>
      </c>
      <c r="AC20" s="60">
        <f t="shared" si="0"/>
        <v>0</v>
      </c>
      <c r="AD20" s="145">
        <v>122870</v>
      </c>
      <c r="AE20" s="60">
        <f t="shared" si="0"/>
        <v>215</v>
      </c>
      <c r="AF20" s="74">
        <v>1982</v>
      </c>
      <c r="AG20" s="60">
        <f t="shared" si="0"/>
        <v>0</v>
      </c>
      <c r="AH20" s="68">
        <f t="shared" si="14"/>
        <v>2215</v>
      </c>
      <c r="AI20" s="18">
        <v>0</v>
      </c>
      <c r="AJ20" s="53">
        <f t="shared" si="15"/>
        <v>0</v>
      </c>
    </row>
    <row r="21" spans="1:42">
      <c r="A21" s="52">
        <v>44852</v>
      </c>
      <c r="B21" s="137">
        <v>1605194</v>
      </c>
      <c r="C21" s="63">
        <f t="shared" si="1"/>
        <v>356</v>
      </c>
      <c r="D21" s="137">
        <v>33697942</v>
      </c>
      <c r="E21" s="60">
        <f t="shared" si="2"/>
        <v>919</v>
      </c>
      <c r="F21" s="140">
        <v>83117</v>
      </c>
      <c r="G21" s="60">
        <f t="shared" si="3"/>
        <v>141</v>
      </c>
      <c r="H21" s="140">
        <v>100395</v>
      </c>
      <c r="I21" s="60">
        <f t="shared" si="4"/>
        <v>11</v>
      </c>
      <c r="J21" s="142">
        <v>184225</v>
      </c>
      <c r="K21" s="63">
        <f t="shared" si="5"/>
        <v>0</v>
      </c>
      <c r="L21" s="140">
        <v>117000</v>
      </c>
      <c r="M21" s="60">
        <f t="shared" si="6"/>
        <v>30</v>
      </c>
      <c r="N21" s="140">
        <v>657896</v>
      </c>
      <c r="O21" s="63">
        <f t="shared" si="7"/>
        <v>47</v>
      </c>
      <c r="P21" s="140">
        <v>167764</v>
      </c>
      <c r="Q21" s="60">
        <f t="shared" si="8"/>
        <v>0</v>
      </c>
      <c r="R21" s="140">
        <v>4792</v>
      </c>
      <c r="S21" s="63">
        <f t="shared" si="9"/>
        <v>261</v>
      </c>
      <c r="T21" s="140">
        <v>83923</v>
      </c>
      <c r="U21" s="60">
        <f t="shared" si="10"/>
        <v>13</v>
      </c>
      <c r="V21" s="140">
        <v>305810</v>
      </c>
      <c r="W21" s="63">
        <f t="shared" si="11"/>
        <v>0</v>
      </c>
      <c r="X21" s="142">
        <v>33885</v>
      </c>
      <c r="Y21" s="60">
        <f t="shared" si="12"/>
        <v>55</v>
      </c>
      <c r="Z21" s="142">
        <v>738300</v>
      </c>
      <c r="AA21" s="63">
        <f t="shared" si="13"/>
        <v>75</v>
      </c>
      <c r="AB21" s="74">
        <v>1410</v>
      </c>
      <c r="AC21" s="60">
        <f t="shared" si="0"/>
        <v>0</v>
      </c>
      <c r="AD21" s="145">
        <v>123074</v>
      </c>
      <c r="AE21" s="60">
        <f t="shared" si="0"/>
        <v>204</v>
      </c>
      <c r="AF21" s="74">
        <v>1982</v>
      </c>
      <c r="AG21" s="60">
        <f t="shared" si="0"/>
        <v>0</v>
      </c>
      <c r="AH21" s="68">
        <f t="shared" si="14"/>
        <v>2112</v>
      </c>
      <c r="AI21" s="18">
        <v>0</v>
      </c>
      <c r="AJ21" s="53">
        <f t="shared" si="15"/>
        <v>0</v>
      </c>
    </row>
    <row r="22" spans="1:42">
      <c r="A22" s="52">
        <v>44853</v>
      </c>
      <c r="B22" s="137">
        <v>1605430</v>
      </c>
      <c r="C22" s="63">
        <f t="shared" si="1"/>
        <v>236</v>
      </c>
      <c r="D22" s="137">
        <v>33698596</v>
      </c>
      <c r="E22" s="60">
        <f t="shared" si="2"/>
        <v>654</v>
      </c>
      <c r="F22" s="140">
        <v>83245</v>
      </c>
      <c r="G22" s="60">
        <f t="shared" si="3"/>
        <v>128</v>
      </c>
      <c r="H22" s="140">
        <v>100432</v>
      </c>
      <c r="I22" s="60">
        <f t="shared" si="4"/>
        <v>37</v>
      </c>
      <c r="J22" s="142">
        <v>184229</v>
      </c>
      <c r="K22" s="63">
        <f t="shared" si="5"/>
        <v>4</v>
      </c>
      <c r="L22" s="140">
        <v>117012</v>
      </c>
      <c r="M22" s="60">
        <f t="shared" si="6"/>
        <v>12</v>
      </c>
      <c r="N22" s="140">
        <v>657910</v>
      </c>
      <c r="O22" s="63">
        <f t="shared" si="7"/>
        <v>14</v>
      </c>
      <c r="P22" s="140">
        <v>167764</v>
      </c>
      <c r="Q22" s="60">
        <f t="shared" si="8"/>
        <v>0</v>
      </c>
      <c r="R22" s="140">
        <v>5016</v>
      </c>
      <c r="S22" s="63">
        <f t="shared" si="9"/>
        <v>224</v>
      </c>
      <c r="T22" s="140">
        <v>83934</v>
      </c>
      <c r="U22" s="60">
        <f t="shared" si="10"/>
        <v>11</v>
      </c>
      <c r="V22" s="140">
        <v>305810</v>
      </c>
      <c r="W22" s="63">
        <f t="shared" si="11"/>
        <v>0</v>
      </c>
      <c r="X22" s="142">
        <v>33907</v>
      </c>
      <c r="Y22" s="60">
        <f t="shared" si="12"/>
        <v>22</v>
      </c>
      <c r="Z22" s="142">
        <v>738350</v>
      </c>
      <c r="AA22" s="63">
        <f t="shared" si="13"/>
        <v>50</v>
      </c>
      <c r="AB22" s="74">
        <v>1410</v>
      </c>
      <c r="AC22" s="60">
        <f t="shared" si="0"/>
        <v>0</v>
      </c>
      <c r="AD22" s="145">
        <v>123271</v>
      </c>
      <c r="AE22" s="60">
        <f t="shared" si="0"/>
        <v>197</v>
      </c>
      <c r="AF22" s="74">
        <v>1982</v>
      </c>
      <c r="AG22" s="60">
        <f t="shared" si="0"/>
        <v>0</v>
      </c>
      <c r="AH22" s="68">
        <f t="shared" si="14"/>
        <v>1589</v>
      </c>
      <c r="AI22" s="18">
        <v>0</v>
      </c>
      <c r="AJ22" s="53">
        <f t="shared" si="15"/>
        <v>0</v>
      </c>
    </row>
    <row r="23" spans="1:42">
      <c r="A23" s="52">
        <v>44854</v>
      </c>
      <c r="B23" s="137">
        <v>1605730</v>
      </c>
      <c r="C23" s="63">
        <f t="shared" si="1"/>
        <v>300</v>
      </c>
      <c r="D23" s="137">
        <v>33699342</v>
      </c>
      <c r="E23" s="60">
        <f t="shared" si="2"/>
        <v>746</v>
      </c>
      <c r="F23" s="140">
        <v>83363</v>
      </c>
      <c r="G23" s="60">
        <f t="shared" si="3"/>
        <v>118</v>
      </c>
      <c r="H23" s="140">
        <v>100459</v>
      </c>
      <c r="I23" s="60">
        <f t="shared" si="4"/>
        <v>27</v>
      </c>
      <c r="J23" s="142">
        <v>184230</v>
      </c>
      <c r="K23" s="63">
        <f t="shared" si="5"/>
        <v>1</v>
      </c>
      <c r="L23" s="140">
        <v>117033</v>
      </c>
      <c r="M23" s="60">
        <f t="shared" si="6"/>
        <v>21</v>
      </c>
      <c r="N23" s="140">
        <v>658068</v>
      </c>
      <c r="O23" s="63">
        <f t="shared" si="7"/>
        <v>158</v>
      </c>
      <c r="P23" s="140">
        <v>167764</v>
      </c>
      <c r="Q23" s="60">
        <f t="shared" si="8"/>
        <v>0</v>
      </c>
      <c r="R23" s="140">
        <v>5191</v>
      </c>
      <c r="S23" s="63">
        <f t="shared" si="9"/>
        <v>175</v>
      </c>
      <c r="T23" s="140">
        <v>83950</v>
      </c>
      <c r="U23" s="60">
        <f t="shared" si="10"/>
        <v>16</v>
      </c>
      <c r="V23" s="140">
        <v>305810</v>
      </c>
      <c r="W23" s="63">
        <f t="shared" si="11"/>
        <v>0</v>
      </c>
      <c r="X23" s="142">
        <v>33941</v>
      </c>
      <c r="Y23" s="60">
        <f t="shared" si="12"/>
        <v>34</v>
      </c>
      <c r="Z23" s="142">
        <v>738632</v>
      </c>
      <c r="AA23" s="63">
        <f t="shared" si="13"/>
        <v>282</v>
      </c>
      <c r="AB23" s="74">
        <v>1410</v>
      </c>
      <c r="AC23" s="60">
        <f t="shared" si="0"/>
        <v>0</v>
      </c>
      <c r="AD23" s="145">
        <v>123551</v>
      </c>
      <c r="AE23" s="60">
        <f t="shared" si="0"/>
        <v>280</v>
      </c>
      <c r="AF23" s="74">
        <v>1982</v>
      </c>
      <c r="AG23" s="60">
        <f t="shared" si="0"/>
        <v>0</v>
      </c>
      <c r="AH23" s="68">
        <f t="shared" si="14"/>
        <v>2158</v>
      </c>
      <c r="AI23" s="18">
        <v>0</v>
      </c>
      <c r="AJ23" s="53">
        <f t="shared" si="15"/>
        <v>0</v>
      </c>
    </row>
    <row r="24" spans="1:42">
      <c r="A24" s="52">
        <v>44855</v>
      </c>
      <c r="B24" s="137">
        <v>1606075</v>
      </c>
      <c r="C24" s="63">
        <f t="shared" si="1"/>
        <v>345</v>
      </c>
      <c r="D24" s="137">
        <v>33700136</v>
      </c>
      <c r="E24" s="60">
        <f t="shared" si="2"/>
        <v>794</v>
      </c>
      <c r="F24" s="140">
        <v>83518</v>
      </c>
      <c r="G24" s="60">
        <f t="shared" si="3"/>
        <v>155</v>
      </c>
      <c r="H24" s="140">
        <v>100484</v>
      </c>
      <c r="I24" s="60">
        <f t="shared" si="4"/>
        <v>25</v>
      </c>
      <c r="J24" s="142">
        <v>184232</v>
      </c>
      <c r="K24" s="63">
        <f t="shared" si="5"/>
        <v>2</v>
      </c>
      <c r="L24" s="140">
        <v>117097</v>
      </c>
      <c r="M24" s="60">
        <f t="shared" si="6"/>
        <v>64</v>
      </c>
      <c r="N24" s="140">
        <v>658190</v>
      </c>
      <c r="O24" s="63">
        <f t="shared" si="7"/>
        <v>122</v>
      </c>
      <c r="P24" s="140">
        <v>167764</v>
      </c>
      <c r="Q24" s="60">
        <f t="shared" si="8"/>
        <v>0</v>
      </c>
      <c r="R24" s="140">
        <v>5490</v>
      </c>
      <c r="S24" s="63">
        <f t="shared" si="9"/>
        <v>299</v>
      </c>
      <c r="T24" s="140">
        <v>83965</v>
      </c>
      <c r="U24" s="60">
        <f t="shared" si="10"/>
        <v>15</v>
      </c>
      <c r="V24" s="140">
        <v>305810</v>
      </c>
      <c r="W24" s="63">
        <f t="shared" si="11"/>
        <v>0</v>
      </c>
      <c r="X24" s="142">
        <v>33989</v>
      </c>
      <c r="Y24" s="60">
        <f t="shared" si="12"/>
        <v>48</v>
      </c>
      <c r="Z24" s="142">
        <v>738991</v>
      </c>
      <c r="AA24" s="63">
        <f t="shared" si="13"/>
        <v>359</v>
      </c>
      <c r="AB24" s="74">
        <v>1410</v>
      </c>
      <c r="AC24" s="60">
        <f t="shared" si="0"/>
        <v>0</v>
      </c>
      <c r="AD24" s="145">
        <v>123797</v>
      </c>
      <c r="AE24" s="60">
        <f t="shared" si="0"/>
        <v>246</v>
      </c>
      <c r="AF24" s="74">
        <v>1982</v>
      </c>
      <c r="AG24" s="60">
        <f t="shared" si="0"/>
        <v>0</v>
      </c>
      <c r="AH24" s="68">
        <f t="shared" si="14"/>
        <v>2474</v>
      </c>
      <c r="AI24" s="18">
        <v>0</v>
      </c>
      <c r="AJ24" s="53">
        <f t="shared" si="15"/>
        <v>0</v>
      </c>
      <c r="AM24" t="s">
        <v>72</v>
      </c>
    </row>
    <row r="25" spans="1:42">
      <c r="A25" s="52">
        <v>44856</v>
      </c>
      <c r="B25" s="137">
        <v>1606352</v>
      </c>
      <c r="C25" s="63">
        <f t="shared" si="1"/>
        <v>277</v>
      </c>
      <c r="D25" s="137">
        <v>33700879</v>
      </c>
      <c r="E25" s="60">
        <f t="shared" si="2"/>
        <v>743</v>
      </c>
      <c r="F25" s="140">
        <v>83650</v>
      </c>
      <c r="G25" s="60">
        <f t="shared" si="3"/>
        <v>132</v>
      </c>
      <c r="H25" s="140">
        <v>100495</v>
      </c>
      <c r="I25" s="60">
        <f t="shared" si="4"/>
        <v>11</v>
      </c>
      <c r="J25" s="142">
        <v>184233</v>
      </c>
      <c r="K25" s="63">
        <f t="shared" si="5"/>
        <v>1</v>
      </c>
      <c r="L25" s="140">
        <v>117141</v>
      </c>
      <c r="M25" s="60">
        <f t="shared" si="6"/>
        <v>44</v>
      </c>
      <c r="N25" s="140">
        <v>658259</v>
      </c>
      <c r="O25" s="63">
        <f t="shared" si="7"/>
        <v>69</v>
      </c>
      <c r="P25" s="140">
        <v>167764</v>
      </c>
      <c r="Q25" s="60">
        <f t="shared" si="8"/>
        <v>0</v>
      </c>
      <c r="R25" s="140">
        <v>5729</v>
      </c>
      <c r="S25" s="63">
        <f t="shared" si="9"/>
        <v>239</v>
      </c>
      <c r="T25" s="140">
        <v>83998</v>
      </c>
      <c r="U25" s="60">
        <f t="shared" si="10"/>
        <v>33</v>
      </c>
      <c r="V25" s="140">
        <v>305810</v>
      </c>
      <c r="W25" s="63">
        <f t="shared" si="11"/>
        <v>0</v>
      </c>
      <c r="X25" s="142">
        <v>34025</v>
      </c>
      <c r="Y25" s="60">
        <f t="shared" si="12"/>
        <v>36</v>
      </c>
      <c r="Z25" s="142">
        <v>739239</v>
      </c>
      <c r="AA25" s="63">
        <f t="shared" si="13"/>
        <v>248</v>
      </c>
      <c r="AB25" s="74">
        <v>1410</v>
      </c>
      <c r="AC25" s="60">
        <f t="shared" si="0"/>
        <v>0</v>
      </c>
      <c r="AD25" s="145">
        <v>123999</v>
      </c>
      <c r="AE25" s="60">
        <f t="shared" si="0"/>
        <v>202</v>
      </c>
      <c r="AF25" s="74">
        <v>1982</v>
      </c>
      <c r="AG25" s="60">
        <f t="shared" si="0"/>
        <v>0</v>
      </c>
      <c r="AH25" s="68">
        <f t="shared" si="14"/>
        <v>2035</v>
      </c>
      <c r="AI25" s="18">
        <v>0</v>
      </c>
      <c r="AJ25" s="53">
        <f t="shared" si="15"/>
        <v>0</v>
      </c>
      <c r="AL25" t="s">
        <v>72</v>
      </c>
    </row>
    <row r="26" spans="1:42">
      <c r="A26" s="52">
        <v>44857</v>
      </c>
      <c r="B26" s="137">
        <v>1606612</v>
      </c>
      <c r="C26" s="63">
        <f t="shared" si="1"/>
        <v>260</v>
      </c>
      <c r="D26" s="137">
        <v>33701706</v>
      </c>
      <c r="E26" s="60">
        <f t="shared" si="2"/>
        <v>827</v>
      </c>
      <c r="F26" s="140">
        <v>83789</v>
      </c>
      <c r="G26" s="60">
        <f t="shared" si="3"/>
        <v>139</v>
      </c>
      <c r="H26" s="140">
        <v>100513</v>
      </c>
      <c r="I26" s="60">
        <f t="shared" si="4"/>
        <v>18</v>
      </c>
      <c r="J26" s="142">
        <v>184233</v>
      </c>
      <c r="K26" s="63">
        <f t="shared" si="5"/>
        <v>0</v>
      </c>
      <c r="L26" s="140">
        <v>117191</v>
      </c>
      <c r="M26" s="60">
        <f t="shared" si="6"/>
        <v>50</v>
      </c>
      <c r="N26" s="140">
        <v>658267</v>
      </c>
      <c r="O26" s="63">
        <f t="shared" si="7"/>
        <v>8</v>
      </c>
      <c r="P26" s="140">
        <v>167764</v>
      </c>
      <c r="Q26" s="60">
        <f t="shared" si="8"/>
        <v>0</v>
      </c>
      <c r="R26" s="140">
        <v>5947</v>
      </c>
      <c r="S26" s="63">
        <f t="shared" si="9"/>
        <v>218</v>
      </c>
      <c r="T26" s="140">
        <v>84036</v>
      </c>
      <c r="U26" s="60">
        <f t="shared" si="10"/>
        <v>38</v>
      </c>
      <c r="V26" s="140">
        <v>305810</v>
      </c>
      <c r="W26" s="63">
        <f t="shared" si="11"/>
        <v>0</v>
      </c>
      <c r="X26" s="142">
        <v>34057</v>
      </c>
      <c r="Y26" s="60">
        <f t="shared" si="12"/>
        <v>32</v>
      </c>
      <c r="Z26" s="142">
        <v>739462</v>
      </c>
      <c r="AA26" s="63">
        <f t="shared" si="13"/>
        <v>223</v>
      </c>
      <c r="AB26" s="74">
        <v>1410</v>
      </c>
      <c r="AC26" s="60">
        <f t="shared" si="0"/>
        <v>0</v>
      </c>
      <c r="AD26" s="145">
        <v>124196</v>
      </c>
      <c r="AE26" s="60">
        <f t="shared" si="0"/>
        <v>197</v>
      </c>
      <c r="AF26" s="74">
        <v>1982</v>
      </c>
      <c r="AG26" s="60">
        <f t="shared" si="0"/>
        <v>0</v>
      </c>
      <c r="AH26" s="68">
        <f t="shared" si="14"/>
        <v>2010</v>
      </c>
      <c r="AI26" s="18">
        <v>0</v>
      </c>
      <c r="AJ26" s="53">
        <f t="shared" si="15"/>
        <v>0</v>
      </c>
    </row>
    <row r="27" spans="1:42">
      <c r="A27" s="52">
        <v>44858</v>
      </c>
      <c r="B27" s="137">
        <v>1606934</v>
      </c>
      <c r="C27" s="63">
        <f t="shared" si="1"/>
        <v>322</v>
      </c>
      <c r="D27" s="137">
        <v>33702607</v>
      </c>
      <c r="E27" s="60">
        <f t="shared" si="2"/>
        <v>901</v>
      </c>
      <c r="F27" s="140">
        <v>83919</v>
      </c>
      <c r="G27" s="60">
        <f t="shared" si="3"/>
        <v>130</v>
      </c>
      <c r="H27" s="140">
        <v>100529</v>
      </c>
      <c r="I27" s="60">
        <f t="shared" si="4"/>
        <v>16</v>
      </c>
      <c r="J27" s="142">
        <v>184233</v>
      </c>
      <c r="K27" s="63">
        <f t="shared" si="5"/>
        <v>0</v>
      </c>
      <c r="L27" s="140">
        <v>117243</v>
      </c>
      <c r="M27" s="60">
        <f t="shared" si="6"/>
        <v>52</v>
      </c>
      <c r="N27" s="140">
        <v>658400</v>
      </c>
      <c r="O27" s="63">
        <f t="shared" si="7"/>
        <v>133</v>
      </c>
      <c r="P27" s="140">
        <v>167764</v>
      </c>
      <c r="Q27" s="60">
        <f t="shared" si="8"/>
        <v>0</v>
      </c>
      <c r="R27" s="140">
        <v>6181</v>
      </c>
      <c r="S27" s="63">
        <f t="shared" si="9"/>
        <v>234</v>
      </c>
      <c r="T27" s="140">
        <v>84067</v>
      </c>
      <c r="U27" s="60">
        <f t="shared" si="10"/>
        <v>31</v>
      </c>
      <c r="V27" s="140">
        <v>305810</v>
      </c>
      <c r="W27" s="63">
        <f t="shared" si="11"/>
        <v>0</v>
      </c>
      <c r="X27" s="142">
        <v>34101</v>
      </c>
      <c r="Y27" s="60">
        <f t="shared" si="12"/>
        <v>44</v>
      </c>
      <c r="Z27" s="142">
        <v>739763</v>
      </c>
      <c r="AA27" s="63">
        <f t="shared" si="13"/>
        <v>301</v>
      </c>
      <c r="AB27" s="74">
        <v>1410</v>
      </c>
      <c r="AC27" s="60">
        <f t="shared" si="0"/>
        <v>0</v>
      </c>
      <c r="AD27" s="145">
        <v>124425</v>
      </c>
      <c r="AE27" s="60">
        <f t="shared" si="0"/>
        <v>229</v>
      </c>
      <c r="AF27" s="74">
        <v>1982</v>
      </c>
      <c r="AG27" s="60">
        <f t="shared" si="0"/>
        <v>0</v>
      </c>
      <c r="AH27" s="68">
        <f t="shared" si="14"/>
        <v>2393</v>
      </c>
      <c r="AI27" s="18">
        <v>0</v>
      </c>
      <c r="AJ27" s="53">
        <f t="shared" si="15"/>
        <v>0</v>
      </c>
    </row>
    <row r="28" spans="1:42">
      <c r="A28" s="52">
        <v>44859</v>
      </c>
      <c r="B28" s="137">
        <v>1607197</v>
      </c>
      <c r="C28" s="63">
        <f t="shared" si="1"/>
        <v>263</v>
      </c>
      <c r="D28" s="137">
        <v>33703411</v>
      </c>
      <c r="E28" s="60">
        <f t="shared" si="2"/>
        <v>804</v>
      </c>
      <c r="F28" s="140">
        <v>84046</v>
      </c>
      <c r="G28" s="60">
        <f t="shared" si="3"/>
        <v>127</v>
      </c>
      <c r="H28" s="140">
        <v>100543</v>
      </c>
      <c r="I28" s="60">
        <f t="shared" si="4"/>
        <v>14</v>
      </c>
      <c r="J28" s="142">
        <v>184233</v>
      </c>
      <c r="K28" s="63">
        <f t="shared" si="5"/>
        <v>0</v>
      </c>
      <c r="L28" s="140">
        <v>117293</v>
      </c>
      <c r="M28" s="60">
        <f t="shared" si="6"/>
        <v>50</v>
      </c>
      <c r="N28" s="140">
        <v>658465</v>
      </c>
      <c r="O28" s="63">
        <f t="shared" si="7"/>
        <v>65</v>
      </c>
      <c r="P28" s="140">
        <v>167764</v>
      </c>
      <c r="Q28" s="60">
        <f t="shared" si="8"/>
        <v>0</v>
      </c>
      <c r="R28" s="140">
        <v>6374</v>
      </c>
      <c r="S28" s="63">
        <f t="shared" si="9"/>
        <v>193</v>
      </c>
      <c r="T28" s="140">
        <v>84103</v>
      </c>
      <c r="U28" s="60">
        <f t="shared" si="10"/>
        <v>36</v>
      </c>
      <c r="V28" s="140">
        <v>305810</v>
      </c>
      <c r="W28" s="63">
        <f t="shared" si="11"/>
        <v>0</v>
      </c>
      <c r="X28" s="142">
        <v>34141</v>
      </c>
      <c r="Y28" s="60">
        <f t="shared" si="12"/>
        <v>40</v>
      </c>
      <c r="Z28" s="142">
        <v>740071</v>
      </c>
      <c r="AA28" s="63">
        <f t="shared" si="13"/>
        <v>308</v>
      </c>
      <c r="AB28" s="74">
        <v>1410</v>
      </c>
      <c r="AC28" s="60">
        <f t="shared" si="0"/>
        <v>0</v>
      </c>
      <c r="AD28" s="145">
        <v>124639</v>
      </c>
      <c r="AE28" s="60">
        <f t="shared" si="0"/>
        <v>214</v>
      </c>
      <c r="AF28" s="74">
        <v>1982</v>
      </c>
      <c r="AG28" s="60">
        <f t="shared" si="0"/>
        <v>0</v>
      </c>
      <c r="AH28" s="68">
        <f t="shared" si="14"/>
        <v>2114</v>
      </c>
      <c r="AI28" s="18">
        <v>0</v>
      </c>
      <c r="AJ28" s="53">
        <f t="shared" si="15"/>
        <v>0</v>
      </c>
    </row>
    <row r="29" spans="1:42">
      <c r="A29" s="52">
        <v>44860</v>
      </c>
      <c r="B29" s="137">
        <v>1607532</v>
      </c>
      <c r="C29" s="63">
        <f t="shared" si="1"/>
        <v>335</v>
      </c>
      <c r="D29" s="137">
        <v>33704205</v>
      </c>
      <c r="E29" s="60">
        <f t="shared" si="2"/>
        <v>794</v>
      </c>
      <c r="F29" s="140">
        <v>84192</v>
      </c>
      <c r="G29" s="60">
        <f t="shared" si="3"/>
        <v>146</v>
      </c>
      <c r="H29" s="140">
        <v>100566</v>
      </c>
      <c r="I29" s="60">
        <f t="shared" si="4"/>
        <v>23</v>
      </c>
      <c r="J29" s="142">
        <v>184233</v>
      </c>
      <c r="K29" s="63">
        <f t="shared" si="5"/>
        <v>0</v>
      </c>
      <c r="L29" s="140">
        <v>117347</v>
      </c>
      <c r="M29" s="60">
        <f t="shared" si="6"/>
        <v>54</v>
      </c>
      <c r="N29" s="140">
        <v>658547</v>
      </c>
      <c r="O29" s="63">
        <f t="shared" si="7"/>
        <v>82</v>
      </c>
      <c r="P29" s="140">
        <v>167764</v>
      </c>
      <c r="Q29" s="60">
        <f t="shared" si="8"/>
        <v>0</v>
      </c>
      <c r="R29" s="140">
        <v>6584</v>
      </c>
      <c r="S29" s="63">
        <f t="shared" si="9"/>
        <v>210</v>
      </c>
      <c r="T29" s="140">
        <v>84146</v>
      </c>
      <c r="U29" s="60">
        <f t="shared" si="10"/>
        <v>43</v>
      </c>
      <c r="V29" s="140">
        <v>305810</v>
      </c>
      <c r="W29" s="63">
        <f t="shared" si="11"/>
        <v>0</v>
      </c>
      <c r="X29" s="142">
        <v>34196</v>
      </c>
      <c r="Y29" s="60">
        <f t="shared" si="12"/>
        <v>55</v>
      </c>
      <c r="Z29" s="142">
        <v>740505</v>
      </c>
      <c r="AA29" s="63">
        <f t="shared" si="13"/>
        <v>434</v>
      </c>
      <c r="AB29" s="74">
        <v>1410</v>
      </c>
      <c r="AC29" s="60">
        <f t="shared" si="0"/>
        <v>0</v>
      </c>
      <c r="AD29" s="145">
        <v>124819</v>
      </c>
      <c r="AE29" s="60">
        <f t="shared" si="0"/>
        <v>180</v>
      </c>
      <c r="AF29" s="74">
        <v>1982</v>
      </c>
      <c r="AG29" s="60">
        <f t="shared" si="0"/>
        <v>0</v>
      </c>
      <c r="AH29" s="68">
        <f t="shared" si="14"/>
        <v>2356</v>
      </c>
      <c r="AI29" s="18">
        <v>0</v>
      </c>
      <c r="AJ29" s="53">
        <f t="shared" si="15"/>
        <v>0</v>
      </c>
      <c r="AP29" t="s">
        <v>72</v>
      </c>
    </row>
    <row r="30" spans="1:42">
      <c r="A30" s="52">
        <v>44861</v>
      </c>
      <c r="B30" s="137">
        <v>1607839</v>
      </c>
      <c r="C30" s="63">
        <f t="shared" si="1"/>
        <v>307</v>
      </c>
      <c r="D30" s="137">
        <v>33704986</v>
      </c>
      <c r="E30" s="60">
        <f t="shared" si="2"/>
        <v>781</v>
      </c>
      <c r="F30" s="140">
        <v>84380</v>
      </c>
      <c r="G30" s="60">
        <f t="shared" si="3"/>
        <v>188</v>
      </c>
      <c r="H30" s="140">
        <v>100595</v>
      </c>
      <c r="I30" s="60">
        <f t="shared" si="4"/>
        <v>29</v>
      </c>
      <c r="J30" s="142">
        <v>184237</v>
      </c>
      <c r="K30" s="63">
        <f t="shared" si="5"/>
        <v>4</v>
      </c>
      <c r="L30" s="140">
        <v>117395</v>
      </c>
      <c r="M30" s="60">
        <f t="shared" si="6"/>
        <v>48</v>
      </c>
      <c r="N30" s="140">
        <v>658623</v>
      </c>
      <c r="O30" s="63">
        <f t="shared" si="7"/>
        <v>76</v>
      </c>
      <c r="P30" s="140">
        <v>167764</v>
      </c>
      <c r="Q30" s="60">
        <f t="shared" si="8"/>
        <v>0</v>
      </c>
      <c r="R30" s="140">
        <v>6813</v>
      </c>
      <c r="S30" s="63">
        <f t="shared" si="9"/>
        <v>229</v>
      </c>
      <c r="T30" s="140">
        <v>84176</v>
      </c>
      <c r="U30" s="60">
        <f t="shared" si="10"/>
        <v>30</v>
      </c>
      <c r="V30" s="140">
        <v>305810</v>
      </c>
      <c r="W30" s="63">
        <f t="shared" si="11"/>
        <v>0</v>
      </c>
      <c r="X30" s="142">
        <v>34225</v>
      </c>
      <c r="Y30" s="60">
        <f t="shared" si="12"/>
        <v>29</v>
      </c>
      <c r="Z30" s="142">
        <v>740802</v>
      </c>
      <c r="AA30" s="63">
        <f t="shared" si="13"/>
        <v>297</v>
      </c>
      <c r="AB30" s="74">
        <v>1410</v>
      </c>
      <c r="AC30" s="60">
        <f t="shared" si="0"/>
        <v>0</v>
      </c>
      <c r="AD30" s="145">
        <v>125046</v>
      </c>
      <c r="AE30" s="60">
        <f t="shared" si="0"/>
        <v>227</v>
      </c>
      <c r="AF30" s="74">
        <v>1982</v>
      </c>
      <c r="AG30" s="60">
        <f t="shared" si="0"/>
        <v>0</v>
      </c>
      <c r="AH30" s="68">
        <f t="shared" si="14"/>
        <v>2245</v>
      </c>
      <c r="AI30" s="18">
        <v>0</v>
      </c>
      <c r="AJ30" s="53">
        <f t="shared" si="15"/>
        <v>0</v>
      </c>
    </row>
    <row r="31" spans="1:42">
      <c r="A31" s="52">
        <v>44862</v>
      </c>
      <c r="B31" s="137">
        <v>1608159</v>
      </c>
      <c r="C31" s="63">
        <f t="shared" si="1"/>
        <v>320</v>
      </c>
      <c r="D31" s="137">
        <v>33705769</v>
      </c>
      <c r="E31" s="60">
        <f t="shared" si="2"/>
        <v>783</v>
      </c>
      <c r="F31" s="140">
        <v>84512</v>
      </c>
      <c r="G31" s="60">
        <f t="shared" si="3"/>
        <v>132</v>
      </c>
      <c r="H31" s="140">
        <v>100623</v>
      </c>
      <c r="I31" s="60">
        <f t="shared" si="4"/>
        <v>28</v>
      </c>
      <c r="J31" s="142">
        <v>184237</v>
      </c>
      <c r="K31" s="63">
        <f t="shared" si="5"/>
        <v>0</v>
      </c>
      <c r="L31" s="140">
        <v>117453</v>
      </c>
      <c r="M31" s="60">
        <f t="shared" si="6"/>
        <v>58</v>
      </c>
      <c r="N31" s="140">
        <v>658702</v>
      </c>
      <c r="O31" s="63">
        <f t="shared" si="7"/>
        <v>79</v>
      </c>
      <c r="P31" s="140">
        <v>167764</v>
      </c>
      <c r="Q31" s="60">
        <f t="shared" si="8"/>
        <v>0</v>
      </c>
      <c r="R31" s="140">
        <v>7068</v>
      </c>
      <c r="S31" s="63">
        <f t="shared" si="9"/>
        <v>255</v>
      </c>
      <c r="T31" s="140">
        <v>84202</v>
      </c>
      <c r="U31" s="60">
        <f t="shared" si="10"/>
        <v>26</v>
      </c>
      <c r="V31" s="140">
        <v>305810</v>
      </c>
      <c r="W31" s="63">
        <f t="shared" si="11"/>
        <v>0</v>
      </c>
      <c r="X31" s="142">
        <v>34275</v>
      </c>
      <c r="Y31" s="60">
        <f t="shared" si="12"/>
        <v>50</v>
      </c>
      <c r="Z31" s="142">
        <v>741224</v>
      </c>
      <c r="AA31" s="63">
        <f t="shared" si="13"/>
        <v>422</v>
      </c>
      <c r="AB31" s="74">
        <v>1410</v>
      </c>
      <c r="AC31" s="60">
        <f t="shared" si="0"/>
        <v>0</v>
      </c>
      <c r="AD31" s="145">
        <v>125260</v>
      </c>
      <c r="AE31" s="60">
        <f t="shared" si="0"/>
        <v>214</v>
      </c>
      <c r="AF31" s="74">
        <v>1982</v>
      </c>
      <c r="AG31" s="60">
        <f t="shared" si="0"/>
        <v>0</v>
      </c>
      <c r="AH31" s="68">
        <f t="shared" si="14"/>
        <v>2367</v>
      </c>
      <c r="AI31" s="18">
        <v>0</v>
      </c>
      <c r="AJ31" s="53">
        <f t="shared" si="15"/>
        <v>0</v>
      </c>
    </row>
    <row r="32" spans="1:42">
      <c r="A32" s="52">
        <v>44863</v>
      </c>
      <c r="B32" s="138">
        <v>1608472</v>
      </c>
      <c r="C32" s="64">
        <f t="shared" si="1"/>
        <v>313</v>
      </c>
      <c r="D32" s="137">
        <v>33706551</v>
      </c>
      <c r="E32" s="60">
        <f t="shared" si="2"/>
        <v>782</v>
      </c>
      <c r="F32" s="140">
        <v>84672</v>
      </c>
      <c r="G32" s="60">
        <f t="shared" si="3"/>
        <v>160</v>
      </c>
      <c r="H32" s="140">
        <v>100651</v>
      </c>
      <c r="I32" s="60">
        <f t="shared" si="4"/>
        <v>28</v>
      </c>
      <c r="J32" s="142">
        <v>184237</v>
      </c>
      <c r="K32" s="63">
        <f t="shared" si="5"/>
        <v>0</v>
      </c>
      <c r="L32" s="140">
        <v>117506</v>
      </c>
      <c r="M32" s="60">
        <f t="shared" si="6"/>
        <v>53</v>
      </c>
      <c r="N32" s="140">
        <v>658779</v>
      </c>
      <c r="O32" s="63">
        <f t="shared" si="7"/>
        <v>77</v>
      </c>
      <c r="P32" s="140">
        <v>167764</v>
      </c>
      <c r="Q32" s="60">
        <f t="shared" si="8"/>
        <v>0</v>
      </c>
      <c r="R32" s="140">
        <v>7310</v>
      </c>
      <c r="S32" s="63">
        <f t="shared" si="9"/>
        <v>242</v>
      </c>
      <c r="T32" s="140">
        <v>84230</v>
      </c>
      <c r="U32" s="60">
        <f t="shared" si="10"/>
        <v>28</v>
      </c>
      <c r="V32" s="140">
        <v>305810</v>
      </c>
      <c r="W32" s="63">
        <f t="shared" si="11"/>
        <v>0</v>
      </c>
      <c r="X32" s="142">
        <v>34315</v>
      </c>
      <c r="Y32" s="60">
        <f t="shared" si="12"/>
        <v>40</v>
      </c>
      <c r="Z32" s="142">
        <v>741583</v>
      </c>
      <c r="AA32" s="63">
        <f t="shared" si="13"/>
        <v>359</v>
      </c>
      <c r="AB32" s="74">
        <v>1410</v>
      </c>
      <c r="AC32" s="60">
        <f t="shared" si="0"/>
        <v>0</v>
      </c>
      <c r="AD32" s="145">
        <v>125480</v>
      </c>
      <c r="AE32" s="60">
        <f t="shared" si="0"/>
        <v>220</v>
      </c>
      <c r="AF32" s="74">
        <v>1982</v>
      </c>
      <c r="AG32" s="60">
        <f t="shared" si="0"/>
        <v>0</v>
      </c>
      <c r="AH32" s="68">
        <f t="shared" si="14"/>
        <v>2302</v>
      </c>
      <c r="AI32" s="18">
        <v>0</v>
      </c>
      <c r="AJ32" s="53">
        <f t="shared" si="15"/>
        <v>0</v>
      </c>
    </row>
    <row r="33" spans="1:36">
      <c r="A33" s="52">
        <v>44864</v>
      </c>
      <c r="B33" s="137">
        <v>1608788</v>
      </c>
      <c r="C33" s="65">
        <f t="shared" si="1"/>
        <v>316</v>
      </c>
      <c r="D33" s="137">
        <v>33707333</v>
      </c>
      <c r="E33" s="61">
        <f t="shared" si="2"/>
        <v>782</v>
      </c>
      <c r="F33" s="140">
        <v>84818</v>
      </c>
      <c r="G33" s="60">
        <f t="shared" si="3"/>
        <v>146</v>
      </c>
      <c r="H33" s="140">
        <v>100666</v>
      </c>
      <c r="I33" s="61">
        <f t="shared" si="4"/>
        <v>15</v>
      </c>
      <c r="J33" s="142">
        <v>184237</v>
      </c>
      <c r="K33" s="64">
        <f t="shared" si="5"/>
        <v>0</v>
      </c>
      <c r="L33" s="140">
        <v>117561</v>
      </c>
      <c r="M33" s="61">
        <f t="shared" si="6"/>
        <v>55</v>
      </c>
      <c r="N33" s="140">
        <v>658812</v>
      </c>
      <c r="O33" s="64">
        <f t="shared" si="7"/>
        <v>33</v>
      </c>
      <c r="P33" s="140">
        <v>167764</v>
      </c>
      <c r="Q33" s="61">
        <f t="shared" si="8"/>
        <v>0</v>
      </c>
      <c r="R33" s="140">
        <v>7558</v>
      </c>
      <c r="S33" s="63">
        <f t="shared" si="9"/>
        <v>248</v>
      </c>
      <c r="T33" s="140">
        <v>84257</v>
      </c>
      <c r="U33" s="60">
        <f t="shared" si="10"/>
        <v>27</v>
      </c>
      <c r="V33" s="140">
        <v>305810</v>
      </c>
      <c r="W33" s="63">
        <f t="shared" si="11"/>
        <v>0</v>
      </c>
      <c r="X33" s="142">
        <v>34360</v>
      </c>
      <c r="Y33" s="60">
        <f t="shared" si="12"/>
        <v>45</v>
      </c>
      <c r="Z33" s="142">
        <v>741973</v>
      </c>
      <c r="AA33" s="63">
        <f t="shared" si="13"/>
        <v>390</v>
      </c>
      <c r="AB33" s="74">
        <v>1410</v>
      </c>
      <c r="AC33" s="60">
        <f t="shared" si="0"/>
        <v>0</v>
      </c>
      <c r="AD33" s="145">
        <v>125697</v>
      </c>
      <c r="AE33" s="60">
        <f t="shared" si="0"/>
        <v>217</v>
      </c>
      <c r="AF33" s="74">
        <v>1982</v>
      </c>
      <c r="AG33" s="60">
        <f>IF((AF33-AF32)&lt;0,"0",(AF33-AF32))</f>
        <v>0</v>
      </c>
      <c r="AH33" s="68">
        <f t="shared" si="14"/>
        <v>2274</v>
      </c>
      <c r="AI33" s="66">
        <v>0</v>
      </c>
      <c r="AJ33" s="53">
        <f t="shared" si="15"/>
        <v>0</v>
      </c>
    </row>
    <row r="34" spans="1:36">
      <c r="A34" s="52">
        <v>44865</v>
      </c>
      <c r="B34" s="137">
        <v>1608963</v>
      </c>
      <c r="C34" s="65">
        <f>IF((B34-B33)&lt;0,"0",(B34-B33))</f>
        <v>175</v>
      </c>
      <c r="D34" s="137">
        <v>33708561</v>
      </c>
      <c r="E34" s="61">
        <f>IF((D34-D33)&lt;0,"0",(D34-D33))</f>
        <v>1228</v>
      </c>
      <c r="F34" s="140">
        <v>84910</v>
      </c>
      <c r="G34" s="60">
        <f t="shared" si="3"/>
        <v>92</v>
      </c>
      <c r="H34" s="140">
        <v>100678</v>
      </c>
      <c r="I34" s="61">
        <f>IF((H34-H33)&lt;0,"0",(H34-H33))</f>
        <v>12</v>
      </c>
      <c r="J34" s="142">
        <v>184239</v>
      </c>
      <c r="K34" s="64">
        <f>IF((J34-J33)&lt;0,"0",(J34-J33))</f>
        <v>2</v>
      </c>
      <c r="L34" s="140">
        <v>117609</v>
      </c>
      <c r="M34" s="61">
        <f>IF((L34-L33)&lt;0,"0",(L34-L33))</f>
        <v>48</v>
      </c>
      <c r="N34" s="140">
        <v>658852</v>
      </c>
      <c r="O34" s="64">
        <f>IF((N34-N33)&lt;0,"0",(N34-N33))</f>
        <v>40</v>
      </c>
      <c r="P34" s="140">
        <v>167764</v>
      </c>
      <c r="Q34" s="61">
        <f>IF((P34-P33)&lt;0,"0",(P34-P33))</f>
        <v>0</v>
      </c>
      <c r="R34" s="140">
        <v>7733</v>
      </c>
      <c r="S34" s="63">
        <f>IF((R34-R33)&lt;0,"0",(R34-R33))</f>
        <v>175</v>
      </c>
      <c r="T34" s="140">
        <v>84295</v>
      </c>
      <c r="U34" s="60">
        <f>IF((T34-T33)&lt;0,"0",(T34-T33))</f>
        <v>38</v>
      </c>
      <c r="V34" s="140">
        <v>305810</v>
      </c>
      <c r="W34" s="63">
        <f>IF((V34-V33)&lt;0,"0",(V34-V33))</f>
        <v>0</v>
      </c>
      <c r="X34" s="142">
        <v>34394</v>
      </c>
      <c r="Y34" s="60">
        <f>IF((X34-X33)&lt;0,"0",(X34-X33))</f>
        <v>34</v>
      </c>
      <c r="Z34" s="142">
        <v>742325</v>
      </c>
      <c r="AA34" s="63">
        <f>IF((Z34-Z33)&lt;0,"0",(Z34-Z33))</f>
        <v>352</v>
      </c>
      <c r="AB34" s="74">
        <v>1410</v>
      </c>
      <c r="AC34" s="60">
        <f>IF((AB34-AB33)&lt;0,"0",(AB34-AB33))</f>
        <v>0</v>
      </c>
      <c r="AD34" s="145">
        <v>125975</v>
      </c>
      <c r="AE34" s="60">
        <f>IF((AD34-AD33)&lt;0,"0",(AD34-AD33))</f>
        <v>278</v>
      </c>
      <c r="AF34" s="74">
        <v>1982</v>
      </c>
      <c r="AG34" s="60"/>
      <c r="AH34" s="68">
        <f t="shared" si="14"/>
        <v>2474</v>
      </c>
      <c r="AI34" s="66">
        <v>0</v>
      </c>
      <c r="AJ34" s="53">
        <f>IF((AI34-AI33)&lt;0,"0",(AI34-AI33))</f>
        <v>0</v>
      </c>
    </row>
    <row r="35" spans="1:36">
      <c r="C35" s="17"/>
      <c r="E35" s="17"/>
      <c r="G35" s="17"/>
      <c r="I35" s="17"/>
      <c r="K35" s="17"/>
      <c r="M35" s="17"/>
      <c r="O35" s="17"/>
      <c r="Q35" s="17"/>
      <c r="S35" s="17"/>
      <c r="U35" s="17"/>
      <c r="W35" s="17"/>
      <c r="Y35" s="17"/>
      <c r="AA35" s="17"/>
      <c r="AC35" s="17"/>
      <c r="AD35" s="17"/>
      <c r="AE35" s="17"/>
      <c r="AF35" s="17"/>
      <c r="AG35" s="17"/>
      <c r="AJ35" s="17"/>
    </row>
  </sheetData>
  <mergeCells count="1">
    <mergeCell ref="A1:AJ1"/>
  </mergeCells>
  <phoneticPr fontId="0" type="noConversion"/>
  <conditionalFormatting sqref="AH3 C3:C34 I3:I34 K3:K34 M3:M34 O3:O34 Q3:Q34 S3:S34 U3:U34 W3:W34 G3:G34 E3:E34 Y3:Y34 AH4:AI34 AA3:AC34 A2:A34 AE3:AG34">
    <cfRule type="cellIs" dxfId="0" priority="340" stopIfTrue="1" operator="lessThan">
      <formula>0</formula>
    </cfRule>
  </conditionalFormatting>
  <pageMargins left="0.75" right="0.75" top="1" bottom="1" header="0.5" footer="0.5"/>
  <pageSetup paperSize="9" scale="7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444b4a5-31e9-439c-ad4b-ef06b9d19991">
      <Terms xmlns="http://schemas.microsoft.com/office/infopath/2007/PartnerControls"/>
    </lcf76f155ced4ddcb4097134ff3c332f>
    <TaxCatchAll xmlns="2d8748ec-992c-4be6-818f-09daf1d5c91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6F3ED90E2271449ABAC186C6BA6802" ma:contentTypeVersion="15" ma:contentTypeDescription="Create a new document." ma:contentTypeScope="" ma:versionID="3ef84a2ea14c76d28649e2f379f65ab4">
  <xsd:schema xmlns:xsd="http://www.w3.org/2001/XMLSchema" xmlns:xs="http://www.w3.org/2001/XMLSchema" xmlns:p="http://schemas.microsoft.com/office/2006/metadata/properties" xmlns:ns2="8444b4a5-31e9-439c-ad4b-ef06b9d19991" xmlns:ns3="2d8748ec-992c-4be6-818f-09daf1d5c913" targetNamespace="http://schemas.microsoft.com/office/2006/metadata/properties" ma:root="true" ma:fieldsID="4f8fd83ac234093313865e3b5cd9b979" ns2:_="" ns3:_="">
    <xsd:import namespace="8444b4a5-31e9-439c-ad4b-ef06b9d19991"/>
    <xsd:import namespace="2d8748ec-992c-4be6-818f-09daf1d5c9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44b4a5-31e9-439c-ad4b-ef06b9d199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8748ec-992c-4be6-818f-09daf1d5c913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479af1a0-7e35-4d9c-ae9b-a76c9248c791}" ma:internalName="TaxCatchAll" ma:showField="CatchAllData" ma:web="2d8748ec-992c-4be6-818f-09daf1d5c9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E82F225-777A-4888-9A31-0A32E87666FF}"/>
</file>

<file path=customXml/itemProps2.xml><?xml version="1.0" encoding="utf-8"?>
<ds:datastoreItem xmlns:ds="http://schemas.openxmlformats.org/officeDocument/2006/customXml" ds:itemID="{58BF515C-4528-4ED8-AEAC-76A2769501A2}"/>
</file>

<file path=customXml/itemProps3.xml><?xml version="1.0" encoding="utf-8"?>
<ds:datastoreItem xmlns:ds="http://schemas.openxmlformats.org/officeDocument/2006/customXml" ds:itemID="{32E01D12-ED81-4A01-B5B8-2A82682A7D7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Mohamed Allam</dc:creator>
  <cp:keywords/>
  <dc:description/>
  <cp:lastModifiedBy/>
  <cp:revision/>
  <dcterms:created xsi:type="dcterms:W3CDTF">2017-07-31T14:40:49Z</dcterms:created>
  <dcterms:modified xsi:type="dcterms:W3CDTF">2022-11-03T10:19:28Z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0x0101009B6F3ED90E2271449ABAC186C6BA6802</vt:lpwstr>
  </property>
  <property fmtid="{D5CDD505-2E9C-101B-9397-08002B2CF9AE}" pid="3" name="MediaServiceImageTags">
    <vt:lpwstr/>
  </property>
</Properties>
</file>