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632" documentId="13_ncr:1_{A150F12E-A5F3-4ABD-A7D4-FF6BD82385D6}" xr6:coauthVersionLast="47" xr6:coauthVersionMax="47" xr10:uidLastSave="{BBC2A9C4-E29E-48E4-A2F3-0774880836E7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2" l="1"/>
  <c r="B32" i="2" s="1"/>
  <c r="N31" i="2"/>
  <c r="M31" i="2"/>
  <c r="K31" i="2"/>
  <c r="I31" i="2"/>
  <c r="G31" i="2"/>
  <c r="F31" i="2"/>
  <c r="E31" i="2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2" i="1"/>
  <c r="X3" i="1"/>
  <c r="X4" i="1"/>
  <c r="X5" i="1"/>
  <c r="I3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X33" i="1"/>
  <c r="K30" i="2"/>
  <c r="K32" i="2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I30" i="2"/>
  <c r="M30" i="2"/>
  <c r="N30" i="2"/>
  <c r="M32" i="2"/>
  <c r="N32" i="2"/>
  <c r="AI4" i="1" l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4" i="1" s="1"/>
  <c r="AI3" i="1"/>
  <c r="X32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2" i="2" s="1"/>
  <c r="F32" i="2" s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E30" i="2" s="1"/>
  <c r="F30" i="2" s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<sst xmlns="http://schemas.openxmlformats.org/spreadsheetml/2006/main" count="82" uniqueCount="41">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</sst>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D36" sqref="D3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5</v>
      </c>
      <c r="D2" s="71">
        <v>2025</v>
      </c>
      <c r="E2" s="50">
        <f>IF(ALMYRA!H2&lt;0,"0",ALMYRA!H2)</f>
        <v>4597</v>
      </c>
      <c r="F2" s="51">
        <f>(ALMYRA!C2*0.24)/E2</f>
        <v>0.20120948444637807</v>
      </c>
      <c r="G2" s="55">
        <f>ALMYRA!Z2</f>
        <v>125</v>
      </c>
      <c r="H2" s="56">
        <v>0.65800000000000003</v>
      </c>
      <c r="I2" s="59">
        <f>IF(ALMYRA!AB2&lt;0,"0",ALMYRA!AB2)</f>
        <v>55</v>
      </c>
      <c r="J2" s="60">
        <v>2.4</v>
      </c>
      <c r="K2" s="63">
        <f>ALMYRA!U2</f>
        <v>199</v>
      </c>
      <c r="L2" s="64">
        <v>0.88</v>
      </c>
      <c r="M2" s="67">
        <f>ALMYRA!AJ2</f>
        <v>102</v>
      </c>
      <c r="N2" s="67">
        <f>ALMYRA!AK2</f>
        <v>187</v>
      </c>
    </row>
    <row r="3" spans="1:14" ht="15" x14ac:dyDescent="0.25">
      <c r="A3" s="46" t="s">
        <v>13</v>
      </c>
      <c r="B3" s="5">
        <f>B2+1</f>
        <v>2</v>
      </c>
      <c r="C3" s="70">
        <v>5</v>
      </c>
      <c r="D3" s="71">
        <v>2025</v>
      </c>
      <c r="E3" s="50">
        <f>IF(ALMYRA!H3&lt;0,"0",ALMYRA!H3)</f>
        <v>4718</v>
      </c>
      <c r="F3" s="51">
        <f>(ALMYRA!C3*0.24)/E3</f>
        <v>0.17956761339550656</v>
      </c>
      <c r="G3" s="55">
        <f>ALMYRA!Z3</f>
        <v>350</v>
      </c>
      <c r="H3" s="56">
        <v>0.65800000000000003</v>
      </c>
      <c r="I3" s="59">
        <f>IF(ALMYRA!AB3&lt;0,"0",ALMYRA!AB3)</f>
        <v>94</v>
      </c>
      <c r="J3" s="60">
        <v>2.4</v>
      </c>
      <c r="K3" s="63">
        <f>ALMYRA!U3</f>
        <v>99</v>
      </c>
      <c r="L3" s="64">
        <v>0.88</v>
      </c>
      <c r="M3" s="67">
        <f>ALMYRA!AJ3</f>
        <v>107</v>
      </c>
      <c r="N3" s="67">
        <f>ALMYRA!AK3</f>
        <v>194</v>
      </c>
    </row>
    <row r="4" spans="1:14" ht="15" x14ac:dyDescent="0.25">
      <c r="A4" s="46" t="s">
        <v>13</v>
      </c>
      <c r="B4" s="5">
        <f t="shared" ref="B4:B32" si="0">B3+1</f>
        <v>3</v>
      </c>
      <c r="C4" s="70">
        <v>5</v>
      </c>
      <c r="D4" s="71">
        <v>2025</v>
      </c>
      <c r="E4" s="50">
        <f>IF(ALMYRA!H4&lt;0,"0",ALMYRA!H4)</f>
        <v>4587</v>
      </c>
      <c r="F4" s="51">
        <f>(ALMYRA!C4*0.24)/E4</f>
        <v>0.15434924787442772</v>
      </c>
      <c r="G4" s="55">
        <f>ALMYRA!Z4</f>
        <v>200</v>
      </c>
      <c r="H4" s="56">
        <v>0.65800000000000003</v>
      </c>
      <c r="I4" s="59">
        <f>IF(ALMYRA!AB4&lt;0,"0",ALMYRA!AB4)</f>
        <v>48</v>
      </c>
      <c r="J4" s="60">
        <v>2.4</v>
      </c>
      <c r="K4" s="63">
        <f>ALMYRA!U4</f>
        <v>198</v>
      </c>
      <c r="L4" s="64">
        <v>0.88</v>
      </c>
      <c r="M4" s="67">
        <f>ALMYRA!AJ4</f>
        <v>122</v>
      </c>
      <c r="N4" s="67">
        <f>ALMYRA!AK4</f>
        <v>217</v>
      </c>
    </row>
    <row r="5" spans="1:14" ht="15" x14ac:dyDescent="0.25">
      <c r="A5" s="46" t="s">
        <v>13</v>
      </c>
      <c r="B5" s="5">
        <f t="shared" si="0"/>
        <v>4</v>
      </c>
      <c r="C5" s="70">
        <v>5</v>
      </c>
      <c r="D5" s="71">
        <v>2025</v>
      </c>
      <c r="E5" s="50">
        <f>IF(ALMYRA!H5&lt;0,"0",ALMYRA!H5)</f>
        <v>4708</v>
      </c>
      <c r="F5" s="51">
        <f>(ALMYRA!C5*0.24)/E5</f>
        <v>0.13254035683942225</v>
      </c>
      <c r="G5" s="55">
        <f>ALMYRA!Z5</f>
        <v>225</v>
      </c>
      <c r="H5" s="56">
        <v>0.65800000000000003</v>
      </c>
      <c r="I5" s="59">
        <f>IF(ALMYRA!AB5&lt;0,"0",ALMYRA!AB5)</f>
        <v>61</v>
      </c>
      <c r="J5" s="60">
        <v>2.4</v>
      </c>
      <c r="K5" s="63">
        <f>ALMYRA!U5</f>
        <v>98</v>
      </c>
      <c r="L5" s="64">
        <v>0.88</v>
      </c>
      <c r="M5" s="67">
        <f>ALMYRA!AJ5</f>
        <v>103</v>
      </c>
      <c r="N5" s="67">
        <f>ALMYRA!AK5</f>
        <v>189</v>
      </c>
    </row>
    <row r="6" spans="1:14" ht="15" x14ac:dyDescent="0.25">
      <c r="A6" s="46" t="s">
        <v>13</v>
      </c>
      <c r="B6" s="5">
        <f t="shared" si="0"/>
        <v>5</v>
      </c>
      <c r="C6" s="70">
        <v>5</v>
      </c>
      <c r="D6" s="71">
        <v>2025</v>
      </c>
      <c r="E6" s="50">
        <f>IF(ALMYRA!H6&lt;0,"0",ALMYRA!H6)</f>
        <v>0</v>
      </c>
      <c r="F6" s="51" t="e">
        <f>(ALMYRA!C6*0.24)/E6</f>
        <v>#DIV/0!</v>
      </c>
      <c r="G6" s="55">
        <f>ALMYRA!Z6</f>
        <v>0</v>
      </c>
      <c r="H6" s="56">
        <v>0.65800000000000003</v>
      </c>
      <c r="I6" s="59">
        <f>IF(ALMYRA!AB6&lt;0,"0",ALMYRA!AB6)</f>
        <v>0</v>
      </c>
      <c r="J6" s="60">
        <v>2.4</v>
      </c>
      <c r="K6" s="63">
        <f>ALMYRA!U6</f>
        <v>0</v>
      </c>
      <c r="L6" s="64">
        <v>0.88</v>
      </c>
      <c r="M6" s="67">
        <f>ALMYRA!AJ6</f>
        <v>0</v>
      </c>
      <c r="N6" s="67">
        <f>ALMYRA!AK6</f>
        <v>0</v>
      </c>
    </row>
    <row r="7" spans="1:14" ht="15" x14ac:dyDescent="0.25">
      <c r="A7" s="46" t="s">
        <v>13</v>
      </c>
      <c r="B7" s="5">
        <f t="shared" si="0"/>
        <v>6</v>
      </c>
      <c r="C7" s="70">
        <v>5</v>
      </c>
      <c r="D7" s="71">
        <v>2025</v>
      </c>
      <c r="E7" s="50">
        <f>IF(ALMYRA!H7&lt;0,"0",ALMYRA!H7)</f>
        <v>0</v>
      </c>
      <c r="F7" s="51" t="e">
        <f>(ALMYRA!C7*0.24)/E7</f>
        <v>#DIV/0!</v>
      </c>
      <c r="G7" s="55">
        <f>ALMYRA!Z7</f>
        <v>0</v>
      </c>
      <c r="H7" s="56">
        <v>0.65800000000000003</v>
      </c>
      <c r="I7" s="59">
        <f>IF(ALMYRA!AB7&lt;0,"0",ALMYRA!AB7)</f>
        <v>0</v>
      </c>
      <c r="J7" s="60">
        <v>2.4</v>
      </c>
      <c r="K7" s="63">
        <f>ALMYRA!U7</f>
        <v>0</v>
      </c>
      <c r="L7" s="64">
        <v>0.88</v>
      </c>
      <c r="M7" s="67">
        <f>ALMYRA!AJ7</f>
        <v>0</v>
      </c>
      <c r="N7" s="67">
        <f>ALMYRA!AK7</f>
        <v>0</v>
      </c>
    </row>
    <row r="8" spans="1:14" ht="15" x14ac:dyDescent="0.25">
      <c r="A8" s="46" t="s">
        <v>13</v>
      </c>
      <c r="B8" s="5">
        <f t="shared" si="0"/>
        <v>7</v>
      </c>
      <c r="C8" s="70">
        <v>5</v>
      </c>
      <c r="D8" s="71">
        <v>2025</v>
      </c>
      <c r="E8" s="50">
        <f>IF(ALMYRA!H8&lt;0,"0",ALMYRA!H8)</f>
        <v>0</v>
      </c>
      <c r="F8" s="51" t="e">
        <f>(ALMYRA!C8*0.24)/E8</f>
        <v>#DIV/0!</v>
      </c>
      <c r="G8" s="55">
        <f>ALMYRA!Z8</f>
        <v>0</v>
      </c>
      <c r="H8" s="56">
        <v>0.65800000000000003</v>
      </c>
      <c r="I8" s="59">
        <f>IF(ALMYRA!AB8&lt;0,"0",ALMYRA!AB8)</f>
        <v>0</v>
      </c>
      <c r="J8" s="60">
        <v>2.4</v>
      </c>
      <c r="K8" s="63">
        <f>ALMYRA!U8</f>
        <v>0</v>
      </c>
      <c r="L8" s="64">
        <v>0.88</v>
      </c>
      <c r="M8" s="67">
        <f>ALMYRA!AJ8</f>
        <v>0</v>
      </c>
      <c r="N8" s="67">
        <f>ALMYRA!AK8</f>
        <v>0</v>
      </c>
    </row>
    <row r="9" spans="1:14" ht="15" x14ac:dyDescent="0.25">
      <c r="A9" s="46" t="s">
        <v>13</v>
      </c>
      <c r="B9" s="5">
        <f t="shared" si="0"/>
        <v>8</v>
      </c>
      <c r="C9" s="70">
        <v>5</v>
      </c>
      <c r="D9" s="71">
        <v>2025</v>
      </c>
      <c r="E9" s="50">
        <f>IF(ALMYRA!H9&lt;0,"0",ALMYRA!H9)</f>
        <v>0</v>
      </c>
      <c r="F9" s="51" t="e">
        <f>(ALMYRA!C9*0.24)/E9</f>
        <v>#DIV/0!</v>
      </c>
      <c r="G9" s="55">
        <f>ALMYRA!Z9</f>
        <v>0</v>
      </c>
      <c r="H9" s="56">
        <v>0.65800000000000003</v>
      </c>
      <c r="I9" s="59">
        <f>IF(ALMYRA!AB9&lt;0,"0",ALMYRA!AB9)</f>
        <v>0</v>
      </c>
      <c r="J9" s="60">
        <v>2.4</v>
      </c>
      <c r="K9" s="63">
        <f>ALMYRA!U9</f>
        <v>0</v>
      </c>
      <c r="L9" s="64">
        <v>0.88</v>
      </c>
      <c r="M9" s="67">
        <f>ALMYRA!AJ9</f>
        <v>0</v>
      </c>
      <c r="N9" s="67">
        <f>ALMYRA!AK9</f>
        <v>0</v>
      </c>
    </row>
    <row r="10" spans="1:14" ht="15" x14ac:dyDescent="0.25">
      <c r="A10" s="46" t="s">
        <v>13</v>
      </c>
      <c r="B10" s="5">
        <f t="shared" si="0"/>
        <v>9</v>
      </c>
      <c r="C10" s="70">
        <v>5</v>
      </c>
      <c r="D10" s="71">
        <v>2025</v>
      </c>
      <c r="E10" s="50">
        <f>IF(ALMYRA!H10&lt;0,"0",ALMYRA!H10)</f>
        <v>0</v>
      </c>
      <c r="F10" s="51" t="e">
        <f>(ALMYRA!C10*0.24)/E10</f>
        <v>#DIV/0!</v>
      </c>
      <c r="G10" s="55">
        <f>ALMYRA!Z10</f>
        <v>0</v>
      </c>
      <c r="H10" s="56">
        <v>0.65800000000000003</v>
      </c>
      <c r="I10" s="59">
        <f>IF(ALMYRA!AB10&lt;0,"0",ALMYRA!AB10)</f>
        <v>0</v>
      </c>
      <c r="J10" s="60">
        <v>2.4</v>
      </c>
      <c r="K10" s="63">
        <f>ALMYRA!U10</f>
        <v>0</v>
      </c>
      <c r="L10" s="64">
        <v>0.88</v>
      </c>
      <c r="M10" s="67">
        <f>ALMYRA!AJ10</f>
        <v>0</v>
      </c>
      <c r="N10" s="67">
        <f>ALMYRA!AK10</f>
        <v>0</v>
      </c>
    </row>
    <row r="11" spans="1:14" ht="15" x14ac:dyDescent="0.25">
      <c r="A11" s="46" t="s">
        <v>13</v>
      </c>
      <c r="B11" s="5">
        <f t="shared" si="0"/>
        <v>10</v>
      </c>
      <c r="C11" s="70">
        <v>5</v>
      </c>
      <c r="D11" s="71">
        <v>2025</v>
      </c>
      <c r="E11" s="50">
        <f>IF(ALMYRA!H11&lt;0,"0",ALMYRA!H11)</f>
        <v>0</v>
      </c>
      <c r="F11" s="51" t="e">
        <f>(ALMYRA!C11*0.24)/E11</f>
        <v>#DIV/0!</v>
      </c>
      <c r="G11" s="55">
        <f>ALMYRA!Z11</f>
        <v>0</v>
      </c>
      <c r="H11" s="56">
        <v>0.65800000000000003</v>
      </c>
      <c r="I11" s="59">
        <f>IF(ALMYRA!AB11&lt;0,"0",ALMYRA!AB11)</f>
        <v>0</v>
      </c>
      <c r="J11" s="60">
        <v>2.4</v>
      </c>
      <c r="K11" s="63">
        <f>ALMYRA!U11</f>
        <v>0</v>
      </c>
      <c r="L11" s="64">
        <v>0.88</v>
      </c>
      <c r="M11" s="67">
        <f>ALMYRA!AJ11</f>
        <v>0</v>
      </c>
      <c r="N11" s="67">
        <f>ALMYRA!AK11</f>
        <v>0</v>
      </c>
    </row>
    <row r="12" spans="1:14" ht="15" x14ac:dyDescent="0.25">
      <c r="A12" s="46" t="s">
        <v>13</v>
      </c>
      <c r="B12" s="5">
        <f t="shared" si="0"/>
        <v>11</v>
      </c>
      <c r="C12" s="70">
        <v>5</v>
      </c>
      <c r="D12" s="71">
        <v>2025</v>
      </c>
      <c r="E12" s="50">
        <f>IF(ALMYRA!H12&lt;0,"0",ALMYRA!H12)</f>
        <v>0</v>
      </c>
      <c r="F12" s="51" t="e">
        <f>(ALMYRA!C12*0.24)/E12</f>
        <v>#DIV/0!</v>
      </c>
      <c r="G12" s="55">
        <f>ALMYRA!Z12</f>
        <v>0</v>
      </c>
      <c r="H12" s="56">
        <v>0.65800000000000003</v>
      </c>
      <c r="I12" s="59">
        <f>IF(ALMYRA!AB12&lt;0,"0",ALMYRA!AB12)</f>
        <v>0</v>
      </c>
      <c r="J12" s="60">
        <v>2.4</v>
      </c>
      <c r="K12" s="63">
        <f>ALMYRA!U12</f>
        <v>0</v>
      </c>
      <c r="L12" s="64">
        <v>0.88</v>
      </c>
      <c r="M12" s="67">
        <f>ALMYRA!AJ12</f>
        <v>0</v>
      </c>
      <c r="N12" s="67">
        <f>ALMYRA!AK12</f>
        <v>0</v>
      </c>
    </row>
    <row r="13" spans="1:14" ht="15" x14ac:dyDescent="0.25">
      <c r="A13" s="46" t="s">
        <v>13</v>
      </c>
      <c r="B13" s="5">
        <f t="shared" si="0"/>
        <v>12</v>
      </c>
      <c r="C13" s="70">
        <v>5</v>
      </c>
      <c r="D13" s="71">
        <v>2025</v>
      </c>
      <c r="E13" s="50">
        <f>IF(ALMYRA!H13&lt;0,"0",ALMYRA!H13)</f>
        <v>0</v>
      </c>
      <c r="F13" s="51" t="e">
        <f>(ALMYRA!C13*0.24)/E13</f>
        <v>#DIV/0!</v>
      </c>
      <c r="G13" s="55">
        <f>ALMYRA!Z13</f>
        <v>0</v>
      </c>
      <c r="H13" s="56">
        <v>0.65800000000000003</v>
      </c>
      <c r="I13" s="59">
        <f>IF(ALMYRA!AB13&lt;0,"0",ALMYRA!AB13)</f>
        <v>0</v>
      </c>
      <c r="J13" s="60">
        <v>2.4</v>
      </c>
      <c r="K13" s="63">
        <f>ALMYRA!U13</f>
        <v>0</v>
      </c>
      <c r="L13" s="64">
        <v>0.88</v>
      </c>
      <c r="M13" s="67">
        <f>ALMYRA!AJ13</f>
        <v>0</v>
      </c>
      <c r="N13" s="67">
        <f>ALMYRA!AK13</f>
        <v>0</v>
      </c>
    </row>
    <row r="14" spans="1:14" ht="15" x14ac:dyDescent="0.25">
      <c r="A14" s="46" t="s">
        <v>13</v>
      </c>
      <c r="B14" s="5">
        <f t="shared" si="0"/>
        <v>13</v>
      </c>
      <c r="C14" s="70">
        <v>5</v>
      </c>
      <c r="D14" s="71">
        <v>2025</v>
      </c>
      <c r="E14" s="50">
        <f>IF(ALMYRA!H14&lt;0,"0",ALMYRA!H14)</f>
        <v>0</v>
      </c>
      <c r="F14" s="51" t="e">
        <f>(ALMYRA!C14*0.24)/E14</f>
        <v>#DIV/0!</v>
      </c>
      <c r="G14" s="55">
        <f>ALMYRA!Z14</f>
        <v>0</v>
      </c>
      <c r="H14" s="56">
        <v>0.65800000000000003</v>
      </c>
      <c r="I14" s="59">
        <f>IF(ALMYRA!AB14&lt;0,"0",ALMYRA!AB14)</f>
        <v>0</v>
      </c>
      <c r="J14" s="60">
        <v>2.4</v>
      </c>
      <c r="K14" s="63">
        <f>ALMYRA!U14</f>
        <v>0</v>
      </c>
      <c r="L14" s="64">
        <v>0.88</v>
      </c>
      <c r="M14" s="67">
        <f>ALMYRA!AJ14</f>
        <v>0</v>
      </c>
      <c r="N14" s="67">
        <f>ALMYRA!AK14</f>
        <v>0</v>
      </c>
    </row>
    <row r="15" spans="1:14" ht="15" x14ac:dyDescent="0.25">
      <c r="A15" s="46" t="s">
        <v>13</v>
      </c>
      <c r="B15" s="5">
        <f t="shared" si="0"/>
        <v>14</v>
      </c>
      <c r="C15" s="70">
        <v>5</v>
      </c>
      <c r="D15" s="71">
        <v>2025</v>
      </c>
      <c r="E15" s="50">
        <f>IF(ALMYRA!H15&lt;0,"0",ALMYRA!H15)</f>
        <v>0</v>
      </c>
      <c r="F15" s="51" t="e">
        <f>(ALMYRA!C15*0.24)/E15</f>
        <v>#DIV/0!</v>
      </c>
      <c r="G15" s="55">
        <f>ALMYRA!Z15</f>
        <v>0</v>
      </c>
      <c r="H15" s="56">
        <v>0.65800000000000003</v>
      </c>
      <c r="I15" s="59">
        <f>IF(ALMYRA!AB15&lt;0,"0",ALMYRA!AB15)</f>
        <v>0</v>
      </c>
      <c r="J15" s="60">
        <v>2.4</v>
      </c>
      <c r="K15" s="63">
        <f>ALMYRA!U15</f>
        <v>0</v>
      </c>
      <c r="L15" s="64">
        <v>0.88</v>
      </c>
      <c r="M15" s="67">
        <f>ALMYRA!AJ15</f>
        <v>0</v>
      </c>
      <c r="N15" s="67">
        <f>ALMYRA!AK15</f>
        <v>0</v>
      </c>
    </row>
    <row r="16" spans="1:14" ht="15" x14ac:dyDescent="0.25">
      <c r="A16" s="46" t="s">
        <v>13</v>
      </c>
      <c r="B16" s="5">
        <f t="shared" si="0"/>
        <v>15</v>
      </c>
      <c r="C16" s="70">
        <v>5</v>
      </c>
      <c r="D16" s="71">
        <v>2025</v>
      </c>
      <c r="E16" s="50">
        <f>IF(ALMYRA!H16&lt;0,"0",ALMYRA!H16)</f>
        <v>0</v>
      </c>
      <c r="F16" s="51" t="e">
        <f>(ALMYRA!C16*0.24)/E16</f>
        <v>#DIV/0!</v>
      </c>
      <c r="G16" s="55">
        <f>ALMYRA!Z16</f>
        <v>0</v>
      </c>
      <c r="H16" s="56">
        <v>0.65800000000000003</v>
      </c>
      <c r="I16" s="59">
        <f>IF(ALMYRA!AB16&lt;0,"0",ALMYRA!AB16)</f>
        <v>0</v>
      </c>
      <c r="J16" s="60">
        <v>2.4</v>
      </c>
      <c r="K16" s="63">
        <f>ALMYRA!U16</f>
        <v>0</v>
      </c>
      <c r="L16" s="64">
        <v>0.88</v>
      </c>
      <c r="M16" s="67">
        <f>ALMYRA!AJ16</f>
        <v>0</v>
      </c>
      <c r="N16" s="67">
        <f>ALMYRA!AK16</f>
        <v>0</v>
      </c>
    </row>
    <row r="17" spans="1:14" ht="15" x14ac:dyDescent="0.25">
      <c r="A17" s="46" t="s">
        <v>13</v>
      </c>
      <c r="B17" s="5">
        <f t="shared" si="0"/>
        <v>16</v>
      </c>
      <c r="C17" s="70">
        <v>5</v>
      </c>
      <c r="D17" s="71">
        <v>2025</v>
      </c>
      <c r="E17" s="50">
        <f>IF(ALMYRA!H17&lt;0,"0",ALMYRA!H17)</f>
        <v>0</v>
      </c>
      <c r="F17" s="51" t="e">
        <f>(ALMYRA!C17*0.24)/E17</f>
        <v>#DIV/0!</v>
      </c>
      <c r="G17" s="55">
        <f>ALMYRA!Z17</f>
        <v>0</v>
      </c>
      <c r="H17" s="56">
        <v>0.65800000000000003</v>
      </c>
      <c r="I17" s="59">
        <f>IF(ALMYRA!AB17&lt;0,"0",ALMYRA!AB17)</f>
        <v>0</v>
      </c>
      <c r="J17" s="60">
        <v>2.4</v>
      </c>
      <c r="K17" s="63">
        <f>ALMYRA!U17</f>
        <v>0</v>
      </c>
      <c r="L17" s="64">
        <v>0.88</v>
      </c>
      <c r="M17" s="67">
        <f>ALMYRA!AJ17</f>
        <v>0</v>
      </c>
      <c r="N17" s="67">
        <f>ALMYRA!AK17</f>
        <v>0</v>
      </c>
    </row>
    <row r="18" spans="1:14" ht="15" x14ac:dyDescent="0.25">
      <c r="A18" s="46" t="s">
        <v>13</v>
      </c>
      <c r="B18" s="5">
        <f t="shared" si="0"/>
        <v>17</v>
      </c>
      <c r="C18" s="70">
        <v>5</v>
      </c>
      <c r="D18" s="71">
        <v>2025</v>
      </c>
      <c r="E18" s="50">
        <f>IF(ALMYRA!H18&lt;0,"0",ALMYRA!H18)</f>
        <v>0</v>
      </c>
      <c r="F18" s="51" t="e">
        <f>(ALMYRA!C18*0.24)/E18</f>
        <v>#DIV/0!</v>
      </c>
      <c r="G18" s="55">
        <f>ALMYRA!Z18</f>
        <v>0</v>
      </c>
      <c r="H18" s="56">
        <v>0.65800000000000003</v>
      </c>
      <c r="I18" s="59">
        <f>IF(ALMYRA!AB18&lt;0,"0",ALMYRA!AB18)</f>
        <v>0</v>
      </c>
      <c r="J18" s="60">
        <v>2.4</v>
      </c>
      <c r="K18" s="63">
        <f>ALMYRA!U18</f>
        <v>0</v>
      </c>
      <c r="L18" s="64">
        <v>0.88</v>
      </c>
      <c r="M18" s="67">
        <f>ALMYRA!AJ18</f>
        <v>0</v>
      </c>
      <c r="N18" s="67">
        <f>ALMYRA!AK18</f>
        <v>0</v>
      </c>
    </row>
    <row r="19" spans="1:14" ht="15" x14ac:dyDescent="0.25">
      <c r="A19" s="46" t="s">
        <v>13</v>
      </c>
      <c r="B19" s="5">
        <f t="shared" si="0"/>
        <v>18</v>
      </c>
      <c r="C19" s="70">
        <v>5</v>
      </c>
      <c r="D19" s="71">
        <v>2025</v>
      </c>
      <c r="E19" s="50">
        <f>IF(ALMYRA!H19&lt;0,"0",ALMYRA!H19)</f>
        <v>0</v>
      </c>
      <c r="F19" s="51" t="e">
        <f>(ALMYRA!C19*0.24)/E19</f>
        <v>#DIV/0!</v>
      </c>
      <c r="G19" s="55">
        <f>ALMYRA!Z19</f>
        <v>0</v>
      </c>
      <c r="H19" s="56">
        <v>0.65800000000000003</v>
      </c>
      <c r="I19" s="59">
        <f>IF(ALMYRA!AB19&lt;0,"0",ALMYRA!AB19)</f>
        <v>0</v>
      </c>
      <c r="J19" s="60">
        <v>2.4</v>
      </c>
      <c r="K19" s="63">
        <f>ALMYRA!U19</f>
        <v>0</v>
      </c>
      <c r="L19" s="64">
        <v>0.88</v>
      </c>
      <c r="M19" s="67">
        <f>ALMYRA!AJ19</f>
        <v>0</v>
      </c>
      <c r="N19" s="67">
        <f>ALMYRA!AK19</f>
        <v>0</v>
      </c>
    </row>
    <row r="20" spans="1:14" ht="15" x14ac:dyDescent="0.25">
      <c r="A20" s="46" t="s">
        <v>13</v>
      </c>
      <c r="B20" s="5">
        <f t="shared" si="0"/>
        <v>19</v>
      </c>
      <c r="C20" s="70">
        <v>5</v>
      </c>
      <c r="D20" s="71">
        <v>2025</v>
      </c>
      <c r="E20" s="50">
        <f>IF(ALMYRA!H20&lt;0,"0",ALMYRA!H20)</f>
        <v>0</v>
      </c>
      <c r="F20" s="51" t="e">
        <f>(ALMYRA!C20*0.24)/E20</f>
        <v>#DIV/0!</v>
      </c>
      <c r="G20" s="55">
        <f>ALMYRA!Z20</f>
        <v>0</v>
      </c>
      <c r="H20" s="56">
        <v>0.65800000000000003</v>
      </c>
      <c r="I20" s="59">
        <f>IF(ALMYRA!AB20&lt;0,"0",ALMYRA!AB20)</f>
        <v>0</v>
      </c>
      <c r="J20" s="60">
        <v>2.4</v>
      </c>
      <c r="K20" s="63">
        <f>ALMYRA!U20</f>
        <v>0</v>
      </c>
      <c r="L20" s="64">
        <v>0.88</v>
      </c>
      <c r="M20" s="67">
        <f>ALMYRA!AJ20</f>
        <v>0</v>
      </c>
      <c r="N20" s="67">
        <f>ALMYRA!AK20</f>
        <v>0</v>
      </c>
    </row>
    <row r="21" spans="1:14" ht="15" x14ac:dyDescent="0.25">
      <c r="A21" s="46" t="s">
        <v>13</v>
      </c>
      <c r="B21" s="5">
        <f t="shared" si="0"/>
        <v>20</v>
      </c>
      <c r="C21" s="70">
        <v>5</v>
      </c>
      <c r="D21" s="71">
        <v>2025</v>
      </c>
      <c r="E21" s="50">
        <f>IF(ALMYRA!H21&lt;0,"0",ALMYRA!H21)</f>
        <v>0</v>
      </c>
      <c r="F21" s="51" t="e">
        <f>(ALMYRA!C21*0.24)/E21</f>
        <v>#DIV/0!</v>
      </c>
      <c r="G21" s="55">
        <f>ALMYRA!Z21</f>
        <v>0</v>
      </c>
      <c r="H21" s="56">
        <v>0.65800000000000003</v>
      </c>
      <c r="I21" s="59">
        <f>IF(ALMYRA!AB21&lt;0,"0",ALMYRA!AB21)</f>
        <v>0</v>
      </c>
      <c r="J21" s="60">
        <v>2.4</v>
      </c>
      <c r="K21" s="63">
        <f>ALMYRA!U21</f>
        <v>0</v>
      </c>
      <c r="L21" s="64">
        <v>0.88</v>
      </c>
      <c r="M21" s="67">
        <f>ALMYRA!AJ21</f>
        <v>0</v>
      </c>
      <c r="N21" s="67">
        <f>ALMYRA!AK21</f>
        <v>0</v>
      </c>
    </row>
    <row r="22" spans="1:14" ht="15" x14ac:dyDescent="0.25">
      <c r="A22" s="46" t="s">
        <v>13</v>
      </c>
      <c r="B22" s="5">
        <f t="shared" si="0"/>
        <v>21</v>
      </c>
      <c r="C22" s="70">
        <v>5</v>
      </c>
      <c r="D22" s="71">
        <v>2025</v>
      </c>
      <c r="E22" s="50">
        <f>IF(ALMYRA!H22&lt;0,"0",ALMYRA!H22)</f>
        <v>0</v>
      </c>
      <c r="F22" s="51" t="e">
        <f>(ALMYRA!C22*0.24)/E22</f>
        <v>#DIV/0!</v>
      </c>
      <c r="G22" s="55">
        <f>ALMYRA!Z22</f>
        <v>0</v>
      </c>
      <c r="H22" s="56">
        <v>0.65800000000000003</v>
      </c>
      <c r="I22" s="59">
        <f>IF(ALMYRA!AB22&lt;0,"0",ALMYRA!AB22)</f>
        <v>0</v>
      </c>
      <c r="J22" s="60">
        <v>2.4</v>
      </c>
      <c r="K22" s="63">
        <f>ALMYRA!U22</f>
        <v>0</v>
      </c>
      <c r="L22" s="64">
        <v>0.88</v>
      </c>
      <c r="M22" s="67">
        <f>ALMYRA!AJ22</f>
        <v>0</v>
      </c>
      <c r="N22" s="67">
        <f>ALMYRA!AK22</f>
        <v>0</v>
      </c>
    </row>
    <row r="23" spans="1:14" ht="15" x14ac:dyDescent="0.25">
      <c r="A23" s="46" t="s">
        <v>13</v>
      </c>
      <c r="B23" s="5">
        <f t="shared" si="0"/>
        <v>22</v>
      </c>
      <c r="C23" s="70">
        <v>5</v>
      </c>
      <c r="D23" s="71">
        <v>2025</v>
      </c>
      <c r="E23" s="50">
        <f>IF(ALMYRA!H23&lt;0,"0",ALMYRA!H23)</f>
        <v>0</v>
      </c>
      <c r="F23" s="51" t="e">
        <f>(ALMYRA!C23*0.24)/E23</f>
        <v>#DIV/0!</v>
      </c>
      <c r="G23" s="55">
        <f>ALMYRA!Z23</f>
        <v>0</v>
      </c>
      <c r="H23" s="56">
        <v>0.65800000000000003</v>
      </c>
      <c r="I23" s="59">
        <f>IF(ALMYRA!AB23&lt;0,"0",ALMYRA!AB23)</f>
        <v>0</v>
      </c>
      <c r="J23" s="60">
        <v>2.4</v>
      </c>
      <c r="K23" s="63">
        <f>ALMYRA!U23</f>
        <v>0</v>
      </c>
      <c r="L23" s="64">
        <v>0.88</v>
      </c>
      <c r="M23" s="67">
        <f>ALMYRA!AJ23</f>
        <v>0</v>
      </c>
      <c r="N23" s="67">
        <f>ALMYRA!AK23</f>
        <v>0</v>
      </c>
    </row>
    <row r="24" spans="1:14" ht="15" x14ac:dyDescent="0.25">
      <c r="A24" s="46" t="s">
        <v>13</v>
      </c>
      <c r="B24" s="5">
        <f t="shared" si="0"/>
        <v>23</v>
      </c>
      <c r="C24" s="70">
        <v>5</v>
      </c>
      <c r="D24" s="71">
        <v>2025</v>
      </c>
      <c r="E24" s="50">
        <f>IF(ALMYRA!H24&lt;0,"0",ALMYRA!H24)</f>
        <v>0</v>
      </c>
      <c r="F24" s="51" t="e">
        <f>(ALMYRA!C24*0.24)/E24</f>
        <v>#DIV/0!</v>
      </c>
      <c r="G24" s="55">
        <f>ALMYRA!Z24</f>
        <v>0</v>
      </c>
      <c r="H24" s="56">
        <v>0.65800000000000003</v>
      </c>
      <c r="I24" s="59">
        <f>IF(ALMYRA!AB24&lt;0,"0",ALMYRA!AB24)</f>
        <v>0</v>
      </c>
      <c r="J24" s="60">
        <v>2.4</v>
      </c>
      <c r="K24" s="63">
        <f>ALMYRA!U24</f>
        <v>0</v>
      </c>
      <c r="L24" s="64">
        <v>0.88</v>
      </c>
      <c r="M24" s="67">
        <f>ALMYRA!AJ24</f>
        <v>0</v>
      </c>
      <c r="N24" s="67">
        <f>ALMYRA!AK24</f>
        <v>0</v>
      </c>
    </row>
    <row r="25" spans="1:14" ht="15" x14ac:dyDescent="0.25">
      <c r="A25" s="46" t="s">
        <v>13</v>
      </c>
      <c r="B25" s="5">
        <f t="shared" si="0"/>
        <v>24</v>
      </c>
      <c r="C25" s="70">
        <v>5</v>
      </c>
      <c r="D25" s="71">
        <v>2025</v>
      </c>
      <c r="E25" s="50">
        <f>IF(ALMYRA!H25&lt;0,"0",ALMYRA!H25)</f>
        <v>0</v>
      </c>
      <c r="F25" s="51" t="e">
        <f>(ALMYRA!C25*0.24)/E25</f>
        <v>#DIV/0!</v>
      </c>
      <c r="G25" s="55">
        <f>ALMYRA!Z25</f>
        <v>0</v>
      </c>
      <c r="H25" s="56">
        <v>0.65800000000000003</v>
      </c>
      <c r="I25" s="59">
        <f>IF(ALMYRA!AB25&lt;0,"0",ALMYRA!AB25)</f>
        <v>0</v>
      </c>
      <c r="J25" s="60">
        <v>2.4</v>
      </c>
      <c r="K25" s="63">
        <f>ALMYRA!U25</f>
        <v>0</v>
      </c>
      <c r="L25" s="64">
        <v>0.88</v>
      </c>
      <c r="M25" s="67">
        <f>ALMYRA!AJ25</f>
        <v>0</v>
      </c>
      <c r="N25" s="67">
        <f>ALMYRA!AK25</f>
        <v>0</v>
      </c>
    </row>
    <row r="26" spans="1:14" ht="15" x14ac:dyDescent="0.25">
      <c r="A26" s="46" t="s">
        <v>13</v>
      </c>
      <c r="B26" s="5">
        <f>B25+1</f>
        <v>25</v>
      </c>
      <c r="C26" s="70">
        <v>5</v>
      </c>
      <c r="D26" s="71">
        <v>2025</v>
      </c>
      <c r="E26" s="50">
        <f>IF(ALMYRA!H26&lt;0,"0",ALMYRA!H26)</f>
        <v>0</v>
      </c>
      <c r="F26" s="51" t="e">
        <f>(ALMYRA!C26*0.24)/E26</f>
        <v>#DIV/0!</v>
      </c>
      <c r="G26" s="55">
        <f>ALMYRA!Z26</f>
        <v>0</v>
      </c>
      <c r="H26" s="56">
        <v>0.65800000000000003</v>
      </c>
      <c r="I26" s="59">
        <f>IF(ALMYRA!AB26&lt;0,"0",ALMYRA!AB26)</f>
        <v>0</v>
      </c>
      <c r="J26" s="60">
        <v>2.4</v>
      </c>
      <c r="K26" s="63">
        <f>ALMYRA!U26</f>
        <v>0</v>
      </c>
      <c r="L26" s="64">
        <v>0.88</v>
      </c>
      <c r="M26" s="67">
        <f>ALMYRA!AJ26</f>
        <v>0</v>
      </c>
      <c r="N26" s="67">
        <f>ALMYRA!AK26</f>
        <v>0</v>
      </c>
    </row>
    <row r="27" spans="1:14" ht="15" x14ac:dyDescent="0.25">
      <c r="A27" s="46" t="s">
        <v>13</v>
      </c>
      <c r="B27" s="5">
        <f t="shared" si="0"/>
        <v>26</v>
      </c>
      <c r="C27" s="70">
        <v>5</v>
      </c>
      <c r="D27" s="71">
        <v>2025</v>
      </c>
      <c r="E27" s="50">
        <f>IF(ALMYRA!H27&lt;0,"0",ALMYRA!H27)</f>
        <v>0</v>
      </c>
      <c r="F27" s="51" t="e">
        <f>(ALMYRA!C27*0.24)/E27</f>
        <v>#DIV/0!</v>
      </c>
      <c r="G27" s="55">
        <f>ALMYRA!Z27</f>
        <v>0</v>
      </c>
      <c r="H27" s="56">
        <v>0.65800000000000003</v>
      </c>
      <c r="I27" s="59">
        <f>IF(ALMYRA!AB27&lt;0,"0",ALMYRA!AB27)</f>
        <v>0</v>
      </c>
      <c r="J27" s="60">
        <v>2.4</v>
      </c>
      <c r="K27" s="63">
        <f>ALMYRA!U27</f>
        <v>0</v>
      </c>
      <c r="L27" s="64">
        <v>0.88</v>
      </c>
      <c r="M27" s="67">
        <f>ALMYRA!AJ27</f>
        <v>0</v>
      </c>
      <c r="N27" s="67">
        <f>ALMYRA!AK27</f>
        <v>0</v>
      </c>
    </row>
    <row r="28" spans="1:14" ht="15" x14ac:dyDescent="0.25">
      <c r="A28" s="46" t="s">
        <v>13</v>
      </c>
      <c r="B28" s="5">
        <f t="shared" si="0"/>
        <v>27</v>
      </c>
      <c r="C28" s="70">
        <v>5</v>
      </c>
      <c r="D28" s="71">
        <v>2025</v>
      </c>
      <c r="E28" s="50">
        <f>IF(ALMYRA!H28&lt;0,"0",ALMYRA!H28)</f>
        <v>0</v>
      </c>
      <c r="F28" s="51" t="e">
        <f>(ALMYRA!C28*0.24)/E28</f>
        <v>#DIV/0!</v>
      </c>
      <c r="G28" s="55">
        <f>ALMYRA!Z28</f>
        <v>0</v>
      </c>
      <c r="H28" s="56">
        <v>0.65800000000000003</v>
      </c>
      <c r="I28" s="59">
        <f>IF(ALMYRA!AB28&lt;0,"0",ALMYRA!AB28)</f>
        <v>0</v>
      </c>
      <c r="J28" s="60">
        <v>2.4</v>
      </c>
      <c r="K28" s="63">
        <f>ALMYRA!U28</f>
        <v>0</v>
      </c>
      <c r="L28" s="64">
        <v>0.88</v>
      </c>
      <c r="M28" s="67">
        <f>ALMYRA!AJ28</f>
        <v>0</v>
      </c>
      <c r="N28" s="67">
        <f>ALMYRA!AK28</f>
        <v>0</v>
      </c>
    </row>
    <row r="29" spans="1:14" ht="15" x14ac:dyDescent="0.25">
      <c r="A29" s="46" t="s">
        <v>13</v>
      </c>
      <c r="B29" s="5">
        <f t="shared" si="0"/>
        <v>28</v>
      </c>
      <c r="C29" s="70">
        <v>5</v>
      </c>
      <c r="D29" s="71">
        <v>2025</v>
      </c>
      <c r="E29" s="50">
        <f>IF(ALMYRA!H29&lt;0,"0",ALMYRA!H29)</f>
        <v>0</v>
      </c>
      <c r="F29" s="51" t="e">
        <f>(ALMYRA!C29*0.24)/E29</f>
        <v>#DIV/0!</v>
      </c>
      <c r="G29" s="55">
        <f>ALMYRA!Z29</f>
        <v>0</v>
      </c>
      <c r="H29" s="56">
        <v>0.65800000000000003</v>
      </c>
      <c r="I29" s="59">
        <f>IF(ALMYRA!AB29&lt;0,"0",ALMYRA!AB29)</f>
        <v>0</v>
      </c>
      <c r="J29" s="60">
        <v>2.4</v>
      </c>
      <c r="K29" s="63">
        <f>ALMYRA!U29</f>
        <v>0</v>
      </c>
      <c r="L29" s="64">
        <v>0.88</v>
      </c>
      <c r="M29" s="67">
        <f>ALMYRA!AJ29</f>
        <v>0</v>
      </c>
      <c r="N29" s="67">
        <f>ALMYRA!AK29</f>
        <v>0</v>
      </c>
    </row>
    <row r="30" spans="1:14" ht="15" x14ac:dyDescent="0.25">
      <c r="A30" s="46" t="s">
        <v>13</v>
      </c>
      <c r="B30" s="5">
        <f t="shared" si="0"/>
        <v>29</v>
      </c>
      <c r="C30" s="70">
        <v>5</v>
      </c>
      <c r="D30" s="71">
        <v>2025</v>
      </c>
      <c r="E30" s="50">
        <f>IF(ALMYRA!H30&lt;0,"0",ALMYRA!H30)</f>
        <v>0</v>
      </c>
      <c r="F30" s="51" t="e">
        <f>(ALMYRA!C30*0.24)/E30</f>
        <v>#DIV/0!</v>
      </c>
      <c r="G30" s="55">
        <f>ALMYRA!Z30</f>
        <v>0</v>
      </c>
      <c r="H30" s="56">
        <v>0.65800000000000003</v>
      </c>
      <c r="I30" s="59">
        <f>IF(ALMYRA!AB30&lt;0,"0",ALMYRA!AB30)</f>
        <v>0</v>
      </c>
      <c r="J30" s="60">
        <v>2.4</v>
      </c>
      <c r="K30" s="63">
        <f>ALMYRA!U30</f>
        <v>0</v>
      </c>
      <c r="L30" s="64">
        <v>0.88</v>
      </c>
      <c r="M30" s="67">
        <f>ALMYRA!AJ30</f>
        <v>0</v>
      </c>
      <c r="N30" s="67">
        <f>ALMYRA!AK30</f>
        <v>0</v>
      </c>
    </row>
    <row r="31" spans="1:14" ht="15" x14ac:dyDescent="0.25">
      <c r="A31" s="46" t="s">
        <v>13</v>
      </c>
      <c r="B31" s="5">
        <f t="shared" si="0"/>
        <v>30</v>
      </c>
      <c r="C31" s="70">
        <v>5</v>
      </c>
      <c r="D31" s="71">
        <v>2025</v>
      </c>
      <c r="E31" s="50">
        <f>IF(ALMYRA!H30&lt;0,"0",ALMYRA!H30)</f>
        <v>0</v>
      </c>
      <c r="F31" s="51" t="e">
        <f>(ALMYRA!C30*0.24)/E31</f>
        <v>#DIV/0!</v>
      </c>
      <c r="G31" s="55">
        <f>ALMYRA!Z30</f>
        <v>0</v>
      </c>
      <c r="H31" s="56">
        <v>0.65800000000000003</v>
      </c>
      <c r="I31" s="59">
        <f>IF(ALMYRA!AB30&lt;0,"0",ALMYRA!AB30)</f>
        <v>0</v>
      </c>
      <c r="J31" s="60">
        <v>2.4</v>
      </c>
      <c r="K31" s="63">
        <f>ALMYRA!U30</f>
        <v>0</v>
      </c>
      <c r="L31" s="64">
        <v>0.88</v>
      </c>
      <c r="M31" s="67">
        <f>ALMYRA!AJ30</f>
        <v>0</v>
      </c>
      <c r="N31" s="67">
        <f>ALMYRA!AK30</f>
        <v>0</v>
      </c>
    </row>
    <row r="32" spans="1:14" ht="15" x14ac:dyDescent="0.25">
      <c r="A32" s="46" t="s">
        <v>13</v>
      </c>
      <c r="B32" s="5">
        <f t="shared" si="0"/>
        <v>31</v>
      </c>
      <c r="C32" s="70">
        <v>5</v>
      </c>
      <c r="D32" s="71">
        <v>2025</v>
      </c>
      <c r="E32" s="50">
        <f>IF(ALMYRA!H31&lt;0,"0",ALMYRA!H31)</f>
        <v>0</v>
      </c>
      <c r="F32" s="51" t="e">
        <f>(ALMYRA!C31*0.24)/E32</f>
        <v>#DIV/0!</v>
      </c>
      <c r="G32" s="55">
        <f>ALMYRA!Z31</f>
        <v>0</v>
      </c>
      <c r="H32" s="56">
        <v>0.65800000000000003</v>
      </c>
      <c r="I32" s="59">
        <f>IF(ALMYRA!AB31&lt;0,"0",ALMYRA!AB31)</f>
        <v>0</v>
      </c>
      <c r="J32" s="60">
        <v>2.4</v>
      </c>
      <c r="K32" s="63">
        <f>ALMYRA!U31</f>
        <v>0</v>
      </c>
      <c r="L32" s="64">
        <v>0.88</v>
      </c>
      <c r="M32" s="67">
        <f>ALMYRA!AJ31</f>
        <v>0</v>
      </c>
      <c r="N32" s="67">
        <f>ALMYRA!AK31</f>
        <v>0</v>
      </c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D36" s="72"/>
      <c r="E36" s="4"/>
      <c r="F36" s="72"/>
      <c r="G36" s="4"/>
      <c r="H36" s="73"/>
      <c r="I36" s="72"/>
      <c r="J36" s="72"/>
      <c r="K36"/>
      <c r="L36"/>
      <c r="M36" s="72"/>
      <c r="N36" s="72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72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3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Z6" sqref="Z6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45778</v>
      </c>
      <c r="B2" s="8">
        <v>32660731</v>
      </c>
      <c r="C2" s="85">
        <f>B3-B2</f>
        <v>3854</v>
      </c>
      <c r="D2" s="24">
        <v>1233333</v>
      </c>
      <c r="E2" s="85">
        <f>D3-D2</f>
        <v>771</v>
      </c>
      <c r="F2" s="103">
        <v>186878</v>
      </c>
      <c r="G2" s="87">
        <f>F3-F2</f>
        <v>28</v>
      </c>
      <c r="H2" s="94">
        <f>C2+E2-G2</f>
        <v>4597</v>
      </c>
      <c r="I2" s="96">
        <f>H2-K2-M2-O2-Q2</f>
        <v>3639</v>
      </c>
      <c r="J2" s="104">
        <v>4814118.4000000004</v>
      </c>
      <c r="K2" s="90">
        <f>J3-J2</f>
        <v>772</v>
      </c>
      <c r="L2" s="11">
        <v>470733</v>
      </c>
      <c r="M2" s="90">
        <f>L3-L2</f>
        <v>10</v>
      </c>
      <c r="N2" s="11">
        <v>138404.4</v>
      </c>
      <c r="O2" s="90">
        <f>N3-N2</f>
        <v>68</v>
      </c>
      <c r="P2" s="41">
        <v>9246.2000000000098</v>
      </c>
      <c r="Q2" s="91">
        <f>P3-P2</f>
        <v>108</v>
      </c>
      <c r="R2" s="16">
        <f>A2</f>
        <v>45778</v>
      </c>
      <c r="S2" s="112">
        <v>5869</v>
      </c>
      <c r="T2" s="106"/>
      <c r="U2" s="89">
        <f>S2+T2-S3</f>
        <v>199</v>
      </c>
      <c r="V2" s="13">
        <v>0.7</v>
      </c>
      <c r="W2" s="30">
        <v>0.68</v>
      </c>
      <c r="X2" s="29">
        <f t="shared" ref="X2:X33" si="0">(V2*2500)+(W2*2500)</f>
        <v>3450</v>
      </c>
      <c r="Y2" s="102"/>
      <c r="Z2" s="89">
        <f>X2+Y2-X3</f>
        <v>125</v>
      </c>
      <c r="AA2" s="33">
        <v>115940</v>
      </c>
      <c r="AB2" s="89">
        <f>AA3-AA2</f>
        <v>55</v>
      </c>
      <c r="AC2" s="33">
        <v>1768.1</v>
      </c>
      <c r="AD2" s="89">
        <f>AC3-AC2</f>
        <v>5.2000000000000455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>
        <v>102</v>
      </c>
      <c r="AK2" s="14">
        <v>187</v>
      </c>
    </row>
    <row r="3" spans="1:37" x14ac:dyDescent="0.2">
      <c r="A3" s="17">
        <f t="shared" ref="A3:A33" si="1">A2+1</f>
        <v>45779</v>
      </c>
      <c r="B3" s="8">
        <v>32664585</v>
      </c>
      <c r="C3" s="86">
        <f>B4-B3</f>
        <v>3530</v>
      </c>
      <c r="D3" s="24">
        <v>1234104</v>
      </c>
      <c r="E3" s="86">
        <f>D4-D3</f>
        <v>1262</v>
      </c>
      <c r="F3" s="24">
        <v>186906</v>
      </c>
      <c r="G3" s="107">
        <f>F4-F3</f>
        <v>74</v>
      </c>
      <c r="H3" s="95">
        <f t="shared" ref="H3:H32" si="2">C3+E3-G3</f>
        <v>4718</v>
      </c>
      <c r="I3" s="97">
        <f t="shared" ref="I3:I32" si="3">H3-K3-M3-O3-Q3</f>
        <v>3706.4000000003725</v>
      </c>
      <c r="J3" s="41">
        <v>4814890.4000000004</v>
      </c>
      <c r="K3" s="108">
        <f>J4-J3</f>
        <v>825.59999999962747</v>
      </c>
      <c r="L3" s="11">
        <v>470743</v>
      </c>
      <c r="M3" s="108">
        <f>L4-L3</f>
        <v>10</v>
      </c>
      <c r="N3" s="11">
        <v>138472.4</v>
      </c>
      <c r="O3" s="108">
        <f>N4-N3</f>
        <v>68</v>
      </c>
      <c r="P3" s="41">
        <v>9354.2000000000098</v>
      </c>
      <c r="Q3" s="109">
        <f>P4-P3</f>
        <v>108</v>
      </c>
      <c r="R3" s="17">
        <f>A3</f>
        <v>45779</v>
      </c>
      <c r="S3" s="105">
        <v>5670</v>
      </c>
      <c r="T3" s="110"/>
      <c r="U3" s="111">
        <f>S3+T3-S4</f>
        <v>99</v>
      </c>
      <c r="V3" s="13">
        <v>0.68</v>
      </c>
      <c r="W3" s="30">
        <v>0.65</v>
      </c>
      <c r="X3" s="31">
        <f t="shared" si="0"/>
        <v>3325</v>
      </c>
      <c r="Y3" s="102"/>
      <c r="Z3" s="101">
        <f t="shared" ref="Z3:Z31" si="4">X3+Y3-X4</f>
        <v>350</v>
      </c>
      <c r="AA3" s="33">
        <v>115995</v>
      </c>
      <c r="AB3" s="111">
        <f>AA4-AA3</f>
        <v>94</v>
      </c>
      <c r="AC3" s="33">
        <v>1773.3</v>
      </c>
      <c r="AD3" s="111">
        <f>AC4-AC3</f>
        <v>18.799999999999955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5">AG4+AH3-AG3</f>
        <v>0</v>
      </c>
      <c r="AJ3" s="10">
        <v>107</v>
      </c>
      <c r="AK3" s="15">
        <v>194</v>
      </c>
    </row>
    <row r="4" spans="1:37" x14ac:dyDescent="0.2">
      <c r="A4" s="17">
        <f t="shared" si="1"/>
        <v>45780</v>
      </c>
      <c r="B4" s="8">
        <v>32668115</v>
      </c>
      <c r="C4" s="86">
        <f t="shared" ref="C4:C31" si="6">B5-B4</f>
        <v>2950</v>
      </c>
      <c r="D4" s="24">
        <v>1235366</v>
      </c>
      <c r="E4" s="86">
        <f t="shared" ref="E4:E31" si="7">D5-D4</f>
        <v>1954</v>
      </c>
      <c r="F4" s="24">
        <v>186980</v>
      </c>
      <c r="G4" s="107">
        <f t="shared" ref="G4:G31" si="8">F5-F4</f>
        <v>317</v>
      </c>
      <c r="H4" s="95">
        <f t="shared" si="2"/>
        <v>4587</v>
      </c>
      <c r="I4" s="97">
        <f t="shared" si="3"/>
        <v>3595.7999999998137</v>
      </c>
      <c r="J4" s="41">
        <v>4815716</v>
      </c>
      <c r="K4" s="108">
        <f t="shared" ref="K4:K31" si="9">J5-J4</f>
        <v>805.20000000018626</v>
      </c>
      <c r="L4" s="11">
        <v>470753</v>
      </c>
      <c r="M4" s="108">
        <f t="shared" ref="M4:M31" si="10">L5-L4</f>
        <v>10</v>
      </c>
      <c r="N4" s="11">
        <v>138540.4</v>
      </c>
      <c r="O4" s="108">
        <f t="shared" ref="O4:O31" si="11">N5-N4</f>
        <v>68</v>
      </c>
      <c r="P4" s="41">
        <v>9462.2000000000098</v>
      </c>
      <c r="Q4" s="109">
        <f t="shared" ref="Q4:Q31" si="12">P5-P4</f>
        <v>108</v>
      </c>
      <c r="R4" s="17">
        <f t="shared" ref="R4:R32" si="13">A4</f>
        <v>45780</v>
      </c>
      <c r="S4" s="105">
        <v>5571</v>
      </c>
      <c r="T4" s="110"/>
      <c r="U4" s="111">
        <f t="shared" ref="U4:U31" si="14">S4+T4-S5</f>
        <v>198</v>
      </c>
      <c r="V4" s="13">
        <v>0.59</v>
      </c>
      <c r="W4" s="30">
        <v>0.6</v>
      </c>
      <c r="X4" s="31">
        <f t="shared" si="0"/>
        <v>2975</v>
      </c>
      <c r="Y4" s="102"/>
      <c r="Z4" s="101">
        <f t="shared" si="4"/>
        <v>200</v>
      </c>
      <c r="AA4" s="33">
        <v>116089</v>
      </c>
      <c r="AB4" s="111">
        <f t="shared" ref="AB4:AB31" si="15">AA5-AA4</f>
        <v>48</v>
      </c>
      <c r="AC4" s="33">
        <v>1792.1</v>
      </c>
      <c r="AD4" s="111">
        <f t="shared" ref="AD4:AD31" si="16">AC5-AC4</f>
        <v>3.7000000000000455</v>
      </c>
      <c r="AE4" s="35">
        <v>73027</v>
      </c>
      <c r="AF4" s="111">
        <f t="shared" ref="AF4:AF32" si="17">AE5-AE4</f>
        <v>0</v>
      </c>
      <c r="AG4" s="38">
        <v>3100</v>
      </c>
      <c r="AH4" s="81">
        <v>0</v>
      </c>
      <c r="AI4" s="101">
        <f t="shared" si="5"/>
        <v>0</v>
      </c>
      <c r="AJ4" s="10">
        <v>122</v>
      </c>
      <c r="AK4" s="15">
        <v>217</v>
      </c>
    </row>
    <row r="5" spans="1:37" x14ac:dyDescent="0.2">
      <c r="A5" s="17">
        <f t="shared" si="1"/>
        <v>45781</v>
      </c>
      <c r="B5" s="8">
        <v>32671065</v>
      </c>
      <c r="C5" s="86">
        <f t="shared" si="6"/>
        <v>2600</v>
      </c>
      <c r="D5" s="24">
        <v>1237320</v>
      </c>
      <c r="E5" s="86">
        <f t="shared" si="7"/>
        <v>2593</v>
      </c>
      <c r="F5" s="24">
        <v>187297</v>
      </c>
      <c r="G5" s="107">
        <f t="shared" si="8"/>
        <v>485</v>
      </c>
      <c r="H5" s="95">
        <f t="shared" si="2"/>
        <v>4708</v>
      </c>
      <c r="I5" s="97">
        <f t="shared" si="3"/>
        <v>3754</v>
      </c>
      <c r="J5" s="41">
        <v>4816521.2</v>
      </c>
      <c r="K5" s="108">
        <f t="shared" si="9"/>
        <v>768</v>
      </c>
      <c r="L5" s="11">
        <v>470763</v>
      </c>
      <c r="M5" s="108">
        <f t="shared" si="10"/>
        <v>10</v>
      </c>
      <c r="N5" s="11">
        <v>138608.4</v>
      </c>
      <c r="O5" s="108">
        <f t="shared" si="11"/>
        <v>68</v>
      </c>
      <c r="P5" s="41">
        <v>9570.2000000000098</v>
      </c>
      <c r="Q5" s="109">
        <f t="shared" si="12"/>
        <v>108</v>
      </c>
      <c r="R5" s="17">
        <f t="shared" si="13"/>
        <v>45781</v>
      </c>
      <c r="S5" s="105">
        <v>5373</v>
      </c>
      <c r="T5" s="110"/>
      <c r="U5" s="111">
        <f t="shared" si="14"/>
        <v>98</v>
      </c>
      <c r="V5" s="13">
        <v>0.55000000000000004</v>
      </c>
      <c r="W5" s="30">
        <v>0.56000000000000005</v>
      </c>
      <c r="X5" s="31">
        <f t="shared" si="0"/>
        <v>2775</v>
      </c>
      <c r="Y5" s="102"/>
      <c r="Z5" s="101">
        <f t="shared" si="4"/>
        <v>225</v>
      </c>
      <c r="AA5" s="33">
        <v>116137</v>
      </c>
      <c r="AB5" s="111">
        <f t="shared" si="15"/>
        <v>61</v>
      </c>
      <c r="AC5" s="33">
        <v>1795.8</v>
      </c>
      <c r="AD5" s="111">
        <f t="shared" si="16"/>
        <v>5.9000000000000909</v>
      </c>
      <c r="AE5" s="35">
        <v>73027</v>
      </c>
      <c r="AF5" s="111">
        <f t="shared" si="17"/>
        <v>0</v>
      </c>
      <c r="AG5" s="38">
        <v>3100</v>
      </c>
      <c r="AH5" s="81">
        <v>0</v>
      </c>
      <c r="AI5" s="101">
        <f t="shared" si="5"/>
        <v>0</v>
      </c>
      <c r="AJ5" s="10">
        <v>103</v>
      </c>
      <c r="AK5" s="15">
        <v>189</v>
      </c>
    </row>
    <row r="6" spans="1:37" x14ac:dyDescent="0.2">
      <c r="A6" s="17">
        <f t="shared" si="1"/>
        <v>45782</v>
      </c>
      <c r="B6" s="8">
        <v>32673665</v>
      </c>
      <c r="C6" s="86"/>
      <c r="D6" s="24">
        <v>1239913</v>
      </c>
      <c r="E6" s="86"/>
      <c r="F6" s="24">
        <v>187782</v>
      </c>
      <c r="G6" s="107"/>
      <c r="H6" s="95">
        <f t="shared" si="2"/>
        <v>0</v>
      </c>
      <c r="I6" s="97">
        <f t="shared" si="3"/>
        <v>0</v>
      </c>
      <c r="J6" s="41">
        <v>4817289.2</v>
      </c>
      <c r="K6" s="108"/>
      <c r="L6" s="11">
        <v>470773</v>
      </c>
      <c r="M6" s="108"/>
      <c r="N6" s="11">
        <v>138676.4</v>
      </c>
      <c r="O6" s="108"/>
      <c r="P6" s="41">
        <v>9678.2000000000098</v>
      </c>
      <c r="Q6" s="109"/>
      <c r="R6" s="17">
        <f t="shared" si="13"/>
        <v>45782</v>
      </c>
      <c r="S6" s="105">
        <v>5275</v>
      </c>
      <c r="T6" s="110"/>
      <c r="U6" s="111"/>
      <c r="V6" s="13">
        <v>0.51</v>
      </c>
      <c r="W6" s="30">
        <v>0.51</v>
      </c>
      <c r="X6" s="31">
        <f t="shared" si="0"/>
        <v>2550</v>
      </c>
      <c r="Y6" s="102"/>
      <c r="Z6" s="101"/>
      <c r="AA6" s="33">
        <v>116198</v>
      </c>
      <c r="AB6" s="111"/>
      <c r="AC6" s="33">
        <v>1801.7</v>
      </c>
      <c r="AD6" s="111"/>
      <c r="AE6" s="35">
        <v>73027</v>
      </c>
      <c r="AF6" s="111">
        <f t="shared" si="17"/>
        <v>0</v>
      </c>
      <c r="AG6" s="38">
        <v>3100</v>
      </c>
      <c r="AH6" s="81">
        <v>0</v>
      </c>
      <c r="AI6" s="101">
        <f t="shared" si="5"/>
        <v>0</v>
      </c>
      <c r="AJ6" s="10"/>
      <c r="AK6" s="15"/>
    </row>
    <row r="7" spans="1:37" x14ac:dyDescent="0.2">
      <c r="A7" s="17">
        <f t="shared" si="1"/>
        <v>45783</v>
      </c>
      <c r="B7" s="8"/>
      <c r="C7" s="86"/>
      <c r="D7" s="24"/>
      <c r="E7" s="86"/>
      <c r="F7" s="24"/>
      <c r="G7" s="107"/>
      <c r="H7" s="95">
        <f t="shared" si="2"/>
        <v>0</v>
      </c>
      <c r="I7" s="97">
        <f t="shared" si="3"/>
        <v>0</v>
      </c>
      <c r="J7" s="41"/>
      <c r="K7" s="108"/>
      <c r="L7" s="11"/>
      <c r="M7" s="108"/>
      <c r="N7" s="11"/>
      <c r="O7" s="108"/>
      <c r="P7" s="41"/>
      <c r="Q7" s="109"/>
      <c r="R7" s="17">
        <f t="shared" si="13"/>
        <v>45783</v>
      </c>
      <c r="S7" s="105"/>
      <c r="T7" s="110"/>
      <c r="U7" s="111"/>
      <c r="V7" s="13"/>
      <c r="W7" s="30"/>
      <c r="X7" s="31">
        <f t="shared" si="0"/>
        <v>0</v>
      </c>
      <c r="Y7" s="102"/>
      <c r="Z7" s="101"/>
      <c r="AA7" s="33"/>
      <c r="AB7" s="111"/>
      <c r="AC7" s="33"/>
      <c r="AD7" s="111"/>
      <c r="AE7" s="35">
        <v>73027</v>
      </c>
      <c r="AF7" s="111">
        <f t="shared" si="17"/>
        <v>0</v>
      </c>
      <c r="AG7" s="38">
        <v>3100</v>
      </c>
      <c r="AH7" s="81">
        <v>0</v>
      </c>
      <c r="AI7" s="101">
        <f t="shared" si="5"/>
        <v>0</v>
      </c>
      <c r="AJ7" s="10"/>
      <c r="AK7" s="15"/>
    </row>
    <row r="8" spans="1:37" x14ac:dyDescent="0.2">
      <c r="A8" s="17">
        <f t="shared" si="1"/>
        <v>45784</v>
      </c>
      <c r="B8" s="8"/>
      <c r="C8" s="86"/>
      <c r="D8" s="24"/>
      <c r="E8" s="86"/>
      <c r="F8" s="24"/>
      <c r="G8" s="107"/>
      <c r="H8" s="95">
        <f t="shared" si="2"/>
        <v>0</v>
      </c>
      <c r="I8" s="97">
        <f t="shared" si="3"/>
        <v>0</v>
      </c>
      <c r="J8" s="41"/>
      <c r="K8" s="108"/>
      <c r="L8" s="11"/>
      <c r="M8" s="108"/>
      <c r="N8" s="11"/>
      <c r="O8" s="108"/>
      <c r="P8" s="41"/>
      <c r="Q8" s="109"/>
      <c r="R8" s="17">
        <f t="shared" si="13"/>
        <v>45784</v>
      </c>
      <c r="S8" s="105"/>
      <c r="T8" s="110"/>
      <c r="U8" s="111"/>
      <c r="V8" s="13"/>
      <c r="W8" s="30"/>
      <c r="X8" s="31">
        <f t="shared" si="0"/>
        <v>0</v>
      </c>
      <c r="Y8" s="102"/>
      <c r="Z8" s="101"/>
      <c r="AA8" s="33"/>
      <c r="AB8" s="111"/>
      <c r="AC8" s="33"/>
      <c r="AD8" s="111"/>
      <c r="AE8" s="35">
        <v>73027</v>
      </c>
      <c r="AF8" s="111">
        <f t="shared" si="17"/>
        <v>0</v>
      </c>
      <c r="AG8" s="38">
        <v>3100</v>
      </c>
      <c r="AH8" s="81">
        <v>0</v>
      </c>
      <c r="AI8" s="101">
        <f t="shared" si="5"/>
        <v>0</v>
      </c>
      <c r="AJ8" s="10"/>
      <c r="AK8" s="15"/>
    </row>
    <row r="9" spans="1:37" x14ac:dyDescent="0.2">
      <c r="A9" s="17">
        <f t="shared" si="1"/>
        <v>45785</v>
      </c>
      <c r="B9" s="8"/>
      <c r="C9" s="86"/>
      <c r="D9" s="24"/>
      <c r="E9" s="86"/>
      <c r="F9" s="24"/>
      <c r="G9" s="107"/>
      <c r="H9" s="95">
        <f t="shared" si="2"/>
        <v>0</v>
      </c>
      <c r="I9" s="97">
        <f t="shared" si="3"/>
        <v>0</v>
      </c>
      <c r="J9" s="41"/>
      <c r="K9" s="108"/>
      <c r="L9" s="11"/>
      <c r="M9" s="108"/>
      <c r="N9" s="11"/>
      <c r="O9" s="108"/>
      <c r="P9" s="41"/>
      <c r="Q9" s="109"/>
      <c r="R9" s="17">
        <f t="shared" si="13"/>
        <v>45785</v>
      </c>
      <c r="S9" s="105"/>
      <c r="T9" s="110"/>
      <c r="U9" s="111"/>
      <c r="V9" s="13"/>
      <c r="W9" s="30"/>
      <c r="X9" s="31">
        <f t="shared" si="0"/>
        <v>0</v>
      </c>
      <c r="Y9" s="102"/>
      <c r="Z9" s="101"/>
      <c r="AA9" s="33"/>
      <c r="AB9" s="111"/>
      <c r="AC9" s="33"/>
      <c r="AD9" s="111"/>
      <c r="AE9" s="35">
        <v>73027</v>
      </c>
      <c r="AF9" s="111">
        <f t="shared" si="17"/>
        <v>0</v>
      </c>
      <c r="AG9" s="38">
        <v>3100</v>
      </c>
      <c r="AH9" s="81">
        <v>0</v>
      </c>
      <c r="AI9" s="101">
        <f t="shared" si="5"/>
        <v>0</v>
      </c>
      <c r="AJ9" s="10"/>
      <c r="AK9" s="15"/>
    </row>
    <row r="10" spans="1:37" x14ac:dyDescent="0.2">
      <c r="A10" s="17">
        <f t="shared" si="1"/>
        <v>45786</v>
      </c>
      <c r="B10" s="8"/>
      <c r="C10" s="86"/>
      <c r="D10" s="24"/>
      <c r="E10" s="86"/>
      <c r="F10" s="24"/>
      <c r="G10" s="107"/>
      <c r="H10" s="95">
        <f t="shared" si="2"/>
        <v>0</v>
      </c>
      <c r="I10" s="97">
        <f t="shared" si="3"/>
        <v>0</v>
      </c>
      <c r="J10" s="41"/>
      <c r="K10" s="108"/>
      <c r="L10" s="11"/>
      <c r="M10" s="108"/>
      <c r="N10" s="11"/>
      <c r="O10" s="108"/>
      <c r="P10" s="41"/>
      <c r="Q10" s="109"/>
      <c r="R10" s="17">
        <f t="shared" si="13"/>
        <v>45786</v>
      </c>
      <c r="S10" s="105"/>
      <c r="T10" s="110"/>
      <c r="U10" s="111"/>
      <c r="V10" s="13"/>
      <c r="W10" s="30"/>
      <c r="X10" s="31">
        <f t="shared" si="0"/>
        <v>0</v>
      </c>
      <c r="Y10" s="102"/>
      <c r="Z10" s="101"/>
      <c r="AA10" s="33"/>
      <c r="AB10" s="111"/>
      <c r="AC10" s="33"/>
      <c r="AD10" s="111"/>
      <c r="AE10" s="35">
        <v>73027</v>
      </c>
      <c r="AF10" s="111">
        <f t="shared" si="17"/>
        <v>0</v>
      </c>
      <c r="AG10" s="38">
        <v>3100</v>
      </c>
      <c r="AH10" s="81">
        <v>0</v>
      </c>
      <c r="AI10" s="101">
        <f t="shared" si="5"/>
        <v>0</v>
      </c>
      <c r="AJ10" s="10"/>
      <c r="AK10" s="15"/>
    </row>
    <row r="11" spans="1:37" x14ac:dyDescent="0.2">
      <c r="A11" s="17">
        <f t="shared" si="1"/>
        <v>45787</v>
      </c>
      <c r="B11" s="8"/>
      <c r="C11" s="86"/>
      <c r="D11" s="24"/>
      <c r="E11" s="86"/>
      <c r="F11" s="24"/>
      <c r="G11" s="107"/>
      <c r="H11" s="95">
        <f t="shared" si="2"/>
        <v>0</v>
      </c>
      <c r="I11" s="97">
        <f t="shared" si="3"/>
        <v>0</v>
      </c>
      <c r="J11" s="41"/>
      <c r="K11" s="108"/>
      <c r="L11" s="11"/>
      <c r="M11" s="108"/>
      <c r="N11" s="11"/>
      <c r="O11" s="108"/>
      <c r="P11" s="41"/>
      <c r="Q11" s="109"/>
      <c r="R11" s="17">
        <f t="shared" si="13"/>
        <v>45787</v>
      </c>
      <c r="S11" s="105"/>
      <c r="T11" s="110"/>
      <c r="U11" s="111"/>
      <c r="V11" s="13"/>
      <c r="W11" s="30"/>
      <c r="X11" s="31">
        <f t="shared" si="0"/>
        <v>0</v>
      </c>
      <c r="Y11" s="102"/>
      <c r="Z11" s="101"/>
      <c r="AA11" s="33"/>
      <c r="AB11" s="111"/>
      <c r="AC11" s="33"/>
      <c r="AD11" s="111"/>
      <c r="AE11" s="35">
        <v>73027</v>
      </c>
      <c r="AF11" s="111">
        <f t="shared" si="17"/>
        <v>0</v>
      </c>
      <c r="AG11" s="38">
        <v>3100</v>
      </c>
      <c r="AH11" s="81">
        <v>0</v>
      </c>
      <c r="AI11" s="101">
        <f t="shared" si="5"/>
        <v>0</v>
      </c>
      <c r="AJ11" s="10"/>
      <c r="AK11" s="15"/>
    </row>
    <row r="12" spans="1:37" x14ac:dyDescent="0.2">
      <c r="A12" s="17">
        <f t="shared" si="1"/>
        <v>45788</v>
      </c>
      <c r="B12" s="8"/>
      <c r="C12" s="86"/>
      <c r="D12" s="24"/>
      <c r="E12" s="86"/>
      <c r="F12" s="24"/>
      <c r="G12" s="107"/>
      <c r="H12" s="95">
        <f t="shared" si="2"/>
        <v>0</v>
      </c>
      <c r="I12" s="97">
        <f t="shared" si="3"/>
        <v>0</v>
      </c>
      <c r="J12" s="41"/>
      <c r="K12" s="108"/>
      <c r="L12" s="11"/>
      <c r="M12" s="108"/>
      <c r="N12" s="11"/>
      <c r="O12" s="108"/>
      <c r="P12" s="41"/>
      <c r="Q12" s="109"/>
      <c r="R12" s="17">
        <f t="shared" si="13"/>
        <v>45788</v>
      </c>
      <c r="S12" s="105"/>
      <c r="T12" s="110"/>
      <c r="U12" s="111"/>
      <c r="V12" s="13"/>
      <c r="W12" s="30"/>
      <c r="X12" s="31">
        <f t="shared" si="0"/>
        <v>0</v>
      </c>
      <c r="Y12" s="102"/>
      <c r="Z12" s="101"/>
      <c r="AA12" s="33"/>
      <c r="AB12" s="111"/>
      <c r="AC12" s="33"/>
      <c r="AD12" s="111"/>
      <c r="AE12" s="35">
        <v>73027</v>
      </c>
      <c r="AF12" s="111">
        <f t="shared" si="17"/>
        <v>0</v>
      </c>
      <c r="AG12" s="38">
        <v>3100</v>
      </c>
      <c r="AH12" s="81">
        <v>0</v>
      </c>
      <c r="AI12" s="101">
        <f t="shared" si="5"/>
        <v>0</v>
      </c>
      <c r="AJ12" s="10"/>
      <c r="AK12" s="15"/>
    </row>
    <row r="13" spans="1:37" x14ac:dyDescent="0.2">
      <c r="A13" s="17">
        <f t="shared" si="1"/>
        <v>45789</v>
      </c>
      <c r="B13" s="8"/>
      <c r="C13" s="86"/>
      <c r="D13" s="24"/>
      <c r="E13" s="86"/>
      <c r="F13" s="24"/>
      <c r="G13" s="107"/>
      <c r="H13" s="95">
        <f t="shared" si="2"/>
        <v>0</v>
      </c>
      <c r="I13" s="97">
        <f t="shared" si="3"/>
        <v>0</v>
      </c>
      <c r="J13" s="41"/>
      <c r="K13" s="108"/>
      <c r="L13" s="11"/>
      <c r="M13" s="108"/>
      <c r="N13" s="11"/>
      <c r="O13" s="108"/>
      <c r="P13" s="41"/>
      <c r="Q13" s="109"/>
      <c r="R13" s="17">
        <f t="shared" si="13"/>
        <v>45789</v>
      </c>
      <c r="S13" s="105"/>
      <c r="T13" s="110"/>
      <c r="U13" s="111"/>
      <c r="V13" s="13"/>
      <c r="W13" s="30"/>
      <c r="X13" s="31">
        <f t="shared" si="0"/>
        <v>0</v>
      </c>
      <c r="Y13" s="102"/>
      <c r="Z13" s="101"/>
      <c r="AA13" s="33"/>
      <c r="AB13" s="111"/>
      <c r="AC13" s="33"/>
      <c r="AD13" s="111"/>
      <c r="AE13" s="35">
        <v>73027</v>
      </c>
      <c r="AF13" s="111">
        <f t="shared" si="17"/>
        <v>0</v>
      </c>
      <c r="AG13" s="38">
        <v>3100</v>
      </c>
      <c r="AH13" s="81">
        <v>0</v>
      </c>
      <c r="AI13" s="101">
        <f t="shared" si="5"/>
        <v>0</v>
      </c>
      <c r="AJ13" s="10"/>
      <c r="AK13" s="15"/>
    </row>
    <row r="14" spans="1:37" x14ac:dyDescent="0.2">
      <c r="A14" s="17">
        <f t="shared" si="1"/>
        <v>45790</v>
      </c>
      <c r="B14" s="8"/>
      <c r="C14" s="86"/>
      <c r="D14" s="24"/>
      <c r="E14" s="86"/>
      <c r="F14" s="24"/>
      <c r="G14" s="107"/>
      <c r="H14" s="95">
        <f t="shared" si="2"/>
        <v>0</v>
      </c>
      <c r="I14" s="97">
        <f t="shared" si="3"/>
        <v>0</v>
      </c>
      <c r="J14" s="41"/>
      <c r="K14" s="108"/>
      <c r="L14" s="11"/>
      <c r="M14" s="108"/>
      <c r="N14" s="11"/>
      <c r="O14" s="108"/>
      <c r="P14" s="41"/>
      <c r="Q14" s="109"/>
      <c r="R14" s="17">
        <f t="shared" si="13"/>
        <v>45790</v>
      </c>
      <c r="S14" s="105"/>
      <c r="T14" s="110"/>
      <c r="U14" s="111"/>
      <c r="V14" s="13"/>
      <c r="W14" s="30"/>
      <c r="X14" s="31">
        <f t="shared" si="0"/>
        <v>0</v>
      </c>
      <c r="Y14" s="102"/>
      <c r="Z14" s="101"/>
      <c r="AA14" s="33"/>
      <c r="AB14" s="111"/>
      <c r="AC14" s="33"/>
      <c r="AD14" s="111"/>
      <c r="AE14" s="35">
        <v>73027</v>
      </c>
      <c r="AF14" s="111">
        <f t="shared" si="17"/>
        <v>0</v>
      </c>
      <c r="AG14" s="38">
        <v>3100</v>
      </c>
      <c r="AH14" s="81">
        <v>0</v>
      </c>
      <c r="AI14" s="101">
        <f t="shared" si="5"/>
        <v>0</v>
      </c>
      <c r="AJ14" s="10"/>
      <c r="AK14" s="15"/>
    </row>
    <row r="15" spans="1:37" x14ac:dyDescent="0.2">
      <c r="A15" s="17">
        <f t="shared" si="1"/>
        <v>45791</v>
      </c>
      <c r="B15" s="8"/>
      <c r="C15" s="86"/>
      <c r="D15" s="24"/>
      <c r="E15" s="86"/>
      <c r="F15" s="24"/>
      <c r="G15" s="107"/>
      <c r="H15" s="95">
        <f t="shared" si="2"/>
        <v>0</v>
      </c>
      <c r="I15" s="97">
        <f t="shared" si="3"/>
        <v>0</v>
      </c>
      <c r="J15" s="41"/>
      <c r="K15" s="108"/>
      <c r="L15" s="11"/>
      <c r="M15" s="108"/>
      <c r="N15" s="11"/>
      <c r="O15" s="108"/>
      <c r="P15" s="41"/>
      <c r="Q15" s="109"/>
      <c r="R15" s="17">
        <f t="shared" si="13"/>
        <v>45791</v>
      </c>
      <c r="S15" s="105"/>
      <c r="T15" s="110"/>
      <c r="U15" s="111"/>
      <c r="V15" s="13"/>
      <c r="W15" s="30"/>
      <c r="X15" s="31">
        <f t="shared" si="0"/>
        <v>0</v>
      </c>
      <c r="Y15" s="102"/>
      <c r="Z15" s="101"/>
      <c r="AA15" s="33"/>
      <c r="AB15" s="111"/>
      <c r="AC15" s="33"/>
      <c r="AD15" s="111"/>
      <c r="AE15" s="35">
        <v>73027</v>
      </c>
      <c r="AF15" s="111">
        <f t="shared" si="17"/>
        <v>0</v>
      </c>
      <c r="AG15" s="38">
        <v>3100</v>
      </c>
      <c r="AH15" s="81">
        <v>0</v>
      </c>
      <c r="AI15" s="101">
        <f t="shared" si="5"/>
        <v>0</v>
      </c>
      <c r="AJ15" s="10"/>
      <c r="AK15" s="15"/>
    </row>
    <row r="16" spans="1:37" x14ac:dyDescent="0.2">
      <c r="A16" s="17">
        <f t="shared" si="1"/>
        <v>45792</v>
      </c>
      <c r="B16" s="8"/>
      <c r="C16" s="86"/>
      <c r="D16" s="24"/>
      <c r="E16" s="86"/>
      <c r="F16" s="24"/>
      <c r="G16" s="107"/>
      <c r="H16" s="95">
        <f t="shared" si="2"/>
        <v>0</v>
      </c>
      <c r="I16" s="97">
        <f t="shared" si="3"/>
        <v>0</v>
      </c>
      <c r="J16" s="41"/>
      <c r="K16" s="108"/>
      <c r="L16" s="11"/>
      <c r="M16" s="108"/>
      <c r="N16" s="11"/>
      <c r="O16" s="108"/>
      <c r="P16" s="41"/>
      <c r="Q16" s="109"/>
      <c r="R16" s="17">
        <f t="shared" si="13"/>
        <v>45792</v>
      </c>
      <c r="S16" s="105"/>
      <c r="T16" s="110"/>
      <c r="U16" s="111"/>
      <c r="V16" s="13"/>
      <c r="W16" s="30"/>
      <c r="X16" s="31">
        <f t="shared" si="0"/>
        <v>0</v>
      </c>
      <c r="Y16" s="102"/>
      <c r="Z16" s="101"/>
      <c r="AA16" s="33"/>
      <c r="AB16" s="111"/>
      <c r="AC16" s="33"/>
      <c r="AD16" s="111"/>
      <c r="AE16" s="35">
        <v>73027</v>
      </c>
      <c r="AF16" s="111">
        <f t="shared" si="17"/>
        <v>0</v>
      </c>
      <c r="AG16" s="38">
        <v>3100</v>
      </c>
      <c r="AH16" s="81">
        <v>0</v>
      </c>
      <c r="AI16" s="101">
        <f t="shared" si="5"/>
        <v>0</v>
      </c>
      <c r="AJ16" s="10"/>
      <c r="AK16" s="15"/>
    </row>
    <row r="17" spans="1:37" x14ac:dyDescent="0.2">
      <c r="A17" s="17">
        <f t="shared" si="1"/>
        <v>45793</v>
      </c>
      <c r="B17" s="8"/>
      <c r="C17" s="86"/>
      <c r="D17" s="24"/>
      <c r="E17" s="86"/>
      <c r="F17" s="24"/>
      <c r="G17" s="107"/>
      <c r="H17" s="95">
        <f t="shared" si="2"/>
        <v>0</v>
      </c>
      <c r="I17" s="97">
        <f t="shared" si="3"/>
        <v>0</v>
      </c>
      <c r="J17" s="41"/>
      <c r="K17" s="108"/>
      <c r="L17" s="11"/>
      <c r="M17" s="108"/>
      <c r="N17" s="11"/>
      <c r="O17" s="108"/>
      <c r="P17" s="41"/>
      <c r="Q17" s="109"/>
      <c r="R17" s="17">
        <f t="shared" si="13"/>
        <v>45793</v>
      </c>
      <c r="S17" s="105"/>
      <c r="T17" s="110"/>
      <c r="U17" s="111"/>
      <c r="V17" s="13"/>
      <c r="W17" s="30"/>
      <c r="X17" s="31">
        <f t="shared" si="0"/>
        <v>0</v>
      </c>
      <c r="Y17" s="102"/>
      <c r="Z17" s="101"/>
      <c r="AA17" s="33"/>
      <c r="AB17" s="111"/>
      <c r="AC17" s="33"/>
      <c r="AD17" s="111"/>
      <c r="AE17" s="35">
        <v>73027</v>
      </c>
      <c r="AF17" s="111">
        <f t="shared" si="17"/>
        <v>0</v>
      </c>
      <c r="AG17" s="38">
        <v>3100</v>
      </c>
      <c r="AH17" s="81">
        <v>0</v>
      </c>
      <c r="AI17" s="101">
        <f t="shared" si="5"/>
        <v>0</v>
      </c>
      <c r="AJ17" s="10"/>
      <c r="AK17" s="15"/>
    </row>
    <row r="18" spans="1:37" x14ac:dyDescent="0.2">
      <c r="A18" s="17">
        <f t="shared" si="1"/>
        <v>45794</v>
      </c>
      <c r="B18" s="8"/>
      <c r="C18" s="86"/>
      <c r="D18" s="24"/>
      <c r="E18" s="86"/>
      <c r="F18" s="24"/>
      <c r="G18" s="107"/>
      <c r="H18" s="95">
        <f t="shared" si="2"/>
        <v>0</v>
      </c>
      <c r="I18" s="97">
        <f t="shared" si="3"/>
        <v>0</v>
      </c>
      <c r="J18" s="41"/>
      <c r="K18" s="108"/>
      <c r="L18" s="11"/>
      <c r="M18" s="108"/>
      <c r="N18" s="11"/>
      <c r="O18" s="108"/>
      <c r="P18" s="41"/>
      <c r="Q18" s="109"/>
      <c r="R18" s="17">
        <f t="shared" si="13"/>
        <v>45794</v>
      </c>
      <c r="S18" s="105"/>
      <c r="T18" s="110"/>
      <c r="U18" s="111"/>
      <c r="V18" s="13"/>
      <c r="W18" s="30"/>
      <c r="X18" s="31">
        <f t="shared" si="0"/>
        <v>0</v>
      </c>
      <c r="Y18" s="102"/>
      <c r="Z18" s="101"/>
      <c r="AA18" s="33"/>
      <c r="AB18" s="111"/>
      <c r="AC18" s="33"/>
      <c r="AD18" s="111"/>
      <c r="AE18" s="35">
        <v>73027</v>
      </c>
      <c r="AF18" s="111">
        <f t="shared" si="17"/>
        <v>0</v>
      </c>
      <c r="AG18" s="38">
        <v>3100</v>
      </c>
      <c r="AH18" s="81">
        <v>0</v>
      </c>
      <c r="AI18" s="101">
        <f t="shared" si="5"/>
        <v>0</v>
      </c>
      <c r="AJ18" s="10"/>
      <c r="AK18" s="15"/>
    </row>
    <row r="19" spans="1:37" x14ac:dyDescent="0.2">
      <c r="A19" s="17">
        <f t="shared" si="1"/>
        <v>45795</v>
      </c>
      <c r="B19" s="8"/>
      <c r="C19" s="86"/>
      <c r="D19" s="24"/>
      <c r="E19" s="86"/>
      <c r="F19" s="24"/>
      <c r="G19" s="107"/>
      <c r="H19" s="95">
        <f t="shared" si="2"/>
        <v>0</v>
      </c>
      <c r="I19" s="97">
        <f t="shared" si="3"/>
        <v>0</v>
      </c>
      <c r="J19" s="41"/>
      <c r="K19" s="108"/>
      <c r="L19" s="11"/>
      <c r="M19" s="108"/>
      <c r="N19" s="11"/>
      <c r="O19" s="108"/>
      <c r="P19" s="41"/>
      <c r="Q19" s="109"/>
      <c r="R19" s="17">
        <f t="shared" si="13"/>
        <v>45795</v>
      </c>
      <c r="S19" s="105"/>
      <c r="T19" s="110"/>
      <c r="U19" s="111"/>
      <c r="V19" s="13"/>
      <c r="W19" s="30"/>
      <c r="X19" s="31">
        <f t="shared" si="0"/>
        <v>0</v>
      </c>
      <c r="Y19" s="102"/>
      <c r="Z19" s="101"/>
      <c r="AA19" s="33"/>
      <c r="AB19" s="111"/>
      <c r="AC19" s="33"/>
      <c r="AD19" s="111"/>
      <c r="AE19" s="35">
        <v>73027</v>
      </c>
      <c r="AF19" s="111">
        <f t="shared" si="17"/>
        <v>0</v>
      </c>
      <c r="AG19" s="38">
        <v>3100</v>
      </c>
      <c r="AH19" s="81">
        <v>0</v>
      </c>
      <c r="AI19" s="101">
        <f t="shared" si="5"/>
        <v>0</v>
      </c>
      <c r="AJ19" s="10"/>
      <c r="AK19" s="15"/>
    </row>
    <row r="20" spans="1:37" x14ac:dyDescent="0.2">
      <c r="A20" s="17">
        <f t="shared" si="1"/>
        <v>45796</v>
      </c>
      <c r="B20" s="8"/>
      <c r="C20" s="86"/>
      <c r="D20" s="24"/>
      <c r="E20" s="86"/>
      <c r="F20" s="24"/>
      <c r="G20" s="107"/>
      <c r="H20" s="95">
        <f t="shared" si="2"/>
        <v>0</v>
      </c>
      <c r="I20" s="97">
        <f t="shared" si="3"/>
        <v>0</v>
      </c>
      <c r="J20" s="41"/>
      <c r="K20" s="108"/>
      <c r="L20" s="11"/>
      <c r="M20" s="108"/>
      <c r="N20" s="11"/>
      <c r="O20" s="108"/>
      <c r="P20" s="41"/>
      <c r="Q20" s="109"/>
      <c r="R20" s="17">
        <f t="shared" si="13"/>
        <v>45796</v>
      </c>
      <c r="S20" s="105"/>
      <c r="T20" s="110"/>
      <c r="U20" s="111"/>
      <c r="V20" s="13"/>
      <c r="W20" s="30"/>
      <c r="X20" s="31">
        <f t="shared" si="0"/>
        <v>0</v>
      </c>
      <c r="Y20" s="102"/>
      <c r="Z20" s="101"/>
      <c r="AA20" s="33"/>
      <c r="AB20" s="111"/>
      <c r="AC20" s="33"/>
      <c r="AD20" s="111"/>
      <c r="AE20" s="35">
        <v>73027</v>
      </c>
      <c r="AF20" s="111">
        <f t="shared" si="17"/>
        <v>0</v>
      </c>
      <c r="AG20" s="38">
        <v>3100</v>
      </c>
      <c r="AH20" s="81">
        <v>0</v>
      </c>
      <c r="AI20" s="101">
        <f t="shared" si="5"/>
        <v>0</v>
      </c>
      <c r="AJ20" s="10"/>
      <c r="AK20" s="15"/>
    </row>
    <row r="21" spans="1:37" x14ac:dyDescent="0.2">
      <c r="A21" s="17">
        <f t="shared" si="1"/>
        <v>45797</v>
      </c>
      <c r="B21" s="8"/>
      <c r="C21" s="86"/>
      <c r="D21" s="24"/>
      <c r="E21" s="86"/>
      <c r="F21" s="24"/>
      <c r="G21" s="107"/>
      <c r="H21" s="95">
        <f t="shared" si="2"/>
        <v>0</v>
      </c>
      <c r="I21" s="97">
        <f t="shared" si="3"/>
        <v>0</v>
      </c>
      <c r="J21" s="41"/>
      <c r="K21" s="108"/>
      <c r="L21" s="11"/>
      <c r="M21" s="108"/>
      <c r="N21" s="11"/>
      <c r="O21" s="108"/>
      <c r="P21" s="41"/>
      <c r="Q21" s="109"/>
      <c r="R21" s="17">
        <f t="shared" si="13"/>
        <v>45797</v>
      </c>
      <c r="S21" s="105"/>
      <c r="T21" s="110"/>
      <c r="U21" s="111"/>
      <c r="V21" s="13"/>
      <c r="W21" s="30"/>
      <c r="X21" s="31">
        <f t="shared" si="0"/>
        <v>0</v>
      </c>
      <c r="Y21" s="102"/>
      <c r="Z21" s="101"/>
      <c r="AA21" s="33"/>
      <c r="AB21" s="111"/>
      <c r="AC21" s="33"/>
      <c r="AD21" s="111"/>
      <c r="AE21" s="35">
        <v>73027</v>
      </c>
      <c r="AF21" s="111">
        <f t="shared" si="17"/>
        <v>0</v>
      </c>
      <c r="AG21" s="38">
        <v>3100</v>
      </c>
      <c r="AH21" s="81">
        <v>0</v>
      </c>
      <c r="AI21" s="101">
        <f t="shared" si="5"/>
        <v>0</v>
      </c>
      <c r="AJ21" s="10"/>
      <c r="AK21" s="15"/>
    </row>
    <row r="22" spans="1:37" x14ac:dyDescent="0.2">
      <c r="A22" s="17">
        <f t="shared" si="1"/>
        <v>45798</v>
      </c>
      <c r="B22" s="8"/>
      <c r="C22" s="86"/>
      <c r="D22" s="24"/>
      <c r="E22" s="86"/>
      <c r="F22" s="24"/>
      <c r="G22" s="107"/>
      <c r="H22" s="95">
        <f t="shared" si="2"/>
        <v>0</v>
      </c>
      <c r="I22" s="97">
        <f t="shared" si="3"/>
        <v>0</v>
      </c>
      <c r="J22" s="41"/>
      <c r="K22" s="108"/>
      <c r="L22" s="11"/>
      <c r="M22" s="108"/>
      <c r="N22" s="11"/>
      <c r="O22" s="108"/>
      <c r="P22" s="41"/>
      <c r="Q22" s="109"/>
      <c r="R22" s="17">
        <f t="shared" si="13"/>
        <v>45798</v>
      </c>
      <c r="S22" s="105"/>
      <c r="T22" s="110"/>
      <c r="U22" s="111"/>
      <c r="V22" s="13"/>
      <c r="W22" s="30"/>
      <c r="X22" s="31">
        <f t="shared" si="0"/>
        <v>0</v>
      </c>
      <c r="Y22" s="102"/>
      <c r="Z22" s="101"/>
      <c r="AA22" s="33"/>
      <c r="AB22" s="111"/>
      <c r="AC22" s="33"/>
      <c r="AD22" s="111"/>
      <c r="AE22" s="35">
        <v>73027</v>
      </c>
      <c r="AF22" s="111">
        <f t="shared" si="17"/>
        <v>0</v>
      </c>
      <c r="AG22" s="38">
        <v>3100</v>
      </c>
      <c r="AH22" s="81">
        <v>0</v>
      </c>
      <c r="AI22" s="101">
        <f t="shared" si="5"/>
        <v>0</v>
      </c>
      <c r="AJ22" s="10"/>
      <c r="AK22" s="15"/>
    </row>
    <row r="23" spans="1:37" x14ac:dyDescent="0.2">
      <c r="A23" s="17">
        <f t="shared" si="1"/>
        <v>45799</v>
      </c>
      <c r="B23" s="8"/>
      <c r="C23" s="86"/>
      <c r="D23" s="24"/>
      <c r="E23" s="86"/>
      <c r="F23" s="24"/>
      <c r="G23" s="107"/>
      <c r="H23" s="95">
        <f t="shared" si="2"/>
        <v>0</v>
      </c>
      <c r="I23" s="97">
        <f t="shared" si="3"/>
        <v>0</v>
      </c>
      <c r="J23" s="41"/>
      <c r="K23" s="108"/>
      <c r="L23" s="11"/>
      <c r="M23" s="108"/>
      <c r="N23" s="11"/>
      <c r="O23" s="108"/>
      <c r="P23" s="41"/>
      <c r="Q23" s="109"/>
      <c r="R23" s="17">
        <f t="shared" si="13"/>
        <v>45799</v>
      </c>
      <c r="S23" s="105"/>
      <c r="T23" s="110"/>
      <c r="U23" s="111"/>
      <c r="V23" s="13"/>
      <c r="W23" s="30"/>
      <c r="X23" s="31">
        <f t="shared" si="0"/>
        <v>0</v>
      </c>
      <c r="Y23" s="102"/>
      <c r="Z23" s="101"/>
      <c r="AA23" s="33"/>
      <c r="AB23" s="111"/>
      <c r="AC23" s="33"/>
      <c r="AD23" s="111"/>
      <c r="AE23" s="35">
        <v>73027</v>
      </c>
      <c r="AF23" s="111">
        <f t="shared" si="17"/>
        <v>0</v>
      </c>
      <c r="AG23" s="38">
        <v>3100</v>
      </c>
      <c r="AH23" s="81">
        <v>0</v>
      </c>
      <c r="AI23" s="101">
        <f t="shared" si="5"/>
        <v>0</v>
      </c>
      <c r="AJ23" s="10"/>
      <c r="AK23" s="15"/>
    </row>
    <row r="24" spans="1:37" x14ac:dyDescent="0.2">
      <c r="A24" s="17">
        <f t="shared" si="1"/>
        <v>45800</v>
      </c>
      <c r="B24" s="8"/>
      <c r="C24" s="86"/>
      <c r="D24" s="24"/>
      <c r="E24" s="86"/>
      <c r="F24" s="24"/>
      <c r="G24" s="107"/>
      <c r="H24" s="95">
        <f t="shared" si="2"/>
        <v>0</v>
      </c>
      <c r="I24" s="97">
        <f t="shared" si="3"/>
        <v>0</v>
      </c>
      <c r="J24" s="41"/>
      <c r="K24" s="108"/>
      <c r="L24" s="11"/>
      <c r="M24" s="108"/>
      <c r="N24" s="11"/>
      <c r="O24" s="108"/>
      <c r="P24" s="41"/>
      <c r="Q24" s="109"/>
      <c r="R24" s="17">
        <f t="shared" si="13"/>
        <v>45800</v>
      </c>
      <c r="S24" s="105"/>
      <c r="T24" s="110"/>
      <c r="U24" s="111"/>
      <c r="V24" s="13"/>
      <c r="W24" s="30"/>
      <c r="X24" s="31">
        <f t="shared" si="0"/>
        <v>0</v>
      </c>
      <c r="Y24" s="102"/>
      <c r="Z24" s="101"/>
      <c r="AA24" s="33"/>
      <c r="AB24" s="111"/>
      <c r="AC24" s="33"/>
      <c r="AD24" s="111"/>
      <c r="AE24" s="35">
        <v>73027</v>
      </c>
      <c r="AF24" s="111">
        <f t="shared" si="17"/>
        <v>0</v>
      </c>
      <c r="AG24" s="38">
        <v>3100</v>
      </c>
      <c r="AH24" s="81">
        <v>0</v>
      </c>
      <c r="AI24" s="101">
        <f t="shared" si="5"/>
        <v>0</v>
      </c>
      <c r="AJ24" s="10"/>
      <c r="AK24" s="15"/>
    </row>
    <row r="25" spans="1:37" x14ac:dyDescent="0.2">
      <c r="A25" s="17">
        <f t="shared" si="1"/>
        <v>45801</v>
      </c>
      <c r="B25" s="8"/>
      <c r="C25" s="86"/>
      <c r="D25" s="24"/>
      <c r="E25" s="86"/>
      <c r="F25" s="24"/>
      <c r="G25" s="107"/>
      <c r="H25" s="95">
        <f t="shared" si="2"/>
        <v>0</v>
      </c>
      <c r="I25" s="97">
        <f t="shared" si="3"/>
        <v>0</v>
      </c>
      <c r="J25" s="41"/>
      <c r="K25" s="108"/>
      <c r="L25" s="11"/>
      <c r="M25" s="108"/>
      <c r="N25" s="11"/>
      <c r="O25" s="108"/>
      <c r="P25" s="41"/>
      <c r="Q25" s="109"/>
      <c r="R25" s="17">
        <f t="shared" si="13"/>
        <v>45801</v>
      </c>
      <c r="S25" s="105"/>
      <c r="T25" s="110"/>
      <c r="U25" s="111"/>
      <c r="V25" s="13"/>
      <c r="W25" s="30"/>
      <c r="X25" s="31">
        <f t="shared" si="0"/>
        <v>0</v>
      </c>
      <c r="Y25" s="102"/>
      <c r="Z25" s="101"/>
      <c r="AA25" s="33"/>
      <c r="AB25" s="111"/>
      <c r="AC25" s="33"/>
      <c r="AD25" s="111"/>
      <c r="AE25" s="35">
        <v>73027</v>
      </c>
      <c r="AF25" s="111">
        <f t="shared" si="17"/>
        <v>0</v>
      </c>
      <c r="AG25" s="38">
        <v>3100</v>
      </c>
      <c r="AH25" s="81">
        <v>0</v>
      </c>
      <c r="AI25" s="101">
        <f t="shared" si="5"/>
        <v>0</v>
      </c>
      <c r="AJ25" s="10"/>
      <c r="AK25" s="15"/>
    </row>
    <row r="26" spans="1:37" x14ac:dyDescent="0.2">
      <c r="A26" s="17">
        <f t="shared" si="1"/>
        <v>45802</v>
      </c>
      <c r="B26" s="8"/>
      <c r="C26" s="86"/>
      <c r="D26" s="24"/>
      <c r="E26" s="86"/>
      <c r="F26" s="24"/>
      <c r="G26" s="107"/>
      <c r="H26" s="95">
        <f t="shared" si="2"/>
        <v>0</v>
      </c>
      <c r="I26" s="97">
        <f t="shared" si="3"/>
        <v>0</v>
      </c>
      <c r="J26" s="41"/>
      <c r="K26" s="108"/>
      <c r="L26" s="11"/>
      <c r="M26" s="108"/>
      <c r="N26" s="11"/>
      <c r="O26" s="108"/>
      <c r="P26" s="41"/>
      <c r="Q26" s="109"/>
      <c r="R26" s="17">
        <f t="shared" si="13"/>
        <v>45802</v>
      </c>
      <c r="S26" s="105"/>
      <c r="T26" s="110"/>
      <c r="U26" s="111"/>
      <c r="V26" s="13"/>
      <c r="W26" s="30"/>
      <c r="X26" s="31">
        <f t="shared" si="0"/>
        <v>0</v>
      </c>
      <c r="Y26" s="102"/>
      <c r="Z26" s="101"/>
      <c r="AA26" s="33"/>
      <c r="AB26" s="111"/>
      <c r="AC26" s="33"/>
      <c r="AD26" s="111"/>
      <c r="AE26" s="35">
        <v>73027</v>
      </c>
      <c r="AF26" s="111">
        <f t="shared" si="17"/>
        <v>0</v>
      </c>
      <c r="AG26" s="38">
        <v>3100</v>
      </c>
      <c r="AH26" s="81">
        <v>0</v>
      </c>
      <c r="AI26" s="101">
        <f t="shared" si="5"/>
        <v>0</v>
      </c>
      <c r="AJ26" s="10"/>
      <c r="AK26" s="15"/>
    </row>
    <row r="27" spans="1:37" x14ac:dyDescent="0.2">
      <c r="A27" s="17">
        <f t="shared" si="1"/>
        <v>45803</v>
      </c>
      <c r="B27" s="8"/>
      <c r="C27" s="86"/>
      <c r="D27" s="24"/>
      <c r="E27" s="86"/>
      <c r="F27" s="24"/>
      <c r="G27" s="107"/>
      <c r="H27" s="95">
        <f t="shared" si="2"/>
        <v>0</v>
      </c>
      <c r="I27" s="97">
        <f t="shared" si="3"/>
        <v>0</v>
      </c>
      <c r="J27" s="41"/>
      <c r="K27" s="108"/>
      <c r="L27" s="11"/>
      <c r="M27" s="108"/>
      <c r="N27" s="11"/>
      <c r="O27" s="108"/>
      <c r="P27" s="41"/>
      <c r="Q27" s="109"/>
      <c r="R27" s="17">
        <f t="shared" si="13"/>
        <v>45803</v>
      </c>
      <c r="S27" s="105"/>
      <c r="T27" s="110"/>
      <c r="U27" s="111"/>
      <c r="V27" s="13"/>
      <c r="W27" s="30"/>
      <c r="X27" s="31">
        <f t="shared" si="0"/>
        <v>0</v>
      </c>
      <c r="Y27" s="102"/>
      <c r="Z27" s="101"/>
      <c r="AA27" s="33"/>
      <c r="AB27" s="111"/>
      <c r="AC27" s="33"/>
      <c r="AD27" s="111"/>
      <c r="AE27" s="35">
        <v>73027</v>
      </c>
      <c r="AF27" s="111">
        <f t="shared" si="17"/>
        <v>0</v>
      </c>
      <c r="AG27" s="38">
        <v>3100</v>
      </c>
      <c r="AH27" s="81">
        <v>0</v>
      </c>
      <c r="AI27" s="101">
        <f t="shared" si="5"/>
        <v>0</v>
      </c>
      <c r="AJ27" s="10"/>
      <c r="AK27" s="15"/>
    </row>
    <row r="28" spans="1:37" x14ac:dyDescent="0.2">
      <c r="A28" s="17">
        <f t="shared" si="1"/>
        <v>45804</v>
      </c>
      <c r="B28" s="8"/>
      <c r="C28" s="86"/>
      <c r="D28" s="24"/>
      <c r="E28" s="86"/>
      <c r="F28" s="24"/>
      <c r="G28" s="107"/>
      <c r="H28" s="95">
        <f t="shared" si="2"/>
        <v>0</v>
      </c>
      <c r="I28" s="97">
        <f t="shared" si="3"/>
        <v>0</v>
      </c>
      <c r="J28" s="41"/>
      <c r="K28" s="108"/>
      <c r="L28" s="11"/>
      <c r="M28" s="108"/>
      <c r="N28" s="11"/>
      <c r="O28" s="108"/>
      <c r="P28" s="41"/>
      <c r="Q28" s="109"/>
      <c r="R28" s="17">
        <f t="shared" si="13"/>
        <v>45804</v>
      </c>
      <c r="S28" s="105"/>
      <c r="T28" s="110"/>
      <c r="U28" s="111"/>
      <c r="V28" s="13"/>
      <c r="W28" s="30"/>
      <c r="X28" s="31">
        <f t="shared" si="0"/>
        <v>0</v>
      </c>
      <c r="Y28" s="102"/>
      <c r="Z28" s="101"/>
      <c r="AA28" s="33"/>
      <c r="AB28" s="111"/>
      <c r="AC28" s="33"/>
      <c r="AD28" s="111"/>
      <c r="AE28" s="35">
        <v>73027</v>
      </c>
      <c r="AF28" s="111">
        <f t="shared" si="17"/>
        <v>0</v>
      </c>
      <c r="AG28" s="38">
        <v>3100</v>
      </c>
      <c r="AH28" s="81">
        <v>0</v>
      </c>
      <c r="AI28" s="101">
        <f t="shared" si="5"/>
        <v>0</v>
      </c>
      <c r="AJ28" s="10"/>
      <c r="AK28" s="15"/>
    </row>
    <row r="29" spans="1:37" x14ac:dyDescent="0.2">
      <c r="A29" s="17">
        <f t="shared" si="1"/>
        <v>45805</v>
      </c>
      <c r="B29" s="8"/>
      <c r="C29" s="86"/>
      <c r="D29" s="24"/>
      <c r="E29" s="86"/>
      <c r="F29" s="24"/>
      <c r="G29" s="107"/>
      <c r="H29" s="95">
        <f t="shared" si="2"/>
        <v>0</v>
      </c>
      <c r="I29" s="97">
        <f t="shared" si="3"/>
        <v>0</v>
      </c>
      <c r="J29" s="41"/>
      <c r="K29" s="108"/>
      <c r="L29" s="11"/>
      <c r="M29" s="108"/>
      <c r="N29" s="11"/>
      <c r="O29" s="108"/>
      <c r="P29" s="41"/>
      <c r="Q29" s="109"/>
      <c r="R29" s="17">
        <f t="shared" si="13"/>
        <v>45805</v>
      </c>
      <c r="S29" s="105"/>
      <c r="T29" s="110"/>
      <c r="U29" s="111"/>
      <c r="V29" s="13"/>
      <c r="W29" s="30"/>
      <c r="X29" s="31">
        <f t="shared" si="0"/>
        <v>0</v>
      </c>
      <c r="Y29" s="102"/>
      <c r="Z29" s="101"/>
      <c r="AA29" s="33"/>
      <c r="AB29" s="111"/>
      <c r="AC29" s="33"/>
      <c r="AD29" s="111"/>
      <c r="AE29" s="35">
        <v>73027</v>
      </c>
      <c r="AF29" s="111">
        <f t="shared" si="17"/>
        <v>0</v>
      </c>
      <c r="AG29" s="38">
        <v>3100</v>
      </c>
      <c r="AH29" s="81">
        <v>0</v>
      </c>
      <c r="AI29" s="101">
        <f t="shared" si="5"/>
        <v>0</v>
      </c>
      <c r="AJ29" s="10"/>
      <c r="AK29" s="15"/>
    </row>
    <row r="30" spans="1:37" x14ac:dyDescent="0.2">
      <c r="A30" s="17">
        <f t="shared" si="1"/>
        <v>45806</v>
      </c>
      <c r="B30" s="8"/>
      <c r="C30" s="86"/>
      <c r="D30" s="24"/>
      <c r="E30" s="86"/>
      <c r="F30" s="24"/>
      <c r="G30" s="107"/>
      <c r="H30" s="95">
        <f t="shared" si="2"/>
        <v>0</v>
      </c>
      <c r="I30" s="97">
        <f t="shared" si="3"/>
        <v>0</v>
      </c>
      <c r="J30" s="41"/>
      <c r="K30" s="108"/>
      <c r="L30" s="11"/>
      <c r="M30" s="108"/>
      <c r="N30" s="11"/>
      <c r="O30" s="108"/>
      <c r="P30" s="41"/>
      <c r="Q30" s="109"/>
      <c r="R30" s="17">
        <f t="shared" si="13"/>
        <v>45806</v>
      </c>
      <c r="S30" s="105"/>
      <c r="T30" s="110"/>
      <c r="U30" s="111"/>
      <c r="V30" s="13"/>
      <c r="W30" s="30"/>
      <c r="X30" s="31">
        <f t="shared" si="0"/>
        <v>0</v>
      </c>
      <c r="Y30" s="102"/>
      <c r="Z30" s="101"/>
      <c r="AA30" s="33"/>
      <c r="AB30" s="111"/>
      <c r="AC30" s="33"/>
      <c r="AD30" s="111"/>
      <c r="AE30" s="35">
        <v>73027</v>
      </c>
      <c r="AF30" s="111">
        <f t="shared" si="17"/>
        <v>0</v>
      </c>
      <c r="AG30" s="38">
        <v>3100</v>
      </c>
      <c r="AH30" s="81">
        <v>0</v>
      </c>
      <c r="AI30" s="101">
        <f t="shared" si="5"/>
        <v>0</v>
      </c>
      <c r="AJ30" s="10"/>
      <c r="AK30" s="15"/>
    </row>
    <row r="31" spans="1:37" x14ac:dyDescent="0.2">
      <c r="A31" s="17">
        <f t="shared" si="1"/>
        <v>45807</v>
      </c>
      <c r="B31" s="8"/>
      <c r="C31" s="86"/>
      <c r="D31" s="24"/>
      <c r="E31" s="86"/>
      <c r="F31" s="103"/>
      <c r="G31" s="107"/>
      <c r="H31" s="95">
        <f t="shared" si="2"/>
        <v>0</v>
      </c>
      <c r="I31" s="97">
        <f t="shared" si="3"/>
        <v>0</v>
      </c>
      <c r="J31" s="104"/>
      <c r="K31" s="108"/>
      <c r="L31" s="11"/>
      <c r="M31" s="108"/>
      <c r="N31" s="11"/>
      <c r="O31" s="108"/>
      <c r="P31" s="41"/>
      <c r="Q31" s="109"/>
      <c r="R31" s="17">
        <f t="shared" si="13"/>
        <v>45807</v>
      </c>
      <c r="S31" s="105"/>
      <c r="T31" s="110"/>
      <c r="U31" s="111"/>
      <c r="V31" s="13"/>
      <c r="W31" s="30"/>
      <c r="X31" s="31">
        <f t="shared" si="0"/>
        <v>0</v>
      </c>
      <c r="Y31" s="102"/>
      <c r="Z31" s="101"/>
      <c r="AA31" s="33"/>
      <c r="AB31" s="111"/>
      <c r="AC31" s="33"/>
      <c r="AD31" s="111"/>
      <c r="AE31" s="35">
        <v>73027</v>
      </c>
      <c r="AF31" s="111">
        <f t="shared" si="17"/>
        <v>0</v>
      </c>
      <c r="AG31" s="38">
        <v>3100</v>
      </c>
      <c r="AH31" s="81">
        <v>0</v>
      </c>
      <c r="AI31" s="101">
        <f t="shared" si="5"/>
        <v>0</v>
      </c>
      <c r="AJ31" s="10"/>
      <c r="AK31" s="15"/>
    </row>
    <row r="32" spans="1:37" x14ac:dyDescent="0.2">
      <c r="A32" s="17">
        <f t="shared" si="1"/>
        <v>45808</v>
      </c>
      <c r="B32" s="8"/>
      <c r="C32" s="86"/>
      <c r="D32" s="24"/>
      <c r="E32" s="86"/>
      <c r="F32" s="103"/>
      <c r="G32" s="107"/>
      <c r="H32" s="95">
        <f t="shared" si="2"/>
        <v>0</v>
      </c>
      <c r="I32" s="97">
        <f t="shared" si="3"/>
        <v>0</v>
      </c>
      <c r="J32" s="104"/>
      <c r="K32" s="108"/>
      <c r="L32" s="11"/>
      <c r="M32" s="108"/>
      <c r="N32" s="11"/>
      <c r="O32" s="108"/>
      <c r="P32" s="41"/>
      <c r="Q32" s="109"/>
      <c r="R32" s="17">
        <f t="shared" si="13"/>
        <v>45808</v>
      </c>
      <c r="S32" s="105"/>
      <c r="T32" s="110"/>
      <c r="U32" s="111"/>
      <c r="V32" s="13"/>
      <c r="W32" s="30"/>
      <c r="X32" s="31">
        <f t="shared" si="0"/>
        <v>0</v>
      </c>
      <c r="Y32" s="102"/>
      <c r="Z32" s="101"/>
      <c r="AA32" s="33"/>
      <c r="AB32" s="111"/>
      <c r="AC32" s="33"/>
      <c r="AD32" s="111"/>
      <c r="AE32" s="35">
        <v>73027</v>
      </c>
      <c r="AF32" s="111">
        <f t="shared" si="17"/>
        <v>0</v>
      </c>
      <c r="AG32" s="38">
        <v>3100</v>
      </c>
      <c r="AH32" s="81">
        <v>0</v>
      </c>
      <c r="AI32" s="101">
        <f t="shared" si="5"/>
        <v>0</v>
      </c>
      <c r="AJ32" s="10"/>
      <c r="AK32" s="15"/>
    </row>
    <row r="33" spans="1:37" x14ac:dyDescent="0.2">
      <c r="A33" s="17">
        <f t="shared" si="1"/>
        <v>45809</v>
      </c>
      <c r="B33" s="8"/>
      <c r="C33" s="86"/>
      <c r="D33" s="24"/>
      <c r="E33" s="86"/>
      <c r="F33" s="103"/>
      <c r="G33" s="107"/>
      <c r="H33" s="95"/>
      <c r="I33" s="97"/>
      <c r="J33" s="104"/>
      <c r="K33" s="108"/>
      <c r="L33" s="11"/>
      <c r="M33" s="108"/>
      <c r="N33" s="11"/>
      <c r="O33" s="108"/>
      <c r="P33" s="41"/>
      <c r="Q33" s="109"/>
      <c r="R33" s="17">
        <f>A33</f>
        <v>45809</v>
      </c>
      <c r="S33" s="112"/>
      <c r="T33" s="110"/>
      <c r="U33" s="111"/>
      <c r="V33" s="74"/>
      <c r="W33" s="30"/>
      <c r="X33" s="31">
        <f t="shared" si="0"/>
        <v>0</v>
      </c>
      <c r="Y33" s="102"/>
      <c r="Z33" s="101"/>
      <c r="AA33" s="75"/>
      <c r="AB33" s="111"/>
      <c r="AC33" s="75"/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12934</v>
      </c>
      <c r="D34" s="78"/>
      <c r="E34" s="113">
        <f>SUM(E2:E33)</f>
        <v>6580</v>
      </c>
      <c r="F34" s="114"/>
      <c r="G34" s="115">
        <f>SUM(G2:G33)</f>
        <v>904</v>
      </c>
      <c r="H34" s="116">
        <f>SUM(H2:H33)</f>
        <v>18610</v>
      </c>
      <c r="I34" s="117">
        <f>SUM(I2:I32)</f>
        <v>14695.200000000186</v>
      </c>
      <c r="J34" s="114"/>
      <c r="K34" s="118">
        <f>SUM(K2:K33)</f>
        <v>3170.7999999998137</v>
      </c>
      <c r="L34" s="114"/>
      <c r="M34" s="118">
        <f>SUM(M2:M33)</f>
        <v>40</v>
      </c>
      <c r="N34" s="114"/>
      <c r="O34" s="118">
        <f>SUM(O2:O33)</f>
        <v>272</v>
      </c>
      <c r="P34" s="114"/>
      <c r="Q34" s="119">
        <f>SUM(Q2:Q33)</f>
        <v>432</v>
      </c>
      <c r="R34" s="78"/>
      <c r="S34" s="78"/>
      <c r="T34" s="78"/>
      <c r="U34" s="120">
        <f>SUM(U2:U33)</f>
        <v>594</v>
      </c>
      <c r="V34" s="78"/>
      <c r="W34" s="78"/>
      <c r="X34" s="78"/>
      <c r="Y34" s="121">
        <f>SUM(Y2:Y33)</f>
        <v>0</v>
      </c>
      <c r="Z34" s="122">
        <f>SUM(Z2:Z33)</f>
        <v>900</v>
      </c>
      <c r="AA34" s="78"/>
      <c r="AB34" s="123">
        <f>SUM(AB2:AB33)</f>
        <v>258</v>
      </c>
      <c r="AC34" s="114"/>
      <c r="AD34" s="123">
        <f>SUM(AD2:AD33)</f>
        <v>33.600000000000136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434</v>
      </c>
      <c r="AK34" s="128">
        <f>SUM(AK2:AK32)</f>
        <v>787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2025-05-05T05:56:42Z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