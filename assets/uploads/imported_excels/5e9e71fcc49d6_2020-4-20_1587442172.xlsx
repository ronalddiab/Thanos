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" i="9" l="1"/>
  <c r="R4" i="9"/>
  <c r="R5" i="9"/>
  <c r="R23" i="9"/>
  <c r="R24" i="9"/>
  <c r="R25" i="9"/>
  <c r="R26" i="9"/>
  <c r="R27" i="9"/>
  <c r="R28" i="9"/>
  <c r="R29" i="9"/>
  <c r="R30" i="9"/>
  <c r="R31" i="9"/>
  <c r="R32" i="9"/>
  <c r="Q3" i="9"/>
  <c r="Q4" i="9"/>
  <c r="Q5" i="9"/>
  <c r="Q23" i="9"/>
  <c r="Q24" i="9"/>
  <c r="Q25" i="9"/>
  <c r="Q26" i="9"/>
  <c r="Q27" i="9"/>
  <c r="Q28" i="9"/>
  <c r="Q29" i="9"/>
  <c r="Q30" i="9"/>
  <c r="Q31" i="9"/>
  <c r="Q32" i="9"/>
  <c r="P3" i="9"/>
  <c r="P4" i="9"/>
  <c r="P5" i="9"/>
  <c r="P23" i="9"/>
  <c r="P24" i="9"/>
  <c r="P25" i="9"/>
  <c r="P26" i="9"/>
  <c r="P27" i="9"/>
  <c r="P28" i="9"/>
  <c r="P29" i="9"/>
  <c r="P30" i="9"/>
  <c r="P31" i="9"/>
  <c r="P32" i="9"/>
  <c r="O3" i="9"/>
  <c r="O4" i="9"/>
  <c r="O5" i="9"/>
  <c r="O23" i="9"/>
  <c r="O24" i="9"/>
  <c r="O25" i="9"/>
  <c r="O26" i="9"/>
  <c r="O27" i="9"/>
  <c r="O28" i="9"/>
  <c r="O29" i="9"/>
  <c r="O30" i="9"/>
  <c r="O31" i="9"/>
  <c r="O32" i="9"/>
  <c r="N3" i="9"/>
  <c r="N4" i="9"/>
  <c r="N5" i="9"/>
  <c r="N23" i="9"/>
  <c r="N24" i="9"/>
  <c r="N25" i="9"/>
  <c r="N26" i="9"/>
  <c r="N27" i="9"/>
  <c r="N28" i="9"/>
  <c r="N29" i="9"/>
  <c r="N30" i="9"/>
  <c r="N31" i="9"/>
  <c r="M3" i="9"/>
  <c r="M4" i="9"/>
  <c r="M5" i="9"/>
  <c r="M23" i="9"/>
  <c r="M24" i="9"/>
  <c r="M25" i="9"/>
  <c r="M26" i="9"/>
  <c r="M27" i="9"/>
  <c r="M28" i="9"/>
  <c r="M29" i="9"/>
  <c r="M30" i="9"/>
  <c r="M31" i="9"/>
  <c r="M32" i="9"/>
  <c r="L3" i="9"/>
  <c r="L4" i="9"/>
  <c r="L5" i="9"/>
  <c r="L23" i="9"/>
  <c r="L24" i="9"/>
  <c r="L25" i="9"/>
  <c r="L26" i="9"/>
  <c r="L27" i="9"/>
  <c r="L28" i="9"/>
  <c r="L29" i="9"/>
  <c r="L30" i="9"/>
  <c r="L31" i="9"/>
  <c r="L32" i="9"/>
  <c r="K3" i="9"/>
  <c r="K4" i="9"/>
  <c r="K5" i="9"/>
  <c r="K23" i="9"/>
  <c r="K24" i="9"/>
  <c r="K25" i="9"/>
  <c r="K26" i="9"/>
  <c r="K27" i="9"/>
  <c r="K28" i="9"/>
  <c r="K29" i="9"/>
  <c r="K30" i="9"/>
  <c r="K31" i="9"/>
  <c r="K32" i="9"/>
  <c r="J3" i="9"/>
  <c r="J4" i="9"/>
  <c r="J5" i="9"/>
  <c r="J23" i="9"/>
  <c r="J24" i="9"/>
  <c r="J25" i="9"/>
  <c r="J26" i="9"/>
  <c r="J27" i="9"/>
  <c r="J28" i="9"/>
  <c r="J29" i="9"/>
  <c r="J30" i="9"/>
  <c r="J31" i="9"/>
  <c r="J32" i="9"/>
  <c r="I3" i="9"/>
  <c r="I4" i="9"/>
  <c r="I5" i="9"/>
  <c r="I23" i="9"/>
  <c r="I24" i="9"/>
  <c r="I25" i="9"/>
  <c r="I26" i="9"/>
  <c r="I27" i="9"/>
  <c r="I28" i="9"/>
  <c r="I29" i="9"/>
  <c r="I30" i="9"/>
  <c r="I31" i="9"/>
  <c r="I32" i="9"/>
  <c r="H3" i="9"/>
  <c r="H4" i="9"/>
  <c r="H5" i="9"/>
  <c r="H23" i="9"/>
  <c r="H24" i="9"/>
  <c r="H25" i="9"/>
  <c r="H26" i="9"/>
  <c r="H27" i="9"/>
  <c r="H28" i="9"/>
  <c r="H29" i="9"/>
  <c r="H30" i="9"/>
  <c r="H31" i="9"/>
  <c r="H32" i="9"/>
  <c r="G3" i="9"/>
  <c r="G4" i="9"/>
  <c r="G5" i="9"/>
  <c r="G23" i="9"/>
  <c r="G24" i="9"/>
  <c r="G25" i="9"/>
  <c r="G26" i="9"/>
  <c r="G27" i="9"/>
  <c r="G28" i="9"/>
  <c r="G29" i="9"/>
  <c r="G30" i="9"/>
  <c r="G31" i="9"/>
  <c r="G32" i="9"/>
  <c r="F3" i="9"/>
  <c r="F4" i="9"/>
  <c r="F5" i="9"/>
  <c r="F23" i="9"/>
  <c r="F24" i="9"/>
  <c r="F25" i="9"/>
  <c r="F26" i="9"/>
  <c r="F27" i="9"/>
  <c r="F28" i="9"/>
  <c r="F29" i="9"/>
  <c r="F30" i="9"/>
  <c r="F31" i="9"/>
  <c r="F32" i="9"/>
  <c r="E3" i="9"/>
  <c r="E4" i="9"/>
  <c r="E5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AB9" i="7"/>
  <c r="AB10" i="7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G3" i="5" s="1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AW9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S9" i="7"/>
  <c r="AH9" i="7" s="1"/>
  <c r="S10" i="7"/>
  <c r="AH10" i="7" s="1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AG9" i="7" s="1"/>
  <c r="T9" i="7"/>
  <c r="U9" i="7"/>
  <c r="AJ9" i="7" s="1"/>
  <c r="V9" i="7"/>
  <c r="AK9" i="7" s="1"/>
  <c r="W9" i="7"/>
  <c r="X9" i="7"/>
  <c r="AM9" i="7" s="1"/>
  <c r="Y9" i="7"/>
  <c r="Z9" i="7"/>
  <c r="AO9" i="7" s="1"/>
  <c r="AA9" i="7"/>
  <c r="AC9" i="7"/>
  <c r="AR9" i="7" s="1"/>
  <c r="R10" i="7"/>
  <c r="T10" i="7"/>
  <c r="U10" i="7"/>
  <c r="AJ10" i="7" s="1"/>
  <c r="V10" i="7"/>
  <c r="AK10" i="7" s="1"/>
  <c r="W10" i="7"/>
  <c r="X10" i="7"/>
  <c r="AM10" i="7" s="1"/>
  <c r="Y10" i="7"/>
  <c r="AN10" i="7" s="1"/>
  <c r="Z10" i="7"/>
  <c r="AO10" i="7" s="1"/>
  <c r="AA10" i="7"/>
  <c r="AQ10" i="7"/>
  <c r="AC10" i="7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T8" i="7"/>
  <c r="AI8" i="7" s="1"/>
  <c r="U8" i="7"/>
  <c r="V8" i="7"/>
  <c r="AK8" i="7" s="1"/>
  <c r="W8" i="7"/>
  <c r="X8" i="7"/>
  <c r="AM8" i="7" s="1"/>
  <c r="Y8" i="7"/>
  <c r="Z8" i="7"/>
  <c r="AO8" i="7" s="1"/>
  <c r="AA8" i="7"/>
  <c r="AP8" i="7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Q10" i="7"/>
  <c r="AF10" i="7" s="1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AF28" i="7" s="1"/>
  <c r="Q29" i="7"/>
  <c r="AF29" i="7" s="1"/>
  <c r="Q30" i="7"/>
  <c r="AF32" i="7"/>
  <c r="AF33" i="7"/>
  <c r="Q8" i="7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27" i="7" l="1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<sst xmlns="http://schemas.openxmlformats.org/spreadsheetml/2006/main" count="128" uniqueCount="49">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</sst>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E23" sqref="E23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24870</v>
      </c>
      <c r="F2" s="11">
        <v>5.0000000000000001E-3</v>
      </c>
      <c r="G2" s="12">
        <f>Submetering!R2</f>
        <v>412.23114899999996</v>
      </c>
      <c r="H2" s="11">
        <v>0.52800000000000002</v>
      </c>
      <c r="I2" s="12">
        <f>Hotel!B7</f>
        <v>80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29670</v>
      </c>
      <c r="F3" s="11">
        <v>5.0000000000000001E-3</v>
      </c>
      <c r="G3" s="12">
        <f>Submetering!R3</f>
        <v>596.58061599999996</v>
      </c>
      <c r="H3" s="11">
        <v>0.52800000000000002</v>
      </c>
      <c r="I3" s="12">
        <f>Hotel!B8</f>
        <v>80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26930</v>
      </c>
      <c r="F4" s="11">
        <v>5.0000000000000001E-3</v>
      </c>
      <c r="G4" s="12">
        <f>Submetering!R4</f>
        <v>403.52470599999998</v>
      </c>
      <c r="H4" s="11">
        <v>0.52800000000000002</v>
      </c>
      <c r="I4" s="12">
        <f>Hotel!B9</f>
        <v>79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27540</v>
      </c>
      <c r="F5" s="11">
        <v>5.0000000000000001E-3</v>
      </c>
      <c r="G5" s="12">
        <f>Submetering!R5</f>
        <v>397.46805000000001</v>
      </c>
      <c r="H5" s="11">
        <v>0.52800000000000002</v>
      </c>
      <c r="I5" s="12">
        <f>Hotel!B10</f>
        <v>6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29280</v>
      </c>
      <c r="F6" s="11">
        <v>5.0000000000000001E-3</v>
      </c>
      <c r="G6" s="12">
        <f>Submetering!R6</f>
        <v>46.560542999999996</v>
      </c>
      <c r="H6" s="11">
        <v>0.52800000000000002</v>
      </c>
      <c r="I6" s="12">
        <f>Hotel!B11</f>
        <v>6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27540</v>
      </c>
      <c r="F7" s="11">
        <v>5.0000000000000001E-3</v>
      </c>
      <c r="G7" s="12">
        <f>Submetering!R7</f>
        <v>52.995740000000005</v>
      </c>
      <c r="H7" s="11">
        <v>0.52800000000000002</v>
      </c>
      <c r="I7" s="12">
        <f>Hotel!B12</f>
        <v>7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32190</v>
      </c>
      <c r="F8" s="11">
        <v>5.0000000000000001E-3</v>
      </c>
      <c r="G8" s="12">
        <f>Submetering!R8</f>
        <v>1501.672147</v>
      </c>
      <c r="H8" s="11">
        <v>0.52800000000000002</v>
      </c>
      <c r="I8" s="12">
        <f>Hotel!B13</f>
        <v>4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29170</v>
      </c>
      <c r="F9" s="11">
        <v>5.0000000000000001E-3</v>
      </c>
      <c r="G9" s="12">
        <f>Submetering!R9</f>
        <v>155.58035100000001</v>
      </c>
      <c r="H9" s="11">
        <v>0.52800000000000002</v>
      </c>
      <c r="I9" s="12">
        <f>Hotel!B14</f>
        <v>8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31160</v>
      </c>
      <c r="F10" s="11">
        <v>5.0000000000000001E-3</v>
      </c>
      <c r="G10" s="12">
        <f>Submetering!R10</f>
        <v>566.29733599999997</v>
      </c>
      <c r="H10" s="11">
        <v>0.52800000000000002</v>
      </c>
      <c r="I10" s="12">
        <f>Hotel!B15</f>
        <v>14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31726</v>
      </c>
      <c r="F11" s="11">
        <v>5.0000000000000001E-3</v>
      </c>
      <c r="G11" s="12">
        <f>Submetering!R11</f>
        <v>418.66634600000003</v>
      </c>
      <c r="H11" s="11">
        <v>0.52800000000000002</v>
      </c>
      <c r="I11" s="12">
        <f>Hotel!B16</f>
        <v>13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32754</v>
      </c>
      <c r="F12" s="11">
        <v>5.0000000000000001E-3</v>
      </c>
      <c r="G12" s="12">
        <f>Submetering!R12</f>
        <v>540.93508899999995</v>
      </c>
      <c r="H12" s="11">
        <v>0.52800000000000002</v>
      </c>
      <c r="I12" s="12">
        <f>Hotel!B17</f>
        <v>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32180</v>
      </c>
      <c r="F13" s="11">
        <v>5.0000000000000001E-3</v>
      </c>
      <c r="G13" s="12">
        <f>Submetering!R13</f>
        <v>164.665335</v>
      </c>
      <c r="H13" s="11">
        <v>0.52800000000000002</v>
      </c>
      <c r="I13" s="12">
        <f>Hotel!B18</f>
        <v>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32170</v>
      </c>
      <c r="F14" s="11">
        <v>5.0000000000000001E-3</v>
      </c>
      <c r="G14" s="12">
        <f>Submetering!R14</f>
        <v>393.30409900000001</v>
      </c>
      <c r="H14" s="11">
        <v>0.52800000000000002</v>
      </c>
      <c r="I14" s="12">
        <f>Hotel!B19</f>
        <v>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30050</v>
      </c>
      <c r="F15" s="11">
        <v>5.0000000000000001E-3</v>
      </c>
      <c r="G15" s="12">
        <f>Submetering!R15</f>
        <v>711.65707999999995</v>
      </c>
      <c r="H15" s="11">
        <v>0.52800000000000002</v>
      </c>
      <c r="I15" s="12">
        <f>Hotel!B20</f>
        <v>4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29640</v>
      </c>
      <c r="F16" s="11">
        <v>5.0000000000000001E-3</v>
      </c>
      <c r="G16" s="12">
        <f>Submetering!R16</f>
        <v>436.07923199999999</v>
      </c>
      <c r="H16" s="11">
        <v>0.52800000000000002</v>
      </c>
      <c r="I16" s="12">
        <f>Hotel!B21</f>
        <v>5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32640</v>
      </c>
      <c r="F17" s="11">
        <v>5.0000000000000001E-3</v>
      </c>
      <c r="G17" s="12">
        <f>Submetering!R17</f>
        <v>436.45777299999997</v>
      </c>
      <c r="H17" s="11">
        <v>0.52800000000000002</v>
      </c>
      <c r="I17" s="12">
        <f>Hotel!B22</f>
        <v>7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34430</v>
      </c>
      <c r="F18" s="11">
        <v>5.0000000000000001E-3</v>
      </c>
      <c r="G18" s="12">
        <f>Submetering!R18</f>
        <v>317.21735799999999</v>
      </c>
      <c r="H18" s="11">
        <v>0.52800000000000002</v>
      </c>
      <c r="I18" s="12">
        <f>Hotel!B23</f>
        <v>7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33360</v>
      </c>
      <c r="F19" s="11">
        <v>5.0000000000000001E-3</v>
      </c>
      <c r="G19" s="12">
        <f>Submetering!R19</f>
        <v>291.47656999999998</v>
      </c>
      <c r="H19" s="11">
        <v>0.52800000000000002</v>
      </c>
      <c r="I19" s="12">
        <f>Hotel!B24</f>
        <v>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35960</v>
      </c>
      <c r="F20" s="11">
        <v>5.0000000000000001E-3</v>
      </c>
      <c r="G20" s="12">
        <f>Submetering!R20</f>
        <v>123.78290699999998</v>
      </c>
      <c r="H20" s="11">
        <v>0.52800000000000002</v>
      </c>
      <c r="I20" s="12">
        <f>Hotel!B25</f>
        <v>8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35880</v>
      </c>
      <c r="F21" s="11">
        <v>5.0000000000000001E-3</v>
      </c>
      <c r="G21" s="12">
        <f>Submetering!R21</f>
        <v>467.11959399999995</v>
      </c>
      <c r="H21" s="11">
        <v>0.52800000000000002</v>
      </c>
      <c r="I21" s="12">
        <f>Hotel!B26</f>
        <v>10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S2" sqref="S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4</v>
      </c>
      <c r="D2" s="2">
        <v>2020</v>
      </c>
      <c r="E2" s="4">
        <f>Hotel!Q7</f>
        <v>580</v>
      </c>
      <c r="F2" s="4">
        <f>Hotel!R7</f>
        <v>0</v>
      </c>
      <c r="G2" s="4">
        <f>Hotel!S7</f>
        <v>2510</v>
      </c>
      <c r="H2" s="4">
        <f>Hotel!T7</f>
        <v>1420</v>
      </c>
      <c r="I2" s="4">
        <f>Hotel!U7</f>
        <v>2640</v>
      </c>
      <c r="J2" s="4">
        <f>Hotel!V7</f>
        <v>2490</v>
      </c>
      <c r="K2" s="4">
        <f>Hotel!W7</f>
        <v>2090</v>
      </c>
      <c r="L2" s="4">
        <f>Hotel!X7</f>
        <v>940</v>
      </c>
      <c r="M2" s="4">
        <f>Hotel!Y7</f>
        <v>2120</v>
      </c>
      <c r="N2" s="4">
        <f>Hotel!Z7</f>
        <v>1900</v>
      </c>
      <c r="O2" s="4">
        <f>Hotel!AA7</f>
        <v>1020</v>
      </c>
      <c r="P2" s="4">
        <f>Hotel!AB7</f>
        <v>4090</v>
      </c>
      <c r="Q2" s="4">
        <f>Hotel!AC7</f>
        <v>3070</v>
      </c>
      <c r="R2" s="4">
        <f>Hotel!AV7*0.00378541*100</f>
        <v>412.23114899999996</v>
      </c>
      <c r="S2" s="4">
        <f>Hotel!B7</f>
        <v>80</v>
      </c>
    </row>
    <row r="3" spans="1:19" x14ac:dyDescent="0.25">
      <c r="A3" s="21" t="s">
        <v>31</v>
      </c>
      <c r="B3" s="2">
        <f>B2+1</f>
        <v>2</v>
      </c>
      <c r="C3" s="10">
        <v>4</v>
      </c>
      <c r="D3" s="2">
        <v>2020</v>
      </c>
      <c r="E3" s="4">
        <f>Hotel!Q8</f>
        <v>570</v>
      </c>
      <c r="F3" s="4">
        <f>Hotel!R8</f>
        <v>3860</v>
      </c>
      <c r="G3" s="4">
        <f>Hotel!S8</f>
        <v>2720</v>
      </c>
      <c r="H3" s="4">
        <f>Hotel!T8</f>
        <v>1420</v>
      </c>
      <c r="I3" s="4">
        <f>Hotel!U8</f>
        <v>2780</v>
      </c>
      <c r="J3" s="4">
        <f>Hotel!V8</f>
        <v>2280</v>
      </c>
      <c r="K3" s="4">
        <f>Hotel!W8</f>
        <v>2120</v>
      </c>
      <c r="L3" s="4">
        <f>Hotel!X8</f>
        <v>950</v>
      </c>
      <c r="M3" s="4">
        <f>Hotel!Y8</f>
        <v>2120</v>
      </c>
      <c r="N3" s="4">
        <f>Hotel!Z8</f>
        <v>2240</v>
      </c>
      <c r="O3" s="4">
        <f>Hotel!AA8</f>
        <v>1230</v>
      </c>
      <c r="P3" s="4">
        <f>Hotel!AB8</f>
        <v>4070</v>
      </c>
      <c r="Q3" s="4">
        <f>Hotel!AC8</f>
        <v>3310</v>
      </c>
      <c r="R3" s="4">
        <f>Hotel!AV8*0.00378541*100</f>
        <v>596.58061599999996</v>
      </c>
      <c r="S3" s="4">
        <f>Hotel!B8</f>
        <v>80</v>
      </c>
    </row>
    <row r="4" spans="1:19" x14ac:dyDescent="0.25">
      <c r="A4" s="21" t="s">
        <v>31</v>
      </c>
      <c r="B4" s="2">
        <f t="shared" ref="B4:B29" si="0">B3+1</f>
        <v>3</v>
      </c>
      <c r="C4" s="10">
        <v>4</v>
      </c>
      <c r="D4" s="2">
        <v>2020</v>
      </c>
      <c r="E4" s="4">
        <f>Hotel!Q9</f>
        <v>540</v>
      </c>
      <c r="F4" s="4">
        <f>Hotel!R9</f>
        <v>1800</v>
      </c>
      <c r="G4" s="4">
        <f>Hotel!S9</f>
        <v>2570</v>
      </c>
      <c r="H4" s="4">
        <f>Hotel!T9</f>
        <v>1340</v>
      </c>
      <c r="I4" s="4">
        <f>Hotel!U9</f>
        <v>2540</v>
      </c>
      <c r="J4" s="4">
        <f>Hotel!V9</f>
        <v>2040</v>
      </c>
      <c r="K4" s="4">
        <f>Hotel!W9</f>
        <v>2010</v>
      </c>
      <c r="L4" s="4">
        <f>Hotel!X9</f>
        <v>950</v>
      </c>
      <c r="M4" s="4">
        <f>Hotel!Y9</f>
        <v>1980</v>
      </c>
      <c r="N4" s="4">
        <f>Hotel!Z9</f>
        <v>2060</v>
      </c>
      <c r="O4" s="4">
        <f>Hotel!AA9</f>
        <v>1510</v>
      </c>
      <c r="P4" s="4">
        <f>Hotel!AB9</f>
        <v>4060</v>
      </c>
      <c r="Q4" s="4">
        <f>Hotel!AC9</f>
        <v>3530</v>
      </c>
      <c r="R4" s="4">
        <f>Hotel!AV9*0.00378541*100</f>
        <v>403.52470599999998</v>
      </c>
      <c r="S4" s="4">
        <f>Hotel!B9</f>
        <v>79</v>
      </c>
    </row>
    <row r="5" spans="1:19" x14ac:dyDescent="0.25">
      <c r="A5" s="21" t="s">
        <v>31</v>
      </c>
      <c r="B5" s="2">
        <f t="shared" si="0"/>
        <v>4</v>
      </c>
      <c r="C5" s="10">
        <v>4</v>
      </c>
      <c r="D5" s="2">
        <v>2020</v>
      </c>
      <c r="E5" s="4">
        <f>Hotel!Q10</f>
        <v>560</v>
      </c>
      <c r="F5" s="4">
        <f>Hotel!R10</f>
        <v>1870</v>
      </c>
      <c r="G5" s="4">
        <f>Hotel!S10</f>
        <v>2660</v>
      </c>
      <c r="H5" s="4">
        <f>Hotel!T10</f>
        <v>1380</v>
      </c>
      <c r="I5" s="4">
        <f>Hotel!U10</f>
        <v>2730</v>
      </c>
      <c r="J5" s="4">
        <f>Hotel!V10</f>
        <v>2160</v>
      </c>
      <c r="K5" s="4">
        <f>Hotel!W10</f>
        <v>2080</v>
      </c>
      <c r="L5" s="4">
        <f>Hotel!X10</f>
        <v>990</v>
      </c>
      <c r="M5" s="4">
        <f>Hotel!Y10</f>
        <v>2140</v>
      </c>
      <c r="N5" s="4">
        <f>Hotel!Z10</f>
        <v>2030</v>
      </c>
      <c r="O5" s="4">
        <f>Hotel!AA10</f>
        <v>1460</v>
      </c>
      <c r="P5" s="4">
        <f>Hotel!AB10</f>
        <v>4100</v>
      </c>
      <c r="Q5" s="4">
        <f>Hotel!AC10</f>
        <v>3380</v>
      </c>
      <c r="R5" s="4">
        <f>Hotel!AV10*0.00378541*100</f>
        <v>397.46805000000001</v>
      </c>
      <c r="S5" s="4">
        <f>Hotel!B10</f>
        <v>6</v>
      </c>
    </row>
    <row r="6" spans="1:19" x14ac:dyDescent="0.25">
      <c r="A6" s="21" t="s">
        <v>31</v>
      </c>
      <c r="B6" s="2">
        <f t="shared" si="0"/>
        <v>5</v>
      </c>
      <c r="C6" s="10">
        <v>4</v>
      </c>
      <c r="D6" s="2">
        <v>2020</v>
      </c>
      <c r="E6" s="4">
        <f>Hotel!Q11</f>
        <v>560</v>
      </c>
      <c r="F6" s="4">
        <f>Hotel!R11</f>
        <v>1920</v>
      </c>
      <c r="G6" s="4">
        <f>Hotel!S11</f>
        <v>2930</v>
      </c>
      <c r="H6" s="4">
        <f>Hotel!T11</f>
        <v>1430</v>
      </c>
      <c r="I6" s="4">
        <f>Hotel!U11</f>
        <v>3010</v>
      </c>
      <c r="J6" s="4">
        <f>Hotel!V11</f>
        <v>2370</v>
      </c>
      <c r="K6" s="4">
        <f>Hotel!W11</f>
        <v>2140</v>
      </c>
      <c r="L6" s="4">
        <f>Hotel!X11</f>
        <v>1180</v>
      </c>
      <c r="M6" s="4">
        <f>Hotel!Y11</f>
        <v>2190</v>
      </c>
      <c r="N6" s="4">
        <f>Hotel!Z11</f>
        <v>2060</v>
      </c>
      <c r="O6" s="4">
        <f>Hotel!AA11</f>
        <v>1570</v>
      </c>
      <c r="P6" s="4">
        <f>Hotel!AB11</f>
        <v>4360</v>
      </c>
      <c r="Q6" s="4">
        <f>Hotel!AC11</f>
        <v>3560</v>
      </c>
      <c r="R6" s="4">
        <f>Hotel!AV11*0.00378541*100</f>
        <v>46.560542999999996</v>
      </c>
      <c r="S6" s="4">
        <f>Hotel!B11</f>
        <v>6</v>
      </c>
    </row>
    <row r="7" spans="1:19" x14ac:dyDescent="0.25">
      <c r="A7" s="21" t="s">
        <v>31</v>
      </c>
      <c r="B7" s="2">
        <f t="shared" si="0"/>
        <v>6</v>
      </c>
      <c r="C7" s="10">
        <v>4</v>
      </c>
      <c r="D7" s="2">
        <v>2020</v>
      </c>
      <c r="E7" s="4">
        <f>Hotel!Q12</f>
        <v>560</v>
      </c>
      <c r="F7" s="4">
        <f>Hotel!R12</f>
        <v>1800</v>
      </c>
      <c r="G7" s="4">
        <f>Hotel!S12</f>
        <v>2500</v>
      </c>
      <c r="H7" s="4">
        <f>Hotel!T12</f>
        <v>1400</v>
      </c>
      <c r="I7" s="4">
        <f>Hotel!U12</f>
        <v>3000</v>
      </c>
      <c r="J7" s="4">
        <f>Hotel!V12</f>
        <v>2030</v>
      </c>
      <c r="K7" s="4">
        <f>Hotel!W12</f>
        <v>2090</v>
      </c>
      <c r="L7" s="4">
        <f>Hotel!X12</f>
        <v>1000</v>
      </c>
      <c r="M7" s="4">
        <f>Hotel!Y12</f>
        <v>2000</v>
      </c>
      <c r="N7" s="4">
        <f>Hotel!Z12</f>
        <v>2060</v>
      </c>
      <c r="O7" s="4">
        <f>Hotel!AA12</f>
        <v>1500</v>
      </c>
      <c r="P7" s="4">
        <f>Hotel!AB12</f>
        <v>4100</v>
      </c>
      <c r="Q7" s="4">
        <f>Hotel!AC12</f>
        <v>3500</v>
      </c>
      <c r="R7" s="4">
        <f>Hotel!AV12*0.00378541*100</f>
        <v>52.995740000000005</v>
      </c>
      <c r="S7" s="4">
        <f>Hotel!B12</f>
        <v>7</v>
      </c>
    </row>
    <row r="8" spans="1:19" x14ac:dyDescent="0.25">
      <c r="A8" s="21" t="s">
        <v>31</v>
      </c>
      <c r="B8" s="2">
        <f t="shared" si="0"/>
        <v>7</v>
      </c>
      <c r="C8" s="10">
        <v>4</v>
      </c>
      <c r="D8" s="2">
        <v>2020</v>
      </c>
      <c r="E8" s="4">
        <f>Hotel!Q13</f>
        <v>580</v>
      </c>
      <c r="F8" s="4">
        <f>Hotel!R13</f>
        <v>2010</v>
      </c>
      <c r="G8" s="4">
        <f>Hotel!S13</f>
        <v>3460</v>
      </c>
      <c r="H8" s="4">
        <f>Hotel!T13</f>
        <v>1430</v>
      </c>
      <c r="I8" s="4">
        <f>Hotel!U13</f>
        <v>2610</v>
      </c>
      <c r="J8" s="4">
        <f>Hotel!V13</f>
        <v>2760</v>
      </c>
      <c r="K8" s="4">
        <f>Hotel!W13</f>
        <v>2100</v>
      </c>
      <c r="L8" s="4">
        <f>Hotel!X13</f>
        <v>1890</v>
      </c>
      <c r="M8" s="4">
        <f>Hotel!Y13</f>
        <v>2170</v>
      </c>
      <c r="N8" s="4">
        <f>Hotel!Z13</f>
        <v>2340</v>
      </c>
      <c r="O8" s="4">
        <f>Hotel!AA13</f>
        <v>2730</v>
      </c>
      <c r="P8" s="4">
        <f>Hotel!AB13</f>
        <v>4140</v>
      </c>
      <c r="Q8" s="4">
        <f>Hotel!AC13</f>
        <v>3970</v>
      </c>
      <c r="R8" s="4">
        <f>Hotel!AV13*0.00378541*100</f>
        <v>1501.672147</v>
      </c>
      <c r="S8" s="4">
        <f>Hotel!B13</f>
        <v>4</v>
      </c>
    </row>
    <row r="9" spans="1:19" x14ac:dyDescent="0.25">
      <c r="A9" s="21" t="s">
        <v>31</v>
      </c>
      <c r="B9" s="2">
        <f t="shared" si="0"/>
        <v>8</v>
      </c>
      <c r="C9" s="10">
        <v>4</v>
      </c>
      <c r="D9" s="2">
        <v>2020</v>
      </c>
      <c r="E9" s="4">
        <f>Hotel!Q14</f>
        <v>530</v>
      </c>
      <c r="F9" s="4">
        <f>Hotel!R14</f>
        <v>1800</v>
      </c>
      <c r="G9" s="4">
        <f>Hotel!S14</f>
        <v>3080</v>
      </c>
      <c r="H9" s="4">
        <f>Hotel!T14</f>
        <v>1350</v>
      </c>
      <c r="I9" s="4">
        <f>Hotel!U14</f>
        <v>2690</v>
      </c>
      <c r="J9" s="4">
        <f>Hotel!V14</f>
        <v>2060</v>
      </c>
      <c r="K9" s="4">
        <f>Hotel!W14</f>
        <v>2000</v>
      </c>
      <c r="L9" s="4">
        <f>Hotel!X14</f>
        <v>1400</v>
      </c>
      <c r="M9" s="4">
        <f>Hotel!Y14</f>
        <v>2120</v>
      </c>
      <c r="N9" s="4">
        <f>Hotel!Z14</f>
        <v>2060</v>
      </c>
      <c r="O9" s="4">
        <f>Hotel!AA14</f>
        <v>2000</v>
      </c>
      <c r="P9" s="4">
        <f>Hotel!AB14</f>
        <v>4000</v>
      </c>
      <c r="Q9" s="4">
        <f>Hotel!AC14</f>
        <v>4080</v>
      </c>
      <c r="R9" s="4">
        <f>Hotel!AV14*0.00378541*100</f>
        <v>155.58035100000001</v>
      </c>
      <c r="S9" s="4">
        <f>Hotel!B14</f>
        <v>8</v>
      </c>
    </row>
    <row r="10" spans="1:19" x14ac:dyDescent="0.25">
      <c r="A10" s="21" t="s">
        <v>31</v>
      </c>
      <c r="B10" s="2">
        <f t="shared" si="0"/>
        <v>9</v>
      </c>
      <c r="C10" s="10">
        <v>4</v>
      </c>
      <c r="D10" s="2">
        <v>2020</v>
      </c>
      <c r="E10" s="4">
        <f>Hotel!Q15</f>
        <v>560</v>
      </c>
      <c r="F10" s="4">
        <f>Hotel!R15</f>
        <v>1910</v>
      </c>
      <c r="G10" s="4">
        <f>Hotel!S15</f>
        <v>3330</v>
      </c>
      <c r="H10" s="4">
        <f>Hotel!T15</f>
        <v>1380</v>
      </c>
      <c r="I10" s="4">
        <f>Hotel!U15</f>
        <v>2940</v>
      </c>
      <c r="J10" s="4">
        <f>Hotel!V15</f>
        <v>2270</v>
      </c>
      <c r="K10" s="4">
        <f>Hotel!W15</f>
        <v>2130</v>
      </c>
      <c r="L10" s="4">
        <f>Hotel!X15</f>
        <v>1480</v>
      </c>
      <c r="M10" s="4">
        <f>Hotel!Y15</f>
        <v>2280</v>
      </c>
      <c r="N10" s="4">
        <f>Hotel!Z15</f>
        <v>2360</v>
      </c>
      <c r="O10" s="4">
        <f>Hotel!AA15</f>
        <v>1920</v>
      </c>
      <c r="P10" s="4">
        <f>Hotel!AB15</f>
        <v>4230</v>
      </c>
      <c r="Q10" s="4">
        <f>Hotel!AC15</f>
        <v>4370</v>
      </c>
      <c r="R10" s="4">
        <f>Hotel!AV15*0.00378541*100</f>
        <v>566.29733599999997</v>
      </c>
      <c r="S10" s="4">
        <f>Hotel!B15</f>
        <v>14</v>
      </c>
    </row>
    <row r="11" spans="1:19" x14ac:dyDescent="0.25">
      <c r="A11" s="21" t="s">
        <v>31</v>
      </c>
      <c r="B11" s="2">
        <f t="shared" si="0"/>
        <v>10</v>
      </c>
      <c r="C11" s="10">
        <v>4</v>
      </c>
      <c r="D11" s="2">
        <v>2020</v>
      </c>
      <c r="E11" s="4">
        <f>Hotel!Q16</f>
        <v>570</v>
      </c>
      <c r="F11" s="4">
        <f>Hotel!R16</f>
        <v>1906</v>
      </c>
      <c r="G11" s="4">
        <f>Hotel!S16</f>
        <v>3510</v>
      </c>
      <c r="H11" s="4">
        <f>Hotel!T16</f>
        <v>1340</v>
      </c>
      <c r="I11" s="4">
        <f>Hotel!U16</f>
        <v>3040</v>
      </c>
      <c r="J11" s="4">
        <f>Hotel!V16</f>
        <v>2190</v>
      </c>
      <c r="K11" s="4">
        <f>Hotel!W16</f>
        <v>2100</v>
      </c>
      <c r="L11" s="4">
        <f>Hotel!X16</f>
        <v>1340</v>
      </c>
      <c r="M11" s="4">
        <f>Hotel!Y16</f>
        <v>2550</v>
      </c>
      <c r="N11" s="4">
        <f>Hotel!Z16</f>
        <v>2320</v>
      </c>
      <c r="O11" s="4">
        <f>Hotel!AA16</f>
        <v>2120</v>
      </c>
      <c r="P11" s="4">
        <f>Hotel!AB16</f>
        <v>4200</v>
      </c>
      <c r="Q11" s="4">
        <f>Hotel!AC16</f>
        <v>4540</v>
      </c>
      <c r="R11" s="4">
        <f>Hotel!AV16*0.00378541*100</f>
        <v>418.66634600000003</v>
      </c>
      <c r="S11" s="4">
        <f>Hotel!B16</f>
        <v>13</v>
      </c>
    </row>
    <row r="12" spans="1:19" x14ac:dyDescent="0.25">
      <c r="A12" s="21" t="s">
        <v>31</v>
      </c>
      <c r="B12" s="2">
        <f t="shared" si="0"/>
        <v>11</v>
      </c>
      <c r="C12" s="10">
        <v>4</v>
      </c>
      <c r="D12" s="2">
        <v>2020</v>
      </c>
      <c r="E12" s="4">
        <f>Hotel!Q17</f>
        <v>560</v>
      </c>
      <c r="F12" s="4">
        <f>Hotel!R17</f>
        <v>1914</v>
      </c>
      <c r="G12" s="4">
        <f>Hotel!S17</f>
        <v>3290</v>
      </c>
      <c r="H12" s="4">
        <f>Hotel!T17</f>
        <v>1440</v>
      </c>
      <c r="I12" s="4">
        <f>Hotel!U17</f>
        <v>3290</v>
      </c>
      <c r="J12" s="4">
        <f>Hotel!V17</f>
        <v>2380</v>
      </c>
      <c r="K12" s="4">
        <f>Hotel!W17</f>
        <v>2150</v>
      </c>
      <c r="L12" s="4">
        <f>Hotel!X17</f>
        <v>1400</v>
      </c>
      <c r="M12" s="4">
        <f>Hotel!Y17</f>
        <v>2830</v>
      </c>
      <c r="N12" s="4">
        <f>Hotel!Z17</f>
        <v>2300</v>
      </c>
      <c r="O12" s="4">
        <f>Hotel!AA17</f>
        <v>2410</v>
      </c>
      <c r="P12" s="4">
        <f>Hotel!AB17</f>
        <v>4060</v>
      </c>
      <c r="Q12" s="4">
        <f>Hotel!AC17</f>
        <v>4730</v>
      </c>
      <c r="R12" s="4">
        <f>Hotel!AV17*0.00378541*100</f>
        <v>540.93508899999995</v>
      </c>
      <c r="S12" s="4">
        <f>Hotel!B17</f>
        <v>5</v>
      </c>
    </row>
    <row r="13" spans="1:19" x14ac:dyDescent="0.25">
      <c r="A13" s="21" t="s">
        <v>31</v>
      </c>
      <c r="B13" s="2">
        <f t="shared" si="0"/>
        <v>12</v>
      </c>
      <c r="C13" s="10">
        <v>4</v>
      </c>
      <c r="D13" s="2">
        <v>2020</v>
      </c>
      <c r="E13" s="4">
        <f>Hotel!Q18</f>
        <v>570</v>
      </c>
      <c r="F13" s="4">
        <f>Hotel!R18</f>
        <v>1910</v>
      </c>
      <c r="G13" s="4">
        <f>Hotel!S18</f>
        <v>2910</v>
      </c>
      <c r="H13" s="4">
        <f>Hotel!T18</f>
        <v>1330</v>
      </c>
      <c r="I13" s="4">
        <f>Hotel!U18</f>
        <v>3070</v>
      </c>
      <c r="J13" s="4">
        <f>Hotel!V18</f>
        <v>2380</v>
      </c>
      <c r="K13" s="4">
        <f>Hotel!W18</f>
        <v>2130</v>
      </c>
      <c r="L13" s="4">
        <f>Hotel!X18</f>
        <v>1440</v>
      </c>
      <c r="M13" s="4">
        <f>Hotel!Y18</f>
        <v>2980</v>
      </c>
      <c r="N13" s="4">
        <f>Hotel!Z18</f>
        <v>2260</v>
      </c>
      <c r="O13" s="4">
        <f>Hotel!AA18</f>
        <v>2300</v>
      </c>
      <c r="P13" s="4">
        <f>Hotel!AB18</f>
        <v>3930</v>
      </c>
      <c r="Q13" s="4">
        <f>Hotel!AC18</f>
        <v>4970</v>
      </c>
      <c r="R13" s="4">
        <f>Hotel!AV18*0.00378541*100</f>
        <v>164.665335</v>
      </c>
      <c r="S13" s="4">
        <f>Hotel!B18</f>
        <v>5</v>
      </c>
    </row>
    <row r="14" spans="1:19" x14ac:dyDescent="0.25">
      <c r="A14" s="21" t="s">
        <v>31</v>
      </c>
      <c r="B14" s="2">
        <f t="shared" si="0"/>
        <v>13</v>
      </c>
      <c r="C14" s="10">
        <v>4</v>
      </c>
      <c r="D14" s="2">
        <v>2020</v>
      </c>
      <c r="E14" s="4">
        <f>Hotel!Q19</f>
        <v>550</v>
      </c>
      <c r="F14" s="4">
        <f>Hotel!R19</f>
        <v>1850</v>
      </c>
      <c r="G14" s="4">
        <f>Hotel!S19</f>
        <v>2790</v>
      </c>
      <c r="H14" s="4">
        <f>Hotel!T19</f>
        <v>1470</v>
      </c>
      <c r="I14" s="4">
        <f>Hotel!U19</f>
        <v>2810</v>
      </c>
      <c r="J14" s="4">
        <f>Hotel!V19</f>
        <v>2320</v>
      </c>
      <c r="K14" s="4">
        <f>Hotel!W19</f>
        <v>2040</v>
      </c>
      <c r="L14" s="4">
        <f>Hotel!X19</f>
        <v>1290</v>
      </c>
      <c r="M14" s="4">
        <f>Hotel!Y19</f>
        <v>2980</v>
      </c>
      <c r="N14" s="4">
        <f>Hotel!Z19</f>
        <v>2210</v>
      </c>
      <c r="O14" s="4">
        <f>Hotel!AA19</f>
        <v>2130</v>
      </c>
      <c r="P14" s="4">
        <f>Hotel!AB19</f>
        <v>4090</v>
      </c>
      <c r="Q14" s="4">
        <f>Hotel!AC19</f>
        <v>5640</v>
      </c>
      <c r="R14" s="4">
        <f>Hotel!AV19*0.00378541*100</f>
        <v>393.30409900000001</v>
      </c>
      <c r="S14" s="4">
        <f>Hotel!B19</f>
        <v>4</v>
      </c>
    </row>
    <row r="15" spans="1:19" x14ac:dyDescent="0.25">
      <c r="A15" s="21" t="s">
        <v>31</v>
      </c>
      <c r="B15" s="2">
        <f t="shared" si="0"/>
        <v>14</v>
      </c>
      <c r="C15" s="10">
        <v>4</v>
      </c>
      <c r="D15" s="2">
        <v>2020</v>
      </c>
      <c r="E15" s="4">
        <f>Hotel!Q20</f>
        <v>550</v>
      </c>
      <c r="F15" s="4">
        <f>Hotel!R20</f>
        <v>1860</v>
      </c>
      <c r="G15" s="4">
        <f>Hotel!S20</f>
        <v>2650</v>
      </c>
      <c r="H15" s="4">
        <f>Hotel!T20</f>
        <v>1360</v>
      </c>
      <c r="I15" s="4">
        <f>Hotel!U20</f>
        <v>2630</v>
      </c>
      <c r="J15" s="4">
        <f>Hotel!V20</f>
        <v>2380</v>
      </c>
      <c r="K15" s="4">
        <f>Hotel!W20</f>
        <v>2000</v>
      </c>
      <c r="L15" s="4">
        <f>Hotel!X20</f>
        <v>1390</v>
      </c>
      <c r="M15" s="4">
        <f>Hotel!Y20</f>
        <v>2680</v>
      </c>
      <c r="N15" s="4">
        <f>Hotel!Z20</f>
        <v>2230</v>
      </c>
      <c r="O15" s="4">
        <f>Hotel!AA20</f>
        <v>1870</v>
      </c>
      <c r="P15" s="4">
        <f>Hotel!AB20</f>
        <v>3320</v>
      </c>
      <c r="Q15" s="4">
        <f>Hotel!AC20</f>
        <v>5130</v>
      </c>
      <c r="R15" s="4">
        <f>Hotel!AV20*0.00378541*100</f>
        <v>711.65707999999995</v>
      </c>
      <c r="S15" s="4">
        <f>Hotel!B20</f>
        <v>4</v>
      </c>
    </row>
    <row r="16" spans="1:19" x14ac:dyDescent="0.25">
      <c r="A16" s="21" t="s">
        <v>31</v>
      </c>
      <c r="B16" s="2">
        <f t="shared" si="0"/>
        <v>15</v>
      </c>
      <c r="C16" s="10">
        <v>4</v>
      </c>
      <c r="D16" s="2">
        <v>2020</v>
      </c>
      <c r="E16" s="4">
        <f>Hotel!Q21</f>
        <v>550</v>
      </c>
      <c r="F16" s="4">
        <f>Hotel!R21</f>
        <v>2000</v>
      </c>
      <c r="G16" s="4">
        <f>Hotel!S21</f>
        <v>2100</v>
      </c>
      <c r="H16" s="4">
        <f>Hotel!T21</f>
        <v>1360</v>
      </c>
      <c r="I16" s="4">
        <f>Hotel!U21</f>
        <v>2630</v>
      </c>
      <c r="J16" s="4">
        <f>Hotel!V21</f>
        <v>2380</v>
      </c>
      <c r="K16" s="4">
        <f>Hotel!W21</f>
        <v>2000</v>
      </c>
      <c r="L16" s="4">
        <f>Hotel!X21</f>
        <v>1390</v>
      </c>
      <c r="M16" s="4">
        <f>Hotel!Y21</f>
        <v>2680</v>
      </c>
      <c r="N16" s="4">
        <f>Hotel!Z21</f>
        <v>2230</v>
      </c>
      <c r="O16" s="4">
        <f>Hotel!AA21</f>
        <v>1870</v>
      </c>
      <c r="P16" s="4">
        <f>Hotel!AB21</f>
        <v>3320</v>
      </c>
      <c r="Q16" s="4">
        <f>Hotel!AC21</f>
        <v>5130</v>
      </c>
      <c r="R16" s="4">
        <f>Hotel!AV21*0.00378541*100</f>
        <v>436.07923199999999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4</v>
      </c>
      <c r="D17" s="2">
        <v>2020</v>
      </c>
      <c r="E17" s="4">
        <f>Hotel!Q22</f>
        <v>560</v>
      </c>
      <c r="F17" s="4">
        <f>Hotel!R22</f>
        <v>6650</v>
      </c>
      <c r="G17" s="4">
        <f>Hotel!S22</f>
        <v>1540</v>
      </c>
      <c r="H17" s="4">
        <f>Hotel!T22</f>
        <v>1450</v>
      </c>
      <c r="I17" s="4">
        <f>Hotel!U22</f>
        <v>2640</v>
      </c>
      <c r="J17" s="4">
        <f>Hotel!V22</f>
        <v>2560</v>
      </c>
      <c r="K17" s="4">
        <f>Hotel!W22</f>
        <v>2160</v>
      </c>
      <c r="L17" s="4">
        <f>Hotel!X22</f>
        <v>1620</v>
      </c>
      <c r="M17" s="4">
        <f>Hotel!Y22</f>
        <v>2330</v>
      </c>
      <c r="N17" s="4">
        <f>Hotel!Z22</f>
        <v>2320</v>
      </c>
      <c r="O17" s="4">
        <f>Hotel!AA22</f>
        <v>1630</v>
      </c>
      <c r="P17" s="4">
        <f>Hotel!AB22</f>
        <v>2770</v>
      </c>
      <c r="Q17" s="4">
        <f>Hotel!AC22</f>
        <v>4410</v>
      </c>
      <c r="R17" s="4">
        <f>Hotel!AV22*0.00378541*100</f>
        <v>436.45777299999997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4</v>
      </c>
      <c r="D18" s="2">
        <v>2020</v>
      </c>
      <c r="E18" s="4">
        <f>Hotel!Q23</f>
        <v>530</v>
      </c>
      <c r="F18" s="4">
        <f>Hotel!R23</f>
        <v>9750</v>
      </c>
      <c r="G18" s="4">
        <f>Hotel!S23</f>
        <v>0</v>
      </c>
      <c r="H18" s="4">
        <f>Hotel!T23</f>
        <v>1410</v>
      </c>
      <c r="I18" s="4">
        <f>Hotel!U23</f>
        <v>2820</v>
      </c>
      <c r="J18" s="4">
        <f>Hotel!V23</f>
        <v>2330</v>
      </c>
      <c r="K18" s="4">
        <f>Hotel!W23</f>
        <v>2040</v>
      </c>
      <c r="L18" s="4">
        <f>Hotel!X23</f>
        <v>1460</v>
      </c>
      <c r="M18" s="4">
        <f>Hotel!Y23</f>
        <v>2220</v>
      </c>
      <c r="N18" s="4">
        <f>Hotel!Z23</f>
        <v>2250</v>
      </c>
      <c r="O18" s="4">
        <f>Hotel!AA23</f>
        <v>1880</v>
      </c>
      <c r="P18" s="4">
        <f>Hotel!AB23</f>
        <v>3030</v>
      </c>
      <c r="Q18" s="4">
        <f>Hotel!AC23</f>
        <v>4710</v>
      </c>
      <c r="R18" s="4">
        <f>Hotel!AV23*0.00378541*100</f>
        <v>317.21735799999999</v>
      </c>
      <c r="S18" s="4">
        <f>Hotel!B23</f>
        <v>7</v>
      </c>
    </row>
    <row r="19" spans="1:19" x14ac:dyDescent="0.25">
      <c r="A19" s="21" t="s">
        <v>31</v>
      </c>
      <c r="B19" s="2">
        <f t="shared" si="0"/>
        <v>18</v>
      </c>
      <c r="C19" s="10">
        <v>4</v>
      </c>
      <c r="D19" s="2">
        <v>2020</v>
      </c>
      <c r="E19" s="4">
        <f>Hotel!Q24</f>
        <v>530</v>
      </c>
      <c r="F19" s="4">
        <f>Hotel!R24</f>
        <v>9550</v>
      </c>
      <c r="G19" s="4">
        <f>Hotel!S24</f>
        <v>0</v>
      </c>
      <c r="H19" s="4">
        <f>Hotel!T24</f>
        <v>1370</v>
      </c>
      <c r="I19" s="4">
        <f>Hotel!U24</f>
        <v>2700</v>
      </c>
      <c r="J19" s="4">
        <f>Hotel!V24</f>
        <v>2250</v>
      </c>
      <c r="K19" s="4">
        <f>Hotel!W24</f>
        <v>1990</v>
      </c>
      <c r="L19" s="4">
        <f>Hotel!X24</f>
        <v>1400</v>
      </c>
      <c r="M19" s="4">
        <f>Hotel!Y24</f>
        <v>1840</v>
      </c>
      <c r="N19" s="4">
        <f>Hotel!Z24</f>
        <v>2220</v>
      </c>
      <c r="O19" s="4">
        <f>Hotel!AA24</f>
        <v>1590</v>
      </c>
      <c r="P19" s="4">
        <f>Hotel!AB24</f>
        <v>3160</v>
      </c>
      <c r="Q19" s="4">
        <f>Hotel!AC24</f>
        <v>4760</v>
      </c>
      <c r="R19" s="4">
        <f>Hotel!AV24*0.00378541*100</f>
        <v>291.47656999999998</v>
      </c>
      <c r="S19" s="4">
        <f>Hotel!B24</f>
        <v>5</v>
      </c>
    </row>
    <row r="20" spans="1:19" x14ac:dyDescent="0.25">
      <c r="A20" s="21" t="s">
        <v>31</v>
      </c>
      <c r="B20" s="2">
        <f t="shared" si="0"/>
        <v>19</v>
      </c>
      <c r="C20" s="10">
        <v>4</v>
      </c>
      <c r="D20" s="2">
        <v>2020</v>
      </c>
      <c r="E20" s="4">
        <f>Hotel!Q25</f>
        <v>550</v>
      </c>
      <c r="F20" s="4">
        <f>Hotel!R25</f>
        <v>10240</v>
      </c>
      <c r="G20" s="4">
        <f>Hotel!S25</f>
        <v>0</v>
      </c>
      <c r="H20" s="4">
        <f>Hotel!T25</f>
        <v>1440</v>
      </c>
      <c r="I20" s="4">
        <f>Hotel!U25</f>
        <v>2940</v>
      </c>
      <c r="J20" s="4">
        <f>Hotel!V25</f>
        <v>2260</v>
      </c>
      <c r="K20" s="4">
        <f>Hotel!W25</f>
        <v>2110</v>
      </c>
      <c r="L20" s="4">
        <f>Hotel!X25</f>
        <v>1450</v>
      </c>
      <c r="M20" s="4">
        <f>Hotel!Y25</f>
        <v>1930</v>
      </c>
      <c r="N20" s="4">
        <f>Hotel!Z25</f>
        <v>2360</v>
      </c>
      <c r="O20" s="4">
        <f>Hotel!AA25</f>
        <v>2140</v>
      </c>
      <c r="P20" s="4">
        <f>Hotel!AB25</f>
        <v>3500</v>
      </c>
      <c r="Q20" s="4">
        <f>Hotel!AC25</f>
        <v>5040</v>
      </c>
      <c r="R20" s="4">
        <f>Hotel!AV25*0.00378541*100</f>
        <v>123.78290699999998</v>
      </c>
      <c r="S20" s="4">
        <f>Hotel!B25</f>
        <v>8</v>
      </c>
    </row>
    <row r="21" spans="1:19" x14ac:dyDescent="0.25">
      <c r="A21" s="21" t="s">
        <v>31</v>
      </c>
      <c r="B21" s="2">
        <f t="shared" si="0"/>
        <v>20</v>
      </c>
      <c r="C21" s="10">
        <v>4</v>
      </c>
      <c r="D21" s="2">
        <v>2020</v>
      </c>
      <c r="E21" s="4">
        <f>Hotel!Q26</f>
        <v>560</v>
      </c>
      <c r="F21" s="4">
        <f>Hotel!R26</f>
        <v>10400</v>
      </c>
      <c r="G21" s="4">
        <f>Hotel!S26</f>
        <v>0</v>
      </c>
      <c r="H21" s="4">
        <f>Hotel!T26</f>
        <v>1410</v>
      </c>
      <c r="I21" s="4">
        <f>Hotel!U26</f>
        <v>3050</v>
      </c>
      <c r="J21" s="4">
        <f>Hotel!V26</f>
        <v>2320</v>
      </c>
      <c r="K21" s="4">
        <f>Hotel!W26</f>
        <v>2130</v>
      </c>
      <c r="L21" s="4">
        <f>Hotel!X26</f>
        <v>1290</v>
      </c>
      <c r="M21" s="4">
        <f>Hotel!Y26</f>
        <v>1930</v>
      </c>
      <c r="N21" s="4">
        <f>Hotel!Z26</f>
        <v>2370</v>
      </c>
      <c r="O21" s="4">
        <f>Hotel!AA26</f>
        <v>1630</v>
      </c>
      <c r="P21" s="4">
        <f>Hotel!AB26</f>
        <v>3690</v>
      </c>
      <c r="Q21" s="4">
        <f>Hotel!AC26</f>
        <v>5100</v>
      </c>
      <c r="R21" s="4">
        <f>Hotel!AV26*0.00378541*100</f>
        <v>467.11959399999995</v>
      </c>
      <c r="S21" s="4">
        <f>Hotel!B26</f>
        <v>10</v>
      </c>
    </row>
    <row r="22" spans="1:19" x14ac:dyDescent="0.25">
      <c r="A22" s="21" t="s">
        <v>31</v>
      </c>
      <c r="B22" s="2">
        <f t="shared" si="0"/>
        <v>21</v>
      </c>
      <c r="C22" s="10">
        <v>4</v>
      </c>
      <c r="D22" s="2">
        <v>2020</v>
      </c>
      <c r="E22" s="4" t="str">
        <f>Hotel!Q27</f>
        <v>0</v>
      </c>
      <c r="F22" s="4" t="str">
        <f>Hotel!R27</f>
        <v>0</v>
      </c>
      <c r="G22" s="4" t="str">
        <f>Hotel!S27</f>
        <v>0</v>
      </c>
      <c r="H22" s="4" t="str">
        <f>Hotel!T27</f>
        <v>0</v>
      </c>
      <c r="I22" s="4" t="str">
        <f>Hotel!U27</f>
        <v>0</v>
      </c>
      <c r="J22" s="4" t="str">
        <f>Hotel!V27</f>
        <v>0</v>
      </c>
      <c r="K22" s="4" t="str">
        <f>Hotel!W27</f>
        <v>0</v>
      </c>
      <c r="L22" s="4" t="str">
        <f>Hotel!X27</f>
        <v>0</v>
      </c>
      <c r="M22" s="4" t="str">
        <f>Hotel!Y27</f>
        <v>0</v>
      </c>
      <c r="N22" s="4" t="str">
        <f>Hotel!Z27</f>
        <v>0</v>
      </c>
      <c r="O22" s="4" t="str">
        <f>Hotel!AA27</f>
        <v>0</v>
      </c>
      <c r="P22" s="4" t="str">
        <f>Hotel!AB27</f>
        <v>0</v>
      </c>
      <c r="Q22" s="4" t="str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4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4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4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4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4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4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4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4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4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4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4" zoomScale="93" zoomScaleNormal="93" workbookViewId="0">
      <selection activeCell="AP33" sqref="AP3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43921</v>
      </c>
      <c r="B2" s="40">
        <v>10</v>
      </c>
      <c r="C2" s="24">
        <v>5972110</v>
      </c>
      <c r="D2" s="24">
        <v>12917870</v>
      </c>
      <c r="E2" s="24">
        <v>1603830</v>
      </c>
      <c r="F2" s="24">
        <v>2774540</v>
      </c>
      <c r="G2" s="24">
        <v>8633410</v>
      </c>
      <c r="H2" s="24">
        <v>4267620</v>
      </c>
      <c r="I2" s="24">
        <v>4099910</v>
      </c>
      <c r="J2" s="24">
        <v>4698530</v>
      </c>
      <c r="K2" s="24">
        <v>7408570</v>
      </c>
      <c r="L2" s="24">
        <v>2755500</v>
      </c>
      <c r="M2" s="24">
        <v>6699730</v>
      </c>
      <c r="N2" s="24">
        <v>9438740</v>
      </c>
      <c r="O2" s="24">
        <v>12901680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873470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873470</v>
      </c>
    </row>
    <row r="7" spans="1:49" x14ac:dyDescent="0.25">
      <c r="A7" s="23">
        <v>43922</v>
      </c>
      <c r="B7" s="40">
        <v>80</v>
      </c>
      <c r="C7" s="24">
        <v>5972690</v>
      </c>
      <c r="D7" s="24">
        <v>12917870</v>
      </c>
      <c r="E7" s="24">
        <v>1606340</v>
      </c>
      <c r="F7" s="24">
        <v>2775960</v>
      </c>
      <c r="G7" s="24">
        <v>8636050</v>
      </c>
      <c r="H7" s="24">
        <v>4270110</v>
      </c>
      <c r="I7" s="24">
        <v>4102000</v>
      </c>
      <c r="J7" s="24">
        <v>4699470</v>
      </c>
      <c r="K7" s="24">
        <v>7410690</v>
      </c>
      <c r="L7" s="24">
        <v>2757400</v>
      </c>
      <c r="M7" s="24">
        <v>6700750</v>
      </c>
      <c r="N7" s="24">
        <v>9442830</v>
      </c>
      <c r="O7" s="24">
        <v>12904750</v>
      </c>
      <c r="Q7" s="37">
        <f>IF((C7-C2&lt;0), "0",C7-C2)</f>
        <v>580</v>
      </c>
      <c r="R7" s="37">
        <f t="shared" ref="R7:AC7" si="0">IF((D7-D2&lt;0), "0",D7-D2)</f>
        <v>0</v>
      </c>
      <c r="S7" s="37">
        <f>IF((E7-E2&lt;0), "0",E7-E2)</f>
        <v>2510</v>
      </c>
      <c r="T7" s="37">
        <f t="shared" si="0"/>
        <v>1420</v>
      </c>
      <c r="U7" s="37">
        <f t="shared" si="0"/>
        <v>2640</v>
      </c>
      <c r="V7" s="37">
        <f t="shared" si="0"/>
        <v>2490</v>
      </c>
      <c r="W7" s="37">
        <f t="shared" si="0"/>
        <v>2090</v>
      </c>
      <c r="X7" s="37">
        <f t="shared" si="0"/>
        <v>940</v>
      </c>
      <c r="Y7" s="37">
        <f t="shared" si="0"/>
        <v>2120</v>
      </c>
      <c r="Z7" s="37">
        <f t="shared" si="0"/>
        <v>1900</v>
      </c>
      <c r="AA7" s="37">
        <f t="shared" si="0"/>
        <v>1020</v>
      </c>
      <c r="AB7" s="37">
        <f t="shared" si="0"/>
        <v>4090</v>
      </c>
      <c r="AC7" s="37">
        <f t="shared" si="0"/>
        <v>3070</v>
      </c>
      <c r="AD7" s="34">
        <f>SUM(Q7:AC7)</f>
        <v>24870</v>
      </c>
      <c r="AF7" s="20">
        <f t="shared" ref="AF7:AF36" si="1">Q7*$D$39</f>
        <v>2.9</v>
      </c>
      <c r="AG7" s="20">
        <f t="shared" ref="AG7:AG36" si="2">R7*$D$39</f>
        <v>0</v>
      </c>
      <c r="AH7" s="20">
        <f t="shared" ref="AH7:AH36" si="3">S7*$D$39</f>
        <v>12.55</v>
      </c>
      <c r="AI7" s="20">
        <f t="shared" ref="AI7:AI36" si="4">T7*$D$39</f>
        <v>7.1000000000000005</v>
      </c>
      <c r="AJ7" s="20">
        <f t="shared" ref="AJ7:AJ36" si="5">U7*$D$39</f>
        <v>13.200000000000001</v>
      </c>
      <c r="AK7" s="20">
        <f t="shared" ref="AK7:AK36" si="6">V7*$D$39</f>
        <v>12.450000000000001</v>
      </c>
      <c r="AL7" s="20">
        <f t="shared" ref="AL7:AL36" si="7">W7*$D$39</f>
        <v>10.450000000000001</v>
      </c>
      <c r="AM7" s="20">
        <f t="shared" ref="AM7:AM36" si="8">X7*$D$39</f>
        <v>4.7</v>
      </c>
      <c r="AN7" s="20">
        <f t="shared" ref="AN7:AN36" si="9">Y7*$D$39</f>
        <v>10.6</v>
      </c>
      <c r="AO7" s="20">
        <f t="shared" ref="AO7:AO36" si="10">Z7*$D$39</f>
        <v>9.5</v>
      </c>
      <c r="AP7" s="20">
        <f t="shared" ref="AP7:AP36" si="11">AA7*$D$39</f>
        <v>5.1000000000000005</v>
      </c>
      <c r="AQ7" s="20">
        <f t="shared" ref="AQ7:AQ36" si="12">AB7*$D$39</f>
        <v>20.45</v>
      </c>
      <c r="AR7" s="20">
        <f t="shared" ref="AR7:AR36" si="13">AC7*$D$39</f>
        <v>15.35</v>
      </c>
      <c r="AS7" s="35">
        <f>SUM(AF7:AR7)</f>
        <v>124.35</v>
      </c>
      <c r="AU7" s="47">
        <v>874559</v>
      </c>
      <c r="AV7" s="37">
        <f>IF((AU7-AU6&lt;0),"0",AU7-AU6)</f>
        <v>1089</v>
      </c>
      <c r="AW7" s="50">
        <v>0</v>
      </c>
    </row>
    <row r="8" spans="1:49" x14ac:dyDescent="0.25">
      <c r="A8" s="23">
        <v>43923</v>
      </c>
      <c r="B8" s="40">
        <v>80</v>
      </c>
      <c r="C8" s="24">
        <v>5973260</v>
      </c>
      <c r="D8" s="24">
        <v>12921730</v>
      </c>
      <c r="E8" s="24">
        <v>1609060</v>
      </c>
      <c r="F8" s="24">
        <v>2777380</v>
      </c>
      <c r="G8" s="24">
        <v>8638830</v>
      </c>
      <c r="H8" s="24">
        <v>4272390</v>
      </c>
      <c r="I8" s="24">
        <v>4104120</v>
      </c>
      <c r="J8" s="24">
        <v>4700420</v>
      </c>
      <c r="K8" s="24">
        <v>7412810</v>
      </c>
      <c r="L8" s="24">
        <v>2759640</v>
      </c>
      <c r="M8" s="24">
        <v>6701980</v>
      </c>
      <c r="N8" s="24">
        <v>9446900</v>
      </c>
      <c r="O8" s="24">
        <v>12908060</v>
      </c>
      <c r="Q8" s="37">
        <f>IF((C8-C7&lt;0), "0",C8-C7)</f>
        <v>570</v>
      </c>
      <c r="R8" s="37">
        <f t="shared" ref="R8:AC8" si="14">IF((D8-D7&lt;0), "0",D8-D7)</f>
        <v>3860</v>
      </c>
      <c r="S8" s="37">
        <f t="shared" ref="S8:S35" si="15">IF((E8-E7&lt;0), "0",E8-E7)</f>
        <v>2720</v>
      </c>
      <c r="T8" s="37">
        <f t="shared" si="14"/>
        <v>1420</v>
      </c>
      <c r="U8" s="37">
        <f t="shared" si="14"/>
        <v>2780</v>
      </c>
      <c r="V8" s="37">
        <f t="shared" si="14"/>
        <v>2280</v>
      </c>
      <c r="W8" s="37">
        <f t="shared" si="14"/>
        <v>2120</v>
      </c>
      <c r="X8" s="37">
        <f t="shared" si="14"/>
        <v>950</v>
      </c>
      <c r="Y8" s="37">
        <f t="shared" si="14"/>
        <v>2120</v>
      </c>
      <c r="Z8" s="37">
        <f t="shared" si="14"/>
        <v>2240</v>
      </c>
      <c r="AA8" s="37">
        <f t="shared" si="14"/>
        <v>1230</v>
      </c>
      <c r="AB8" s="37">
        <f t="shared" si="14"/>
        <v>4070</v>
      </c>
      <c r="AC8" s="37">
        <f t="shared" si="14"/>
        <v>3310</v>
      </c>
      <c r="AD8" s="35">
        <f>SUM(Q8:AC8)</f>
        <v>29670</v>
      </c>
      <c r="AF8" s="20">
        <f t="shared" si="1"/>
        <v>2.85</v>
      </c>
      <c r="AG8" s="20">
        <f t="shared" si="2"/>
        <v>19.3</v>
      </c>
      <c r="AH8" s="20">
        <f t="shared" si="3"/>
        <v>13.6</v>
      </c>
      <c r="AI8" s="20">
        <f t="shared" si="4"/>
        <v>7.1000000000000005</v>
      </c>
      <c r="AJ8" s="20">
        <f t="shared" si="5"/>
        <v>13.9</v>
      </c>
      <c r="AK8" s="20">
        <f t="shared" si="6"/>
        <v>11.4</v>
      </c>
      <c r="AL8" s="20">
        <f t="shared" si="7"/>
        <v>10.6</v>
      </c>
      <c r="AM8" s="20">
        <f t="shared" si="8"/>
        <v>4.75</v>
      </c>
      <c r="AN8" s="20">
        <f t="shared" si="9"/>
        <v>10.6</v>
      </c>
      <c r="AO8" s="20">
        <f t="shared" si="10"/>
        <v>11.200000000000001</v>
      </c>
      <c r="AP8" s="20">
        <f t="shared" si="11"/>
        <v>6.15</v>
      </c>
      <c r="AQ8" s="20">
        <f t="shared" si="12"/>
        <v>20.350000000000001</v>
      </c>
      <c r="AR8" s="20">
        <f t="shared" si="13"/>
        <v>16.55</v>
      </c>
      <c r="AS8" s="35">
        <f>SUM(AF8:AR8)</f>
        <v>148.35000000000002</v>
      </c>
      <c r="AU8" s="47">
        <v>876135</v>
      </c>
      <c r="AV8" s="37">
        <f>IF((AU8-AU7&lt;0),"0",AU8-AU7)</f>
        <v>1576</v>
      </c>
      <c r="AW8" s="35">
        <v>0</v>
      </c>
    </row>
    <row r="9" spans="1:49" x14ac:dyDescent="0.25">
      <c r="A9" s="23">
        <v>43924</v>
      </c>
      <c r="B9" s="40">
        <v>79</v>
      </c>
      <c r="C9" s="24">
        <v>5973800</v>
      </c>
      <c r="D9" s="24">
        <v>12923530</v>
      </c>
      <c r="E9" s="24">
        <v>1611630</v>
      </c>
      <c r="F9" s="24">
        <v>2778720</v>
      </c>
      <c r="G9" s="24">
        <v>8641370</v>
      </c>
      <c r="H9" s="24">
        <v>4274430</v>
      </c>
      <c r="I9" s="24">
        <v>4106130</v>
      </c>
      <c r="J9" s="24">
        <v>4701370</v>
      </c>
      <c r="K9" s="24">
        <v>7414790</v>
      </c>
      <c r="L9" s="24">
        <v>2761700</v>
      </c>
      <c r="M9" s="24">
        <v>6703490</v>
      </c>
      <c r="N9" s="24">
        <v>9450960</v>
      </c>
      <c r="O9" s="24">
        <v>12911590</v>
      </c>
      <c r="Q9" s="37">
        <f t="shared" ref="Q9:Q30" si="16">IF((C9-C8&lt;0), "0",C9-C8)</f>
        <v>540</v>
      </c>
      <c r="R9" s="37">
        <f t="shared" ref="R9:R35" si="17">IF((D9-D8&lt;0), "0",D9-D8)</f>
        <v>1800</v>
      </c>
      <c r="S9" s="37">
        <f t="shared" si="15"/>
        <v>2570</v>
      </c>
      <c r="T9" s="37">
        <f t="shared" ref="T9:T35" si="18">IF((F9-F8&lt;0), "0",F9-F8)</f>
        <v>1340</v>
      </c>
      <c r="U9" s="37">
        <f t="shared" ref="U9:U35" si="19">IF((G9-G8&lt;0), "0",G9-G8)</f>
        <v>2540</v>
      </c>
      <c r="V9" s="37">
        <f t="shared" ref="V9:V35" si="20">IF((H9-H8&lt;0), "0",H9-H8)</f>
        <v>2040</v>
      </c>
      <c r="W9" s="37">
        <f t="shared" ref="W9:W35" si="21">IF((I9-I8&lt;0), "0",I9-I8)</f>
        <v>2010</v>
      </c>
      <c r="X9" s="37">
        <f t="shared" ref="X9:X35" si="22">IF((J9-J8&lt;0), "0",J9-J8)</f>
        <v>950</v>
      </c>
      <c r="Y9" s="37">
        <f t="shared" ref="Y9:Y35" si="23">IF((K9-K8&lt;0), "0",K9-K8)</f>
        <v>1980</v>
      </c>
      <c r="Z9" s="37">
        <f t="shared" ref="Z9:Z35" si="24">IF((L9-L8&lt;0), "0",L9-L8)</f>
        <v>2060</v>
      </c>
      <c r="AA9" s="37">
        <f t="shared" ref="AA9:AA35" si="25">IF((M9-M8&lt;0), "0",M9-M8)</f>
        <v>1510</v>
      </c>
      <c r="AB9" s="37">
        <f t="shared" ref="AB9:AB37" si="26">IF((N9-N8&lt;0), "0",N9-N8)</f>
        <v>4060</v>
      </c>
      <c r="AC9" s="37">
        <f t="shared" ref="AC9:AC37" si="27">IF((O9-O8&lt;0), "0",O9-O8)</f>
        <v>3530</v>
      </c>
      <c r="AD9" s="35">
        <f t="shared" ref="AD9:AD37" si="28">SUM(Q9:AC9)</f>
        <v>26930</v>
      </c>
      <c r="AF9" s="20">
        <f t="shared" si="1"/>
        <v>2.7</v>
      </c>
      <c r="AG9" s="20">
        <f t="shared" si="2"/>
        <v>9</v>
      </c>
      <c r="AH9" s="20">
        <f t="shared" si="3"/>
        <v>12.85</v>
      </c>
      <c r="AI9" s="20">
        <f t="shared" si="4"/>
        <v>6.7</v>
      </c>
      <c r="AJ9" s="20">
        <f t="shared" si="5"/>
        <v>12.700000000000001</v>
      </c>
      <c r="AK9" s="20">
        <f t="shared" si="6"/>
        <v>10.200000000000001</v>
      </c>
      <c r="AL9" s="20">
        <f t="shared" si="7"/>
        <v>10.050000000000001</v>
      </c>
      <c r="AM9" s="20">
        <f t="shared" si="8"/>
        <v>4.75</v>
      </c>
      <c r="AN9" s="20">
        <f t="shared" si="9"/>
        <v>9.9</v>
      </c>
      <c r="AO9" s="20">
        <f t="shared" si="10"/>
        <v>10.3</v>
      </c>
      <c r="AP9" s="20">
        <f t="shared" si="11"/>
        <v>7.55</v>
      </c>
      <c r="AQ9" s="20">
        <f t="shared" si="12"/>
        <v>20.3</v>
      </c>
      <c r="AR9" s="20">
        <f t="shared" si="13"/>
        <v>17.650000000000002</v>
      </c>
      <c r="AS9" s="35">
        <f t="shared" ref="AS9:AS33" si="29">SUM(AF9:AR9)</f>
        <v>134.65</v>
      </c>
      <c r="AU9" s="47">
        <v>877201</v>
      </c>
      <c r="AV9" s="37">
        <f>IF((AU9-AU8&lt;0),"0",AU9-AU8)</f>
        <v>1066</v>
      </c>
      <c r="AW9" s="35">
        <f t="shared" ref="AW9:AW35" si="30">AV9*$D$40</f>
        <v>2.1320000000000001</v>
      </c>
    </row>
    <row r="10" spans="1:49" x14ac:dyDescent="0.25">
      <c r="A10" s="23">
        <v>43925</v>
      </c>
      <c r="B10" s="40">
        <v>6</v>
      </c>
      <c r="C10" s="24">
        <v>5974360</v>
      </c>
      <c r="D10" s="24">
        <v>12925400</v>
      </c>
      <c r="E10" s="24">
        <v>1614290</v>
      </c>
      <c r="F10" s="24">
        <v>2780100</v>
      </c>
      <c r="G10" s="24">
        <v>8644100</v>
      </c>
      <c r="H10" s="24">
        <v>4276590</v>
      </c>
      <c r="I10" s="24">
        <v>4108210</v>
      </c>
      <c r="J10" s="24">
        <v>4702360</v>
      </c>
      <c r="K10" s="24">
        <v>7416930</v>
      </c>
      <c r="L10" s="24">
        <v>2763730</v>
      </c>
      <c r="M10" s="24">
        <v>6704950</v>
      </c>
      <c r="N10" s="24">
        <v>9455060</v>
      </c>
      <c r="O10" s="24">
        <v>12914970</v>
      </c>
      <c r="Q10" s="37">
        <f t="shared" si="16"/>
        <v>560</v>
      </c>
      <c r="R10" s="37">
        <f t="shared" si="17"/>
        <v>1870</v>
      </c>
      <c r="S10" s="37">
        <f t="shared" si="15"/>
        <v>2660</v>
      </c>
      <c r="T10" s="37">
        <f t="shared" si="18"/>
        <v>1380</v>
      </c>
      <c r="U10" s="37">
        <f t="shared" si="19"/>
        <v>2730</v>
      </c>
      <c r="V10" s="37">
        <f t="shared" si="20"/>
        <v>2160</v>
      </c>
      <c r="W10" s="37">
        <f t="shared" si="21"/>
        <v>2080</v>
      </c>
      <c r="X10" s="37">
        <f t="shared" si="22"/>
        <v>990</v>
      </c>
      <c r="Y10" s="37">
        <f t="shared" si="23"/>
        <v>2140</v>
      </c>
      <c r="Z10" s="37">
        <f t="shared" si="24"/>
        <v>2030</v>
      </c>
      <c r="AA10" s="37">
        <f t="shared" si="25"/>
        <v>1460</v>
      </c>
      <c r="AB10" s="37">
        <f t="shared" si="26"/>
        <v>4100</v>
      </c>
      <c r="AC10" s="37">
        <f t="shared" si="27"/>
        <v>3380</v>
      </c>
      <c r="AD10" s="35">
        <f t="shared" si="28"/>
        <v>27540</v>
      </c>
      <c r="AF10" s="20">
        <f t="shared" si="1"/>
        <v>2.8000000000000003</v>
      </c>
      <c r="AG10" s="20">
        <f t="shared" si="2"/>
        <v>9.35</v>
      </c>
      <c r="AH10" s="20">
        <f t="shared" si="3"/>
        <v>13.3</v>
      </c>
      <c r="AI10" s="20">
        <f t="shared" si="4"/>
        <v>6.9</v>
      </c>
      <c r="AJ10" s="20">
        <f t="shared" si="5"/>
        <v>13.65</v>
      </c>
      <c r="AK10" s="20">
        <f t="shared" si="6"/>
        <v>10.8</v>
      </c>
      <c r="AL10" s="20">
        <f t="shared" si="7"/>
        <v>10.4</v>
      </c>
      <c r="AM10" s="20">
        <f t="shared" si="8"/>
        <v>4.95</v>
      </c>
      <c r="AN10" s="20">
        <f t="shared" si="9"/>
        <v>10.700000000000001</v>
      </c>
      <c r="AO10" s="20">
        <f t="shared" si="10"/>
        <v>10.15</v>
      </c>
      <c r="AP10" s="20">
        <f t="shared" si="11"/>
        <v>7.3</v>
      </c>
      <c r="AQ10" s="20">
        <f t="shared" si="12"/>
        <v>20.5</v>
      </c>
      <c r="AR10" s="20">
        <f t="shared" si="13"/>
        <v>16.899999999999999</v>
      </c>
      <c r="AS10" s="35">
        <f t="shared" si="29"/>
        <v>137.70000000000002</v>
      </c>
      <c r="AU10" s="47">
        <v>878251</v>
      </c>
      <c r="AV10" s="37">
        <f t="shared" ref="AV10:AV26" si="31">IF((AU10-AU9&lt;0),"0",AU10-AU9)</f>
        <v>1050</v>
      </c>
      <c r="AW10" s="35">
        <f t="shared" si="30"/>
        <v>2.1</v>
      </c>
    </row>
    <row r="11" spans="1:49" x14ac:dyDescent="0.25">
      <c r="A11" s="23">
        <v>43926</v>
      </c>
      <c r="B11" s="40">
        <v>6</v>
      </c>
      <c r="C11" s="24">
        <v>5974920</v>
      </c>
      <c r="D11" s="24">
        <v>12927320</v>
      </c>
      <c r="E11" s="24">
        <v>1617220</v>
      </c>
      <c r="F11" s="24">
        <v>2781530</v>
      </c>
      <c r="G11" s="24">
        <v>8647110</v>
      </c>
      <c r="H11" s="24">
        <v>4278960</v>
      </c>
      <c r="I11" s="24">
        <v>4110350</v>
      </c>
      <c r="J11" s="24">
        <v>4703540</v>
      </c>
      <c r="K11" s="24">
        <v>7419120</v>
      </c>
      <c r="L11" s="24">
        <v>2765790</v>
      </c>
      <c r="M11" s="24">
        <v>6706520</v>
      </c>
      <c r="N11" s="24">
        <v>9459420</v>
      </c>
      <c r="O11" s="24">
        <v>12918530</v>
      </c>
      <c r="Q11" s="37">
        <f t="shared" si="16"/>
        <v>560</v>
      </c>
      <c r="R11" s="37">
        <f t="shared" si="17"/>
        <v>1920</v>
      </c>
      <c r="S11" s="37">
        <f t="shared" si="15"/>
        <v>2930</v>
      </c>
      <c r="T11" s="37">
        <f t="shared" si="18"/>
        <v>1430</v>
      </c>
      <c r="U11" s="37">
        <f t="shared" si="19"/>
        <v>3010</v>
      </c>
      <c r="V11" s="37">
        <f t="shared" si="20"/>
        <v>2370</v>
      </c>
      <c r="W11" s="37">
        <f t="shared" si="21"/>
        <v>2140</v>
      </c>
      <c r="X11" s="37">
        <f t="shared" si="22"/>
        <v>1180</v>
      </c>
      <c r="Y11" s="37">
        <f t="shared" si="23"/>
        <v>2190</v>
      </c>
      <c r="Z11" s="37">
        <f t="shared" si="24"/>
        <v>2060</v>
      </c>
      <c r="AA11" s="37">
        <f t="shared" si="25"/>
        <v>1570</v>
      </c>
      <c r="AB11" s="37">
        <f t="shared" si="26"/>
        <v>4360</v>
      </c>
      <c r="AC11" s="37">
        <f t="shared" si="27"/>
        <v>3560</v>
      </c>
      <c r="AD11" s="35">
        <f t="shared" si="28"/>
        <v>29280</v>
      </c>
      <c r="AF11" s="20">
        <f t="shared" si="1"/>
        <v>2.8000000000000003</v>
      </c>
      <c r="AG11" s="20">
        <f t="shared" si="2"/>
        <v>9.6</v>
      </c>
      <c r="AH11" s="20">
        <f t="shared" si="3"/>
        <v>14.65</v>
      </c>
      <c r="AI11" s="20">
        <f t="shared" si="4"/>
        <v>7.15</v>
      </c>
      <c r="AJ11" s="20">
        <f t="shared" si="5"/>
        <v>15.05</v>
      </c>
      <c r="AK11" s="20">
        <f t="shared" si="6"/>
        <v>11.85</v>
      </c>
      <c r="AL11" s="20">
        <f t="shared" si="7"/>
        <v>10.700000000000001</v>
      </c>
      <c r="AM11" s="20">
        <f t="shared" si="8"/>
        <v>5.9</v>
      </c>
      <c r="AN11" s="20">
        <f t="shared" si="9"/>
        <v>10.950000000000001</v>
      </c>
      <c r="AO11" s="20">
        <f t="shared" si="10"/>
        <v>10.3</v>
      </c>
      <c r="AP11" s="20">
        <f t="shared" si="11"/>
        <v>7.8500000000000005</v>
      </c>
      <c r="AQ11" s="20">
        <f t="shared" si="12"/>
        <v>21.8</v>
      </c>
      <c r="AR11" s="20">
        <f t="shared" si="13"/>
        <v>17.8</v>
      </c>
      <c r="AS11" s="35">
        <f t="shared" si="29"/>
        <v>146.4</v>
      </c>
      <c r="AU11" s="47">
        <v>878374</v>
      </c>
      <c r="AV11" s="37">
        <f t="shared" si="31"/>
        <v>123</v>
      </c>
      <c r="AW11" s="35">
        <f t="shared" si="30"/>
        <v>0.246</v>
      </c>
    </row>
    <row r="12" spans="1:49" x14ac:dyDescent="0.25">
      <c r="A12" s="23">
        <v>43927</v>
      </c>
      <c r="B12" s="40">
        <v>7</v>
      </c>
      <c r="C12" s="49">
        <v>5975480</v>
      </c>
      <c r="D12" s="24">
        <v>12929120</v>
      </c>
      <c r="E12" s="24">
        <v>1619720</v>
      </c>
      <c r="F12" s="24">
        <v>2782930</v>
      </c>
      <c r="G12" s="24">
        <v>8650110</v>
      </c>
      <c r="H12" s="24">
        <v>4280990</v>
      </c>
      <c r="I12" s="24">
        <v>4112440</v>
      </c>
      <c r="J12" s="24">
        <v>4704540</v>
      </c>
      <c r="K12" s="24">
        <v>7421120</v>
      </c>
      <c r="L12" s="24">
        <v>2767850</v>
      </c>
      <c r="M12" s="24">
        <v>6708020</v>
      </c>
      <c r="N12" s="24">
        <v>9463520</v>
      </c>
      <c r="O12" s="24">
        <v>12922030</v>
      </c>
      <c r="Q12" s="37">
        <f t="shared" si="16"/>
        <v>560</v>
      </c>
      <c r="R12" s="37">
        <f t="shared" si="17"/>
        <v>1800</v>
      </c>
      <c r="S12" s="37">
        <f t="shared" si="15"/>
        <v>2500</v>
      </c>
      <c r="T12" s="37">
        <f t="shared" ref="T12:W14" si="32">IF((F12-F11&lt;0), "0",F12-F11)</f>
        <v>1400</v>
      </c>
      <c r="U12" s="37">
        <f t="shared" si="32"/>
        <v>3000</v>
      </c>
      <c r="V12" s="37">
        <f t="shared" si="32"/>
        <v>2030</v>
      </c>
      <c r="W12" s="37">
        <f t="shared" si="32"/>
        <v>2090</v>
      </c>
      <c r="X12" s="37">
        <f t="shared" si="22"/>
        <v>1000</v>
      </c>
      <c r="Y12" s="37">
        <f t="shared" si="23"/>
        <v>2000</v>
      </c>
      <c r="Z12" s="37">
        <f>IF((L12-L11&lt;0), "0",L12-L11)</f>
        <v>2060</v>
      </c>
      <c r="AA12" s="37">
        <f t="shared" si="25"/>
        <v>1500</v>
      </c>
      <c r="AB12" s="37">
        <f t="shared" si="26"/>
        <v>4100</v>
      </c>
      <c r="AC12" s="37">
        <f t="shared" si="27"/>
        <v>3500</v>
      </c>
      <c r="AD12" s="35">
        <f t="shared" si="28"/>
        <v>27540</v>
      </c>
      <c r="AF12" s="20">
        <f t="shared" si="1"/>
        <v>2.8000000000000003</v>
      </c>
      <c r="AG12" s="20">
        <f t="shared" si="2"/>
        <v>9</v>
      </c>
      <c r="AH12" s="20">
        <f t="shared" si="3"/>
        <v>12.5</v>
      </c>
      <c r="AI12" s="20">
        <f t="shared" si="4"/>
        <v>7</v>
      </c>
      <c r="AJ12" s="20">
        <f t="shared" si="5"/>
        <v>15</v>
      </c>
      <c r="AK12" s="20">
        <f t="shared" si="6"/>
        <v>10.15</v>
      </c>
      <c r="AL12" s="20">
        <f t="shared" si="7"/>
        <v>10.450000000000001</v>
      </c>
      <c r="AM12" s="20">
        <f t="shared" si="8"/>
        <v>5</v>
      </c>
      <c r="AN12" s="20">
        <f t="shared" si="9"/>
        <v>10</v>
      </c>
      <c r="AO12" s="20">
        <f t="shared" si="10"/>
        <v>10.3</v>
      </c>
      <c r="AP12" s="20">
        <f t="shared" si="11"/>
        <v>7.5</v>
      </c>
      <c r="AQ12" s="20">
        <f t="shared" si="12"/>
        <v>20.5</v>
      </c>
      <c r="AR12" s="20">
        <f t="shared" si="13"/>
        <v>17.5</v>
      </c>
      <c r="AS12" s="35">
        <f t="shared" si="29"/>
        <v>137.69999999999999</v>
      </c>
      <c r="AU12" s="47">
        <v>878514</v>
      </c>
      <c r="AV12" s="37">
        <f t="shared" si="31"/>
        <v>140</v>
      </c>
      <c r="AW12" s="35">
        <f t="shared" si="30"/>
        <v>0.28000000000000003</v>
      </c>
    </row>
    <row r="13" spans="1:49" x14ac:dyDescent="0.25">
      <c r="A13" s="23">
        <v>43928</v>
      </c>
      <c r="B13" s="40">
        <v>4</v>
      </c>
      <c r="C13" s="24">
        <v>5976060</v>
      </c>
      <c r="D13" s="24">
        <v>12931130</v>
      </c>
      <c r="E13" s="24">
        <v>1623180</v>
      </c>
      <c r="F13" s="24">
        <v>2784360</v>
      </c>
      <c r="G13" s="24">
        <v>8652720</v>
      </c>
      <c r="H13" s="24">
        <v>4283750</v>
      </c>
      <c r="I13" s="24">
        <v>4114540</v>
      </c>
      <c r="J13" s="24">
        <v>4706430</v>
      </c>
      <c r="K13" s="24">
        <v>7423290</v>
      </c>
      <c r="L13" s="24">
        <v>2770190</v>
      </c>
      <c r="M13" s="24">
        <v>6710750</v>
      </c>
      <c r="N13" s="24">
        <v>9467660</v>
      </c>
      <c r="O13" s="24">
        <v>12926000</v>
      </c>
      <c r="Q13" s="37">
        <f t="shared" si="16"/>
        <v>580</v>
      </c>
      <c r="R13" s="37">
        <f t="shared" si="17"/>
        <v>2010</v>
      </c>
      <c r="S13" s="37">
        <f t="shared" si="15"/>
        <v>3460</v>
      </c>
      <c r="T13" s="37">
        <f t="shared" si="32"/>
        <v>1430</v>
      </c>
      <c r="U13" s="37">
        <f t="shared" si="32"/>
        <v>2610</v>
      </c>
      <c r="V13" s="37">
        <f t="shared" si="32"/>
        <v>2760</v>
      </c>
      <c r="W13" s="37">
        <f t="shared" si="32"/>
        <v>2100</v>
      </c>
      <c r="X13" s="37">
        <f t="shared" si="22"/>
        <v>1890</v>
      </c>
      <c r="Y13" s="37">
        <f t="shared" si="23"/>
        <v>2170</v>
      </c>
      <c r="Z13" s="37">
        <f>IF((L13-L12&lt;0), "0",L13-L12)</f>
        <v>2340</v>
      </c>
      <c r="AA13" s="37">
        <f t="shared" si="25"/>
        <v>2730</v>
      </c>
      <c r="AB13" s="37">
        <f t="shared" si="26"/>
        <v>4140</v>
      </c>
      <c r="AC13" s="37">
        <f t="shared" si="27"/>
        <v>3970</v>
      </c>
      <c r="AD13" s="35">
        <f t="shared" si="28"/>
        <v>32190</v>
      </c>
      <c r="AF13" s="20">
        <f t="shared" si="1"/>
        <v>2.9</v>
      </c>
      <c r="AG13" s="20">
        <f t="shared" si="2"/>
        <v>10.050000000000001</v>
      </c>
      <c r="AH13" s="20">
        <f t="shared" si="3"/>
        <v>17.3</v>
      </c>
      <c r="AI13" s="20">
        <f t="shared" si="4"/>
        <v>7.15</v>
      </c>
      <c r="AJ13" s="20">
        <f t="shared" si="5"/>
        <v>13.05</v>
      </c>
      <c r="AK13" s="20">
        <f t="shared" si="6"/>
        <v>13.8</v>
      </c>
      <c r="AL13" s="20">
        <f t="shared" si="7"/>
        <v>10.5</v>
      </c>
      <c r="AM13" s="20">
        <f t="shared" si="8"/>
        <v>9.4500000000000011</v>
      </c>
      <c r="AN13" s="20">
        <f t="shared" si="9"/>
        <v>10.85</v>
      </c>
      <c r="AO13" s="20">
        <f t="shared" si="10"/>
        <v>11.700000000000001</v>
      </c>
      <c r="AP13" s="20">
        <f t="shared" si="11"/>
        <v>13.65</v>
      </c>
      <c r="AQ13" s="20">
        <f t="shared" si="12"/>
        <v>20.7</v>
      </c>
      <c r="AR13" s="20">
        <f t="shared" si="13"/>
        <v>19.850000000000001</v>
      </c>
      <c r="AS13" s="35">
        <f t="shared" si="29"/>
        <v>160.94999999999999</v>
      </c>
      <c r="AU13" s="47">
        <v>882481</v>
      </c>
      <c r="AV13" s="37">
        <f t="shared" si="31"/>
        <v>3967</v>
      </c>
      <c r="AW13" s="35">
        <f t="shared" si="30"/>
        <v>7.9340000000000002</v>
      </c>
    </row>
    <row r="14" spans="1:49" x14ac:dyDescent="0.25">
      <c r="A14" s="23">
        <v>43929</v>
      </c>
      <c r="B14" s="40">
        <v>8</v>
      </c>
      <c r="C14" s="24">
        <v>5976590</v>
      </c>
      <c r="D14" s="24">
        <v>12932930</v>
      </c>
      <c r="E14" s="24">
        <v>1626260</v>
      </c>
      <c r="F14" s="24">
        <v>2785710</v>
      </c>
      <c r="G14" s="24">
        <v>8655410</v>
      </c>
      <c r="H14" s="24">
        <v>4285810</v>
      </c>
      <c r="I14" s="24">
        <v>4116540</v>
      </c>
      <c r="J14" s="24">
        <v>4707830</v>
      </c>
      <c r="K14" s="24">
        <v>7425410</v>
      </c>
      <c r="L14" s="24">
        <v>2772250</v>
      </c>
      <c r="M14" s="24">
        <v>6712750</v>
      </c>
      <c r="N14" s="24">
        <v>9471660</v>
      </c>
      <c r="O14" s="24">
        <v>12930080</v>
      </c>
      <c r="P14" s="54"/>
      <c r="Q14" s="37">
        <f t="shared" si="16"/>
        <v>530</v>
      </c>
      <c r="R14" s="37">
        <f t="shared" si="17"/>
        <v>1800</v>
      </c>
      <c r="S14" s="37">
        <f t="shared" si="15"/>
        <v>3080</v>
      </c>
      <c r="T14" s="37">
        <f t="shared" si="32"/>
        <v>1350</v>
      </c>
      <c r="U14" s="37">
        <f t="shared" si="32"/>
        <v>2690</v>
      </c>
      <c r="V14" s="37">
        <f t="shared" si="32"/>
        <v>2060</v>
      </c>
      <c r="W14" s="37">
        <f t="shared" si="32"/>
        <v>2000</v>
      </c>
      <c r="X14" s="37">
        <f t="shared" si="22"/>
        <v>1400</v>
      </c>
      <c r="Y14" s="37">
        <f t="shared" si="23"/>
        <v>2120</v>
      </c>
      <c r="Z14" s="37">
        <f>IF((L14-L13&lt;0), "0",L14-L13)</f>
        <v>2060</v>
      </c>
      <c r="AA14" s="37">
        <f t="shared" si="25"/>
        <v>2000</v>
      </c>
      <c r="AB14" s="37">
        <f t="shared" si="26"/>
        <v>4000</v>
      </c>
      <c r="AC14" s="37">
        <f t="shared" si="27"/>
        <v>4080</v>
      </c>
      <c r="AD14" s="35">
        <f t="shared" si="28"/>
        <v>29170</v>
      </c>
      <c r="AF14" s="20">
        <f t="shared" si="1"/>
        <v>2.65</v>
      </c>
      <c r="AG14" s="20">
        <f t="shared" si="2"/>
        <v>9</v>
      </c>
      <c r="AH14" s="20">
        <f t="shared" si="3"/>
        <v>15.4</v>
      </c>
      <c r="AI14" s="20">
        <f t="shared" si="4"/>
        <v>6.75</v>
      </c>
      <c r="AJ14" s="20">
        <f t="shared" si="5"/>
        <v>13.450000000000001</v>
      </c>
      <c r="AK14" s="20">
        <f t="shared" si="6"/>
        <v>10.3</v>
      </c>
      <c r="AL14" s="20">
        <f t="shared" si="7"/>
        <v>10</v>
      </c>
      <c r="AM14" s="20">
        <f t="shared" si="8"/>
        <v>7</v>
      </c>
      <c r="AN14" s="20">
        <f t="shared" si="9"/>
        <v>10.6</v>
      </c>
      <c r="AO14" s="20">
        <f t="shared" si="10"/>
        <v>10.3</v>
      </c>
      <c r="AP14" s="20">
        <f t="shared" si="11"/>
        <v>10</v>
      </c>
      <c r="AQ14" s="20">
        <f t="shared" si="12"/>
        <v>20</v>
      </c>
      <c r="AR14" s="20">
        <f t="shared" si="13"/>
        <v>20.400000000000002</v>
      </c>
      <c r="AS14" s="35">
        <f t="shared" si="29"/>
        <v>145.85</v>
      </c>
      <c r="AU14" s="47">
        <v>882892</v>
      </c>
      <c r="AV14" s="37">
        <f t="shared" si="31"/>
        <v>411</v>
      </c>
      <c r="AW14" s="35">
        <f t="shared" si="30"/>
        <v>0.82200000000000006</v>
      </c>
    </row>
    <row r="15" spans="1:49" x14ac:dyDescent="0.25">
      <c r="A15" s="23">
        <v>43930</v>
      </c>
      <c r="B15" s="40">
        <v>14</v>
      </c>
      <c r="C15" s="24">
        <v>5977150</v>
      </c>
      <c r="D15" s="24">
        <v>12934840</v>
      </c>
      <c r="E15" s="24">
        <v>1629590</v>
      </c>
      <c r="F15" s="24">
        <v>2787090</v>
      </c>
      <c r="G15" s="24">
        <v>8658350</v>
      </c>
      <c r="H15" s="24">
        <v>4288080</v>
      </c>
      <c r="I15" s="24">
        <v>4118670</v>
      </c>
      <c r="J15" s="24">
        <v>4709310</v>
      </c>
      <c r="K15" s="24">
        <v>7427690</v>
      </c>
      <c r="L15" s="24">
        <v>2774610</v>
      </c>
      <c r="M15" s="24">
        <v>6714670</v>
      </c>
      <c r="N15" s="24">
        <v>9475890</v>
      </c>
      <c r="O15" s="24">
        <v>12934450</v>
      </c>
      <c r="Q15" s="37">
        <f t="shared" si="16"/>
        <v>560</v>
      </c>
      <c r="R15" s="37">
        <f t="shared" si="17"/>
        <v>1910</v>
      </c>
      <c r="S15" s="37">
        <f t="shared" si="15"/>
        <v>3330</v>
      </c>
      <c r="T15" s="37">
        <f t="shared" si="18"/>
        <v>1380</v>
      </c>
      <c r="U15" s="37">
        <f t="shared" si="19"/>
        <v>2940</v>
      </c>
      <c r="V15" s="37">
        <f t="shared" si="20"/>
        <v>2270</v>
      </c>
      <c r="W15" s="37">
        <f t="shared" si="21"/>
        <v>2130</v>
      </c>
      <c r="X15" s="37">
        <f t="shared" si="22"/>
        <v>1480</v>
      </c>
      <c r="Y15" s="37">
        <f t="shared" si="23"/>
        <v>2280</v>
      </c>
      <c r="Z15" s="37">
        <f t="shared" si="24"/>
        <v>2360</v>
      </c>
      <c r="AA15" s="37">
        <f t="shared" si="25"/>
        <v>1920</v>
      </c>
      <c r="AB15" s="37">
        <f t="shared" si="26"/>
        <v>4230</v>
      </c>
      <c r="AC15" s="37">
        <f t="shared" si="27"/>
        <v>4370</v>
      </c>
      <c r="AD15" s="35">
        <f t="shared" si="28"/>
        <v>31160</v>
      </c>
      <c r="AF15" s="20">
        <f t="shared" si="1"/>
        <v>2.8000000000000003</v>
      </c>
      <c r="AG15" s="20">
        <f t="shared" si="2"/>
        <v>9.5500000000000007</v>
      </c>
      <c r="AH15" s="20">
        <f t="shared" si="3"/>
        <v>16.649999999999999</v>
      </c>
      <c r="AI15" s="20">
        <f t="shared" si="4"/>
        <v>6.9</v>
      </c>
      <c r="AJ15" s="20">
        <f t="shared" si="5"/>
        <v>14.700000000000001</v>
      </c>
      <c r="AK15" s="20">
        <f t="shared" si="6"/>
        <v>11.35</v>
      </c>
      <c r="AL15" s="20">
        <f t="shared" si="7"/>
        <v>10.65</v>
      </c>
      <c r="AM15" s="20">
        <f t="shared" si="8"/>
        <v>7.4</v>
      </c>
      <c r="AN15" s="20">
        <f t="shared" si="9"/>
        <v>11.4</v>
      </c>
      <c r="AO15" s="20">
        <f t="shared" si="10"/>
        <v>11.8</v>
      </c>
      <c r="AP15" s="20">
        <f t="shared" si="11"/>
        <v>9.6</v>
      </c>
      <c r="AQ15" s="20">
        <f t="shared" si="12"/>
        <v>21.150000000000002</v>
      </c>
      <c r="AR15" s="20">
        <f t="shared" si="13"/>
        <v>21.85</v>
      </c>
      <c r="AS15" s="35">
        <f t="shared" si="29"/>
        <v>155.80000000000001</v>
      </c>
      <c r="AU15" s="47">
        <v>884388</v>
      </c>
      <c r="AV15" s="37">
        <f t="shared" si="31"/>
        <v>1496</v>
      </c>
      <c r="AW15" s="35">
        <f t="shared" si="30"/>
        <v>2.992</v>
      </c>
    </row>
    <row r="16" spans="1:49" x14ac:dyDescent="0.25">
      <c r="A16" s="23">
        <v>43931</v>
      </c>
      <c r="B16" s="40">
        <v>13</v>
      </c>
      <c r="C16" s="24">
        <v>5977720</v>
      </c>
      <c r="D16" s="24">
        <v>12936746</v>
      </c>
      <c r="E16" s="24">
        <v>1633100</v>
      </c>
      <c r="F16" s="24">
        <v>2788430</v>
      </c>
      <c r="G16" s="24">
        <v>8661390</v>
      </c>
      <c r="H16" s="24">
        <v>4290270</v>
      </c>
      <c r="I16" s="24">
        <v>4120770</v>
      </c>
      <c r="J16" s="24">
        <v>4710650</v>
      </c>
      <c r="K16" s="24">
        <v>7430240</v>
      </c>
      <c r="L16" s="24">
        <v>2776930</v>
      </c>
      <c r="M16" s="24">
        <v>6716790</v>
      </c>
      <c r="N16" s="24">
        <v>9480090</v>
      </c>
      <c r="O16" s="24">
        <v>12938990</v>
      </c>
      <c r="Q16" s="37">
        <f t="shared" si="16"/>
        <v>570</v>
      </c>
      <c r="R16" s="37">
        <f t="shared" si="17"/>
        <v>1906</v>
      </c>
      <c r="S16" s="37">
        <f t="shared" si="15"/>
        <v>3510</v>
      </c>
      <c r="T16" s="37">
        <f t="shared" si="18"/>
        <v>1340</v>
      </c>
      <c r="U16" s="37">
        <f t="shared" si="19"/>
        <v>3040</v>
      </c>
      <c r="V16" s="37">
        <f t="shared" si="20"/>
        <v>2190</v>
      </c>
      <c r="W16" s="37">
        <f t="shared" si="21"/>
        <v>2100</v>
      </c>
      <c r="X16" s="37">
        <f t="shared" si="22"/>
        <v>1340</v>
      </c>
      <c r="Y16" s="37">
        <f t="shared" si="23"/>
        <v>2550</v>
      </c>
      <c r="Z16" s="37">
        <f t="shared" si="24"/>
        <v>2320</v>
      </c>
      <c r="AA16" s="37">
        <f t="shared" si="25"/>
        <v>2120</v>
      </c>
      <c r="AB16" s="37">
        <f t="shared" si="26"/>
        <v>4200</v>
      </c>
      <c r="AC16" s="37">
        <f t="shared" si="27"/>
        <v>4540</v>
      </c>
      <c r="AD16" s="35">
        <f t="shared" si="28"/>
        <v>31726</v>
      </c>
      <c r="AF16" s="20">
        <f t="shared" si="1"/>
        <v>2.85</v>
      </c>
      <c r="AG16" s="20">
        <f t="shared" si="2"/>
        <v>9.5299999999999994</v>
      </c>
      <c r="AH16" s="20">
        <f t="shared" si="3"/>
        <v>17.55</v>
      </c>
      <c r="AI16" s="20">
        <f t="shared" si="4"/>
        <v>6.7</v>
      </c>
      <c r="AJ16" s="20">
        <f t="shared" si="5"/>
        <v>15.200000000000001</v>
      </c>
      <c r="AK16" s="20">
        <f t="shared" si="6"/>
        <v>10.950000000000001</v>
      </c>
      <c r="AL16" s="20">
        <f t="shared" si="7"/>
        <v>10.5</v>
      </c>
      <c r="AM16" s="20">
        <f t="shared" si="8"/>
        <v>6.7</v>
      </c>
      <c r="AN16" s="20">
        <f t="shared" si="9"/>
        <v>12.75</v>
      </c>
      <c r="AO16" s="20">
        <f t="shared" si="10"/>
        <v>11.6</v>
      </c>
      <c r="AP16" s="20">
        <f t="shared" si="11"/>
        <v>10.6</v>
      </c>
      <c r="AQ16" s="20">
        <f t="shared" si="12"/>
        <v>21</v>
      </c>
      <c r="AR16" s="20">
        <f t="shared" si="13"/>
        <v>22.7</v>
      </c>
      <c r="AS16" s="35">
        <f t="shared" si="29"/>
        <v>158.63</v>
      </c>
      <c r="AU16" s="47">
        <v>885494</v>
      </c>
      <c r="AV16" s="37">
        <f t="shared" si="31"/>
        <v>1106</v>
      </c>
      <c r="AW16" s="35">
        <f t="shared" si="30"/>
        <v>2.2120000000000002</v>
      </c>
    </row>
    <row r="17" spans="1:49" x14ac:dyDescent="0.25">
      <c r="A17" s="23">
        <v>43932</v>
      </c>
      <c r="B17" s="40">
        <v>5</v>
      </c>
      <c r="C17" s="24">
        <v>5978280</v>
      </c>
      <c r="D17" s="24">
        <v>12938660</v>
      </c>
      <c r="E17" s="24">
        <v>1636390</v>
      </c>
      <c r="F17" s="24">
        <v>2789870</v>
      </c>
      <c r="G17" s="24">
        <v>8664680</v>
      </c>
      <c r="H17" s="24">
        <v>4292650</v>
      </c>
      <c r="I17" s="24">
        <v>4122920</v>
      </c>
      <c r="J17" s="24">
        <v>4712050</v>
      </c>
      <c r="K17" s="24">
        <v>7433070</v>
      </c>
      <c r="L17" s="24">
        <v>2779230</v>
      </c>
      <c r="M17" s="24">
        <v>6719200</v>
      </c>
      <c r="N17" s="24">
        <v>9484150</v>
      </c>
      <c r="O17" s="24">
        <v>12943720</v>
      </c>
      <c r="Q17" s="37">
        <f t="shared" si="16"/>
        <v>560</v>
      </c>
      <c r="R17" s="37">
        <f t="shared" si="17"/>
        <v>1914</v>
      </c>
      <c r="S17" s="37">
        <f t="shared" si="15"/>
        <v>3290</v>
      </c>
      <c r="T17" s="37">
        <f t="shared" si="18"/>
        <v>1440</v>
      </c>
      <c r="U17" s="37">
        <f t="shared" si="19"/>
        <v>3290</v>
      </c>
      <c r="V17" s="37">
        <f t="shared" si="20"/>
        <v>2380</v>
      </c>
      <c r="W17" s="37">
        <f t="shared" si="21"/>
        <v>2150</v>
      </c>
      <c r="X17" s="37">
        <f t="shared" si="22"/>
        <v>1400</v>
      </c>
      <c r="Y17" s="37">
        <f t="shared" si="23"/>
        <v>2830</v>
      </c>
      <c r="Z17" s="37">
        <f t="shared" si="24"/>
        <v>2300</v>
      </c>
      <c r="AA17" s="37">
        <f t="shared" si="25"/>
        <v>2410</v>
      </c>
      <c r="AB17" s="37">
        <f t="shared" si="26"/>
        <v>4060</v>
      </c>
      <c r="AC17" s="37">
        <f t="shared" si="27"/>
        <v>4730</v>
      </c>
      <c r="AD17" s="35">
        <f t="shared" si="28"/>
        <v>32754</v>
      </c>
      <c r="AF17" s="20">
        <f t="shared" si="1"/>
        <v>2.8000000000000003</v>
      </c>
      <c r="AG17" s="20">
        <f t="shared" si="2"/>
        <v>9.57</v>
      </c>
      <c r="AH17" s="20">
        <f t="shared" si="3"/>
        <v>16.45</v>
      </c>
      <c r="AI17" s="20">
        <f t="shared" si="4"/>
        <v>7.2</v>
      </c>
      <c r="AJ17" s="20">
        <f t="shared" si="5"/>
        <v>16.45</v>
      </c>
      <c r="AK17" s="20">
        <f t="shared" si="6"/>
        <v>11.9</v>
      </c>
      <c r="AL17" s="20">
        <f t="shared" si="7"/>
        <v>10.75</v>
      </c>
      <c r="AM17" s="20">
        <f t="shared" si="8"/>
        <v>7</v>
      </c>
      <c r="AN17" s="20">
        <f t="shared" si="9"/>
        <v>14.15</v>
      </c>
      <c r="AO17" s="20">
        <f t="shared" si="10"/>
        <v>11.5</v>
      </c>
      <c r="AP17" s="20">
        <f t="shared" si="11"/>
        <v>12.05</v>
      </c>
      <c r="AQ17" s="20">
        <f t="shared" si="12"/>
        <v>20.3</v>
      </c>
      <c r="AR17" s="20">
        <f t="shared" si="13"/>
        <v>23.650000000000002</v>
      </c>
      <c r="AS17" s="35">
        <f t="shared" si="29"/>
        <v>163.77000000000001</v>
      </c>
      <c r="AU17" s="47">
        <v>886923</v>
      </c>
      <c r="AV17" s="37">
        <f t="shared" si="31"/>
        <v>1429</v>
      </c>
      <c r="AW17" s="35">
        <f t="shared" si="30"/>
        <v>2.8580000000000001</v>
      </c>
    </row>
    <row r="18" spans="1:49" x14ac:dyDescent="0.25">
      <c r="A18" s="23">
        <v>43933</v>
      </c>
      <c r="B18" s="40">
        <v>5</v>
      </c>
      <c r="C18" s="24">
        <v>5978850</v>
      </c>
      <c r="D18" s="24">
        <v>12940570</v>
      </c>
      <c r="E18" s="24">
        <v>1639300</v>
      </c>
      <c r="F18" s="24">
        <v>2791200</v>
      </c>
      <c r="G18" s="24">
        <v>8667750</v>
      </c>
      <c r="H18" s="24">
        <v>4295030</v>
      </c>
      <c r="I18" s="24">
        <v>4125050</v>
      </c>
      <c r="J18" s="24">
        <v>4713490</v>
      </c>
      <c r="K18" s="24">
        <v>7436050</v>
      </c>
      <c r="L18" s="24">
        <v>2781490</v>
      </c>
      <c r="M18" s="24">
        <v>6721500</v>
      </c>
      <c r="N18" s="24">
        <v>9488080</v>
      </c>
      <c r="O18" s="24">
        <v>12948690</v>
      </c>
      <c r="Q18" s="37">
        <f t="shared" si="16"/>
        <v>570</v>
      </c>
      <c r="R18" s="37">
        <f t="shared" si="17"/>
        <v>1910</v>
      </c>
      <c r="S18" s="37">
        <f t="shared" si="15"/>
        <v>2910</v>
      </c>
      <c r="T18" s="37">
        <f t="shared" si="18"/>
        <v>1330</v>
      </c>
      <c r="U18" s="37">
        <f t="shared" si="19"/>
        <v>3070</v>
      </c>
      <c r="V18" s="37">
        <f t="shared" si="20"/>
        <v>2380</v>
      </c>
      <c r="W18" s="37">
        <f t="shared" si="21"/>
        <v>2130</v>
      </c>
      <c r="X18" s="37">
        <f t="shared" si="22"/>
        <v>1440</v>
      </c>
      <c r="Y18" s="37">
        <f t="shared" si="23"/>
        <v>2980</v>
      </c>
      <c r="Z18" s="37">
        <f t="shared" si="24"/>
        <v>2260</v>
      </c>
      <c r="AA18" s="37">
        <f t="shared" si="25"/>
        <v>2300</v>
      </c>
      <c r="AB18" s="37">
        <f t="shared" si="26"/>
        <v>3930</v>
      </c>
      <c r="AC18" s="37">
        <f t="shared" si="27"/>
        <v>4970</v>
      </c>
      <c r="AD18" s="35">
        <f t="shared" si="28"/>
        <v>32180</v>
      </c>
      <c r="AF18" s="20">
        <f t="shared" si="1"/>
        <v>2.85</v>
      </c>
      <c r="AG18" s="20">
        <f t="shared" si="2"/>
        <v>9.5500000000000007</v>
      </c>
      <c r="AH18" s="20">
        <f t="shared" si="3"/>
        <v>14.55</v>
      </c>
      <c r="AI18" s="20">
        <f t="shared" si="4"/>
        <v>6.65</v>
      </c>
      <c r="AJ18" s="20">
        <f t="shared" si="5"/>
        <v>15.35</v>
      </c>
      <c r="AK18" s="20">
        <f t="shared" si="6"/>
        <v>11.9</v>
      </c>
      <c r="AL18" s="20">
        <f t="shared" si="7"/>
        <v>10.65</v>
      </c>
      <c r="AM18" s="20">
        <f t="shared" si="8"/>
        <v>7.2</v>
      </c>
      <c r="AN18" s="20">
        <f t="shared" si="9"/>
        <v>14.9</v>
      </c>
      <c r="AO18" s="20">
        <f t="shared" si="10"/>
        <v>11.3</v>
      </c>
      <c r="AP18" s="20">
        <f t="shared" si="11"/>
        <v>11.5</v>
      </c>
      <c r="AQ18" s="20">
        <f t="shared" si="12"/>
        <v>19.650000000000002</v>
      </c>
      <c r="AR18" s="20">
        <f t="shared" si="13"/>
        <v>24.85</v>
      </c>
      <c r="AS18" s="35">
        <f t="shared" si="29"/>
        <v>160.9</v>
      </c>
      <c r="AU18" s="47">
        <v>887358</v>
      </c>
      <c r="AV18" s="37">
        <f t="shared" si="31"/>
        <v>435</v>
      </c>
      <c r="AW18" s="35">
        <f t="shared" si="30"/>
        <v>0.87</v>
      </c>
    </row>
    <row r="19" spans="1:49" x14ac:dyDescent="0.25">
      <c r="A19" s="23">
        <v>43934</v>
      </c>
      <c r="B19" s="40">
        <v>4</v>
      </c>
      <c r="C19" s="24">
        <v>5979400</v>
      </c>
      <c r="D19" s="24">
        <v>12942420</v>
      </c>
      <c r="E19" s="24">
        <v>1642090</v>
      </c>
      <c r="F19" s="24">
        <v>2792670</v>
      </c>
      <c r="G19" s="24">
        <v>8670560</v>
      </c>
      <c r="H19" s="24">
        <v>4297350</v>
      </c>
      <c r="I19" s="24">
        <v>4127090</v>
      </c>
      <c r="J19" s="24">
        <v>4714780</v>
      </c>
      <c r="K19" s="24">
        <v>7439030</v>
      </c>
      <c r="L19" s="24">
        <v>2783700</v>
      </c>
      <c r="M19" s="24">
        <v>6723630</v>
      </c>
      <c r="N19" s="24">
        <v>9492170</v>
      </c>
      <c r="O19" s="24">
        <v>12954330</v>
      </c>
      <c r="Q19" s="37">
        <f t="shared" si="16"/>
        <v>550</v>
      </c>
      <c r="R19" s="37">
        <f t="shared" si="17"/>
        <v>1850</v>
      </c>
      <c r="S19" s="37">
        <f t="shared" si="15"/>
        <v>2790</v>
      </c>
      <c r="T19" s="37">
        <f t="shared" si="18"/>
        <v>1470</v>
      </c>
      <c r="U19" s="37">
        <f t="shared" si="19"/>
        <v>2810</v>
      </c>
      <c r="V19" s="37">
        <f t="shared" si="20"/>
        <v>2320</v>
      </c>
      <c r="W19" s="37">
        <f t="shared" si="21"/>
        <v>2040</v>
      </c>
      <c r="X19" s="37">
        <f t="shared" si="22"/>
        <v>1290</v>
      </c>
      <c r="Y19" s="37">
        <f t="shared" si="23"/>
        <v>2980</v>
      </c>
      <c r="Z19" s="37">
        <f t="shared" si="24"/>
        <v>2210</v>
      </c>
      <c r="AA19" s="37">
        <f t="shared" si="25"/>
        <v>2130</v>
      </c>
      <c r="AB19" s="37">
        <f t="shared" si="26"/>
        <v>4090</v>
      </c>
      <c r="AC19" s="37">
        <f t="shared" si="27"/>
        <v>5640</v>
      </c>
      <c r="AD19" s="35">
        <f t="shared" si="28"/>
        <v>32170</v>
      </c>
      <c r="AF19" s="20">
        <f t="shared" si="1"/>
        <v>2.75</v>
      </c>
      <c r="AG19" s="20">
        <f t="shared" si="2"/>
        <v>9.25</v>
      </c>
      <c r="AH19" s="20">
        <f t="shared" si="3"/>
        <v>13.950000000000001</v>
      </c>
      <c r="AI19" s="20">
        <f t="shared" si="4"/>
        <v>7.3500000000000005</v>
      </c>
      <c r="AJ19" s="20">
        <f t="shared" si="5"/>
        <v>14.05</v>
      </c>
      <c r="AK19" s="20">
        <f t="shared" si="6"/>
        <v>11.6</v>
      </c>
      <c r="AL19" s="20">
        <f t="shared" si="7"/>
        <v>10.200000000000001</v>
      </c>
      <c r="AM19" s="20">
        <f t="shared" si="8"/>
        <v>6.45</v>
      </c>
      <c r="AN19" s="20">
        <f t="shared" si="9"/>
        <v>14.9</v>
      </c>
      <c r="AO19" s="20">
        <f t="shared" si="10"/>
        <v>11.05</v>
      </c>
      <c r="AP19" s="20">
        <f t="shared" si="11"/>
        <v>10.65</v>
      </c>
      <c r="AQ19" s="20">
        <f t="shared" si="12"/>
        <v>20.45</v>
      </c>
      <c r="AR19" s="20">
        <f t="shared" si="13"/>
        <v>28.2</v>
      </c>
      <c r="AS19" s="35">
        <f t="shared" si="29"/>
        <v>160.85</v>
      </c>
      <c r="AU19" s="47">
        <v>888397</v>
      </c>
      <c r="AV19" s="37">
        <f t="shared" si="31"/>
        <v>1039</v>
      </c>
      <c r="AW19" s="35">
        <f t="shared" si="30"/>
        <v>2.0779999999999998</v>
      </c>
    </row>
    <row r="20" spans="1:49" x14ac:dyDescent="0.25">
      <c r="A20" s="23">
        <v>43935</v>
      </c>
      <c r="B20" s="40">
        <v>4</v>
      </c>
      <c r="C20" s="24">
        <v>5979950</v>
      </c>
      <c r="D20" s="24">
        <v>12944280</v>
      </c>
      <c r="E20" s="24">
        <v>1644740</v>
      </c>
      <c r="F20" s="24">
        <v>2794030</v>
      </c>
      <c r="G20" s="24">
        <v>8673190</v>
      </c>
      <c r="H20" s="24">
        <v>4299730</v>
      </c>
      <c r="I20" s="24">
        <v>4129090</v>
      </c>
      <c r="J20" s="24">
        <v>4716170</v>
      </c>
      <c r="K20" s="24">
        <v>7441710</v>
      </c>
      <c r="L20" s="24">
        <v>2785930</v>
      </c>
      <c r="M20" s="24">
        <v>6725500</v>
      </c>
      <c r="N20" s="24">
        <v>9495490</v>
      </c>
      <c r="O20" s="24">
        <v>12959460</v>
      </c>
      <c r="Q20" s="37">
        <f t="shared" si="16"/>
        <v>550</v>
      </c>
      <c r="R20" s="37">
        <f t="shared" si="17"/>
        <v>1860</v>
      </c>
      <c r="S20" s="37">
        <f t="shared" si="15"/>
        <v>2650</v>
      </c>
      <c r="T20" s="37">
        <f t="shared" si="18"/>
        <v>1360</v>
      </c>
      <c r="U20" s="37">
        <f t="shared" si="19"/>
        <v>2630</v>
      </c>
      <c r="V20" s="37">
        <f t="shared" si="20"/>
        <v>2380</v>
      </c>
      <c r="W20" s="37">
        <f t="shared" si="21"/>
        <v>2000</v>
      </c>
      <c r="X20" s="37">
        <f t="shared" si="22"/>
        <v>1390</v>
      </c>
      <c r="Y20" s="37">
        <f t="shared" si="23"/>
        <v>2680</v>
      </c>
      <c r="Z20" s="37">
        <f t="shared" si="24"/>
        <v>2230</v>
      </c>
      <c r="AA20" s="37">
        <f t="shared" si="25"/>
        <v>1870</v>
      </c>
      <c r="AB20" s="37">
        <f t="shared" si="26"/>
        <v>3320</v>
      </c>
      <c r="AC20" s="37">
        <f t="shared" si="27"/>
        <v>5130</v>
      </c>
      <c r="AD20" s="35">
        <f t="shared" si="28"/>
        <v>30050</v>
      </c>
      <c r="AF20" s="20">
        <f t="shared" si="1"/>
        <v>2.75</v>
      </c>
      <c r="AG20" s="20">
        <f t="shared" si="2"/>
        <v>9.3000000000000007</v>
      </c>
      <c r="AH20" s="20">
        <f t="shared" si="3"/>
        <v>13.25</v>
      </c>
      <c r="AI20" s="20">
        <f t="shared" si="4"/>
        <v>6.8</v>
      </c>
      <c r="AJ20" s="20">
        <f t="shared" si="5"/>
        <v>13.15</v>
      </c>
      <c r="AK20" s="20">
        <f t="shared" si="6"/>
        <v>11.9</v>
      </c>
      <c r="AL20" s="20">
        <f t="shared" si="7"/>
        <v>10</v>
      </c>
      <c r="AM20" s="20">
        <f t="shared" si="8"/>
        <v>6.95</v>
      </c>
      <c r="AN20" s="20">
        <f t="shared" si="9"/>
        <v>13.4</v>
      </c>
      <c r="AO20" s="20">
        <f t="shared" si="10"/>
        <v>11.15</v>
      </c>
      <c r="AP20" s="20">
        <f t="shared" si="11"/>
        <v>9.35</v>
      </c>
      <c r="AQ20" s="20">
        <f t="shared" si="12"/>
        <v>16.600000000000001</v>
      </c>
      <c r="AR20" s="20">
        <f t="shared" si="13"/>
        <v>25.650000000000002</v>
      </c>
      <c r="AS20" s="35">
        <f t="shared" si="29"/>
        <v>150.25000000000003</v>
      </c>
      <c r="AU20" s="47">
        <v>890277</v>
      </c>
      <c r="AV20" s="37">
        <f t="shared" si="31"/>
        <v>1880</v>
      </c>
      <c r="AW20" s="35">
        <f t="shared" si="30"/>
        <v>3.7600000000000002</v>
      </c>
    </row>
    <row r="21" spans="1:49" x14ac:dyDescent="0.25">
      <c r="A21" s="23">
        <v>43936</v>
      </c>
      <c r="B21" s="40">
        <v>5</v>
      </c>
      <c r="C21" s="24">
        <v>5980500</v>
      </c>
      <c r="D21" s="24">
        <v>12946280</v>
      </c>
      <c r="E21" s="24">
        <v>1646840</v>
      </c>
      <c r="F21" s="24">
        <v>2795390</v>
      </c>
      <c r="G21" s="24">
        <v>8675820</v>
      </c>
      <c r="H21" s="24">
        <v>4302110</v>
      </c>
      <c r="I21" s="24">
        <v>4131090</v>
      </c>
      <c r="J21" s="24">
        <v>4717560</v>
      </c>
      <c r="K21" s="24">
        <v>7444390</v>
      </c>
      <c r="L21" s="24">
        <v>2788160</v>
      </c>
      <c r="M21" s="24">
        <v>6727370</v>
      </c>
      <c r="N21" s="24">
        <v>9498810</v>
      </c>
      <c r="O21" s="24">
        <v>12964590</v>
      </c>
      <c r="Q21" s="37">
        <f t="shared" si="16"/>
        <v>550</v>
      </c>
      <c r="R21" s="37">
        <f t="shared" si="17"/>
        <v>2000</v>
      </c>
      <c r="S21" s="37">
        <f t="shared" si="15"/>
        <v>2100</v>
      </c>
      <c r="T21" s="37">
        <f t="shared" si="18"/>
        <v>1360</v>
      </c>
      <c r="U21" s="37">
        <f t="shared" si="19"/>
        <v>2630</v>
      </c>
      <c r="V21" s="37">
        <f t="shared" si="20"/>
        <v>2380</v>
      </c>
      <c r="W21" s="37">
        <f t="shared" si="21"/>
        <v>2000</v>
      </c>
      <c r="X21" s="37">
        <f t="shared" si="22"/>
        <v>1390</v>
      </c>
      <c r="Y21" s="37">
        <f t="shared" si="23"/>
        <v>2680</v>
      </c>
      <c r="Z21" s="37">
        <f t="shared" si="24"/>
        <v>2230</v>
      </c>
      <c r="AA21" s="37">
        <f t="shared" si="25"/>
        <v>1870</v>
      </c>
      <c r="AB21" s="37">
        <f t="shared" si="26"/>
        <v>3320</v>
      </c>
      <c r="AC21" s="37">
        <f t="shared" si="27"/>
        <v>5130</v>
      </c>
      <c r="AD21" s="35">
        <f t="shared" si="28"/>
        <v>29640</v>
      </c>
      <c r="AF21" s="20">
        <f t="shared" si="1"/>
        <v>2.75</v>
      </c>
      <c r="AG21" s="20">
        <f t="shared" si="2"/>
        <v>10</v>
      </c>
      <c r="AH21" s="20">
        <f t="shared" si="3"/>
        <v>10.5</v>
      </c>
      <c r="AI21" s="20">
        <f t="shared" si="4"/>
        <v>6.8</v>
      </c>
      <c r="AJ21" s="20">
        <f t="shared" si="5"/>
        <v>13.15</v>
      </c>
      <c r="AK21" s="20">
        <f t="shared" si="6"/>
        <v>11.9</v>
      </c>
      <c r="AL21" s="20">
        <f t="shared" si="7"/>
        <v>10</v>
      </c>
      <c r="AM21" s="20">
        <f t="shared" si="8"/>
        <v>6.95</v>
      </c>
      <c r="AN21" s="20">
        <f t="shared" si="9"/>
        <v>13.4</v>
      </c>
      <c r="AO21" s="20">
        <f t="shared" si="10"/>
        <v>11.15</v>
      </c>
      <c r="AP21" s="20">
        <f t="shared" si="11"/>
        <v>9.35</v>
      </c>
      <c r="AQ21" s="20">
        <f t="shared" si="12"/>
        <v>16.600000000000001</v>
      </c>
      <c r="AR21" s="20">
        <f t="shared" si="13"/>
        <v>25.650000000000002</v>
      </c>
      <c r="AS21" s="35">
        <f t="shared" si="29"/>
        <v>148.20000000000002</v>
      </c>
      <c r="AU21" s="47">
        <v>891429</v>
      </c>
      <c r="AV21" s="37">
        <f t="shared" si="31"/>
        <v>1152</v>
      </c>
      <c r="AW21" s="35">
        <f t="shared" si="30"/>
        <v>2.3040000000000003</v>
      </c>
    </row>
    <row r="22" spans="1:49" x14ac:dyDescent="0.25">
      <c r="A22" s="23">
        <v>43937</v>
      </c>
      <c r="B22" s="40">
        <v>7</v>
      </c>
      <c r="C22" s="24">
        <v>5981060</v>
      </c>
      <c r="D22" s="24">
        <v>12952930</v>
      </c>
      <c r="E22" s="24">
        <v>1648380</v>
      </c>
      <c r="F22" s="24">
        <v>2796840</v>
      </c>
      <c r="G22" s="24">
        <v>8678460</v>
      </c>
      <c r="H22" s="24">
        <v>4304670</v>
      </c>
      <c r="I22" s="24">
        <v>4133250</v>
      </c>
      <c r="J22" s="44">
        <v>4719180</v>
      </c>
      <c r="K22" s="24">
        <v>7446720</v>
      </c>
      <c r="L22" s="24">
        <v>2790480</v>
      </c>
      <c r="M22" s="24">
        <v>6729000</v>
      </c>
      <c r="N22" s="24">
        <v>9501580</v>
      </c>
      <c r="O22" s="44">
        <v>12969000</v>
      </c>
      <c r="Q22" s="37">
        <f t="shared" si="16"/>
        <v>560</v>
      </c>
      <c r="R22" s="37">
        <f t="shared" si="17"/>
        <v>6650</v>
      </c>
      <c r="S22" s="37">
        <f t="shared" si="15"/>
        <v>1540</v>
      </c>
      <c r="T22" s="37">
        <f t="shared" si="18"/>
        <v>1450</v>
      </c>
      <c r="U22" s="37">
        <f t="shared" si="19"/>
        <v>2640</v>
      </c>
      <c r="V22" s="37">
        <f t="shared" si="20"/>
        <v>2560</v>
      </c>
      <c r="W22" s="37">
        <f t="shared" si="21"/>
        <v>2160</v>
      </c>
      <c r="X22" s="37">
        <f t="shared" si="22"/>
        <v>1620</v>
      </c>
      <c r="Y22" s="37">
        <f t="shared" si="23"/>
        <v>2330</v>
      </c>
      <c r="Z22" s="37">
        <f t="shared" si="24"/>
        <v>2320</v>
      </c>
      <c r="AA22" s="37">
        <f t="shared" si="25"/>
        <v>1630</v>
      </c>
      <c r="AB22" s="37">
        <f t="shared" si="26"/>
        <v>2770</v>
      </c>
      <c r="AC22" s="37">
        <f t="shared" si="27"/>
        <v>4410</v>
      </c>
      <c r="AD22" s="35">
        <f t="shared" si="28"/>
        <v>32640</v>
      </c>
      <c r="AF22" s="20">
        <f t="shared" si="1"/>
        <v>2.8000000000000003</v>
      </c>
      <c r="AG22" s="20">
        <f t="shared" si="2"/>
        <v>33.25</v>
      </c>
      <c r="AH22" s="20">
        <f t="shared" si="3"/>
        <v>7.7</v>
      </c>
      <c r="AI22" s="20">
        <f t="shared" si="4"/>
        <v>7.25</v>
      </c>
      <c r="AJ22" s="20">
        <f t="shared" si="5"/>
        <v>13.200000000000001</v>
      </c>
      <c r="AK22" s="20">
        <f t="shared" si="6"/>
        <v>12.8</v>
      </c>
      <c r="AL22" s="20">
        <f t="shared" si="7"/>
        <v>10.8</v>
      </c>
      <c r="AM22" s="20">
        <f t="shared" si="8"/>
        <v>8.1</v>
      </c>
      <c r="AN22" s="20">
        <f t="shared" si="9"/>
        <v>11.65</v>
      </c>
      <c r="AO22" s="20">
        <f t="shared" si="10"/>
        <v>11.6</v>
      </c>
      <c r="AP22" s="20">
        <f t="shared" si="11"/>
        <v>8.15</v>
      </c>
      <c r="AQ22" s="20">
        <f t="shared" si="12"/>
        <v>13.85</v>
      </c>
      <c r="AR22" s="20">
        <f t="shared" si="13"/>
        <v>22.05</v>
      </c>
      <c r="AS22" s="35">
        <f t="shared" si="29"/>
        <v>163.20000000000002</v>
      </c>
      <c r="AU22" s="47">
        <v>892582</v>
      </c>
      <c r="AV22" s="37">
        <f t="shared" si="31"/>
        <v>1153</v>
      </c>
      <c r="AW22" s="35">
        <f t="shared" si="30"/>
        <v>2.306</v>
      </c>
    </row>
    <row r="23" spans="1:49" x14ac:dyDescent="0.25">
      <c r="A23" s="23">
        <v>43938</v>
      </c>
      <c r="B23" s="40">
        <v>7</v>
      </c>
      <c r="C23" s="24">
        <v>5981590</v>
      </c>
      <c r="D23" s="24">
        <v>12962680</v>
      </c>
      <c r="E23" s="24">
        <v>1648380</v>
      </c>
      <c r="F23" s="24">
        <v>2798250</v>
      </c>
      <c r="G23" s="24">
        <v>8681280</v>
      </c>
      <c r="H23" s="24">
        <v>4307000</v>
      </c>
      <c r="I23" s="24">
        <v>4135290</v>
      </c>
      <c r="J23" s="24">
        <v>4720640</v>
      </c>
      <c r="K23" s="24">
        <v>7448940</v>
      </c>
      <c r="L23" s="24">
        <v>2792730</v>
      </c>
      <c r="M23" s="24">
        <v>6730880</v>
      </c>
      <c r="N23" s="24">
        <v>9504610</v>
      </c>
      <c r="O23" s="24">
        <v>12973710</v>
      </c>
      <c r="Q23" s="37">
        <f t="shared" si="16"/>
        <v>530</v>
      </c>
      <c r="R23" s="37">
        <f t="shared" si="17"/>
        <v>9750</v>
      </c>
      <c r="S23" s="37">
        <f t="shared" si="15"/>
        <v>0</v>
      </c>
      <c r="T23" s="37">
        <f t="shared" si="18"/>
        <v>1410</v>
      </c>
      <c r="U23" s="37">
        <f t="shared" si="19"/>
        <v>2820</v>
      </c>
      <c r="V23" s="37">
        <f t="shared" si="20"/>
        <v>2330</v>
      </c>
      <c r="W23" s="37">
        <f t="shared" si="21"/>
        <v>2040</v>
      </c>
      <c r="X23" s="37">
        <f t="shared" si="22"/>
        <v>1460</v>
      </c>
      <c r="Y23" s="37">
        <f t="shared" si="23"/>
        <v>2220</v>
      </c>
      <c r="Z23" s="37">
        <f t="shared" si="24"/>
        <v>2250</v>
      </c>
      <c r="AA23" s="37">
        <f t="shared" si="25"/>
        <v>1880</v>
      </c>
      <c r="AB23" s="37">
        <f t="shared" si="26"/>
        <v>3030</v>
      </c>
      <c r="AC23" s="37">
        <f t="shared" si="27"/>
        <v>4710</v>
      </c>
      <c r="AD23" s="35">
        <f t="shared" si="28"/>
        <v>34430</v>
      </c>
      <c r="AF23" s="20">
        <f t="shared" si="1"/>
        <v>2.65</v>
      </c>
      <c r="AG23" s="20">
        <f t="shared" si="2"/>
        <v>48.75</v>
      </c>
      <c r="AH23" s="20">
        <f t="shared" si="3"/>
        <v>0</v>
      </c>
      <c r="AI23" s="20">
        <f t="shared" si="4"/>
        <v>7.05</v>
      </c>
      <c r="AJ23" s="20">
        <f t="shared" si="5"/>
        <v>14.1</v>
      </c>
      <c r="AK23" s="20">
        <f t="shared" si="6"/>
        <v>11.65</v>
      </c>
      <c r="AL23" s="20">
        <f t="shared" si="7"/>
        <v>10.200000000000001</v>
      </c>
      <c r="AM23" s="20">
        <f t="shared" si="8"/>
        <v>7.3</v>
      </c>
      <c r="AN23" s="20">
        <f t="shared" si="9"/>
        <v>11.1</v>
      </c>
      <c r="AO23" s="20">
        <f t="shared" si="10"/>
        <v>11.25</v>
      </c>
      <c r="AP23" s="20">
        <f t="shared" si="11"/>
        <v>9.4</v>
      </c>
      <c r="AQ23" s="20">
        <f t="shared" si="12"/>
        <v>15.15</v>
      </c>
      <c r="AR23" s="20">
        <f t="shared" si="13"/>
        <v>23.55</v>
      </c>
      <c r="AS23" s="35">
        <f t="shared" si="29"/>
        <v>172.15</v>
      </c>
      <c r="AU23" s="47">
        <v>893420</v>
      </c>
      <c r="AV23" s="37">
        <f t="shared" si="31"/>
        <v>838</v>
      </c>
      <c r="AW23" s="35">
        <f t="shared" si="30"/>
        <v>1.6759999999999999</v>
      </c>
    </row>
    <row r="24" spans="1:49" x14ac:dyDescent="0.25">
      <c r="A24" s="23">
        <v>43939</v>
      </c>
      <c r="B24" s="40">
        <v>5</v>
      </c>
      <c r="C24" s="24">
        <v>5982120</v>
      </c>
      <c r="D24" s="24">
        <v>12972230</v>
      </c>
      <c r="E24" s="24">
        <v>1648380</v>
      </c>
      <c r="F24" s="24">
        <v>2799620</v>
      </c>
      <c r="G24" s="24">
        <v>8683980</v>
      </c>
      <c r="H24" s="24">
        <v>4309250</v>
      </c>
      <c r="I24" s="24">
        <v>4137280</v>
      </c>
      <c r="J24" s="24">
        <v>4722040</v>
      </c>
      <c r="K24" s="24">
        <v>7450780</v>
      </c>
      <c r="L24" s="24">
        <v>2794950</v>
      </c>
      <c r="M24" s="24">
        <v>6732470</v>
      </c>
      <c r="N24" s="24">
        <v>9507770</v>
      </c>
      <c r="O24" s="24">
        <v>12978470</v>
      </c>
      <c r="Q24" s="37">
        <f t="shared" si="16"/>
        <v>530</v>
      </c>
      <c r="R24" s="37">
        <f t="shared" si="17"/>
        <v>9550</v>
      </c>
      <c r="S24" s="37">
        <f t="shared" si="15"/>
        <v>0</v>
      </c>
      <c r="T24" s="37">
        <f t="shared" si="18"/>
        <v>1370</v>
      </c>
      <c r="U24" s="37">
        <f t="shared" si="19"/>
        <v>2700</v>
      </c>
      <c r="V24" s="37">
        <f t="shared" si="20"/>
        <v>2250</v>
      </c>
      <c r="W24" s="37">
        <f t="shared" si="21"/>
        <v>1990</v>
      </c>
      <c r="X24" s="37">
        <f t="shared" si="22"/>
        <v>1400</v>
      </c>
      <c r="Y24" s="37">
        <f t="shared" si="23"/>
        <v>1840</v>
      </c>
      <c r="Z24" s="37">
        <f t="shared" si="24"/>
        <v>2220</v>
      </c>
      <c r="AA24" s="37">
        <f t="shared" si="25"/>
        <v>1590</v>
      </c>
      <c r="AB24" s="37">
        <f t="shared" si="26"/>
        <v>3160</v>
      </c>
      <c r="AC24" s="37">
        <f t="shared" si="27"/>
        <v>4760</v>
      </c>
      <c r="AD24" s="35">
        <f t="shared" si="28"/>
        <v>33360</v>
      </c>
      <c r="AF24" s="20">
        <f t="shared" si="1"/>
        <v>2.65</v>
      </c>
      <c r="AG24" s="20">
        <f t="shared" si="2"/>
        <v>47.75</v>
      </c>
      <c r="AH24" s="20">
        <f t="shared" si="3"/>
        <v>0</v>
      </c>
      <c r="AI24" s="20">
        <f t="shared" si="4"/>
        <v>6.8500000000000005</v>
      </c>
      <c r="AJ24" s="20">
        <f t="shared" si="5"/>
        <v>13.5</v>
      </c>
      <c r="AK24" s="20">
        <f t="shared" si="6"/>
        <v>11.25</v>
      </c>
      <c r="AL24" s="20">
        <f t="shared" si="7"/>
        <v>9.9500000000000011</v>
      </c>
      <c r="AM24" s="20">
        <f t="shared" si="8"/>
        <v>7</v>
      </c>
      <c r="AN24" s="20">
        <f t="shared" si="9"/>
        <v>9.2000000000000011</v>
      </c>
      <c r="AO24" s="20">
        <f t="shared" si="10"/>
        <v>11.1</v>
      </c>
      <c r="AP24" s="20">
        <f t="shared" si="11"/>
        <v>7.95</v>
      </c>
      <c r="AQ24" s="20">
        <f t="shared" si="12"/>
        <v>15.8</v>
      </c>
      <c r="AR24" s="20">
        <f t="shared" si="13"/>
        <v>23.8</v>
      </c>
      <c r="AS24" s="35">
        <f t="shared" si="29"/>
        <v>166.8</v>
      </c>
      <c r="AU24" s="47">
        <v>894190</v>
      </c>
      <c r="AV24" s="37">
        <f t="shared" si="31"/>
        <v>770</v>
      </c>
      <c r="AW24" s="35">
        <f t="shared" si="30"/>
        <v>1.54</v>
      </c>
    </row>
    <row r="25" spans="1:49" x14ac:dyDescent="0.25">
      <c r="A25" s="23">
        <v>43940</v>
      </c>
      <c r="B25" s="40">
        <v>8</v>
      </c>
      <c r="C25" s="24">
        <v>5982670</v>
      </c>
      <c r="D25" s="24">
        <v>12982470</v>
      </c>
      <c r="E25" s="24">
        <v>1648380</v>
      </c>
      <c r="F25" s="24">
        <v>2801060</v>
      </c>
      <c r="G25" s="24">
        <v>8686920</v>
      </c>
      <c r="H25" s="24">
        <v>4311510</v>
      </c>
      <c r="I25" s="24">
        <v>4139390</v>
      </c>
      <c r="J25" s="24">
        <v>4723490</v>
      </c>
      <c r="K25" s="24">
        <v>7452710</v>
      </c>
      <c r="L25" s="24">
        <v>2797310</v>
      </c>
      <c r="M25" s="24">
        <v>6734610</v>
      </c>
      <c r="N25" s="24">
        <v>9511270</v>
      </c>
      <c r="O25" s="24">
        <v>12983510</v>
      </c>
      <c r="Q25" s="37">
        <f t="shared" ref="Q25:AC27" si="33">IF((C25-C24&lt;0), "0",C25-C24)</f>
        <v>550</v>
      </c>
      <c r="R25" s="37">
        <f t="shared" si="33"/>
        <v>10240</v>
      </c>
      <c r="S25" s="37">
        <f t="shared" si="33"/>
        <v>0</v>
      </c>
      <c r="T25" s="37">
        <f t="shared" si="33"/>
        <v>1440</v>
      </c>
      <c r="U25" s="37">
        <f t="shared" si="33"/>
        <v>2940</v>
      </c>
      <c r="V25" s="37">
        <f t="shared" si="33"/>
        <v>2260</v>
      </c>
      <c r="W25" s="37">
        <f t="shared" si="33"/>
        <v>2110</v>
      </c>
      <c r="X25" s="37">
        <f t="shared" si="33"/>
        <v>1450</v>
      </c>
      <c r="Y25" s="37">
        <f t="shared" si="33"/>
        <v>1930</v>
      </c>
      <c r="Z25" s="37">
        <f t="shared" si="33"/>
        <v>2360</v>
      </c>
      <c r="AA25" s="37">
        <f t="shared" si="33"/>
        <v>2140</v>
      </c>
      <c r="AB25" s="37">
        <f t="shared" si="33"/>
        <v>3500</v>
      </c>
      <c r="AC25" s="37">
        <f t="shared" si="33"/>
        <v>5040</v>
      </c>
      <c r="AD25" s="35">
        <f t="shared" si="28"/>
        <v>35960</v>
      </c>
      <c r="AF25" s="20">
        <f t="shared" si="1"/>
        <v>2.75</v>
      </c>
      <c r="AG25" s="20">
        <f t="shared" si="2"/>
        <v>51.2</v>
      </c>
      <c r="AH25" s="20">
        <f t="shared" si="3"/>
        <v>0</v>
      </c>
      <c r="AI25" s="20">
        <f t="shared" si="4"/>
        <v>7.2</v>
      </c>
      <c r="AJ25" s="20">
        <f t="shared" si="5"/>
        <v>14.700000000000001</v>
      </c>
      <c r="AK25" s="20">
        <f t="shared" si="6"/>
        <v>11.3</v>
      </c>
      <c r="AL25" s="20">
        <f t="shared" si="7"/>
        <v>10.55</v>
      </c>
      <c r="AM25" s="20">
        <f t="shared" si="8"/>
        <v>7.25</v>
      </c>
      <c r="AN25" s="20">
        <f t="shared" si="9"/>
        <v>9.65</v>
      </c>
      <c r="AO25" s="20">
        <f t="shared" si="10"/>
        <v>11.8</v>
      </c>
      <c r="AP25" s="20">
        <f t="shared" si="11"/>
        <v>10.700000000000001</v>
      </c>
      <c r="AQ25" s="20">
        <f t="shared" si="12"/>
        <v>17.5</v>
      </c>
      <c r="AR25" s="20">
        <f t="shared" si="13"/>
        <v>25.2</v>
      </c>
      <c r="AS25" s="35">
        <f t="shared" si="29"/>
        <v>179.79999999999998</v>
      </c>
      <c r="AU25" s="47">
        <v>894517</v>
      </c>
      <c r="AV25" s="37">
        <f t="shared" si="31"/>
        <v>327</v>
      </c>
      <c r="AW25" s="35">
        <f t="shared" si="30"/>
        <v>0.65400000000000003</v>
      </c>
    </row>
    <row r="26" spans="1:49" x14ac:dyDescent="0.25">
      <c r="A26" s="23">
        <v>43941</v>
      </c>
      <c r="B26" s="40">
        <v>10</v>
      </c>
      <c r="C26" s="24">
        <v>5983230</v>
      </c>
      <c r="D26" s="24">
        <v>12992870</v>
      </c>
      <c r="E26" s="24">
        <v>1648380</v>
      </c>
      <c r="F26" s="24">
        <v>2802470</v>
      </c>
      <c r="G26" s="24">
        <v>8689970</v>
      </c>
      <c r="H26" s="24">
        <v>4313830</v>
      </c>
      <c r="I26" s="24">
        <v>4141520</v>
      </c>
      <c r="J26" s="24">
        <v>4724780</v>
      </c>
      <c r="K26" s="24">
        <v>7454640</v>
      </c>
      <c r="L26" s="24">
        <v>2799680</v>
      </c>
      <c r="M26" s="24">
        <v>6736240</v>
      </c>
      <c r="N26" s="24">
        <v>9514960</v>
      </c>
      <c r="O26" s="24">
        <v>12988610</v>
      </c>
      <c r="Q26" s="37">
        <f t="shared" si="33"/>
        <v>560</v>
      </c>
      <c r="R26" s="37">
        <f t="shared" si="33"/>
        <v>10400</v>
      </c>
      <c r="S26" s="37">
        <f t="shared" si="33"/>
        <v>0</v>
      </c>
      <c r="T26" s="37">
        <f t="shared" si="33"/>
        <v>1410</v>
      </c>
      <c r="U26" s="37">
        <f t="shared" si="33"/>
        <v>3050</v>
      </c>
      <c r="V26" s="37">
        <f t="shared" si="33"/>
        <v>2320</v>
      </c>
      <c r="W26" s="37">
        <f t="shared" si="33"/>
        <v>2130</v>
      </c>
      <c r="X26" s="37">
        <f t="shared" si="33"/>
        <v>1290</v>
      </c>
      <c r="Y26" s="37">
        <f t="shared" si="33"/>
        <v>1930</v>
      </c>
      <c r="Z26" s="37">
        <f t="shared" si="33"/>
        <v>2370</v>
      </c>
      <c r="AA26" s="37">
        <f t="shared" si="33"/>
        <v>1630</v>
      </c>
      <c r="AB26" s="37">
        <f t="shared" si="33"/>
        <v>3690</v>
      </c>
      <c r="AC26" s="37">
        <f t="shared" si="33"/>
        <v>5100</v>
      </c>
      <c r="AD26" s="35">
        <f t="shared" si="28"/>
        <v>35880</v>
      </c>
      <c r="AF26" s="20">
        <f t="shared" si="1"/>
        <v>2.8000000000000003</v>
      </c>
      <c r="AG26" s="20">
        <f t="shared" si="2"/>
        <v>52</v>
      </c>
      <c r="AH26" s="20">
        <f t="shared" si="3"/>
        <v>0</v>
      </c>
      <c r="AI26" s="20">
        <f t="shared" si="4"/>
        <v>7.05</v>
      </c>
      <c r="AJ26" s="20">
        <f t="shared" si="5"/>
        <v>15.25</v>
      </c>
      <c r="AK26" s="20">
        <f t="shared" si="6"/>
        <v>11.6</v>
      </c>
      <c r="AL26" s="20">
        <f t="shared" si="7"/>
        <v>10.65</v>
      </c>
      <c r="AM26" s="20">
        <f t="shared" si="8"/>
        <v>6.45</v>
      </c>
      <c r="AN26" s="20">
        <f t="shared" si="9"/>
        <v>9.65</v>
      </c>
      <c r="AO26" s="20">
        <f t="shared" si="10"/>
        <v>11.85</v>
      </c>
      <c r="AP26" s="20">
        <f t="shared" si="11"/>
        <v>8.15</v>
      </c>
      <c r="AQ26" s="20">
        <f t="shared" si="12"/>
        <v>18.45</v>
      </c>
      <c r="AR26" s="20">
        <f t="shared" si="13"/>
        <v>25.5</v>
      </c>
      <c r="AS26" s="35">
        <f t="shared" si="29"/>
        <v>179.39999999999998</v>
      </c>
      <c r="AU26" s="47">
        <v>895751</v>
      </c>
      <c r="AV26" s="37">
        <f t="shared" si="31"/>
        <v>1234</v>
      </c>
      <c r="AW26" s="35">
        <f t="shared" si="30"/>
        <v>2.468</v>
      </c>
    </row>
    <row r="27" spans="1:49" x14ac:dyDescent="0.25">
      <c r="A27" s="23">
        <v>43942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 t="str">
        <f t="shared" si="33"/>
        <v>0</v>
      </c>
      <c r="R27" s="37" t="str">
        <f t="shared" si="33"/>
        <v>0</v>
      </c>
      <c r="S27" s="37" t="str">
        <f t="shared" si="33"/>
        <v>0</v>
      </c>
      <c r="T27" s="37" t="str">
        <f t="shared" si="33"/>
        <v>0</v>
      </c>
      <c r="U27" s="37" t="str">
        <f t="shared" si="33"/>
        <v>0</v>
      </c>
      <c r="V27" s="37" t="str">
        <f t="shared" si="33"/>
        <v>0</v>
      </c>
      <c r="W27" s="37" t="str">
        <f t="shared" si="33"/>
        <v>0</v>
      </c>
      <c r="X27" s="37" t="str">
        <f t="shared" si="33"/>
        <v>0</v>
      </c>
      <c r="Y27" s="37" t="str">
        <f t="shared" si="33"/>
        <v>0</v>
      </c>
      <c r="Z27" s="37" t="str">
        <f t="shared" si="33"/>
        <v>0</v>
      </c>
      <c r="AA27" s="37" t="str">
        <f t="shared" si="33"/>
        <v>0</v>
      </c>
      <c r="AB27" s="37" t="str">
        <f t="shared" si="33"/>
        <v>0</v>
      </c>
      <c r="AC27" s="37" t="str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 t="str">
        <f>IF((AU27-AU26&lt;0),"0",AU27-AU26)</f>
        <v>0</v>
      </c>
      <c r="AW27" s="35">
        <f t="shared" si="30"/>
        <v>0</v>
      </c>
    </row>
    <row r="28" spans="1:49" x14ac:dyDescent="0.25">
      <c r="A28" s="23">
        <v>43943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43944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43945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43946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43947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43948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43949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43950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43951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11120</v>
      </c>
      <c r="R38" s="30">
        <f t="shared" si="62"/>
        <v>75000</v>
      </c>
      <c r="S38" s="30">
        <f t="shared" si="62"/>
        <v>44550</v>
      </c>
      <c r="T38" s="30">
        <f t="shared" si="62"/>
        <v>27930</v>
      </c>
      <c r="U38" s="30">
        <f t="shared" si="62"/>
        <v>56560</v>
      </c>
      <c r="V38" s="30">
        <f t="shared" si="62"/>
        <v>46210</v>
      </c>
      <c r="W38" s="30">
        <f t="shared" si="62"/>
        <v>41610</v>
      </c>
      <c r="X38" s="30">
        <f t="shared" si="62"/>
        <v>26250</v>
      </c>
      <c r="Y38" s="30">
        <f t="shared" si="62"/>
        <v>46070</v>
      </c>
      <c r="Z38" s="30">
        <f t="shared" si="62"/>
        <v>44180</v>
      </c>
      <c r="AA38" s="30">
        <f t="shared" si="62"/>
        <v>36510</v>
      </c>
      <c r="AB38" s="30">
        <f t="shared" si="62"/>
        <v>76220</v>
      </c>
      <c r="AC38" s="30">
        <f t="shared" si="62"/>
        <v>86930</v>
      </c>
      <c r="AD38" s="35">
        <f t="shared" si="62"/>
        <v>619140</v>
      </c>
      <c r="AF38" s="35">
        <f t="shared" ref="AF38:AS38" si="63">SUM(AF7:AF34)</f>
        <v>55.599999999999994</v>
      </c>
      <c r="AG38" s="35">
        <f t="shared" si="63"/>
        <v>374.99999999999994</v>
      </c>
      <c r="AH38" s="35">
        <f t="shared" si="63"/>
        <v>222.75</v>
      </c>
      <c r="AI38" s="35">
        <f t="shared" si="63"/>
        <v>139.65</v>
      </c>
      <c r="AJ38" s="35">
        <f t="shared" si="63"/>
        <v>282.8</v>
      </c>
      <c r="AK38" s="35">
        <f t="shared" si="63"/>
        <v>231.05000000000004</v>
      </c>
      <c r="AL38" s="35">
        <f t="shared" si="63"/>
        <v>208.05</v>
      </c>
      <c r="AM38" s="35">
        <f t="shared" si="63"/>
        <v>131.25</v>
      </c>
      <c r="AN38" s="35">
        <f t="shared" si="63"/>
        <v>230.35000000000002</v>
      </c>
      <c r="AO38" s="35">
        <f t="shared" si="63"/>
        <v>220.9</v>
      </c>
      <c r="AP38" s="35">
        <f t="shared" si="63"/>
        <v>182.54999999999998</v>
      </c>
      <c r="AQ38" s="35">
        <f t="shared" si="63"/>
        <v>381.10000000000008</v>
      </c>
      <c r="AR38" s="35">
        <f t="shared" si="63"/>
        <v>434.65</v>
      </c>
      <c r="AS38" s="35">
        <f t="shared" si="63"/>
        <v>3095.7000000000003</v>
      </c>
      <c r="AU38" s="48"/>
      <c r="AV38" s="35">
        <f>SUM(AV7:AV34)</f>
        <v>22281</v>
      </c>
      <c r="AW38" s="35">
        <f>SUM(AW7:AW34)</f>
        <v>39.231999999999999</v>
      </c>
    </row>
    <row r="39" spans="1:49" x14ac:dyDescent="0.25">
      <c r="D39">
        <v>5.0000000000000001E-3</v>
      </c>
      <c r="AV39" s="36">
        <f>AV38*0.00378541*1000</f>
        <v>84342.720209999999</v>
      </c>
    </row>
    <row r="40" spans="1:49" x14ac:dyDescent="0.25">
      <c r="D40">
        <v>2E-3</v>
      </c>
      <c r="AV40">
        <f>AV39/31</f>
        <v>2720.7329100000002</v>
      </c>
    </row>
    <row r="41" spans="1:49" x14ac:dyDescent="0.25">
      <c r="AV41">
        <f>AV38*0.00378541</f>
        <v>84.342720209999996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2020-04-21T04:07:09Z</dcterms:modified>
</cp:coreProperties>
</file>