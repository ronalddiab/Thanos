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<sst xmlns="http://schemas.openxmlformats.org/spreadsheetml/2006/main" count="315" uniqueCount="148">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</sst>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8500.0000000005748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92</v>
      </c>
      <c r="J6" s="11">
        <f t="shared" si="2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9399.9999999991378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18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10700.000000000258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85</v>
      </c>
      <c r="J8" s="11">
        <f t="shared" si="2"/>
        <v>10.487297712684205</v>
      </c>
      <c r="K8" s="13">
        <f>'FS Desroches Daily'!CN10</f>
        <v>18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10400.000000000076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89</v>
      </c>
      <c r="J9" s="11">
        <f t="shared" si="2"/>
        <v>10.487297712684205</v>
      </c>
      <c r="K9" s="13">
        <f>'FS Desroches Daily'!CN11</f>
        <v>18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10000.00000000012</v>
      </c>
      <c r="F10" s="11">
        <f t="shared" si="0"/>
        <v>0.58765030286592534</v>
      </c>
      <c r="G10" s="12">
        <f>(Submetering!AX10+Submetering!AY10+Submetering!AZ10+Submetering!BA10+Submetering!BB10)</f>
        <v>9.1574999999999989</v>
      </c>
      <c r="H10" s="11">
        <f t="shared" si="1"/>
        <v>0.99</v>
      </c>
      <c r="I10" s="12">
        <f>'FS Desroches Daily'!CM12</f>
        <v>102</v>
      </c>
      <c r="J10" s="11">
        <f t="shared" si="2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10599.999999999894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78</v>
      </c>
      <c r="J11" s="11">
        <f t="shared" si="2"/>
        <v>10.487297712684205</v>
      </c>
      <c r="K11" s="13">
        <f>'FS Desroches Daily'!CN13</f>
        <v>25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10500.000000000213</v>
      </c>
      <c r="F12" s="11">
        <f t="shared" si="0"/>
        <v>0.58765030286592534</v>
      </c>
      <c r="G12" s="12">
        <f>(Submetering!AX12+Submetering!AY12+Submetering!AZ12+Submetering!BA12+Submetering!BB12)</f>
        <v>12.820499999999999</v>
      </c>
      <c r="H12" s="11">
        <f t="shared" si="1"/>
        <v>0.99</v>
      </c>
      <c r="I12" s="12">
        <f>'FS Desroches Daily'!CM14</f>
        <v>86</v>
      </c>
      <c r="J12" s="11">
        <f t="shared" si="2"/>
        <v>10.487297712684205</v>
      </c>
      <c r="K12" s="13">
        <f>'FS Desroches Daily'!CN14</f>
        <v>28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9599.9999999997872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86</v>
      </c>
      <c r="J13" s="11">
        <f t="shared" si="2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10100.000000000029</v>
      </c>
      <c r="F14" s="11">
        <f t="shared" si="0"/>
        <v>0.58765030286592534</v>
      </c>
      <c r="G14" s="12">
        <f>(Submetering!AX14+Submetering!AY14+Submetering!AZ14+Submetering!BA14+Submetering!BB14)</f>
        <v>12.820499999999999</v>
      </c>
      <c r="H14" s="11">
        <f t="shared" si="1"/>
        <v>0.99</v>
      </c>
      <c r="I14" s="12">
        <f>'FS Desroches Daily'!CM16</f>
        <v>94.299999999999272</v>
      </c>
      <c r="J14" s="11">
        <f t="shared" si="2"/>
        <v>10.487297712684205</v>
      </c>
      <c r="K14" s="13">
        <f>'FS Desroches Daily'!CN16</f>
        <v>28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10200.000000000609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117.70000000000073</v>
      </c>
      <c r="J15" s="11">
        <f t="shared" si="2"/>
        <v>10.487297712684205</v>
      </c>
      <c r="K15" s="13">
        <f>'FS Desroches Daily'!CN17</f>
        <v>32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10800.000000000544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130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12299.999999999343</v>
      </c>
      <c r="F17" s="11">
        <f t="shared" si="0"/>
        <v>0.58765030286592534</v>
      </c>
      <c r="G17" s="12">
        <f>(Submetering!AX17+Submetering!AY17+Submetering!AZ17+Submetering!BA17+Submetering!BB17)</f>
        <v>14.651999999999997</v>
      </c>
      <c r="H17" s="11">
        <f t="shared" si="1"/>
        <v>0.99</v>
      </c>
      <c r="I17" s="12">
        <f>'FS Desroches Daily'!CM19</f>
        <v>146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11399.999999999965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137</v>
      </c>
      <c r="J18" s="11">
        <f t="shared" si="2"/>
        <v>10.487297712684205</v>
      </c>
      <c r="K18" s="13">
        <f>'FS Desroches Daily'!CN20</f>
        <v>39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11099.999999999332</v>
      </c>
      <c r="F19" s="11">
        <f t="shared" si="0"/>
        <v>0.58765030286592534</v>
      </c>
      <c r="G19" s="12">
        <f>(Submetering!AX19+Submetering!AY19+Submetering!AZ19+Submetering!BA19+Submetering!BB19)</f>
        <v>14.651999999999999</v>
      </c>
      <c r="H19" s="11">
        <f t="shared" si="1"/>
        <v>0.99</v>
      </c>
      <c r="I19" s="12">
        <f>'FS Desroches Daily'!CM21</f>
        <v>118</v>
      </c>
      <c r="J19" s="11">
        <f t="shared" si="2"/>
        <v>10.487297712684205</v>
      </c>
      <c r="K19" s="13">
        <f>'FS Desroches Daily'!CN21</f>
        <v>30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10400.000000000218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110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10199.999999999722</v>
      </c>
      <c r="F21" s="11">
        <f t="shared" si="0"/>
        <v>0.58765030286592534</v>
      </c>
      <c r="G21" s="12">
        <f>(Submetering!AX21+Submetering!AY21+Submetering!AZ21+Submetering!BA21+Submetering!BB21)</f>
        <v>9.1574999999999989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23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10700.000000000191</v>
      </c>
      <c r="F22" s="11">
        <f t="shared" si="0"/>
        <v>0.58765030286592534</v>
      </c>
      <c r="G22" s="12">
        <f>(Submetering!AX22+Submetering!AY22+Submetering!AZ22+Submetering!BA22+Submetering!BB22)</f>
        <v>10.988999999999999</v>
      </c>
      <c r="H22" s="11">
        <f t="shared" si="1"/>
        <v>0.99</v>
      </c>
      <c r="I22" s="12">
        <f>'FS Desroches Daily'!CM24</f>
        <v>108.40000000000146</v>
      </c>
      <c r="J22" s="11">
        <f t="shared" si="2"/>
        <v>10.487297712684205</v>
      </c>
      <c r="K22" s="13">
        <f>'FS Desroches Daily'!CN24</f>
        <v>27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10100.000000000473</v>
      </c>
      <c r="F23" s="11">
        <f t="shared" si="0"/>
        <v>0.58765030286592534</v>
      </c>
      <c r="G23" s="12">
        <f>(Submetering!AX23+Submetering!AY23+Submetering!AZ23+Submetering!BA23+Submetering!BB23)</f>
        <v>14.651999999999999</v>
      </c>
      <c r="H23" s="11">
        <f t="shared" si="1"/>
        <v>0.99</v>
      </c>
      <c r="I23" s="12">
        <f>'FS Desroches Daily'!CM25</f>
        <v>111.79999999999927</v>
      </c>
      <c r="J23" s="11">
        <f t="shared" si="2"/>
        <v>10.487297712684205</v>
      </c>
      <c r="K23" s="13">
        <f>'FS Desroches Daily'!CN25</f>
        <v>25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11700.000000000013</v>
      </c>
      <c r="F24" s="11">
        <f t="shared" si="0"/>
        <v>0.58765030286592534</v>
      </c>
      <c r="G24" s="12">
        <f>(Submetering!AX24+Submetering!AY24+Submetering!AZ24+Submetering!BA24+Submetering!BB24)</f>
        <v>3.6629999999999998</v>
      </c>
      <c r="H24" s="11">
        <f t="shared" si="1"/>
        <v>0.99</v>
      </c>
      <c r="I24" s="12">
        <f>'FS Desroches Daily'!CM26</f>
        <v>135</v>
      </c>
      <c r="J24" s="11">
        <f t="shared" si="2"/>
        <v>10.487297712684205</v>
      </c>
      <c r="K24" s="13">
        <f>'FS Desroches Daily'!CN26</f>
        <v>25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11699.999999999267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111.20000000000073</v>
      </c>
      <c r="J25" s="11">
        <f t="shared" si="2"/>
        <v>10.487297712684205</v>
      </c>
      <c r="K25" s="13">
        <f>'FS Desroches Daily'!CN27</f>
        <v>23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 t="e">
        <f>Submetering!E26+Submetering!F26+Submetering!G26+Submetering!H26+Submetering!J26-Submetering!AV26</f>
        <v>#VALUE!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 t="e">
        <f>'FS Desroches Daily'!CM28</f>
        <v>#VALUE!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900.00000000009095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799.99999999995453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1000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1000</v>
      </c>
      <c r="N5" s="31">
        <f>'FS Desroches Daily'!V7</f>
        <v>391.80000000004657</v>
      </c>
      <c r="O5" s="31">
        <f>'FS Desroches Daily'!X8</f>
        <v>250</v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1100.000000000101</v>
      </c>
      <c r="F6" s="32">
        <f>'FS Desroches Daily'!F8</f>
        <v>2699.9999999999245</v>
      </c>
      <c r="G6" s="31">
        <f>'FS Desroches Daily'!H8</f>
        <v>3200.0000000005357</v>
      </c>
      <c r="H6" s="32">
        <f>'FS Desroches Daily'!J8</f>
        <v>1400.0000000002899</v>
      </c>
      <c r="I6" s="31">
        <f>'FS Desroches Daily'!L8</f>
        <v>1799.9999999998017</v>
      </c>
      <c r="J6" s="32">
        <f>'FS Desroches Daily'!N8</f>
        <v>899.99999999967883</v>
      </c>
      <c r="K6" s="13">
        <f>'FS Desroches Daily'!P8</f>
        <v>16</v>
      </c>
      <c r="L6" s="31">
        <f>'FS Desroches Daily'!R8</f>
        <v>2</v>
      </c>
      <c r="M6" s="31">
        <f>'FS Desroches Daily'!T8</f>
        <v>1000</v>
      </c>
      <c r="N6" s="31">
        <f>'FS Desroches Daily'!V8</f>
        <v>343</v>
      </c>
      <c r="O6" s="31">
        <f>'FS Desroches Daily'!X8</f>
        <v>250</v>
      </c>
      <c r="P6" s="31">
        <f>'FS Desroches Daily'!Z8</f>
        <v>2400.0000000006239</v>
      </c>
      <c r="Q6" s="31">
        <f>'FS Desroches Daily'!AB8</f>
        <v>279.99999999997272</v>
      </c>
      <c r="R6" s="31">
        <f>'FS Desroches Daily'!AD8</f>
        <v>240.00000000000909</v>
      </c>
      <c r="S6" s="31">
        <f>'FS Desroches Daily'!AF8</f>
        <v>290.00000000007731</v>
      </c>
      <c r="T6" s="31">
        <f>'FS Desroches Daily'!AH8</f>
        <v>31</v>
      </c>
      <c r="U6" s="35">
        <f>'FS Desroches Daily'!AJ8</f>
        <v>299.99999999996697</v>
      </c>
      <c r="V6" s="35">
        <f>'FS Desroches Daily'!AL8</f>
        <v>60.000000000002274</v>
      </c>
      <c r="W6" s="35">
        <f>'FS Desroches Daily'!AN8</f>
        <v>170.00000000001592</v>
      </c>
      <c r="X6" s="35">
        <f>'FS Desroches Daily'!AP8</f>
        <v>30.000000000029559</v>
      </c>
      <c r="Y6" s="35">
        <f>'FS Desroches Daily'!AR8</f>
        <v>50.000000000011369</v>
      </c>
      <c r="Z6" s="35">
        <f>'FS Desroches Daily'!AT8</f>
        <v>40.000000000020464</v>
      </c>
      <c r="AA6" s="35">
        <f>'FS Desroches Daily'!AT8</f>
        <v>40.000000000020464</v>
      </c>
      <c r="AB6" s="35">
        <f>'FS Desroches Daily'!AV8</f>
        <v>19.99999999998181</v>
      </c>
      <c r="AC6" s="35">
        <f>'FS Desroches Daily'!AZ8</f>
        <v>30.000000000029559</v>
      </c>
      <c r="AD6" s="35">
        <f>'FS Desroches Daily'!BB8</f>
        <v>60.000000000002274</v>
      </c>
      <c r="AE6" s="35">
        <f>'FS Desroches Daily'!BD8</f>
        <v>40.000000000020464</v>
      </c>
      <c r="AF6" s="31">
        <f>'FS Desroches Daily'!BF8</f>
        <v>59</v>
      </c>
      <c r="AG6" s="32">
        <f>'FS Desroches Daily'!BH8</f>
        <v>30.000000000029559</v>
      </c>
      <c r="AH6" s="32">
        <f>'FS Desroches Daily'!BJ8</f>
        <v>30.000000000029559</v>
      </c>
      <c r="AI6" s="32">
        <f>'FS Desroches Daily'!BL8</f>
        <v>29.999999999972715</v>
      </c>
      <c r="AJ6" s="32">
        <f>'FS Desroches Daily'!BN8</f>
        <v>30.000000000001137</v>
      </c>
      <c r="AK6" s="32">
        <f>'FS Desroches Daily'!BP8</f>
        <v>29.999999999972715</v>
      </c>
      <c r="AL6" s="32">
        <f>'FS Desroches Daily'!BR8</f>
        <v>28</v>
      </c>
      <c r="AM6" s="32">
        <f>'FS Desroches Daily'!BT8</f>
        <v>50.000000000011369</v>
      </c>
      <c r="AN6" s="32">
        <f>'FS Desroches Daily'!BV8</f>
        <v>22</v>
      </c>
      <c r="AO6" s="32">
        <f>'FS Desroches Daily'!BX8</f>
        <v>40.000000000020464</v>
      </c>
      <c r="AP6" s="32">
        <f>'FS Desroches Daily'!BZ8</f>
        <v>34</v>
      </c>
      <c r="AQ6" s="31">
        <f>'FS Desroches Daily'!CB8</f>
        <v>65.900000000001455</v>
      </c>
      <c r="AR6" s="31">
        <f>'FS Desroches Daily'!CD8</f>
        <v>15.899999999997817</v>
      </c>
      <c r="AS6" s="31">
        <f>'FS Desroches Daily'!CF8</f>
        <v>2.7000000000007276</v>
      </c>
      <c r="AT6" s="31">
        <f>'FS Desroches Daily'!CH8</f>
        <v>46</v>
      </c>
      <c r="AU6" s="31">
        <f>'FS Desroches Daily'!CJ8</f>
        <v>325</v>
      </c>
      <c r="AV6" s="31">
        <f>'FS Desroches Daily'!CL8</f>
        <v>799.99999999995453</v>
      </c>
      <c r="AW6" s="31">
        <f>'FS Desroches Daily'!CM8</f>
        <v>92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1099.9999999996569</v>
      </c>
      <c r="F7" s="32">
        <f>'FS Desroches Daily'!F9</f>
        <v>2799.9999999996917</v>
      </c>
      <c r="G7" s="31">
        <f>'FS Desroches Daily'!H9</f>
        <v>3499.9999999998367</v>
      </c>
      <c r="H7" s="32">
        <f>'FS Desroches Daily'!J9</f>
        <v>1599.9999999998238</v>
      </c>
      <c r="I7" s="31">
        <f>'FS Desroches Daily'!L9</f>
        <v>2000.0000000002237</v>
      </c>
      <c r="J7" s="32">
        <f>'FS Desroches Daily'!N9</f>
        <v>1200.000000000312</v>
      </c>
      <c r="K7" s="13">
        <f>'FS Desroches Daily'!P9</f>
        <v>19</v>
      </c>
      <c r="L7" s="31">
        <f>'FS Desroches Daily'!R9</f>
        <v>3</v>
      </c>
      <c r="M7" s="31">
        <f>'FS Desroches Daily'!T9</f>
        <v>1299.9999999999545</v>
      </c>
      <c r="N7" s="31">
        <f>'FS Desroches Daily'!V9</f>
        <v>541.29999999993015</v>
      </c>
      <c r="O7" s="31">
        <f>'FS Desroches Daily'!X9</f>
        <v>329.99999999992724</v>
      </c>
      <c r="P7" s="31">
        <f>'FS Desroches Daily'!Z9</f>
        <v>2699.9999999999245</v>
      </c>
      <c r="Q7" s="31">
        <f>'FS Desroches Daily'!AB9</f>
        <v>370.00000000000455</v>
      </c>
      <c r="R7" s="31">
        <f>'FS Desroches Daily'!AD9</f>
        <v>360.00000000001364</v>
      </c>
      <c r="S7" s="31">
        <f>'FS Desroches Daily'!AF9</f>
        <v>299.99999999995453</v>
      </c>
      <c r="T7" s="31">
        <f>'FS Desroches Daily'!AH9</f>
        <v>37</v>
      </c>
      <c r="U7" s="35">
        <f>'FS Desroches Daily'!AJ9</f>
        <v>299.99999999996697</v>
      </c>
      <c r="V7" s="35">
        <f>'FS Desroches Daily'!AL9</f>
        <v>100.00000000002274</v>
      </c>
      <c r="W7" s="35">
        <f>'FS Desroches Daily'!AN9</f>
        <v>230.00000000001819</v>
      </c>
      <c r="X7" s="35">
        <f>'FS Desroches Daily'!AP9</f>
        <v>40.000000000020464</v>
      </c>
      <c r="Y7" s="35">
        <f>'FS Desroches Daily'!AR9</f>
        <v>40.000000000020464</v>
      </c>
      <c r="Z7" s="35">
        <f>'FS Desroches Daily'!AT9</f>
        <v>39.99999999996362</v>
      </c>
      <c r="AA7" s="35">
        <f>'FS Desroches Daily'!AT9</f>
        <v>39.99999999996362</v>
      </c>
      <c r="AB7" s="35">
        <f>'FS Desroches Daily'!AV9</f>
        <v>29.999999999972715</v>
      </c>
      <c r="AC7" s="35">
        <f>'FS Desroches Daily'!AZ9</f>
        <v>40.000000000020464</v>
      </c>
      <c r="AD7" s="35">
        <f>'FS Desroches Daily'!BB9</f>
        <v>50.000000000011369</v>
      </c>
      <c r="AE7" s="35">
        <f>'FS Desroches Daily'!BD9</f>
        <v>19.99999999998181</v>
      </c>
      <c r="AF7" s="31">
        <f>'FS Desroches Daily'!BF9</f>
        <v>50</v>
      </c>
      <c r="AG7" s="32">
        <f>'FS Desroches Daily'!BH9</f>
        <v>49.999999999954525</v>
      </c>
      <c r="AH7" s="32">
        <f>'FS Desroches Daily'!BJ9</f>
        <v>39.99999999996362</v>
      </c>
      <c r="AI7" s="32">
        <f>'FS Desroches Daily'!BL9</f>
        <v>40.000000000020464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44</v>
      </c>
      <c r="AM7" s="32">
        <f>'FS Desroches Daily'!BT9</f>
        <v>49.999999999982947</v>
      </c>
      <c r="AN7" s="32">
        <f>'FS Desroches Daily'!BV9</f>
        <v>35</v>
      </c>
      <c r="AO7" s="32">
        <f>'FS Desroches Daily'!BX9</f>
        <v>60.000000000002274</v>
      </c>
      <c r="AP7" s="32">
        <f>'FS Desroches Daily'!BZ9</f>
        <v>51</v>
      </c>
      <c r="AQ7" s="31">
        <f>'FS Desroches Daily'!CB9</f>
        <v>64.700000000004366</v>
      </c>
      <c r="AR7" s="31">
        <f>'FS Desroches Daily'!CD9</f>
        <v>9.7000000000007276</v>
      </c>
      <c r="AS7" s="31">
        <f>'FS Desroches Daily'!CF9</f>
        <v>0.2999999999992724</v>
      </c>
      <c r="AT7" s="31">
        <f>'FS Desroches Daily'!CH9</f>
        <v>36.80000000000291</v>
      </c>
      <c r="AU7" s="31">
        <f>'FS Desroches Daily'!CJ9</f>
        <v>341</v>
      </c>
      <c r="AV7" s="31">
        <f>'FS Desroches Daily'!CL9</f>
        <v>800.0000000001819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18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1900.0000000000127</v>
      </c>
      <c r="F8" s="32">
        <f>'FS Desroches Daily'!F10</f>
        <v>2900.0000000003465</v>
      </c>
      <c r="G8" s="31">
        <f>'FS Desroches Daily'!H10</f>
        <v>3400.0000000000696</v>
      </c>
      <c r="H8" s="32">
        <f>'FS Desroches Daily'!J10</f>
        <v>1700.0000000000348</v>
      </c>
      <c r="I8" s="31">
        <f>'FS Desroches Daily'!L10</f>
        <v>2199.9999999997576</v>
      </c>
      <c r="J8" s="32">
        <f>'FS Desroches Daily'!N10</f>
        <v>1499.9999999996128</v>
      </c>
      <c r="K8" s="13">
        <f>'FS Desroches Daily'!P10</f>
        <v>40</v>
      </c>
      <c r="L8" s="31">
        <f>'FS Desroches Daily'!R10</f>
        <v>4</v>
      </c>
      <c r="M8" s="31">
        <f>'FS Desroches Daily'!T10</f>
        <v>1000</v>
      </c>
      <c r="N8" s="31">
        <f>'FS Desroches Daily'!V10</f>
        <v>408.5</v>
      </c>
      <c r="O8" s="31">
        <f>'FS Desroches Daily'!X10</f>
        <v>300.00000000006821</v>
      </c>
      <c r="P8" s="31">
        <f>'FS Desroches Daily'!Z10</f>
        <v>2699.9999999999245</v>
      </c>
      <c r="Q8" s="31">
        <f>'FS Desroches Daily'!AB10</f>
        <v>300.00000000006821</v>
      </c>
      <c r="R8" s="31">
        <f>'FS Desroches Daily'!AD10</f>
        <v>429.99999999994998</v>
      </c>
      <c r="S8" s="31">
        <f>'FS Desroches Daily'!AF10</f>
        <v>710.00000000003638</v>
      </c>
      <c r="T8" s="31">
        <f>'FS Desroches Daily'!AH10</f>
        <v>34</v>
      </c>
      <c r="U8" s="35">
        <f>'FS Desroches Daily'!AJ10</f>
        <v>499.99999999994492</v>
      </c>
      <c r="V8" s="35">
        <f>'FS Desroches Daily'!AL10</f>
        <v>129.99999999999545</v>
      </c>
      <c r="W8" s="35">
        <f>'FS Desroches Daily'!AN10</f>
        <v>250</v>
      </c>
      <c r="X8" s="35">
        <f>'FS Desroches Daily'!AP10</f>
        <v>109.9999999999568</v>
      </c>
      <c r="Y8" s="35">
        <f>'FS Desroches Daily'!AR10</f>
        <v>89.999999999974989</v>
      </c>
      <c r="Z8" s="35">
        <f>'FS Desroches Daily'!AT10</f>
        <v>120.00000000000455</v>
      </c>
      <c r="AA8" s="35">
        <f>'FS Desroches Daily'!AT10</f>
        <v>120.00000000000455</v>
      </c>
      <c r="AB8" s="35">
        <f>'FS Desroches Daily'!AV10</f>
        <v>60.000000000002274</v>
      </c>
      <c r="AC8" s="35">
        <f>'FS Desroches Daily'!AZ10</f>
        <v>129.99999999999545</v>
      </c>
      <c r="AD8" s="35">
        <f>'FS Desroches Daily'!BB10</f>
        <v>119.9999999999477</v>
      </c>
      <c r="AE8" s="35">
        <f>'FS Desroches Daily'!BD10</f>
        <v>60.000000000002274</v>
      </c>
      <c r="AF8" s="31">
        <f>'FS Desroches Daily'!BF10</f>
        <v>45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60.000000000002274</v>
      </c>
      <c r="AK8" s="32">
        <f>'FS Desroches Daily'!BP10</f>
        <v>39.99999999996362</v>
      </c>
      <c r="AL8" s="32">
        <f>'FS Desroches Daily'!BR10</f>
        <v>46</v>
      </c>
      <c r="AM8" s="32">
        <f>'FS Desroches Daily'!BT10</f>
        <v>50.000000000011369</v>
      </c>
      <c r="AN8" s="32">
        <f>'FS Desroches Daily'!BV10</f>
        <v>37</v>
      </c>
      <c r="AO8" s="32">
        <f>'FS Desroches Daily'!BX10</f>
        <v>49.999999999982947</v>
      </c>
      <c r="AP8" s="32">
        <f>'FS Desroches Daily'!BZ10</f>
        <v>53</v>
      </c>
      <c r="AQ8" s="31">
        <f>'FS Desroches Daily'!CB10</f>
        <v>51.899999999994179</v>
      </c>
      <c r="AR8" s="31">
        <f>'FS Desroches Daily'!CD10</f>
        <v>17.900000000001455</v>
      </c>
      <c r="AS8" s="31">
        <f>'FS Desroches Daily'!CF10</f>
        <v>8.8000000000010914</v>
      </c>
      <c r="AT8" s="31">
        <f>'FS Desroches Daily'!CH10</f>
        <v>41</v>
      </c>
      <c r="AU8" s="31">
        <f>'FS Desroches Daily'!CJ10</f>
        <v>346</v>
      </c>
      <c r="AV8" s="31">
        <f>'FS Desroches Daily'!CL10</f>
        <v>699.9999999998181</v>
      </c>
      <c r="AW8" s="31">
        <f>'FS Desroches Daily'!CM10</f>
        <v>85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18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1700.0000000000348</v>
      </c>
      <c r="F9" s="32">
        <f>'FS Desroches Daily'!F11</f>
        <v>2799.9999999996917</v>
      </c>
      <c r="G9" s="31">
        <f>'FS Desroches Daily'!H11</f>
        <v>3800.0000000000255</v>
      </c>
      <c r="H9" s="32">
        <f>'FS Desroches Daily'!J11</f>
        <v>1800.0000000002458</v>
      </c>
      <c r="I9" s="31">
        <f>'FS Desroches Daily'!L11</f>
        <v>2099.9999999999909</v>
      </c>
      <c r="J9" s="32">
        <f>'FS Desroches Daily'!N11</f>
        <v>1300.0000000000789</v>
      </c>
      <c r="K9" s="13">
        <f>'FS Desroches Daily'!P11</f>
        <v>23</v>
      </c>
      <c r="L9" s="31">
        <f>'FS Desroches Daily'!R11</f>
        <v>3</v>
      </c>
      <c r="M9" s="31">
        <f>'FS Desroches Daily'!T11</f>
        <v>1000</v>
      </c>
      <c r="N9" s="31">
        <f>'FS Desroches Daily'!V11</f>
        <v>456.5</v>
      </c>
      <c r="O9" s="31">
        <f>'FS Desroches Daily'!X11</f>
        <v>279.99999999997272</v>
      </c>
      <c r="P9" s="31">
        <f>'FS Desroches Daily'!Z11</f>
        <v>2499.9999999995025</v>
      </c>
      <c r="Q9" s="31">
        <f>'FS Desroches Daily'!AB11</f>
        <v>419.99999999995907</v>
      </c>
      <c r="R9" s="31">
        <f>'FS Desroches Daily'!AD11</f>
        <v>470.00000000002728</v>
      </c>
      <c r="S9" s="31">
        <f>'FS Desroches Daily'!AF11</f>
        <v>370.00000000000455</v>
      </c>
      <c r="T9" s="31">
        <f>'FS Desroches Daily'!AH11</f>
        <v>39</v>
      </c>
      <c r="U9" s="35">
        <f>'FS Desroches Daily'!AJ11</f>
        <v>599.99999999993395</v>
      </c>
      <c r="V9" s="35">
        <f>'FS Desroches Daily'!AL11</f>
        <v>79.999999999984084</v>
      </c>
      <c r="W9" s="35">
        <f>'FS Desroches Daily'!AN11</f>
        <v>310.00000000000227</v>
      </c>
      <c r="X9" s="35">
        <f>'FS Desroches Daily'!AP11</f>
        <v>40.000000000020464</v>
      </c>
      <c r="Y9" s="35">
        <f>'FS Desroches Daily'!AR11</f>
        <v>40.000000000020464</v>
      </c>
      <c r="Z9" s="35">
        <f>'FS Desroches Daily'!AT11</f>
        <v>69.999999999993179</v>
      </c>
      <c r="AA9" s="35">
        <f>'FS Desroches Daily'!AT11</f>
        <v>69.999999999993179</v>
      </c>
      <c r="AB9" s="35">
        <f>'FS Desroches Daily'!AV11</f>
        <v>40.000000000020464</v>
      </c>
      <c r="AC9" s="35">
        <f>'FS Desroches Daily'!AZ11</f>
        <v>49.999999999954525</v>
      </c>
      <c r="AD9" s="35">
        <f>'FS Desroches Daily'!BB11</f>
        <v>30.000000000029559</v>
      </c>
      <c r="AE9" s="35">
        <f>'FS Desroches Daily'!BD11</f>
        <v>110.00000000001364</v>
      </c>
      <c r="AF9" s="31">
        <f>'FS Desroches Daily'!BF11</f>
        <v>48</v>
      </c>
      <c r="AG9" s="32">
        <f>'FS Desroches Daily'!BH11</f>
        <v>60.000000000002274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60.000000000002274</v>
      </c>
      <c r="AK9" s="32">
        <f>'FS Desroches Daily'!BP11</f>
        <v>50.000000000011369</v>
      </c>
      <c r="AL9" s="32">
        <f>'FS Desroches Daily'!BR11</f>
        <v>50</v>
      </c>
      <c r="AM9" s="32">
        <f>'FS Desroches Daily'!BT11</f>
        <v>69.999999999993179</v>
      </c>
      <c r="AN9" s="32">
        <f>'FS Desroches Daily'!BV11</f>
        <v>44</v>
      </c>
      <c r="AO9" s="32">
        <f>'FS Desroches Daily'!BX11</f>
        <v>69.999999999993179</v>
      </c>
      <c r="AP9" s="32">
        <f>'FS Desroches Daily'!BZ11</f>
        <v>61</v>
      </c>
      <c r="AQ9" s="31">
        <f>'FS Desroches Daily'!CB11</f>
        <v>62.80000000000291</v>
      </c>
      <c r="AR9" s="31">
        <f>'FS Desroches Daily'!CD11</f>
        <v>7.7000000000007276</v>
      </c>
      <c r="AS9" s="31">
        <f>'FS Desroches Daily'!CF11</f>
        <v>1.2999999999992724</v>
      </c>
      <c r="AT9" s="31">
        <f>'FS Desroches Daily'!CH11</f>
        <v>34.69999999999709</v>
      </c>
      <c r="AU9" s="31">
        <f>'FS Desroches Daily'!CJ11</f>
        <v>330</v>
      </c>
      <c r="AV9" s="31">
        <f>'FS Desroches Daily'!CL11</f>
        <v>1000</v>
      </c>
      <c r="AW9" s="31">
        <f>'FS Desroches Daily'!CM11</f>
        <v>89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18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1600.0000000002678</v>
      </c>
      <c r="F10" s="32">
        <f>'FS Desroches Daily'!F12</f>
        <v>3000.0000000001137</v>
      </c>
      <c r="G10" s="31">
        <f>'FS Desroches Daily'!H12</f>
        <v>3599.9999999996035</v>
      </c>
      <c r="H10" s="32">
        <f>'FS Desroches Daily'!J12</f>
        <v>1599.9999999998238</v>
      </c>
      <c r="I10" s="31">
        <f>'FS Desroches Daily'!L12</f>
        <v>2200.0000000002019</v>
      </c>
      <c r="J10" s="32">
        <f>'FS Desroches Daily'!N12</f>
        <v>1200.000000000312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1100.0000000001364</v>
      </c>
      <c r="N10" s="31">
        <f>'FS Desroches Daily'!V12</f>
        <v>431.40000000002328</v>
      </c>
      <c r="O10" s="31">
        <f>'FS Desroches Daily'!X12</f>
        <v>340.00000000003183</v>
      </c>
      <c r="P10" s="31">
        <f>'FS Desroches Daily'!Z12</f>
        <v>2800.0000000005798</v>
      </c>
      <c r="Q10" s="31">
        <f>'FS Desroches Daily'!AB12</f>
        <v>300.00000000006821</v>
      </c>
      <c r="R10" s="31">
        <f>'FS Desroches Daily'!AD12</f>
        <v>429.99999999994998</v>
      </c>
      <c r="S10" s="31">
        <f>'FS Desroches Daily'!AF12</f>
        <v>319.99999999993634</v>
      </c>
      <c r="T10" s="31">
        <f>'FS Desroches Daily'!AH12</f>
        <v>38</v>
      </c>
      <c r="U10" s="35">
        <f>'FS Desroches Daily'!AJ12</f>
        <v>400.00000000017798</v>
      </c>
      <c r="V10" s="35">
        <f>'FS Desroches Daily'!AL12</f>
        <v>80.000000000040927</v>
      </c>
      <c r="W10" s="35">
        <f>'FS Desroches Daily'!AN12</f>
        <v>259.99999999999091</v>
      </c>
      <c r="X10" s="35">
        <f>'FS Desroches Daily'!AP12</f>
        <v>69.999999999993179</v>
      </c>
      <c r="Y10" s="35">
        <f>'FS Desroches Daily'!AR12</f>
        <v>49.999999999954525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29.999999999972715</v>
      </c>
      <c r="AC10" s="35">
        <f>'FS Desroches Daily'!AZ12</f>
        <v>50.000000000011369</v>
      </c>
      <c r="AD10" s="35">
        <f>'FS Desroches Daily'!BB12</f>
        <v>50.000000000011369</v>
      </c>
      <c r="AE10" s="35">
        <f>'FS Desroches Daily'!BD12</f>
        <v>189.99999999999773</v>
      </c>
      <c r="AF10" s="31">
        <f>'FS Desroches Daily'!BF12</f>
        <v>48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39.99999999996362</v>
      </c>
      <c r="AJ10" s="32">
        <f>'FS Desroches Daily'!BN12</f>
        <v>50.000000000011369</v>
      </c>
      <c r="AK10" s="32">
        <f>'FS Desroches Daily'!BP12</f>
        <v>30.000000000029559</v>
      </c>
      <c r="AL10" s="32">
        <f>'FS Desroches Daily'!BR12</f>
        <v>32</v>
      </c>
      <c r="AM10" s="32">
        <f>'FS Desroches Daily'!BT12</f>
        <v>60.000000000002274</v>
      </c>
      <c r="AN10" s="32">
        <f>'FS Desroches Daily'!BV12</f>
        <v>31</v>
      </c>
      <c r="AO10" s="32">
        <f>'FS Desroches Daily'!BX12</f>
        <v>50.000000000011369</v>
      </c>
      <c r="AP10" s="32">
        <f>'FS Desroches Daily'!BZ12</f>
        <v>48</v>
      </c>
      <c r="AQ10" s="31">
        <f>'FS Desroches Daily'!CB12</f>
        <v>67.19999999999709</v>
      </c>
      <c r="AR10" s="31">
        <f>'FS Desroches Daily'!CD12</f>
        <v>11.099999999998545</v>
      </c>
      <c r="AS10" s="31">
        <f>'FS Desroches Daily'!CF12</f>
        <v>4.2999999999992724</v>
      </c>
      <c r="AT10" s="31">
        <f>'FS Desroches Daily'!CH12</f>
        <v>31.900000000008731</v>
      </c>
      <c r="AU10" s="31">
        <f>'FS Desroches Daily'!CJ12</f>
        <v>301</v>
      </c>
      <c r="AV10" s="31">
        <f>'FS Desroches Daily'!CL12</f>
        <v>1000</v>
      </c>
      <c r="AW10" s="31">
        <f>'FS Desroches Daily'!CM12</f>
        <v>102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1900.0000000000127</v>
      </c>
      <c r="F11" s="32">
        <f>'FS Desroches Daily'!F13</f>
        <v>3099.9999999998809</v>
      </c>
      <c r="G11" s="31">
        <f>'FS Desroches Daily'!H13</f>
        <v>3200.0000000005357</v>
      </c>
      <c r="H11" s="32">
        <f>'FS Desroches Daily'!J13</f>
        <v>1700.0000000000348</v>
      </c>
      <c r="I11" s="31">
        <f>'FS Desroches Daily'!L13</f>
        <v>2099.9999999999909</v>
      </c>
      <c r="J11" s="32">
        <f>'FS Desroches Daily'!N13</f>
        <v>1499.9999999996128</v>
      </c>
      <c r="K11" s="13">
        <f>'FS Desroches Daily'!P13</f>
        <v>18</v>
      </c>
      <c r="L11" s="31">
        <f>'FS Desroches Daily'!R13</f>
        <v>11</v>
      </c>
      <c r="M11" s="31">
        <f>'FS Desroches Daily'!T13</f>
        <v>899.99999999986358</v>
      </c>
      <c r="N11" s="31">
        <f>'FS Desroches Daily'!V13</f>
        <v>371.09999999997672</v>
      </c>
      <c r="O11" s="31">
        <f>'FS Desroches Daily'!X13</f>
        <v>319.99999999993634</v>
      </c>
      <c r="P11" s="31">
        <f>'FS Desroches Daily'!Z13</f>
        <v>2399.9999999997358</v>
      </c>
      <c r="Q11" s="31">
        <f>'FS Desroches Daily'!AB13</f>
        <v>389.99999999998636</v>
      </c>
      <c r="R11" s="31">
        <f>'FS Desroches Daily'!AD13</f>
        <v>399.99999999997726</v>
      </c>
      <c r="S11" s="31">
        <f>'FS Desroches Daily'!AF13</f>
        <v>580.00000000004093</v>
      </c>
      <c r="T11" s="31">
        <f>'FS Desroches Daily'!AH13</f>
        <v>40</v>
      </c>
      <c r="U11" s="35">
        <f>'FS Desroches Daily'!AJ13</f>
        <v>399.99999999995595</v>
      </c>
      <c r="V11" s="35">
        <f>'FS Desroches Daily'!AL13</f>
        <v>129.99999999999545</v>
      </c>
      <c r="W11" s="35">
        <f>'FS Desroches Daily'!AN13</f>
        <v>230.00000000001819</v>
      </c>
      <c r="X11" s="35">
        <f>'FS Desroches Daily'!AP13</f>
        <v>90.000000000031832</v>
      </c>
      <c r="Y11" s="35">
        <f>'FS Desroches Daily'!AR13</f>
        <v>110.00000000001364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70.000000000050022</v>
      </c>
      <c r="AC11" s="35">
        <f>'FS Desroches Daily'!AZ13</f>
        <v>110.00000000001364</v>
      </c>
      <c r="AD11" s="35">
        <f>'FS Desroches Daily'!BB13</f>
        <v>110.00000000001364</v>
      </c>
      <c r="AE11" s="35">
        <f>'FS Desroches Daily'!BD13</f>
        <v>180.00000000000682</v>
      </c>
      <c r="AF11" s="31">
        <f>'FS Desroches Daily'!BF13</f>
        <v>56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50.000000000011369</v>
      </c>
      <c r="AJ11" s="32">
        <f>'FS Desroches Daily'!BN13</f>
        <v>39.999999999992042</v>
      </c>
      <c r="AK11" s="32">
        <f>'FS Desroches Daily'!BP13</f>
        <v>39.99999999996362</v>
      </c>
      <c r="AL11" s="32">
        <f>'FS Desroches Daily'!BR13</f>
        <v>42</v>
      </c>
      <c r="AM11" s="32">
        <f>'FS Desroches Daily'!BT13</f>
        <v>69.999999999993179</v>
      </c>
      <c r="AN11" s="32">
        <f>'FS Desroches Daily'!BV13</f>
        <v>34</v>
      </c>
      <c r="AO11" s="32">
        <f>'FS Desroches Daily'!BX13</f>
        <v>60.000000000002274</v>
      </c>
      <c r="AP11" s="32">
        <f>'FS Desroches Daily'!BZ13</f>
        <v>54</v>
      </c>
      <c r="AQ11" s="31">
        <f>'FS Desroches Daily'!CB13</f>
        <v>52.900000000001455</v>
      </c>
      <c r="AR11" s="31">
        <f>'FS Desroches Daily'!CD13</f>
        <v>8.5999999999985448</v>
      </c>
      <c r="AS11" s="31">
        <f>'FS Desroches Daily'!CF13</f>
        <v>1.7000000000007276</v>
      </c>
      <c r="AT11" s="31">
        <f>'FS Desroches Daily'!CH13</f>
        <v>21.799999999988358</v>
      </c>
      <c r="AU11" s="31">
        <f>'FS Desroches Daily'!CJ13</f>
        <v>352</v>
      </c>
      <c r="AV11" s="31">
        <f>'FS Desroches Daily'!CL13</f>
        <v>800.0000000001819</v>
      </c>
      <c r="AW11" s="31">
        <f>'FS Desroches Daily'!CM13</f>
        <v>78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25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1999.9999999997797</v>
      </c>
      <c r="F12" s="32">
        <f>'FS Desroches Daily'!F14</f>
        <v>3200.0000000005357</v>
      </c>
      <c r="G12" s="31">
        <f>'FS Desroches Daily'!H14</f>
        <v>3499.9999999998367</v>
      </c>
      <c r="H12" s="32">
        <f>'FS Desroches Daily'!J14</f>
        <v>1599.9999999998238</v>
      </c>
      <c r="I12" s="31">
        <f>'FS Desroches Daily'!L14</f>
        <v>1999.9999999997797</v>
      </c>
      <c r="J12" s="32">
        <f>'FS Desroches Daily'!N14</f>
        <v>1100.000000000101</v>
      </c>
      <c r="K12" s="13">
        <f>'FS Desroches Daily'!P14</f>
        <v>22</v>
      </c>
      <c r="L12" s="31">
        <f>'FS Desroches Daily'!R14</f>
        <v>3</v>
      </c>
      <c r="M12" s="31">
        <f>'FS Desroches Daily'!T14</f>
        <v>1200.0000000000455</v>
      </c>
      <c r="N12" s="31">
        <f>'FS Desroches Daily'!V14</f>
        <v>470.5</v>
      </c>
      <c r="O12" s="31">
        <f>'FS Desroches Daily'!X14</f>
        <v>300.00000000006821</v>
      </c>
      <c r="P12" s="31">
        <f>'FS Desroches Daily'!Z14</f>
        <v>2900.0000000003465</v>
      </c>
      <c r="Q12" s="31">
        <f>'FS Desroches Daily'!AB14</f>
        <v>219.9999999999136</v>
      </c>
      <c r="R12" s="31">
        <f>'FS Desroches Daily'!AD14</f>
        <v>400.00000000009095</v>
      </c>
      <c r="S12" s="31">
        <f>'FS Desroches Daily'!AF14</f>
        <v>350.00000000002274</v>
      </c>
      <c r="T12" s="31">
        <f>'FS Desroches Daily'!AH14</f>
        <v>35</v>
      </c>
      <c r="U12" s="35">
        <f>'FS Desroches Daily'!AJ14</f>
        <v>499.99999999994492</v>
      </c>
      <c r="V12" s="35">
        <f>'FS Desroches Daily'!AL14</f>
        <v>289.99999999996362</v>
      </c>
      <c r="W12" s="35">
        <f>'FS Desroches Daily'!AN14</f>
        <v>229.99999999996135</v>
      </c>
      <c r="X12" s="35">
        <f>'FS Desroches Daily'!AP14</f>
        <v>69.999999999993179</v>
      </c>
      <c r="Y12" s="35">
        <f>'FS Desroches Daily'!AR14</f>
        <v>129.99999999999545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49.999999999954525</v>
      </c>
      <c r="AC12" s="35">
        <f>'FS Desroches Daily'!AZ14</f>
        <v>110.00000000001364</v>
      </c>
      <c r="AD12" s="35">
        <f>'FS Desroches Daily'!BB14</f>
        <v>99.999999999965894</v>
      </c>
      <c r="AE12" s="35">
        <f>'FS Desroches Daily'!BD14</f>
        <v>120.00000000000455</v>
      </c>
      <c r="AF12" s="31">
        <f>'FS Desroches Daily'!BF14</f>
        <v>47</v>
      </c>
      <c r="AG12" s="32">
        <f>'FS Desroches Daily'!BH14</f>
        <v>29.999999999972715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49.999999999982947</v>
      </c>
      <c r="AK12" s="32">
        <f>'FS Desroches Daily'!BP14</f>
        <v>40.000000000020464</v>
      </c>
      <c r="AL12" s="32">
        <f>'FS Desroches Daily'!BR14</f>
        <v>37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39.999999999992042</v>
      </c>
      <c r="AP12" s="32">
        <f>'FS Desroches Daily'!BZ14</f>
        <v>52</v>
      </c>
      <c r="AQ12" s="31">
        <f>'FS Desroches Daily'!CB14</f>
        <v>78.900000000001455</v>
      </c>
      <c r="AR12" s="31">
        <f>'FS Desroches Daily'!CD14</f>
        <v>11</v>
      </c>
      <c r="AS12" s="31">
        <f>'FS Desroches Daily'!CF14</f>
        <v>2.8999999999996362</v>
      </c>
      <c r="AT12" s="31">
        <f>'FS Desroches Daily'!CH14</f>
        <v>42.600000000005821</v>
      </c>
      <c r="AU12" s="31">
        <f>'FS Desroches Daily'!CJ14</f>
        <v>298</v>
      </c>
      <c r="AV12" s="31">
        <f>'FS Desroches Daily'!CL14</f>
        <v>899.99999999986358</v>
      </c>
      <c r="AW12" s="31">
        <f>'FS Desroches Daily'!CM14</f>
        <v>86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28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1800.0000000002458</v>
      </c>
      <c r="F13" s="32">
        <f>'FS Desroches Daily'!F15</f>
        <v>2799.9999999996917</v>
      </c>
      <c r="G13" s="31">
        <f>'FS Desroches Daily'!H15</f>
        <v>3199.9999999996476</v>
      </c>
      <c r="H13" s="32">
        <f>'FS Desroches Daily'!J15</f>
        <v>1500.0000000000568</v>
      </c>
      <c r="I13" s="31">
        <f>'FS Desroches Daily'!L15</f>
        <v>1800.0000000002458</v>
      </c>
      <c r="J13" s="32">
        <f>'FS Desroches Daily'!N15</f>
        <v>1100.000000000101</v>
      </c>
      <c r="K13" s="13">
        <f>'FS Desroches Daily'!P15</f>
        <v>19</v>
      </c>
      <c r="L13" s="31">
        <f>'FS Desroches Daily'!R15</f>
        <v>3</v>
      </c>
      <c r="M13" s="31">
        <f>'FS Desroches Daily'!T15</f>
        <v>1200.0000000000455</v>
      </c>
      <c r="N13" s="31">
        <f>'FS Desroches Daily'!V15</f>
        <v>386.5</v>
      </c>
      <c r="O13" s="31">
        <f>'FS Desroches Daily'!X15</f>
        <v>299.99999999995453</v>
      </c>
      <c r="P13" s="31">
        <f>'FS Desroches Daily'!Z15</f>
        <v>2499.9999999995025</v>
      </c>
      <c r="Q13" s="31">
        <f>'FS Desroches Daily'!AB15</f>
        <v>250</v>
      </c>
      <c r="R13" s="31">
        <f>'FS Desroches Daily'!AD15</f>
        <v>370.00000000000455</v>
      </c>
      <c r="S13" s="31">
        <f>'FS Desroches Daily'!AF15</f>
        <v>329.99999999992724</v>
      </c>
      <c r="T13" s="31">
        <f>'FS Desroches Daily'!AH15</f>
        <v>33</v>
      </c>
      <c r="U13" s="35">
        <f>'FS Desroches Daily'!AJ15</f>
        <v>399.99999999995595</v>
      </c>
      <c r="V13" s="35">
        <f>'FS Desroches Daily'!AL15</f>
        <v>199.99999999998863</v>
      </c>
      <c r="W13" s="35">
        <f>'FS Desroches Daily'!AN15</f>
        <v>189.99999999999773</v>
      </c>
      <c r="X13" s="35">
        <f>'FS Desroches Daily'!AP15</f>
        <v>60.000000000002274</v>
      </c>
      <c r="Y13" s="35">
        <f>'FS Desroches Daily'!AR15</f>
        <v>199.99999999998863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79.999999999984084</v>
      </c>
      <c r="AD13" s="35">
        <f>'FS Desroches Daily'!BB15</f>
        <v>40.000000000020464</v>
      </c>
      <c r="AE13" s="35">
        <f>'FS Desroches Daily'!BD15</f>
        <v>109.9999999999568</v>
      </c>
      <c r="AF13" s="31">
        <f>'FS Desroches Daily'!BF15</f>
        <v>58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39.99999999996362</v>
      </c>
      <c r="AJ13" s="32">
        <f>'FS Desroches Daily'!BN15</f>
        <v>30.000000000001137</v>
      </c>
      <c r="AK13" s="32">
        <f>'FS Desroches Daily'!BP15</f>
        <v>29.999999999972715</v>
      </c>
      <c r="AL13" s="32">
        <f>'FS Desroches Daily'!BR15</f>
        <v>33</v>
      </c>
      <c r="AM13" s="32">
        <f>'FS Desroches Daily'!BT15</f>
        <v>50.000000000011369</v>
      </c>
      <c r="AN13" s="32">
        <f>'FS Desroches Daily'!BV15</f>
        <v>31</v>
      </c>
      <c r="AO13" s="32">
        <f>'FS Desroches Daily'!BX15</f>
        <v>50.000000000011369</v>
      </c>
      <c r="AP13" s="32">
        <f>'FS Desroches Daily'!BZ15</f>
        <v>53</v>
      </c>
      <c r="AQ13" s="31">
        <f>'FS Desroches Daily'!CB15</f>
        <v>54.19999999999709</v>
      </c>
      <c r="AR13" s="31">
        <f>'FS Desroches Daily'!CD15</f>
        <v>12.200000000000728</v>
      </c>
      <c r="AS13" s="31">
        <f>'FS Desroches Daily'!CF15</f>
        <v>4</v>
      </c>
      <c r="AT13" s="31">
        <f>'FS Desroches Daily'!CH15</f>
        <v>55.5</v>
      </c>
      <c r="AU13" s="31">
        <f>'FS Desroches Daily'!CJ15</f>
        <v>301</v>
      </c>
      <c r="AV13" s="31">
        <f>'FS Desroches Daily'!CL15</f>
        <v>799.99999999995453</v>
      </c>
      <c r="AW13" s="31">
        <f>'FS Desroches Daily'!CM15</f>
        <v>86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28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1799.9999999998017</v>
      </c>
      <c r="F14" s="32">
        <f>'FS Desroches Daily'!F16</f>
        <v>3000.0000000001137</v>
      </c>
      <c r="G14" s="31">
        <f>'FS Desroches Daily'!H16</f>
        <v>3400.0000000000696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1300.0000000000789</v>
      </c>
      <c r="K14" s="13">
        <f>'FS Desroches Daily'!P16</f>
        <v>17</v>
      </c>
      <c r="L14" s="31">
        <f>'FS Desroches Daily'!R16</f>
        <v>3</v>
      </c>
      <c r="M14" s="31">
        <f>'FS Desroches Daily'!T16</f>
        <v>1099.9999999999091</v>
      </c>
      <c r="N14" s="31">
        <f>'FS Desroches Daily'!V16</f>
        <v>414.80000000004657</v>
      </c>
      <c r="O14" s="31">
        <f>'FS Desroches Daily'!X16</f>
        <v>289.99999999996362</v>
      </c>
      <c r="P14" s="31">
        <f>'FS Desroches Daily'!Z16</f>
        <v>2699.9999999999245</v>
      </c>
      <c r="Q14" s="31">
        <f>'FS Desroches Daily'!AB16</f>
        <v>300.00000000006821</v>
      </c>
      <c r="R14" s="31">
        <f>'FS Desroches Daily'!AD16</f>
        <v>339.99999999991815</v>
      </c>
      <c r="S14" s="31">
        <f>'FS Desroches Daily'!AF16</f>
        <v>430.00000000006366</v>
      </c>
      <c r="T14" s="31">
        <f>'FS Desroches Daily'!AH16</f>
        <v>36</v>
      </c>
      <c r="U14" s="35">
        <f>'FS Desroches Daily'!AJ16</f>
        <v>400.00000000017798</v>
      </c>
      <c r="V14" s="35">
        <f>'FS Desroches Daily'!AL16</f>
        <v>210.00000000003638</v>
      </c>
      <c r="W14" s="35">
        <f>'FS Desroches Daily'!AN16</f>
        <v>200.00000000004547</v>
      </c>
      <c r="X14" s="35">
        <f>'FS Desroches Daily'!AP16</f>
        <v>79.999999999984084</v>
      </c>
      <c r="Y14" s="35">
        <f>'FS Desroches Daily'!AR16</f>
        <v>170.00000000001592</v>
      </c>
      <c r="Z14" s="35">
        <f>'FS Desroches Daily'!AT16</f>
        <v>49.999999999954525</v>
      </c>
      <c r="AA14" s="35">
        <f>'FS Desroches Daily'!AT16</f>
        <v>49.999999999954525</v>
      </c>
      <c r="AB14" s="35">
        <f>'FS Desroches Daily'!AV16</f>
        <v>50.000000000011369</v>
      </c>
      <c r="AC14" s="35">
        <f>'FS Desroches Daily'!AZ16</f>
        <v>79.999999999984084</v>
      </c>
      <c r="AD14" s="35">
        <f>'FS Desroches Daily'!BB16</f>
        <v>69.999999999993179</v>
      </c>
      <c r="AE14" s="35">
        <f>'FS Desroches Daily'!BD16</f>
        <v>129.99999999999545</v>
      </c>
      <c r="AF14" s="31">
        <f>'FS Desroches Daily'!BF16</f>
        <v>61</v>
      </c>
      <c r="AG14" s="32">
        <f>'FS Desroches Daily'!BH16</f>
        <v>29.999999999972715</v>
      </c>
      <c r="AH14" s="32">
        <f>'FS Desroches Daily'!BJ16</f>
        <v>40.000000000020464</v>
      </c>
      <c r="AI14" s="32">
        <f>'FS Desroches Daily'!BL16</f>
        <v>40.000000000020464</v>
      </c>
      <c r="AJ14" s="32">
        <f>'FS Desroches Daily'!BN16</f>
        <v>40.000000000020464</v>
      </c>
      <c r="AK14" s="32">
        <f>'FS Desroches Daily'!BP16</f>
        <v>30.000000000029559</v>
      </c>
      <c r="AL14" s="32">
        <f>'FS Desroches Daily'!BR16</f>
        <v>32</v>
      </c>
      <c r="AM14" s="32">
        <f>'FS Desroches Daily'!BT16</f>
        <v>60.000000000002274</v>
      </c>
      <c r="AN14" s="32">
        <f>'FS Desroches Daily'!BV16</f>
        <v>32</v>
      </c>
      <c r="AO14" s="32">
        <f>'FS Desroches Daily'!BX16</f>
        <v>49.999999999982947</v>
      </c>
      <c r="AP14" s="32">
        <f>'FS Desroches Daily'!BZ16</f>
        <v>49</v>
      </c>
      <c r="AQ14" s="31">
        <f>'FS Desroches Daily'!CB16</f>
        <v>52.700000000004366</v>
      </c>
      <c r="AR14" s="31">
        <f>'FS Desroches Daily'!CD16</f>
        <v>12.100000000002183</v>
      </c>
      <c r="AS14" s="31">
        <f>'FS Desroches Daily'!CF16</f>
        <v>2.7000000000007276</v>
      </c>
      <c r="AT14" s="31">
        <f>'FS Desroches Daily'!CH16</f>
        <v>43.899999999994179</v>
      </c>
      <c r="AU14" s="31">
        <f>'FS Desroches Daily'!CJ16</f>
        <v>314</v>
      </c>
      <c r="AV14" s="31">
        <f>'FS Desroches Daily'!CL16</f>
        <v>900.00000000009095</v>
      </c>
      <c r="AW14" s="31">
        <f>'FS Desroches Daily'!CM16</f>
        <v>94.299999999999272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28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1800.0000000002458</v>
      </c>
      <c r="F15" s="32">
        <f>'FS Desroches Daily'!F17</f>
        <v>3199.9999999996476</v>
      </c>
      <c r="G15" s="31">
        <f>'FS Desroches Daily'!H17</f>
        <v>3200.0000000005357</v>
      </c>
      <c r="H15" s="32">
        <f>'FS Desroches Daily'!J17</f>
        <v>1500.0000000000568</v>
      </c>
      <c r="I15" s="31">
        <f>'FS Desroches Daily'!L17</f>
        <v>1900.0000000000127</v>
      </c>
      <c r="J15" s="32">
        <f>'FS Desroches Daily'!N17</f>
        <v>1300.0000000000789</v>
      </c>
      <c r="K15" s="13">
        <f>'FS Desroches Daily'!P17</f>
        <v>13</v>
      </c>
      <c r="L15" s="31">
        <f>'FS Desroches Daily'!R17</f>
        <v>3</v>
      </c>
      <c r="M15" s="31">
        <f>'FS Desroches Daily'!T17</f>
        <v>1000</v>
      </c>
      <c r="N15" s="31">
        <f>'FS Desroches Daily'!V17</f>
        <v>378.59999999997672</v>
      </c>
      <c r="O15" s="31">
        <f>'FS Desroches Daily'!X17</f>
        <v>350.00000000002274</v>
      </c>
      <c r="P15" s="31">
        <f>'FS Desroches Daily'!Z17</f>
        <v>2800.0000000005798</v>
      </c>
      <c r="Q15" s="31">
        <f>'FS Desroches Daily'!AB17</f>
        <v>470.00000000002728</v>
      </c>
      <c r="R15" s="31">
        <f>'FS Desroches Daily'!AD17</f>
        <v>360.00000000001364</v>
      </c>
      <c r="S15" s="31">
        <f>'FS Desroches Daily'!AF17</f>
        <v>509.99999999999091</v>
      </c>
      <c r="T15" s="31">
        <f>'FS Desroches Daily'!AH17</f>
        <v>42</v>
      </c>
      <c r="U15" s="35">
        <f>'FS Desroches Daily'!AJ17</f>
        <v>499.99999999994492</v>
      </c>
      <c r="V15" s="35">
        <f>'FS Desroches Daily'!AL17</f>
        <v>230.00000000001819</v>
      </c>
      <c r="W15" s="35">
        <f>'FS Desroches Daily'!AN17</f>
        <v>179.99999999994998</v>
      </c>
      <c r="X15" s="35">
        <f>'FS Desroches Daily'!AP17</f>
        <v>60.000000000002274</v>
      </c>
      <c r="Y15" s="35">
        <f>'FS Desroches Daily'!AR17</f>
        <v>220.00000000002728</v>
      </c>
      <c r="Z15" s="35">
        <f>'FS Desroches Daily'!AT17</f>
        <v>60.000000000002274</v>
      </c>
      <c r="AA15" s="35">
        <f>'FS Desroches Daily'!AT17</f>
        <v>60.000000000002274</v>
      </c>
      <c r="AB15" s="35">
        <f>'FS Desroches Daily'!AV17</f>
        <v>39.99999999996362</v>
      </c>
      <c r="AC15" s="35">
        <f>'FS Desroches Daily'!AZ17</f>
        <v>100.00000000002274</v>
      </c>
      <c r="AD15" s="35">
        <f>'FS Desroches Daily'!BB17</f>
        <v>120.00000000000455</v>
      </c>
      <c r="AE15" s="35">
        <f>'FS Desroches Daily'!BD17</f>
        <v>130.0000000000523</v>
      </c>
      <c r="AF15" s="31">
        <f>'FS Desroches Daily'!BF17</f>
        <v>32</v>
      </c>
      <c r="AG15" s="32">
        <f>'FS Desroches Daily'!BH17</f>
        <v>30.000000000029559</v>
      </c>
      <c r="AH15" s="32">
        <f>'FS Desroches Daily'!BJ17</f>
        <v>29.999999999972715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39.99999999996362</v>
      </c>
      <c r="AL15" s="32">
        <f>'FS Desroches Daily'!BR17</f>
        <v>38</v>
      </c>
      <c r="AM15" s="32">
        <f>'FS Desroches Daily'!BT17</f>
        <v>49.999999999982947</v>
      </c>
      <c r="AN15" s="32">
        <f>'FS Desroches Daily'!BV17</f>
        <v>34</v>
      </c>
      <c r="AO15" s="32">
        <f>'FS Desroches Daily'!BX17</f>
        <v>40.000000000020464</v>
      </c>
      <c r="AP15" s="32">
        <f>'FS Desroches Daily'!BZ17</f>
        <v>49</v>
      </c>
      <c r="AQ15" s="31">
        <f>'FS Desroches Daily'!CB17</f>
        <v>55.099999999998545</v>
      </c>
      <c r="AR15" s="31">
        <f>'FS Desroches Daily'!CD17</f>
        <v>21.099999999998545</v>
      </c>
      <c r="AS15" s="31">
        <f>'FS Desroches Daily'!CF17</f>
        <v>2.6000000000003638</v>
      </c>
      <c r="AT15" s="31">
        <f>'FS Desroches Daily'!CH17</f>
        <v>38.700000000011642</v>
      </c>
      <c r="AU15" s="31">
        <f>'FS Desroches Daily'!CJ17</f>
        <v>315</v>
      </c>
      <c r="AV15" s="31">
        <f>'FS Desroches Daily'!CL17</f>
        <v>799.99999999995453</v>
      </c>
      <c r="AW15" s="31">
        <f>'FS Desroches Daily'!CM17</f>
        <v>117.70000000000073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1900.0000000000127</v>
      </c>
      <c r="F16" s="32">
        <f>'FS Desroches Daily'!F18</f>
        <v>3200.0000000005357</v>
      </c>
      <c r="G16" s="31">
        <f>'FS Desroches Daily'!H18</f>
        <v>3800.0000000000255</v>
      </c>
      <c r="H16" s="32">
        <f>'FS Desroches Daily'!J18</f>
        <v>1500.0000000000568</v>
      </c>
      <c r="I16" s="31">
        <f>'FS Desroches Daily'!L18</f>
        <v>2199.9999999997576</v>
      </c>
      <c r="J16" s="32">
        <f>'FS Desroches Daily'!N18</f>
        <v>1199.9999999998679</v>
      </c>
      <c r="K16" s="13">
        <f>'FS Desroches Daily'!P18</f>
        <v>16</v>
      </c>
      <c r="L16" s="31">
        <f>'FS Desroches Daily'!R18</f>
        <v>3</v>
      </c>
      <c r="M16" s="31">
        <f>'FS Desroches Daily'!T18</f>
        <v>1400.0000000000909</v>
      </c>
      <c r="N16" s="31">
        <f>'FS Desroches Daily'!V18</f>
        <v>458.09999999997672</v>
      </c>
      <c r="O16" s="31">
        <f>'FS Desroches Daily'!X18</f>
        <v>300.00000000006821</v>
      </c>
      <c r="P16" s="31">
        <f>'FS Desroches Daily'!Z18</f>
        <v>2999.9999999992256</v>
      </c>
      <c r="Q16" s="31">
        <f>'FS Desroches Daily'!AB18</f>
        <v>359.99999999989996</v>
      </c>
      <c r="R16" s="31">
        <f>'FS Desroches Daily'!AD18</f>
        <v>340.00000000003183</v>
      </c>
      <c r="S16" s="31">
        <f>'FS Desroches Daily'!AF18</f>
        <v>419.99999999995907</v>
      </c>
      <c r="T16" s="31">
        <f>'FS Desroches Daily'!AH18</f>
        <v>38</v>
      </c>
      <c r="U16" s="35">
        <f>'FS Desroches Daily'!AJ18</f>
        <v>399.99999999995595</v>
      </c>
      <c r="V16" s="35">
        <f>'FS Desroches Daily'!AL18</f>
        <v>199.99999999998863</v>
      </c>
      <c r="W16" s="35">
        <f>'FS Desroches Daily'!AN18</f>
        <v>220.00000000002728</v>
      </c>
      <c r="X16" s="35">
        <f>'FS Desroches Daily'!AP18</f>
        <v>79.999999999984084</v>
      </c>
      <c r="Y16" s="35">
        <f>'FS Desroches Daily'!AR18</f>
        <v>209.99999999997954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60.000000000002274</v>
      </c>
      <c r="AC16" s="35">
        <f>'FS Desroches Daily'!AZ18</f>
        <v>79.999999999984084</v>
      </c>
      <c r="AD16" s="35">
        <f>'FS Desroches Daily'!BB18</f>
        <v>50.000000000011369</v>
      </c>
      <c r="AE16" s="35">
        <f>'FS Desroches Daily'!BD18</f>
        <v>109.9999999999568</v>
      </c>
      <c r="AF16" s="31">
        <f>'FS Desroches Daily'!BF18</f>
        <v>46</v>
      </c>
      <c r="AG16" s="32">
        <f>'FS Desroches Daily'!BH18</f>
        <v>39.99999999996362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60.000000000002274</v>
      </c>
      <c r="AN16" s="32">
        <f>'FS Desroches Daily'!BV18</f>
        <v>34</v>
      </c>
      <c r="AO16" s="32">
        <f>'FS Desroches Daily'!BX18</f>
        <v>39.999999999992042</v>
      </c>
      <c r="AP16" s="32">
        <f>'FS Desroches Daily'!BZ18</f>
        <v>52</v>
      </c>
      <c r="AQ16" s="31">
        <f>'FS Desroches Daily'!CB18</f>
        <v>55.400000000001455</v>
      </c>
      <c r="AR16" s="31">
        <f>'FS Desroches Daily'!CD18</f>
        <v>15.5</v>
      </c>
      <c r="AS16" s="31">
        <f>'FS Desroches Daily'!CF18</f>
        <v>3.8999999999996362</v>
      </c>
      <c r="AT16" s="31">
        <f>'FS Desroches Daily'!CH18</f>
        <v>47.599999999991269</v>
      </c>
      <c r="AU16" s="31">
        <f>'FS Desroches Daily'!CJ18</f>
        <v>318</v>
      </c>
      <c r="AV16" s="31">
        <f>'FS Desroches Daily'!CL18</f>
        <v>799.99999999995453</v>
      </c>
      <c r="AW16" s="31">
        <f>'FS Desroches Daily'!CM18</f>
        <v>130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2399.9999999997358</v>
      </c>
      <c r="F17" s="32">
        <f>'FS Desroches Daily'!F19</f>
        <v>3499.9999999998367</v>
      </c>
      <c r="G17" s="31">
        <f>'FS Desroches Daily'!H19</f>
        <v>3800.0000000000255</v>
      </c>
      <c r="H17" s="32">
        <f>'FS Desroches Daily'!J19</f>
        <v>1900.0000000000127</v>
      </c>
      <c r="I17" s="31">
        <f>'FS Desroches Daily'!L19</f>
        <v>2099.9999999999909</v>
      </c>
      <c r="J17" s="32">
        <f>'FS Desroches Daily'!N19</f>
        <v>1599.9999999998238</v>
      </c>
      <c r="K17" s="13">
        <f>'FS Desroches Daily'!P19</f>
        <v>34</v>
      </c>
      <c r="L17" s="31">
        <f>'FS Desroches Daily'!R19</f>
        <v>6</v>
      </c>
      <c r="M17" s="31">
        <f>'FS Desroches Daily'!T19</f>
        <v>1200.0000000000455</v>
      </c>
      <c r="N17" s="31">
        <f>'FS Desroches Daily'!V19</f>
        <v>516.20000000006985</v>
      </c>
      <c r="O17" s="31">
        <f>'FS Desroches Daily'!X19</f>
        <v>449.99999999993179</v>
      </c>
      <c r="P17" s="31">
        <f>'FS Desroches Daily'!Z19</f>
        <v>2900.0000000003465</v>
      </c>
      <c r="Q17" s="31">
        <f>'FS Desroches Daily'!AB19</f>
        <v>220.00000000002728</v>
      </c>
      <c r="R17" s="31">
        <f>'FS Desroches Daily'!AD19</f>
        <v>470.00000000002728</v>
      </c>
      <c r="S17" s="31">
        <f>'FS Desroches Daily'!AF19</f>
        <v>830.00000000004093</v>
      </c>
      <c r="T17" s="31">
        <f>'FS Desroches Daily'!AH19</f>
        <v>42</v>
      </c>
      <c r="U17" s="35">
        <f>'FS Desroches Daily'!AJ19</f>
        <v>599.99999999993395</v>
      </c>
      <c r="V17" s="35">
        <f>'FS Desroches Daily'!AL19</f>
        <v>279.99999999997272</v>
      </c>
      <c r="W17" s="35">
        <f>'FS Desroches Daily'!AN19</f>
        <v>269.99999999998181</v>
      </c>
      <c r="X17" s="35">
        <f>'FS Desroches Daily'!AP19</f>
        <v>129.99999999999545</v>
      </c>
      <c r="Y17" s="35">
        <f>'FS Desroches Daily'!AR19</f>
        <v>139.99999999998636</v>
      </c>
      <c r="Z17" s="35">
        <f>'FS Desroches Daily'!AU20</f>
        <v>387.95</v>
      </c>
      <c r="AA17" s="35">
        <f>'FS Desroches Daily'!AU20</f>
        <v>387.95</v>
      </c>
      <c r="AB17" s="35">
        <f>'FS Desroches Daily'!AV19</f>
        <v>60.000000000002274</v>
      </c>
      <c r="AC17" s="35">
        <f>'FS Desroches Daily'!AZ19</f>
        <v>129.99999999999545</v>
      </c>
      <c r="AD17" s="35">
        <f>'FS Desroches Daily'!BB19</f>
        <v>49.999999999954525</v>
      </c>
      <c r="AE17" s="35">
        <f>'FS Desroches Daily'!BD19</f>
        <v>129.99999999999545</v>
      </c>
      <c r="AF17" s="31">
        <f>'FS Desroches Daily'!BF19</f>
        <v>34</v>
      </c>
      <c r="AG17" s="32">
        <f>'FS Desroches Daily'!BH19</f>
        <v>40.000000000020464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46</v>
      </c>
      <c r="AM17" s="32">
        <f>'FS Desroches Daily'!BT19</f>
        <v>69.999999999993179</v>
      </c>
      <c r="AN17" s="32">
        <f>'FS Desroches Daily'!BV19</f>
        <v>41</v>
      </c>
      <c r="AO17" s="32">
        <f>'FS Desroches Daily'!BX19</f>
        <v>60.000000000002274</v>
      </c>
      <c r="AP17" s="32">
        <f>'FS Desroches Daily'!BZ19</f>
        <v>55</v>
      </c>
      <c r="AQ17" s="31">
        <f>'FS Desroches Daily'!CB19</f>
        <v>68.599999999998545</v>
      </c>
      <c r="AR17" s="31">
        <f>'FS Desroches Daily'!CD19</f>
        <v>16</v>
      </c>
      <c r="AS17" s="31">
        <f>'FS Desroches Daily'!CF19</f>
        <v>2</v>
      </c>
      <c r="AT17" s="31">
        <f>'FS Desroches Daily'!CH19</f>
        <v>43</v>
      </c>
      <c r="AU17" s="31">
        <f>'FS Desroches Daily'!CJ19</f>
        <v>316</v>
      </c>
      <c r="AV17" s="31">
        <f>'FS Desroches Daily'!CL19</f>
        <v>900.00000000009095</v>
      </c>
      <c r="AW17" s="31">
        <f>'FS Desroches Daily'!CM19</f>
        <v>146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2000.0000000002237</v>
      </c>
      <c r="F18" s="32">
        <f>'FS Desroches Daily'!F20</f>
        <v>3300.0000000003029</v>
      </c>
      <c r="G18" s="31">
        <f>'FS Desroches Daily'!H20</f>
        <v>4099.9999999993261</v>
      </c>
      <c r="H18" s="32">
        <f>'FS Desroches Daily'!J20</f>
        <v>1500.0000000000568</v>
      </c>
      <c r="I18" s="31">
        <f>'FS Desroches Daily'!L20</f>
        <v>2000.0000000002237</v>
      </c>
      <c r="J18" s="32">
        <f>'FS Desroches Daily'!N20</f>
        <v>1500.0000000000568</v>
      </c>
      <c r="K18" s="13">
        <f>'FS Desroches Daily'!P20</f>
        <v>24</v>
      </c>
      <c r="L18" s="31">
        <f>'FS Desroches Daily'!R20</f>
        <v>3</v>
      </c>
      <c r="M18" s="31">
        <f>'FS Desroches Daily'!T20</f>
        <v>1399.9999999998636</v>
      </c>
      <c r="N18" s="31">
        <f>'FS Desroches Daily'!V20</f>
        <v>522.89999999990687</v>
      </c>
      <c r="O18" s="31">
        <f>'FS Desroches Daily'!X20</f>
        <v>389.99999999998636</v>
      </c>
      <c r="P18" s="31">
        <f>'FS Desroches Daily'!Z20</f>
        <v>2699.9999999999245</v>
      </c>
      <c r="Q18" s="31">
        <f>'FS Desroches Daily'!AB20</f>
        <v>350.00000000002274</v>
      </c>
      <c r="R18" s="31">
        <f>'FS Desroches Daily'!AD20</f>
        <v>389.99999999998636</v>
      </c>
      <c r="S18" s="31">
        <f>'FS Desroches Daily'!AF20</f>
        <v>659.99999999996817</v>
      </c>
      <c r="T18" s="31">
        <f>'FS Desroches Daily'!AH20</f>
        <v>47</v>
      </c>
      <c r="U18" s="35">
        <f>'FS Desroches Daily'!AJ20</f>
        <v>600.00000000015598</v>
      </c>
      <c r="V18" s="35">
        <f>'FS Desroches Daily'!AL20</f>
        <v>230.00000000001819</v>
      </c>
      <c r="W18" s="35">
        <f>'FS Desroches Daily'!AN20</f>
        <v>140.0000000000432</v>
      </c>
      <c r="X18" s="35">
        <f>'FS Desroches Daily'!AP20</f>
        <v>100.00000000002274</v>
      </c>
      <c r="Y18" s="35">
        <f>'FS Desroches Daily'!AR20</f>
        <v>100.00000000002274</v>
      </c>
      <c r="Z18" s="35">
        <f>'FS Desroches Daily'!AT20</f>
        <v>139.99999999998636</v>
      </c>
      <c r="AA18" s="35">
        <f>'FS Desroches Daily'!AT20</f>
        <v>139.99999999998636</v>
      </c>
      <c r="AB18" s="35">
        <f>'FS Desroches Daily'!AV20</f>
        <v>60.000000000002274</v>
      </c>
      <c r="AC18" s="35">
        <f>'FS Desroches Daily'!AZ20</f>
        <v>160.00000000002501</v>
      </c>
      <c r="AD18" s="35">
        <f>'FS Desroches Daily'!BB20</f>
        <v>60.000000000002274</v>
      </c>
      <c r="AE18" s="35">
        <f>'FS Desroches Daily'!BD20</f>
        <v>120.00000000000455</v>
      </c>
      <c r="AF18" s="31">
        <f>'FS Desroches Daily'!BF20</f>
        <v>4</v>
      </c>
      <c r="AG18" s="32">
        <f>'FS Desroches Daily'!BH20</f>
        <v>30.000000000029559</v>
      </c>
      <c r="AH18" s="32">
        <f>'FS Desroches Daily'!BJ20</f>
        <v>29.999999999972715</v>
      </c>
      <c r="AI18" s="32">
        <f>'FS Desroches Daily'!BL20</f>
        <v>49.999999999954525</v>
      </c>
      <c r="AJ18" s="32">
        <f>'FS Desroches Daily'!BN20</f>
        <v>80.000000000012506</v>
      </c>
      <c r="AK18" s="32">
        <f>'FS Desroches Daily'!BP20</f>
        <v>39.99999999996362</v>
      </c>
      <c r="AL18" s="32">
        <f>'FS Desroches Daily'!BR20</f>
        <v>42</v>
      </c>
      <c r="AM18" s="32">
        <f>'FS Desroches Daily'!BT20</f>
        <v>50.000000000011369</v>
      </c>
      <c r="AN18" s="32">
        <f>'FS Desroches Daily'!BV20</f>
        <v>33</v>
      </c>
      <c r="AO18" s="32">
        <f>'FS Desroches Daily'!BX20</f>
        <v>50.000000000011369</v>
      </c>
      <c r="AP18" s="32">
        <f>'FS Desroches Daily'!BZ20</f>
        <v>49</v>
      </c>
      <c r="AQ18" s="31">
        <f>'FS Desroches Daily'!CB20</f>
        <v>60.5</v>
      </c>
      <c r="AR18" s="31">
        <f>'FS Desroches Daily'!CD20</f>
        <v>11.299999999999272</v>
      </c>
      <c r="AS18" s="31">
        <f>'FS Desroches Daily'!CF20</f>
        <v>6.6999999999989086</v>
      </c>
      <c r="AT18" s="31">
        <f>'FS Desroches Daily'!CH20</f>
        <v>23.80000000000291</v>
      </c>
      <c r="AU18" s="31">
        <f>'FS Desroches Daily'!CJ20</f>
        <v>305</v>
      </c>
      <c r="AV18" s="31">
        <f>'FS Desroches Daily'!CL20</f>
        <v>1000</v>
      </c>
      <c r="AW18" s="31">
        <f>'FS Desroches Daily'!CM20</f>
        <v>137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39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2199.9999999997576</v>
      </c>
      <c r="F19" s="32">
        <f>'FS Desroches Daily'!F21</f>
        <v>2899.9999999994584</v>
      </c>
      <c r="G19" s="31">
        <f>'FS Desroches Daily'!H21</f>
        <v>3800.0000000000255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1500.0000000000568</v>
      </c>
      <c r="K19" s="13">
        <f>'FS Desroches Daily'!P21</f>
        <v>27</v>
      </c>
      <c r="L19" s="31">
        <f>'FS Desroches Daily'!R21</f>
        <v>4</v>
      </c>
      <c r="M19" s="31">
        <f>'FS Desroches Daily'!T21</f>
        <v>1299.9999999999545</v>
      </c>
      <c r="N19" s="31">
        <f>'FS Desroches Daily'!V21</f>
        <v>477</v>
      </c>
      <c r="O19" s="31">
        <f>'FS Desroches Daily'!X21</f>
        <v>440.00000000005457</v>
      </c>
      <c r="P19" s="31">
        <f>'FS Desroches Daily'!Z21</f>
        <v>3099.9999999998809</v>
      </c>
      <c r="Q19" s="31">
        <f>'FS Desroches Daily'!AB21</f>
        <v>389.99999999998636</v>
      </c>
      <c r="R19" s="31">
        <f>'FS Desroches Daily'!AD21</f>
        <v>460.00000000003638</v>
      </c>
      <c r="S19" s="31">
        <f>'FS Desroches Daily'!AF21</f>
        <v>590.00000000003183</v>
      </c>
      <c r="T19" s="31">
        <f>'FS Desroches Daily'!AH21</f>
        <v>55</v>
      </c>
      <c r="U19" s="35">
        <f>'FS Desroches Daily'!AJ21</f>
        <v>799.99999999991189</v>
      </c>
      <c r="V19" s="35">
        <f>'FS Desroches Daily'!AL21</f>
        <v>300.00000000001137</v>
      </c>
      <c r="W19" s="35">
        <f>'FS Desroches Daily'!AN21</f>
        <v>219.99999999997044</v>
      </c>
      <c r="X19" s="35">
        <f>'FS Desroches Daily'!AP21</f>
        <v>120.00000000000455</v>
      </c>
      <c r="Y19" s="35">
        <f>'FS Desroches Daily'!AR21</f>
        <v>89.999999999974989</v>
      </c>
      <c r="Z19" s="35">
        <f>'FS Desroches Daily'!AT21</f>
        <v>160.00000000002501</v>
      </c>
      <c r="AA19" s="35">
        <f>'FS Desroches Daily'!AT21</f>
        <v>160.00000000002501</v>
      </c>
      <c r="AB19" s="35">
        <f>'FS Desroches Daily'!AV21</f>
        <v>40.000000000020464</v>
      </c>
      <c r="AC19" s="35">
        <f>'FS Desroches Daily'!AZ21</f>
        <v>139.99999999998636</v>
      </c>
      <c r="AD19" s="35">
        <f>'FS Desroches Daily'!BB21</f>
        <v>100.00000000002274</v>
      </c>
      <c r="AE19" s="35">
        <f>'FS Desroches Daily'!BD21</f>
        <v>160.00000000002501</v>
      </c>
      <c r="AF19" s="31">
        <f>'FS Desroches Daily'!BF21</f>
        <v>28</v>
      </c>
      <c r="AG19" s="32">
        <f>'FS Desroches Daily'!BH21</f>
        <v>49.999999999954525</v>
      </c>
      <c r="AH19" s="32">
        <f>'FS Desroches Daily'!BJ21</f>
        <v>40.000000000020464</v>
      </c>
      <c r="AI19" s="32">
        <f>'FS Desroches Daily'!BL21</f>
        <v>50.000000000011369</v>
      </c>
      <c r="AJ19" s="32">
        <f>'FS Desroches Daily'!BN21</f>
        <v>9.9999999999909051</v>
      </c>
      <c r="AK19" s="32">
        <f>'FS Desroches Daily'!BP21</f>
        <v>40.000000000020464</v>
      </c>
      <c r="AL19" s="32">
        <f>'FS Desroches Daily'!BR21</f>
        <v>40</v>
      </c>
      <c r="AM19" s="32">
        <f>'FS Desroches Daily'!BT21</f>
        <v>50.000000000011369</v>
      </c>
      <c r="AN19" s="32">
        <f>'FS Desroches Daily'!BV21</f>
        <v>37</v>
      </c>
      <c r="AO19" s="32">
        <f>'FS Desroches Daily'!BX21</f>
        <v>49.999999999982947</v>
      </c>
      <c r="AP19" s="32">
        <f>'FS Desroches Daily'!BZ21</f>
        <v>53</v>
      </c>
      <c r="AQ19" s="31">
        <f>'FS Desroches Daily'!CB21</f>
        <v>71.599999999998545</v>
      </c>
      <c r="AR19" s="31">
        <f>'FS Desroches Daily'!CD21</f>
        <v>11.299999999999272</v>
      </c>
      <c r="AS19" s="31">
        <f>'FS Desroches Daily'!CF21</f>
        <v>3</v>
      </c>
      <c r="AT19" s="31">
        <f>'FS Desroches Daily'!CH21</f>
        <v>58.899999999994179</v>
      </c>
      <c r="AU19" s="31">
        <f>'FS Desroches Daily'!CJ21</f>
        <v>309</v>
      </c>
      <c r="AV19" s="31">
        <f>'FS Desroches Daily'!CL21</f>
        <v>1000</v>
      </c>
      <c r="AW19" s="31">
        <f>'FS Desroches Daily'!CM21</f>
        <v>118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10.988999999999999</v>
      </c>
      <c r="BC19" s="13">
        <f>'FS Desroches Daily'!CN21</f>
        <v>30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1900.0000000000127</v>
      </c>
      <c r="F20" s="32">
        <f>'FS Desroches Daily'!F22</f>
        <v>3200.0000000005357</v>
      </c>
      <c r="G20" s="31">
        <f>'FS Desroches Daily'!H22</f>
        <v>3700.0000000002588</v>
      </c>
      <c r="H20" s="32">
        <f>'FS Desroches Daily'!J22</f>
        <v>1499.9999999996128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22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388.20000000006985</v>
      </c>
      <c r="O20" s="31">
        <f>'FS Desroches Daily'!X22</f>
        <v>279.99999999997272</v>
      </c>
      <c r="P20" s="31">
        <f>'FS Desroches Daily'!Z22</f>
        <v>2600.0000000001578</v>
      </c>
      <c r="Q20" s="31">
        <f>'FS Desroches Daily'!AB22</f>
        <v>200.00000000004547</v>
      </c>
      <c r="R20" s="31">
        <f>'FS Desroches Daily'!AD22</f>
        <v>279.99999999997272</v>
      </c>
      <c r="S20" s="31">
        <f>'FS Desroches Daily'!AF22</f>
        <v>319.99999999993634</v>
      </c>
      <c r="T20" s="31">
        <f>'FS Desroches Daily'!AH22</f>
        <v>36</v>
      </c>
      <c r="U20" s="35">
        <f>'FS Desroches Daily'!AJ22</f>
        <v>599.99999999993395</v>
      </c>
      <c r="V20" s="35">
        <f>'FS Desroches Daily'!AL22</f>
        <v>169.99999999995907</v>
      </c>
      <c r="W20" s="35">
        <f>'FS Desroches Daily'!AN22</f>
        <v>149.99999999997726</v>
      </c>
      <c r="X20" s="35">
        <f>'FS Desroches Daily'!AP22</f>
        <v>89.999999999974989</v>
      </c>
      <c r="Y20" s="35">
        <f>'FS Desroches Daily'!AR22</f>
        <v>40.000000000020464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29.999999999972715</v>
      </c>
      <c r="AC20" s="35">
        <f>'FS Desroches Daily'!AZ22</f>
        <v>50.000000000011369</v>
      </c>
      <c r="AD20" s="35">
        <f>'FS Desroches Daily'!BB22</f>
        <v>69.999999999993179</v>
      </c>
      <c r="AE20" s="35">
        <f>'FS Desroches Daily'!BD22</f>
        <v>79.999999999984084</v>
      </c>
      <c r="AF20" s="31">
        <f>'FS Desroches Daily'!BF22</f>
        <v>38</v>
      </c>
      <c r="AG20" s="32">
        <f>'FS Desroches Daily'!BH22</f>
        <v>30.000000000029559</v>
      </c>
      <c r="AH20" s="32">
        <f>'FS Desroches Daily'!BJ22</f>
        <v>39.99999999996362</v>
      </c>
      <c r="AI20" s="32">
        <f>'FS Desroches Daily'!BL22</f>
        <v>50.000000000011369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38</v>
      </c>
      <c r="AM20" s="32">
        <f>'FS Desroches Daily'!BT22</f>
        <v>49.999999999982947</v>
      </c>
      <c r="AN20" s="32">
        <f>'FS Desroches Daily'!BV22</f>
        <v>29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76.400000000001455</v>
      </c>
      <c r="AR20" s="31">
        <f>'FS Desroches Daily'!CD22</f>
        <v>9.7000000000007276</v>
      </c>
      <c r="AS20" s="31">
        <f>'FS Desroches Daily'!CF22</f>
        <v>0.90000000000145519</v>
      </c>
      <c r="AT20" s="31">
        <f>'FS Desroches Daily'!CH22</f>
        <v>44.900000000008731</v>
      </c>
      <c r="AU20" s="31">
        <f>'FS Desroches Daily'!CJ22</f>
        <v>310</v>
      </c>
      <c r="AV20" s="31">
        <f>'FS Desroches Daily'!CL22</f>
        <v>900.00000000009095</v>
      </c>
      <c r="AW20" s="31">
        <f>'FS Desroches Daily'!CM22</f>
        <v>110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1900.0000000000127</v>
      </c>
      <c r="F21" s="32">
        <f>'FS Desroches Daily'!F23</f>
        <v>2899.9999999994584</v>
      </c>
      <c r="G21" s="31">
        <f>'FS Desroches Daily'!H23</f>
        <v>3499.9999999998367</v>
      </c>
      <c r="H21" s="32">
        <f>'FS Desroches Daily'!J23</f>
        <v>1500.0000000000568</v>
      </c>
      <c r="I21" s="31">
        <f>'FS Desroches Daily'!L23</f>
        <v>1999.9999999997797</v>
      </c>
      <c r="J21" s="32">
        <f>'FS Desroches Daily'!N23</f>
        <v>1200.000000000312</v>
      </c>
      <c r="K21" s="13">
        <f>'FS Desroches Daily'!P23</f>
        <v>17</v>
      </c>
      <c r="L21" s="31">
        <f>'FS Desroches Daily'!R23</f>
        <v>3</v>
      </c>
      <c r="M21" s="31">
        <f>'FS Desroches Daily'!T23</f>
        <v>1200.0000000000455</v>
      </c>
      <c r="N21" s="31">
        <f>'FS Desroches Daily'!V23</f>
        <v>440</v>
      </c>
      <c r="O21" s="31">
        <f>'FS Desroches Daily'!X23</f>
        <v>310.00000000005912</v>
      </c>
      <c r="P21" s="31">
        <f>'FS Desroches Daily'!Z23</f>
        <v>2500.0000000003906</v>
      </c>
      <c r="Q21" s="31">
        <f>'FS Desroches Daily'!AB23</f>
        <v>360.00000000001364</v>
      </c>
      <c r="R21" s="31">
        <f>'FS Desroches Daily'!AD23</f>
        <v>299.99999999995453</v>
      </c>
      <c r="S21" s="31">
        <f>'FS Desroches Daily'!AF23</f>
        <v>389.99999999998636</v>
      </c>
      <c r="T21" s="31">
        <f>'FS Desroches Daily'!AH23</f>
        <v>32</v>
      </c>
      <c r="U21" s="35">
        <f>'FS Desroches Daily'!AJ23</f>
        <v>600.00000000015598</v>
      </c>
      <c r="V21" s="35">
        <f>'FS Desroches Daily'!AL23</f>
        <v>210.00000000003638</v>
      </c>
      <c r="W21" s="35">
        <f>'FS Desroches Daily'!AN23</f>
        <v>170.00000000001592</v>
      </c>
      <c r="X21" s="35">
        <f>'FS Desroches Daily'!AP23</f>
        <v>79.999999999984084</v>
      </c>
      <c r="Y21" s="35">
        <f>'FS Desroches Daily'!AR23</f>
        <v>69.999999999993179</v>
      </c>
      <c r="Z21" s="35">
        <f>'FS Desroches Daily'!AT23</f>
        <v>89.999999999974989</v>
      </c>
      <c r="AA21" s="35">
        <f>'FS Desroches Daily'!AT23</f>
        <v>89.999999999974989</v>
      </c>
      <c r="AB21" s="35">
        <f>'FS Desroches Daily'!AV23</f>
        <v>40.000000000020464</v>
      </c>
      <c r="AC21" s="35">
        <f>'FS Desroches Daily'!AZ23</f>
        <v>99.999999999965894</v>
      </c>
      <c r="AD21" s="35">
        <f>'FS Desroches Daily'!BB23</f>
        <v>100.00000000002274</v>
      </c>
      <c r="AE21" s="35">
        <f>'FS Desroches Daily'!BD23</f>
        <v>69.999999999993179</v>
      </c>
      <c r="AF21" s="31">
        <f>'FS Desroches Daily'!BF23</f>
        <v>39</v>
      </c>
      <c r="AG21" s="32">
        <f>'FS Desroches Daily'!BH23</f>
        <v>29.999999999972715</v>
      </c>
      <c r="AH21" s="32">
        <f>'FS Desroches Daily'!BJ23</f>
        <v>40.000000000020464</v>
      </c>
      <c r="AI21" s="32">
        <f>'FS Desroches Daily'!BL23</f>
        <v>50.000000000011369</v>
      </c>
      <c r="AJ21" s="32">
        <f>'FS Desroches Daily'!BN23</f>
        <v>30.000000000001137</v>
      </c>
      <c r="AK21" s="32">
        <f>'FS Desroches Daily'!BP23</f>
        <v>29.999999999972715</v>
      </c>
      <c r="AL21" s="32">
        <f>'FS Desroches Daily'!BR23</f>
        <v>34</v>
      </c>
      <c r="AM21" s="32">
        <f>'FS Desroches Daily'!BT23</f>
        <v>50.000000000011369</v>
      </c>
      <c r="AN21" s="32">
        <f>'FS Desroches Daily'!BV23</f>
        <v>28</v>
      </c>
      <c r="AO21" s="32">
        <f>'FS Desroches Daily'!BX23</f>
        <v>39.999999999992042</v>
      </c>
      <c r="AP21" s="32">
        <f>'FS Desroches Daily'!BZ23</f>
        <v>53</v>
      </c>
      <c r="AQ21" s="31">
        <f>'FS Desroches Daily'!CB23</f>
        <v>67.69999999999709</v>
      </c>
      <c r="AR21" s="31">
        <f>'FS Desroches Daily'!CD23</f>
        <v>12.200000000000728</v>
      </c>
      <c r="AS21" s="31">
        <f>'FS Desroches Daily'!CF23</f>
        <v>4.5999999999985448</v>
      </c>
      <c r="AT21" s="31">
        <f>'FS Desroches Daily'!CH23</f>
        <v>47.899999999994179</v>
      </c>
      <c r="AU21" s="31">
        <f>'FS Desroches Daily'!CJ23</f>
        <v>307</v>
      </c>
      <c r="AV21" s="31">
        <f>'FS Desroches Daily'!CL23</f>
        <v>799.99999999995453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23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1900.0000000000127</v>
      </c>
      <c r="F22" s="32">
        <f>'FS Desroches Daily'!F24</f>
        <v>2900.0000000003465</v>
      </c>
      <c r="G22" s="31">
        <f>'FS Desroches Daily'!H24</f>
        <v>3899.9999999997926</v>
      </c>
      <c r="H22" s="32">
        <f>'FS Desroches Daily'!J24</f>
        <v>1900.0000000000127</v>
      </c>
      <c r="I22" s="31">
        <f>'FS Desroches Daily'!L24</f>
        <v>2000.0000000002237</v>
      </c>
      <c r="J22" s="32">
        <f>'FS Desroches Daily'!N24</f>
        <v>999.99999999988984</v>
      </c>
      <c r="K22" s="13">
        <f>'FS Desroches Daily'!P24</f>
        <v>17</v>
      </c>
      <c r="L22" s="31">
        <f>'FS Desroches Daily'!R24</f>
        <v>4</v>
      </c>
      <c r="M22" s="31">
        <f>'FS Desroches Daily'!T24</f>
        <v>1400.0000000000909</v>
      </c>
      <c r="N22" s="31">
        <f>'FS Desroches Daily'!V24</f>
        <v>592</v>
      </c>
      <c r="O22" s="31">
        <f>'FS Desroches Daily'!X24</f>
        <v>329.99999999992724</v>
      </c>
      <c r="P22" s="31">
        <f>'FS Desroches Daily'!Z24</f>
        <v>2499.9999999995025</v>
      </c>
      <c r="Q22" s="31">
        <f>'FS Desroches Daily'!AB24</f>
        <v>209.99999999992269</v>
      </c>
      <c r="R22" s="31">
        <f>'FS Desroches Daily'!AD24</f>
        <v>379.99999999999545</v>
      </c>
      <c r="S22" s="31">
        <f>'FS Desroches Daily'!AF24</f>
        <v>340.00000000003183</v>
      </c>
      <c r="T22" s="31">
        <f>'FS Desroches Daily'!AH24</f>
        <v>40</v>
      </c>
      <c r="U22" s="35">
        <f>'FS Desroches Daily'!AJ24</f>
        <v>599.99999999993395</v>
      </c>
      <c r="V22" s="35">
        <f>'FS Desroches Daily'!AL24</f>
        <v>240.00000000000909</v>
      </c>
      <c r="W22" s="35">
        <f>'FS Desroches Daily'!AN24</f>
        <v>170.00000000001592</v>
      </c>
      <c r="X22" s="35">
        <f>'FS Desroches Daily'!AP24</f>
        <v>110.00000000001364</v>
      </c>
      <c r="Y22" s="35">
        <f>'FS Desroches Daily'!AR24</f>
        <v>129.99999999999545</v>
      </c>
      <c r="Z22" s="35">
        <f>'FS Desroches Daily'!AT24</f>
        <v>90.000000000031832</v>
      </c>
      <c r="AA22" s="35">
        <f>'FS Desroches Daily'!AT24</f>
        <v>90.000000000031832</v>
      </c>
      <c r="AB22" s="35">
        <f>'FS Desroches Daily'!AV24</f>
        <v>60.000000000002274</v>
      </c>
      <c r="AC22" s="35">
        <f>'FS Desroches Daily'!AZ24</f>
        <v>100.00000000002274</v>
      </c>
      <c r="AD22" s="35">
        <f>'FS Desroches Daily'!BB24</f>
        <v>89.999999999974989</v>
      </c>
      <c r="AE22" s="35">
        <f>'FS Desroches Daily'!BD24</f>
        <v>60.000000000002274</v>
      </c>
      <c r="AF22" s="31">
        <f>'FS Desroches Daily'!BF24</f>
        <v>41</v>
      </c>
      <c r="AG22" s="32">
        <f>'FS Desroches Daily'!BH24</f>
        <v>40.000000000020464</v>
      </c>
      <c r="AH22" s="32">
        <f>'FS Desroches Daily'!BJ24</f>
        <v>40.000000000020464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40</v>
      </c>
      <c r="AM22" s="32">
        <f>'FS Desroches Daily'!BT24</f>
        <v>49.999999999982947</v>
      </c>
      <c r="AN22" s="32">
        <f>'FS Desroches Daily'!BV24</f>
        <v>34</v>
      </c>
      <c r="AO22" s="32">
        <f>'FS Desroches Daily'!BX24</f>
        <v>50.000000000011369</v>
      </c>
      <c r="AP22" s="32">
        <f>'FS Desroches Daily'!BZ24</f>
        <v>52</v>
      </c>
      <c r="AQ22" s="31">
        <f>'FS Desroches Daily'!CB24</f>
        <v>60.30000000000291</v>
      </c>
      <c r="AR22" s="31">
        <f>'FS Desroches Daily'!CD24</f>
        <v>23</v>
      </c>
      <c r="AS22" s="31">
        <f>'FS Desroches Daily'!CF24</f>
        <v>1.6000000000003638</v>
      </c>
      <c r="AT22" s="31">
        <f>'FS Desroches Daily'!CH24</f>
        <v>44.5</v>
      </c>
      <c r="AU22" s="31">
        <f>'FS Desroches Daily'!CJ24</f>
        <v>320</v>
      </c>
      <c r="AV22" s="31">
        <f>'FS Desroches Daily'!CL24</f>
        <v>899.99999999986358</v>
      </c>
      <c r="AW22" s="31">
        <f>'FS Desroches Daily'!CM24</f>
        <v>108.40000000000146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1800.0000000002458</v>
      </c>
      <c r="F23" s="32">
        <f>'FS Desroches Daily'!F25</f>
        <v>3000.0000000001137</v>
      </c>
      <c r="G23" s="31">
        <f>'FS Desroches Daily'!H25</f>
        <v>3700.0000000002588</v>
      </c>
      <c r="H23" s="32">
        <f>'FS Desroches Daily'!J25</f>
        <v>1300.0000000000789</v>
      </c>
      <c r="I23" s="31">
        <f>'FS Desroches Daily'!L25</f>
        <v>2099.9999999999909</v>
      </c>
      <c r="J23" s="32">
        <f>'FS Desroches Daily'!N25</f>
        <v>1199.9999999998679</v>
      </c>
      <c r="K23" s="13">
        <f>'FS Desroches Daily'!P25</f>
        <v>16</v>
      </c>
      <c r="L23" s="31">
        <f>'FS Desroches Daily'!R25</f>
        <v>3</v>
      </c>
      <c r="M23" s="31">
        <f>'FS Desroches Daily'!T25</f>
        <v>1099.9999999999091</v>
      </c>
      <c r="N23" s="31">
        <f>'FS Desroches Daily'!V25</f>
        <v>379.5</v>
      </c>
      <c r="O23" s="31">
        <f>'FS Desroches Daily'!X25</f>
        <v>360.00000000001364</v>
      </c>
      <c r="P23" s="31">
        <f>'FS Desroches Daily'!Z25</f>
        <v>2699.9999999999245</v>
      </c>
      <c r="Q23" s="31">
        <f>'FS Desroches Daily'!AB25</f>
        <v>370.00000000000455</v>
      </c>
      <c r="R23" s="31">
        <f>'FS Desroches Daily'!AD25</f>
        <v>330.00000000004093</v>
      </c>
      <c r="S23" s="31">
        <f>'FS Desroches Daily'!AF25</f>
        <v>379.99999999999545</v>
      </c>
      <c r="T23" s="31">
        <f>'FS Desroches Daily'!AH25</f>
        <v>44</v>
      </c>
      <c r="U23" s="35">
        <f>'FS Desroches Daily'!AJ25</f>
        <v>599.99999999993395</v>
      </c>
      <c r="V23" s="35">
        <f>'FS Desroches Daily'!AL25</f>
        <v>189.99999999999773</v>
      </c>
      <c r="W23" s="35">
        <f>'FS Desroches Daily'!AN25</f>
        <v>219.99999999997044</v>
      </c>
      <c r="X23" s="35">
        <f>'FS Desroches Daily'!AP25</f>
        <v>110.00000000001364</v>
      </c>
      <c r="Y23" s="35">
        <f>'FS Desroches Daily'!AR25</f>
        <v>150.00000000003411</v>
      </c>
      <c r="Z23" s="35">
        <f>'FS Desroches Daily'!AT25</f>
        <v>79.999999999984084</v>
      </c>
      <c r="AA23" s="35">
        <f>'FS Desroches Daily'!AT25</f>
        <v>79.999999999984084</v>
      </c>
      <c r="AB23" s="35">
        <f>'FS Desroches Daily'!AV25</f>
        <v>50.000000000011369</v>
      </c>
      <c r="AC23" s="35">
        <f>'FS Desroches Daily'!AZ25</f>
        <v>50.000000000011369</v>
      </c>
      <c r="AD23" s="35">
        <f>'FS Desroches Daily'!BB25</f>
        <v>60.000000000002274</v>
      </c>
      <c r="AE23" s="35">
        <f>'FS Desroches Daily'!BD25</f>
        <v>20.000000000038654</v>
      </c>
      <c r="AF23" s="31">
        <f>'FS Desroches Daily'!BF25</f>
        <v>38</v>
      </c>
      <c r="AG23" s="32">
        <f>'FS Desroches Daily'!BH25</f>
        <v>40.000000000020464</v>
      </c>
      <c r="AH23" s="32">
        <f>'FS Desroches Daily'!BJ25</f>
        <v>29.999999999972715</v>
      </c>
      <c r="AI23" s="32">
        <f>'FS Desroches Daily'!BL25</f>
        <v>49.999999999954525</v>
      </c>
      <c r="AJ23" s="32">
        <f>'FS Desroches Daily'!BN25</f>
        <v>39.999999999992042</v>
      </c>
      <c r="AK23" s="32">
        <f>'FS Desroches Daily'!BP25</f>
        <v>29.999999999972715</v>
      </c>
      <c r="AL23" s="32">
        <f>'FS Desroches Daily'!BR25</f>
        <v>39</v>
      </c>
      <c r="AM23" s="32">
        <f>'FS Desroches Daily'!BT25</f>
        <v>60.000000000002274</v>
      </c>
      <c r="AN23" s="32">
        <f>'FS Desroches Daily'!BV25</f>
        <v>29</v>
      </c>
      <c r="AO23" s="32">
        <f>'FS Desroches Daily'!BX25</f>
        <v>39.999999999992042</v>
      </c>
      <c r="AP23" s="32">
        <f>'FS Desroches Daily'!BZ25</f>
        <v>51</v>
      </c>
      <c r="AQ23" s="31">
        <f>'FS Desroches Daily'!CB25</f>
        <v>71</v>
      </c>
      <c r="AR23" s="31">
        <f>'FS Desroches Daily'!CD25</f>
        <v>8</v>
      </c>
      <c r="AS23" s="31">
        <f>'FS Desroches Daily'!CF25</f>
        <v>3.6000000000003638</v>
      </c>
      <c r="AT23" s="31">
        <f>'FS Desroches Daily'!CH25</f>
        <v>37.900000000008731</v>
      </c>
      <c r="AU23" s="31">
        <f>'FS Desroches Daily'!CJ25</f>
        <v>312</v>
      </c>
      <c r="AV23" s="31">
        <f>'FS Desroches Daily'!CL25</f>
        <v>900.00000000009095</v>
      </c>
      <c r="AW23" s="31">
        <f>'FS Desroches Daily'!CM25</f>
        <v>111.79999999999927</v>
      </c>
      <c r="AX23" s="31">
        <f>IF(LPG!F30-LPG!F29&lt;0,"0",(LPG!F30-LPG!F29)*1.8315)</f>
        <v>0</v>
      </c>
      <c r="AY23" s="31">
        <f>IF(LPG!H30-LPG!H29&lt;0,"0",(LPG!H30-LPG!H29)*1.8315)</f>
        <v>7.3259999999999996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7.3259999999999996</v>
      </c>
      <c r="BC23" s="13">
        <f>'FS Desroches Daily'!CN25</f>
        <v>25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2299.9999999999686</v>
      </c>
      <c r="F24" s="32">
        <f>'FS Desroches Daily'!F26</f>
        <v>3499.9999999998367</v>
      </c>
      <c r="G24" s="31">
        <f>'FS Desroches Daily'!H26</f>
        <v>4199.9999999999818</v>
      </c>
      <c r="H24" s="32">
        <f>'FS Desroches Daily'!J26</f>
        <v>1500.0000000000568</v>
      </c>
      <c r="I24" s="31">
        <f>'FS Desroches Daily'!L26</f>
        <v>2200.0000000002019</v>
      </c>
      <c r="J24" s="32">
        <f>'FS Desroches Daily'!N26</f>
        <v>1300.0000000000789</v>
      </c>
      <c r="K24" s="13">
        <f>'FS Desroches Daily'!P26</f>
        <v>12</v>
      </c>
      <c r="L24" s="31">
        <f>'FS Desroches Daily'!R26</f>
        <v>2</v>
      </c>
      <c r="M24" s="31">
        <f>'FS Desroches Daily'!T26</f>
        <v>1400.0000000000909</v>
      </c>
      <c r="N24" s="31">
        <f>'FS Desroches Daily'!V26</f>
        <v>490.40000000002328</v>
      </c>
      <c r="O24" s="31">
        <f>'FS Desroches Daily'!X26</f>
        <v>379.99999999999545</v>
      </c>
      <c r="P24" s="31">
        <f>'FS Desroches Daily'!Z26</f>
        <v>3400.0000000000696</v>
      </c>
      <c r="Q24" s="31">
        <f>'FS Desroches Daily'!AB26</f>
        <v>240.00000000000909</v>
      </c>
      <c r="R24" s="31">
        <f>'FS Desroches Daily'!AD26</f>
        <v>429.99999999994998</v>
      </c>
      <c r="S24" s="31">
        <f>'FS Desroches Daily'!AF26</f>
        <v>620.00000000000455</v>
      </c>
      <c r="T24" s="31">
        <f>'FS Desroches Daily'!AH26</f>
        <v>46</v>
      </c>
      <c r="U24" s="35">
        <f>'FS Desroches Daily'!AJ26</f>
        <v>800.00000000013392</v>
      </c>
      <c r="V24" s="35">
        <f>'FS Desroches Daily'!AL26</f>
        <v>250</v>
      </c>
      <c r="W24" s="35">
        <f>'FS Desroches Daily'!AN26</f>
        <v>250</v>
      </c>
      <c r="X24" s="35">
        <f>'FS Desroches Daily'!AP26</f>
        <v>139.99999999998636</v>
      </c>
      <c r="Y24" s="35">
        <f>'FS Desroches Daily'!AR26</f>
        <v>219.99999999997044</v>
      </c>
      <c r="Z24" s="35">
        <f>'FS Desroches Daily'!AT26</f>
        <v>139.99999999998636</v>
      </c>
      <c r="AA24" s="35">
        <f>'FS Desroches Daily'!AT26</f>
        <v>139.99999999998636</v>
      </c>
      <c r="AB24" s="35">
        <f>'FS Desroches Daily'!AV26</f>
        <v>139.99999999998636</v>
      </c>
      <c r="AC24" s="35">
        <f>'FS Desroches Daily'!AZ26</f>
        <v>99.999999999965894</v>
      </c>
      <c r="AD24" s="35">
        <f>'FS Desroches Daily'!BB26</f>
        <v>100.00000000002274</v>
      </c>
      <c r="AE24" s="35">
        <f>'FS Desroches Daily'!BD26</f>
        <v>69.999999999993179</v>
      </c>
      <c r="AF24" s="31">
        <f>'FS Desroches Daily'!BF26</f>
        <v>46</v>
      </c>
      <c r="AG24" s="32">
        <f>'FS Desroches Daily'!BH26</f>
        <v>29.999999999972715</v>
      </c>
      <c r="AH24" s="32">
        <f>'FS Desroches Daily'!BJ26</f>
        <v>40.000000000020464</v>
      </c>
      <c r="AI24" s="32">
        <f>'FS Desroches Daily'!BL26</f>
        <v>50.000000000011369</v>
      </c>
      <c r="AJ24" s="32">
        <f>'FS Desroches Daily'!BN26</f>
        <v>30.000000000001137</v>
      </c>
      <c r="AK24" s="32">
        <f>'FS Desroches Daily'!BP26</f>
        <v>30.000000000029559</v>
      </c>
      <c r="AL24" s="32">
        <f>'FS Desroches Daily'!BR26</f>
        <v>35</v>
      </c>
      <c r="AM24" s="32">
        <f>'FS Desroches Daily'!BT26</f>
        <v>40.000000000020464</v>
      </c>
      <c r="AN24" s="32">
        <f>'FS Desroches Daily'!BV26</f>
        <v>27</v>
      </c>
      <c r="AO24" s="32">
        <f>'FS Desroches Daily'!BX26</f>
        <v>39.999999999992042</v>
      </c>
      <c r="AP24" s="32">
        <f>'FS Desroches Daily'!BZ26</f>
        <v>47</v>
      </c>
      <c r="AQ24" s="31">
        <f>'FS Desroches Daily'!CB26</f>
        <v>72</v>
      </c>
      <c r="AR24" s="31">
        <f>'FS Desroches Daily'!CD26</f>
        <v>15.700000000000728</v>
      </c>
      <c r="AS24" s="31">
        <f>'FS Desroches Daily'!CF26</f>
        <v>1.2999999999992724</v>
      </c>
      <c r="AT24" s="31">
        <f>'FS Desroches Daily'!CH26</f>
        <v>38.899999999994179</v>
      </c>
      <c r="AU24" s="31">
        <f>'FS Desroches Daily'!CJ26</f>
        <v>288</v>
      </c>
      <c r="AV24" s="31">
        <f>'FS Desroches Daily'!CL26</f>
        <v>1099.9999999999091</v>
      </c>
      <c r="AW24" s="31">
        <f>'FS Desroches Daily'!CM26</f>
        <v>135</v>
      </c>
      <c r="AX24" s="31">
        <f>IF(LPG!F31-LPG!F30&lt;0,"0",(LPG!F31-LPG!F30)*1.8315)</f>
        <v>0</v>
      </c>
      <c r="AY24" s="31">
        <f>IF(LPG!H31-LPG!H30&lt;0,"0",(LPG!H31-LPG!H30)*1.8315)</f>
        <v>1.8314999999999999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1.8314999999999999</v>
      </c>
      <c r="BC24" s="13">
        <f>'FS Desroches Daily'!CN26</f>
        <v>25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2499.9999999999468</v>
      </c>
      <c r="F25" s="32">
        <f>'FS Desroches Daily'!F27</f>
        <v>3299.9999999994143</v>
      </c>
      <c r="G25" s="31">
        <f>'FS Desroches Daily'!H27</f>
        <v>3800.0000000000255</v>
      </c>
      <c r="H25" s="32">
        <f>'FS Desroches Daily'!J27</f>
        <v>1599.9999999998238</v>
      </c>
      <c r="I25" s="31">
        <f>'FS Desroches Daily'!L27</f>
        <v>2099.9999999999909</v>
      </c>
      <c r="J25" s="32">
        <f>'FS Desroches Daily'!N27</f>
        <v>1500.0000000000568</v>
      </c>
      <c r="K25" s="13">
        <f>'FS Desroches Daily'!P27</f>
        <v>37</v>
      </c>
      <c r="L25" s="31">
        <f>'FS Desroches Daily'!R27</f>
        <v>6</v>
      </c>
      <c r="M25" s="31">
        <f>'FS Desroches Daily'!T27</f>
        <v>1099.9999999999091</v>
      </c>
      <c r="N25" s="31">
        <f>'FS Desroches Daily'!V27</f>
        <v>340.69999999995343</v>
      </c>
      <c r="O25" s="31">
        <f>'FS Desroches Daily'!X27</f>
        <v>340.00000000003183</v>
      </c>
      <c r="P25" s="31">
        <f>'FS Desroches Daily'!Z27</f>
        <v>2500.0000000003906</v>
      </c>
      <c r="Q25" s="31">
        <f>'FS Desroches Daily'!AB27</f>
        <v>389.99999999998636</v>
      </c>
      <c r="R25" s="31">
        <f>'FS Desroches Daily'!AD27</f>
        <v>410.00000000008185</v>
      </c>
      <c r="S25" s="31">
        <f>'FS Desroches Daily'!AF27</f>
        <v>490.00000000000909</v>
      </c>
      <c r="T25" s="31">
        <f>'FS Desroches Daily'!AH27</f>
        <v>34</v>
      </c>
      <c r="U25" s="35">
        <f>'FS Desroches Daily'!AJ27</f>
        <v>799.99999999991189</v>
      </c>
      <c r="V25" s="35">
        <f>'FS Desroches Daily'!AL27</f>
        <v>239.99999999995225</v>
      </c>
      <c r="W25" s="35">
        <f>'FS Desroches Daily'!AN27</f>
        <v>220.00000000002728</v>
      </c>
      <c r="X25" s="35">
        <f>'FS Desroches Daily'!AP27</f>
        <v>90.000000000031832</v>
      </c>
      <c r="Y25" s="35">
        <f>'FS Desroches Daily'!AR27</f>
        <v>170.00000000001592</v>
      </c>
      <c r="Z25" s="35">
        <f>'FS Desroches Daily'!AT27</f>
        <v>110.00000000001364</v>
      </c>
      <c r="AA25" s="35">
        <f>'FS Desroches Daily'!AT27</f>
        <v>110.00000000001364</v>
      </c>
      <c r="AB25" s="35">
        <f>'FS Desroches Daily'!AV27</f>
        <v>100.00000000002274</v>
      </c>
      <c r="AC25" s="35">
        <f>'FS Desroches Daily'!AZ27</f>
        <v>70.000000000050022</v>
      </c>
      <c r="AD25" s="35">
        <f>'FS Desroches Daily'!BB27</f>
        <v>79.999999999984084</v>
      </c>
      <c r="AE25" s="35">
        <f>'FS Desroches Daily'!BD27</f>
        <v>19.99999999998181</v>
      </c>
      <c r="AF25" s="31">
        <f>'FS Desroches Daily'!BF27</f>
        <v>41</v>
      </c>
      <c r="AG25" s="32">
        <f>'FS Desroches Daily'!BH27</f>
        <v>30.000000000029559</v>
      </c>
      <c r="AH25" s="32">
        <f>'FS Desroches Daily'!BJ27</f>
        <v>29.999999999972715</v>
      </c>
      <c r="AI25" s="32">
        <f>'FS Desroches Daily'!BL27</f>
        <v>60.000000000002274</v>
      </c>
      <c r="AJ25" s="32">
        <f>'FS Desroches Daily'!BN27</f>
        <v>39.999999999992042</v>
      </c>
      <c r="AK25" s="32">
        <f>'FS Desroches Daily'!BP27</f>
        <v>39.99999999996362</v>
      </c>
      <c r="AL25" s="32">
        <f>'FS Desroches Daily'!BR27</f>
        <v>44</v>
      </c>
      <c r="AM25" s="32">
        <f>'FS Desroches Daily'!BT27</f>
        <v>69.999999999993179</v>
      </c>
      <c r="AN25" s="32">
        <f>'FS Desroches Daily'!BV27</f>
        <v>40</v>
      </c>
      <c r="AO25" s="32">
        <f>'FS Desroches Daily'!BX27</f>
        <v>50.000000000011369</v>
      </c>
      <c r="AP25" s="32">
        <f>'FS Desroches Daily'!BZ27</f>
        <v>55</v>
      </c>
      <c r="AQ25" s="31">
        <f>'FS Desroches Daily'!CB27</f>
        <v>58.900000000001455</v>
      </c>
      <c r="AR25" s="31">
        <f>'FS Desroches Daily'!CD27</f>
        <v>5.0999999999985448</v>
      </c>
      <c r="AS25" s="31">
        <f>'FS Desroches Daily'!CF27</f>
        <v>5.5</v>
      </c>
      <c r="AT25" s="31">
        <f>'FS Desroches Daily'!CH27</f>
        <v>41.80000000000291</v>
      </c>
      <c r="AU25" s="31">
        <f>'FS Desroches Daily'!CJ27</f>
        <v>315</v>
      </c>
      <c r="AV25" s="31">
        <f>'FS Desroches Daily'!CL27</f>
        <v>1000</v>
      </c>
      <c r="AW25" s="31">
        <f>'FS Desroches Daily'!CM27</f>
        <v>111.20000000000073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23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e">
        <f>'FS Desroches Daily'!T28</f>
        <v>#VALUE!</v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44400</v>
      </c>
      <c r="F33" s="17">
        <f t="shared" ref="F33:BC33" si="0">SUM(F2:F32)</f>
        <v>73099.999999999302</v>
      </c>
      <c r="G33" s="17">
        <f t="shared" si="0"/>
        <v>85099.999999999767</v>
      </c>
      <c r="H33" s="17">
        <f t="shared" si="0"/>
        <v>38399.999999999789</v>
      </c>
      <c r="I33" s="17">
        <f t="shared" si="0"/>
        <v>49200.000000000371</v>
      </c>
      <c r="J33" s="17">
        <f t="shared" si="0"/>
        <v>30400.000000000215</v>
      </c>
      <c r="K33" s="17">
        <f t="shared" si="0"/>
        <v>580</v>
      </c>
      <c r="L33" s="17">
        <f t="shared" si="0"/>
        <v>98</v>
      </c>
      <c r="M33" s="17" t="e">
        <f t="shared" si="0"/>
        <v>#VALUE!</v>
      </c>
      <c r="N33" s="17">
        <f t="shared" si="0"/>
        <v>10348.5</v>
      </c>
      <c r="O33" s="17">
        <f t="shared" si="0"/>
        <v>7789.9999999999636</v>
      </c>
      <c r="P33" s="17">
        <f t="shared" si="0"/>
        <v>65100.000000000182</v>
      </c>
      <c r="Q33" s="17">
        <f t="shared" si="0"/>
        <v>7610.0000000000136</v>
      </c>
      <c r="R33" s="17">
        <f t="shared" si="0"/>
        <v>9280.0000000000855</v>
      </c>
      <c r="S33" s="17">
        <f t="shared" si="0"/>
        <v>11080.000000000042</v>
      </c>
      <c r="T33" s="17">
        <f t="shared" si="0"/>
        <v>915</v>
      </c>
      <c r="U33" s="35">
        <f t="shared" si="0"/>
        <v>13200.000000000106</v>
      </c>
      <c r="V33" s="35">
        <f t="shared" si="0"/>
        <v>4319.9999999999927</v>
      </c>
      <c r="W33" s="35">
        <f t="shared" si="0"/>
        <v>5100.0000000000236</v>
      </c>
      <c r="X33" s="35">
        <f t="shared" si="0"/>
        <v>2030.0000000000296</v>
      </c>
      <c r="Y33" s="35">
        <f t="shared" si="0"/>
        <v>2740.0000000000091</v>
      </c>
      <c r="Z33" s="35">
        <f t="shared" si="0"/>
        <v>2327.949999999998</v>
      </c>
      <c r="AA33" s="35">
        <f t="shared" si="0"/>
        <v>2327.949999999998</v>
      </c>
      <c r="AB33" s="35">
        <f t="shared" si="0"/>
        <v>1300.0000000000114</v>
      </c>
      <c r="AC33" s="35">
        <f t="shared" si="0"/>
        <v>2050.0000000000114</v>
      </c>
      <c r="AD33" s="35">
        <f t="shared" si="0"/>
        <v>1850.0000000000227</v>
      </c>
      <c r="AE33" s="35">
        <f t="shared" si="0"/>
        <v>2160.000000000025</v>
      </c>
      <c r="AF33" s="17">
        <f t="shared" si="0"/>
        <v>1049</v>
      </c>
      <c r="AG33" s="32">
        <f t="shared" si="0"/>
        <v>990.00000000000909</v>
      </c>
      <c r="AH33" s="32">
        <f t="shared" si="0"/>
        <v>899.99999999997726</v>
      </c>
      <c r="AI33" s="32">
        <f t="shared" si="0"/>
        <v>1180.0000000000068</v>
      </c>
      <c r="AJ33" s="32">
        <f t="shared" si="0"/>
        <v>1020.0000000000102</v>
      </c>
      <c r="AK33" s="32">
        <f t="shared" si="0"/>
        <v>879.99999999999545</v>
      </c>
      <c r="AL33" s="32">
        <f t="shared" si="0"/>
        <v>964</v>
      </c>
      <c r="AM33" s="32">
        <f t="shared" si="0"/>
        <v>1319.9999999999932</v>
      </c>
      <c r="AN33" s="32">
        <f t="shared" si="0"/>
        <v>818</v>
      </c>
      <c r="AO33" s="32">
        <f t="shared" si="0"/>
        <v>1200.0000000000171</v>
      </c>
      <c r="AP33" s="32">
        <f t="shared" si="0"/>
        <v>1229</v>
      </c>
      <c r="AQ33" s="17">
        <f t="shared" si="0"/>
        <v>1560.4000000000015</v>
      </c>
      <c r="AR33" s="17">
        <f t="shared" si="0"/>
        <v>317.79999999999927</v>
      </c>
      <c r="AS33" s="17">
        <f t="shared" si="0"/>
        <v>72.899999999999636</v>
      </c>
      <c r="AT33" s="17">
        <f t="shared" si="0"/>
        <v>969.80000000000291</v>
      </c>
      <c r="AU33" s="17">
        <f t="shared" si="0"/>
        <v>7592</v>
      </c>
      <c r="AV33" s="17">
        <f t="shared" si="0"/>
        <v>21199.999999999818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122.7105</v>
      </c>
      <c r="BC33" s="17">
        <f t="shared" si="0"/>
        <v>575</v>
      </c>
    </row>
    <row r="35" spans="5:55" x14ac:dyDescent="0.25">
      <c r="E35" s="38">
        <f>E33/E37</f>
        <v>0.16911837524472709</v>
      </c>
      <c r="G35" s="29" t="e">
        <f>G33-M36</f>
        <v>#VALUE!</v>
      </c>
      <c r="AE35" s="35">
        <f>SUM(U33:AE33)</f>
        <v>39405.900000000227</v>
      </c>
      <c r="AG35" s="32">
        <f>SUM(AG33:AP33)</f>
        <v>10501.000000000009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262537.99999999907</v>
      </c>
      <c r="G37" s="37" t="e">
        <f>M36/E37</f>
        <v>#VALUE!</v>
      </c>
      <c r="M37" s="35">
        <f>AE35</f>
        <v>39405.900000000227</v>
      </c>
    </row>
    <row r="38" spans="5:55" x14ac:dyDescent="0.25">
      <c r="L38" s="27">
        <f>M38/E37</f>
        <v>3.9998019334344159E-2</v>
      </c>
      <c r="M38" s="29">
        <f>AG35</f>
        <v>10501.000000000009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X1" zoomScale="82" zoomScaleNormal="82" workbookViewId="0">
      <pane ySplit="1" topLeftCell="A14" activePane="bottomLeft" state="frozen"/>
      <selection pane="bottomLeft" activeCell="BK33" sqref="BK3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>IF((S4-S3&lt;0), "",S4-S3)*1000</f>
        <v>900.00000000009095</v>
      </c>
      <c r="U4" s="58">
        <v>661641.19999999995</v>
      </c>
      <c r="V4" s="67">
        <f t="shared" ref="V4:V34" si="9">IF((U4-U3&lt;0), "",U4-U3)</f>
        <v>385.19999999995343</v>
      </c>
      <c r="W4" s="58">
        <v>595.87</v>
      </c>
      <c r="X4" s="65">
        <f t="shared" ref="X4:X34" si="10">IF((W4-W3&lt;0), "",(W4-W3)*1000)</f>
        <v>289.99999999996362</v>
      </c>
      <c r="Y4" s="58">
        <v>4.5324999999999998</v>
      </c>
      <c r="Z4" s="65">
        <f t="shared" ref="Z4:Z34" si="11">IF((Y4-Y3&lt;0), "",(Y4-Y3)*1000000)</f>
        <v>2799.9999999996917</v>
      </c>
      <c r="AA4" s="58">
        <v>602.88</v>
      </c>
      <c r="AB4" s="65">
        <f t="shared" ref="AB4:AB34" si="12">IF((AA4-AA3&lt;0), "",(AA4-AA3)*1000)</f>
        <v>330.00000000004093</v>
      </c>
      <c r="AC4" s="58">
        <v>608.03</v>
      </c>
      <c r="AD4" s="65">
        <f t="shared" ref="AD4:AD34" si="13">IF((AC4-AC3&lt;0), "",(AC4-AC3)*1000)</f>
        <v>490.00000000000909</v>
      </c>
      <c r="AE4" s="58">
        <v>972.01</v>
      </c>
      <c r="AF4" s="65">
        <f t="shared" ref="AF4:AF34" si="14">IF((AE4-AE3&lt;0), "",(AE4-AE3)*1000)</f>
        <v>700.00000000004547</v>
      </c>
      <c r="AG4" s="58">
        <v>26984</v>
      </c>
      <c r="AH4" s="67">
        <f t="shared" ref="AH4:AH34" si="15">IF((AG4-AG3&lt;0), "",AG4-AG3)</f>
        <v>31</v>
      </c>
      <c r="AI4" s="58">
        <v>1.0358000000000001</v>
      </c>
      <c r="AJ4" s="65">
        <f t="shared" ref="AJ4:AJ34" si="16">IF((AI4-AI3&lt;0), "",(AI4-AI3)*1000000)</f>
        <v>700.00000000014495</v>
      </c>
      <c r="AK4" s="58">
        <v>342.38</v>
      </c>
      <c r="AL4" s="65">
        <f t="shared" ref="AL4:AL34" si="17">IF((AK4-AK3&lt;0), "",(AK4-AK3)*1000)</f>
        <v>170.00000000001592</v>
      </c>
      <c r="AM4" s="58">
        <v>312.87</v>
      </c>
      <c r="AN4" s="65">
        <f t="shared" ref="AN4:AN34" si="18">IF((AM4-AM3&lt;0), "",(AM4-AM3)*1000)</f>
        <v>160.00000000002501</v>
      </c>
      <c r="AO4" s="58">
        <v>304.33999999999997</v>
      </c>
      <c r="AP4" s="65">
        <f t="shared" ref="AP4:AP34" si="19">IF((AO4-AO3&lt;0), "",(AO4-AO3)*1000)</f>
        <v>139.99999999998636</v>
      </c>
      <c r="AQ4" s="58">
        <v>356.98</v>
      </c>
      <c r="AR4" s="65">
        <f t="shared" ref="AR4:AR34" si="20">IF((AQ4-AQ3&lt;0), "",(AQ4-AQ3)*1000)</f>
        <v>170.00000000001592</v>
      </c>
      <c r="AS4" s="58">
        <v>483.27</v>
      </c>
      <c r="AT4" s="65">
        <f t="shared" ref="AT4:AT34" si="21">IF((AS4-AS3&lt;0), "",(AS4-AS3)*1000)</f>
        <v>120.00000000000455</v>
      </c>
      <c r="AU4" s="58">
        <v>387.24</v>
      </c>
      <c r="AV4" s="65">
        <f t="shared" ref="AV4:AV34" si="22">IF((AU4-AU3&lt;0), "",(AU4-AU3)*1000)</f>
        <v>129.99999999999545</v>
      </c>
      <c r="AW4" s="58">
        <v>414.37</v>
      </c>
      <c r="AX4" s="65">
        <f t="shared" ref="AX4:AX34" si="23">IF((AW4-AW3&lt;0), "",(AW4-AW3)*1000)</f>
        <v>110.00000000001364</v>
      </c>
      <c r="AY4" s="58">
        <v>449.42</v>
      </c>
      <c r="AZ4" s="65">
        <f t="shared" ref="AZ4:AZ34" si="24">IF((AY4-AY3&lt;0), "",(AY4-AY3)*1000)</f>
        <v>120.00000000000455</v>
      </c>
      <c r="BA4" s="58">
        <v>467.08</v>
      </c>
      <c r="BB4" s="65">
        <f t="shared" ref="BB4:BB34" si="25">IF((BA4-BA3&lt;0), "",(BA4-BA3)*1000)</f>
        <v>120.00000000000455</v>
      </c>
      <c r="BC4" s="58">
        <v>299.49</v>
      </c>
      <c r="BD4" s="65">
        <f t="shared" ref="BD4:BD34" si="26">IF((BC4-BC3&lt;0), "",(BC4-BC3)*1000)</f>
        <v>90.000000000031832</v>
      </c>
      <c r="BE4" s="59">
        <v>61465</v>
      </c>
      <c r="BF4" s="67">
        <f t="shared" ref="BF4:BF34" si="27">IF((BE4-BE3&lt;0), "",BE4-BE3)</f>
        <v>36</v>
      </c>
      <c r="BG4" s="60">
        <v>258.04000000000002</v>
      </c>
      <c r="BH4" s="65">
        <f t="shared" ref="BH4:BH34" si="28">IF((BG4-BG3&lt;0), "",(BG4-BG3)*1000)</f>
        <v>60.000000000002274</v>
      </c>
      <c r="BI4" s="60">
        <v>312.14999999999998</v>
      </c>
      <c r="BJ4" s="65">
        <f t="shared" ref="BJ4:BJ34" si="29">IF((BI4-BI3&lt;0), "",(BI4-BI3)*1000)</f>
        <v>39.99999999996362</v>
      </c>
      <c r="BK4" s="60">
        <v>264.63</v>
      </c>
      <c r="BL4" s="65">
        <f t="shared" ref="BL4:BL34" si="30">IF((BK4-BK3&lt;0), "",(BK4-BK3)*1000)</f>
        <v>50.000000000011369</v>
      </c>
      <c r="BM4" s="60">
        <v>247.99</v>
      </c>
      <c r="BN4" s="65">
        <f t="shared" ref="BN4:BN34" si="31">IF((BM4-BM3&lt;0), "",(BM4-BM3)*1000)</f>
        <v>40.000000000020464</v>
      </c>
      <c r="BO4" s="60">
        <v>316.37</v>
      </c>
      <c r="BP4" s="65">
        <f t="shared" ref="BP4:BP34" si="32">IF((BO4-BO3&lt;0), "",(BO4-BO3)*1000)</f>
        <v>40.000000000020464</v>
      </c>
      <c r="BQ4" s="60">
        <v>66377</v>
      </c>
      <c r="BR4" s="65">
        <f t="shared" ref="BR4:BR34" si="33">IF((BQ4-BQ3&lt;0), "",BQ4-BQ3)</f>
        <v>48</v>
      </c>
      <c r="BS4" s="60">
        <v>226.16</v>
      </c>
      <c r="BT4" s="65">
        <f t="shared" ref="BT4:BT34" si="34">IF((BS4-BS3&lt;0), "",(BS4-BS3)*1000)</f>
        <v>49.999999999982947</v>
      </c>
      <c r="BU4" s="60">
        <v>63763</v>
      </c>
      <c r="BV4" s="65">
        <f t="shared" ref="BV4:BV34" si="35">IF((BU4-BU3&lt;0), "",BU4-BU3)</f>
        <v>42</v>
      </c>
      <c r="BW4" s="60">
        <v>254.3</v>
      </c>
      <c r="BX4" s="65">
        <f t="shared" ref="BX4:BX34" si="36">IF((BW4-BW3&lt;0), "",(BW4-BW3)*1000)</f>
        <v>70.0000000000216</v>
      </c>
      <c r="BY4" s="60">
        <v>85591</v>
      </c>
      <c r="BZ4" s="67">
        <f t="shared" ref="BZ4:BZ34" si="37">IF((BY4-BY3&lt;0), "",BY4-BY3)</f>
        <v>51</v>
      </c>
      <c r="CA4" s="60">
        <v>63137.3</v>
      </c>
      <c r="CB4" s="67">
        <f t="shared" ref="CB4:CB34" si="38">IF((CA4-CA3&lt;0), "",CA4-CA3)</f>
        <v>95.30000000000291</v>
      </c>
      <c r="CC4" s="60">
        <v>18830</v>
      </c>
      <c r="CD4" s="67">
        <f t="shared" ref="CD4:CD34" si="39">IF((CC4-CC3&lt;0), "",CC4-CC3)</f>
        <v>23</v>
      </c>
      <c r="CE4" s="60">
        <v>9072.1</v>
      </c>
      <c r="CF4" s="67">
        <f t="shared" ref="CF4:CF34" si="40">IF((CE4-CE3&lt;0), "",CE4-CE3)</f>
        <v>2.7000000000007276</v>
      </c>
      <c r="CG4" s="60">
        <v>86827</v>
      </c>
      <c r="CH4" s="67">
        <f t="shared" ref="CH4:CH34" si="41">IF((CG4-CG3&lt;0), "",CG4-CG3)</f>
        <v>39</v>
      </c>
      <c r="CI4" s="60">
        <v>1124333</v>
      </c>
      <c r="CJ4" s="67">
        <f t="shared" ref="CJ4:CJ34" si="42">IF((CI4-CI3&lt;0), "",CI4-CI3)</f>
        <v>335</v>
      </c>
      <c r="CK4" s="60">
        <v>1229.2</v>
      </c>
      <c r="CL4" s="64">
        <f t="shared" ref="CL4:CL34" si="43">IF((CK4-CK3&lt;0), "",(CK4-CK3)*1000)</f>
        <v>799.99999999995453</v>
      </c>
      <c r="CM4" s="65">
        <f t="shared" ref="CM4:CM34" si="44">CQ4+CS4</f>
        <v>89</v>
      </c>
      <c r="CN4" s="62">
        <v>10</v>
      </c>
      <c r="CO4" s="62">
        <v>18</v>
      </c>
      <c r="CP4" s="68">
        <v>53702</v>
      </c>
      <c r="CQ4" s="67">
        <f t="shared" ref="CQ4:CQ34" si="45">IF((CP4-CP3&lt;0), "",CP4-CP3)</f>
        <v>66</v>
      </c>
      <c r="CR4" s="68">
        <v>27929.200000000001</v>
      </c>
      <c r="CS4" s="67">
        <f t="shared" ref="CS4:CS34" si="46">IF((CR4-CR3&lt;0), "",CR4-CR3)</f>
        <v>23</v>
      </c>
      <c r="CT4" s="75">
        <v>13206</v>
      </c>
      <c r="CU4" s="67">
        <f t="shared" ref="CU4:CU34" si="47">IF((CT4-CT3&lt;0), "",CT4-CT3)</f>
        <v>16</v>
      </c>
      <c r="CV4" s="68">
        <v>32012</v>
      </c>
      <c r="CW4" s="67">
        <f t="shared" ref="CW4:CW34" si="48">IF((CV4-CV3&lt;0), "",CV4-CV3)</f>
        <v>25</v>
      </c>
      <c r="CX4" s="58">
        <v>5934.3</v>
      </c>
      <c r="CY4" s="67">
        <f t="shared" ref="CY4:CY34" si="49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ref="T5:T34" si="50">IF((S5-S4&lt;0), "",S5-S4)*1000</f>
        <v>799.99999999995453</v>
      </c>
      <c r="U5" s="58">
        <v>661962.5</v>
      </c>
      <c r="V5" s="67">
        <f t="shared" si="9"/>
        <v>321.30000000004657</v>
      </c>
      <c r="W5" s="58">
        <v>596.23</v>
      </c>
      <c r="X5" s="65">
        <f t="shared" si="10"/>
        <v>360.00000000001364</v>
      </c>
      <c r="Y5" s="58">
        <v>4.5351999999999997</v>
      </c>
      <c r="Z5" s="65">
        <f t="shared" si="11"/>
        <v>2699.9999999999245</v>
      </c>
      <c r="AA5" s="58">
        <v>603.08000000000004</v>
      </c>
      <c r="AB5" s="65">
        <f t="shared" si="12"/>
        <v>200.00000000004547</v>
      </c>
      <c r="AC5" s="58">
        <v>608.47</v>
      </c>
      <c r="AD5" s="65">
        <f t="shared" si="13"/>
        <v>440.00000000005457</v>
      </c>
      <c r="AE5" s="58">
        <v>972.33</v>
      </c>
      <c r="AF5" s="65">
        <f t="shared" si="14"/>
        <v>320.00000000005002</v>
      </c>
      <c r="AG5" s="58">
        <v>27017</v>
      </c>
      <c r="AH5" s="67">
        <f t="shared" si="15"/>
        <v>33</v>
      </c>
      <c r="AI5" s="58">
        <v>1.0364</v>
      </c>
      <c r="AJ5" s="65">
        <f t="shared" si="16"/>
        <v>599.99999999993395</v>
      </c>
      <c r="AK5" s="58">
        <v>342.46</v>
      </c>
      <c r="AL5" s="65">
        <f t="shared" si="17"/>
        <v>79.999999999984084</v>
      </c>
      <c r="AM5" s="58">
        <v>312.95999999999998</v>
      </c>
      <c r="AN5" s="65">
        <f t="shared" si="18"/>
        <v>89.999999999974989</v>
      </c>
      <c r="AO5" s="58">
        <v>304.39999999999998</v>
      </c>
      <c r="AP5" s="65">
        <f t="shared" si="19"/>
        <v>60.000000000002274</v>
      </c>
      <c r="AQ5" s="58">
        <v>357.04</v>
      </c>
      <c r="AR5" s="65">
        <f t="shared" si="20"/>
        <v>60.000000000002274</v>
      </c>
      <c r="AS5" s="58">
        <v>483.33</v>
      </c>
      <c r="AT5" s="65">
        <f t="shared" si="21"/>
        <v>60.000000000002274</v>
      </c>
      <c r="AU5" s="58">
        <v>387.28</v>
      </c>
      <c r="AV5" s="65">
        <f t="shared" si="22"/>
        <v>39.99999999996362</v>
      </c>
      <c r="AW5" s="58">
        <v>414.42</v>
      </c>
      <c r="AX5" s="65">
        <f t="shared" si="23"/>
        <v>50.000000000011369</v>
      </c>
      <c r="AY5" s="58">
        <v>449.47</v>
      </c>
      <c r="AZ5" s="65">
        <f t="shared" si="24"/>
        <v>50.000000000011369</v>
      </c>
      <c r="BA5" s="58">
        <v>467.14</v>
      </c>
      <c r="BB5" s="65">
        <f t="shared" si="25"/>
        <v>60.000000000002274</v>
      </c>
      <c r="BC5" s="58">
        <v>299.52999999999997</v>
      </c>
      <c r="BD5" s="65">
        <f t="shared" si="26"/>
        <v>39.99999999996362</v>
      </c>
      <c r="BE5" s="59">
        <v>61499</v>
      </c>
      <c r="BF5" s="67">
        <f t="shared" si="27"/>
        <v>34</v>
      </c>
      <c r="BG5" s="60">
        <v>258.08999999999997</v>
      </c>
      <c r="BH5" s="65">
        <f t="shared" si="28"/>
        <v>49.999999999954525</v>
      </c>
      <c r="BI5" s="60">
        <v>312.19</v>
      </c>
      <c r="BJ5" s="65">
        <f t="shared" si="29"/>
        <v>40.000000000020464</v>
      </c>
      <c r="BK5" s="60">
        <v>264.68</v>
      </c>
      <c r="BL5" s="65">
        <f t="shared" si="30"/>
        <v>50.000000000011369</v>
      </c>
      <c r="BM5" s="60">
        <v>248.03</v>
      </c>
      <c r="BN5" s="65">
        <f t="shared" si="31"/>
        <v>39.999999999992042</v>
      </c>
      <c r="BO5" s="60">
        <v>316.39999999999998</v>
      </c>
      <c r="BP5" s="65">
        <f t="shared" si="32"/>
        <v>29.999999999972715</v>
      </c>
      <c r="BQ5" s="60">
        <v>66418</v>
      </c>
      <c r="BR5" s="65">
        <f t="shared" si="33"/>
        <v>41</v>
      </c>
      <c r="BS5" s="60">
        <v>226.21</v>
      </c>
      <c r="BT5" s="65">
        <f t="shared" si="34"/>
        <v>50.000000000011369</v>
      </c>
      <c r="BU5" s="60">
        <v>63796</v>
      </c>
      <c r="BV5" s="65">
        <f t="shared" si="35"/>
        <v>33</v>
      </c>
      <c r="BW5" s="60">
        <v>254.36</v>
      </c>
      <c r="BX5" s="65">
        <f t="shared" si="36"/>
        <v>60.000000000002274</v>
      </c>
      <c r="BY5" s="60">
        <v>85642</v>
      </c>
      <c r="BZ5" s="67">
        <f t="shared" si="37"/>
        <v>51</v>
      </c>
      <c r="CA5" s="60">
        <v>63209</v>
      </c>
      <c r="CB5" s="67">
        <f t="shared" si="38"/>
        <v>71.69999999999709</v>
      </c>
      <c r="CC5" s="60">
        <v>18838.2</v>
      </c>
      <c r="CD5" s="67">
        <f t="shared" si="39"/>
        <v>8.2000000000007276</v>
      </c>
      <c r="CE5" s="60">
        <v>9075.6</v>
      </c>
      <c r="CF5" s="67">
        <f t="shared" si="40"/>
        <v>3.5</v>
      </c>
      <c r="CG5" s="60">
        <v>86860</v>
      </c>
      <c r="CH5" s="67">
        <f t="shared" si="41"/>
        <v>33</v>
      </c>
      <c r="CI5" s="60">
        <v>1124599</v>
      </c>
      <c r="CJ5" s="67">
        <f t="shared" si="42"/>
        <v>266</v>
      </c>
      <c r="CK5" s="60">
        <v>1230.0999999999999</v>
      </c>
      <c r="CL5" s="64">
        <f t="shared" si="43"/>
        <v>899.99999999986358</v>
      </c>
      <c r="CM5" s="65">
        <f t="shared" si="44"/>
        <v>84.299999999999272</v>
      </c>
      <c r="CN5" s="62">
        <v>14</v>
      </c>
      <c r="CO5" s="62">
        <v>26</v>
      </c>
      <c r="CP5" s="68">
        <v>53775</v>
      </c>
      <c r="CQ5" s="67">
        <f t="shared" si="45"/>
        <v>73</v>
      </c>
      <c r="CR5" s="68">
        <v>27940.5</v>
      </c>
      <c r="CS5" s="67">
        <f t="shared" si="46"/>
        <v>11.299999999999272</v>
      </c>
      <c r="CT5" s="75">
        <v>13221</v>
      </c>
      <c r="CU5" s="67">
        <f t="shared" si="47"/>
        <v>15</v>
      </c>
      <c r="CV5" s="68">
        <v>32033</v>
      </c>
      <c r="CW5" s="67">
        <f t="shared" si="48"/>
        <v>21</v>
      </c>
      <c r="CX5" s="58">
        <v>5943.4</v>
      </c>
      <c r="CY5" s="67">
        <f t="shared" si="49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50"/>
        <v>1000</v>
      </c>
      <c r="U6" s="58">
        <v>662405.5</v>
      </c>
      <c r="V6" s="67">
        <f t="shared" si="9"/>
        <v>443</v>
      </c>
      <c r="W6" s="58">
        <v>596.54</v>
      </c>
      <c r="X6" s="65">
        <f t="shared" si="10"/>
        <v>309.99999999994543</v>
      </c>
      <c r="Y6" s="58">
        <v>4.5378999999999996</v>
      </c>
      <c r="Z6" s="65">
        <f t="shared" si="11"/>
        <v>2699.9999999999245</v>
      </c>
      <c r="AA6" s="58">
        <v>603.49</v>
      </c>
      <c r="AB6" s="65">
        <f t="shared" si="12"/>
        <v>409.99999999996817</v>
      </c>
      <c r="AC6" s="58">
        <v>608.89</v>
      </c>
      <c r="AD6" s="65">
        <f t="shared" si="13"/>
        <v>419.99999999995907</v>
      </c>
      <c r="AE6" s="58">
        <v>972.71</v>
      </c>
      <c r="AF6" s="65">
        <f t="shared" si="14"/>
        <v>379.99999999999545</v>
      </c>
      <c r="AG6" s="58">
        <v>27055</v>
      </c>
      <c r="AH6" s="67">
        <f t="shared" si="15"/>
        <v>38</v>
      </c>
      <c r="AI6" s="58">
        <v>1.0370999999999999</v>
      </c>
      <c r="AJ6" s="65">
        <f t="shared" si="16"/>
        <v>699.99999999992292</v>
      </c>
      <c r="AK6" s="58">
        <v>342.56</v>
      </c>
      <c r="AL6" s="65">
        <f t="shared" si="17"/>
        <v>100.00000000002274</v>
      </c>
      <c r="AM6" s="58">
        <v>313.31</v>
      </c>
      <c r="AN6" s="65">
        <f t="shared" si="18"/>
        <v>350.00000000002274</v>
      </c>
      <c r="AO6" s="58">
        <v>304.44</v>
      </c>
      <c r="AP6" s="65">
        <f t="shared" si="19"/>
        <v>40.000000000020464</v>
      </c>
      <c r="AQ6" s="58">
        <v>357.08</v>
      </c>
      <c r="AR6" s="65">
        <f t="shared" si="20"/>
        <v>39.99999999996362</v>
      </c>
      <c r="AS6" s="58">
        <v>483.38</v>
      </c>
      <c r="AT6" s="65">
        <f t="shared" si="21"/>
        <v>50.000000000011369</v>
      </c>
      <c r="AU6" s="58">
        <v>387.31</v>
      </c>
      <c r="AV6" s="65">
        <f t="shared" si="22"/>
        <v>30.000000000029559</v>
      </c>
      <c r="AW6" s="58">
        <v>414.46</v>
      </c>
      <c r="AX6" s="65">
        <f t="shared" si="23"/>
        <v>39.99999999996362</v>
      </c>
      <c r="AY6" s="58">
        <v>449.51</v>
      </c>
      <c r="AZ6" s="65">
        <f t="shared" si="24"/>
        <v>39.99999999996362</v>
      </c>
      <c r="BA6" s="58">
        <v>467.21</v>
      </c>
      <c r="BB6" s="65">
        <f t="shared" si="25"/>
        <v>69.999999999993179</v>
      </c>
      <c r="BC6" s="58">
        <v>299.58</v>
      </c>
      <c r="BD6" s="65">
        <f t="shared" si="26"/>
        <v>50.000000000011369</v>
      </c>
      <c r="BE6" s="59">
        <v>61587</v>
      </c>
      <c r="BF6" s="67">
        <f t="shared" si="27"/>
        <v>88</v>
      </c>
      <c r="BG6" s="60">
        <v>258.14999999999998</v>
      </c>
      <c r="BH6" s="65">
        <f t="shared" si="28"/>
        <v>60.000000000002274</v>
      </c>
      <c r="BI6" s="60">
        <v>312.23</v>
      </c>
      <c r="BJ6" s="65">
        <f t="shared" si="29"/>
        <v>40.000000000020464</v>
      </c>
      <c r="BK6" s="60">
        <v>264.75</v>
      </c>
      <c r="BL6" s="65">
        <f t="shared" si="30"/>
        <v>69.999999999993179</v>
      </c>
      <c r="BM6" s="60">
        <v>248.07</v>
      </c>
      <c r="BN6" s="65">
        <f t="shared" si="31"/>
        <v>39.999999999992042</v>
      </c>
      <c r="BO6" s="60">
        <v>316.43</v>
      </c>
      <c r="BP6" s="65">
        <f t="shared" si="32"/>
        <v>30.000000000029559</v>
      </c>
      <c r="BQ6" s="60">
        <v>66468</v>
      </c>
      <c r="BR6" s="65">
        <f t="shared" si="33"/>
        <v>50</v>
      </c>
      <c r="BS6" s="60">
        <v>226.27</v>
      </c>
      <c r="BT6" s="65">
        <f t="shared" si="34"/>
        <v>60.000000000002274</v>
      </c>
      <c r="BU6" s="60">
        <v>63834</v>
      </c>
      <c r="BV6" s="65">
        <f t="shared" si="35"/>
        <v>38</v>
      </c>
      <c r="BW6" s="60">
        <v>254.41</v>
      </c>
      <c r="BX6" s="65">
        <f t="shared" si="36"/>
        <v>49.999999999982947</v>
      </c>
      <c r="BY6" s="60">
        <v>85694</v>
      </c>
      <c r="BZ6" s="67">
        <f t="shared" si="37"/>
        <v>52</v>
      </c>
      <c r="CA6" s="60">
        <v>63264</v>
      </c>
      <c r="CB6" s="67">
        <f t="shared" si="38"/>
        <v>55</v>
      </c>
      <c r="CC6" s="60">
        <v>18853.8</v>
      </c>
      <c r="CD6" s="67">
        <f t="shared" si="39"/>
        <v>15.599999999998545</v>
      </c>
      <c r="CE6" s="60">
        <v>9077</v>
      </c>
      <c r="CF6" s="67">
        <f t="shared" si="40"/>
        <v>1.3999999999996362</v>
      </c>
      <c r="CG6" s="60">
        <v>86900.9</v>
      </c>
      <c r="CH6" s="67">
        <f t="shared" si="41"/>
        <v>40.899999999994179</v>
      </c>
      <c r="CI6" s="60">
        <v>1124934</v>
      </c>
      <c r="CJ6" s="67">
        <f t="shared" si="42"/>
        <v>335</v>
      </c>
      <c r="CK6" s="60">
        <v>1230.9000000000001</v>
      </c>
      <c r="CL6" s="64">
        <f t="shared" si="43"/>
        <v>800.0000000001819</v>
      </c>
      <c r="CM6" s="65">
        <f t="shared" si="44"/>
        <v>100.5</v>
      </c>
      <c r="CN6" s="62">
        <v>17</v>
      </c>
      <c r="CO6" s="62">
        <v>32</v>
      </c>
      <c r="CP6" s="68">
        <v>53848</v>
      </c>
      <c r="CQ6" s="67">
        <f t="shared" si="45"/>
        <v>73</v>
      </c>
      <c r="CR6" s="68">
        <v>27968</v>
      </c>
      <c r="CS6" s="67">
        <f t="shared" si="46"/>
        <v>27.5</v>
      </c>
      <c r="CT6" s="75">
        <v>13235</v>
      </c>
      <c r="CU6" s="67">
        <f t="shared" si="47"/>
        <v>14</v>
      </c>
      <c r="CV6" s="68">
        <v>32075</v>
      </c>
      <c r="CW6" s="67">
        <f t="shared" si="48"/>
        <v>42</v>
      </c>
      <c r="CX6" s="58">
        <v>5954.3</v>
      </c>
      <c r="CY6" s="67">
        <f t="shared" si="49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50"/>
        <v>1000</v>
      </c>
      <c r="U7" s="58">
        <v>662797.30000000005</v>
      </c>
      <c r="V7" s="67">
        <f t="shared" si="9"/>
        <v>391.80000000004657</v>
      </c>
      <c r="W7" s="58">
        <v>596.84</v>
      </c>
      <c r="X7" s="65">
        <f t="shared" si="10"/>
        <v>300.00000000006821</v>
      </c>
      <c r="Y7" s="58">
        <v>4.5404999999999998</v>
      </c>
      <c r="Z7" s="65">
        <f t="shared" si="11"/>
        <v>2600.0000000001578</v>
      </c>
      <c r="AA7" s="58">
        <v>603.77</v>
      </c>
      <c r="AB7" s="65">
        <f t="shared" si="12"/>
        <v>279.99999999997272</v>
      </c>
      <c r="AC7" s="58">
        <v>609.23</v>
      </c>
      <c r="AD7" s="65">
        <f t="shared" si="13"/>
        <v>340.00000000003183</v>
      </c>
      <c r="AE7" s="58">
        <v>973.16</v>
      </c>
      <c r="AF7" s="65">
        <f t="shared" si="14"/>
        <v>449.99999999993179</v>
      </c>
      <c r="AG7" s="58">
        <v>27089</v>
      </c>
      <c r="AH7" s="67">
        <f t="shared" si="15"/>
        <v>34</v>
      </c>
      <c r="AI7" s="58">
        <v>1.0376000000000001</v>
      </c>
      <c r="AJ7" s="65">
        <f t="shared" si="16"/>
        <v>500.00000000016701</v>
      </c>
      <c r="AK7" s="58">
        <v>342.71</v>
      </c>
      <c r="AL7" s="65">
        <f t="shared" si="17"/>
        <v>149.99999999997726</v>
      </c>
      <c r="AM7" s="58">
        <v>313.52999999999997</v>
      </c>
      <c r="AN7" s="65">
        <f t="shared" si="18"/>
        <v>219.99999999997044</v>
      </c>
      <c r="AO7" s="58">
        <v>304.52999999999997</v>
      </c>
      <c r="AP7" s="65">
        <f t="shared" si="19"/>
        <v>89.999999999974989</v>
      </c>
      <c r="AQ7" s="58">
        <v>357.13</v>
      </c>
      <c r="AR7" s="65">
        <f t="shared" si="20"/>
        <v>50.000000000011369</v>
      </c>
      <c r="AS7" s="58">
        <v>483.44</v>
      </c>
      <c r="AT7" s="65">
        <f t="shared" si="21"/>
        <v>60.000000000002274</v>
      </c>
      <c r="AU7" s="58">
        <v>387.35</v>
      </c>
      <c r="AV7" s="65">
        <f t="shared" si="22"/>
        <v>40.000000000020464</v>
      </c>
      <c r="AW7" s="58">
        <v>414.52</v>
      </c>
      <c r="AX7" s="65">
        <f t="shared" si="23"/>
        <v>60.000000000002274</v>
      </c>
      <c r="AY7" s="58">
        <v>449.59</v>
      </c>
      <c r="AZ7" s="65">
        <f t="shared" si="24"/>
        <v>79.999999999984084</v>
      </c>
      <c r="BA7" s="58">
        <v>467.3</v>
      </c>
      <c r="BB7" s="65">
        <f t="shared" si="25"/>
        <v>90.000000000031832</v>
      </c>
      <c r="BC7" s="58">
        <v>299.63</v>
      </c>
      <c r="BD7" s="65">
        <f t="shared" si="26"/>
        <v>50.000000000011369</v>
      </c>
      <c r="BE7" s="59">
        <v>61619</v>
      </c>
      <c r="BF7" s="67">
        <f t="shared" si="27"/>
        <v>32</v>
      </c>
      <c r="BG7" s="60">
        <v>258.2</v>
      </c>
      <c r="BH7" s="65">
        <f t="shared" si="28"/>
        <v>50.000000000011369</v>
      </c>
      <c r="BI7" s="60">
        <v>312.27</v>
      </c>
      <c r="BJ7" s="65">
        <f t="shared" si="29"/>
        <v>39.99999999996362</v>
      </c>
      <c r="BK7" s="60">
        <v>264.8</v>
      </c>
      <c r="BL7" s="65">
        <f t="shared" si="30"/>
        <v>50.000000000011369</v>
      </c>
      <c r="BM7" s="60">
        <v>248.12</v>
      </c>
      <c r="BN7" s="65">
        <f t="shared" si="31"/>
        <v>50.000000000011369</v>
      </c>
      <c r="BO7" s="60">
        <v>316.47000000000003</v>
      </c>
      <c r="BP7" s="65">
        <f t="shared" si="32"/>
        <v>40.000000000020464</v>
      </c>
      <c r="BQ7" s="60">
        <v>66513</v>
      </c>
      <c r="BR7" s="65">
        <f t="shared" si="33"/>
        <v>45</v>
      </c>
      <c r="BS7" s="60">
        <v>226.31</v>
      </c>
      <c r="BT7" s="65">
        <f t="shared" si="34"/>
        <v>39.999999999992042</v>
      </c>
      <c r="BU7" s="60">
        <v>63867</v>
      </c>
      <c r="BV7" s="65">
        <f t="shared" si="35"/>
        <v>33</v>
      </c>
      <c r="BW7" s="60">
        <v>254.45</v>
      </c>
      <c r="BX7" s="65">
        <f t="shared" si="36"/>
        <v>39.999999999992042</v>
      </c>
      <c r="BY7" s="60">
        <v>85743</v>
      </c>
      <c r="BZ7" s="67">
        <f t="shared" si="37"/>
        <v>49</v>
      </c>
      <c r="CA7" s="60">
        <v>63333.7</v>
      </c>
      <c r="CB7" s="67">
        <f t="shared" si="38"/>
        <v>69.69999999999709</v>
      </c>
      <c r="CC7" s="60">
        <v>18869.7</v>
      </c>
      <c r="CD7" s="67">
        <f t="shared" si="39"/>
        <v>15.900000000001455</v>
      </c>
      <c r="CE7" s="60">
        <v>9077.9</v>
      </c>
      <c r="CF7" s="67">
        <f t="shared" si="40"/>
        <v>0.8999999999996362</v>
      </c>
      <c r="CG7" s="60">
        <v>86935.7</v>
      </c>
      <c r="CH7" s="67">
        <f t="shared" si="41"/>
        <v>34.80000000000291</v>
      </c>
      <c r="CI7" s="60">
        <v>1125267</v>
      </c>
      <c r="CJ7" s="67">
        <f t="shared" si="42"/>
        <v>333</v>
      </c>
      <c r="CK7" s="60">
        <v>1231.8</v>
      </c>
      <c r="CL7" s="64">
        <f t="shared" si="43"/>
        <v>899.99999999986358</v>
      </c>
      <c r="CM7" s="65">
        <f t="shared" si="44"/>
        <v>93</v>
      </c>
      <c r="CN7" s="62">
        <v>17</v>
      </c>
      <c r="CO7" s="62">
        <v>32</v>
      </c>
      <c r="CP7" s="68">
        <v>53915</v>
      </c>
      <c r="CQ7" s="67">
        <f t="shared" si="45"/>
        <v>67</v>
      </c>
      <c r="CR7" s="68">
        <v>27994</v>
      </c>
      <c r="CS7" s="67">
        <f t="shared" si="46"/>
        <v>26</v>
      </c>
      <c r="CT7" s="75">
        <v>13249</v>
      </c>
      <c r="CU7" s="67">
        <f t="shared" si="47"/>
        <v>14</v>
      </c>
      <c r="CV7" s="68">
        <v>32126</v>
      </c>
      <c r="CW7" s="67">
        <f t="shared" si="48"/>
        <v>51</v>
      </c>
      <c r="CX7" s="58">
        <v>5962.6</v>
      </c>
      <c r="CY7" s="67">
        <f t="shared" si="49"/>
        <v>8.3000000000001819</v>
      </c>
    </row>
    <row r="8" spans="1:103" ht="25.5" customHeight="1" thickBot="1" x14ac:dyDescent="0.45">
      <c r="A8" s="63">
        <v>44962</v>
      </c>
      <c r="B8" s="44"/>
      <c r="C8" s="58">
        <v>3.8839000000000001</v>
      </c>
      <c r="D8" s="64">
        <f t="shared" si="1"/>
        <v>1100.000000000101</v>
      </c>
      <c r="E8" s="58">
        <v>5.149</v>
      </c>
      <c r="F8" s="64">
        <f t="shared" si="2"/>
        <v>2699.9999999999245</v>
      </c>
      <c r="G8" s="58">
        <v>5.1775000000000002</v>
      </c>
      <c r="H8" s="64">
        <f t="shared" si="3"/>
        <v>3200.0000000005357</v>
      </c>
      <c r="I8" s="58">
        <v>2.5558000000000001</v>
      </c>
      <c r="J8" s="64">
        <f t="shared" si="4"/>
        <v>1400.0000000002899</v>
      </c>
      <c r="K8" s="58">
        <v>3.9207999999999998</v>
      </c>
      <c r="L8" s="64">
        <f t="shared" si="5"/>
        <v>1799.9999999998017</v>
      </c>
      <c r="M8" s="58">
        <v>2.3719999999999999</v>
      </c>
      <c r="N8" s="64">
        <f t="shared" si="6"/>
        <v>899.99999999967883</v>
      </c>
      <c r="O8" s="58">
        <v>28809</v>
      </c>
      <c r="P8" s="67">
        <f t="shared" si="7"/>
        <v>16</v>
      </c>
      <c r="Q8" s="58">
        <v>3600</v>
      </c>
      <c r="R8" s="67">
        <f t="shared" si="8"/>
        <v>2</v>
      </c>
      <c r="S8" s="58">
        <v>1680.5</v>
      </c>
      <c r="T8" s="67">
        <f t="shared" si="50"/>
        <v>1000</v>
      </c>
      <c r="U8" s="58">
        <v>663140.30000000005</v>
      </c>
      <c r="V8" s="67">
        <f t="shared" si="9"/>
        <v>343</v>
      </c>
      <c r="W8" s="58">
        <v>597.09</v>
      </c>
      <c r="X8" s="65">
        <f t="shared" si="10"/>
        <v>250</v>
      </c>
      <c r="Y8" s="58">
        <v>4.5429000000000004</v>
      </c>
      <c r="Z8" s="65">
        <f t="shared" si="11"/>
        <v>2400.0000000006239</v>
      </c>
      <c r="AA8" s="58">
        <v>604.04999999999995</v>
      </c>
      <c r="AB8" s="65">
        <f t="shared" si="12"/>
        <v>279.99999999997272</v>
      </c>
      <c r="AC8" s="58">
        <v>609.47</v>
      </c>
      <c r="AD8" s="65">
        <f t="shared" si="13"/>
        <v>240.00000000000909</v>
      </c>
      <c r="AE8" s="58">
        <v>973.45</v>
      </c>
      <c r="AF8" s="65">
        <f t="shared" si="14"/>
        <v>290.00000000007731</v>
      </c>
      <c r="AG8" s="58">
        <v>27120</v>
      </c>
      <c r="AH8" s="67">
        <f t="shared" si="15"/>
        <v>31</v>
      </c>
      <c r="AI8" s="58">
        <v>1.0379</v>
      </c>
      <c r="AJ8" s="65">
        <f t="shared" si="16"/>
        <v>299.99999999996697</v>
      </c>
      <c r="AK8" s="58">
        <v>342.77</v>
      </c>
      <c r="AL8" s="65">
        <f t="shared" si="17"/>
        <v>60.000000000002274</v>
      </c>
      <c r="AM8" s="58">
        <v>313.7</v>
      </c>
      <c r="AN8" s="65">
        <f t="shared" si="18"/>
        <v>170.00000000001592</v>
      </c>
      <c r="AO8" s="58">
        <v>304.56</v>
      </c>
      <c r="AP8" s="65">
        <f t="shared" si="19"/>
        <v>30.000000000029559</v>
      </c>
      <c r="AQ8" s="58">
        <v>357.18</v>
      </c>
      <c r="AR8" s="65">
        <f t="shared" si="20"/>
        <v>50.000000000011369</v>
      </c>
      <c r="AS8" s="58">
        <v>483.48</v>
      </c>
      <c r="AT8" s="65">
        <f t="shared" si="21"/>
        <v>40.000000000020464</v>
      </c>
      <c r="AU8" s="58">
        <v>387.37</v>
      </c>
      <c r="AV8" s="65">
        <f t="shared" si="22"/>
        <v>19.99999999998181</v>
      </c>
      <c r="AW8" s="58">
        <v>414.58</v>
      </c>
      <c r="AX8" s="65">
        <f t="shared" si="23"/>
        <v>60.000000000002274</v>
      </c>
      <c r="AY8" s="58">
        <v>449.62</v>
      </c>
      <c r="AZ8" s="65">
        <f t="shared" si="24"/>
        <v>30.000000000029559</v>
      </c>
      <c r="BA8" s="58">
        <v>467.36</v>
      </c>
      <c r="BB8" s="65">
        <f t="shared" si="25"/>
        <v>60.000000000002274</v>
      </c>
      <c r="BC8" s="58">
        <v>299.67</v>
      </c>
      <c r="BD8" s="65">
        <f t="shared" si="26"/>
        <v>40.000000000020464</v>
      </c>
      <c r="BE8" s="59">
        <v>61678</v>
      </c>
      <c r="BF8" s="67">
        <f t="shared" si="27"/>
        <v>59</v>
      </c>
      <c r="BG8" s="60">
        <v>258.23</v>
      </c>
      <c r="BH8" s="65">
        <f t="shared" si="28"/>
        <v>30.000000000029559</v>
      </c>
      <c r="BI8" s="60">
        <v>312.3</v>
      </c>
      <c r="BJ8" s="65">
        <f t="shared" si="29"/>
        <v>30.000000000029559</v>
      </c>
      <c r="BK8" s="60">
        <v>264.83</v>
      </c>
      <c r="BL8" s="65">
        <f t="shared" si="30"/>
        <v>29.999999999972715</v>
      </c>
      <c r="BM8" s="60">
        <v>248.15</v>
      </c>
      <c r="BN8" s="65">
        <f t="shared" si="31"/>
        <v>30.000000000001137</v>
      </c>
      <c r="BO8" s="60">
        <v>316.5</v>
      </c>
      <c r="BP8" s="65">
        <f t="shared" si="32"/>
        <v>29.999999999972715</v>
      </c>
      <c r="BQ8" s="60">
        <v>66541</v>
      </c>
      <c r="BR8" s="65">
        <f t="shared" si="33"/>
        <v>28</v>
      </c>
      <c r="BS8" s="60">
        <v>226.36</v>
      </c>
      <c r="BT8" s="65">
        <f t="shared" si="34"/>
        <v>50.000000000011369</v>
      </c>
      <c r="BU8" s="60">
        <v>63889</v>
      </c>
      <c r="BV8" s="65">
        <f t="shared" si="35"/>
        <v>22</v>
      </c>
      <c r="BW8" s="60">
        <v>254.49</v>
      </c>
      <c r="BX8" s="65">
        <f t="shared" si="36"/>
        <v>40.000000000020464</v>
      </c>
      <c r="BY8" s="60">
        <v>85777</v>
      </c>
      <c r="BZ8" s="67">
        <f t="shared" si="37"/>
        <v>34</v>
      </c>
      <c r="CA8" s="60">
        <v>63399.6</v>
      </c>
      <c r="CB8" s="67">
        <f t="shared" si="38"/>
        <v>65.900000000001455</v>
      </c>
      <c r="CC8" s="60">
        <v>18885.599999999999</v>
      </c>
      <c r="CD8" s="67">
        <f t="shared" si="39"/>
        <v>15.899999999997817</v>
      </c>
      <c r="CE8" s="60">
        <v>9080.6</v>
      </c>
      <c r="CF8" s="67">
        <f t="shared" si="40"/>
        <v>2.7000000000007276</v>
      </c>
      <c r="CG8" s="60">
        <v>86981.7</v>
      </c>
      <c r="CH8" s="67">
        <f t="shared" si="41"/>
        <v>46</v>
      </c>
      <c r="CI8" s="60">
        <v>1125592</v>
      </c>
      <c r="CJ8" s="67">
        <f t="shared" si="42"/>
        <v>325</v>
      </c>
      <c r="CK8" s="60">
        <v>1232.5999999999999</v>
      </c>
      <c r="CL8" s="64">
        <f t="shared" si="43"/>
        <v>799.99999999995453</v>
      </c>
      <c r="CM8" s="65">
        <f t="shared" si="44"/>
        <v>92</v>
      </c>
      <c r="CN8" s="62">
        <v>17</v>
      </c>
      <c r="CO8" s="62">
        <v>32</v>
      </c>
      <c r="CP8" s="68">
        <v>53984</v>
      </c>
      <c r="CQ8" s="67">
        <f t="shared" si="45"/>
        <v>69</v>
      </c>
      <c r="CR8" s="68">
        <v>28017</v>
      </c>
      <c r="CS8" s="67">
        <f t="shared" si="46"/>
        <v>23</v>
      </c>
      <c r="CT8" s="75">
        <v>13264</v>
      </c>
      <c r="CU8" s="67">
        <f t="shared" si="47"/>
        <v>15</v>
      </c>
      <c r="CV8" s="68">
        <v>32155</v>
      </c>
      <c r="CW8" s="67">
        <f t="shared" si="48"/>
        <v>29</v>
      </c>
      <c r="CX8" s="58">
        <v>5967.4</v>
      </c>
      <c r="CY8" s="67">
        <f t="shared" si="49"/>
        <v>4.7999999999992724</v>
      </c>
    </row>
    <row r="9" spans="1:103" ht="25.5" customHeight="1" thickBot="1" x14ac:dyDescent="0.45">
      <c r="A9" s="63">
        <v>44963</v>
      </c>
      <c r="B9" s="44"/>
      <c r="C9" s="58">
        <v>3.8849999999999998</v>
      </c>
      <c r="D9" s="64">
        <f t="shared" si="1"/>
        <v>1099.9999999996569</v>
      </c>
      <c r="E9" s="58">
        <v>5.1517999999999997</v>
      </c>
      <c r="F9" s="64">
        <f t="shared" si="2"/>
        <v>2799.9999999996917</v>
      </c>
      <c r="G9" s="58">
        <v>5.181</v>
      </c>
      <c r="H9" s="64">
        <f t="shared" si="3"/>
        <v>3499.9999999998367</v>
      </c>
      <c r="I9" s="58">
        <v>2.5573999999999999</v>
      </c>
      <c r="J9" s="64">
        <f t="shared" si="4"/>
        <v>1599.9999999998238</v>
      </c>
      <c r="K9" s="58">
        <v>3.9228000000000001</v>
      </c>
      <c r="L9" s="64">
        <f t="shared" si="5"/>
        <v>2000.0000000002237</v>
      </c>
      <c r="M9" s="58">
        <v>2.3732000000000002</v>
      </c>
      <c r="N9" s="64">
        <f t="shared" si="6"/>
        <v>1200.000000000312</v>
      </c>
      <c r="O9" s="58">
        <v>28828</v>
      </c>
      <c r="P9" s="67">
        <f t="shared" si="7"/>
        <v>19</v>
      </c>
      <c r="Q9" s="58">
        <v>3603</v>
      </c>
      <c r="R9" s="67">
        <f t="shared" si="8"/>
        <v>3</v>
      </c>
      <c r="S9" s="58">
        <v>1681.8</v>
      </c>
      <c r="T9" s="67">
        <f t="shared" si="50"/>
        <v>1299.9999999999545</v>
      </c>
      <c r="U9" s="58">
        <v>663681.6</v>
      </c>
      <c r="V9" s="67">
        <f t="shared" si="9"/>
        <v>541.29999999993015</v>
      </c>
      <c r="W9" s="58">
        <v>597.41999999999996</v>
      </c>
      <c r="X9" s="65">
        <f t="shared" si="10"/>
        <v>329.99999999992724</v>
      </c>
      <c r="Y9" s="58">
        <v>4.5456000000000003</v>
      </c>
      <c r="Z9" s="65">
        <f t="shared" si="11"/>
        <v>2699.9999999999245</v>
      </c>
      <c r="AA9" s="58">
        <v>604.41999999999996</v>
      </c>
      <c r="AB9" s="65">
        <f t="shared" si="12"/>
        <v>370.00000000000455</v>
      </c>
      <c r="AC9" s="58">
        <v>609.83000000000004</v>
      </c>
      <c r="AD9" s="65">
        <f t="shared" si="13"/>
        <v>360.00000000001364</v>
      </c>
      <c r="AE9" s="58">
        <v>973.75</v>
      </c>
      <c r="AF9" s="65">
        <f t="shared" si="14"/>
        <v>299.99999999995453</v>
      </c>
      <c r="AG9" s="58">
        <v>27157</v>
      </c>
      <c r="AH9" s="67">
        <f t="shared" si="15"/>
        <v>37</v>
      </c>
      <c r="AI9" s="58">
        <v>1.0382</v>
      </c>
      <c r="AJ9" s="65">
        <f t="shared" si="16"/>
        <v>299.99999999996697</v>
      </c>
      <c r="AK9" s="58">
        <v>342.87</v>
      </c>
      <c r="AL9" s="65">
        <f t="shared" si="17"/>
        <v>100.00000000002274</v>
      </c>
      <c r="AM9" s="58">
        <v>313.93</v>
      </c>
      <c r="AN9" s="65">
        <f t="shared" si="18"/>
        <v>230.00000000001819</v>
      </c>
      <c r="AO9" s="58">
        <v>304.60000000000002</v>
      </c>
      <c r="AP9" s="65">
        <f t="shared" si="19"/>
        <v>40.000000000020464</v>
      </c>
      <c r="AQ9" s="58">
        <v>357.22</v>
      </c>
      <c r="AR9" s="65">
        <f t="shared" si="20"/>
        <v>40.000000000020464</v>
      </c>
      <c r="AS9" s="58">
        <v>483.52</v>
      </c>
      <c r="AT9" s="65">
        <f t="shared" si="21"/>
        <v>39.99999999996362</v>
      </c>
      <c r="AU9" s="58">
        <v>387.4</v>
      </c>
      <c r="AV9" s="65">
        <f t="shared" si="22"/>
        <v>29.999999999972715</v>
      </c>
      <c r="AW9" s="58">
        <v>414.64</v>
      </c>
      <c r="AX9" s="65">
        <f t="shared" si="23"/>
        <v>60.000000000002274</v>
      </c>
      <c r="AY9" s="58">
        <v>449.66</v>
      </c>
      <c r="AZ9" s="65">
        <f t="shared" si="24"/>
        <v>40.000000000020464</v>
      </c>
      <c r="BA9" s="58">
        <v>467.41</v>
      </c>
      <c r="BB9" s="65">
        <f t="shared" si="25"/>
        <v>50.000000000011369</v>
      </c>
      <c r="BC9" s="58">
        <v>299.69</v>
      </c>
      <c r="BD9" s="65">
        <f t="shared" si="26"/>
        <v>19.99999999998181</v>
      </c>
      <c r="BE9" s="59">
        <v>61728</v>
      </c>
      <c r="BF9" s="67">
        <f t="shared" si="27"/>
        <v>50</v>
      </c>
      <c r="BG9" s="60">
        <v>258.27999999999997</v>
      </c>
      <c r="BH9" s="65">
        <f t="shared" si="28"/>
        <v>49.999999999954525</v>
      </c>
      <c r="BI9" s="60">
        <v>312.33999999999997</v>
      </c>
      <c r="BJ9" s="65">
        <f t="shared" si="29"/>
        <v>39.99999999996362</v>
      </c>
      <c r="BK9" s="60">
        <v>264.87</v>
      </c>
      <c r="BL9" s="65">
        <f t="shared" si="30"/>
        <v>40.000000000020464</v>
      </c>
      <c r="BM9" s="60">
        <v>248.19</v>
      </c>
      <c r="BN9" s="65">
        <f t="shared" si="31"/>
        <v>39.999999999992042</v>
      </c>
      <c r="BO9" s="60">
        <v>316.54000000000002</v>
      </c>
      <c r="BP9" s="65">
        <f t="shared" si="32"/>
        <v>40.000000000020464</v>
      </c>
      <c r="BQ9" s="60">
        <v>66585</v>
      </c>
      <c r="BR9" s="65">
        <f t="shared" si="33"/>
        <v>44</v>
      </c>
      <c r="BS9" s="60">
        <v>226.41</v>
      </c>
      <c r="BT9" s="65">
        <f t="shared" si="34"/>
        <v>49.999999999982947</v>
      </c>
      <c r="BU9" s="60">
        <v>63924</v>
      </c>
      <c r="BV9" s="65">
        <f t="shared" si="35"/>
        <v>35</v>
      </c>
      <c r="BW9" s="60">
        <v>254.55</v>
      </c>
      <c r="BX9" s="65">
        <f t="shared" si="36"/>
        <v>60.000000000002274</v>
      </c>
      <c r="BY9" s="60">
        <v>85828</v>
      </c>
      <c r="BZ9" s="67">
        <f t="shared" si="37"/>
        <v>51</v>
      </c>
      <c r="CA9" s="60">
        <v>63464.3</v>
      </c>
      <c r="CB9" s="67">
        <f t="shared" si="38"/>
        <v>64.700000000004366</v>
      </c>
      <c r="CC9" s="60">
        <v>18895.3</v>
      </c>
      <c r="CD9" s="67">
        <f t="shared" si="39"/>
        <v>9.7000000000007276</v>
      </c>
      <c r="CE9" s="60">
        <v>9080.9</v>
      </c>
      <c r="CF9" s="67">
        <f t="shared" si="40"/>
        <v>0.2999999999992724</v>
      </c>
      <c r="CG9" s="60">
        <v>87018.5</v>
      </c>
      <c r="CH9" s="67">
        <f t="shared" si="41"/>
        <v>36.80000000000291</v>
      </c>
      <c r="CI9" s="60">
        <v>1125933</v>
      </c>
      <c r="CJ9" s="67">
        <f t="shared" si="42"/>
        <v>341</v>
      </c>
      <c r="CK9" s="60">
        <v>1233.4000000000001</v>
      </c>
      <c r="CL9" s="64">
        <f t="shared" si="43"/>
        <v>800.0000000001819</v>
      </c>
      <c r="CM9" s="65">
        <f t="shared" si="44"/>
        <v>99</v>
      </c>
      <c r="CN9" s="62">
        <v>18</v>
      </c>
      <c r="CO9" s="62">
        <v>35</v>
      </c>
      <c r="CP9" s="68">
        <v>54059</v>
      </c>
      <c r="CQ9" s="67">
        <f t="shared" si="45"/>
        <v>75</v>
      </c>
      <c r="CR9" s="68">
        <v>28041</v>
      </c>
      <c r="CS9" s="67">
        <f t="shared" si="46"/>
        <v>24</v>
      </c>
      <c r="CT9" s="75">
        <v>13282</v>
      </c>
      <c r="CU9" s="67">
        <f t="shared" si="47"/>
        <v>18</v>
      </c>
      <c r="CV9" s="68">
        <v>32175</v>
      </c>
      <c r="CW9" s="67">
        <f t="shared" si="48"/>
        <v>20</v>
      </c>
      <c r="CX9" s="58">
        <v>5978</v>
      </c>
      <c r="CY9" s="67">
        <f t="shared" si="49"/>
        <v>10.600000000000364</v>
      </c>
    </row>
    <row r="10" spans="1:103" ht="25.5" customHeight="1" thickBot="1" x14ac:dyDescent="0.45">
      <c r="A10" s="63">
        <v>44964</v>
      </c>
      <c r="B10" s="44"/>
      <c r="C10" s="58">
        <v>3.8868999999999998</v>
      </c>
      <c r="D10" s="64">
        <f t="shared" si="1"/>
        <v>1900.0000000000127</v>
      </c>
      <c r="E10" s="58">
        <v>5.1547000000000001</v>
      </c>
      <c r="F10" s="64">
        <f t="shared" si="2"/>
        <v>2900.0000000003465</v>
      </c>
      <c r="G10" s="58">
        <v>5.1844000000000001</v>
      </c>
      <c r="H10" s="64">
        <f t="shared" si="3"/>
        <v>3400.0000000000696</v>
      </c>
      <c r="I10" s="58">
        <v>2.5590999999999999</v>
      </c>
      <c r="J10" s="64">
        <f t="shared" si="4"/>
        <v>1700.0000000000348</v>
      </c>
      <c r="K10" s="58">
        <v>3.9249999999999998</v>
      </c>
      <c r="L10" s="64">
        <f t="shared" si="5"/>
        <v>2199.9999999997576</v>
      </c>
      <c r="M10" s="58">
        <v>2.3746999999999998</v>
      </c>
      <c r="N10" s="64">
        <f t="shared" si="6"/>
        <v>1499.9999999996128</v>
      </c>
      <c r="O10" s="58">
        <v>28868</v>
      </c>
      <c r="P10" s="67">
        <f t="shared" si="7"/>
        <v>40</v>
      </c>
      <c r="Q10" s="58">
        <v>3607</v>
      </c>
      <c r="R10" s="67">
        <f t="shared" si="8"/>
        <v>4</v>
      </c>
      <c r="S10" s="58">
        <v>1682.8</v>
      </c>
      <c r="T10" s="67">
        <f t="shared" si="50"/>
        <v>1000</v>
      </c>
      <c r="U10" s="58">
        <v>664090.1</v>
      </c>
      <c r="V10" s="67">
        <f t="shared" si="9"/>
        <v>408.5</v>
      </c>
      <c r="W10" s="58">
        <v>597.72</v>
      </c>
      <c r="X10" s="65">
        <f t="shared" si="10"/>
        <v>300.00000000006821</v>
      </c>
      <c r="Y10" s="58">
        <v>4.5483000000000002</v>
      </c>
      <c r="Z10" s="65">
        <f t="shared" si="11"/>
        <v>2699.9999999999245</v>
      </c>
      <c r="AA10" s="58">
        <v>604.72</v>
      </c>
      <c r="AB10" s="65">
        <f t="shared" si="12"/>
        <v>300.00000000006821</v>
      </c>
      <c r="AC10" s="58">
        <v>610.26</v>
      </c>
      <c r="AD10" s="65">
        <f t="shared" si="13"/>
        <v>429.99999999994998</v>
      </c>
      <c r="AE10" s="58">
        <v>974.46</v>
      </c>
      <c r="AF10" s="65">
        <f t="shared" si="14"/>
        <v>710.00000000003638</v>
      </c>
      <c r="AG10" s="58">
        <v>27191</v>
      </c>
      <c r="AH10" s="67">
        <f t="shared" si="15"/>
        <v>34</v>
      </c>
      <c r="AI10" s="58">
        <v>1.0387</v>
      </c>
      <c r="AJ10" s="65">
        <f t="shared" si="16"/>
        <v>499.99999999994492</v>
      </c>
      <c r="AK10" s="58">
        <v>343</v>
      </c>
      <c r="AL10" s="65">
        <f t="shared" si="17"/>
        <v>129.99999999999545</v>
      </c>
      <c r="AM10" s="58">
        <v>314.18</v>
      </c>
      <c r="AN10" s="65">
        <f t="shared" si="18"/>
        <v>250</v>
      </c>
      <c r="AO10" s="58">
        <v>304.70999999999998</v>
      </c>
      <c r="AP10" s="65">
        <f t="shared" si="19"/>
        <v>109.9999999999568</v>
      </c>
      <c r="AQ10" s="58">
        <v>357.31</v>
      </c>
      <c r="AR10" s="65">
        <f t="shared" si="20"/>
        <v>89.999999999974989</v>
      </c>
      <c r="AS10" s="58">
        <v>483.64</v>
      </c>
      <c r="AT10" s="65">
        <f t="shared" si="21"/>
        <v>120.00000000000455</v>
      </c>
      <c r="AU10" s="58">
        <v>387.46</v>
      </c>
      <c r="AV10" s="65">
        <f t="shared" si="22"/>
        <v>60.000000000002274</v>
      </c>
      <c r="AW10" s="58">
        <v>414.77</v>
      </c>
      <c r="AX10" s="65">
        <f t="shared" si="23"/>
        <v>129.99999999999545</v>
      </c>
      <c r="AY10" s="58">
        <v>449.79</v>
      </c>
      <c r="AZ10" s="65">
        <f t="shared" si="24"/>
        <v>129.99999999999545</v>
      </c>
      <c r="BA10" s="58">
        <v>467.53</v>
      </c>
      <c r="BB10" s="65">
        <f t="shared" si="25"/>
        <v>119.9999999999477</v>
      </c>
      <c r="BC10" s="58">
        <v>299.75</v>
      </c>
      <c r="BD10" s="65">
        <f t="shared" si="26"/>
        <v>60.000000000002274</v>
      </c>
      <c r="BE10" s="59">
        <v>61773</v>
      </c>
      <c r="BF10" s="67">
        <f t="shared" si="27"/>
        <v>45</v>
      </c>
      <c r="BG10" s="60">
        <v>258.33</v>
      </c>
      <c r="BH10" s="65">
        <f t="shared" si="28"/>
        <v>50.000000000011369</v>
      </c>
      <c r="BI10" s="60">
        <v>312.38</v>
      </c>
      <c r="BJ10" s="65">
        <f t="shared" si="29"/>
        <v>40.000000000020464</v>
      </c>
      <c r="BK10" s="60">
        <v>264.92</v>
      </c>
      <c r="BL10" s="65">
        <f t="shared" si="30"/>
        <v>50.000000000011369</v>
      </c>
      <c r="BM10" s="60">
        <v>248.25</v>
      </c>
      <c r="BN10" s="65">
        <f t="shared" si="31"/>
        <v>60.000000000002274</v>
      </c>
      <c r="BO10" s="60">
        <v>316.58</v>
      </c>
      <c r="BP10" s="65">
        <f t="shared" si="32"/>
        <v>39.99999999996362</v>
      </c>
      <c r="BQ10" s="60">
        <v>66631</v>
      </c>
      <c r="BR10" s="65">
        <f t="shared" si="33"/>
        <v>46</v>
      </c>
      <c r="BS10" s="60">
        <v>226.46</v>
      </c>
      <c r="BT10" s="65">
        <f t="shared" si="34"/>
        <v>50.000000000011369</v>
      </c>
      <c r="BU10" s="60">
        <v>63961</v>
      </c>
      <c r="BV10" s="65">
        <f t="shared" si="35"/>
        <v>37</v>
      </c>
      <c r="BW10" s="60">
        <v>254.6</v>
      </c>
      <c r="BX10" s="65">
        <f t="shared" si="36"/>
        <v>49.999999999982947</v>
      </c>
      <c r="BY10" s="60">
        <v>85881</v>
      </c>
      <c r="BZ10" s="67">
        <f t="shared" si="37"/>
        <v>53</v>
      </c>
      <c r="CA10" s="60">
        <v>63516.2</v>
      </c>
      <c r="CB10" s="67">
        <f t="shared" si="38"/>
        <v>51.899999999994179</v>
      </c>
      <c r="CC10" s="60">
        <v>18913.2</v>
      </c>
      <c r="CD10" s="67">
        <f t="shared" si="39"/>
        <v>17.900000000001455</v>
      </c>
      <c r="CE10" s="60">
        <v>9089.7000000000007</v>
      </c>
      <c r="CF10" s="67">
        <f t="shared" si="40"/>
        <v>8.8000000000010914</v>
      </c>
      <c r="CG10" s="60">
        <v>87059.5</v>
      </c>
      <c r="CH10" s="67">
        <f t="shared" si="41"/>
        <v>41</v>
      </c>
      <c r="CI10" s="60">
        <v>1126279</v>
      </c>
      <c r="CJ10" s="67">
        <f t="shared" si="42"/>
        <v>346</v>
      </c>
      <c r="CK10" s="60">
        <v>1234.0999999999999</v>
      </c>
      <c r="CL10" s="64">
        <f t="shared" si="43"/>
        <v>699.9999999998181</v>
      </c>
      <c r="CM10" s="65">
        <f t="shared" si="44"/>
        <v>85</v>
      </c>
      <c r="CN10" s="62">
        <v>18</v>
      </c>
      <c r="CO10" s="62">
        <v>35</v>
      </c>
      <c r="CP10" s="68">
        <v>54126</v>
      </c>
      <c r="CQ10" s="67">
        <f t="shared" si="45"/>
        <v>67</v>
      </c>
      <c r="CR10" s="68">
        <v>28059</v>
      </c>
      <c r="CS10" s="67">
        <f t="shared" si="46"/>
        <v>18</v>
      </c>
      <c r="CT10" s="75">
        <v>13301</v>
      </c>
      <c r="CU10" s="67">
        <f t="shared" si="47"/>
        <v>19</v>
      </c>
      <c r="CV10" s="68">
        <v>32199</v>
      </c>
      <c r="CW10" s="67">
        <f t="shared" si="48"/>
        <v>24</v>
      </c>
      <c r="CX10" s="58">
        <v>5989.5</v>
      </c>
      <c r="CY10" s="67">
        <f t="shared" si="49"/>
        <v>11.5</v>
      </c>
    </row>
    <row r="11" spans="1:103" ht="25.5" customHeight="1" thickBot="1" x14ac:dyDescent="0.45">
      <c r="A11" s="63">
        <v>44965</v>
      </c>
      <c r="B11" s="44"/>
      <c r="C11" s="58">
        <v>3.8885999999999998</v>
      </c>
      <c r="D11" s="64">
        <f t="shared" si="1"/>
        <v>1700.0000000000348</v>
      </c>
      <c r="E11" s="58">
        <v>5.1574999999999998</v>
      </c>
      <c r="F11" s="64">
        <f t="shared" si="2"/>
        <v>2799.9999999996917</v>
      </c>
      <c r="G11" s="58">
        <v>5.1882000000000001</v>
      </c>
      <c r="H11" s="64">
        <f t="shared" si="3"/>
        <v>3800.0000000000255</v>
      </c>
      <c r="I11" s="58">
        <v>2.5609000000000002</v>
      </c>
      <c r="J11" s="64">
        <f t="shared" si="4"/>
        <v>1800.0000000002458</v>
      </c>
      <c r="K11" s="58">
        <v>3.9270999999999998</v>
      </c>
      <c r="L11" s="64">
        <f t="shared" si="5"/>
        <v>2099.9999999999909</v>
      </c>
      <c r="M11" s="58">
        <v>2.3759999999999999</v>
      </c>
      <c r="N11" s="64">
        <f t="shared" si="6"/>
        <v>1300.0000000000789</v>
      </c>
      <c r="O11" s="58">
        <v>28891</v>
      </c>
      <c r="P11" s="67">
        <f t="shared" si="7"/>
        <v>23</v>
      </c>
      <c r="Q11" s="58">
        <v>3610</v>
      </c>
      <c r="R11" s="67">
        <f t="shared" si="8"/>
        <v>3</v>
      </c>
      <c r="S11" s="58">
        <v>1683.8</v>
      </c>
      <c r="T11" s="67">
        <f t="shared" si="50"/>
        <v>1000</v>
      </c>
      <c r="U11" s="58">
        <v>664546.6</v>
      </c>
      <c r="V11" s="67">
        <f t="shared" si="9"/>
        <v>456.5</v>
      </c>
      <c r="W11" s="58">
        <v>598</v>
      </c>
      <c r="X11" s="65">
        <f t="shared" si="10"/>
        <v>279.99999999997272</v>
      </c>
      <c r="Y11" s="58">
        <v>4.5507999999999997</v>
      </c>
      <c r="Z11" s="65">
        <f t="shared" si="11"/>
        <v>2499.9999999995025</v>
      </c>
      <c r="AA11" s="58">
        <v>605.14</v>
      </c>
      <c r="AB11" s="65">
        <f t="shared" si="12"/>
        <v>419.99999999995907</v>
      </c>
      <c r="AC11" s="58">
        <v>610.73</v>
      </c>
      <c r="AD11" s="65">
        <f t="shared" si="13"/>
        <v>470.00000000002728</v>
      </c>
      <c r="AE11" s="58">
        <v>974.83</v>
      </c>
      <c r="AF11" s="65">
        <f t="shared" si="14"/>
        <v>370.00000000000455</v>
      </c>
      <c r="AG11" s="58">
        <v>27230</v>
      </c>
      <c r="AH11" s="67">
        <f t="shared" si="15"/>
        <v>39</v>
      </c>
      <c r="AI11" s="58">
        <v>1.0392999999999999</v>
      </c>
      <c r="AJ11" s="65">
        <f t="shared" si="16"/>
        <v>599.99999999993395</v>
      </c>
      <c r="AK11" s="58">
        <v>343.08</v>
      </c>
      <c r="AL11" s="65">
        <f t="shared" si="17"/>
        <v>79.999999999984084</v>
      </c>
      <c r="AM11" s="58">
        <v>314.49</v>
      </c>
      <c r="AN11" s="65">
        <f t="shared" si="18"/>
        <v>310.00000000000227</v>
      </c>
      <c r="AO11" s="58">
        <v>304.75</v>
      </c>
      <c r="AP11" s="65">
        <f t="shared" si="19"/>
        <v>40.000000000020464</v>
      </c>
      <c r="AQ11" s="58">
        <v>357.35</v>
      </c>
      <c r="AR11" s="65">
        <f t="shared" si="20"/>
        <v>40.000000000020464</v>
      </c>
      <c r="AS11" s="58">
        <v>483.71</v>
      </c>
      <c r="AT11" s="65">
        <f t="shared" si="21"/>
        <v>69.999999999993179</v>
      </c>
      <c r="AU11" s="58">
        <v>387.5</v>
      </c>
      <c r="AV11" s="65">
        <f t="shared" si="22"/>
        <v>40.000000000020464</v>
      </c>
      <c r="AW11" s="58">
        <v>414.87</v>
      </c>
      <c r="AX11" s="65">
        <f t="shared" si="23"/>
        <v>100.00000000002274</v>
      </c>
      <c r="AY11" s="58">
        <v>449.84</v>
      </c>
      <c r="AZ11" s="65">
        <f t="shared" si="24"/>
        <v>49.999999999954525</v>
      </c>
      <c r="BA11" s="58">
        <v>467.56</v>
      </c>
      <c r="BB11" s="65">
        <f t="shared" si="25"/>
        <v>30.000000000029559</v>
      </c>
      <c r="BC11" s="58">
        <v>299.86</v>
      </c>
      <c r="BD11" s="65">
        <f t="shared" si="26"/>
        <v>110.00000000001364</v>
      </c>
      <c r="BE11" s="59">
        <v>61821</v>
      </c>
      <c r="BF11" s="67">
        <f t="shared" si="27"/>
        <v>48</v>
      </c>
      <c r="BG11" s="60">
        <v>258.39</v>
      </c>
      <c r="BH11" s="65">
        <f t="shared" si="28"/>
        <v>60.000000000002274</v>
      </c>
      <c r="BI11" s="60">
        <v>312.43</v>
      </c>
      <c r="BJ11" s="65">
        <f t="shared" si="29"/>
        <v>50.000000000011369</v>
      </c>
      <c r="BK11" s="60">
        <v>264.98</v>
      </c>
      <c r="BL11" s="65">
        <f t="shared" si="30"/>
        <v>60.000000000002274</v>
      </c>
      <c r="BM11" s="60">
        <v>248.31</v>
      </c>
      <c r="BN11" s="65">
        <f t="shared" si="31"/>
        <v>60.000000000002274</v>
      </c>
      <c r="BO11" s="60">
        <v>316.63</v>
      </c>
      <c r="BP11" s="65">
        <f t="shared" si="32"/>
        <v>50.000000000011369</v>
      </c>
      <c r="BQ11" s="60">
        <v>66681</v>
      </c>
      <c r="BR11" s="65">
        <f t="shared" si="33"/>
        <v>50</v>
      </c>
      <c r="BS11" s="60">
        <v>226.53</v>
      </c>
      <c r="BT11" s="65">
        <f t="shared" si="34"/>
        <v>69.999999999993179</v>
      </c>
      <c r="BU11" s="60">
        <v>64005</v>
      </c>
      <c r="BV11" s="65">
        <f t="shared" si="35"/>
        <v>44</v>
      </c>
      <c r="BW11" s="60">
        <v>254.67</v>
      </c>
      <c r="BX11" s="65">
        <f t="shared" si="36"/>
        <v>69.999999999993179</v>
      </c>
      <c r="BY11" s="60">
        <v>85942</v>
      </c>
      <c r="BZ11" s="67">
        <f t="shared" si="37"/>
        <v>61</v>
      </c>
      <c r="CA11" s="60">
        <v>63579</v>
      </c>
      <c r="CB11" s="67">
        <f t="shared" si="38"/>
        <v>62.80000000000291</v>
      </c>
      <c r="CC11" s="60">
        <v>18920.900000000001</v>
      </c>
      <c r="CD11" s="67">
        <f t="shared" si="39"/>
        <v>7.7000000000007276</v>
      </c>
      <c r="CE11" s="60">
        <v>9091</v>
      </c>
      <c r="CF11" s="67">
        <f t="shared" si="40"/>
        <v>1.2999999999992724</v>
      </c>
      <c r="CG11" s="60">
        <v>87094.2</v>
      </c>
      <c r="CH11" s="67">
        <f t="shared" si="41"/>
        <v>34.69999999999709</v>
      </c>
      <c r="CI11" s="60">
        <v>1126609</v>
      </c>
      <c r="CJ11" s="67">
        <f t="shared" si="42"/>
        <v>330</v>
      </c>
      <c r="CK11" s="60">
        <v>1235.0999999999999</v>
      </c>
      <c r="CL11" s="64">
        <f t="shared" si="43"/>
        <v>1000</v>
      </c>
      <c r="CM11" s="65">
        <f t="shared" si="44"/>
        <v>89</v>
      </c>
      <c r="CN11" s="62">
        <v>18</v>
      </c>
      <c r="CO11" s="62">
        <v>35</v>
      </c>
      <c r="CP11" s="68">
        <v>54203</v>
      </c>
      <c r="CQ11" s="67">
        <f t="shared" si="45"/>
        <v>77</v>
      </c>
      <c r="CR11" s="68">
        <v>28071</v>
      </c>
      <c r="CS11" s="67">
        <f t="shared" si="46"/>
        <v>12</v>
      </c>
      <c r="CT11" s="75">
        <v>13318</v>
      </c>
      <c r="CU11" s="67">
        <f t="shared" si="47"/>
        <v>17</v>
      </c>
      <c r="CV11" s="68">
        <v>32221</v>
      </c>
      <c r="CW11" s="67">
        <f t="shared" si="48"/>
        <v>22</v>
      </c>
      <c r="CX11" s="58">
        <v>6000.9</v>
      </c>
      <c r="CY11" s="67">
        <f t="shared" si="49"/>
        <v>11.399999999999636</v>
      </c>
    </row>
    <row r="12" spans="1:103" ht="25.5" customHeight="1" thickBot="1" x14ac:dyDescent="0.45">
      <c r="A12" s="63">
        <v>44966</v>
      </c>
      <c r="B12" s="44"/>
      <c r="C12" s="58">
        <v>3.8902000000000001</v>
      </c>
      <c r="D12" s="64">
        <f t="shared" si="1"/>
        <v>1600.0000000002678</v>
      </c>
      <c r="E12" s="58">
        <v>5.1604999999999999</v>
      </c>
      <c r="F12" s="64">
        <f t="shared" si="2"/>
        <v>3000.0000000001137</v>
      </c>
      <c r="G12" s="58">
        <v>5.1917999999999997</v>
      </c>
      <c r="H12" s="64">
        <f t="shared" si="3"/>
        <v>3599.9999999996035</v>
      </c>
      <c r="I12" s="58">
        <v>2.5625</v>
      </c>
      <c r="J12" s="64">
        <f t="shared" si="4"/>
        <v>1599.9999999998238</v>
      </c>
      <c r="K12" s="58">
        <v>3.9293</v>
      </c>
      <c r="L12" s="64">
        <f t="shared" si="5"/>
        <v>2200.0000000002019</v>
      </c>
      <c r="M12" s="58">
        <v>2.3772000000000002</v>
      </c>
      <c r="N12" s="64">
        <f t="shared" si="6"/>
        <v>1200.000000000312</v>
      </c>
      <c r="O12" s="58">
        <v>28932</v>
      </c>
      <c r="P12" s="67">
        <f t="shared" si="7"/>
        <v>41</v>
      </c>
      <c r="Q12" s="58">
        <v>3615</v>
      </c>
      <c r="R12" s="67">
        <f t="shared" si="8"/>
        <v>5</v>
      </c>
      <c r="S12" s="58">
        <v>1684.9</v>
      </c>
      <c r="T12" s="67">
        <f t="shared" si="50"/>
        <v>1100.0000000001364</v>
      </c>
      <c r="U12" s="58">
        <v>664978</v>
      </c>
      <c r="V12" s="67">
        <f t="shared" si="9"/>
        <v>431.40000000002328</v>
      </c>
      <c r="W12" s="58">
        <v>598.34</v>
      </c>
      <c r="X12" s="65">
        <f t="shared" si="10"/>
        <v>340.00000000003183</v>
      </c>
      <c r="Y12" s="58">
        <v>4.5536000000000003</v>
      </c>
      <c r="Z12" s="65">
        <f t="shared" si="11"/>
        <v>2800.0000000005798</v>
      </c>
      <c r="AA12" s="58">
        <v>605.44000000000005</v>
      </c>
      <c r="AB12" s="65">
        <f t="shared" si="12"/>
        <v>300.00000000006821</v>
      </c>
      <c r="AC12" s="58">
        <v>611.16</v>
      </c>
      <c r="AD12" s="65">
        <f t="shared" si="13"/>
        <v>429.99999999994998</v>
      </c>
      <c r="AE12" s="58">
        <v>975.15</v>
      </c>
      <c r="AF12" s="65">
        <f t="shared" si="14"/>
        <v>319.99999999993634</v>
      </c>
      <c r="AG12" s="58">
        <v>27268</v>
      </c>
      <c r="AH12" s="67">
        <f t="shared" si="15"/>
        <v>38</v>
      </c>
      <c r="AI12" s="58">
        <v>1.0397000000000001</v>
      </c>
      <c r="AJ12" s="65">
        <f t="shared" si="16"/>
        <v>400.00000000017798</v>
      </c>
      <c r="AK12" s="58">
        <v>343.16</v>
      </c>
      <c r="AL12" s="65">
        <f t="shared" si="17"/>
        <v>80.000000000040927</v>
      </c>
      <c r="AM12" s="58">
        <v>314.75</v>
      </c>
      <c r="AN12" s="65">
        <f t="shared" si="18"/>
        <v>259.99999999999091</v>
      </c>
      <c r="AO12" s="58">
        <v>304.82</v>
      </c>
      <c r="AP12" s="65">
        <f t="shared" si="19"/>
        <v>69.999999999993179</v>
      </c>
      <c r="AQ12" s="58">
        <v>357.4</v>
      </c>
      <c r="AR12" s="65">
        <f t="shared" si="20"/>
        <v>49.999999999954525</v>
      </c>
      <c r="AS12" s="58">
        <v>483.76</v>
      </c>
      <c r="AT12" s="65">
        <f t="shared" si="21"/>
        <v>50.000000000011369</v>
      </c>
      <c r="AU12" s="58">
        <v>387.53</v>
      </c>
      <c r="AV12" s="65">
        <f t="shared" si="22"/>
        <v>29.999999999972715</v>
      </c>
      <c r="AW12" s="58">
        <v>414.93</v>
      </c>
      <c r="AX12" s="65">
        <f t="shared" si="23"/>
        <v>60.000000000002274</v>
      </c>
      <c r="AY12" s="58">
        <v>449.89</v>
      </c>
      <c r="AZ12" s="65">
        <f t="shared" si="24"/>
        <v>50.000000000011369</v>
      </c>
      <c r="BA12" s="58">
        <v>467.61</v>
      </c>
      <c r="BB12" s="65">
        <f t="shared" si="25"/>
        <v>50.000000000011369</v>
      </c>
      <c r="BC12" s="58">
        <v>300.05</v>
      </c>
      <c r="BD12" s="65">
        <f t="shared" si="26"/>
        <v>189.99999999999773</v>
      </c>
      <c r="BE12" s="59">
        <v>61869</v>
      </c>
      <c r="BF12" s="67">
        <f t="shared" si="27"/>
        <v>48</v>
      </c>
      <c r="BG12" s="60">
        <v>258.44</v>
      </c>
      <c r="BH12" s="65">
        <f t="shared" si="28"/>
        <v>50.000000000011369</v>
      </c>
      <c r="BI12" s="60">
        <v>312.45999999999998</v>
      </c>
      <c r="BJ12" s="65">
        <f t="shared" si="29"/>
        <v>29.999999999972715</v>
      </c>
      <c r="BK12" s="60">
        <v>265.02</v>
      </c>
      <c r="BL12" s="65">
        <f t="shared" si="30"/>
        <v>39.99999999996362</v>
      </c>
      <c r="BM12" s="60">
        <v>248.36</v>
      </c>
      <c r="BN12" s="65">
        <f t="shared" si="31"/>
        <v>50.000000000011369</v>
      </c>
      <c r="BO12" s="60">
        <v>316.66000000000003</v>
      </c>
      <c r="BP12" s="65">
        <f t="shared" si="32"/>
        <v>30.000000000029559</v>
      </c>
      <c r="BQ12" s="60">
        <v>66713</v>
      </c>
      <c r="BR12" s="65">
        <f t="shared" si="33"/>
        <v>32</v>
      </c>
      <c r="BS12" s="60">
        <v>226.59</v>
      </c>
      <c r="BT12" s="65">
        <f t="shared" si="34"/>
        <v>60.000000000002274</v>
      </c>
      <c r="BU12" s="60">
        <v>64036</v>
      </c>
      <c r="BV12" s="65">
        <f t="shared" si="35"/>
        <v>31</v>
      </c>
      <c r="BW12" s="60">
        <v>254.72</v>
      </c>
      <c r="BX12" s="65">
        <f t="shared" si="36"/>
        <v>50.000000000011369</v>
      </c>
      <c r="BY12" s="60">
        <v>85990</v>
      </c>
      <c r="BZ12" s="67">
        <f t="shared" si="37"/>
        <v>48</v>
      </c>
      <c r="CA12" s="60">
        <v>63646.2</v>
      </c>
      <c r="CB12" s="67">
        <f t="shared" si="38"/>
        <v>67.19999999999709</v>
      </c>
      <c r="CC12" s="60">
        <v>18932</v>
      </c>
      <c r="CD12" s="67">
        <f t="shared" si="39"/>
        <v>11.099999999998545</v>
      </c>
      <c r="CE12" s="60">
        <v>9095.2999999999993</v>
      </c>
      <c r="CF12" s="67">
        <f t="shared" si="40"/>
        <v>4.2999999999992724</v>
      </c>
      <c r="CG12" s="60">
        <v>87126.1</v>
      </c>
      <c r="CH12" s="67">
        <f t="shared" si="41"/>
        <v>31.900000000008731</v>
      </c>
      <c r="CI12" s="60">
        <v>1126910</v>
      </c>
      <c r="CJ12" s="67">
        <f t="shared" si="42"/>
        <v>301</v>
      </c>
      <c r="CK12" s="60">
        <v>1236.0999999999999</v>
      </c>
      <c r="CL12" s="64">
        <f t="shared" si="43"/>
        <v>1000</v>
      </c>
      <c r="CM12" s="65">
        <f t="shared" si="44"/>
        <v>102</v>
      </c>
      <c r="CN12" s="62">
        <v>18</v>
      </c>
      <c r="CO12" s="62">
        <v>35</v>
      </c>
      <c r="CP12" s="68">
        <v>54273</v>
      </c>
      <c r="CQ12" s="67">
        <f t="shared" si="45"/>
        <v>70</v>
      </c>
      <c r="CR12" s="68">
        <v>28103</v>
      </c>
      <c r="CS12" s="67">
        <f t="shared" si="46"/>
        <v>32</v>
      </c>
      <c r="CT12" s="75">
        <v>13332</v>
      </c>
      <c r="CU12" s="67">
        <f t="shared" si="47"/>
        <v>14</v>
      </c>
      <c r="CV12" s="68">
        <v>32240</v>
      </c>
      <c r="CW12" s="67">
        <f t="shared" si="48"/>
        <v>19</v>
      </c>
      <c r="CX12" s="58">
        <v>6009.1</v>
      </c>
      <c r="CY12" s="67">
        <f t="shared" si="49"/>
        <v>8.2000000000007276</v>
      </c>
    </row>
    <row r="13" spans="1:103" ht="25.5" customHeight="1" thickBot="1" x14ac:dyDescent="0.45">
      <c r="A13" s="63">
        <v>44967</v>
      </c>
      <c r="B13" s="44"/>
      <c r="C13" s="58">
        <v>3.8921000000000001</v>
      </c>
      <c r="D13" s="64">
        <f t="shared" si="1"/>
        <v>1900.0000000000127</v>
      </c>
      <c r="E13" s="58">
        <v>5.1635999999999997</v>
      </c>
      <c r="F13" s="64">
        <f t="shared" si="2"/>
        <v>3099.9999999998809</v>
      </c>
      <c r="G13" s="58">
        <v>5.1950000000000003</v>
      </c>
      <c r="H13" s="64">
        <f t="shared" si="3"/>
        <v>3200.0000000005357</v>
      </c>
      <c r="I13" s="58">
        <v>2.5642</v>
      </c>
      <c r="J13" s="64">
        <f t="shared" si="4"/>
        <v>1700.0000000000348</v>
      </c>
      <c r="K13" s="58">
        <v>3.9314</v>
      </c>
      <c r="L13" s="64">
        <f t="shared" si="5"/>
        <v>2099.9999999999909</v>
      </c>
      <c r="M13" s="58">
        <v>2.3786999999999998</v>
      </c>
      <c r="N13" s="64">
        <f t="shared" si="6"/>
        <v>1499.9999999996128</v>
      </c>
      <c r="O13" s="58">
        <v>28950</v>
      </c>
      <c r="P13" s="67">
        <f t="shared" si="7"/>
        <v>18</v>
      </c>
      <c r="Q13" s="58">
        <v>3626</v>
      </c>
      <c r="R13" s="67">
        <f t="shared" si="8"/>
        <v>11</v>
      </c>
      <c r="S13" s="58">
        <v>1685.8</v>
      </c>
      <c r="T13" s="67">
        <f t="shared" si="50"/>
        <v>899.99999999986358</v>
      </c>
      <c r="U13" s="58">
        <v>665349.1</v>
      </c>
      <c r="V13" s="67">
        <f t="shared" si="9"/>
        <v>371.09999999997672</v>
      </c>
      <c r="W13" s="58">
        <v>598.66</v>
      </c>
      <c r="X13" s="65">
        <f t="shared" si="10"/>
        <v>319.99999999993634</v>
      </c>
      <c r="Y13" s="58">
        <v>4.556</v>
      </c>
      <c r="Z13" s="65">
        <f t="shared" si="11"/>
        <v>2399.9999999997358</v>
      </c>
      <c r="AA13" s="58">
        <v>605.83000000000004</v>
      </c>
      <c r="AB13" s="65">
        <f t="shared" si="12"/>
        <v>389.99999999998636</v>
      </c>
      <c r="AC13" s="58">
        <v>611.55999999999995</v>
      </c>
      <c r="AD13" s="65">
        <f t="shared" si="13"/>
        <v>399.99999999997726</v>
      </c>
      <c r="AE13" s="58">
        <v>975.73</v>
      </c>
      <c r="AF13" s="65">
        <f t="shared" si="14"/>
        <v>580.00000000004093</v>
      </c>
      <c r="AG13" s="58">
        <v>27308</v>
      </c>
      <c r="AH13" s="67">
        <f t="shared" si="15"/>
        <v>40</v>
      </c>
      <c r="AI13" s="58">
        <v>1.0401</v>
      </c>
      <c r="AJ13" s="65">
        <f t="shared" si="16"/>
        <v>399.99999999995595</v>
      </c>
      <c r="AK13" s="58">
        <v>343.29</v>
      </c>
      <c r="AL13" s="65">
        <f t="shared" si="17"/>
        <v>129.99999999999545</v>
      </c>
      <c r="AM13" s="58">
        <v>314.98</v>
      </c>
      <c r="AN13" s="65">
        <f t="shared" si="18"/>
        <v>230.00000000001819</v>
      </c>
      <c r="AO13" s="58">
        <v>304.91000000000003</v>
      </c>
      <c r="AP13" s="65">
        <f t="shared" si="19"/>
        <v>90.000000000031832</v>
      </c>
      <c r="AQ13" s="58">
        <v>357.51</v>
      </c>
      <c r="AR13" s="65">
        <f t="shared" si="20"/>
        <v>110.00000000001364</v>
      </c>
      <c r="AS13" s="58">
        <v>483.86</v>
      </c>
      <c r="AT13" s="65">
        <f t="shared" si="21"/>
        <v>100.00000000002274</v>
      </c>
      <c r="AU13" s="58">
        <v>387.6</v>
      </c>
      <c r="AV13" s="65">
        <f t="shared" si="22"/>
        <v>70.000000000050022</v>
      </c>
      <c r="AW13" s="58">
        <v>415.04</v>
      </c>
      <c r="AX13" s="65">
        <f t="shared" si="23"/>
        <v>110.00000000001364</v>
      </c>
      <c r="AY13" s="58">
        <v>450</v>
      </c>
      <c r="AZ13" s="65">
        <f t="shared" si="24"/>
        <v>110.00000000001364</v>
      </c>
      <c r="BA13" s="58">
        <v>467.72</v>
      </c>
      <c r="BB13" s="65">
        <f t="shared" si="25"/>
        <v>110.00000000001364</v>
      </c>
      <c r="BC13" s="58">
        <v>300.23</v>
      </c>
      <c r="BD13" s="65">
        <f t="shared" si="26"/>
        <v>180.00000000000682</v>
      </c>
      <c r="BE13" s="59">
        <v>61925</v>
      </c>
      <c r="BF13" s="67">
        <f t="shared" si="27"/>
        <v>56</v>
      </c>
      <c r="BG13" s="60">
        <v>258.48</v>
      </c>
      <c r="BH13" s="65">
        <f t="shared" si="28"/>
        <v>40.000000000020464</v>
      </c>
      <c r="BI13" s="60">
        <v>312.5</v>
      </c>
      <c r="BJ13" s="65">
        <f t="shared" si="29"/>
        <v>40.000000000020464</v>
      </c>
      <c r="BK13" s="60">
        <v>265.07</v>
      </c>
      <c r="BL13" s="65">
        <f t="shared" si="30"/>
        <v>50.000000000011369</v>
      </c>
      <c r="BM13" s="60">
        <v>248.4</v>
      </c>
      <c r="BN13" s="65">
        <f t="shared" si="31"/>
        <v>39.999999999992042</v>
      </c>
      <c r="BO13" s="60">
        <v>316.7</v>
      </c>
      <c r="BP13" s="65">
        <f t="shared" si="32"/>
        <v>39.99999999996362</v>
      </c>
      <c r="BQ13" s="60">
        <v>66755</v>
      </c>
      <c r="BR13" s="65">
        <f t="shared" si="33"/>
        <v>42</v>
      </c>
      <c r="BS13" s="60">
        <v>226.66</v>
      </c>
      <c r="BT13" s="65">
        <f t="shared" si="34"/>
        <v>69.999999999993179</v>
      </c>
      <c r="BU13" s="60">
        <v>64070</v>
      </c>
      <c r="BV13" s="65">
        <f t="shared" si="35"/>
        <v>34</v>
      </c>
      <c r="BW13" s="60">
        <v>254.78</v>
      </c>
      <c r="BX13" s="65">
        <f t="shared" si="36"/>
        <v>60.000000000002274</v>
      </c>
      <c r="BY13" s="60">
        <v>86044</v>
      </c>
      <c r="BZ13" s="67">
        <f t="shared" si="37"/>
        <v>54</v>
      </c>
      <c r="CA13" s="60">
        <v>63699.1</v>
      </c>
      <c r="CB13" s="67">
        <f t="shared" si="38"/>
        <v>52.900000000001455</v>
      </c>
      <c r="CC13" s="60">
        <v>18940.599999999999</v>
      </c>
      <c r="CD13" s="67">
        <f t="shared" si="39"/>
        <v>8.5999999999985448</v>
      </c>
      <c r="CE13" s="60">
        <v>9097</v>
      </c>
      <c r="CF13" s="67">
        <f t="shared" si="40"/>
        <v>1.7000000000007276</v>
      </c>
      <c r="CG13" s="60">
        <v>87147.9</v>
      </c>
      <c r="CH13" s="67">
        <f t="shared" si="41"/>
        <v>21.799999999988358</v>
      </c>
      <c r="CI13" s="60">
        <v>1127262</v>
      </c>
      <c r="CJ13" s="67">
        <f t="shared" si="42"/>
        <v>352</v>
      </c>
      <c r="CK13" s="60">
        <v>1236.9000000000001</v>
      </c>
      <c r="CL13" s="64">
        <f t="shared" si="43"/>
        <v>800.0000000001819</v>
      </c>
      <c r="CM13" s="65">
        <f t="shared" si="44"/>
        <v>78</v>
      </c>
      <c r="CN13" s="62">
        <v>25</v>
      </c>
      <c r="CO13" s="62">
        <v>44</v>
      </c>
      <c r="CP13" s="68">
        <v>54340</v>
      </c>
      <c r="CQ13" s="67">
        <f t="shared" si="45"/>
        <v>67</v>
      </c>
      <c r="CR13" s="68">
        <v>28114</v>
      </c>
      <c r="CS13" s="67">
        <f t="shared" si="46"/>
        <v>11</v>
      </c>
      <c r="CT13" s="75">
        <v>13345</v>
      </c>
      <c r="CU13" s="67">
        <f t="shared" si="47"/>
        <v>13</v>
      </c>
      <c r="CV13" s="68">
        <v>32261</v>
      </c>
      <c r="CW13" s="67">
        <f t="shared" si="48"/>
        <v>21</v>
      </c>
      <c r="CX13" s="58">
        <v>6019.9</v>
      </c>
      <c r="CY13" s="67">
        <f t="shared" si="49"/>
        <v>10.799999999999272</v>
      </c>
    </row>
    <row r="14" spans="1:103" ht="25.5" customHeight="1" thickBot="1" x14ac:dyDescent="0.45">
      <c r="A14" s="63">
        <v>44968</v>
      </c>
      <c r="B14" s="44"/>
      <c r="C14" s="58">
        <v>3.8940999999999999</v>
      </c>
      <c r="D14" s="64">
        <f t="shared" si="1"/>
        <v>1999.9999999997797</v>
      </c>
      <c r="E14" s="58">
        <v>5.1668000000000003</v>
      </c>
      <c r="F14" s="64">
        <f t="shared" si="2"/>
        <v>3200.0000000005357</v>
      </c>
      <c r="G14" s="58">
        <v>5.1985000000000001</v>
      </c>
      <c r="H14" s="64">
        <f t="shared" si="3"/>
        <v>3499.9999999998367</v>
      </c>
      <c r="I14" s="58">
        <v>2.5657999999999999</v>
      </c>
      <c r="J14" s="64">
        <f t="shared" si="4"/>
        <v>1599.9999999998238</v>
      </c>
      <c r="K14" s="58">
        <v>3.9333999999999998</v>
      </c>
      <c r="L14" s="64">
        <f t="shared" si="5"/>
        <v>1999.9999999997797</v>
      </c>
      <c r="M14" s="58">
        <v>2.3797999999999999</v>
      </c>
      <c r="N14" s="64">
        <f t="shared" si="6"/>
        <v>1100.000000000101</v>
      </c>
      <c r="O14" s="58">
        <v>28972</v>
      </c>
      <c r="P14" s="67">
        <f t="shared" si="7"/>
        <v>22</v>
      </c>
      <c r="Q14" s="58">
        <v>3629</v>
      </c>
      <c r="R14" s="67">
        <f t="shared" si="8"/>
        <v>3</v>
      </c>
      <c r="S14" s="58">
        <v>1687</v>
      </c>
      <c r="T14" s="67">
        <f t="shared" si="50"/>
        <v>1200.0000000000455</v>
      </c>
      <c r="U14" s="58">
        <v>665819.6</v>
      </c>
      <c r="V14" s="67">
        <f t="shared" si="9"/>
        <v>470.5</v>
      </c>
      <c r="W14" s="58">
        <v>598.96</v>
      </c>
      <c r="X14" s="65">
        <f t="shared" si="10"/>
        <v>300.00000000006821</v>
      </c>
      <c r="Y14" s="58">
        <v>4.5589000000000004</v>
      </c>
      <c r="Z14" s="65">
        <f t="shared" si="11"/>
        <v>2900.0000000003465</v>
      </c>
      <c r="AA14" s="58">
        <v>606.04999999999995</v>
      </c>
      <c r="AB14" s="65">
        <f t="shared" si="12"/>
        <v>219.9999999999136</v>
      </c>
      <c r="AC14" s="58">
        <v>611.96</v>
      </c>
      <c r="AD14" s="65">
        <f t="shared" si="13"/>
        <v>400.00000000009095</v>
      </c>
      <c r="AE14" s="58">
        <v>976.08</v>
      </c>
      <c r="AF14" s="65">
        <f t="shared" si="14"/>
        <v>350.00000000002274</v>
      </c>
      <c r="AG14" s="58">
        <v>27343</v>
      </c>
      <c r="AH14" s="67">
        <f t="shared" si="15"/>
        <v>35</v>
      </c>
      <c r="AI14" s="58">
        <v>1.0406</v>
      </c>
      <c r="AJ14" s="65">
        <f t="shared" si="16"/>
        <v>499.99999999994492</v>
      </c>
      <c r="AK14" s="58">
        <v>343.58</v>
      </c>
      <c r="AL14" s="65">
        <f t="shared" si="17"/>
        <v>289.99999999996362</v>
      </c>
      <c r="AM14" s="58">
        <v>315.20999999999998</v>
      </c>
      <c r="AN14" s="65">
        <f t="shared" si="18"/>
        <v>229.99999999996135</v>
      </c>
      <c r="AO14" s="58">
        <v>304.98</v>
      </c>
      <c r="AP14" s="65">
        <f t="shared" si="19"/>
        <v>69.999999999993179</v>
      </c>
      <c r="AQ14" s="58">
        <v>357.64</v>
      </c>
      <c r="AR14" s="65">
        <f t="shared" si="20"/>
        <v>129.99999999999545</v>
      </c>
      <c r="AS14" s="58">
        <v>483.93</v>
      </c>
      <c r="AT14" s="65">
        <f t="shared" si="21"/>
        <v>69.999999999993179</v>
      </c>
      <c r="AU14" s="58">
        <v>387.65</v>
      </c>
      <c r="AV14" s="65">
        <f t="shared" si="22"/>
        <v>49.999999999954525</v>
      </c>
      <c r="AW14" s="58">
        <v>415.14</v>
      </c>
      <c r="AX14" s="65">
        <f t="shared" si="23"/>
        <v>99.999999999965894</v>
      </c>
      <c r="AY14" s="58">
        <v>450.11</v>
      </c>
      <c r="AZ14" s="65">
        <f t="shared" si="24"/>
        <v>110.00000000001364</v>
      </c>
      <c r="BA14" s="58">
        <v>467.82</v>
      </c>
      <c r="BB14" s="65">
        <f t="shared" si="25"/>
        <v>99.999999999965894</v>
      </c>
      <c r="BC14" s="58">
        <v>300.35000000000002</v>
      </c>
      <c r="BD14" s="65">
        <f t="shared" si="26"/>
        <v>120.00000000000455</v>
      </c>
      <c r="BE14" s="59">
        <v>61972</v>
      </c>
      <c r="BF14" s="67">
        <f t="shared" si="27"/>
        <v>47</v>
      </c>
      <c r="BG14" s="60">
        <v>258.51</v>
      </c>
      <c r="BH14" s="65">
        <f t="shared" si="28"/>
        <v>29.999999999972715</v>
      </c>
      <c r="BI14" s="60">
        <v>312.54000000000002</v>
      </c>
      <c r="BJ14" s="65">
        <f t="shared" si="29"/>
        <v>40.000000000020464</v>
      </c>
      <c r="BK14" s="60">
        <v>265.11</v>
      </c>
      <c r="BL14" s="65">
        <f t="shared" si="30"/>
        <v>40.000000000020464</v>
      </c>
      <c r="BM14" s="60">
        <v>248.45</v>
      </c>
      <c r="BN14" s="65">
        <f t="shared" si="31"/>
        <v>49.999999999982947</v>
      </c>
      <c r="BO14" s="60">
        <v>316.74</v>
      </c>
      <c r="BP14" s="65">
        <f t="shared" si="32"/>
        <v>40.000000000020464</v>
      </c>
      <c r="BQ14" s="60">
        <v>66792</v>
      </c>
      <c r="BR14" s="65">
        <f t="shared" si="33"/>
        <v>37</v>
      </c>
      <c r="BS14" s="60">
        <v>226.72</v>
      </c>
      <c r="BT14" s="65">
        <f t="shared" si="34"/>
        <v>60.000000000002274</v>
      </c>
      <c r="BU14" s="60">
        <v>64110</v>
      </c>
      <c r="BV14" s="65">
        <f t="shared" si="35"/>
        <v>40</v>
      </c>
      <c r="BW14" s="60">
        <v>254.82</v>
      </c>
      <c r="BX14" s="65">
        <f t="shared" si="36"/>
        <v>39.999999999992042</v>
      </c>
      <c r="BY14" s="60">
        <v>86096</v>
      </c>
      <c r="BZ14" s="67">
        <f t="shared" si="37"/>
        <v>52</v>
      </c>
      <c r="CA14" s="60">
        <v>63778</v>
      </c>
      <c r="CB14" s="67">
        <f t="shared" si="38"/>
        <v>78.900000000001455</v>
      </c>
      <c r="CC14" s="60">
        <v>18951.599999999999</v>
      </c>
      <c r="CD14" s="67">
        <f t="shared" si="39"/>
        <v>11</v>
      </c>
      <c r="CE14" s="60">
        <v>9099.9</v>
      </c>
      <c r="CF14" s="67">
        <f t="shared" si="40"/>
        <v>2.8999999999996362</v>
      </c>
      <c r="CG14" s="60">
        <v>87190.5</v>
      </c>
      <c r="CH14" s="67">
        <f t="shared" si="41"/>
        <v>42.600000000005821</v>
      </c>
      <c r="CI14" s="60">
        <v>1127560</v>
      </c>
      <c r="CJ14" s="67">
        <f t="shared" si="42"/>
        <v>298</v>
      </c>
      <c r="CK14" s="60">
        <v>1237.8</v>
      </c>
      <c r="CL14" s="64">
        <f t="shared" si="43"/>
        <v>899.99999999986358</v>
      </c>
      <c r="CM14" s="65">
        <f t="shared" si="44"/>
        <v>86</v>
      </c>
      <c r="CN14" s="62">
        <v>28</v>
      </c>
      <c r="CO14" s="62">
        <v>44</v>
      </c>
      <c r="CP14" s="68">
        <v>54415</v>
      </c>
      <c r="CQ14" s="67">
        <f t="shared" si="45"/>
        <v>75</v>
      </c>
      <c r="CR14" s="68">
        <v>28125</v>
      </c>
      <c r="CS14" s="67">
        <f t="shared" si="46"/>
        <v>11</v>
      </c>
      <c r="CT14" s="75">
        <v>13360</v>
      </c>
      <c r="CU14" s="67">
        <f t="shared" si="47"/>
        <v>15</v>
      </c>
      <c r="CV14" s="68">
        <v>32283</v>
      </c>
      <c r="CW14" s="67">
        <f t="shared" si="48"/>
        <v>22</v>
      </c>
      <c r="CX14" s="58">
        <v>6030.4</v>
      </c>
      <c r="CY14" s="67">
        <f t="shared" si="49"/>
        <v>10.5</v>
      </c>
    </row>
    <row r="15" spans="1:103" ht="25.5" customHeight="1" thickBot="1" x14ac:dyDescent="0.45">
      <c r="A15" s="63">
        <v>44969</v>
      </c>
      <c r="B15" s="44"/>
      <c r="C15" s="58">
        <v>3.8959000000000001</v>
      </c>
      <c r="D15" s="64">
        <f t="shared" si="1"/>
        <v>1800.0000000002458</v>
      </c>
      <c r="E15" s="58">
        <v>5.1696</v>
      </c>
      <c r="F15" s="64">
        <f t="shared" si="2"/>
        <v>2799.9999999996917</v>
      </c>
      <c r="G15" s="58">
        <v>5.2016999999999998</v>
      </c>
      <c r="H15" s="64">
        <f t="shared" si="3"/>
        <v>3199.9999999996476</v>
      </c>
      <c r="I15" s="58">
        <v>2.5672999999999999</v>
      </c>
      <c r="J15" s="64">
        <f t="shared" si="4"/>
        <v>1500.0000000000568</v>
      </c>
      <c r="K15" s="58">
        <v>3.9352</v>
      </c>
      <c r="L15" s="64">
        <f t="shared" si="5"/>
        <v>1800.0000000002458</v>
      </c>
      <c r="M15" s="58">
        <v>2.3809</v>
      </c>
      <c r="N15" s="64">
        <f t="shared" si="6"/>
        <v>1100.000000000101</v>
      </c>
      <c r="O15" s="58">
        <v>28991</v>
      </c>
      <c r="P15" s="67">
        <f t="shared" si="7"/>
        <v>19</v>
      </c>
      <c r="Q15" s="58">
        <v>3632</v>
      </c>
      <c r="R15" s="67">
        <f>IF((Q15-Q14&lt;0), "",Q15-Q14)</f>
        <v>3</v>
      </c>
      <c r="S15" s="58">
        <v>1688.2</v>
      </c>
      <c r="T15" s="67">
        <f t="shared" si="50"/>
        <v>1200.0000000000455</v>
      </c>
      <c r="U15" s="58">
        <v>666206.1</v>
      </c>
      <c r="V15" s="67">
        <f t="shared" si="9"/>
        <v>386.5</v>
      </c>
      <c r="W15" s="58">
        <v>599.26</v>
      </c>
      <c r="X15" s="65">
        <f t="shared" si="10"/>
        <v>299.99999999995453</v>
      </c>
      <c r="Y15" s="58">
        <v>4.5613999999999999</v>
      </c>
      <c r="Z15" s="65">
        <f t="shared" si="11"/>
        <v>2499.9999999995025</v>
      </c>
      <c r="AA15" s="58">
        <v>606.29999999999995</v>
      </c>
      <c r="AB15" s="65">
        <f t="shared" si="12"/>
        <v>250</v>
      </c>
      <c r="AC15" s="58">
        <v>612.33000000000004</v>
      </c>
      <c r="AD15" s="65">
        <f t="shared" si="13"/>
        <v>370.00000000000455</v>
      </c>
      <c r="AE15" s="58">
        <v>976.41</v>
      </c>
      <c r="AF15" s="65">
        <f t="shared" si="14"/>
        <v>329.99999999992724</v>
      </c>
      <c r="AG15" s="58">
        <v>27376</v>
      </c>
      <c r="AH15" s="67">
        <f t="shared" si="15"/>
        <v>33</v>
      </c>
      <c r="AI15" s="58">
        <v>1.0409999999999999</v>
      </c>
      <c r="AJ15" s="65">
        <f t="shared" si="16"/>
        <v>399.99999999995595</v>
      </c>
      <c r="AK15" s="58">
        <v>343.78</v>
      </c>
      <c r="AL15" s="65">
        <f t="shared" si="17"/>
        <v>199.99999999998863</v>
      </c>
      <c r="AM15" s="58">
        <v>315.39999999999998</v>
      </c>
      <c r="AN15" s="65">
        <f t="shared" si="18"/>
        <v>189.99999999999773</v>
      </c>
      <c r="AO15" s="58">
        <v>305.04000000000002</v>
      </c>
      <c r="AP15" s="65">
        <f t="shared" si="19"/>
        <v>60.000000000002274</v>
      </c>
      <c r="AQ15" s="58">
        <v>357.84</v>
      </c>
      <c r="AR15" s="65">
        <f t="shared" si="20"/>
        <v>199.99999999998863</v>
      </c>
      <c r="AS15" s="58">
        <v>483.97</v>
      </c>
      <c r="AT15" s="65">
        <f t="shared" si="21"/>
        <v>40.000000000020464</v>
      </c>
      <c r="AU15" s="58">
        <v>387.68</v>
      </c>
      <c r="AV15" s="65">
        <f t="shared" si="22"/>
        <v>30.000000000029559</v>
      </c>
      <c r="AW15" s="58">
        <v>415.21</v>
      </c>
      <c r="AX15" s="65">
        <f t="shared" si="23"/>
        <v>69.999999999993179</v>
      </c>
      <c r="AY15" s="58">
        <v>450.19</v>
      </c>
      <c r="AZ15" s="65">
        <f t="shared" si="24"/>
        <v>79.999999999984084</v>
      </c>
      <c r="BA15" s="58">
        <v>467.86</v>
      </c>
      <c r="BB15" s="65">
        <f t="shared" si="25"/>
        <v>40.000000000020464</v>
      </c>
      <c r="BC15" s="58">
        <v>300.45999999999998</v>
      </c>
      <c r="BD15" s="65">
        <f t="shared" si="26"/>
        <v>109.9999999999568</v>
      </c>
      <c r="BE15" s="59">
        <v>62030</v>
      </c>
      <c r="BF15" s="67">
        <f t="shared" si="27"/>
        <v>58</v>
      </c>
      <c r="BG15" s="60">
        <v>258.55</v>
      </c>
      <c r="BH15" s="65">
        <f t="shared" si="28"/>
        <v>40.000000000020464</v>
      </c>
      <c r="BI15" s="60">
        <v>312.57</v>
      </c>
      <c r="BJ15" s="65">
        <f t="shared" si="29"/>
        <v>29.999999999972715</v>
      </c>
      <c r="BK15" s="60">
        <v>265.14999999999998</v>
      </c>
      <c r="BL15" s="65">
        <f t="shared" si="30"/>
        <v>39.99999999996362</v>
      </c>
      <c r="BM15" s="60">
        <v>248.48</v>
      </c>
      <c r="BN15" s="65">
        <f t="shared" si="31"/>
        <v>30.000000000001137</v>
      </c>
      <c r="BO15" s="60">
        <v>316.77</v>
      </c>
      <c r="BP15" s="65">
        <f t="shared" si="32"/>
        <v>29.999999999972715</v>
      </c>
      <c r="BQ15" s="60">
        <v>66825</v>
      </c>
      <c r="BR15" s="65">
        <f t="shared" si="33"/>
        <v>33</v>
      </c>
      <c r="BS15" s="60">
        <v>226.77</v>
      </c>
      <c r="BT15" s="65">
        <f t="shared" si="34"/>
        <v>50.000000000011369</v>
      </c>
      <c r="BU15" s="60">
        <v>64141</v>
      </c>
      <c r="BV15" s="65">
        <f t="shared" si="35"/>
        <v>31</v>
      </c>
      <c r="BW15" s="60">
        <v>254.87</v>
      </c>
      <c r="BX15" s="65">
        <f t="shared" si="36"/>
        <v>50.000000000011369</v>
      </c>
      <c r="BY15" s="60">
        <v>86149</v>
      </c>
      <c r="BZ15" s="67">
        <f t="shared" si="37"/>
        <v>53</v>
      </c>
      <c r="CA15" s="60">
        <v>63832.2</v>
      </c>
      <c r="CB15" s="67">
        <f t="shared" si="38"/>
        <v>54.19999999999709</v>
      </c>
      <c r="CC15" s="60">
        <v>18963.8</v>
      </c>
      <c r="CD15" s="67">
        <f t="shared" si="39"/>
        <v>12.200000000000728</v>
      </c>
      <c r="CE15" s="60">
        <v>9103.9</v>
      </c>
      <c r="CF15" s="67">
        <f t="shared" si="40"/>
        <v>4</v>
      </c>
      <c r="CG15" s="60">
        <v>87246</v>
      </c>
      <c r="CH15" s="67">
        <f t="shared" si="41"/>
        <v>55.5</v>
      </c>
      <c r="CI15" s="60">
        <v>1127861</v>
      </c>
      <c r="CJ15" s="67">
        <f t="shared" si="42"/>
        <v>301</v>
      </c>
      <c r="CK15" s="60">
        <v>1238.5999999999999</v>
      </c>
      <c r="CL15" s="64">
        <f t="shared" si="43"/>
        <v>799.99999999995453</v>
      </c>
      <c r="CM15" s="65">
        <f t="shared" si="44"/>
        <v>86</v>
      </c>
      <c r="CN15" s="62">
        <v>28</v>
      </c>
      <c r="CO15" s="62">
        <v>44</v>
      </c>
      <c r="CP15" s="68">
        <v>54483</v>
      </c>
      <c r="CQ15" s="67">
        <f t="shared" si="45"/>
        <v>68</v>
      </c>
      <c r="CR15" s="68">
        <v>28143</v>
      </c>
      <c r="CS15" s="67">
        <f t="shared" si="46"/>
        <v>18</v>
      </c>
      <c r="CT15" s="75">
        <v>13373</v>
      </c>
      <c r="CU15" s="67">
        <f t="shared" si="47"/>
        <v>13</v>
      </c>
      <c r="CV15" s="68">
        <v>32307</v>
      </c>
      <c r="CW15" s="67">
        <f t="shared" si="48"/>
        <v>24</v>
      </c>
      <c r="CX15" s="58">
        <v>6035</v>
      </c>
      <c r="CY15" s="67">
        <f t="shared" si="49"/>
        <v>4.6000000000003638</v>
      </c>
    </row>
    <row r="16" spans="1:103" ht="25.5" customHeight="1" thickBot="1" x14ac:dyDescent="0.45">
      <c r="A16" s="63">
        <v>44970</v>
      </c>
      <c r="B16" s="44"/>
      <c r="C16" s="58">
        <v>3.8976999999999999</v>
      </c>
      <c r="D16" s="64">
        <f t="shared" si="1"/>
        <v>1799.9999999998017</v>
      </c>
      <c r="E16" s="58">
        <v>5.1726000000000001</v>
      </c>
      <c r="F16" s="64">
        <f t="shared" si="2"/>
        <v>3000.0000000001137</v>
      </c>
      <c r="G16" s="58">
        <v>5.2050999999999998</v>
      </c>
      <c r="H16" s="64">
        <f t="shared" si="3"/>
        <v>3400.0000000000696</v>
      </c>
      <c r="I16" s="58">
        <v>2.5688</v>
      </c>
      <c r="J16" s="64">
        <f>IF((I16-I15&lt;0), "0",(I16-I15)*1000000)</f>
        <v>1500.0000000000568</v>
      </c>
      <c r="K16" s="58">
        <v>3.9371</v>
      </c>
      <c r="L16" s="64">
        <f t="shared" si="5"/>
        <v>1900.0000000000127</v>
      </c>
      <c r="M16" s="58">
        <v>2.3822000000000001</v>
      </c>
      <c r="N16" s="64">
        <f t="shared" si="6"/>
        <v>1300.0000000000789</v>
      </c>
      <c r="O16" s="58">
        <v>29008</v>
      </c>
      <c r="P16" s="67">
        <f t="shared" si="7"/>
        <v>17</v>
      </c>
      <c r="Q16" s="58">
        <v>3635</v>
      </c>
      <c r="R16" s="67">
        <f t="shared" si="8"/>
        <v>3</v>
      </c>
      <c r="S16" s="58">
        <v>1689.3</v>
      </c>
      <c r="T16" s="67">
        <f t="shared" si="50"/>
        <v>1099.9999999999091</v>
      </c>
      <c r="U16" s="58">
        <v>666620.9</v>
      </c>
      <c r="V16" s="67">
        <f t="shared" si="9"/>
        <v>414.80000000004657</v>
      </c>
      <c r="W16" s="58">
        <v>599.54999999999995</v>
      </c>
      <c r="X16" s="65">
        <f t="shared" si="10"/>
        <v>289.99999999996362</v>
      </c>
      <c r="Y16" s="58">
        <v>4.5640999999999998</v>
      </c>
      <c r="Z16" s="65">
        <f t="shared" si="11"/>
        <v>2699.9999999999245</v>
      </c>
      <c r="AA16" s="58">
        <v>606.6</v>
      </c>
      <c r="AB16" s="65">
        <f t="shared" si="12"/>
        <v>300.00000000006821</v>
      </c>
      <c r="AC16" s="58">
        <v>612.66999999999996</v>
      </c>
      <c r="AD16" s="65">
        <f t="shared" si="13"/>
        <v>339.99999999991815</v>
      </c>
      <c r="AE16" s="58">
        <v>976.84</v>
      </c>
      <c r="AF16" s="65">
        <f t="shared" si="14"/>
        <v>430.00000000006366</v>
      </c>
      <c r="AG16" s="58">
        <v>27412</v>
      </c>
      <c r="AH16" s="67">
        <f t="shared" si="15"/>
        <v>36</v>
      </c>
      <c r="AI16" s="58">
        <v>1.0414000000000001</v>
      </c>
      <c r="AJ16" s="65">
        <f t="shared" si="16"/>
        <v>400.00000000017798</v>
      </c>
      <c r="AK16" s="58">
        <v>343.99</v>
      </c>
      <c r="AL16" s="65">
        <f t="shared" si="17"/>
        <v>210.00000000003638</v>
      </c>
      <c r="AM16" s="58">
        <v>315.60000000000002</v>
      </c>
      <c r="AN16" s="65">
        <f t="shared" si="18"/>
        <v>200.00000000004547</v>
      </c>
      <c r="AO16" s="58">
        <v>305.12</v>
      </c>
      <c r="AP16" s="65">
        <f t="shared" si="19"/>
        <v>79.999999999984084</v>
      </c>
      <c r="AQ16" s="58">
        <v>358.01</v>
      </c>
      <c r="AR16" s="65">
        <f t="shared" si="20"/>
        <v>170.00000000001592</v>
      </c>
      <c r="AS16" s="58">
        <v>484.02</v>
      </c>
      <c r="AT16" s="65">
        <f t="shared" si="21"/>
        <v>49.999999999954525</v>
      </c>
      <c r="AU16" s="58">
        <v>387.73</v>
      </c>
      <c r="AV16" s="65">
        <f t="shared" si="22"/>
        <v>50.000000000011369</v>
      </c>
      <c r="AW16" s="58">
        <v>415.28</v>
      </c>
      <c r="AX16" s="65">
        <f t="shared" si="23"/>
        <v>69.999999999993179</v>
      </c>
      <c r="AY16" s="58">
        <v>450.27</v>
      </c>
      <c r="AZ16" s="65">
        <f t="shared" si="24"/>
        <v>79.999999999984084</v>
      </c>
      <c r="BA16" s="58">
        <v>467.93</v>
      </c>
      <c r="BB16" s="65">
        <f t="shared" si="25"/>
        <v>69.999999999993179</v>
      </c>
      <c r="BC16" s="58">
        <v>300.58999999999997</v>
      </c>
      <c r="BD16" s="65">
        <f t="shared" si="26"/>
        <v>129.99999999999545</v>
      </c>
      <c r="BE16" s="59">
        <v>62091</v>
      </c>
      <c r="BF16" s="67">
        <f t="shared" si="27"/>
        <v>61</v>
      </c>
      <c r="BG16" s="60">
        <v>258.58</v>
      </c>
      <c r="BH16" s="65">
        <f t="shared" si="28"/>
        <v>29.999999999972715</v>
      </c>
      <c r="BI16" s="60">
        <v>312.61</v>
      </c>
      <c r="BJ16" s="65">
        <f t="shared" si="29"/>
        <v>40.000000000020464</v>
      </c>
      <c r="BK16" s="60">
        <v>265.19</v>
      </c>
      <c r="BL16" s="65">
        <f t="shared" si="30"/>
        <v>40.000000000020464</v>
      </c>
      <c r="BM16" s="60">
        <v>248.52</v>
      </c>
      <c r="BN16" s="65">
        <f t="shared" si="31"/>
        <v>40.000000000020464</v>
      </c>
      <c r="BO16" s="60">
        <v>316.8</v>
      </c>
      <c r="BP16" s="65">
        <f t="shared" si="32"/>
        <v>30.000000000029559</v>
      </c>
      <c r="BQ16" s="60">
        <v>66857</v>
      </c>
      <c r="BR16" s="65">
        <f t="shared" si="33"/>
        <v>32</v>
      </c>
      <c r="BS16" s="60">
        <v>226.83</v>
      </c>
      <c r="BT16" s="65">
        <f t="shared" si="34"/>
        <v>60.000000000002274</v>
      </c>
      <c r="BU16" s="60">
        <v>64173</v>
      </c>
      <c r="BV16" s="65">
        <f t="shared" si="35"/>
        <v>32</v>
      </c>
      <c r="BW16" s="60">
        <v>254.92</v>
      </c>
      <c r="BX16" s="65">
        <f t="shared" si="36"/>
        <v>49.999999999982947</v>
      </c>
      <c r="BY16" s="60">
        <v>86198</v>
      </c>
      <c r="BZ16" s="67">
        <f t="shared" si="37"/>
        <v>49</v>
      </c>
      <c r="CA16" s="60">
        <v>63884.9</v>
      </c>
      <c r="CB16" s="67">
        <f t="shared" si="38"/>
        <v>52.700000000004366</v>
      </c>
      <c r="CC16" s="60">
        <v>18975.900000000001</v>
      </c>
      <c r="CD16" s="67">
        <f t="shared" si="39"/>
        <v>12.100000000002183</v>
      </c>
      <c r="CE16" s="60">
        <v>9106.6</v>
      </c>
      <c r="CF16" s="67">
        <f t="shared" si="40"/>
        <v>2.7000000000007276</v>
      </c>
      <c r="CG16" s="60">
        <v>87289.9</v>
      </c>
      <c r="CH16" s="67">
        <f t="shared" si="41"/>
        <v>43.899999999994179</v>
      </c>
      <c r="CI16" s="60">
        <v>1128175</v>
      </c>
      <c r="CJ16" s="67">
        <f t="shared" si="42"/>
        <v>314</v>
      </c>
      <c r="CK16" s="60">
        <v>1239.5</v>
      </c>
      <c r="CL16" s="64">
        <f t="shared" si="43"/>
        <v>900.00000000009095</v>
      </c>
      <c r="CM16" s="65">
        <f t="shared" si="44"/>
        <v>94.299999999999272</v>
      </c>
      <c r="CN16" s="62">
        <v>28</v>
      </c>
      <c r="CO16" s="62">
        <v>55</v>
      </c>
      <c r="CP16" s="68">
        <v>54562</v>
      </c>
      <c r="CQ16" s="67">
        <f t="shared" si="45"/>
        <v>79</v>
      </c>
      <c r="CR16" s="68">
        <v>28158.3</v>
      </c>
      <c r="CS16" s="67">
        <f t="shared" si="46"/>
        <v>15.299999999999272</v>
      </c>
      <c r="CT16" s="75">
        <v>13389</v>
      </c>
      <c r="CU16" s="67">
        <f t="shared" si="47"/>
        <v>16</v>
      </c>
      <c r="CV16" s="68">
        <v>32329</v>
      </c>
      <c r="CW16" s="67">
        <f t="shared" si="48"/>
        <v>22</v>
      </c>
      <c r="CX16" s="58">
        <v>6041.1</v>
      </c>
      <c r="CY16" s="67">
        <f t="shared" si="49"/>
        <v>6.1000000000003638</v>
      </c>
    </row>
    <row r="17" spans="1:103" ht="25.5" customHeight="1" thickBot="1" x14ac:dyDescent="0.45">
      <c r="A17" s="63">
        <v>44971</v>
      </c>
      <c r="B17" s="44"/>
      <c r="C17" s="58">
        <v>3.8995000000000002</v>
      </c>
      <c r="D17" s="64">
        <f t="shared" si="1"/>
        <v>1800.0000000002458</v>
      </c>
      <c r="E17" s="58">
        <v>5.1757999999999997</v>
      </c>
      <c r="F17" s="64">
        <f t="shared" si="2"/>
        <v>3199.9999999996476</v>
      </c>
      <c r="G17" s="58">
        <v>5.2083000000000004</v>
      </c>
      <c r="H17" s="64">
        <f t="shared" si="3"/>
        <v>3200.0000000005357</v>
      </c>
      <c r="I17" s="58">
        <v>2.5703</v>
      </c>
      <c r="J17" s="64">
        <f t="shared" si="4"/>
        <v>1500.0000000000568</v>
      </c>
      <c r="K17" s="58">
        <v>3.9390000000000001</v>
      </c>
      <c r="L17" s="64">
        <f t="shared" si="5"/>
        <v>1900.0000000000127</v>
      </c>
      <c r="M17" s="58">
        <v>2.3835000000000002</v>
      </c>
      <c r="N17" s="64">
        <f t="shared" si="6"/>
        <v>1300.0000000000789</v>
      </c>
      <c r="O17" s="58">
        <v>29021</v>
      </c>
      <c r="P17" s="67">
        <f t="shared" si="7"/>
        <v>13</v>
      </c>
      <c r="Q17" s="58">
        <v>3638</v>
      </c>
      <c r="R17" s="67">
        <f t="shared" si="8"/>
        <v>3</v>
      </c>
      <c r="S17" s="58">
        <v>1690.3</v>
      </c>
      <c r="T17" s="67">
        <f t="shared" si="50"/>
        <v>1000</v>
      </c>
      <c r="U17" s="58">
        <v>666999.5</v>
      </c>
      <c r="V17" s="67">
        <f t="shared" si="9"/>
        <v>378.59999999997672</v>
      </c>
      <c r="W17" s="58">
        <v>599.9</v>
      </c>
      <c r="X17" s="65">
        <f t="shared" si="10"/>
        <v>350.00000000002274</v>
      </c>
      <c r="Y17" s="58">
        <v>4.5669000000000004</v>
      </c>
      <c r="Z17" s="65">
        <f t="shared" si="11"/>
        <v>2800.0000000005798</v>
      </c>
      <c r="AA17" s="58">
        <v>607.07000000000005</v>
      </c>
      <c r="AB17" s="65">
        <f t="shared" si="12"/>
        <v>470.00000000002728</v>
      </c>
      <c r="AC17" s="58">
        <v>613.03</v>
      </c>
      <c r="AD17" s="65">
        <f t="shared" si="13"/>
        <v>360.00000000001364</v>
      </c>
      <c r="AE17" s="58">
        <v>977.35</v>
      </c>
      <c r="AF17" s="65">
        <f t="shared" si="14"/>
        <v>509.99999999999091</v>
      </c>
      <c r="AG17" s="58">
        <v>27454</v>
      </c>
      <c r="AH17" s="67">
        <f t="shared" si="15"/>
        <v>42</v>
      </c>
      <c r="AI17" s="58">
        <v>1.0419</v>
      </c>
      <c r="AJ17" s="65">
        <f t="shared" si="16"/>
        <v>499.99999999994492</v>
      </c>
      <c r="AK17" s="58">
        <v>344.22</v>
      </c>
      <c r="AL17" s="65">
        <f t="shared" si="17"/>
        <v>230.00000000001819</v>
      </c>
      <c r="AM17" s="58">
        <v>315.77999999999997</v>
      </c>
      <c r="AN17" s="65">
        <f t="shared" si="18"/>
        <v>179.99999999994998</v>
      </c>
      <c r="AO17" s="58">
        <v>305.18</v>
      </c>
      <c r="AP17" s="65">
        <f t="shared" si="19"/>
        <v>60.000000000002274</v>
      </c>
      <c r="AQ17" s="58">
        <v>358.23</v>
      </c>
      <c r="AR17" s="65">
        <f t="shared" si="20"/>
        <v>220.00000000002728</v>
      </c>
      <c r="AS17" s="58">
        <v>484.08</v>
      </c>
      <c r="AT17" s="65">
        <f t="shared" si="21"/>
        <v>60.000000000002274</v>
      </c>
      <c r="AU17" s="58">
        <v>387.77</v>
      </c>
      <c r="AV17" s="65">
        <f t="shared" si="22"/>
        <v>39.99999999996362</v>
      </c>
      <c r="AW17" s="58">
        <v>415.37</v>
      </c>
      <c r="AX17" s="65">
        <f t="shared" si="23"/>
        <v>90.000000000031832</v>
      </c>
      <c r="AY17" s="58">
        <v>450.37</v>
      </c>
      <c r="AZ17" s="65">
        <f t="shared" si="24"/>
        <v>100.00000000002274</v>
      </c>
      <c r="BA17" s="58">
        <v>468.05</v>
      </c>
      <c r="BB17" s="65">
        <f t="shared" si="25"/>
        <v>120.00000000000455</v>
      </c>
      <c r="BC17" s="58">
        <v>300.72000000000003</v>
      </c>
      <c r="BD17" s="65">
        <f t="shared" si="26"/>
        <v>130.0000000000523</v>
      </c>
      <c r="BE17" s="59">
        <v>62123</v>
      </c>
      <c r="BF17" s="67">
        <f t="shared" si="27"/>
        <v>32</v>
      </c>
      <c r="BG17" s="60">
        <v>258.61</v>
      </c>
      <c r="BH17" s="65">
        <f t="shared" si="28"/>
        <v>30.000000000029559</v>
      </c>
      <c r="BI17" s="60">
        <v>312.64</v>
      </c>
      <c r="BJ17" s="65">
        <f t="shared" si="29"/>
        <v>29.999999999972715</v>
      </c>
      <c r="BK17" s="60">
        <v>265.23</v>
      </c>
      <c r="BL17" s="65">
        <f t="shared" si="30"/>
        <v>40.000000000020464</v>
      </c>
      <c r="BM17" s="60">
        <v>248.56</v>
      </c>
      <c r="BN17" s="65">
        <f t="shared" si="31"/>
        <v>39.999999999992042</v>
      </c>
      <c r="BO17" s="60">
        <v>316.83999999999997</v>
      </c>
      <c r="BP17" s="65">
        <f t="shared" si="32"/>
        <v>39.99999999996362</v>
      </c>
      <c r="BQ17" s="60">
        <v>66895</v>
      </c>
      <c r="BR17" s="65">
        <f t="shared" si="33"/>
        <v>38</v>
      </c>
      <c r="BS17" s="60">
        <v>226.88</v>
      </c>
      <c r="BT17" s="65">
        <f t="shared" si="34"/>
        <v>49.999999999982947</v>
      </c>
      <c r="BU17" s="60">
        <v>64207</v>
      </c>
      <c r="BV17" s="65">
        <f t="shared" si="35"/>
        <v>34</v>
      </c>
      <c r="BW17" s="60">
        <v>254.96</v>
      </c>
      <c r="BX17" s="65">
        <f t="shared" si="36"/>
        <v>40.000000000020464</v>
      </c>
      <c r="BY17" s="60">
        <v>86247</v>
      </c>
      <c r="BZ17" s="67">
        <f t="shared" si="37"/>
        <v>49</v>
      </c>
      <c r="CA17" s="60">
        <v>63940</v>
      </c>
      <c r="CB17" s="67">
        <f t="shared" si="38"/>
        <v>55.099999999998545</v>
      </c>
      <c r="CC17" s="60">
        <v>18997</v>
      </c>
      <c r="CD17" s="67">
        <f t="shared" si="39"/>
        <v>21.099999999998545</v>
      </c>
      <c r="CE17" s="60">
        <v>9109.2000000000007</v>
      </c>
      <c r="CF17" s="67">
        <f t="shared" si="40"/>
        <v>2.6000000000003638</v>
      </c>
      <c r="CG17" s="60">
        <v>87328.6</v>
      </c>
      <c r="CH17" s="67">
        <f t="shared" si="41"/>
        <v>38.700000000011642</v>
      </c>
      <c r="CI17" s="60">
        <v>1128490</v>
      </c>
      <c r="CJ17" s="67">
        <f t="shared" si="42"/>
        <v>315</v>
      </c>
      <c r="CK17" s="60">
        <v>1240.3</v>
      </c>
      <c r="CL17" s="64">
        <f t="shared" si="43"/>
        <v>799.99999999995453</v>
      </c>
      <c r="CM17" s="65">
        <f t="shared" si="44"/>
        <v>117.70000000000073</v>
      </c>
      <c r="CN17" s="62">
        <v>32</v>
      </c>
      <c r="CO17" s="62">
        <v>66</v>
      </c>
      <c r="CP17" s="68">
        <v>54642</v>
      </c>
      <c r="CQ17" s="67">
        <f t="shared" si="45"/>
        <v>80</v>
      </c>
      <c r="CR17" s="68">
        <v>28196</v>
      </c>
      <c r="CS17" s="67">
        <f t="shared" si="46"/>
        <v>37.700000000000728</v>
      </c>
      <c r="CT17" s="75">
        <v>13405</v>
      </c>
      <c r="CU17" s="67">
        <f t="shared" si="47"/>
        <v>16</v>
      </c>
      <c r="CV17" s="68">
        <v>32357</v>
      </c>
      <c r="CW17" s="67">
        <f t="shared" si="48"/>
        <v>28</v>
      </c>
      <c r="CX17" s="58">
        <v>6046.6</v>
      </c>
      <c r="CY17" s="67">
        <f t="shared" si="49"/>
        <v>5.5</v>
      </c>
    </row>
    <row r="18" spans="1:103" ht="25.5" customHeight="1" thickBot="1" x14ac:dyDescent="0.45">
      <c r="A18" s="63">
        <v>44972</v>
      </c>
      <c r="B18" s="44"/>
      <c r="C18" s="58">
        <v>3.9014000000000002</v>
      </c>
      <c r="D18" s="64">
        <f t="shared" si="1"/>
        <v>1900.0000000000127</v>
      </c>
      <c r="E18" s="58">
        <v>5.1790000000000003</v>
      </c>
      <c r="F18" s="64">
        <f t="shared" si="2"/>
        <v>3200.0000000005357</v>
      </c>
      <c r="G18" s="58">
        <v>5.2121000000000004</v>
      </c>
      <c r="H18" s="64">
        <f t="shared" si="3"/>
        <v>3800.0000000000255</v>
      </c>
      <c r="I18" s="58">
        <v>2.5718000000000001</v>
      </c>
      <c r="J18" s="64">
        <f t="shared" si="4"/>
        <v>1500.0000000000568</v>
      </c>
      <c r="K18" s="58">
        <v>3.9411999999999998</v>
      </c>
      <c r="L18" s="64">
        <f t="shared" si="5"/>
        <v>2199.9999999997576</v>
      </c>
      <c r="M18" s="58">
        <v>2.3847</v>
      </c>
      <c r="N18" s="64">
        <f t="shared" si="6"/>
        <v>1199.9999999998679</v>
      </c>
      <c r="O18" s="58">
        <v>29037</v>
      </c>
      <c r="P18" s="67">
        <f t="shared" si="7"/>
        <v>16</v>
      </c>
      <c r="Q18" s="58">
        <v>3641</v>
      </c>
      <c r="R18" s="67">
        <f t="shared" si="8"/>
        <v>3</v>
      </c>
      <c r="S18" s="58">
        <v>1691.7</v>
      </c>
      <c r="T18" s="67">
        <f t="shared" si="50"/>
        <v>1400.0000000000909</v>
      </c>
      <c r="U18" s="58">
        <v>667457.6</v>
      </c>
      <c r="V18" s="67">
        <f t="shared" si="9"/>
        <v>458.09999999997672</v>
      </c>
      <c r="W18" s="58">
        <v>600.20000000000005</v>
      </c>
      <c r="X18" s="65">
        <f t="shared" si="10"/>
        <v>300.00000000006821</v>
      </c>
      <c r="Y18" s="58">
        <v>4.5698999999999996</v>
      </c>
      <c r="Z18" s="65">
        <f t="shared" si="11"/>
        <v>2999.9999999992256</v>
      </c>
      <c r="AA18" s="58">
        <v>607.42999999999995</v>
      </c>
      <c r="AB18" s="65">
        <f t="shared" si="12"/>
        <v>359.99999999989996</v>
      </c>
      <c r="AC18" s="58">
        <v>613.37</v>
      </c>
      <c r="AD18" s="65">
        <f t="shared" si="13"/>
        <v>340.00000000003183</v>
      </c>
      <c r="AE18" s="58">
        <v>977.77</v>
      </c>
      <c r="AF18" s="65">
        <f t="shared" si="14"/>
        <v>419.99999999995907</v>
      </c>
      <c r="AG18" s="58">
        <v>27492</v>
      </c>
      <c r="AH18" s="67">
        <f t="shared" si="15"/>
        <v>38</v>
      </c>
      <c r="AI18" s="58">
        <v>1.0423</v>
      </c>
      <c r="AJ18" s="65">
        <f t="shared" si="16"/>
        <v>399.99999999995595</v>
      </c>
      <c r="AK18" s="58">
        <v>344.42</v>
      </c>
      <c r="AL18" s="65">
        <f t="shared" si="17"/>
        <v>199.99999999998863</v>
      </c>
      <c r="AM18" s="58">
        <v>316</v>
      </c>
      <c r="AN18" s="65">
        <f t="shared" si="18"/>
        <v>220.00000000002728</v>
      </c>
      <c r="AO18" s="58">
        <v>305.26</v>
      </c>
      <c r="AP18" s="65">
        <f t="shared" si="19"/>
        <v>79.999999999984084</v>
      </c>
      <c r="AQ18" s="58">
        <v>358.44</v>
      </c>
      <c r="AR18" s="65">
        <f t="shared" si="20"/>
        <v>209.99999999997954</v>
      </c>
      <c r="AS18" s="58">
        <v>484.21</v>
      </c>
      <c r="AT18" s="65">
        <f t="shared" si="21"/>
        <v>129.99999999999545</v>
      </c>
      <c r="AU18" s="58">
        <v>387.83</v>
      </c>
      <c r="AV18" s="65">
        <f t="shared" si="22"/>
        <v>60.000000000002274</v>
      </c>
      <c r="AW18" s="58">
        <v>415.44</v>
      </c>
      <c r="AX18" s="65">
        <f t="shared" si="23"/>
        <v>69.999999999993179</v>
      </c>
      <c r="AY18" s="58">
        <v>450.45</v>
      </c>
      <c r="AZ18" s="65">
        <f t="shared" si="24"/>
        <v>79.999999999984084</v>
      </c>
      <c r="BA18" s="58">
        <v>468.1</v>
      </c>
      <c r="BB18" s="65">
        <f t="shared" si="25"/>
        <v>50.000000000011369</v>
      </c>
      <c r="BC18" s="58">
        <v>300.83</v>
      </c>
      <c r="BD18" s="65">
        <f t="shared" si="26"/>
        <v>109.9999999999568</v>
      </c>
      <c r="BE18" s="59">
        <v>62169</v>
      </c>
      <c r="BF18" s="67">
        <f t="shared" si="27"/>
        <v>46</v>
      </c>
      <c r="BG18" s="60">
        <v>258.64999999999998</v>
      </c>
      <c r="BH18" s="65">
        <f t="shared" si="28"/>
        <v>39.99999999996362</v>
      </c>
      <c r="BI18" s="60">
        <v>312.67</v>
      </c>
      <c r="BJ18" s="65">
        <f t="shared" si="29"/>
        <v>30.000000000029559</v>
      </c>
      <c r="BK18" s="60">
        <v>265.29000000000002</v>
      </c>
      <c r="BL18" s="65">
        <f t="shared" si="30"/>
        <v>60.000000000002274</v>
      </c>
      <c r="BM18" s="60">
        <v>248.6</v>
      </c>
      <c r="BN18" s="65">
        <f t="shared" si="31"/>
        <v>39.999999999992042</v>
      </c>
      <c r="BO18" s="60">
        <v>316.88</v>
      </c>
      <c r="BP18" s="65">
        <f t="shared" si="32"/>
        <v>40.000000000020464</v>
      </c>
      <c r="BQ18" s="60">
        <v>66935</v>
      </c>
      <c r="BR18" s="65">
        <f t="shared" si="33"/>
        <v>40</v>
      </c>
      <c r="BS18" s="60">
        <v>226.94</v>
      </c>
      <c r="BT18" s="65">
        <f t="shared" si="34"/>
        <v>60.000000000002274</v>
      </c>
      <c r="BU18" s="60">
        <v>64241</v>
      </c>
      <c r="BV18" s="65">
        <f t="shared" si="35"/>
        <v>34</v>
      </c>
      <c r="BW18" s="60">
        <v>255</v>
      </c>
      <c r="BX18" s="65">
        <f t="shared" si="36"/>
        <v>39.999999999992042</v>
      </c>
      <c r="BY18" s="60">
        <v>86299</v>
      </c>
      <c r="BZ18" s="67">
        <f t="shared" si="37"/>
        <v>52</v>
      </c>
      <c r="CA18" s="60">
        <v>63995.4</v>
      </c>
      <c r="CB18" s="67">
        <f t="shared" si="38"/>
        <v>55.400000000001455</v>
      </c>
      <c r="CC18" s="60">
        <v>19012.5</v>
      </c>
      <c r="CD18" s="67">
        <f t="shared" si="39"/>
        <v>15.5</v>
      </c>
      <c r="CE18" s="60">
        <v>9113.1</v>
      </c>
      <c r="CF18" s="67">
        <f t="shared" si="40"/>
        <v>3.8999999999996362</v>
      </c>
      <c r="CG18" s="60">
        <v>87376.2</v>
      </c>
      <c r="CH18" s="67">
        <f t="shared" si="41"/>
        <v>47.599999999991269</v>
      </c>
      <c r="CI18" s="60">
        <v>1128808</v>
      </c>
      <c r="CJ18" s="67">
        <f t="shared" si="42"/>
        <v>318</v>
      </c>
      <c r="CK18" s="60">
        <v>1241.0999999999999</v>
      </c>
      <c r="CL18" s="64">
        <f t="shared" si="43"/>
        <v>799.99999999995453</v>
      </c>
      <c r="CM18" s="65">
        <f t="shared" si="44"/>
        <v>130</v>
      </c>
      <c r="CN18" s="62">
        <v>32</v>
      </c>
      <c r="CO18" s="62">
        <v>66</v>
      </c>
      <c r="CP18" s="68">
        <v>54718</v>
      </c>
      <c r="CQ18" s="67">
        <f t="shared" si="45"/>
        <v>76</v>
      </c>
      <c r="CR18" s="68">
        <v>28250</v>
      </c>
      <c r="CS18" s="67">
        <f t="shared" si="46"/>
        <v>54</v>
      </c>
      <c r="CT18" s="75">
        <v>13423</v>
      </c>
      <c r="CU18" s="67">
        <f t="shared" si="47"/>
        <v>18</v>
      </c>
      <c r="CV18" s="68">
        <v>32377</v>
      </c>
      <c r="CW18" s="67">
        <f t="shared" si="48"/>
        <v>20</v>
      </c>
      <c r="CX18" s="58">
        <v>6054.9</v>
      </c>
      <c r="CY18" s="67">
        <f t="shared" si="49"/>
        <v>8.2999999999992724</v>
      </c>
    </row>
    <row r="19" spans="1:103" ht="25.5" customHeight="1" thickBot="1" x14ac:dyDescent="0.45">
      <c r="A19" s="63">
        <v>44973</v>
      </c>
      <c r="B19" s="44"/>
      <c r="C19" s="58">
        <v>3.9037999999999999</v>
      </c>
      <c r="D19" s="64">
        <f t="shared" si="1"/>
        <v>2399.9999999997358</v>
      </c>
      <c r="E19" s="58">
        <v>5.1825000000000001</v>
      </c>
      <c r="F19" s="64">
        <f t="shared" si="2"/>
        <v>3499.9999999998367</v>
      </c>
      <c r="G19" s="58">
        <v>5.2159000000000004</v>
      </c>
      <c r="H19" s="64">
        <f t="shared" si="3"/>
        <v>3800.0000000000255</v>
      </c>
      <c r="I19" s="58">
        <v>2.5737000000000001</v>
      </c>
      <c r="J19" s="64">
        <f t="shared" si="4"/>
        <v>1900.0000000000127</v>
      </c>
      <c r="K19" s="58">
        <v>3.9432999999999998</v>
      </c>
      <c r="L19" s="64">
        <f t="shared" si="5"/>
        <v>2099.9999999999909</v>
      </c>
      <c r="M19" s="58">
        <v>2.3862999999999999</v>
      </c>
      <c r="N19" s="64">
        <f t="shared" si="6"/>
        <v>1599.9999999998238</v>
      </c>
      <c r="O19" s="58">
        <v>29071</v>
      </c>
      <c r="P19" s="67">
        <f t="shared" si="7"/>
        <v>34</v>
      </c>
      <c r="Q19" s="58">
        <v>3647</v>
      </c>
      <c r="R19" s="67">
        <f t="shared" si="8"/>
        <v>6</v>
      </c>
      <c r="S19" s="58">
        <v>1692.9</v>
      </c>
      <c r="T19" s="67">
        <f t="shared" si="50"/>
        <v>1200.0000000000455</v>
      </c>
      <c r="U19" s="58">
        <v>667973.80000000005</v>
      </c>
      <c r="V19" s="67">
        <f t="shared" si="9"/>
        <v>516.20000000006985</v>
      </c>
      <c r="W19" s="58">
        <v>600.65</v>
      </c>
      <c r="X19" s="65">
        <f t="shared" si="10"/>
        <v>449.99999999993179</v>
      </c>
      <c r="Y19" s="58">
        <v>4.5728</v>
      </c>
      <c r="Z19" s="65">
        <f t="shared" si="11"/>
        <v>2900.0000000003465</v>
      </c>
      <c r="AA19" s="58">
        <v>607.65</v>
      </c>
      <c r="AB19" s="65">
        <f t="shared" si="12"/>
        <v>220.00000000002728</v>
      </c>
      <c r="AC19" s="58">
        <v>613.84</v>
      </c>
      <c r="AD19" s="65">
        <f t="shared" si="13"/>
        <v>470.00000000002728</v>
      </c>
      <c r="AE19" s="58">
        <v>978.6</v>
      </c>
      <c r="AF19" s="65">
        <f t="shared" si="14"/>
        <v>830.00000000004093</v>
      </c>
      <c r="AG19" s="58">
        <v>27534</v>
      </c>
      <c r="AH19" s="67">
        <f t="shared" si="15"/>
        <v>42</v>
      </c>
      <c r="AI19" s="58">
        <v>1.0428999999999999</v>
      </c>
      <c r="AJ19" s="65">
        <f t="shared" si="16"/>
        <v>599.99999999993395</v>
      </c>
      <c r="AK19" s="58">
        <v>344.7</v>
      </c>
      <c r="AL19" s="65">
        <f t="shared" si="17"/>
        <v>279.99999999997272</v>
      </c>
      <c r="AM19" s="58">
        <v>316.27</v>
      </c>
      <c r="AN19" s="65">
        <f t="shared" si="18"/>
        <v>269.99999999998181</v>
      </c>
      <c r="AO19" s="58">
        <v>305.39</v>
      </c>
      <c r="AP19" s="65">
        <f t="shared" si="19"/>
        <v>129.99999999999545</v>
      </c>
      <c r="AQ19" s="58">
        <v>358.58</v>
      </c>
      <c r="AR19" s="65">
        <f t="shared" si="20"/>
        <v>139.99999999998636</v>
      </c>
      <c r="AS19" s="58">
        <v>484.37</v>
      </c>
      <c r="AT19" s="65">
        <f t="shared" si="21"/>
        <v>160.00000000002501</v>
      </c>
      <c r="AU19" s="58">
        <v>387.89</v>
      </c>
      <c r="AV19" s="65">
        <f t="shared" si="22"/>
        <v>60.000000000002274</v>
      </c>
      <c r="AW19" s="58">
        <v>415.57</v>
      </c>
      <c r="AX19" s="65">
        <f t="shared" si="23"/>
        <v>129.99999999999545</v>
      </c>
      <c r="AY19" s="58">
        <v>450.58</v>
      </c>
      <c r="AZ19" s="65">
        <f t="shared" si="24"/>
        <v>129.99999999999545</v>
      </c>
      <c r="BA19" s="58">
        <v>468.15</v>
      </c>
      <c r="BB19" s="65">
        <f t="shared" si="25"/>
        <v>49.999999999954525</v>
      </c>
      <c r="BC19" s="58">
        <v>300.95999999999998</v>
      </c>
      <c r="BD19" s="65">
        <f t="shared" si="26"/>
        <v>129.99999999999545</v>
      </c>
      <c r="BE19" s="59">
        <v>62203</v>
      </c>
      <c r="BF19" s="67">
        <f t="shared" si="27"/>
        <v>34</v>
      </c>
      <c r="BG19" s="60">
        <v>258.69</v>
      </c>
      <c r="BH19" s="65">
        <f t="shared" si="28"/>
        <v>40.000000000020464</v>
      </c>
      <c r="BI19" s="60">
        <v>312.72000000000003</v>
      </c>
      <c r="BJ19" s="65">
        <f t="shared" si="29"/>
        <v>50.000000000011369</v>
      </c>
      <c r="BK19" s="60">
        <v>265.35000000000002</v>
      </c>
      <c r="BL19" s="65">
        <f t="shared" si="30"/>
        <v>60.000000000002274</v>
      </c>
      <c r="BM19" s="60">
        <v>248.64</v>
      </c>
      <c r="BN19" s="65">
        <f t="shared" si="31"/>
        <v>39.999999999992042</v>
      </c>
      <c r="BO19" s="60">
        <v>316.92</v>
      </c>
      <c r="BP19" s="65">
        <f t="shared" si="32"/>
        <v>40.000000000020464</v>
      </c>
      <c r="BQ19" s="60">
        <v>66981</v>
      </c>
      <c r="BR19" s="65">
        <f t="shared" si="33"/>
        <v>46</v>
      </c>
      <c r="BS19" s="60">
        <v>227.01</v>
      </c>
      <c r="BT19" s="65">
        <f t="shared" si="34"/>
        <v>69.999999999993179</v>
      </c>
      <c r="BU19" s="60">
        <v>64282</v>
      </c>
      <c r="BV19" s="65">
        <f t="shared" si="35"/>
        <v>41</v>
      </c>
      <c r="BW19" s="60">
        <v>255.06</v>
      </c>
      <c r="BX19" s="65">
        <f t="shared" si="36"/>
        <v>60.000000000002274</v>
      </c>
      <c r="BY19" s="60">
        <v>86354</v>
      </c>
      <c r="BZ19" s="67">
        <f t="shared" si="37"/>
        <v>55</v>
      </c>
      <c r="CA19" s="60">
        <v>64064</v>
      </c>
      <c r="CB19" s="67">
        <f t="shared" si="38"/>
        <v>68.599999999998545</v>
      </c>
      <c r="CC19" s="60">
        <v>19028.5</v>
      </c>
      <c r="CD19" s="67">
        <f t="shared" si="39"/>
        <v>16</v>
      </c>
      <c r="CE19" s="60">
        <v>9115.1</v>
      </c>
      <c r="CF19" s="67">
        <f t="shared" si="40"/>
        <v>2</v>
      </c>
      <c r="CG19" s="60">
        <v>87419.199999999997</v>
      </c>
      <c r="CH19" s="67">
        <f t="shared" si="41"/>
        <v>43</v>
      </c>
      <c r="CI19" s="60">
        <v>1129124</v>
      </c>
      <c r="CJ19" s="67">
        <f t="shared" si="42"/>
        <v>316</v>
      </c>
      <c r="CK19" s="60">
        <v>1242</v>
      </c>
      <c r="CL19" s="64">
        <f t="shared" si="43"/>
        <v>900.00000000009095</v>
      </c>
      <c r="CM19" s="65">
        <f t="shared" si="44"/>
        <v>146</v>
      </c>
      <c r="CN19" s="62">
        <v>39</v>
      </c>
      <c r="CO19" s="62">
        <v>73</v>
      </c>
      <c r="CP19" s="68">
        <v>54796</v>
      </c>
      <c r="CQ19" s="67">
        <f t="shared" si="45"/>
        <v>78</v>
      </c>
      <c r="CR19" s="68">
        <v>28318</v>
      </c>
      <c r="CS19" s="67">
        <f t="shared" si="46"/>
        <v>68</v>
      </c>
      <c r="CT19" s="75">
        <v>13439</v>
      </c>
      <c r="CU19" s="67">
        <f t="shared" si="47"/>
        <v>16</v>
      </c>
      <c r="CV19" s="68">
        <v>32399</v>
      </c>
      <c r="CW19" s="67">
        <f t="shared" si="48"/>
        <v>22</v>
      </c>
      <c r="CX19" s="58">
        <v>6067.3</v>
      </c>
      <c r="CY19" s="67">
        <f t="shared" si="49"/>
        <v>12.400000000000546</v>
      </c>
    </row>
    <row r="20" spans="1:103" ht="25.5" customHeight="1" thickBot="1" x14ac:dyDescent="0.45">
      <c r="A20" s="63">
        <v>44974</v>
      </c>
      <c r="B20" s="44"/>
      <c r="C20" s="58">
        <v>3.9058000000000002</v>
      </c>
      <c r="D20" s="64">
        <f t="shared" si="1"/>
        <v>2000.0000000002237</v>
      </c>
      <c r="E20" s="58">
        <v>5.1858000000000004</v>
      </c>
      <c r="F20" s="64">
        <f t="shared" si="2"/>
        <v>3300.0000000003029</v>
      </c>
      <c r="G20" s="58">
        <v>5.22</v>
      </c>
      <c r="H20" s="64">
        <f t="shared" si="3"/>
        <v>4099.9999999993261</v>
      </c>
      <c r="I20" s="58">
        <v>2.5752000000000002</v>
      </c>
      <c r="J20" s="64">
        <f t="shared" si="4"/>
        <v>1500.0000000000568</v>
      </c>
      <c r="K20" s="58">
        <v>3.9453</v>
      </c>
      <c r="L20" s="64">
        <f t="shared" si="5"/>
        <v>2000.0000000002237</v>
      </c>
      <c r="M20" s="58">
        <v>2.3877999999999999</v>
      </c>
      <c r="N20" s="64">
        <f t="shared" si="6"/>
        <v>1500.0000000000568</v>
      </c>
      <c r="O20" s="58">
        <v>29095</v>
      </c>
      <c r="P20" s="67">
        <f t="shared" si="7"/>
        <v>24</v>
      </c>
      <c r="Q20" s="58">
        <v>3650</v>
      </c>
      <c r="R20" s="67">
        <f t="shared" si="8"/>
        <v>3</v>
      </c>
      <c r="S20" s="58">
        <v>1694.3</v>
      </c>
      <c r="T20" s="67">
        <f t="shared" si="50"/>
        <v>1399.9999999998636</v>
      </c>
      <c r="U20" s="58">
        <v>668496.69999999995</v>
      </c>
      <c r="V20" s="67">
        <f t="shared" si="9"/>
        <v>522.89999999990687</v>
      </c>
      <c r="W20" s="58">
        <v>601.04</v>
      </c>
      <c r="X20" s="65">
        <f t="shared" si="10"/>
        <v>389.99999999998636</v>
      </c>
      <c r="Y20" s="58">
        <v>4.5754999999999999</v>
      </c>
      <c r="Z20" s="65">
        <f t="shared" si="11"/>
        <v>2699.9999999999245</v>
      </c>
      <c r="AA20" s="58">
        <v>608</v>
      </c>
      <c r="AB20" s="65">
        <f t="shared" si="12"/>
        <v>350.00000000002274</v>
      </c>
      <c r="AC20" s="58">
        <v>614.23</v>
      </c>
      <c r="AD20" s="65">
        <f t="shared" si="13"/>
        <v>389.99999999998636</v>
      </c>
      <c r="AE20" s="58">
        <v>979.26</v>
      </c>
      <c r="AF20" s="65">
        <f t="shared" si="14"/>
        <v>659.99999999996817</v>
      </c>
      <c r="AG20" s="58">
        <v>27581</v>
      </c>
      <c r="AH20" s="67">
        <f t="shared" si="15"/>
        <v>47</v>
      </c>
      <c r="AI20" s="58">
        <v>1.0435000000000001</v>
      </c>
      <c r="AJ20" s="65">
        <f t="shared" si="16"/>
        <v>600.00000000015598</v>
      </c>
      <c r="AK20" s="58">
        <v>344.93</v>
      </c>
      <c r="AL20" s="65">
        <f t="shared" si="17"/>
        <v>230.00000000001819</v>
      </c>
      <c r="AM20" s="58">
        <v>316.41000000000003</v>
      </c>
      <c r="AN20" s="65">
        <f t="shared" si="18"/>
        <v>140.0000000000432</v>
      </c>
      <c r="AO20" s="58">
        <v>305.49</v>
      </c>
      <c r="AP20" s="65">
        <f t="shared" si="19"/>
        <v>100.00000000002274</v>
      </c>
      <c r="AQ20" s="58">
        <v>358.68</v>
      </c>
      <c r="AR20" s="65">
        <f t="shared" si="20"/>
        <v>100.00000000002274</v>
      </c>
      <c r="AS20" s="58">
        <v>484.51</v>
      </c>
      <c r="AT20" s="65">
        <f t="shared" si="21"/>
        <v>139.99999999998636</v>
      </c>
      <c r="AU20" s="58">
        <v>387.95</v>
      </c>
      <c r="AV20" s="65">
        <f t="shared" si="22"/>
        <v>60.000000000002274</v>
      </c>
      <c r="AW20" s="58">
        <v>415.66</v>
      </c>
      <c r="AX20" s="65">
        <f t="shared" si="23"/>
        <v>90.000000000031832</v>
      </c>
      <c r="AY20" s="58">
        <v>450.74</v>
      </c>
      <c r="AZ20" s="65">
        <f t="shared" si="24"/>
        <v>160.00000000002501</v>
      </c>
      <c r="BA20" s="58">
        <v>468.21</v>
      </c>
      <c r="BB20" s="65">
        <f t="shared" si="25"/>
        <v>60.000000000002274</v>
      </c>
      <c r="BC20" s="58">
        <v>301.08</v>
      </c>
      <c r="BD20" s="65">
        <f t="shared" si="26"/>
        <v>120.00000000000455</v>
      </c>
      <c r="BE20" s="59">
        <v>62207</v>
      </c>
      <c r="BF20" s="67">
        <f t="shared" si="27"/>
        <v>4</v>
      </c>
      <c r="BG20" s="60">
        <v>258.72000000000003</v>
      </c>
      <c r="BH20" s="65">
        <f t="shared" si="28"/>
        <v>30.000000000029559</v>
      </c>
      <c r="BI20" s="60">
        <v>312.75</v>
      </c>
      <c r="BJ20" s="65">
        <f t="shared" si="29"/>
        <v>29.999999999972715</v>
      </c>
      <c r="BK20" s="60">
        <v>265.39999999999998</v>
      </c>
      <c r="BL20" s="65">
        <f t="shared" si="30"/>
        <v>49.999999999954525</v>
      </c>
      <c r="BM20" s="60">
        <v>248.72</v>
      </c>
      <c r="BN20" s="65">
        <f t="shared" si="31"/>
        <v>80.000000000012506</v>
      </c>
      <c r="BO20" s="60">
        <v>316.95999999999998</v>
      </c>
      <c r="BP20" s="65">
        <f t="shared" si="32"/>
        <v>39.99999999996362</v>
      </c>
      <c r="BQ20" s="60">
        <v>67023</v>
      </c>
      <c r="BR20" s="65">
        <f t="shared" si="33"/>
        <v>42</v>
      </c>
      <c r="BS20" s="60">
        <v>227.06</v>
      </c>
      <c r="BT20" s="65">
        <f t="shared" si="34"/>
        <v>50.000000000011369</v>
      </c>
      <c r="BU20" s="60">
        <v>64315</v>
      </c>
      <c r="BV20" s="65">
        <f t="shared" si="35"/>
        <v>33</v>
      </c>
      <c r="BW20" s="60">
        <v>255.11</v>
      </c>
      <c r="BX20" s="65">
        <f t="shared" si="36"/>
        <v>50.000000000011369</v>
      </c>
      <c r="BY20" s="60">
        <v>86403</v>
      </c>
      <c r="BZ20" s="67">
        <f t="shared" si="37"/>
        <v>49</v>
      </c>
      <c r="CA20" s="60">
        <v>64124.5</v>
      </c>
      <c r="CB20" s="67">
        <f t="shared" si="38"/>
        <v>60.5</v>
      </c>
      <c r="CC20" s="60">
        <v>19039.8</v>
      </c>
      <c r="CD20" s="67">
        <f t="shared" si="39"/>
        <v>11.299999999999272</v>
      </c>
      <c r="CE20" s="60">
        <v>9121.7999999999993</v>
      </c>
      <c r="CF20" s="67">
        <f t="shared" si="40"/>
        <v>6.6999999999989086</v>
      </c>
      <c r="CG20" s="60">
        <v>87443</v>
      </c>
      <c r="CH20" s="67">
        <f t="shared" si="41"/>
        <v>23.80000000000291</v>
      </c>
      <c r="CI20" s="60">
        <v>1129429</v>
      </c>
      <c r="CJ20" s="67">
        <f t="shared" si="42"/>
        <v>305</v>
      </c>
      <c r="CK20" s="60">
        <v>1243</v>
      </c>
      <c r="CL20" s="64">
        <f t="shared" si="43"/>
        <v>1000</v>
      </c>
      <c r="CM20" s="65">
        <f t="shared" si="44"/>
        <v>137</v>
      </c>
      <c r="CN20" s="62">
        <v>39</v>
      </c>
      <c r="CO20" s="62">
        <v>73</v>
      </c>
      <c r="CP20" s="68">
        <v>54879</v>
      </c>
      <c r="CQ20" s="67">
        <f t="shared" si="45"/>
        <v>83</v>
      </c>
      <c r="CR20" s="68">
        <v>28372</v>
      </c>
      <c r="CS20" s="67">
        <f t="shared" si="46"/>
        <v>54</v>
      </c>
      <c r="CT20" s="75">
        <v>13456</v>
      </c>
      <c r="CU20" s="67">
        <f t="shared" si="47"/>
        <v>17</v>
      </c>
      <c r="CV20" s="68">
        <v>32420</v>
      </c>
      <c r="CW20" s="67">
        <f t="shared" si="48"/>
        <v>21</v>
      </c>
      <c r="CX20" s="58">
        <v>6078.1</v>
      </c>
      <c r="CY20" s="67">
        <f t="shared" si="49"/>
        <v>10.800000000000182</v>
      </c>
    </row>
    <row r="21" spans="1:103" ht="25.5" customHeight="1" thickBot="1" x14ac:dyDescent="0.45">
      <c r="A21" s="63">
        <v>44975</v>
      </c>
      <c r="B21" s="44"/>
      <c r="C21" s="58">
        <v>3.9079999999999999</v>
      </c>
      <c r="D21" s="64">
        <f t="shared" si="1"/>
        <v>2199.9999999997576</v>
      </c>
      <c r="E21" s="58">
        <v>5.1886999999999999</v>
      </c>
      <c r="F21" s="64">
        <f t="shared" si="2"/>
        <v>2899.9999999994584</v>
      </c>
      <c r="G21" s="58">
        <v>5.2237999999999998</v>
      </c>
      <c r="H21" s="64">
        <f t="shared" si="3"/>
        <v>3800.0000000000255</v>
      </c>
      <c r="I21" s="58">
        <v>2.5769000000000002</v>
      </c>
      <c r="J21" s="64">
        <f t="shared" si="4"/>
        <v>1700.0000000000348</v>
      </c>
      <c r="K21" s="58">
        <v>3.9476</v>
      </c>
      <c r="L21" s="64">
        <f t="shared" si="5"/>
        <v>2299.9999999999686</v>
      </c>
      <c r="M21" s="58">
        <v>2.3893</v>
      </c>
      <c r="N21" s="64">
        <f t="shared" si="6"/>
        <v>1500.0000000000568</v>
      </c>
      <c r="O21" s="58">
        <v>29122</v>
      </c>
      <c r="P21" s="67">
        <f t="shared" si="7"/>
        <v>27</v>
      </c>
      <c r="Q21" s="58">
        <v>3654</v>
      </c>
      <c r="R21" s="67">
        <f t="shared" si="8"/>
        <v>4</v>
      </c>
      <c r="S21" s="58">
        <v>1695.6</v>
      </c>
      <c r="T21" s="67">
        <f t="shared" si="50"/>
        <v>1299.9999999999545</v>
      </c>
      <c r="U21" s="58">
        <v>668973.69999999995</v>
      </c>
      <c r="V21" s="67">
        <f t="shared" si="9"/>
        <v>477</v>
      </c>
      <c r="W21" s="58">
        <v>601.48</v>
      </c>
      <c r="X21" s="65">
        <f t="shared" si="10"/>
        <v>440.00000000005457</v>
      </c>
      <c r="Y21" s="58">
        <v>4.5785999999999998</v>
      </c>
      <c r="Z21" s="65">
        <f t="shared" si="11"/>
        <v>3099.9999999998809</v>
      </c>
      <c r="AA21" s="58">
        <v>608.39</v>
      </c>
      <c r="AB21" s="65">
        <f t="shared" si="12"/>
        <v>389.99999999998636</v>
      </c>
      <c r="AC21" s="58">
        <v>614.69000000000005</v>
      </c>
      <c r="AD21" s="65">
        <f t="shared" si="13"/>
        <v>460.00000000003638</v>
      </c>
      <c r="AE21" s="58">
        <v>979.85</v>
      </c>
      <c r="AF21" s="65">
        <f t="shared" si="14"/>
        <v>590.00000000003183</v>
      </c>
      <c r="AG21" s="58">
        <v>27636</v>
      </c>
      <c r="AH21" s="67">
        <f t="shared" si="15"/>
        <v>55</v>
      </c>
      <c r="AI21" s="58">
        <v>1.0443</v>
      </c>
      <c r="AJ21" s="65">
        <f t="shared" si="16"/>
        <v>799.99999999991189</v>
      </c>
      <c r="AK21" s="58">
        <v>345.23</v>
      </c>
      <c r="AL21" s="65">
        <f t="shared" si="17"/>
        <v>300.00000000001137</v>
      </c>
      <c r="AM21" s="58">
        <v>316.63</v>
      </c>
      <c r="AN21" s="65">
        <f t="shared" si="18"/>
        <v>219.99999999997044</v>
      </c>
      <c r="AO21" s="58">
        <v>305.61</v>
      </c>
      <c r="AP21" s="65">
        <f t="shared" si="19"/>
        <v>120.00000000000455</v>
      </c>
      <c r="AQ21" s="58">
        <v>358.77</v>
      </c>
      <c r="AR21" s="65">
        <f t="shared" si="20"/>
        <v>89.999999999974989</v>
      </c>
      <c r="AS21" s="58">
        <v>484.67</v>
      </c>
      <c r="AT21" s="65">
        <f t="shared" si="21"/>
        <v>160.00000000002501</v>
      </c>
      <c r="AU21" s="58">
        <v>387.99</v>
      </c>
      <c r="AV21" s="65">
        <f t="shared" si="22"/>
        <v>40.000000000020464</v>
      </c>
      <c r="AW21" s="58">
        <v>415.73</v>
      </c>
      <c r="AX21" s="65">
        <f t="shared" si="23"/>
        <v>69.999999999993179</v>
      </c>
      <c r="AY21" s="58">
        <v>450.88</v>
      </c>
      <c r="AZ21" s="65">
        <f t="shared" si="24"/>
        <v>139.99999999998636</v>
      </c>
      <c r="BA21" s="58">
        <v>468.31</v>
      </c>
      <c r="BB21" s="65">
        <f t="shared" si="25"/>
        <v>100.00000000002274</v>
      </c>
      <c r="BC21" s="58">
        <v>301.24</v>
      </c>
      <c r="BD21" s="65">
        <f t="shared" si="26"/>
        <v>160.00000000002501</v>
      </c>
      <c r="BE21" s="59">
        <v>62235</v>
      </c>
      <c r="BF21" s="67">
        <f t="shared" si="27"/>
        <v>28</v>
      </c>
      <c r="BG21" s="60">
        <v>258.77</v>
      </c>
      <c r="BH21" s="65">
        <f t="shared" si="28"/>
        <v>49.999999999954525</v>
      </c>
      <c r="BI21" s="60">
        <v>312.79000000000002</v>
      </c>
      <c r="BJ21" s="65">
        <f t="shared" si="29"/>
        <v>40.000000000020464</v>
      </c>
      <c r="BK21" s="60">
        <v>265.45</v>
      </c>
      <c r="BL21" s="65">
        <f t="shared" si="30"/>
        <v>50.000000000011369</v>
      </c>
      <c r="BM21" s="60">
        <v>248.73</v>
      </c>
      <c r="BN21" s="65">
        <f t="shared" si="31"/>
        <v>9.9999999999909051</v>
      </c>
      <c r="BO21" s="60">
        <v>317</v>
      </c>
      <c r="BP21" s="65">
        <f t="shared" si="32"/>
        <v>40.000000000020464</v>
      </c>
      <c r="BQ21" s="60">
        <v>67063</v>
      </c>
      <c r="BR21" s="65">
        <f t="shared" si="33"/>
        <v>40</v>
      </c>
      <c r="BS21" s="60">
        <v>227.11</v>
      </c>
      <c r="BT21" s="65">
        <f t="shared" si="34"/>
        <v>50.000000000011369</v>
      </c>
      <c r="BU21" s="60">
        <v>64352</v>
      </c>
      <c r="BV21" s="65">
        <f t="shared" si="35"/>
        <v>37</v>
      </c>
      <c r="BW21" s="60">
        <v>255.16</v>
      </c>
      <c r="BX21" s="65">
        <f t="shared" si="36"/>
        <v>49.999999999982947</v>
      </c>
      <c r="BY21" s="60">
        <v>86456</v>
      </c>
      <c r="BZ21" s="67">
        <f t="shared" si="37"/>
        <v>53</v>
      </c>
      <c r="CA21" s="60">
        <v>64196.1</v>
      </c>
      <c r="CB21" s="67">
        <f t="shared" si="38"/>
        <v>71.599999999998545</v>
      </c>
      <c r="CC21" s="60">
        <v>19051.099999999999</v>
      </c>
      <c r="CD21" s="67">
        <f t="shared" si="39"/>
        <v>11.299999999999272</v>
      </c>
      <c r="CE21" s="60">
        <v>9124.7999999999993</v>
      </c>
      <c r="CF21" s="67">
        <f t="shared" si="40"/>
        <v>3</v>
      </c>
      <c r="CG21" s="60">
        <v>87501.9</v>
      </c>
      <c r="CH21" s="67">
        <f t="shared" si="41"/>
        <v>58.899999999994179</v>
      </c>
      <c r="CI21" s="60">
        <v>1129738</v>
      </c>
      <c r="CJ21" s="67">
        <f t="shared" si="42"/>
        <v>309</v>
      </c>
      <c r="CK21" s="60">
        <v>1244</v>
      </c>
      <c r="CL21" s="64">
        <f t="shared" si="43"/>
        <v>1000</v>
      </c>
      <c r="CM21" s="65">
        <f t="shared" si="44"/>
        <v>118</v>
      </c>
      <c r="CN21" s="62">
        <v>30</v>
      </c>
      <c r="CO21" s="62">
        <v>67</v>
      </c>
      <c r="CP21" s="68">
        <v>54957</v>
      </c>
      <c r="CQ21" s="67">
        <f t="shared" si="45"/>
        <v>78</v>
      </c>
      <c r="CR21" s="68">
        <v>28412</v>
      </c>
      <c r="CS21" s="67">
        <f t="shared" si="46"/>
        <v>40</v>
      </c>
      <c r="CT21" s="75">
        <v>13472</v>
      </c>
      <c r="CU21" s="67">
        <f t="shared" si="47"/>
        <v>16</v>
      </c>
      <c r="CV21" s="68">
        <v>32447</v>
      </c>
      <c r="CW21" s="67">
        <f t="shared" si="48"/>
        <v>27</v>
      </c>
      <c r="CX21" s="58">
        <v>6090.2</v>
      </c>
      <c r="CY21" s="67">
        <f t="shared" si="49"/>
        <v>12.099999999999454</v>
      </c>
    </row>
    <row r="22" spans="1:103" ht="25.5" customHeight="1" thickBot="1" x14ac:dyDescent="0.45">
      <c r="A22" s="63">
        <v>44976</v>
      </c>
      <c r="B22" s="44"/>
      <c r="C22" s="58">
        <v>3.9098999999999999</v>
      </c>
      <c r="D22" s="64">
        <f t="shared" si="1"/>
        <v>1900.0000000000127</v>
      </c>
      <c r="E22" s="58">
        <v>5.1919000000000004</v>
      </c>
      <c r="F22" s="64">
        <f t="shared" si="2"/>
        <v>3200.0000000005357</v>
      </c>
      <c r="G22" s="58">
        <v>5.2275</v>
      </c>
      <c r="H22" s="64">
        <f t="shared" si="3"/>
        <v>3700.0000000002588</v>
      </c>
      <c r="I22" s="58">
        <v>2.5783999999999998</v>
      </c>
      <c r="J22" s="64">
        <f t="shared" si="4"/>
        <v>1499.9999999996128</v>
      </c>
      <c r="K22" s="58">
        <v>3.9495</v>
      </c>
      <c r="L22" s="64">
        <f t="shared" si="5"/>
        <v>1900.0000000000127</v>
      </c>
      <c r="M22" s="58">
        <v>2.3902999999999999</v>
      </c>
      <c r="N22" s="64">
        <f t="shared" si="6"/>
        <v>999.99999999988984</v>
      </c>
      <c r="O22" s="58">
        <v>29144</v>
      </c>
      <c r="P22" s="67">
        <f t="shared" si="7"/>
        <v>22</v>
      </c>
      <c r="Q22" s="58">
        <v>3658</v>
      </c>
      <c r="R22" s="67">
        <f t="shared" si="8"/>
        <v>4</v>
      </c>
      <c r="S22" s="58">
        <v>1696.8</v>
      </c>
      <c r="T22" s="67">
        <f t="shared" si="50"/>
        <v>1200.0000000000455</v>
      </c>
      <c r="U22" s="58">
        <v>669361.9</v>
      </c>
      <c r="V22" s="67">
        <f t="shared" si="9"/>
        <v>388.20000000006985</v>
      </c>
      <c r="W22" s="58">
        <v>601.76</v>
      </c>
      <c r="X22" s="65">
        <f t="shared" si="10"/>
        <v>279.99999999997272</v>
      </c>
      <c r="Y22" s="58">
        <v>4.5811999999999999</v>
      </c>
      <c r="Z22" s="65">
        <f t="shared" si="11"/>
        <v>2600.0000000001578</v>
      </c>
      <c r="AA22" s="58">
        <v>608.59</v>
      </c>
      <c r="AB22" s="65">
        <f t="shared" si="12"/>
        <v>200.00000000004547</v>
      </c>
      <c r="AC22" s="58">
        <v>614.97</v>
      </c>
      <c r="AD22" s="65">
        <f t="shared" si="13"/>
        <v>279.99999999997272</v>
      </c>
      <c r="AE22" s="58">
        <v>980.17</v>
      </c>
      <c r="AF22" s="65">
        <f t="shared" si="14"/>
        <v>319.99999999993634</v>
      </c>
      <c r="AG22" s="58">
        <v>27672</v>
      </c>
      <c r="AH22" s="67">
        <f t="shared" si="15"/>
        <v>36</v>
      </c>
      <c r="AI22" s="58">
        <v>1.0448999999999999</v>
      </c>
      <c r="AJ22" s="65">
        <f t="shared" si="16"/>
        <v>599.99999999993395</v>
      </c>
      <c r="AK22" s="58">
        <v>345.4</v>
      </c>
      <c r="AL22" s="65">
        <f t="shared" si="17"/>
        <v>169.99999999995907</v>
      </c>
      <c r="AM22" s="58">
        <v>316.77999999999997</v>
      </c>
      <c r="AN22" s="65">
        <f t="shared" si="18"/>
        <v>149.99999999997726</v>
      </c>
      <c r="AO22" s="58">
        <v>305.7</v>
      </c>
      <c r="AP22" s="65">
        <f t="shared" si="19"/>
        <v>89.999999999974989</v>
      </c>
      <c r="AQ22" s="58">
        <v>358.81</v>
      </c>
      <c r="AR22" s="65">
        <f t="shared" si="20"/>
        <v>40.000000000020464</v>
      </c>
      <c r="AS22" s="58">
        <v>484.74</v>
      </c>
      <c r="AT22" s="65">
        <f t="shared" si="21"/>
        <v>69.999999999993179</v>
      </c>
      <c r="AU22" s="58">
        <v>388.02</v>
      </c>
      <c r="AV22" s="65">
        <f t="shared" si="22"/>
        <v>29.999999999972715</v>
      </c>
      <c r="AW22" s="58">
        <v>415.79</v>
      </c>
      <c r="AX22" s="65">
        <f t="shared" si="23"/>
        <v>60.000000000002274</v>
      </c>
      <c r="AY22" s="58">
        <v>450.93</v>
      </c>
      <c r="AZ22" s="65">
        <f t="shared" si="24"/>
        <v>50.000000000011369</v>
      </c>
      <c r="BA22" s="58">
        <v>468.38</v>
      </c>
      <c r="BB22" s="65">
        <f t="shared" si="25"/>
        <v>69.999999999993179</v>
      </c>
      <c r="BC22" s="58">
        <v>301.32</v>
      </c>
      <c r="BD22" s="65">
        <f t="shared" si="26"/>
        <v>79.999999999984084</v>
      </c>
      <c r="BE22" s="59">
        <v>62273</v>
      </c>
      <c r="BF22" s="67">
        <f t="shared" si="27"/>
        <v>38</v>
      </c>
      <c r="BG22" s="60">
        <v>258.8</v>
      </c>
      <c r="BH22" s="65">
        <f t="shared" si="28"/>
        <v>30.000000000029559</v>
      </c>
      <c r="BI22" s="60">
        <v>312.83</v>
      </c>
      <c r="BJ22" s="65">
        <f t="shared" si="29"/>
        <v>39.99999999996362</v>
      </c>
      <c r="BK22" s="60">
        <v>265.5</v>
      </c>
      <c r="BL22" s="65">
        <f t="shared" si="30"/>
        <v>50.000000000011369</v>
      </c>
      <c r="BM22" s="60">
        <v>248.78</v>
      </c>
      <c r="BN22" s="65">
        <f t="shared" si="31"/>
        <v>50.000000000011369</v>
      </c>
      <c r="BO22" s="60">
        <v>317.04000000000002</v>
      </c>
      <c r="BP22" s="65">
        <f t="shared" si="32"/>
        <v>40.000000000020464</v>
      </c>
      <c r="BQ22" s="60">
        <v>67101</v>
      </c>
      <c r="BR22" s="65">
        <f t="shared" si="33"/>
        <v>38</v>
      </c>
      <c r="BS22" s="60">
        <v>227.16</v>
      </c>
      <c r="BT22" s="65">
        <f t="shared" si="34"/>
        <v>49.999999999982947</v>
      </c>
      <c r="BU22" s="60">
        <v>64381</v>
      </c>
      <c r="BV22" s="65">
        <f t="shared" si="35"/>
        <v>29</v>
      </c>
      <c r="BW22" s="60">
        <v>255.21</v>
      </c>
      <c r="BX22" s="65">
        <f t="shared" si="36"/>
        <v>50.000000000011369</v>
      </c>
      <c r="BY22" s="60">
        <v>86511</v>
      </c>
      <c r="BZ22" s="67">
        <f t="shared" si="37"/>
        <v>55</v>
      </c>
      <c r="CA22" s="60">
        <v>64272.5</v>
      </c>
      <c r="CB22" s="67">
        <f t="shared" si="38"/>
        <v>76.400000000001455</v>
      </c>
      <c r="CC22" s="60">
        <v>19060.8</v>
      </c>
      <c r="CD22" s="67">
        <f t="shared" si="39"/>
        <v>9.7000000000007276</v>
      </c>
      <c r="CE22" s="60">
        <v>9125.7000000000007</v>
      </c>
      <c r="CF22" s="67">
        <f t="shared" si="40"/>
        <v>0.90000000000145519</v>
      </c>
      <c r="CG22" s="60">
        <v>87546.8</v>
      </c>
      <c r="CH22" s="67">
        <f t="shared" si="41"/>
        <v>44.900000000008731</v>
      </c>
      <c r="CI22" s="60">
        <v>1130048</v>
      </c>
      <c r="CJ22" s="67">
        <f t="shared" si="42"/>
        <v>310</v>
      </c>
      <c r="CK22" s="60">
        <v>1244.9000000000001</v>
      </c>
      <c r="CL22" s="64">
        <f t="shared" si="43"/>
        <v>900.00000000009095</v>
      </c>
      <c r="CM22" s="65">
        <f t="shared" si="44"/>
        <v>110</v>
      </c>
      <c r="CN22" s="62">
        <v>24</v>
      </c>
      <c r="CO22" s="62">
        <v>61</v>
      </c>
      <c r="CP22" s="68">
        <v>55027</v>
      </c>
      <c r="CQ22" s="67">
        <f t="shared" si="45"/>
        <v>70</v>
      </c>
      <c r="CR22" s="68">
        <v>28452</v>
      </c>
      <c r="CS22" s="67">
        <f t="shared" si="46"/>
        <v>40</v>
      </c>
      <c r="CT22" s="75">
        <v>13488</v>
      </c>
      <c r="CU22" s="67">
        <f t="shared" si="47"/>
        <v>16</v>
      </c>
      <c r="CV22" s="68">
        <v>32465</v>
      </c>
      <c r="CW22" s="67">
        <f t="shared" si="48"/>
        <v>18</v>
      </c>
      <c r="CX22" s="58">
        <v>6097.3</v>
      </c>
      <c r="CY22" s="67">
        <f t="shared" si="49"/>
        <v>7.1000000000003638</v>
      </c>
    </row>
    <row r="23" spans="1:103" ht="25.5" customHeight="1" thickBot="1" x14ac:dyDescent="0.45">
      <c r="A23" s="63">
        <v>44977</v>
      </c>
      <c r="B23" s="44"/>
      <c r="C23" s="58">
        <v>3.9117999999999999</v>
      </c>
      <c r="D23" s="64">
        <f t="shared" si="1"/>
        <v>1900.0000000000127</v>
      </c>
      <c r="E23" s="58">
        <v>5.1947999999999999</v>
      </c>
      <c r="F23" s="64">
        <f t="shared" si="2"/>
        <v>2899.9999999994584</v>
      </c>
      <c r="G23" s="58">
        <v>5.2309999999999999</v>
      </c>
      <c r="H23" s="64">
        <f t="shared" si="3"/>
        <v>3499.9999999998367</v>
      </c>
      <c r="I23" s="58">
        <v>2.5798999999999999</v>
      </c>
      <c r="J23" s="64">
        <f t="shared" si="4"/>
        <v>1500.0000000000568</v>
      </c>
      <c r="K23" s="58">
        <v>3.9514999999999998</v>
      </c>
      <c r="L23" s="64">
        <f t="shared" si="5"/>
        <v>1999.9999999997797</v>
      </c>
      <c r="M23" s="58">
        <v>2.3915000000000002</v>
      </c>
      <c r="N23" s="64">
        <f t="shared" si="6"/>
        <v>1200.000000000312</v>
      </c>
      <c r="O23" s="58">
        <v>29161</v>
      </c>
      <c r="P23" s="67">
        <f t="shared" si="7"/>
        <v>17</v>
      </c>
      <c r="Q23" s="58">
        <v>3661</v>
      </c>
      <c r="R23" s="67">
        <f t="shared" si="8"/>
        <v>3</v>
      </c>
      <c r="S23" s="58">
        <v>1698</v>
      </c>
      <c r="T23" s="67">
        <f t="shared" si="50"/>
        <v>1200.0000000000455</v>
      </c>
      <c r="U23" s="58">
        <v>669801.9</v>
      </c>
      <c r="V23" s="67">
        <f t="shared" si="9"/>
        <v>440</v>
      </c>
      <c r="W23" s="58">
        <v>602.07000000000005</v>
      </c>
      <c r="X23" s="65">
        <f t="shared" si="10"/>
        <v>310.00000000005912</v>
      </c>
      <c r="Y23" s="58">
        <v>4.5837000000000003</v>
      </c>
      <c r="Z23" s="65">
        <f t="shared" si="11"/>
        <v>2500.0000000003906</v>
      </c>
      <c r="AA23" s="58">
        <v>608.95000000000005</v>
      </c>
      <c r="AB23" s="65">
        <f t="shared" si="12"/>
        <v>360.00000000001364</v>
      </c>
      <c r="AC23" s="58">
        <v>615.27</v>
      </c>
      <c r="AD23" s="65">
        <f t="shared" si="13"/>
        <v>299.99999999995453</v>
      </c>
      <c r="AE23" s="58">
        <v>980.56</v>
      </c>
      <c r="AF23" s="65">
        <f t="shared" si="14"/>
        <v>389.99999999998636</v>
      </c>
      <c r="AG23" s="58">
        <v>27704</v>
      </c>
      <c r="AH23" s="67">
        <f t="shared" si="15"/>
        <v>32</v>
      </c>
      <c r="AI23" s="58">
        <v>1.0455000000000001</v>
      </c>
      <c r="AJ23" s="65">
        <f t="shared" si="16"/>
        <v>600.00000000015598</v>
      </c>
      <c r="AK23" s="58">
        <v>345.61</v>
      </c>
      <c r="AL23" s="65">
        <f t="shared" si="17"/>
        <v>210.00000000003638</v>
      </c>
      <c r="AM23" s="58">
        <v>316.95</v>
      </c>
      <c r="AN23" s="65">
        <f t="shared" si="18"/>
        <v>170.00000000001592</v>
      </c>
      <c r="AO23" s="58">
        <v>305.77999999999997</v>
      </c>
      <c r="AP23" s="65">
        <f t="shared" si="19"/>
        <v>79.999999999984084</v>
      </c>
      <c r="AQ23" s="58">
        <v>358.88</v>
      </c>
      <c r="AR23" s="65">
        <f t="shared" si="20"/>
        <v>69.999999999993179</v>
      </c>
      <c r="AS23" s="58">
        <v>484.83</v>
      </c>
      <c r="AT23" s="65">
        <f t="shared" si="21"/>
        <v>89.999999999974989</v>
      </c>
      <c r="AU23" s="58">
        <v>388.06</v>
      </c>
      <c r="AV23" s="65">
        <f t="shared" si="22"/>
        <v>40.000000000020464</v>
      </c>
      <c r="AW23" s="58">
        <v>415.87</v>
      </c>
      <c r="AX23" s="65">
        <f t="shared" si="23"/>
        <v>79.999999999984084</v>
      </c>
      <c r="AY23" s="58">
        <v>451.03</v>
      </c>
      <c r="AZ23" s="65">
        <f t="shared" si="24"/>
        <v>99.999999999965894</v>
      </c>
      <c r="BA23" s="58">
        <v>468.48</v>
      </c>
      <c r="BB23" s="65">
        <f t="shared" si="25"/>
        <v>100.00000000002274</v>
      </c>
      <c r="BC23" s="58">
        <v>301.39</v>
      </c>
      <c r="BD23" s="65">
        <f t="shared" si="26"/>
        <v>69.999999999993179</v>
      </c>
      <c r="BE23" s="59">
        <v>62312</v>
      </c>
      <c r="BF23" s="67">
        <f t="shared" si="27"/>
        <v>39</v>
      </c>
      <c r="BG23" s="60">
        <v>258.83</v>
      </c>
      <c r="BH23" s="65">
        <f t="shared" si="28"/>
        <v>29.999999999972715</v>
      </c>
      <c r="BI23" s="60">
        <v>312.87</v>
      </c>
      <c r="BJ23" s="65">
        <f t="shared" si="29"/>
        <v>40.000000000020464</v>
      </c>
      <c r="BK23" s="60">
        <v>265.55</v>
      </c>
      <c r="BL23" s="65">
        <f t="shared" si="30"/>
        <v>50.000000000011369</v>
      </c>
      <c r="BM23" s="60">
        <v>248.81</v>
      </c>
      <c r="BN23" s="65">
        <f t="shared" si="31"/>
        <v>30.000000000001137</v>
      </c>
      <c r="BO23" s="60">
        <v>317.07</v>
      </c>
      <c r="BP23" s="65">
        <f t="shared" si="32"/>
        <v>29.999999999972715</v>
      </c>
      <c r="BQ23" s="60">
        <v>67135</v>
      </c>
      <c r="BR23" s="65">
        <f t="shared" si="33"/>
        <v>34</v>
      </c>
      <c r="BS23" s="60">
        <v>227.21</v>
      </c>
      <c r="BT23" s="65">
        <f t="shared" si="34"/>
        <v>50.000000000011369</v>
      </c>
      <c r="BU23" s="60">
        <v>64409</v>
      </c>
      <c r="BV23" s="65">
        <f t="shared" si="35"/>
        <v>28</v>
      </c>
      <c r="BW23" s="60">
        <v>255.25</v>
      </c>
      <c r="BX23" s="65">
        <f t="shared" si="36"/>
        <v>39.999999999992042</v>
      </c>
      <c r="BY23" s="60">
        <v>86564</v>
      </c>
      <c r="BZ23" s="67">
        <f t="shared" si="37"/>
        <v>53</v>
      </c>
      <c r="CA23" s="60">
        <v>64340.2</v>
      </c>
      <c r="CB23" s="67">
        <f t="shared" si="38"/>
        <v>67.69999999999709</v>
      </c>
      <c r="CC23" s="60">
        <v>19073</v>
      </c>
      <c r="CD23" s="67">
        <f t="shared" si="39"/>
        <v>12.200000000000728</v>
      </c>
      <c r="CE23" s="60">
        <v>9130.2999999999993</v>
      </c>
      <c r="CF23" s="67">
        <f t="shared" si="40"/>
        <v>4.5999999999985448</v>
      </c>
      <c r="CG23" s="60">
        <v>87594.7</v>
      </c>
      <c r="CH23" s="67">
        <f t="shared" si="41"/>
        <v>47.899999999994179</v>
      </c>
      <c r="CI23" s="60">
        <v>1130355</v>
      </c>
      <c r="CJ23" s="67">
        <f t="shared" si="42"/>
        <v>307</v>
      </c>
      <c r="CK23" s="60">
        <v>1245.7</v>
      </c>
      <c r="CL23" s="64">
        <f t="shared" si="43"/>
        <v>799.99999999995453</v>
      </c>
      <c r="CM23" s="65">
        <f>CQ23+CS23</f>
        <v>114</v>
      </c>
      <c r="CN23" s="62">
        <v>23</v>
      </c>
      <c r="CO23" s="62">
        <v>56</v>
      </c>
      <c r="CP23" s="68">
        <v>55101</v>
      </c>
      <c r="CQ23" s="67">
        <f t="shared" si="45"/>
        <v>74</v>
      </c>
      <c r="CR23" s="68">
        <v>28492</v>
      </c>
      <c r="CS23" s="67">
        <f t="shared" si="46"/>
        <v>40</v>
      </c>
      <c r="CT23" s="75">
        <v>13506</v>
      </c>
      <c r="CU23" s="67">
        <f t="shared" si="47"/>
        <v>18</v>
      </c>
      <c r="CV23" s="68">
        <v>32489</v>
      </c>
      <c r="CW23" s="67">
        <f t="shared" si="48"/>
        <v>24</v>
      </c>
      <c r="CX23" s="58">
        <v>6106.4</v>
      </c>
      <c r="CY23" s="67">
        <f t="shared" si="49"/>
        <v>9.0999999999994543</v>
      </c>
    </row>
    <row r="24" spans="1:103" ht="25.5" customHeight="1" thickBot="1" x14ac:dyDescent="0.45">
      <c r="A24" s="63">
        <v>44978</v>
      </c>
      <c r="B24" s="44"/>
      <c r="C24" s="58">
        <v>3.9137</v>
      </c>
      <c r="D24" s="64">
        <f t="shared" si="1"/>
        <v>1900.0000000000127</v>
      </c>
      <c r="E24" s="58">
        <v>5.1977000000000002</v>
      </c>
      <c r="F24" s="64">
        <f t="shared" si="2"/>
        <v>2900.0000000003465</v>
      </c>
      <c r="G24" s="58">
        <v>5.2348999999999997</v>
      </c>
      <c r="H24" s="64">
        <f t="shared" si="3"/>
        <v>3899.9999999997926</v>
      </c>
      <c r="I24" s="58">
        <v>2.5817999999999999</v>
      </c>
      <c r="J24" s="64">
        <f t="shared" si="4"/>
        <v>1900.0000000000127</v>
      </c>
      <c r="K24" s="58">
        <v>3.9535</v>
      </c>
      <c r="L24" s="64">
        <f t="shared" si="5"/>
        <v>2000.0000000002237</v>
      </c>
      <c r="M24" s="58">
        <v>2.3925000000000001</v>
      </c>
      <c r="N24" s="64">
        <f t="shared" si="6"/>
        <v>999.99999999988984</v>
      </c>
      <c r="O24" s="58">
        <v>29178</v>
      </c>
      <c r="P24" s="67">
        <f t="shared" si="7"/>
        <v>17</v>
      </c>
      <c r="Q24" s="58">
        <v>3665</v>
      </c>
      <c r="R24" s="67">
        <f t="shared" si="8"/>
        <v>4</v>
      </c>
      <c r="S24" s="58">
        <v>1699.4</v>
      </c>
      <c r="T24" s="67">
        <f t="shared" si="50"/>
        <v>1400.0000000000909</v>
      </c>
      <c r="U24" s="58">
        <v>670393.9</v>
      </c>
      <c r="V24" s="67">
        <f t="shared" si="9"/>
        <v>592</v>
      </c>
      <c r="W24" s="58">
        <v>602.4</v>
      </c>
      <c r="X24" s="65">
        <f t="shared" si="10"/>
        <v>329.99999999992724</v>
      </c>
      <c r="Y24" s="58">
        <v>4.5861999999999998</v>
      </c>
      <c r="Z24" s="65">
        <f t="shared" si="11"/>
        <v>2499.9999999995025</v>
      </c>
      <c r="AA24" s="58">
        <v>609.16</v>
      </c>
      <c r="AB24" s="65">
        <f t="shared" si="12"/>
        <v>209.99999999992269</v>
      </c>
      <c r="AC24" s="58">
        <v>615.65</v>
      </c>
      <c r="AD24" s="65">
        <f t="shared" si="13"/>
        <v>379.99999999999545</v>
      </c>
      <c r="AE24" s="58">
        <v>980.9</v>
      </c>
      <c r="AF24" s="65">
        <f t="shared" si="14"/>
        <v>340.00000000003183</v>
      </c>
      <c r="AG24" s="58">
        <v>27744</v>
      </c>
      <c r="AH24" s="67">
        <f t="shared" si="15"/>
        <v>40</v>
      </c>
      <c r="AI24" s="58">
        <v>1.0461</v>
      </c>
      <c r="AJ24" s="65">
        <f t="shared" si="16"/>
        <v>599.99999999993395</v>
      </c>
      <c r="AK24" s="58">
        <v>345.85</v>
      </c>
      <c r="AL24" s="65">
        <f t="shared" si="17"/>
        <v>240.00000000000909</v>
      </c>
      <c r="AM24" s="58">
        <v>317.12</v>
      </c>
      <c r="AN24" s="65">
        <f t="shared" si="18"/>
        <v>170.00000000001592</v>
      </c>
      <c r="AO24" s="58">
        <v>305.89</v>
      </c>
      <c r="AP24" s="65">
        <f t="shared" si="19"/>
        <v>110.00000000001364</v>
      </c>
      <c r="AQ24" s="58">
        <v>359.01</v>
      </c>
      <c r="AR24" s="65">
        <f t="shared" si="20"/>
        <v>129.99999999999545</v>
      </c>
      <c r="AS24" s="58">
        <v>484.92</v>
      </c>
      <c r="AT24" s="65">
        <f t="shared" si="21"/>
        <v>90.000000000031832</v>
      </c>
      <c r="AU24" s="58">
        <v>388.12</v>
      </c>
      <c r="AV24" s="65">
        <f t="shared" si="22"/>
        <v>60.000000000002274</v>
      </c>
      <c r="AW24" s="58">
        <v>415.93</v>
      </c>
      <c r="AX24" s="65">
        <f t="shared" si="23"/>
        <v>60.000000000002274</v>
      </c>
      <c r="AY24" s="58">
        <v>451.13</v>
      </c>
      <c r="AZ24" s="65">
        <f t="shared" si="24"/>
        <v>100.00000000002274</v>
      </c>
      <c r="BA24" s="58">
        <v>468.57</v>
      </c>
      <c r="BB24" s="65">
        <f t="shared" si="25"/>
        <v>89.999999999974989</v>
      </c>
      <c r="BC24" s="58">
        <v>301.45</v>
      </c>
      <c r="BD24" s="65">
        <f t="shared" si="26"/>
        <v>60.000000000002274</v>
      </c>
      <c r="BE24" s="59">
        <v>62353</v>
      </c>
      <c r="BF24" s="67">
        <f t="shared" si="27"/>
        <v>41</v>
      </c>
      <c r="BG24" s="60">
        <v>258.87</v>
      </c>
      <c r="BH24" s="65">
        <f t="shared" si="28"/>
        <v>40.000000000020464</v>
      </c>
      <c r="BI24" s="60">
        <v>312.91000000000003</v>
      </c>
      <c r="BJ24" s="65">
        <f t="shared" si="29"/>
        <v>40.000000000020464</v>
      </c>
      <c r="BK24" s="60">
        <v>265.60000000000002</v>
      </c>
      <c r="BL24" s="65">
        <f t="shared" si="30"/>
        <v>50.000000000011369</v>
      </c>
      <c r="BM24" s="60">
        <v>248.86</v>
      </c>
      <c r="BN24" s="65">
        <f t="shared" si="31"/>
        <v>50.000000000011369</v>
      </c>
      <c r="BO24" s="60">
        <v>317.11</v>
      </c>
      <c r="BP24" s="65">
        <f t="shared" si="32"/>
        <v>40.000000000020464</v>
      </c>
      <c r="BQ24" s="60">
        <v>67175</v>
      </c>
      <c r="BR24" s="65">
        <f t="shared" si="33"/>
        <v>40</v>
      </c>
      <c r="BS24" s="60">
        <v>227.26</v>
      </c>
      <c r="BT24" s="65">
        <f t="shared" si="34"/>
        <v>49.999999999982947</v>
      </c>
      <c r="BU24" s="60">
        <v>64443</v>
      </c>
      <c r="BV24" s="65">
        <f t="shared" si="35"/>
        <v>34</v>
      </c>
      <c r="BW24" s="60">
        <v>255.3</v>
      </c>
      <c r="BX24" s="65">
        <f t="shared" si="36"/>
        <v>50.000000000011369</v>
      </c>
      <c r="BY24" s="60">
        <v>86616</v>
      </c>
      <c r="BZ24" s="67">
        <f t="shared" si="37"/>
        <v>52</v>
      </c>
      <c r="CA24" s="60">
        <v>64400.5</v>
      </c>
      <c r="CB24" s="67">
        <f t="shared" si="38"/>
        <v>60.30000000000291</v>
      </c>
      <c r="CC24" s="60">
        <v>19096</v>
      </c>
      <c r="CD24" s="67">
        <f t="shared" si="39"/>
        <v>23</v>
      </c>
      <c r="CE24" s="60">
        <v>9131.9</v>
      </c>
      <c r="CF24" s="67">
        <f t="shared" si="40"/>
        <v>1.6000000000003638</v>
      </c>
      <c r="CG24" s="60">
        <v>87639.2</v>
      </c>
      <c r="CH24" s="67">
        <f t="shared" si="41"/>
        <v>44.5</v>
      </c>
      <c r="CI24" s="60">
        <v>1130675</v>
      </c>
      <c r="CJ24" s="67">
        <f t="shared" si="42"/>
        <v>320</v>
      </c>
      <c r="CK24" s="60">
        <v>1246.5999999999999</v>
      </c>
      <c r="CL24" s="64">
        <f t="shared" si="43"/>
        <v>899.99999999986358</v>
      </c>
      <c r="CM24" s="65">
        <f t="shared" si="44"/>
        <v>108.40000000000146</v>
      </c>
      <c r="CN24" s="62">
        <v>27</v>
      </c>
      <c r="CO24" s="62">
        <v>63</v>
      </c>
      <c r="CP24" s="68">
        <v>55176</v>
      </c>
      <c r="CQ24" s="67">
        <f t="shared" si="45"/>
        <v>75</v>
      </c>
      <c r="CR24" s="68">
        <v>28525.4</v>
      </c>
      <c r="CS24" s="67">
        <f t="shared" si="46"/>
        <v>33.400000000001455</v>
      </c>
      <c r="CT24" s="75">
        <v>13526</v>
      </c>
      <c r="CU24" s="67">
        <f t="shared" si="47"/>
        <v>20</v>
      </c>
      <c r="CV24" s="68">
        <v>32513</v>
      </c>
      <c r="CW24" s="67">
        <f t="shared" si="48"/>
        <v>24</v>
      </c>
      <c r="CX24" s="58">
        <v>6117.7</v>
      </c>
      <c r="CY24" s="67">
        <f t="shared" si="49"/>
        <v>11.300000000000182</v>
      </c>
    </row>
    <row r="25" spans="1:103" ht="25.5" customHeight="1" thickBot="1" x14ac:dyDescent="0.45">
      <c r="A25" s="63">
        <v>44979</v>
      </c>
      <c r="B25" s="44"/>
      <c r="C25" s="58">
        <v>3.9155000000000002</v>
      </c>
      <c r="D25" s="64">
        <f t="shared" si="1"/>
        <v>1800.0000000002458</v>
      </c>
      <c r="E25" s="58">
        <v>5.2007000000000003</v>
      </c>
      <c r="F25" s="64">
        <f t="shared" si="2"/>
        <v>3000.0000000001137</v>
      </c>
      <c r="G25" s="58">
        <v>5.2385999999999999</v>
      </c>
      <c r="H25" s="64">
        <f t="shared" si="3"/>
        <v>3700.0000000002588</v>
      </c>
      <c r="I25" s="58">
        <v>2.5831</v>
      </c>
      <c r="J25" s="64">
        <f t="shared" si="4"/>
        <v>1300.0000000000789</v>
      </c>
      <c r="K25" s="58">
        <v>3.9556</v>
      </c>
      <c r="L25" s="64">
        <f t="shared" si="5"/>
        <v>2099.9999999999909</v>
      </c>
      <c r="M25" s="58">
        <v>2.3936999999999999</v>
      </c>
      <c r="N25" s="64">
        <f t="shared" si="6"/>
        <v>1199.9999999998679</v>
      </c>
      <c r="O25" s="58">
        <v>29194</v>
      </c>
      <c r="P25" s="67">
        <f t="shared" si="7"/>
        <v>16</v>
      </c>
      <c r="Q25" s="58">
        <v>3668</v>
      </c>
      <c r="R25" s="67">
        <f t="shared" si="8"/>
        <v>3</v>
      </c>
      <c r="S25" s="58">
        <v>1700.5</v>
      </c>
      <c r="T25" s="67">
        <f t="shared" si="50"/>
        <v>1099.9999999999091</v>
      </c>
      <c r="U25" s="58">
        <v>670773.4</v>
      </c>
      <c r="V25" s="67">
        <f t="shared" si="9"/>
        <v>379.5</v>
      </c>
      <c r="W25" s="58">
        <v>602.76</v>
      </c>
      <c r="X25" s="65">
        <f t="shared" si="10"/>
        <v>360.00000000001364</v>
      </c>
      <c r="Y25" s="58">
        <v>4.5888999999999998</v>
      </c>
      <c r="Z25" s="65">
        <f t="shared" si="11"/>
        <v>2699.9999999999245</v>
      </c>
      <c r="AA25" s="58">
        <v>609.53</v>
      </c>
      <c r="AB25" s="65">
        <f t="shared" si="12"/>
        <v>370.00000000000455</v>
      </c>
      <c r="AC25" s="58">
        <v>615.98</v>
      </c>
      <c r="AD25" s="65">
        <f t="shared" si="13"/>
        <v>330.00000000004093</v>
      </c>
      <c r="AE25" s="58">
        <v>981.28</v>
      </c>
      <c r="AF25" s="65">
        <f t="shared" si="14"/>
        <v>379.99999999999545</v>
      </c>
      <c r="AG25" s="58">
        <v>27788</v>
      </c>
      <c r="AH25" s="67">
        <f t="shared" si="15"/>
        <v>44</v>
      </c>
      <c r="AI25" s="58">
        <v>1.0467</v>
      </c>
      <c r="AJ25" s="65">
        <f t="shared" si="16"/>
        <v>599.99999999993395</v>
      </c>
      <c r="AK25" s="58">
        <v>346.04</v>
      </c>
      <c r="AL25" s="65">
        <f t="shared" si="17"/>
        <v>189.99999999999773</v>
      </c>
      <c r="AM25" s="58">
        <v>317.33999999999997</v>
      </c>
      <c r="AN25" s="65">
        <f t="shared" si="18"/>
        <v>219.99999999997044</v>
      </c>
      <c r="AO25" s="58">
        <v>306</v>
      </c>
      <c r="AP25" s="65">
        <f t="shared" si="19"/>
        <v>110.00000000001364</v>
      </c>
      <c r="AQ25" s="58">
        <v>359.16</v>
      </c>
      <c r="AR25" s="65">
        <f t="shared" si="20"/>
        <v>150.00000000003411</v>
      </c>
      <c r="AS25" s="58">
        <v>485</v>
      </c>
      <c r="AT25" s="65">
        <f t="shared" si="21"/>
        <v>79.999999999984084</v>
      </c>
      <c r="AU25" s="58">
        <v>388.17</v>
      </c>
      <c r="AV25" s="65">
        <f t="shared" si="22"/>
        <v>50.000000000011369</v>
      </c>
      <c r="AW25" s="58">
        <v>415.99</v>
      </c>
      <c r="AX25" s="65">
        <f t="shared" si="23"/>
        <v>60.000000000002274</v>
      </c>
      <c r="AY25" s="58">
        <v>451.18</v>
      </c>
      <c r="AZ25" s="65">
        <f t="shared" si="24"/>
        <v>50.000000000011369</v>
      </c>
      <c r="BA25" s="58">
        <v>468.63</v>
      </c>
      <c r="BB25" s="65">
        <f t="shared" si="25"/>
        <v>60.000000000002274</v>
      </c>
      <c r="BC25" s="58">
        <v>301.47000000000003</v>
      </c>
      <c r="BD25" s="65">
        <f t="shared" si="26"/>
        <v>20.000000000038654</v>
      </c>
      <c r="BE25" s="59">
        <v>62391</v>
      </c>
      <c r="BF25" s="67">
        <f t="shared" si="27"/>
        <v>38</v>
      </c>
      <c r="BG25" s="60">
        <v>258.91000000000003</v>
      </c>
      <c r="BH25" s="65">
        <f t="shared" si="28"/>
        <v>40.000000000020464</v>
      </c>
      <c r="BI25" s="60">
        <v>312.94</v>
      </c>
      <c r="BJ25" s="65">
        <f t="shared" si="29"/>
        <v>29.999999999972715</v>
      </c>
      <c r="BK25" s="60">
        <v>265.64999999999998</v>
      </c>
      <c r="BL25" s="65">
        <f t="shared" si="30"/>
        <v>49.999999999954525</v>
      </c>
      <c r="BM25" s="60">
        <v>248.9</v>
      </c>
      <c r="BN25" s="65">
        <f t="shared" si="31"/>
        <v>39.999999999992042</v>
      </c>
      <c r="BO25" s="60">
        <v>317.14</v>
      </c>
      <c r="BP25" s="65">
        <f t="shared" si="32"/>
        <v>29.999999999972715</v>
      </c>
      <c r="BQ25" s="60">
        <v>67214</v>
      </c>
      <c r="BR25" s="65">
        <f t="shared" si="33"/>
        <v>39</v>
      </c>
      <c r="BS25" s="60">
        <v>227.32</v>
      </c>
      <c r="BT25" s="65">
        <f t="shared" si="34"/>
        <v>60.000000000002274</v>
      </c>
      <c r="BU25" s="60">
        <v>64472</v>
      </c>
      <c r="BV25" s="65">
        <f t="shared" si="35"/>
        <v>29</v>
      </c>
      <c r="BW25" s="60">
        <v>255.34</v>
      </c>
      <c r="BX25" s="65">
        <f t="shared" si="36"/>
        <v>39.999999999992042</v>
      </c>
      <c r="BY25" s="60">
        <v>86667</v>
      </c>
      <c r="BZ25" s="67">
        <f t="shared" si="37"/>
        <v>51</v>
      </c>
      <c r="CA25" s="60">
        <v>64471.5</v>
      </c>
      <c r="CB25" s="67">
        <f t="shared" si="38"/>
        <v>71</v>
      </c>
      <c r="CC25" s="60">
        <v>19104</v>
      </c>
      <c r="CD25" s="67">
        <f t="shared" si="39"/>
        <v>8</v>
      </c>
      <c r="CE25" s="60">
        <v>9135.5</v>
      </c>
      <c r="CF25" s="67">
        <f t="shared" si="40"/>
        <v>3.6000000000003638</v>
      </c>
      <c r="CG25" s="60">
        <v>87677.1</v>
      </c>
      <c r="CH25" s="67">
        <f t="shared" si="41"/>
        <v>37.900000000008731</v>
      </c>
      <c r="CI25" s="60">
        <v>1130987</v>
      </c>
      <c r="CJ25" s="67">
        <f t="shared" si="42"/>
        <v>312</v>
      </c>
      <c r="CK25" s="60">
        <v>1247.5</v>
      </c>
      <c r="CL25" s="64">
        <f t="shared" si="43"/>
        <v>900.00000000009095</v>
      </c>
      <c r="CM25" s="65">
        <f t="shared" si="44"/>
        <v>111.79999999999927</v>
      </c>
      <c r="CN25" s="62">
        <v>25</v>
      </c>
      <c r="CO25" s="62">
        <v>63</v>
      </c>
      <c r="CP25" s="68">
        <v>55254</v>
      </c>
      <c r="CQ25" s="67">
        <f t="shared" si="45"/>
        <v>78</v>
      </c>
      <c r="CR25" s="68">
        <v>28559.200000000001</v>
      </c>
      <c r="CS25" s="67">
        <f t="shared" si="46"/>
        <v>33.799999999999272</v>
      </c>
      <c r="CT25" s="75">
        <v>13543</v>
      </c>
      <c r="CU25" s="67">
        <f t="shared" si="47"/>
        <v>17</v>
      </c>
      <c r="CV25" s="68">
        <v>32538</v>
      </c>
      <c r="CW25" s="67">
        <f t="shared" si="48"/>
        <v>25</v>
      </c>
      <c r="CX25" s="58">
        <v>6126.9</v>
      </c>
      <c r="CY25" s="67">
        <f t="shared" si="49"/>
        <v>9.1999999999998181</v>
      </c>
    </row>
    <row r="26" spans="1:103" ht="25.5" customHeight="1" thickBot="1" x14ac:dyDescent="0.45">
      <c r="A26" s="63">
        <v>44980</v>
      </c>
      <c r="B26" s="44"/>
      <c r="C26" s="58">
        <v>3.9178000000000002</v>
      </c>
      <c r="D26" s="64">
        <f t="shared" si="1"/>
        <v>2299.9999999999686</v>
      </c>
      <c r="E26" s="58">
        <v>5.2042000000000002</v>
      </c>
      <c r="F26" s="64">
        <f t="shared" si="2"/>
        <v>3499.9999999998367</v>
      </c>
      <c r="G26" s="58">
        <v>5.2427999999999999</v>
      </c>
      <c r="H26" s="64">
        <f t="shared" si="3"/>
        <v>4199.9999999999818</v>
      </c>
      <c r="I26" s="58">
        <v>2.5846</v>
      </c>
      <c r="J26" s="64">
        <f t="shared" si="4"/>
        <v>1500.0000000000568</v>
      </c>
      <c r="K26" s="58">
        <v>3.9578000000000002</v>
      </c>
      <c r="L26" s="64">
        <f t="shared" si="5"/>
        <v>2200.0000000002019</v>
      </c>
      <c r="M26" s="58">
        <v>2.395</v>
      </c>
      <c r="N26" s="64">
        <f t="shared" si="6"/>
        <v>1300.0000000000789</v>
      </c>
      <c r="O26" s="58">
        <v>29206</v>
      </c>
      <c r="P26" s="67">
        <f t="shared" si="7"/>
        <v>12</v>
      </c>
      <c r="Q26" s="58">
        <v>3670</v>
      </c>
      <c r="R26" s="67">
        <f t="shared" si="8"/>
        <v>2</v>
      </c>
      <c r="S26" s="58">
        <v>1701.9</v>
      </c>
      <c r="T26" s="67">
        <f t="shared" si="50"/>
        <v>1400.0000000000909</v>
      </c>
      <c r="U26" s="58">
        <v>671263.8</v>
      </c>
      <c r="V26" s="67">
        <f t="shared" si="9"/>
        <v>490.40000000002328</v>
      </c>
      <c r="W26" s="58">
        <v>603.14</v>
      </c>
      <c r="X26" s="65">
        <f t="shared" si="10"/>
        <v>379.99999999999545</v>
      </c>
      <c r="Y26" s="58">
        <v>4.5922999999999998</v>
      </c>
      <c r="Z26" s="65">
        <f t="shared" si="11"/>
        <v>3400.0000000000696</v>
      </c>
      <c r="AA26" s="58">
        <v>609.77</v>
      </c>
      <c r="AB26" s="65">
        <f t="shared" si="12"/>
        <v>240.00000000000909</v>
      </c>
      <c r="AC26" s="58">
        <v>616.41</v>
      </c>
      <c r="AD26" s="65">
        <f t="shared" si="13"/>
        <v>429.99999999994998</v>
      </c>
      <c r="AE26" s="58">
        <v>981.9</v>
      </c>
      <c r="AF26" s="65">
        <f t="shared" si="14"/>
        <v>620.00000000000455</v>
      </c>
      <c r="AG26" s="58">
        <v>27834</v>
      </c>
      <c r="AH26" s="67">
        <f t="shared" si="15"/>
        <v>46</v>
      </c>
      <c r="AI26" s="58">
        <v>1.0475000000000001</v>
      </c>
      <c r="AJ26" s="65">
        <f t="shared" si="16"/>
        <v>800.00000000013392</v>
      </c>
      <c r="AK26" s="58">
        <v>346.29</v>
      </c>
      <c r="AL26" s="65">
        <f t="shared" si="17"/>
        <v>250</v>
      </c>
      <c r="AM26" s="58">
        <v>317.58999999999997</v>
      </c>
      <c r="AN26" s="65">
        <f t="shared" si="18"/>
        <v>250</v>
      </c>
      <c r="AO26" s="58">
        <v>306.14</v>
      </c>
      <c r="AP26" s="65">
        <f t="shared" si="19"/>
        <v>139.99999999998636</v>
      </c>
      <c r="AQ26" s="58">
        <v>359.38</v>
      </c>
      <c r="AR26" s="65">
        <f t="shared" si="20"/>
        <v>219.99999999997044</v>
      </c>
      <c r="AS26" s="58">
        <v>485.14</v>
      </c>
      <c r="AT26" s="65">
        <f t="shared" si="21"/>
        <v>139.99999999998636</v>
      </c>
      <c r="AU26" s="58">
        <v>388.31</v>
      </c>
      <c r="AV26" s="65">
        <f t="shared" si="22"/>
        <v>139.99999999998636</v>
      </c>
      <c r="AW26" s="58">
        <v>416.11</v>
      </c>
      <c r="AX26" s="65">
        <f t="shared" si="23"/>
        <v>120.00000000000455</v>
      </c>
      <c r="AY26" s="58">
        <v>451.28</v>
      </c>
      <c r="AZ26" s="65">
        <f t="shared" si="24"/>
        <v>99.999999999965894</v>
      </c>
      <c r="BA26" s="58">
        <v>468.73</v>
      </c>
      <c r="BB26" s="65">
        <f t="shared" si="25"/>
        <v>100.00000000002274</v>
      </c>
      <c r="BC26" s="58">
        <v>301.54000000000002</v>
      </c>
      <c r="BD26" s="65">
        <f t="shared" si="26"/>
        <v>69.999999999993179</v>
      </c>
      <c r="BE26" s="59">
        <v>62437</v>
      </c>
      <c r="BF26" s="67">
        <f t="shared" si="27"/>
        <v>46</v>
      </c>
      <c r="BG26" s="60">
        <v>258.94</v>
      </c>
      <c r="BH26" s="65">
        <f t="shared" si="28"/>
        <v>29.999999999972715</v>
      </c>
      <c r="BI26" s="60">
        <v>312.98</v>
      </c>
      <c r="BJ26" s="65">
        <f t="shared" si="29"/>
        <v>40.000000000020464</v>
      </c>
      <c r="BK26" s="60">
        <v>265.7</v>
      </c>
      <c r="BL26" s="65">
        <f t="shared" si="30"/>
        <v>50.000000000011369</v>
      </c>
      <c r="BM26" s="60">
        <v>248.93</v>
      </c>
      <c r="BN26" s="65">
        <f t="shared" si="31"/>
        <v>30.000000000001137</v>
      </c>
      <c r="BO26" s="60">
        <v>317.17</v>
      </c>
      <c r="BP26" s="65">
        <f t="shared" si="32"/>
        <v>30.000000000029559</v>
      </c>
      <c r="BQ26" s="60">
        <v>67249</v>
      </c>
      <c r="BR26" s="65">
        <f t="shared" si="33"/>
        <v>35</v>
      </c>
      <c r="BS26" s="60">
        <v>227.36</v>
      </c>
      <c r="BT26" s="65">
        <f t="shared" si="34"/>
        <v>40.000000000020464</v>
      </c>
      <c r="BU26" s="60">
        <v>64499</v>
      </c>
      <c r="BV26" s="65">
        <f t="shared" si="35"/>
        <v>27</v>
      </c>
      <c r="BW26" s="60">
        <v>255.38</v>
      </c>
      <c r="BX26" s="65">
        <f t="shared" si="36"/>
        <v>39.999999999992042</v>
      </c>
      <c r="BY26" s="60">
        <v>86714</v>
      </c>
      <c r="BZ26" s="67">
        <f t="shared" si="37"/>
        <v>47</v>
      </c>
      <c r="CA26" s="60">
        <v>64543.5</v>
      </c>
      <c r="CB26" s="67">
        <f t="shared" si="38"/>
        <v>72</v>
      </c>
      <c r="CC26" s="60">
        <v>19119.7</v>
      </c>
      <c r="CD26" s="67">
        <f t="shared" si="39"/>
        <v>15.700000000000728</v>
      </c>
      <c r="CE26" s="60">
        <v>9136.7999999999993</v>
      </c>
      <c r="CF26" s="67">
        <f t="shared" si="40"/>
        <v>1.2999999999992724</v>
      </c>
      <c r="CG26" s="60">
        <v>87716</v>
      </c>
      <c r="CH26" s="67">
        <f t="shared" si="41"/>
        <v>38.899999999994179</v>
      </c>
      <c r="CI26" s="60">
        <v>1131275</v>
      </c>
      <c r="CJ26" s="67">
        <f t="shared" si="42"/>
        <v>288</v>
      </c>
      <c r="CK26" s="60">
        <v>1248.5999999999999</v>
      </c>
      <c r="CL26" s="64">
        <f t="shared" si="43"/>
        <v>1099.9999999999091</v>
      </c>
      <c r="CM26" s="65">
        <f t="shared" si="44"/>
        <v>135</v>
      </c>
      <c r="CN26" s="62">
        <v>25</v>
      </c>
      <c r="CO26" s="62">
        <v>63</v>
      </c>
      <c r="CP26" s="68">
        <v>55348</v>
      </c>
      <c r="CQ26" s="67">
        <f t="shared" si="45"/>
        <v>94</v>
      </c>
      <c r="CR26" s="68">
        <v>28600.2</v>
      </c>
      <c r="CS26" s="67">
        <f t="shared" si="46"/>
        <v>41</v>
      </c>
      <c r="CT26" s="75">
        <v>13561</v>
      </c>
      <c r="CU26" s="67">
        <f t="shared" si="47"/>
        <v>18</v>
      </c>
      <c r="CV26" s="68">
        <v>32562</v>
      </c>
      <c r="CW26" s="67">
        <f t="shared" si="48"/>
        <v>24</v>
      </c>
      <c r="CX26" s="58">
        <v>6135.2</v>
      </c>
      <c r="CY26" s="67">
        <f t="shared" si="49"/>
        <v>8.3000000000001819</v>
      </c>
    </row>
    <row r="27" spans="1:103" ht="25.5" customHeight="1" thickBot="1" x14ac:dyDescent="0.45">
      <c r="A27" s="63">
        <v>44981</v>
      </c>
      <c r="B27" s="44"/>
      <c r="C27" s="58">
        <v>3.9203000000000001</v>
      </c>
      <c r="D27" s="64">
        <f t="shared" si="1"/>
        <v>2499.9999999999468</v>
      </c>
      <c r="E27" s="58">
        <v>5.2074999999999996</v>
      </c>
      <c r="F27" s="64">
        <f t="shared" si="2"/>
        <v>3299.9999999994143</v>
      </c>
      <c r="G27" s="58">
        <v>5.2465999999999999</v>
      </c>
      <c r="H27" s="64">
        <f t="shared" si="3"/>
        <v>3800.0000000000255</v>
      </c>
      <c r="I27" s="58">
        <v>2.5861999999999998</v>
      </c>
      <c r="J27" s="64">
        <f t="shared" si="4"/>
        <v>1599.9999999998238</v>
      </c>
      <c r="K27" s="58">
        <v>3.9599000000000002</v>
      </c>
      <c r="L27" s="64">
        <f t="shared" si="5"/>
        <v>2099.9999999999909</v>
      </c>
      <c r="M27" s="58">
        <v>2.3965000000000001</v>
      </c>
      <c r="N27" s="64">
        <f t="shared" si="6"/>
        <v>1500.0000000000568</v>
      </c>
      <c r="O27" s="58">
        <v>29243</v>
      </c>
      <c r="P27" s="67">
        <f t="shared" si="7"/>
        <v>37</v>
      </c>
      <c r="Q27" s="58">
        <v>3676</v>
      </c>
      <c r="R27" s="67">
        <f t="shared" si="8"/>
        <v>6</v>
      </c>
      <c r="S27" s="58">
        <v>1703</v>
      </c>
      <c r="T27" s="67">
        <f t="shared" si="50"/>
        <v>1099.9999999999091</v>
      </c>
      <c r="U27" s="58">
        <v>671604.5</v>
      </c>
      <c r="V27" s="67">
        <f t="shared" si="9"/>
        <v>340.69999999995343</v>
      </c>
      <c r="W27" s="58">
        <v>603.48</v>
      </c>
      <c r="X27" s="65">
        <f t="shared" si="10"/>
        <v>340.00000000003183</v>
      </c>
      <c r="Y27" s="58">
        <v>4.5948000000000002</v>
      </c>
      <c r="Z27" s="65">
        <f t="shared" si="11"/>
        <v>2500.0000000003906</v>
      </c>
      <c r="AA27" s="58">
        <v>610.16</v>
      </c>
      <c r="AB27" s="65">
        <f t="shared" si="12"/>
        <v>389.99999999998636</v>
      </c>
      <c r="AC27" s="58">
        <v>616.82000000000005</v>
      </c>
      <c r="AD27" s="65">
        <f t="shared" si="13"/>
        <v>410.00000000008185</v>
      </c>
      <c r="AE27" s="58">
        <v>982.39</v>
      </c>
      <c r="AF27" s="65">
        <f t="shared" si="14"/>
        <v>490.00000000000909</v>
      </c>
      <c r="AG27" s="58">
        <v>27868</v>
      </c>
      <c r="AH27" s="67">
        <f t="shared" si="15"/>
        <v>34</v>
      </c>
      <c r="AI27" s="58">
        <v>1.0483</v>
      </c>
      <c r="AJ27" s="65">
        <f t="shared" si="16"/>
        <v>799.99999999991189</v>
      </c>
      <c r="AK27" s="58">
        <v>346.53</v>
      </c>
      <c r="AL27" s="65">
        <f t="shared" si="17"/>
        <v>239.99999999995225</v>
      </c>
      <c r="AM27" s="58">
        <v>317.81</v>
      </c>
      <c r="AN27" s="65">
        <f t="shared" si="18"/>
        <v>220.00000000002728</v>
      </c>
      <c r="AO27" s="58">
        <v>306.23</v>
      </c>
      <c r="AP27" s="65">
        <f t="shared" si="19"/>
        <v>90.000000000031832</v>
      </c>
      <c r="AQ27" s="58">
        <v>359.55</v>
      </c>
      <c r="AR27" s="65">
        <f t="shared" si="20"/>
        <v>170.00000000001592</v>
      </c>
      <c r="AS27" s="58">
        <v>485.25</v>
      </c>
      <c r="AT27" s="65">
        <f t="shared" si="21"/>
        <v>110.00000000001364</v>
      </c>
      <c r="AU27" s="58">
        <v>388.41</v>
      </c>
      <c r="AV27" s="65">
        <f t="shared" si="22"/>
        <v>100.00000000002274</v>
      </c>
      <c r="AW27" s="58">
        <v>416.19</v>
      </c>
      <c r="AX27" s="65">
        <f t="shared" si="23"/>
        <v>79.999999999984084</v>
      </c>
      <c r="AY27" s="58">
        <v>451.35</v>
      </c>
      <c r="AZ27" s="65">
        <f t="shared" si="24"/>
        <v>70.000000000050022</v>
      </c>
      <c r="BA27" s="58">
        <v>468.81</v>
      </c>
      <c r="BB27" s="65">
        <f t="shared" si="25"/>
        <v>79.999999999984084</v>
      </c>
      <c r="BC27" s="58">
        <v>301.56</v>
      </c>
      <c r="BD27" s="65">
        <f t="shared" si="26"/>
        <v>19.99999999998181</v>
      </c>
      <c r="BE27" s="59">
        <v>62478</v>
      </c>
      <c r="BF27" s="67">
        <f t="shared" si="27"/>
        <v>41</v>
      </c>
      <c r="BG27" s="60">
        <v>258.97000000000003</v>
      </c>
      <c r="BH27" s="65">
        <f t="shared" si="28"/>
        <v>30.000000000029559</v>
      </c>
      <c r="BI27" s="60">
        <v>313.01</v>
      </c>
      <c r="BJ27" s="65">
        <f t="shared" si="29"/>
        <v>29.999999999972715</v>
      </c>
      <c r="BK27" s="60">
        <v>265.76</v>
      </c>
      <c r="BL27" s="65">
        <f t="shared" si="30"/>
        <v>60.000000000002274</v>
      </c>
      <c r="BM27" s="60">
        <v>248.97</v>
      </c>
      <c r="BN27" s="65">
        <f t="shared" si="31"/>
        <v>39.999999999992042</v>
      </c>
      <c r="BO27" s="60">
        <v>317.20999999999998</v>
      </c>
      <c r="BP27" s="65">
        <f t="shared" si="32"/>
        <v>39.99999999996362</v>
      </c>
      <c r="BQ27" s="60">
        <v>67293</v>
      </c>
      <c r="BR27" s="65">
        <f t="shared" si="33"/>
        <v>44</v>
      </c>
      <c r="BS27" s="60">
        <v>227.43</v>
      </c>
      <c r="BT27" s="65">
        <f t="shared" si="34"/>
        <v>69.999999999993179</v>
      </c>
      <c r="BU27" s="60">
        <v>64539</v>
      </c>
      <c r="BV27" s="65">
        <f t="shared" si="35"/>
        <v>40</v>
      </c>
      <c r="BW27" s="60">
        <v>255.43</v>
      </c>
      <c r="BX27" s="65">
        <f t="shared" si="36"/>
        <v>50.000000000011369</v>
      </c>
      <c r="BY27" s="60">
        <v>86769</v>
      </c>
      <c r="BZ27" s="67">
        <f t="shared" si="37"/>
        <v>55</v>
      </c>
      <c r="CA27" s="60">
        <v>64602.400000000001</v>
      </c>
      <c r="CB27" s="67">
        <f t="shared" si="38"/>
        <v>58.900000000001455</v>
      </c>
      <c r="CC27" s="60">
        <v>19124.8</v>
      </c>
      <c r="CD27" s="67">
        <f t="shared" si="39"/>
        <v>5.0999999999985448</v>
      </c>
      <c r="CE27" s="60">
        <v>9142.2999999999993</v>
      </c>
      <c r="CF27" s="67">
        <f t="shared" si="40"/>
        <v>5.5</v>
      </c>
      <c r="CG27" s="60">
        <v>87757.8</v>
      </c>
      <c r="CH27" s="67">
        <f t="shared" si="41"/>
        <v>41.80000000000291</v>
      </c>
      <c r="CI27" s="60">
        <v>1131590</v>
      </c>
      <c r="CJ27" s="67">
        <f t="shared" si="42"/>
        <v>315</v>
      </c>
      <c r="CK27" s="60">
        <v>1249.5999999999999</v>
      </c>
      <c r="CL27" s="64">
        <f t="shared" si="43"/>
        <v>1000</v>
      </c>
      <c r="CM27" s="65">
        <f t="shared" si="44"/>
        <v>111.20000000000073</v>
      </c>
      <c r="CN27" s="62">
        <v>23</v>
      </c>
      <c r="CO27" s="62">
        <v>56</v>
      </c>
      <c r="CP27" s="68">
        <v>55424</v>
      </c>
      <c r="CQ27" s="67">
        <f t="shared" si="45"/>
        <v>76</v>
      </c>
      <c r="CR27" s="68">
        <v>28635.4</v>
      </c>
      <c r="CS27" s="67">
        <f t="shared" si="46"/>
        <v>35.200000000000728</v>
      </c>
      <c r="CT27" s="75">
        <v>13575</v>
      </c>
      <c r="CU27" s="67">
        <f t="shared" si="47"/>
        <v>14</v>
      </c>
      <c r="CV27" s="68">
        <v>32583</v>
      </c>
      <c r="CW27" s="67">
        <f t="shared" si="48"/>
        <v>21</v>
      </c>
      <c r="CX27" s="58">
        <v>6147.2</v>
      </c>
      <c r="CY27" s="67">
        <f t="shared" si="49"/>
        <v>12</v>
      </c>
    </row>
    <row r="28" spans="1:103" ht="25.5" customHeight="1" thickBot="1" x14ac:dyDescent="0.45">
      <c r="A28" s="63">
        <v>44982</v>
      </c>
      <c r="B28" s="44"/>
      <c r="C28" s="58"/>
      <c r="D28" s="64" t="str">
        <f t="shared" si="1"/>
        <v>0</v>
      </c>
      <c r="E28" s="58"/>
      <c r="F28" s="64" t="str">
        <f t="shared" si="2"/>
        <v>0</v>
      </c>
      <c r="G28" s="58"/>
      <c r="H28" s="64" t="str">
        <f t="shared" si="3"/>
        <v>0</v>
      </c>
      <c r="I28" s="58"/>
      <c r="J28" s="64" t="str">
        <f t="shared" si="4"/>
        <v>0</v>
      </c>
      <c r="K28" s="58"/>
      <c r="L28" s="64" t="str">
        <f t="shared" si="5"/>
        <v>0</v>
      </c>
      <c r="M28" s="58"/>
      <c r="N28" s="64" t="str">
        <f t="shared" si="6"/>
        <v/>
      </c>
      <c r="O28" s="58"/>
      <c r="P28" s="67" t="str">
        <f t="shared" si="7"/>
        <v/>
      </c>
      <c r="Q28" s="58"/>
      <c r="R28" s="67" t="str">
        <f t="shared" si="8"/>
        <v/>
      </c>
      <c r="S28" s="58"/>
      <c r="T28" s="67" t="e">
        <f t="shared" si="50"/>
        <v>#VALUE!</v>
      </c>
      <c r="U28" s="58"/>
      <c r="V28" s="67" t="str">
        <f t="shared" si="9"/>
        <v/>
      </c>
      <c r="W28" s="58"/>
      <c r="X28" s="65" t="str">
        <f t="shared" si="10"/>
        <v/>
      </c>
      <c r="Y28" s="58"/>
      <c r="Z28" s="65" t="str">
        <f t="shared" si="11"/>
        <v/>
      </c>
      <c r="AA28" s="58"/>
      <c r="AB28" s="65" t="str">
        <f t="shared" si="12"/>
        <v/>
      </c>
      <c r="AC28" s="58"/>
      <c r="AD28" s="65" t="str">
        <f t="shared" si="13"/>
        <v/>
      </c>
      <c r="AE28" s="58"/>
      <c r="AF28" s="65" t="str">
        <f t="shared" si="14"/>
        <v/>
      </c>
      <c r="AG28" s="58"/>
      <c r="AH28" s="67" t="str">
        <f t="shared" si="15"/>
        <v/>
      </c>
      <c r="AI28" s="58"/>
      <c r="AJ28" s="65" t="str">
        <f t="shared" si="16"/>
        <v/>
      </c>
      <c r="AK28" s="58"/>
      <c r="AL28" s="65" t="str">
        <f t="shared" si="17"/>
        <v/>
      </c>
      <c r="AM28" s="58"/>
      <c r="AN28" s="65" t="str">
        <f t="shared" si="18"/>
        <v/>
      </c>
      <c r="AO28" s="58"/>
      <c r="AP28" s="65" t="str">
        <f t="shared" si="19"/>
        <v/>
      </c>
      <c r="AQ28" s="58"/>
      <c r="AR28" s="65" t="str">
        <f t="shared" si="20"/>
        <v/>
      </c>
      <c r="AS28" s="58"/>
      <c r="AT28" s="65" t="str">
        <f t="shared" si="21"/>
        <v/>
      </c>
      <c r="AU28" s="58"/>
      <c r="AV28" s="65" t="str">
        <f t="shared" si="22"/>
        <v/>
      </c>
      <c r="AW28" s="58"/>
      <c r="AX28" s="65" t="str">
        <f t="shared" si="23"/>
        <v/>
      </c>
      <c r="AY28" s="58"/>
      <c r="AZ28" s="65" t="str">
        <f t="shared" si="24"/>
        <v/>
      </c>
      <c r="BA28" s="58"/>
      <c r="BB28" s="65" t="str">
        <f t="shared" si="25"/>
        <v/>
      </c>
      <c r="BC28" s="58"/>
      <c r="BD28" s="65" t="str">
        <f t="shared" si="26"/>
        <v/>
      </c>
      <c r="BE28" s="59"/>
      <c r="BF28" s="67" t="str">
        <f t="shared" si="27"/>
        <v/>
      </c>
      <c r="BG28" s="60"/>
      <c r="BH28" s="65" t="str">
        <f t="shared" si="28"/>
        <v/>
      </c>
      <c r="BI28" s="60"/>
      <c r="BJ28" s="65" t="str">
        <f t="shared" si="29"/>
        <v/>
      </c>
      <c r="BK28" s="60"/>
      <c r="BL28" s="65" t="str">
        <f t="shared" si="30"/>
        <v/>
      </c>
      <c r="BM28" s="60"/>
      <c r="BN28" s="65" t="str">
        <f t="shared" si="31"/>
        <v/>
      </c>
      <c r="BO28" s="60"/>
      <c r="BP28" s="65" t="str">
        <f t="shared" si="32"/>
        <v/>
      </c>
      <c r="BQ28" s="60"/>
      <c r="BR28" s="65" t="str">
        <f t="shared" si="33"/>
        <v/>
      </c>
      <c r="BS28" s="60"/>
      <c r="BT28" s="65" t="str">
        <f t="shared" si="34"/>
        <v/>
      </c>
      <c r="BU28" s="60"/>
      <c r="BV28" s="65" t="str">
        <f t="shared" si="35"/>
        <v/>
      </c>
      <c r="BW28" s="60"/>
      <c r="BX28" s="65" t="str">
        <f t="shared" si="36"/>
        <v/>
      </c>
      <c r="BY28" s="60"/>
      <c r="BZ28" s="67" t="str">
        <f t="shared" si="37"/>
        <v/>
      </c>
      <c r="CA28" s="60"/>
      <c r="CB28" s="67" t="str">
        <f t="shared" si="38"/>
        <v/>
      </c>
      <c r="CC28" s="60"/>
      <c r="CD28" s="67" t="str">
        <f t="shared" si="39"/>
        <v/>
      </c>
      <c r="CE28" s="60"/>
      <c r="CF28" s="67" t="str">
        <f t="shared" si="40"/>
        <v/>
      </c>
      <c r="CG28" s="60"/>
      <c r="CH28" s="67" t="str">
        <f t="shared" si="41"/>
        <v/>
      </c>
      <c r="CI28" s="60"/>
      <c r="CJ28" s="67" t="str">
        <f t="shared" si="42"/>
        <v/>
      </c>
      <c r="CK28" s="60"/>
      <c r="CL28" s="64" t="str">
        <f t="shared" si="43"/>
        <v/>
      </c>
      <c r="CM28" s="65" t="e">
        <f t="shared" si="44"/>
        <v>#VALUE!</v>
      </c>
      <c r="CN28" s="62"/>
      <c r="CO28" s="62"/>
      <c r="CP28" s="68"/>
      <c r="CQ28" s="67" t="str">
        <f t="shared" si="45"/>
        <v/>
      </c>
      <c r="CR28" s="68"/>
      <c r="CS28" s="67" t="str">
        <f t="shared" si="46"/>
        <v/>
      </c>
      <c r="CT28" s="75"/>
      <c r="CU28" s="67" t="str">
        <f t="shared" si="47"/>
        <v/>
      </c>
      <c r="CV28" s="68"/>
      <c r="CW28" s="67" t="str">
        <f t="shared" si="48"/>
        <v/>
      </c>
      <c r="CX28" s="58"/>
      <c r="CY28" s="67" t="str">
        <f t="shared" si="49"/>
        <v/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S31" sqref="S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>
        <v>17</v>
      </c>
      <c r="D11" s="40">
        <v>32</v>
      </c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>
        <v>17</v>
      </c>
      <c r="D12" s="40">
        <v>32</v>
      </c>
      <c r="E12" s="41">
        <v>0</v>
      </c>
      <c r="F12" s="41">
        <v>6834</v>
      </c>
      <c r="G12" s="41">
        <v>0</v>
      </c>
      <c r="H12" s="41">
        <v>1360</v>
      </c>
      <c r="I12" s="41">
        <v>80</v>
      </c>
      <c r="J12" s="41">
        <v>2212</v>
      </c>
      <c r="K12" s="42">
        <v>85</v>
      </c>
      <c r="L12" s="42">
        <v>73</v>
      </c>
      <c r="M12" s="42">
        <v>1914</v>
      </c>
      <c r="N12" s="39">
        <v>85</v>
      </c>
      <c r="O12" s="39">
        <v>83</v>
      </c>
      <c r="P12" s="39">
        <v>25</v>
      </c>
      <c r="Q12" s="39">
        <v>5820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44963</v>
      </c>
      <c r="B13" s="40">
        <v>18</v>
      </c>
      <c r="C13" s="40">
        <v>18</v>
      </c>
      <c r="D13" s="40">
        <v>35</v>
      </c>
      <c r="E13" s="41">
        <v>0</v>
      </c>
      <c r="F13" s="41">
        <v>6834</v>
      </c>
      <c r="G13" s="41">
        <v>0</v>
      </c>
      <c r="H13" s="41">
        <v>1363</v>
      </c>
      <c r="I13" s="41">
        <v>75</v>
      </c>
      <c r="J13" s="41">
        <v>2212</v>
      </c>
      <c r="K13" s="42">
        <v>85</v>
      </c>
      <c r="L13" s="42">
        <v>70</v>
      </c>
      <c r="M13" s="42">
        <v>1914</v>
      </c>
      <c r="N13" s="39">
        <v>85</v>
      </c>
      <c r="O13" s="39">
        <v>85</v>
      </c>
      <c r="P13" s="39">
        <v>25</v>
      </c>
      <c r="Q13" s="39">
        <v>5822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44964</v>
      </c>
      <c r="B14" s="40">
        <v>18</v>
      </c>
      <c r="C14" s="40">
        <v>18</v>
      </c>
      <c r="D14" s="40">
        <v>35</v>
      </c>
      <c r="E14" s="41">
        <v>0</v>
      </c>
      <c r="F14" s="41">
        <v>6834</v>
      </c>
      <c r="G14" s="41">
        <v>0</v>
      </c>
      <c r="H14" s="41">
        <v>1366</v>
      </c>
      <c r="I14" s="41">
        <v>65</v>
      </c>
      <c r="J14" s="41">
        <v>2212</v>
      </c>
      <c r="K14" s="42">
        <v>85</v>
      </c>
      <c r="L14" s="42">
        <v>65</v>
      </c>
      <c r="M14" s="42">
        <v>1914</v>
      </c>
      <c r="N14" s="39">
        <v>85</v>
      </c>
      <c r="O14" s="39">
        <v>85</v>
      </c>
      <c r="P14" s="39">
        <v>20</v>
      </c>
      <c r="Q14" s="39">
        <v>5827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44965</v>
      </c>
      <c r="B15" s="40">
        <v>18</v>
      </c>
      <c r="C15" s="40">
        <v>18</v>
      </c>
      <c r="D15" s="40">
        <v>35</v>
      </c>
      <c r="E15" s="41">
        <v>85</v>
      </c>
      <c r="F15" s="41">
        <v>6834</v>
      </c>
      <c r="G15" s="41">
        <v>85</v>
      </c>
      <c r="H15" s="41">
        <v>1368</v>
      </c>
      <c r="I15" s="41">
        <v>50</v>
      </c>
      <c r="J15" s="41">
        <v>2212</v>
      </c>
      <c r="K15" s="42">
        <v>85</v>
      </c>
      <c r="L15" s="42">
        <v>65</v>
      </c>
      <c r="M15" s="42">
        <v>1914</v>
      </c>
      <c r="N15" s="39">
        <v>85</v>
      </c>
      <c r="O15" s="39">
        <v>85</v>
      </c>
      <c r="P15" s="39">
        <v>20</v>
      </c>
      <c r="Q15" s="39">
        <v>5830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44966</v>
      </c>
      <c r="B16" s="40">
        <v>18</v>
      </c>
      <c r="C16" s="40">
        <v>18</v>
      </c>
      <c r="D16" s="40">
        <v>35</v>
      </c>
      <c r="E16" s="41">
        <v>85</v>
      </c>
      <c r="F16" s="41">
        <v>6834</v>
      </c>
      <c r="G16" s="41">
        <v>85</v>
      </c>
      <c r="H16" s="41">
        <v>1371</v>
      </c>
      <c r="I16" s="41">
        <v>40</v>
      </c>
      <c r="J16" s="41">
        <v>2212</v>
      </c>
      <c r="K16" s="42">
        <v>85</v>
      </c>
      <c r="L16" s="42">
        <v>65</v>
      </c>
      <c r="M16" s="42">
        <v>1914</v>
      </c>
      <c r="N16" s="39">
        <v>85</v>
      </c>
      <c r="O16" s="39">
        <v>85</v>
      </c>
      <c r="P16" s="39">
        <v>15</v>
      </c>
      <c r="Q16" s="39">
        <v>5833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44967</v>
      </c>
      <c r="B17" s="40">
        <v>28</v>
      </c>
      <c r="C17" s="40">
        <v>25</v>
      </c>
      <c r="D17" s="40">
        <v>44</v>
      </c>
      <c r="E17" s="41">
        <v>85</v>
      </c>
      <c r="F17" s="41">
        <v>6834</v>
      </c>
      <c r="G17" s="41">
        <v>85</v>
      </c>
      <c r="H17" s="41">
        <v>1373</v>
      </c>
      <c r="I17" s="41">
        <v>30</v>
      </c>
      <c r="J17" s="41">
        <v>2212</v>
      </c>
      <c r="K17" s="42">
        <v>85</v>
      </c>
      <c r="L17" s="42">
        <v>65</v>
      </c>
      <c r="M17" s="42">
        <v>1914</v>
      </c>
      <c r="N17" s="39">
        <v>85</v>
      </c>
      <c r="O17" s="39">
        <v>85</v>
      </c>
      <c r="P17" s="39">
        <v>15</v>
      </c>
      <c r="Q17" s="39">
        <v>5833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44968</v>
      </c>
      <c r="B18" s="40">
        <v>28</v>
      </c>
      <c r="C18" s="40">
        <v>28</v>
      </c>
      <c r="D18" s="40">
        <v>44</v>
      </c>
      <c r="E18" s="41">
        <v>85</v>
      </c>
      <c r="F18" s="41">
        <v>6834</v>
      </c>
      <c r="G18" s="41">
        <v>85</v>
      </c>
      <c r="H18" s="41">
        <v>1376</v>
      </c>
      <c r="I18" s="41">
        <v>20</v>
      </c>
      <c r="J18" s="41">
        <v>2212</v>
      </c>
      <c r="K18" s="42">
        <v>85</v>
      </c>
      <c r="L18" s="42">
        <v>65</v>
      </c>
      <c r="M18" s="42">
        <v>1914</v>
      </c>
      <c r="N18" s="39">
        <v>85</v>
      </c>
      <c r="O18" s="39">
        <v>85</v>
      </c>
      <c r="P18" s="39">
        <v>10</v>
      </c>
      <c r="Q18" s="39">
        <v>5837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44969</v>
      </c>
      <c r="B19" s="40">
        <v>28</v>
      </c>
      <c r="C19" s="40">
        <v>28</v>
      </c>
      <c r="D19" s="40">
        <v>44</v>
      </c>
      <c r="E19" s="41">
        <v>85</v>
      </c>
      <c r="F19" s="41">
        <v>6834</v>
      </c>
      <c r="G19" s="41">
        <v>85</v>
      </c>
      <c r="H19" s="41">
        <v>1379</v>
      </c>
      <c r="I19" s="41">
        <v>10</v>
      </c>
      <c r="J19" s="41">
        <v>2212</v>
      </c>
      <c r="K19" s="42">
        <v>85</v>
      </c>
      <c r="L19" s="42">
        <v>65</v>
      </c>
      <c r="M19" s="42">
        <v>1914</v>
      </c>
      <c r="N19" s="39">
        <v>85</v>
      </c>
      <c r="O19" s="39">
        <v>85</v>
      </c>
      <c r="P19" s="39">
        <v>10</v>
      </c>
      <c r="Q19" s="39">
        <v>5839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44970</v>
      </c>
      <c r="B20" s="40">
        <v>28</v>
      </c>
      <c r="C20" s="40">
        <v>28</v>
      </c>
      <c r="D20" s="40">
        <v>55</v>
      </c>
      <c r="E20" s="41">
        <v>85</v>
      </c>
      <c r="F20" s="41">
        <v>6834</v>
      </c>
      <c r="G20" s="41">
        <v>85</v>
      </c>
      <c r="H20" s="41">
        <v>1381</v>
      </c>
      <c r="I20" s="41">
        <v>5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8</v>
      </c>
      <c r="Q20" s="39">
        <v>5841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44971</v>
      </c>
      <c r="B21" s="40"/>
      <c r="C21" s="40">
        <v>32</v>
      </c>
      <c r="D21" s="40">
        <v>66</v>
      </c>
      <c r="E21" s="41">
        <v>85</v>
      </c>
      <c r="F21" s="41">
        <v>6834</v>
      </c>
      <c r="G21" s="41">
        <v>85</v>
      </c>
      <c r="H21" s="41">
        <v>1384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5</v>
      </c>
      <c r="Q21" s="39">
        <v>5845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44972</v>
      </c>
      <c r="B22" s="40"/>
      <c r="C22" s="40">
        <v>32</v>
      </c>
      <c r="D22" s="40">
        <v>66</v>
      </c>
      <c r="E22" s="41">
        <v>85</v>
      </c>
      <c r="F22" s="41">
        <v>6834</v>
      </c>
      <c r="G22" s="41">
        <v>80</v>
      </c>
      <c r="H22" s="41">
        <v>1387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0</v>
      </c>
      <c r="Q22" s="39">
        <v>5847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44973</v>
      </c>
      <c r="B23" s="40"/>
      <c r="C23" s="40">
        <v>39</v>
      </c>
      <c r="D23" s="40">
        <v>73</v>
      </c>
      <c r="E23" s="41">
        <v>85</v>
      </c>
      <c r="F23" s="41">
        <v>6834</v>
      </c>
      <c r="G23" s="41">
        <v>65</v>
      </c>
      <c r="H23" s="41">
        <v>1390</v>
      </c>
      <c r="I23" s="41">
        <v>0</v>
      </c>
      <c r="J23" s="41">
        <v>2212</v>
      </c>
      <c r="K23" s="42">
        <v>85</v>
      </c>
      <c r="L23" s="42">
        <v>55</v>
      </c>
      <c r="M23" s="42">
        <v>1914</v>
      </c>
      <c r="N23" s="39">
        <v>85</v>
      </c>
      <c r="O23" s="39">
        <v>81</v>
      </c>
      <c r="P23" s="39">
        <v>0</v>
      </c>
      <c r="Q23" s="39">
        <v>5850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44974</v>
      </c>
      <c r="B24" s="40"/>
      <c r="C24" s="40">
        <v>39</v>
      </c>
      <c r="D24" s="40">
        <v>73</v>
      </c>
      <c r="E24" s="41">
        <v>85</v>
      </c>
      <c r="F24" s="41">
        <v>6834</v>
      </c>
      <c r="G24" s="41">
        <v>50</v>
      </c>
      <c r="H24" s="41">
        <v>1393</v>
      </c>
      <c r="I24" s="41">
        <v>0</v>
      </c>
      <c r="J24" s="41">
        <v>2212</v>
      </c>
      <c r="K24" s="42">
        <v>85</v>
      </c>
      <c r="L24" s="42">
        <v>50</v>
      </c>
      <c r="M24" s="42">
        <v>1914</v>
      </c>
      <c r="N24" s="39">
        <v>85</v>
      </c>
      <c r="O24" s="39">
        <v>75</v>
      </c>
      <c r="P24" s="39">
        <v>0</v>
      </c>
      <c r="Q24" s="39">
        <v>5855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44975</v>
      </c>
      <c r="B25" s="40"/>
      <c r="C25" s="40">
        <v>30</v>
      </c>
      <c r="D25" s="40">
        <v>67</v>
      </c>
      <c r="E25" s="41">
        <v>85</v>
      </c>
      <c r="F25" s="41">
        <v>6834</v>
      </c>
      <c r="G25" s="41">
        <v>30</v>
      </c>
      <c r="H25" s="41">
        <v>1397</v>
      </c>
      <c r="I25" s="41">
        <v>0</v>
      </c>
      <c r="J25" s="41">
        <v>2212</v>
      </c>
      <c r="K25" s="42">
        <v>85</v>
      </c>
      <c r="L25" s="42">
        <v>50</v>
      </c>
      <c r="M25" s="42">
        <v>1914</v>
      </c>
      <c r="N25" s="39">
        <v>85</v>
      </c>
      <c r="O25" s="39">
        <v>75</v>
      </c>
      <c r="P25" s="39">
        <v>0</v>
      </c>
      <c r="Q25" s="39">
        <v>5855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44976</v>
      </c>
      <c r="B26" s="40"/>
      <c r="C26" s="40">
        <v>24</v>
      </c>
      <c r="D26" s="40">
        <v>61</v>
      </c>
      <c r="E26" s="41">
        <v>85</v>
      </c>
      <c r="F26" s="41">
        <v>6834</v>
      </c>
      <c r="G26" s="41">
        <v>20</v>
      </c>
      <c r="H26" s="41">
        <v>1399</v>
      </c>
      <c r="I26" s="41">
        <v>0</v>
      </c>
      <c r="J26" s="41">
        <v>2212</v>
      </c>
      <c r="K26" s="42">
        <v>85</v>
      </c>
      <c r="L26" s="42">
        <v>50</v>
      </c>
      <c r="M26" s="42">
        <v>1914</v>
      </c>
      <c r="N26" s="39">
        <v>85</v>
      </c>
      <c r="O26" s="39">
        <v>70</v>
      </c>
      <c r="P26" s="39">
        <v>0</v>
      </c>
      <c r="Q26" s="39">
        <v>5861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44977</v>
      </c>
      <c r="B27" s="40"/>
      <c r="C27" s="40">
        <v>23</v>
      </c>
      <c r="D27" s="40">
        <v>56</v>
      </c>
      <c r="E27" s="41">
        <v>85</v>
      </c>
      <c r="F27" s="41">
        <v>6834</v>
      </c>
      <c r="G27" s="41">
        <v>10</v>
      </c>
      <c r="H27" s="41">
        <v>1402</v>
      </c>
      <c r="I27" s="41">
        <v>0</v>
      </c>
      <c r="J27" s="41">
        <v>2212</v>
      </c>
      <c r="K27" s="42">
        <v>85</v>
      </c>
      <c r="L27" s="42">
        <v>48</v>
      </c>
      <c r="M27" s="42">
        <v>1914</v>
      </c>
      <c r="N27" s="39">
        <v>85</v>
      </c>
      <c r="O27" s="39">
        <v>68</v>
      </c>
      <c r="P27" s="39">
        <v>0</v>
      </c>
      <c r="Q27" s="39">
        <v>5863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44978</v>
      </c>
      <c r="B28" s="40"/>
      <c r="C28" s="40">
        <v>27</v>
      </c>
      <c r="D28" s="40">
        <v>63</v>
      </c>
      <c r="E28" s="41">
        <v>85</v>
      </c>
      <c r="F28" s="41">
        <v>6834</v>
      </c>
      <c r="G28" s="41">
        <v>5</v>
      </c>
      <c r="H28" s="41">
        <v>1404</v>
      </c>
      <c r="I28" s="41">
        <v>0</v>
      </c>
      <c r="J28" s="41">
        <v>2212</v>
      </c>
      <c r="K28" s="42">
        <v>85</v>
      </c>
      <c r="L28" s="42">
        <v>45</v>
      </c>
      <c r="M28" s="42">
        <v>1914</v>
      </c>
      <c r="N28" s="39">
        <v>85</v>
      </c>
      <c r="O28" s="39">
        <v>65</v>
      </c>
      <c r="P28" s="39">
        <v>0</v>
      </c>
      <c r="Q28" s="39">
        <v>5866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44979</v>
      </c>
      <c r="B29" s="40"/>
      <c r="C29" s="40">
        <v>25</v>
      </c>
      <c r="D29" s="40">
        <v>63</v>
      </c>
      <c r="E29" s="41">
        <v>85</v>
      </c>
      <c r="F29" s="41">
        <v>6834</v>
      </c>
      <c r="G29" s="41">
        <v>0</v>
      </c>
      <c r="H29" s="41">
        <v>1407</v>
      </c>
      <c r="I29" s="41">
        <v>0</v>
      </c>
      <c r="J29" s="41">
        <v>2212</v>
      </c>
      <c r="K29" s="42">
        <v>85</v>
      </c>
      <c r="L29" s="42">
        <v>45</v>
      </c>
      <c r="M29" s="42">
        <v>1914</v>
      </c>
      <c r="N29" s="39">
        <v>85</v>
      </c>
      <c r="O29" s="39">
        <v>60</v>
      </c>
      <c r="P29" s="39">
        <v>0</v>
      </c>
      <c r="Q29" s="39">
        <v>5869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44980</v>
      </c>
      <c r="B30" s="40"/>
      <c r="C30" s="40">
        <v>25</v>
      </c>
      <c r="D30" s="40">
        <v>63</v>
      </c>
      <c r="E30" s="41">
        <v>75</v>
      </c>
      <c r="F30" s="41">
        <v>6834</v>
      </c>
      <c r="G30" s="41">
        <v>0</v>
      </c>
      <c r="H30" s="41">
        <v>1411</v>
      </c>
      <c r="I30" s="41">
        <v>0</v>
      </c>
      <c r="J30" s="41">
        <v>2212</v>
      </c>
      <c r="K30" s="42">
        <v>85</v>
      </c>
      <c r="L30" s="42">
        <v>35</v>
      </c>
      <c r="M30" s="42">
        <v>1914</v>
      </c>
      <c r="N30" s="39">
        <v>85</v>
      </c>
      <c r="O30" s="39">
        <v>60</v>
      </c>
      <c r="P30" s="39">
        <v>0</v>
      </c>
      <c r="Q30" s="39">
        <v>5873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44981</v>
      </c>
      <c r="B31" s="40"/>
      <c r="C31" s="40">
        <v>23</v>
      </c>
      <c r="D31" s="40">
        <v>56</v>
      </c>
      <c r="E31" s="41">
        <v>65</v>
      </c>
      <c r="F31" s="41">
        <v>6834</v>
      </c>
      <c r="G31" s="41">
        <v>0</v>
      </c>
      <c r="H31" s="41">
        <v>1412</v>
      </c>
      <c r="I31" s="41">
        <v>0</v>
      </c>
      <c r="J31" s="41">
        <v>2212</v>
      </c>
      <c r="K31" s="42">
        <v>85</v>
      </c>
      <c r="L31" s="42">
        <v>35</v>
      </c>
      <c r="M31" s="42">
        <v>1914</v>
      </c>
      <c r="N31" s="39">
        <v>85</v>
      </c>
      <c r="O31" s="39">
        <v>55</v>
      </c>
      <c r="P31" s="39">
        <v>0</v>
      </c>
      <c r="Q31" s="39">
        <v>5874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-233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2023-02-25T17:49:16Z</dcterms:modified>
</cp:coreProperties>
</file>