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185" yWindow="390" windowWidth="12420" windowHeight="11160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Q15" i="2"/>
  <c r="G15" i="73" l="1"/>
  <c r="T4" i="3"/>
  <c r="T5"/>
  <c r="T6"/>
  <c r="T7"/>
  <c r="T8"/>
  <c r="T9"/>
  <c r="T10"/>
  <c r="T11"/>
  <c r="T3"/>
  <c r="O12" i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9"/>
  <c r="J20" s="1"/>
  <c r="J21" s="1"/>
  <c r="J22" s="1"/>
  <c r="J23" s="1"/>
  <c r="J24" s="1"/>
  <c r="J25" s="1"/>
  <c r="J26" s="1"/>
  <c r="J27" s="1"/>
  <c r="J28" s="1"/>
  <c r="J29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8" s="1"/>
  <c r="D19" s="1"/>
  <c r="D20" s="1"/>
  <c r="D21" s="1"/>
  <c r="D22" s="1"/>
  <c r="D23" s="1"/>
  <c r="D24" s="1"/>
  <c r="D25" s="1"/>
  <c r="R16"/>
  <c r="R17" s="1"/>
  <c r="R18" s="1"/>
  <c r="R19" s="1"/>
  <c r="R20" s="1"/>
  <c r="R21" s="1"/>
  <c r="R22" s="1"/>
  <c r="R23" s="1"/>
  <c r="G6" i="5"/>
  <c r="G7" s="1"/>
  <c r="G8" s="1"/>
  <c r="G11" s="1"/>
  <c r="G13" s="1"/>
  <c r="G15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1" s="1"/>
  <c r="AT17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2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20" i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2" s="1"/>
  <c r="F15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2" s="1"/>
  <c r="H15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10" s="1"/>
  <c r="K13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10" s="1"/>
  <c r="M13" s="1"/>
  <c r="M16" s="1"/>
  <c r="M17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11" s="1"/>
  <c r="P14" s="1"/>
  <c r="P17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11" s="1"/>
  <c r="Q14" s="1"/>
  <c r="Q17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20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8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8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1" s="1"/>
  <c r="W12" s="1"/>
  <c r="W13" s="1"/>
  <c r="W14" s="1"/>
  <c r="W15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9" s="1"/>
  <c r="Y11" s="1"/>
  <c r="Y12" s="1"/>
  <c r="Y13" s="1"/>
  <c r="Y14" s="1"/>
  <c r="Y15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10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10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18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T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T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T32" s="1"/>
  <c r="S31"/>
  <c r="U31" s="1"/>
  <c r="T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T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T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T13" s="1"/>
  <c r="S14"/>
  <c r="U14" s="1"/>
  <c r="T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4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T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12" i="2" l="1"/>
  <c r="AG5"/>
  <c r="H14" i="65"/>
  <c r="B4" i="63"/>
  <c r="AF13" i="2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T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T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T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X9"/>
  <c r="X15"/>
  <c r="AU22" i="5"/>
  <c r="BC21"/>
  <c r="X11" i="7"/>
  <c r="U21" i="3"/>
  <c r="T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T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T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T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T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T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B11"/>
  <c r="C10"/>
  <c r="J8"/>
  <c r="L4" i="81" s="1"/>
  <c r="K4"/>
  <c r="M11" i="5"/>
  <c r="N10"/>
  <c r="Q10" l="1"/>
  <c r="M6" i="81" s="1"/>
  <c r="AV15" i="7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P13" s="1"/>
  <c r="R13" s="1"/>
  <c r="T13" s="1"/>
  <c r="F11" i="81" s="1"/>
  <c r="O5" i="76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B24"/>
  <c r="U24"/>
  <c r="AA24" l="1"/>
  <c r="AC24" s="1"/>
  <c r="AH24" s="1"/>
  <c r="T24"/>
  <c r="AA17"/>
  <c r="AC17" s="1"/>
  <c r="AH17" s="1"/>
  <c r="T17"/>
  <c r="AB28"/>
  <c r="U28"/>
  <c r="AA28" l="1"/>
  <c r="AC28" s="1"/>
  <c r="AH28" s="1"/>
  <c r="T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<sst xmlns="http://schemas.openxmlformats.org/spreadsheetml/2006/main" count="650" uniqueCount="418">
  <si>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</si>
  <si>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</si>
  <si>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</si>
  <si>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</si>
  <si>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</si>
  <si>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</si>
  <si>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</si>
  <si>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</si>
  <si>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</si>
  <si>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</si>
  <si>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</si>
  <si>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</si>
  <si>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</si>
  <si>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</si>
  <si>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</si>
  <si>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</si>
  <si>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</si>
  <si>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</si>
  <si>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</si>
  <si>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</si>
  <si>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</si>
  <si>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</si>
  <si>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</si>
  <si>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</si>
  <si>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</si>
  <si>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</si>
  <si>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</si>
  <si>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</si>
  <si>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</si>
  <si>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</si>
  <si>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</si>
  <si>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</si>
  <si>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</si>
  <si>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</si>
  <si>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</si>
  <si>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</si>
  <si>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</si>
  <si>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</si>
  <si>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</si>
  <si>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</si>
  <si>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</si>
  <si>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</si>
  <si>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</si>
  <si>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</si>
  <si>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</si>
  <si>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</si>
  <si>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</si>
  <si>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</si>
  <si>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</si>
  <si>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</si>
  <si>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</si>
  <si>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</si>
  <si>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</si>
  <si>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</si>
  <si>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</si>
  <si>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</si>
  <si>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</si>
  <si>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</si>
  <si>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</si>
  <si>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</si>
  <si>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</si>
  <si>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</si>
  <si>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</si>
  <si>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</si>
  <si>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</si>
  <si>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</si>
  <si>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</si>
  <si>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</si>
  <si>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</si>
  <si>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</si>
  <si>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</si>
  <si>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</si>
  <si>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</si>
  <si>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</si>
  <si>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</si>
  <si>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</si>
  <si>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</si>
  <si>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</si>
  <si>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</si>
  <si>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</si>
  <si>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</si>
  <si>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</si>
  <si>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</si>
  <si>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</si>
  <si>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</si>
  <si>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</si>
  <si>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</si>
  <si>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</si>
  <si>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</si>
  <si>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</si>
  <si>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</si>
  <si>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</si>
  <si>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</si>
  <si>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</si>
  <si>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</si>
  <si>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</si>
  <si>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</si>
  <si>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</si>
  <si>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</si>
  <si>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</si>
  <si>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</si>
  <si>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</si>
  <si>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</si>
  <si>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</si>
  <si>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</si>
  <si>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</si>
  <si>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</si>
  <si>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</si>
  <si>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</si>
  <si>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</si>
  <si>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</si>
  <si>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</si>
  <si>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</si>
  <si>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</si>
  <si>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</si>
  <si>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</si>
  <si>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</si>
  <si>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</si>
  <si>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</si>
  <si>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</si>
  <si>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</si>
  <si>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</si>
  <si>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</si>
  <si>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</si>
  <si>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</si>
  <si>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</si>
  <si>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</si>
  <si>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</si>
  <si>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</si>
  <si>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</si>
  <si>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</si>
  <si>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</si>
  <si>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</si>
  <si>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</si>
  <si>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</si>
  <si>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</si>
  <si>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</si>
  <si>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</si>
  <si>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</si>
  <si>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</si>
  <si>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</si>
  <si>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</si>
  <si>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</si>
  <si>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</si>
  <si>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</si>
  <si>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</si>
  <si>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</si>
  <si>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</si>
  <si>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</si>
  <si>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</si>
  <si>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</si>
  <si>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</si>
  <si>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</si>
  <si>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</si>
  <si>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</si>
  <si>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</si>
  <si>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</si>
  <si>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</si>
  <si>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</si>
  <si>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</si>
  <si>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</si>
  <si>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</si>
  <si>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</si>
  <si>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</si>
  <si>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</si>
  <si>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</si>
  <si>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</si>
  <si>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</si>
  <si>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</si>
  <si>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</si>
  <si>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</si>
  <si>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</si>
  <si>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</si>
  <si>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</si>
  <si>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</si>
  <si>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</si>
  <si>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</si>
  <si>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</si>
  <si>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</si>
  <si>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</si>
  <si>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</si>
  <si>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</si>
  <si>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</si>
  <si>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</si>
  <si>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</si>
  <si>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</si>
  <si>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</si>
  <si>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</si>
  <si>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</si>
  <si>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</si>
  <si>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</si>
  <si>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</si>
  <si>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</si>
  <si>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</si>
  <si>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</si>
  <si>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</si>
  <si>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</si>
  <si>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</si>
  <si>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</si>
  <si>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</si>
  <si>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</si>
  <si>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</si>
  <si>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</si>
  <si>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</si>
  <si>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</si>
  <si>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</si>
  <si>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</si>
  <si>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</si>
  <si>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</si>
  <si>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</si>
  <si>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</si>
  <si>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</si>
  <si>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</si>
  <si>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</si>
  <si>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</si>
  <si>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</si>
  <si>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</si>
  <si>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</si>
  <si>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</si>
  <si>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</si>
  <si>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</si>
  <si>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</si>
  <si>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</si>
  <si>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</si>
  <si>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</si>
  <si>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</si>
  <si>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</si>
  <si>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</si>
  <si>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</si>
  <si>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</si>
  <si>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</si>
  <si>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</si>
  <si>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</si>
  <si>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</si>
  <si>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</si>
  <si>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</si>
  <si>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</si>
  <si>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</si>
  <si>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</si>
  <si>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</si>
  <si>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</si>
  <si>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</si>
  <si>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</si>
  <si>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</si>
  <si>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</si>
  <si>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</si>
  <si>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</si>
  <si>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</si>
  <si>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</si>
  <si>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</si>
  <si>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</si>
  <si>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</si>
  <si>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</si>
  <si>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</si>
  <si>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</si>
  <si>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</si>
  <si>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</si>
  <si>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</si>
  <si>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</si>
  <si>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</si>
  <si>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</si>
  <si>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</si>
  <si>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</si>
  <si>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</si>
  <si>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</si>
  <si>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</si>
  <si>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</si>
  <si>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</si>
  <si>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</si>
  <si>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</si>
  <si>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</si>
  <si>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</si>
  <si>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</si>
  <si>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</si>
  <si>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</si>
  <si>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</si>
  <si>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</si>
  <si>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</si>
  <si>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</si>
  <si>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</si>
  <si>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</si>
  <si>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</si>
  <si>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</si>
  <si>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</si>
  <si>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</si>
  <si>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</si>
  <si>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</si>
  <si>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</si>
  <si>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</si>
  <si>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</si>
  <si>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</si>
  <si>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</si>
  <si>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</si>
  <si>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</si>
  <si>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</si>
  <si>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</si>
  <si>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</si>
  <si>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</si>
  <si>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</si>
  <si>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</si>
  <si>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</si>
  <si>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</si>
  <si>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</si>
  <si>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</si>
  <si>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</si>
  <si>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</si>
  <si>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</si>
  <si>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</si>
  <si>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</si>
  <si>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</si>
  <si>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</si>
  <si>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</si>
  <si>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</si>
  <si>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</si>
  <si>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</si>
  <si>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</si>
  <si>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</si>
  <si>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</si>
  <si>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</si>
  <si>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</si>
  <si>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</si>
  <si>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</si>
  <si>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</si>
  <si>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</si>
  <si>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</si>
  <si>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</si>
  <si>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</si>
  <si>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</si>
  <si>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</si>
  <si>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</si>
  <si>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</si>
  <si>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</si>
  <si>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</si>
  <si>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</si>
  <si>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</si>
  <si>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</si>
  <si>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</si>
  <si>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</si>
  <si>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</si>
  <si>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</si>
  <si>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</si>
  <si>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</si>
  <si>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</si>
  <si>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</si>
  <si>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</si>
  <si>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</si>
  <si>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</si>
  <si>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</si>
  <si>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</si>
  <si>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</si>
  <si>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</si>
  <si>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</si>
  <si>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</si>
  <si>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</si>
  <si>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</si>
  <si>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</si>
  <si>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</si>
  <si>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</si>
  <si>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</si>
  <si>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</si>
  <si>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</si>
  <si>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</si>
  <si>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</si>
  <si>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</si>
  <si>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</si>
  <si>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</si>
  <si>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</si>
  <si>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</si>
  <si>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</si>
  <si>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</si>
  <si>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</si>
  <si>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</si>
  <si>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</si>
  <si>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</si>
  <si>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</si>
  <si>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</si>
  <si>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</si>
  <si>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</si>
  <si>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</si>
  <si>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</si>
  <si>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</si>
  <si>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</si>
  <si>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</si>
  <si>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</si>
  <si>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</si>
  <si>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</si>
  <si>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</si>
  <si>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</si>
  <si>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</si>
  <si>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</si>
  <si>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</si>
  <si>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</si>
  <si>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</si>
  <si>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</si>
  <si>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</si>
  <si>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</si>
  <si>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</si>
  <si>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</si>
  <si>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</si>
  <si>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</si>
  <si>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</si>
  <si>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</si>
  <si>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</si>
  <si>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</si>
  <si>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</si>
  <si>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</si>
  <si>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</si>
  <si>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</si>
  <si>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</si>
  <si>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</si>
  <si>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</si>
  <si>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</si>
  <si>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</si>
  <si>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</si>
  <si>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</si>
  <si>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</si>
  <si>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</si>
  <si>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door didn’t open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</si>
</sst>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[$-409]h:mm\ AM/PM;@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3" fontId="30" fillId="0" borderId="15" xfId="0" applyNumberFormat="1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41" fontId="0" fillId="8" borderId="1" xfId="0" applyNumberFormat="1" applyFill="1" applyBorder="1" applyAlignment="1">
      <alignment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8767744"/>
        <c:axId val="138839168"/>
      </c:lineChart>
      <c:catAx>
        <c:axId val="13876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39168"/>
        <c:crosses val="autoZero"/>
        <c:auto val="1"/>
        <c:lblAlgn val="ctr"/>
        <c:lblOffset val="100"/>
      </c:catAx>
      <c:valAx>
        <c:axId val="138839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6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8859648"/>
        <c:axId val="138861184"/>
      </c:lineChart>
      <c:catAx>
        <c:axId val="1388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61184"/>
        <c:crosses val="autoZero"/>
        <c:auto val="1"/>
        <c:lblAlgn val="ctr"/>
        <c:lblOffset val="100"/>
      </c:catAx>
      <c:valAx>
        <c:axId val="13886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33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9594368"/>
        <c:axId val="139604352"/>
      </c:lineChart>
      <c:catAx>
        <c:axId val="1395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4352"/>
        <c:crosses val="autoZero"/>
        <c:auto val="1"/>
        <c:lblAlgn val="ctr"/>
        <c:lblOffset val="100"/>
      </c:catAx>
      <c:valAx>
        <c:axId val="139604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44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9637120"/>
        <c:axId val="139638656"/>
      </c:lineChart>
      <c:catAx>
        <c:axId val="1396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38656"/>
        <c:crosses val="autoZero"/>
        <c:auto val="1"/>
        <c:lblAlgn val="ctr"/>
        <c:lblOffset val="100"/>
      </c:catAx>
      <c:valAx>
        <c:axId val="139638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5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9667328"/>
        <c:axId val="139668864"/>
      </c:lineChart>
      <c:catAx>
        <c:axId val="13966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68864"/>
        <c:crosses val="autoZero"/>
        <c:auto val="1"/>
        <c:lblAlgn val="ctr"/>
        <c:lblOffset val="100"/>
      </c:catAx>
      <c:valAx>
        <c:axId val="139668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6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3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-28</c:v>
                </c:pt>
                <c:pt idx="19">
                  <c:v>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9936128"/>
        <c:axId val="139937664"/>
      </c:lineChart>
      <c:catAx>
        <c:axId val="13993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7664"/>
        <c:crosses val="autoZero"/>
        <c:auto val="1"/>
        <c:lblAlgn val="ctr"/>
        <c:lblOffset val="100"/>
      </c:catAx>
      <c:valAx>
        <c:axId val="13993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9974528"/>
        <c:axId val="139976064"/>
      </c:lineChart>
      <c:catAx>
        <c:axId val="13997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6064"/>
        <c:crosses val="autoZero"/>
        <c:auto val="1"/>
        <c:lblAlgn val="ctr"/>
        <c:lblOffset val="100"/>
      </c:catAx>
      <c:valAx>
        <c:axId val="13997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0131712"/>
        <c:axId val="140141696"/>
      </c:lineChart>
      <c:catAx>
        <c:axId val="1401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41696"/>
        <c:crosses val="autoZero"/>
        <c:auto val="1"/>
        <c:lblAlgn val="ctr"/>
        <c:lblOffset val="100"/>
      </c:catAx>
      <c:valAx>
        <c:axId val="14014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0158080"/>
        <c:axId val="140159616"/>
      </c:lineChart>
      <c:catAx>
        <c:axId val="1401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59616"/>
        <c:crosses val="autoZero"/>
        <c:auto val="1"/>
        <c:lblAlgn val="ctr"/>
        <c:lblOffset val="100"/>
      </c:catAx>
      <c:valAx>
        <c:axId val="140159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916"/>
          <c:w val="0.127240331517742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0204672"/>
        <c:axId val="140210560"/>
      </c:lineChart>
      <c:catAx>
        <c:axId val="14020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10560"/>
        <c:crosses val="autoZero"/>
        <c:auto val="1"/>
        <c:lblAlgn val="ctr"/>
        <c:lblOffset val="100"/>
      </c:catAx>
      <c:valAx>
        <c:axId val="14021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0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416</c:v>
                </c:pt>
                <c:pt idx="9">
                  <c:v>326</c:v>
                </c:pt>
                <c:pt idx="10">
                  <c:v>409</c:v>
                </c:pt>
                <c:pt idx="11">
                  <c:v>368</c:v>
                </c:pt>
                <c:pt idx="12">
                  <c:v>367</c:v>
                </c:pt>
                <c:pt idx="13">
                  <c:v>113</c:v>
                </c:pt>
                <c:pt idx="14">
                  <c:v>591</c:v>
                </c:pt>
                <c:pt idx="15">
                  <c:v>291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0398976"/>
        <c:axId val="140400512"/>
      </c:lineChart>
      <c:catAx>
        <c:axId val="1403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0512"/>
        <c:crosses val="autoZero"/>
        <c:auto val="1"/>
        <c:lblAlgn val="ctr"/>
        <c:lblOffset val="100"/>
      </c:catAx>
      <c:valAx>
        <c:axId val="14040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916"/>
          <c:w val="0.1354168853893577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0433280"/>
        <c:axId val="140434816"/>
      </c:lineChart>
      <c:catAx>
        <c:axId val="14043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34816"/>
        <c:crosses val="autoZero"/>
        <c:auto val="1"/>
        <c:lblAlgn val="ctr"/>
        <c:lblOffset val="100"/>
      </c:catAx>
      <c:valAx>
        <c:axId val="140434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3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9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9153408"/>
        <c:axId val="139154944"/>
      </c:lineChart>
      <c:catAx>
        <c:axId val="13915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4944"/>
        <c:crosses val="autoZero"/>
        <c:auto val="1"/>
        <c:lblAlgn val="ctr"/>
        <c:lblOffset val="100"/>
      </c:catAx>
      <c:valAx>
        <c:axId val="139154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9191808"/>
        <c:axId val="139193344"/>
      </c:lineChart>
      <c:catAx>
        <c:axId val="13919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93344"/>
        <c:crosses val="autoZero"/>
        <c:auto val="1"/>
        <c:lblAlgn val="ctr"/>
        <c:lblOffset val="100"/>
      </c:catAx>
      <c:valAx>
        <c:axId val="13919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9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916"/>
          <c:w val="0.1354168853893577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0487680"/>
        <c:axId val="140493568"/>
      </c:lineChart>
      <c:catAx>
        <c:axId val="1404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93568"/>
        <c:crosses val="autoZero"/>
        <c:auto val="1"/>
        <c:lblAlgn val="ctr"/>
        <c:lblOffset val="100"/>
      </c:catAx>
      <c:valAx>
        <c:axId val="140493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4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-1910.0645161290595</c:v>
                </c:pt>
                <c:pt idx="8">
                  <c:v>-1533.3870967741823</c:v>
                </c:pt>
                <c:pt idx="9">
                  <c:v>-1770.0645161290231</c:v>
                </c:pt>
                <c:pt idx="10">
                  <c:v>-1296.7096774193706</c:v>
                </c:pt>
                <c:pt idx="11">
                  <c:v>-2076.7419354838639</c:v>
                </c:pt>
                <c:pt idx="12">
                  <c:v>-1533.3870967741823</c:v>
                </c:pt>
                <c:pt idx="13">
                  <c:v>1025.5483870967728</c:v>
                </c:pt>
                <c:pt idx="14">
                  <c:v>-1770.0645161290304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0591872"/>
        <c:axId val="140593408"/>
      </c:lineChart>
      <c:catAx>
        <c:axId val="14059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93408"/>
        <c:crosses val="autoZero"/>
        <c:auto val="1"/>
        <c:lblAlgn val="ctr"/>
        <c:lblOffset val="100"/>
      </c:catAx>
      <c:valAx>
        <c:axId val="140593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9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99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-28</c:v>
                </c:pt>
                <c:pt idx="19">
                  <c:v>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0622464"/>
        <c:axId val="140628352"/>
      </c:lineChart>
      <c:catAx>
        <c:axId val="1406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28352"/>
        <c:crosses val="autoZero"/>
        <c:auto val="1"/>
        <c:lblAlgn val="ctr"/>
        <c:lblOffset val="100"/>
      </c:catAx>
      <c:valAx>
        <c:axId val="14062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0530048"/>
        <c:axId val="140531584"/>
      </c:lineChart>
      <c:catAx>
        <c:axId val="1405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31584"/>
        <c:crosses val="autoZero"/>
        <c:auto val="1"/>
        <c:lblAlgn val="ctr"/>
        <c:lblOffset val="100"/>
      </c:catAx>
      <c:valAx>
        <c:axId val="140531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85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0552064"/>
        <c:axId val="140553600"/>
      </c:lineChart>
      <c:catAx>
        <c:axId val="14055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53600"/>
        <c:crosses val="autoZero"/>
        <c:auto val="1"/>
        <c:lblAlgn val="ctr"/>
        <c:lblOffset val="100"/>
      </c:catAx>
      <c:valAx>
        <c:axId val="140553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0721536"/>
        <c:axId val="140735616"/>
      </c:lineChart>
      <c:catAx>
        <c:axId val="14072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35616"/>
        <c:crosses val="autoZero"/>
        <c:auto val="1"/>
        <c:lblAlgn val="ctr"/>
        <c:lblOffset val="100"/>
      </c:catAx>
      <c:valAx>
        <c:axId val="14073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2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87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0764288"/>
        <c:axId val="140765824"/>
      </c:lineChart>
      <c:catAx>
        <c:axId val="1407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65824"/>
        <c:crosses val="autoZero"/>
        <c:auto val="1"/>
        <c:lblAlgn val="ctr"/>
        <c:lblOffset val="100"/>
      </c:catAx>
      <c:valAx>
        <c:axId val="14076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9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0655232"/>
        <c:axId val="140665216"/>
      </c:lineChart>
      <c:catAx>
        <c:axId val="1406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65216"/>
        <c:crosses val="autoZero"/>
        <c:auto val="1"/>
        <c:lblAlgn val="ctr"/>
        <c:lblOffset val="100"/>
      </c:catAx>
      <c:valAx>
        <c:axId val="14066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596"/>
          <c:w val="0.123431181980932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-268.20000000000005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8.2999999999999972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0920320"/>
        <c:axId val="140921856"/>
      </c:lineChart>
      <c:catAx>
        <c:axId val="140920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21856"/>
        <c:crosses val="autoZero"/>
        <c:auto val="1"/>
        <c:lblAlgn val="ctr"/>
        <c:lblOffset val="100"/>
      </c:catAx>
      <c:valAx>
        <c:axId val="140921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2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803"/>
          <c:w val="0.1569039853282231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0937856"/>
        <c:axId val="140943744"/>
      </c:lineChart>
      <c:catAx>
        <c:axId val="1409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43744"/>
        <c:crosses val="autoZero"/>
        <c:auto val="1"/>
        <c:lblAlgn val="ctr"/>
        <c:lblOffset val="100"/>
      </c:catAx>
      <c:valAx>
        <c:axId val="140943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1046528"/>
        <c:axId val="141048064"/>
      </c:lineChart>
      <c:catAx>
        <c:axId val="14104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48064"/>
        <c:crosses val="autoZero"/>
        <c:auto val="1"/>
        <c:lblAlgn val="ctr"/>
        <c:lblOffset val="100"/>
      </c:catAx>
      <c:valAx>
        <c:axId val="14104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4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6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1420800"/>
        <c:axId val="141656064"/>
      </c:lineChart>
      <c:catAx>
        <c:axId val="14142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56064"/>
        <c:crosses val="autoZero"/>
        <c:auto val="1"/>
        <c:lblAlgn val="ctr"/>
        <c:lblOffset val="100"/>
      </c:catAx>
      <c:valAx>
        <c:axId val="141656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2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1713792"/>
        <c:axId val="141715328"/>
      </c:lineChart>
      <c:catAx>
        <c:axId val="14171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15328"/>
        <c:crosses val="autoZero"/>
        <c:auto val="1"/>
        <c:lblAlgn val="ctr"/>
        <c:lblOffset val="100"/>
      </c:catAx>
      <c:valAx>
        <c:axId val="14171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79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-268.20000000000005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8.2999999999999972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1794688"/>
        <c:axId val="141804672"/>
      </c:lineChart>
      <c:catAx>
        <c:axId val="141794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04672"/>
        <c:crosses val="autoZero"/>
        <c:auto val="1"/>
        <c:lblAlgn val="ctr"/>
        <c:lblOffset val="100"/>
      </c:catAx>
      <c:valAx>
        <c:axId val="141804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9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80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16" sqref="A16:XFD1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7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0.153979957158696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0.36446978079192249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0.32838169599811312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0.34102969060346783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0.26208633746828586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0.29715327072554309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-3.2783651543440186E-2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8207</v>
      </c>
      <c r="F9" s="330">
        <f>SUM('EDl log'!T11)</f>
        <v>0.21292890395467226</v>
      </c>
      <c r="G9" s="203">
        <f>-tanks!AW13</f>
        <v>416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7584</v>
      </c>
      <c r="F10" s="330">
        <f>SUM('EDl log'!T12)</f>
        <v>0.19166069085838905</v>
      </c>
      <c r="G10" s="203">
        <f>-tanks!AW14</f>
        <v>326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211</v>
      </c>
      <c r="L10" s="331">
        <f>SUM(WATER!J14)</f>
        <v>1.1848341232227488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6883</v>
      </c>
      <c r="F11" s="330">
        <f>SUM('EDl log'!T13)</f>
        <v>0.23950285412441985</v>
      </c>
      <c r="G11" s="203">
        <f>-tanks!AW15</f>
        <v>409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6760.7999999998137</v>
      </c>
      <c r="F12" s="330">
        <f>SUM('EDl log'!T14)</f>
        <v>0.17657195622757893</v>
      </c>
      <c r="G12" s="203">
        <f>-tanks!AW16</f>
        <v>368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5</v>
      </c>
      <c r="L12" s="331">
        <f>SUM(WATER!J16)</f>
        <v>50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7293.2000000001863</v>
      </c>
      <c r="F13" s="330">
        <f>SUM('EDl log'!T15)</f>
        <v>0.26227485242284243</v>
      </c>
      <c r="G13" s="203">
        <f>-tanks!AW17</f>
        <v>367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6843</v>
      </c>
      <c r="F14" s="330">
        <f>SUM('EDl log'!T16)</f>
        <v>0.24010536283471914</v>
      </c>
      <c r="G14" s="203">
        <f>-tanks!AW18</f>
        <v>113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6800</v>
      </c>
      <c r="F15" s="330">
        <f>SUM('EDl log'!T17)</f>
        <v>-0.17976655209614986</v>
      </c>
      <c r="G15" s="203">
        <f>-tanks!AW19</f>
        <v>591</v>
      </c>
      <c r="H15" s="330">
        <f>SUM(tanks!AV19)</f>
        <v>0.93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7587</v>
      </c>
      <c r="F16" s="330">
        <f>SUM('EDl log'!T18)</f>
        <v>0.22776270254497216</v>
      </c>
      <c r="G16" s="203">
        <f>-tanks!AW20</f>
        <v>291</v>
      </c>
      <c r="H16" s="330">
        <f>SUM(tanks!AV20)</f>
        <v>0.93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0.93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0.93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0.93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0.93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0.93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0.93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0.93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0.93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0.93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0.93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0.93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0.93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0.93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0.93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0.93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abSelected="1" topLeftCell="A9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1662</v>
      </c>
      <c r="F9" s="203">
        <f>ELEC!K10</f>
        <v>2522</v>
      </c>
      <c r="G9" s="203">
        <f>ELEC!I10</f>
        <v>870</v>
      </c>
      <c r="H9" s="203">
        <f>ELEC!E10</f>
        <v>2382</v>
      </c>
      <c r="I9" s="203">
        <f>ELEC!G10</f>
        <v>771</v>
      </c>
      <c r="J9" s="203">
        <f>WATER!Y13</f>
        <v>102</v>
      </c>
      <c r="K9" s="203">
        <f>WATER!AJ13</f>
        <v>37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1656</v>
      </c>
      <c r="F10" s="203">
        <f>ELEC!K11</f>
        <v>1358</v>
      </c>
      <c r="G10" s="203">
        <f>ELEC!I11</f>
        <v>918</v>
      </c>
      <c r="H10" s="203">
        <f>ELEC!E11</f>
        <v>2910</v>
      </c>
      <c r="I10" s="203">
        <f>ELEC!G11</f>
        <v>742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1918</v>
      </c>
      <c r="F11" s="203">
        <f>ELEC!K12</f>
        <v>1238</v>
      </c>
      <c r="G11" s="203">
        <f>ELEC!I12</f>
        <v>936</v>
      </c>
      <c r="H11" s="203">
        <f>ELEC!E12</f>
        <v>2068</v>
      </c>
      <c r="I11" s="203">
        <f>ELEC!G12</f>
        <v>723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1688</v>
      </c>
      <c r="F12" s="203">
        <f>ELEC!K13</f>
        <v>1249</v>
      </c>
      <c r="G12" s="203">
        <f>ELEC!I13</f>
        <v>848</v>
      </c>
      <c r="H12" s="203">
        <f>ELEC!E13</f>
        <v>2320</v>
      </c>
      <c r="I12" s="203">
        <f>ELEC!G13</f>
        <v>655.79999999981374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1608</v>
      </c>
      <c r="F13" s="203">
        <f>ELEC!K14</f>
        <v>1323</v>
      </c>
      <c r="G13" s="203">
        <f>ELEC!I14</f>
        <v>802</v>
      </c>
      <c r="H13" s="203">
        <f>ELEC!E14</f>
        <v>2920</v>
      </c>
      <c r="I13" s="203">
        <f>ELEC!G14</f>
        <v>640.20000000018626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1576</v>
      </c>
      <c r="F14" s="203">
        <f>ELEC!K15</f>
        <v>1280</v>
      </c>
      <c r="G14" s="203">
        <f>ELEC!I15</f>
        <v>794</v>
      </c>
      <c r="H14" s="203">
        <f>ELEC!E15</f>
        <v>2584</v>
      </c>
      <c r="I14" s="203">
        <f>ELEC!G15</f>
        <v>609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1858</v>
      </c>
      <c r="F15" s="203">
        <f>ELEC!K16</f>
        <v>1500</v>
      </c>
      <c r="G15" s="203">
        <f>ELEC!I16</f>
        <v>796</v>
      </c>
      <c r="H15" s="203">
        <f>ELEC!E16</f>
        <v>1976</v>
      </c>
      <c r="I15" s="203">
        <f>ELEC!G16</f>
        <v>670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1564</v>
      </c>
      <c r="F16" s="203">
        <f>ELEC!K17</f>
        <v>2068</v>
      </c>
      <c r="G16" s="203">
        <f>ELEC!I17</f>
        <v>784</v>
      </c>
      <c r="H16" s="203">
        <f>ELEC!E17</f>
        <v>2584</v>
      </c>
      <c r="I16" s="203">
        <f>ELEC!G17</f>
        <v>587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zoomScale="85" zoomScaleNormal="85" zoomScaleSheetLayoutView="100" workbookViewId="0">
      <pane ySplit="1" topLeftCell="A16" activePane="bottomLeft" state="frozen"/>
      <selection activeCell="C1" sqref="C1"/>
      <selection pane="bottomLeft" activeCell="Y17" sqref="Y17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444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444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444">
        <v>16860.034</v>
      </c>
      <c r="Q5" s="467">
        <f>(P5-P4)*1000</f>
        <v>8261.9999999988067</v>
      </c>
      <c r="R5" s="448">
        <f>N5-Q5</f>
        <v>1424.0000000011933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-955231.99999999884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444">
        <v>16867.974999999999</v>
      </c>
      <c r="Q6" s="448">
        <f t="shared" si="2"/>
        <v>7940.9999999988941</v>
      </c>
      <c r="R6" s="448">
        <f t="shared" ref="R6:R12" si="18">N6-Q6</f>
        <v>1257.0000000011059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-956253.99999999884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444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600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600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1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600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600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600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600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1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600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v>32764132</v>
      </c>
      <c r="E10" s="311">
        <f t="shared" si="10"/>
        <v>2382</v>
      </c>
      <c r="F10" s="444">
        <v>3996002</v>
      </c>
      <c r="G10" s="312">
        <f t="shared" si="0"/>
        <v>771</v>
      </c>
      <c r="H10" s="444">
        <v>17838240</v>
      </c>
      <c r="I10" s="312">
        <f t="shared" si="11"/>
        <v>870</v>
      </c>
      <c r="J10" s="444">
        <v>28976514</v>
      </c>
      <c r="K10" s="312">
        <f t="shared" si="12"/>
        <v>2522</v>
      </c>
      <c r="L10" s="444">
        <v>24140252</v>
      </c>
      <c r="M10" s="312">
        <f t="shared" si="13"/>
        <v>1662</v>
      </c>
      <c r="N10" s="310">
        <f t="shared" si="14"/>
        <v>8207</v>
      </c>
      <c r="O10" s="466">
        <f t="shared" ref="O10:O30" si="21">IF(B10&gt;0,N10/B10,0)</f>
        <v>0</v>
      </c>
      <c r="P10" s="444">
        <v>16894.339</v>
      </c>
      <c r="Q10" s="448">
        <f t="shared" si="2"/>
        <v>4487.0000000009895</v>
      </c>
      <c r="R10" s="448">
        <f t="shared" si="18"/>
        <v>3719.9999999990105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v>32270</v>
      </c>
      <c r="X10" s="448">
        <f t="shared" si="20"/>
        <v>6</v>
      </c>
      <c r="Y10" s="444">
        <v>712865</v>
      </c>
      <c r="Z10" s="448">
        <f t="shared" si="19"/>
        <v>1113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6</v>
      </c>
      <c r="AF10" s="472">
        <f t="shared" si="9"/>
        <v>1113</v>
      </c>
      <c r="AG10" s="464">
        <f t="shared" ref="AG10:AG30" si="22">IF(AE10&gt;0,AF10/AE10,0)</f>
        <v>185.5</v>
      </c>
      <c r="AI10" s="465">
        <f>R10-'EDl log'!B8</f>
        <v>-957419.00000000093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v>32767042</v>
      </c>
      <c r="E11" s="311">
        <f t="shared" si="10"/>
        <v>2910</v>
      </c>
      <c r="F11" s="444">
        <v>3996744</v>
      </c>
      <c r="G11" s="312">
        <f t="shared" si="0"/>
        <v>742</v>
      </c>
      <c r="H11" s="444">
        <v>17839158</v>
      </c>
      <c r="I11" s="312">
        <f t="shared" si="11"/>
        <v>918</v>
      </c>
      <c r="J11" s="444">
        <v>28977872</v>
      </c>
      <c r="K11" s="312">
        <f t="shared" si="12"/>
        <v>1358</v>
      </c>
      <c r="L11" s="444">
        <v>24141908</v>
      </c>
      <c r="M11" s="312">
        <f t="shared" si="13"/>
        <v>1656</v>
      </c>
      <c r="N11" s="310">
        <f>M11+K11+I11+G11+E11</f>
        <v>7584</v>
      </c>
      <c r="O11" s="466">
        <f t="shared" si="21"/>
        <v>0</v>
      </c>
      <c r="P11" s="444">
        <v>16898.478999999999</v>
      </c>
      <c r="Q11" s="448">
        <f t="shared" si="2"/>
        <v>4139.9999999994179</v>
      </c>
      <c r="R11" s="448">
        <f t="shared" si="18"/>
        <v>3444.0000000005821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32270</v>
      </c>
      <c r="X11" s="448">
        <f t="shared" si="20"/>
        <v>0</v>
      </c>
      <c r="Y11" s="444">
        <f t="shared" si="7"/>
        <v>712865</v>
      </c>
      <c r="Z11" s="448">
        <f t="shared" si="19"/>
        <v>0</v>
      </c>
      <c r="AA11" s="444">
        <v>35839</v>
      </c>
      <c r="AB11" s="448">
        <f t="shared" si="16"/>
        <v>4</v>
      </c>
      <c r="AC11" s="444">
        <v>940903</v>
      </c>
      <c r="AD11" s="448">
        <f t="shared" si="17"/>
        <v>695</v>
      </c>
      <c r="AE11" s="471">
        <f t="shared" si="8"/>
        <v>4</v>
      </c>
      <c r="AF11" s="472">
        <f t="shared" si="9"/>
        <v>695</v>
      </c>
      <c r="AG11" s="464">
        <f t="shared" si="22"/>
        <v>173.75</v>
      </c>
      <c r="AI11" s="465">
        <f>R11-'EDl log'!B9</f>
        <v>-958519.99999999942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v>32769110</v>
      </c>
      <c r="E12" s="311">
        <f t="shared" si="10"/>
        <v>2068</v>
      </c>
      <c r="F12" s="444">
        <v>3997467</v>
      </c>
      <c r="G12" s="312">
        <f t="shared" si="0"/>
        <v>723</v>
      </c>
      <c r="H12" s="444">
        <v>17840094</v>
      </c>
      <c r="I12" s="312">
        <f t="shared" si="11"/>
        <v>936</v>
      </c>
      <c r="J12" s="444">
        <v>28979110</v>
      </c>
      <c r="K12" s="312">
        <f t="shared" si="12"/>
        <v>1238</v>
      </c>
      <c r="L12" s="444">
        <v>24143826</v>
      </c>
      <c r="M12" s="312">
        <f t="shared" si="13"/>
        <v>1918</v>
      </c>
      <c r="N12" s="310">
        <f>M12+K12+I12+G12+E12</f>
        <v>6883</v>
      </c>
      <c r="O12" s="466">
        <f t="shared" si="21"/>
        <v>0</v>
      </c>
      <c r="P12" s="444">
        <v>16901.313999999998</v>
      </c>
      <c r="Q12" s="448">
        <f t="shared" si="2"/>
        <v>2834.9999999991269</v>
      </c>
      <c r="R12" s="448">
        <f t="shared" si="18"/>
        <v>4048.0000000008731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32270</v>
      </c>
      <c r="X12" s="448">
        <f t="shared" si="20"/>
        <v>0</v>
      </c>
      <c r="Y12" s="444">
        <f t="shared" si="7"/>
        <v>712865</v>
      </c>
      <c r="Z12" s="448">
        <f t="shared" si="19"/>
        <v>0</v>
      </c>
      <c r="AA12" s="444">
        <v>35841</v>
      </c>
      <c r="AB12" s="448">
        <f t="shared" si="16"/>
        <v>2</v>
      </c>
      <c r="AC12" s="444">
        <v>941299</v>
      </c>
      <c r="AD12" s="448">
        <f t="shared" si="17"/>
        <v>396</v>
      </c>
      <c r="AE12" s="471">
        <f t="shared" si="8"/>
        <v>2</v>
      </c>
      <c r="AF12" s="472">
        <f t="shared" si="9"/>
        <v>396</v>
      </c>
      <c r="AG12" s="464">
        <f t="shared" si="22"/>
        <v>198</v>
      </c>
      <c r="AI12" s="465">
        <f>R12-'EDl log'!B10</f>
        <v>-959609.99999999907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v>32771430</v>
      </c>
      <c r="E13" s="311">
        <f t="shared" si="10"/>
        <v>2320</v>
      </c>
      <c r="F13" s="444">
        <v>3998122.8</v>
      </c>
      <c r="G13" s="312">
        <f t="shared" si="0"/>
        <v>655.79999999981374</v>
      </c>
      <c r="H13" s="444">
        <v>17840942</v>
      </c>
      <c r="I13" s="312">
        <f t="shared" si="11"/>
        <v>848</v>
      </c>
      <c r="J13" s="444">
        <v>28980359</v>
      </c>
      <c r="K13" s="312">
        <f t="shared" si="12"/>
        <v>1249</v>
      </c>
      <c r="L13" s="444">
        <v>24145514</v>
      </c>
      <c r="M13" s="312">
        <f t="shared" si="13"/>
        <v>1688</v>
      </c>
      <c r="N13" s="310">
        <f t="shared" si="14"/>
        <v>6760.7999999998137</v>
      </c>
      <c r="O13" s="466">
        <f t="shared" si="21"/>
        <v>0</v>
      </c>
      <c r="P13" s="444">
        <v>16904.397000000001</v>
      </c>
      <c r="Q13" s="448">
        <f>(P13-P12)*1000</f>
        <v>3083.0000000023574</v>
      </c>
      <c r="R13" s="448">
        <f t="shared" ref="R13" si="23">N13-Q13</f>
        <v>3677.7999999974563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32270</v>
      </c>
      <c r="X13" s="448">
        <f t="shared" si="20"/>
        <v>0</v>
      </c>
      <c r="Y13" s="444">
        <f t="shared" si="7"/>
        <v>712865</v>
      </c>
      <c r="Z13" s="448">
        <f t="shared" si="19"/>
        <v>0</v>
      </c>
      <c r="AA13" s="444">
        <v>35844</v>
      </c>
      <c r="AB13" s="448">
        <f t="shared" si="16"/>
        <v>3</v>
      </c>
      <c r="AC13" s="444">
        <v>941856</v>
      </c>
      <c r="AD13" s="448">
        <f t="shared" si="17"/>
        <v>557</v>
      </c>
      <c r="AE13" s="471">
        <f t="shared" si="8"/>
        <v>3</v>
      </c>
      <c r="AF13" s="472">
        <f t="shared" si="9"/>
        <v>557</v>
      </c>
      <c r="AG13" s="464">
        <f t="shared" si="22"/>
        <v>185.66666666666666</v>
      </c>
      <c r="AI13" s="465">
        <f>R13-'EDl log'!B11</f>
        <v>-961997.20000000251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v>32774350</v>
      </c>
      <c r="E14" s="311">
        <f t="shared" si="10"/>
        <v>2920</v>
      </c>
      <c r="F14" s="600">
        <v>3998763</v>
      </c>
      <c r="G14" s="312">
        <f t="shared" si="0"/>
        <v>640.20000000018626</v>
      </c>
      <c r="H14" s="444">
        <v>17841744</v>
      </c>
      <c r="I14" s="312">
        <f t="shared" si="11"/>
        <v>802</v>
      </c>
      <c r="J14" s="600">
        <v>28981682</v>
      </c>
      <c r="K14" s="312">
        <f t="shared" si="12"/>
        <v>1323</v>
      </c>
      <c r="L14" s="444">
        <v>24147122</v>
      </c>
      <c r="M14" s="312">
        <f t="shared" si="13"/>
        <v>1608</v>
      </c>
      <c r="N14" s="310">
        <f t="shared" si="14"/>
        <v>7293.2000000001863</v>
      </c>
      <c r="O14" s="466">
        <f t="shared" si="21"/>
        <v>0</v>
      </c>
      <c r="P14" s="601">
        <v>16908.743999999999</v>
      </c>
      <c r="Q14" s="448">
        <f t="shared" ref="Q14:Q30" si="24">(P14-P13)*1000</f>
        <v>4346.9999999979336</v>
      </c>
      <c r="R14" s="448">
        <f t="shared" ref="R14:R30" si="25">N14-Q14</f>
        <v>2946.2000000022526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32270</v>
      </c>
      <c r="X14" s="448">
        <f t="shared" si="20"/>
        <v>0</v>
      </c>
      <c r="Y14" s="444">
        <f t="shared" si="7"/>
        <v>712865</v>
      </c>
      <c r="Z14" s="448">
        <f t="shared" si="19"/>
        <v>0</v>
      </c>
      <c r="AA14" s="444">
        <v>35848</v>
      </c>
      <c r="AB14" s="448">
        <f t="shared" si="16"/>
        <v>4</v>
      </c>
      <c r="AC14" s="600">
        <v>942587</v>
      </c>
      <c r="AD14" s="448">
        <f t="shared" si="17"/>
        <v>731</v>
      </c>
      <c r="AE14" s="471">
        <f t="shared" si="8"/>
        <v>4</v>
      </c>
      <c r="AF14" s="472">
        <f t="shared" si="9"/>
        <v>731</v>
      </c>
      <c r="AG14" s="464">
        <f t="shared" si="22"/>
        <v>182.75</v>
      </c>
      <c r="AI14" s="465">
        <f>R14-'EDl log'!B12</f>
        <v>-964589.79999999772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v>32776934</v>
      </c>
      <c r="E15" s="311">
        <f t="shared" si="10"/>
        <v>2584</v>
      </c>
      <c r="F15" s="600">
        <v>3999372</v>
      </c>
      <c r="G15" s="312">
        <f t="shared" si="0"/>
        <v>609</v>
      </c>
      <c r="H15" s="444">
        <v>17842538</v>
      </c>
      <c r="I15" s="312">
        <f t="shared" si="11"/>
        <v>794</v>
      </c>
      <c r="J15" s="600">
        <v>28982962</v>
      </c>
      <c r="K15" s="312">
        <f t="shared" si="12"/>
        <v>1280</v>
      </c>
      <c r="L15" s="444">
        <v>24148698</v>
      </c>
      <c r="M15" s="312">
        <f t="shared" si="13"/>
        <v>1576</v>
      </c>
      <c r="N15" s="310">
        <f t="shared" si="14"/>
        <v>6843</v>
      </c>
      <c r="O15" s="466">
        <f t="shared" si="21"/>
        <v>0</v>
      </c>
      <c r="P15" s="601">
        <v>16912</v>
      </c>
      <c r="Q15" s="448">
        <f>(P15-P14)*1000</f>
        <v>3256.0000000012224</v>
      </c>
      <c r="R15" s="448">
        <f t="shared" si="25"/>
        <v>3586.9999999987776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32270</v>
      </c>
      <c r="X15" s="448">
        <f t="shared" si="20"/>
        <v>0</v>
      </c>
      <c r="Y15" s="444">
        <f t="shared" si="7"/>
        <v>712865</v>
      </c>
      <c r="Z15" s="448">
        <f t="shared" si="19"/>
        <v>0</v>
      </c>
      <c r="AA15" s="444">
        <v>35852</v>
      </c>
      <c r="AB15" s="448">
        <f t="shared" si="16"/>
        <v>4</v>
      </c>
      <c r="AC15" s="600">
        <v>943255</v>
      </c>
      <c r="AD15" s="448">
        <f t="shared" si="17"/>
        <v>668</v>
      </c>
      <c r="AE15" s="471">
        <f t="shared" si="8"/>
        <v>4</v>
      </c>
      <c r="AF15" s="472">
        <f t="shared" si="9"/>
        <v>668</v>
      </c>
      <c r="AG15" s="464">
        <f t="shared" si="22"/>
        <v>167</v>
      </c>
      <c r="AI15" s="465">
        <f>R15-'EDl log'!B13</f>
        <v>-966120.00000000116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v>32778910</v>
      </c>
      <c r="E16" s="311">
        <f t="shared" si="10"/>
        <v>1976</v>
      </c>
      <c r="F16" s="600">
        <v>4000042</v>
      </c>
      <c r="G16" s="312">
        <f t="shared" si="0"/>
        <v>670</v>
      </c>
      <c r="H16" s="444">
        <v>17843334</v>
      </c>
      <c r="I16" s="312">
        <f t="shared" si="11"/>
        <v>796</v>
      </c>
      <c r="J16" s="600">
        <v>28984462</v>
      </c>
      <c r="K16" s="312">
        <f t="shared" si="12"/>
        <v>1500</v>
      </c>
      <c r="L16" s="444">
        <v>24150556</v>
      </c>
      <c r="M16" s="312">
        <f t="shared" si="13"/>
        <v>1858</v>
      </c>
      <c r="N16" s="310">
        <f t="shared" si="14"/>
        <v>6800</v>
      </c>
      <c r="O16" s="466">
        <f t="shared" si="21"/>
        <v>0</v>
      </c>
      <c r="P16" s="444">
        <v>16915</v>
      </c>
      <c r="Q16" s="448">
        <f t="shared" si="24"/>
        <v>3000</v>
      </c>
      <c r="R16" s="448">
        <f t="shared" si="25"/>
        <v>3800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v>32272</v>
      </c>
      <c r="X16" s="448">
        <f>W16-W15</f>
        <v>2</v>
      </c>
      <c r="Y16" s="600">
        <v>713410</v>
      </c>
      <c r="Z16" s="448">
        <f>Y16-Y15</f>
        <v>545</v>
      </c>
      <c r="AA16" s="444">
        <f t="shared" si="7"/>
        <v>35852</v>
      </c>
      <c r="AB16" s="448">
        <f>AA16-AA15</f>
        <v>0</v>
      </c>
      <c r="AC16" s="444">
        <f t="shared" si="7"/>
        <v>943255</v>
      </c>
      <c r="AD16" s="448">
        <f t="shared" si="17"/>
        <v>0</v>
      </c>
      <c r="AE16" s="471">
        <f t="shared" si="8"/>
        <v>2</v>
      </c>
      <c r="AF16" s="472">
        <f t="shared" si="9"/>
        <v>545</v>
      </c>
      <c r="AG16" s="464">
        <f t="shared" si="22"/>
        <v>272.5</v>
      </c>
      <c r="AI16" s="465">
        <f>R16-'EDl log'!B14</f>
        <v>-967898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v>32781494</v>
      </c>
      <c r="E17" s="311">
        <f t="shared" si="10"/>
        <v>2584</v>
      </c>
      <c r="F17" s="600">
        <v>4000629</v>
      </c>
      <c r="G17" s="312">
        <f t="shared" si="0"/>
        <v>587</v>
      </c>
      <c r="H17" s="444">
        <v>17844118</v>
      </c>
      <c r="I17" s="312">
        <f t="shared" si="11"/>
        <v>784</v>
      </c>
      <c r="J17" s="600">
        <v>28986530</v>
      </c>
      <c r="K17" s="312">
        <f t="shared" si="12"/>
        <v>2068</v>
      </c>
      <c r="L17" s="444">
        <v>24152120</v>
      </c>
      <c r="M17" s="312">
        <f t="shared" si="13"/>
        <v>1564</v>
      </c>
      <c r="N17" s="310">
        <f t="shared" si="14"/>
        <v>7587</v>
      </c>
      <c r="O17" s="466">
        <f t="shared" si="21"/>
        <v>0</v>
      </c>
      <c r="P17" s="444">
        <v>16920</v>
      </c>
      <c r="Q17" s="448">
        <f t="shared" si="24"/>
        <v>5000</v>
      </c>
      <c r="R17" s="448">
        <f t="shared" si="25"/>
        <v>2587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v>32276</v>
      </c>
      <c r="X17" s="448">
        <f t="shared" si="20"/>
        <v>4</v>
      </c>
      <c r="Y17" s="600">
        <v>714183</v>
      </c>
      <c r="Z17" s="448">
        <f t="shared" si="19"/>
        <v>773</v>
      </c>
      <c r="AA17" s="444">
        <f t="shared" si="7"/>
        <v>35852</v>
      </c>
      <c r="AB17" s="448">
        <f t="shared" si="16"/>
        <v>0</v>
      </c>
      <c r="AC17" s="444">
        <f t="shared" si="7"/>
        <v>943255</v>
      </c>
      <c r="AD17" s="448">
        <f t="shared" ref="AD17:AD30" si="26">AC17-AC16</f>
        <v>0</v>
      </c>
      <c r="AE17" s="471">
        <f t="shared" si="8"/>
        <v>4</v>
      </c>
      <c r="AF17" s="472">
        <f t="shared" si="9"/>
        <v>773</v>
      </c>
      <c r="AG17" s="464">
        <f t="shared" si="22"/>
        <v>193.25</v>
      </c>
      <c r="AI17" s="465">
        <f>R17-'EDl log'!B15</f>
        <v>-970705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f t="shared" ref="D17:L32" si="27">D17</f>
        <v>32781494</v>
      </c>
      <c r="E18" s="311">
        <f t="shared" si="10"/>
        <v>0</v>
      </c>
      <c r="F18" s="444">
        <f t="shared" si="27"/>
        <v>4000629</v>
      </c>
      <c r="G18" s="312">
        <f t="shared" si="0"/>
        <v>0</v>
      </c>
      <c r="H18" s="444">
        <f t="shared" si="27"/>
        <v>17844118</v>
      </c>
      <c r="I18" s="312">
        <f t="shared" si="11"/>
        <v>0</v>
      </c>
      <c r="J18" s="444">
        <f t="shared" si="27"/>
        <v>28986530</v>
      </c>
      <c r="K18" s="312">
        <f t="shared" si="12"/>
        <v>0</v>
      </c>
      <c r="L18" s="444">
        <f t="shared" si="27"/>
        <v>24152120</v>
      </c>
      <c r="M18" s="312">
        <f t="shared" si="13"/>
        <v>0</v>
      </c>
      <c r="N18" s="310">
        <f t="shared" si="14"/>
        <v>0</v>
      </c>
      <c r="O18" s="466">
        <f t="shared" si="21"/>
        <v>0</v>
      </c>
      <c r="P18" s="444">
        <f t="shared" ref="P17:P32" si="28">P17</f>
        <v>16920</v>
      </c>
      <c r="Q18" s="448">
        <f t="shared" si="24"/>
        <v>0</v>
      </c>
      <c r="R18" s="448">
        <f t="shared" si="25"/>
        <v>0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f t="shared" si="7"/>
        <v>32276</v>
      </c>
      <c r="X18" s="448">
        <f t="shared" si="20"/>
        <v>0</v>
      </c>
      <c r="Y18" s="444">
        <f t="shared" si="7"/>
        <v>714183</v>
      </c>
      <c r="Z18" s="448">
        <f t="shared" si="19"/>
        <v>0</v>
      </c>
      <c r="AA18" s="444">
        <f t="shared" si="7"/>
        <v>35852</v>
      </c>
      <c r="AB18" s="448">
        <f t="shared" si="16"/>
        <v>0</v>
      </c>
      <c r="AC18" s="444">
        <f t="shared" si="7"/>
        <v>943255</v>
      </c>
      <c r="AD18" s="448">
        <f t="shared" si="26"/>
        <v>0</v>
      </c>
      <c r="AE18" s="471">
        <f t="shared" si="8"/>
        <v>0</v>
      </c>
      <c r="AF18" s="472">
        <f t="shared" si="9"/>
        <v>0</v>
      </c>
      <c r="AG18" s="464">
        <f t="shared" si="22"/>
        <v>0</v>
      </c>
      <c r="AI18" s="465">
        <f>R18-'EDl log'!B16</f>
        <v>-975030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f t="shared" si="27"/>
        <v>32781494</v>
      </c>
      <c r="E19" s="311">
        <f t="shared" si="10"/>
        <v>0</v>
      </c>
      <c r="F19" s="444">
        <f t="shared" si="27"/>
        <v>4000629</v>
      </c>
      <c r="G19" s="312">
        <f t="shared" si="0"/>
        <v>0</v>
      </c>
      <c r="H19" s="444">
        <f t="shared" si="27"/>
        <v>17844118</v>
      </c>
      <c r="I19" s="312">
        <f t="shared" si="11"/>
        <v>0</v>
      </c>
      <c r="J19" s="444">
        <f t="shared" si="27"/>
        <v>28986530</v>
      </c>
      <c r="K19" s="312">
        <f t="shared" si="12"/>
        <v>0</v>
      </c>
      <c r="L19" s="444">
        <f t="shared" si="27"/>
        <v>24152120</v>
      </c>
      <c r="M19" s="312">
        <f t="shared" si="13"/>
        <v>0</v>
      </c>
      <c r="N19" s="310">
        <f t="shared" si="14"/>
        <v>0</v>
      </c>
      <c r="O19" s="466">
        <f t="shared" si="21"/>
        <v>0</v>
      </c>
      <c r="P19" s="444">
        <f t="shared" si="28"/>
        <v>16920</v>
      </c>
      <c r="Q19" s="448">
        <f t="shared" si="24"/>
        <v>0</v>
      </c>
      <c r="R19" s="448">
        <f t="shared" si="25"/>
        <v>0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f t="shared" si="7"/>
        <v>32276</v>
      </c>
      <c r="X19" s="448">
        <f t="shared" si="20"/>
        <v>0</v>
      </c>
      <c r="Y19" s="444">
        <f t="shared" si="7"/>
        <v>714183</v>
      </c>
      <c r="Z19" s="448">
        <f t="shared" si="19"/>
        <v>0</v>
      </c>
      <c r="AA19" s="444">
        <f t="shared" si="7"/>
        <v>35852</v>
      </c>
      <c r="AB19" s="448">
        <f t="shared" si="16"/>
        <v>0</v>
      </c>
      <c r="AC19" s="444">
        <f t="shared" si="7"/>
        <v>943255</v>
      </c>
      <c r="AD19" s="448">
        <f t="shared" si="26"/>
        <v>0</v>
      </c>
      <c r="AE19" s="471">
        <f t="shared" si="8"/>
        <v>0</v>
      </c>
      <c r="AF19" s="472">
        <f t="shared" si="9"/>
        <v>0</v>
      </c>
      <c r="AG19" s="464">
        <f t="shared" si="22"/>
        <v>0</v>
      </c>
      <c r="AI19" s="465">
        <f>R19-'EDl log'!B17</f>
        <v>-976859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f t="shared" si="27"/>
        <v>32781494</v>
      </c>
      <c r="E20" s="311">
        <f t="shared" si="10"/>
        <v>0</v>
      </c>
      <c r="F20" s="444">
        <f t="shared" si="27"/>
        <v>4000629</v>
      </c>
      <c r="G20" s="312">
        <f t="shared" si="0"/>
        <v>0</v>
      </c>
      <c r="H20" s="444">
        <f t="shared" si="27"/>
        <v>17844118</v>
      </c>
      <c r="I20" s="312">
        <f t="shared" si="11"/>
        <v>0</v>
      </c>
      <c r="J20" s="444">
        <f t="shared" si="27"/>
        <v>28986530</v>
      </c>
      <c r="K20" s="312">
        <f t="shared" si="12"/>
        <v>0</v>
      </c>
      <c r="L20" s="444">
        <f t="shared" si="27"/>
        <v>24152120</v>
      </c>
      <c r="M20" s="312">
        <f t="shared" si="13"/>
        <v>0</v>
      </c>
      <c r="N20" s="310">
        <f t="shared" si="14"/>
        <v>0</v>
      </c>
      <c r="O20" s="466">
        <f t="shared" si="21"/>
        <v>0</v>
      </c>
      <c r="P20" s="444">
        <f t="shared" si="28"/>
        <v>16920</v>
      </c>
      <c r="Q20" s="448">
        <f t="shared" si="24"/>
        <v>0</v>
      </c>
      <c r="R20" s="448">
        <f t="shared" si="25"/>
        <v>0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f t="shared" si="7"/>
        <v>32276</v>
      </c>
      <c r="X20" s="448">
        <f t="shared" si="20"/>
        <v>0</v>
      </c>
      <c r="Y20" s="444">
        <f t="shared" si="7"/>
        <v>714183</v>
      </c>
      <c r="Z20" s="448">
        <f t="shared" si="19"/>
        <v>0</v>
      </c>
      <c r="AA20" s="444">
        <f t="shared" si="7"/>
        <v>35852</v>
      </c>
      <c r="AB20" s="448">
        <f t="shared" si="16"/>
        <v>0</v>
      </c>
      <c r="AC20" s="444">
        <f t="shared" si="7"/>
        <v>943255</v>
      </c>
      <c r="AD20" s="448">
        <f t="shared" si="26"/>
        <v>0</v>
      </c>
      <c r="AE20" s="471">
        <f t="shared" si="8"/>
        <v>0</v>
      </c>
      <c r="AF20" s="472">
        <f t="shared" si="9"/>
        <v>0</v>
      </c>
      <c r="AG20" s="464">
        <f t="shared" si="22"/>
        <v>0</v>
      </c>
      <c r="AI20" s="465">
        <f>R20-'EDl log'!B18</f>
        <v>-978719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f t="shared" si="27"/>
        <v>32781494</v>
      </c>
      <c r="E21" s="311">
        <f t="shared" si="10"/>
        <v>0</v>
      </c>
      <c r="F21" s="444">
        <f t="shared" si="27"/>
        <v>4000629</v>
      </c>
      <c r="G21" s="312">
        <f t="shared" si="0"/>
        <v>0</v>
      </c>
      <c r="H21" s="444">
        <f t="shared" si="27"/>
        <v>17844118</v>
      </c>
      <c r="I21" s="312">
        <f t="shared" si="11"/>
        <v>0</v>
      </c>
      <c r="J21" s="444">
        <f t="shared" si="27"/>
        <v>28986530</v>
      </c>
      <c r="K21" s="312">
        <f t="shared" si="12"/>
        <v>0</v>
      </c>
      <c r="L21" s="444">
        <f t="shared" si="27"/>
        <v>24152120</v>
      </c>
      <c r="M21" s="312">
        <f t="shared" si="13"/>
        <v>0</v>
      </c>
      <c r="N21" s="310">
        <f t="shared" si="14"/>
        <v>0</v>
      </c>
      <c r="O21" s="466">
        <f t="shared" si="21"/>
        <v>0</v>
      </c>
      <c r="P21" s="444">
        <f t="shared" si="28"/>
        <v>16920</v>
      </c>
      <c r="Q21" s="448">
        <f t="shared" si="24"/>
        <v>0</v>
      </c>
      <c r="R21" s="448">
        <f t="shared" si="25"/>
        <v>0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32276</v>
      </c>
      <c r="X21" s="448">
        <f t="shared" si="20"/>
        <v>0</v>
      </c>
      <c r="Y21" s="444">
        <f t="shared" si="7"/>
        <v>714183</v>
      </c>
      <c r="Z21" s="448">
        <f t="shared" si="19"/>
        <v>0</v>
      </c>
      <c r="AA21" s="444">
        <f t="shared" si="7"/>
        <v>35852</v>
      </c>
      <c r="AB21" s="448">
        <f t="shared" si="16"/>
        <v>0</v>
      </c>
      <c r="AC21" s="444">
        <f t="shared" si="7"/>
        <v>943255</v>
      </c>
      <c r="AD21" s="448">
        <f t="shared" si="26"/>
        <v>0</v>
      </c>
      <c r="AE21" s="471">
        <f t="shared" si="8"/>
        <v>0</v>
      </c>
      <c r="AF21" s="472">
        <f t="shared" si="9"/>
        <v>0</v>
      </c>
      <c r="AG21" s="464">
        <f t="shared" si="22"/>
        <v>0</v>
      </c>
      <c r="AI21" s="465">
        <f>R21-'EDl log'!B19</f>
        <v>-978719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f t="shared" si="27"/>
        <v>32781494</v>
      </c>
      <c r="E22" s="311">
        <f t="shared" si="10"/>
        <v>0</v>
      </c>
      <c r="F22" s="444">
        <f t="shared" si="27"/>
        <v>4000629</v>
      </c>
      <c r="G22" s="312">
        <f t="shared" si="0"/>
        <v>0</v>
      </c>
      <c r="H22" s="444">
        <f t="shared" si="27"/>
        <v>17844118</v>
      </c>
      <c r="I22" s="312">
        <f t="shared" si="11"/>
        <v>0</v>
      </c>
      <c r="J22" s="444">
        <f t="shared" si="27"/>
        <v>28986530</v>
      </c>
      <c r="K22" s="312">
        <f t="shared" si="12"/>
        <v>0</v>
      </c>
      <c r="L22" s="444">
        <f t="shared" si="27"/>
        <v>24152120</v>
      </c>
      <c r="M22" s="312">
        <f t="shared" si="13"/>
        <v>0</v>
      </c>
      <c r="N22" s="310">
        <f t="shared" si="14"/>
        <v>0</v>
      </c>
      <c r="O22" s="466">
        <f t="shared" si="21"/>
        <v>0</v>
      </c>
      <c r="P22" s="444">
        <f t="shared" si="28"/>
        <v>16920</v>
      </c>
      <c r="Q22" s="448">
        <f t="shared" si="24"/>
        <v>0</v>
      </c>
      <c r="R22" s="448">
        <f t="shared" si="25"/>
        <v>0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f t="shared" si="7"/>
        <v>32276</v>
      </c>
      <c r="X22" s="448">
        <f t="shared" si="20"/>
        <v>0</v>
      </c>
      <c r="Y22" s="444">
        <f t="shared" si="7"/>
        <v>714183</v>
      </c>
      <c r="Z22" s="448">
        <f t="shared" si="19"/>
        <v>0</v>
      </c>
      <c r="AA22" s="444">
        <f t="shared" si="7"/>
        <v>35852</v>
      </c>
      <c r="AB22" s="448">
        <f t="shared" si="16"/>
        <v>0</v>
      </c>
      <c r="AC22" s="444">
        <f t="shared" si="7"/>
        <v>943255</v>
      </c>
      <c r="AD22" s="448">
        <f t="shared" si="26"/>
        <v>0</v>
      </c>
      <c r="AE22" s="471">
        <f t="shared" si="8"/>
        <v>0</v>
      </c>
      <c r="AF22" s="472">
        <f t="shared" si="9"/>
        <v>0</v>
      </c>
      <c r="AG22" s="464">
        <f t="shared" si="22"/>
        <v>0</v>
      </c>
      <c r="AI22" s="465">
        <f>R22-'EDl log'!B20</f>
        <v>-978719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f t="shared" si="27"/>
        <v>32781494</v>
      </c>
      <c r="E23" s="311">
        <f t="shared" si="10"/>
        <v>0</v>
      </c>
      <c r="F23" s="444">
        <f t="shared" si="27"/>
        <v>4000629</v>
      </c>
      <c r="G23" s="312">
        <f t="shared" si="0"/>
        <v>0</v>
      </c>
      <c r="H23" s="444">
        <f t="shared" si="27"/>
        <v>17844118</v>
      </c>
      <c r="I23" s="437">
        <f t="shared" si="11"/>
        <v>0</v>
      </c>
      <c r="J23" s="444">
        <f t="shared" si="27"/>
        <v>28986530</v>
      </c>
      <c r="K23" s="312">
        <f t="shared" si="12"/>
        <v>0</v>
      </c>
      <c r="L23" s="444">
        <f t="shared" si="27"/>
        <v>24152120</v>
      </c>
      <c r="M23" s="312">
        <f t="shared" si="13"/>
        <v>0</v>
      </c>
      <c r="N23" s="310">
        <f t="shared" si="14"/>
        <v>0</v>
      </c>
      <c r="O23" s="466">
        <f t="shared" si="21"/>
        <v>0</v>
      </c>
      <c r="P23" s="444">
        <f t="shared" si="28"/>
        <v>16920</v>
      </c>
      <c r="Q23" s="448">
        <f t="shared" si="24"/>
        <v>0</v>
      </c>
      <c r="R23" s="448">
        <f t="shared" si="25"/>
        <v>0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32276</v>
      </c>
      <c r="X23" s="448">
        <f t="shared" si="20"/>
        <v>0</v>
      </c>
      <c r="Y23" s="444">
        <f t="shared" si="7"/>
        <v>714183</v>
      </c>
      <c r="Z23" s="448">
        <f t="shared" si="19"/>
        <v>0</v>
      </c>
      <c r="AA23" s="444">
        <f t="shared" si="7"/>
        <v>35852</v>
      </c>
      <c r="AB23" s="448">
        <f t="shared" si="16"/>
        <v>0</v>
      </c>
      <c r="AC23" s="444">
        <f t="shared" si="7"/>
        <v>943255</v>
      </c>
      <c r="AD23" s="448">
        <f t="shared" si="26"/>
        <v>0</v>
      </c>
      <c r="AE23" s="471">
        <f t="shared" si="8"/>
        <v>0</v>
      </c>
      <c r="AF23" s="472">
        <f t="shared" si="9"/>
        <v>0</v>
      </c>
      <c r="AG23" s="464">
        <f t="shared" si="22"/>
        <v>0</v>
      </c>
      <c r="AI23" s="465">
        <f>R23-'EDl log'!B21</f>
        <v>-978719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f t="shared" si="27"/>
        <v>32781494</v>
      </c>
      <c r="E24" s="311">
        <f t="shared" si="10"/>
        <v>0</v>
      </c>
      <c r="F24" s="444">
        <f t="shared" si="27"/>
        <v>4000629</v>
      </c>
      <c r="G24" s="312">
        <f t="shared" si="0"/>
        <v>0</v>
      </c>
      <c r="H24" s="444">
        <f t="shared" si="27"/>
        <v>17844118</v>
      </c>
      <c r="I24" s="312">
        <f t="shared" si="11"/>
        <v>0</v>
      </c>
      <c r="J24" s="444">
        <f t="shared" si="27"/>
        <v>28986530</v>
      </c>
      <c r="K24" s="312">
        <f t="shared" si="12"/>
        <v>0</v>
      </c>
      <c r="L24" s="444">
        <f t="shared" si="27"/>
        <v>24152120</v>
      </c>
      <c r="M24" s="312">
        <f t="shared" si="13"/>
        <v>0</v>
      </c>
      <c r="N24" s="310">
        <f t="shared" si="14"/>
        <v>0</v>
      </c>
      <c r="O24" s="466">
        <f t="shared" si="21"/>
        <v>0</v>
      </c>
      <c r="P24" s="444">
        <f t="shared" si="28"/>
        <v>16920</v>
      </c>
      <c r="Q24" s="448">
        <f t="shared" si="24"/>
        <v>0</v>
      </c>
      <c r="R24" s="448">
        <f t="shared" si="25"/>
        <v>0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f t="shared" si="7"/>
        <v>32276</v>
      </c>
      <c r="X24" s="448">
        <f t="shared" si="20"/>
        <v>0</v>
      </c>
      <c r="Y24" s="444">
        <f t="shared" si="7"/>
        <v>714183</v>
      </c>
      <c r="Z24" s="448">
        <f t="shared" si="19"/>
        <v>0</v>
      </c>
      <c r="AA24" s="444">
        <f t="shared" si="7"/>
        <v>35852</v>
      </c>
      <c r="AB24" s="448">
        <f t="shared" si="16"/>
        <v>0</v>
      </c>
      <c r="AC24" s="444">
        <f t="shared" si="7"/>
        <v>943255</v>
      </c>
      <c r="AD24" s="448">
        <f t="shared" si="26"/>
        <v>0</v>
      </c>
      <c r="AE24" s="471">
        <f t="shared" si="8"/>
        <v>0</v>
      </c>
      <c r="AF24" s="472">
        <f t="shared" si="9"/>
        <v>0</v>
      </c>
      <c r="AG24" s="464">
        <f t="shared" si="22"/>
        <v>0</v>
      </c>
      <c r="AI24" s="465">
        <f>R24-'EDl log'!B22</f>
        <v>-978719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f t="shared" si="27"/>
        <v>32781494</v>
      </c>
      <c r="E25" s="311">
        <f t="shared" si="10"/>
        <v>0</v>
      </c>
      <c r="F25" s="444">
        <f t="shared" si="27"/>
        <v>4000629</v>
      </c>
      <c r="G25" s="312">
        <f t="shared" si="0"/>
        <v>0</v>
      </c>
      <c r="H25" s="444">
        <f t="shared" si="27"/>
        <v>17844118</v>
      </c>
      <c r="I25" s="312">
        <f t="shared" si="11"/>
        <v>0</v>
      </c>
      <c r="J25" s="444">
        <f t="shared" si="27"/>
        <v>28986530</v>
      </c>
      <c r="K25" s="312">
        <f t="shared" si="12"/>
        <v>0</v>
      </c>
      <c r="L25" s="444">
        <f t="shared" si="27"/>
        <v>24152120</v>
      </c>
      <c r="M25" s="312">
        <f t="shared" si="13"/>
        <v>0</v>
      </c>
      <c r="N25" s="310">
        <f t="shared" si="14"/>
        <v>0</v>
      </c>
      <c r="O25" s="466">
        <f t="shared" si="21"/>
        <v>0</v>
      </c>
      <c r="P25" s="444">
        <f t="shared" si="28"/>
        <v>16920</v>
      </c>
      <c r="Q25" s="448">
        <f t="shared" si="24"/>
        <v>0</v>
      </c>
      <c r="R25" s="448">
        <f t="shared" si="25"/>
        <v>0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f t="shared" si="7"/>
        <v>32276</v>
      </c>
      <c r="X25" s="448">
        <f t="shared" si="20"/>
        <v>0</v>
      </c>
      <c r="Y25" s="444">
        <f t="shared" si="7"/>
        <v>714183</v>
      </c>
      <c r="Z25" s="448">
        <f t="shared" si="19"/>
        <v>0</v>
      </c>
      <c r="AA25" s="444">
        <f t="shared" si="7"/>
        <v>35852</v>
      </c>
      <c r="AB25" s="448">
        <f t="shared" si="16"/>
        <v>0</v>
      </c>
      <c r="AC25" s="444">
        <f t="shared" si="7"/>
        <v>943255</v>
      </c>
      <c r="AD25" s="448">
        <f t="shared" si="26"/>
        <v>0</v>
      </c>
      <c r="AE25" s="471">
        <f t="shared" si="8"/>
        <v>0</v>
      </c>
      <c r="AF25" s="472">
        <f t="shared" si="9"/>
        <v>0</v>
      </c>
      <c r="AG25" s="464">
        <f t="shared" si="22"/>
        <v>0</v>
      </c>
      <c r="AI25" s="465">
        <f>R25-'EDl log'!B23</f>
        <v>-978719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f t="shared" si="27"/>
        <v>32781494</v>
      </c>
      <c r="E26" s="311">
        <f t="shared" si="10"/>
        <v>0</v>
      </c>
      <c r="F26" s="444">
        <f t="shared" si="27"/>
        <v>4000629</v>
      </c>
      <c r="G26" s="312">
        <f t="shared" si="0"/>
        <v>0</v>
      </c>
      <c r="H26" s="444">
        <f t="shared" si="27"/>
        <v>17844118</v>
      </c>
      <c r="I26" s="312">
        <f t="shared" si="11"/>
        <v>0</v>
      </c>
      <c r="J26" s="444">
        <f t="shared" si="27"/>
        <v>28986530</v>
      </c>
      <c r="K26" s="312">
        <f t="shared" si="12"/>
        <v>0</v>
      </c>
      <c r="L26" s="444">
        <f t="shared" si="27"/>
        <v>24152120</v>
      </c>
      <c r="M26" s="312">
        <f t="shared" si="13"/>
        <v>0</v>
      </c>
      <c r="N26" s="310">
        <f t="shared" si="14"/>
        <v>0</v>
      </c>
      <c r="O26" s="466">
        <f t="shared" si="21"/>
        <v>0</v>
      </c>
      <c r="P26" s="444">
        <f t="shared" si="28"/>
        <v>16920</v>
      </c>
      <c r="Q26" s="448">
        <f t="shared" si="24"/>
        <v>0</v>
      </c>
      <c r="R26" s="448">
        <f t="shared" si="25"/>
        <v>0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32276</v>
      </c>
      <c r="X26" s="448">
        <f t="shared" si="20"/>
        <v>0</v>
      </c>
      <c r="Y26" s="444">
        <f t="shared" si="7"/>
        <v>714183</v>
      </c>
      <c r="Z26" s="448">
        <f t="shared" si="19"/>
        <v>0</v>
      </c>
      <c r="AA26" s="444">
        <f t="shared" si="7"/>
        <v>35852</v>
      </c>
      <c r="AB26" s="448">
        <f t="shared" si="16"/>
        <v>0</v>
      </c>
      <c r="AC26" s="444">
        <f t="shared" si="7"/>
        <v>943255</v>
      </c>
      <c r="AD26" s="448">
        <f t="shared" si="26"/>
        <v>0</v>
      </c>
      <c r="AE26" s="471">
        <f t="shared" si="8"/>
        <v>0</v>
      </c>
      <c r="AF26" s="472">
        <f t="shared" si="9"/>
        <v>0</v>
      </c>
      <c r="AG26" s="464">
        <f t="shared" si="22"/>
        <v>0</v>
      </c>
      <c r="AI26" s="465">
        <f>R26-'EDl log'!B24</f>
        <v>-978719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f t="shared" si="27"/>
        <v>32781494</v>
      </c>
      <c r="E27" s="311">
        <f t="shared" si="10"/>
        <v>0</v>
      </c>
      <c r="F27" s="444">
        <f t="shared" si="27"/>
        <v>4000629</v>
      </c>
      <c r="G27" s="312">
        <f>F27-F26</f>
        <v>0</v>
      </c>
      <c r="H27" s="444">
        <f t="shared" si="27"/>
        <v>17844118</v>
      </c>
      <c r="I27" s="312">
        <f t="shared" si="11"/>
        <v>0</v>
      </c>
      <c r="J27" s="444">
        <f t="shared" si="27"/>
        <v>28986530</v>
      </c>
      <c r="K27" s="312">
        <f t="shared" si="12"/>
        <v>0</v>
      </c>
      <c r="L27" s="444">
        <f t="shared" si="27"/>
        <v>24152120</v>
      </c>
      <c r="M27" s="312">
        <f t="shared" si="13"/>
        <v>0</v>
      </c>
      <c r="N27" s="310">
        <f t="shared" si="14"/>
        <v>0</v>
      </c>
      <c r="O27" s="466">
        <f t="shared" si="21"/>
        <v>0</v>
      </c>
      <c r="P27" s="444">
        <f t="shared" si="28"/>
        <v>16920</v>
      </c>
      <c r="Q27" s="448">
        <f t="shared" si="24"/>
        <v>0</v>
      </c>
      <c r="R27" s="448">
        <f t="shared" si="25"/>
        <v>0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32276</v>
      </c>
      <c r="X27" s="448">
        <f t="shared" si="20"/>
        <v>0</v>
      </c>
      <c r="Y27" s="444">
        <f t="shared" si="7"/>
        <v>714183</v>
      </c>
      <c r="Z27" s="448">
        <f t="shared" si="19"/>
        <v>0</v>
      </c>
      <c r="AA27" s="444">
        <f t="shared" si="7"/>
        <v>35852</v>
      </c>
      <c r="AB27" s="448">
        <f t="shared" si="16"/>
        <v>0</v>
      </c>
      <c r="AC27" s="444">
        <f t="shared" si="7"/>
        <v>943255</v>
      </c>
      <c r="AD27" s="448">
        <f t="shared" si="26"/>
        <v>0</v>
      </c>
      <c r="AE27" s="471">
        <f t="shared" si="8"/>
        <v>0</v>
      </c>
      <c r="AF27" s="472">
        <f t="shared" si="9"/>
        <v>0</v>
      </c>
      <c r="AG27" s="464">
        <f t="shared" si="22"/>
        <v>0</v>
      </c>
      <c r="AI27" s="465">
        <f>R27-'EDl log'!B25</f>
        <v>-978719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f t="shared" si="27"/>
        <v>32781494</v>
      </c>
      <c r="E28" s="311">
        <f t="shared" si="10"/>
        <v>0</v>
      </c>
      <c r="F28" s="444">
        <f t="shared" si="27"/>
        <v>4000629</v>
      </c>
      <c r="G28" s="312">
        <f t="shared" si="0"/>
        <v>0</v>
      </c>
      <c r="H28" s="444">
        <f t="shared" si="27"/>
        <v>17844118</v>
      </c>
      <c r="I28" s="312">
        <f t="shared" si="11"/>
        <v>0</v>
      </c>
      <c r="J28" s="444">
        <f t="shared" si="27"/>
        <v>28986530</v>
      </c>
      <c r="K28" s="312">
        <f t="shared" si="12"/>
        <v>0</v>
      </c>
      <c r="L28" s="444">
        <f t="shared" si="27"/>
        <v>24152120</v>
      </c>
      <c r="M28" s="312">
        <f t="shared" si="13"/>
        <v>0</v>
      </c>
      <c r="N28" s="310">
        <f t="shared" si="14"/>
        <v>0</v>
      </c>
      <c r="O28" s="466">
        <f t="shared" si="21"/>
        <v>0</v>
      </c>
      <c r="P28" s="444">
        <f t="shared" si="28"/>
        <v>16920</v>
      </c>
      <c r="Q28" s="448">
        <f t="shared" si="24"/>
        <v>0</v>
      </c>
      <c r="R28" s="448">
        <f t="shared" si="25"/>
        <v>0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32276</v>
      </c>
      <c r="X28" s="448">
        <f t="shared" si="20"/>
        <v>0</v>
      </c>
      <c r="Y28" s="444">
        <f t="shared" si="7"/>
        <v>714183</v>
      </c>
      <c r="Z28" s="448">
        <f t="shared" si="19"/>
        <v>0</v>
      </c>
      <c r="AA28" s="444">
        <f t="shared" si="7"/>
        <v>35852</v>
      </c>
      <c r="AB28" s="448">
        <f t="shared" si="16"/>
        <v>0</v>
      </c>
      <c r="AC28" s="444">
        <f t="shared" si="7"/>
        <v>943255</v>
      </c>
      <c r="AD28" s="448">
        <f t="shared" si="26"/>
        <v>0</v>
      </c>
      <c r="AE28" s="471">
        <f t="shared" si="8"/>
        <v>0</v>
      </c>
      <c r="AF28" s="472">
        <f t="shared" si="9"/>
        <v>0</v>
      </c>
      <c r="AG28" s="464">
        <f t="shared" si="22"/>
        <v>0</v>
      </c>
      <c r="AI28" s="465">
        <f>R28-'EDl log'!B26</f>
        <v>-978719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si="27"/>
        <v>32781494</v>
      </c>
      <c r="E29" s="311">
        <f t="shared" si="10"/>
        <v>0</v>
      </c>
      <c r="F29" s="444">
        <f t="shared" si="27"/>
        <v>4000629</v>
      </c>
      <c r="G29" s="312">
        <f t="shared" si="0"/>
        <v>0</v>
      </c>
      <c r="H29" s="444">
        <f t="shared" si="27"/>
        <v>17844118</v>
      </c>
      <c r="I29" s="312">
        <f t="shared" si="11"/>
        <v>0</v>
      </c>
      <c r="J29" s="444">
        <f t="shared" si="27"/>
        <v>28986530</v>
      </c>
      <c r="K29" s="312">
        <f t="shared" si="12"/>
        <v>0</v>
      </c>
      <c r="L29" s="444">
        <f t="shared" si="27"/>
        <v>24152120</v>
      </c>
      <c r="M29" s="312">
        <f t="shared" si="13"/>
        <v>0</v>
      </c>
      <c r="N29" s="310">
        <f t="shared" si="14"/>
        <v>0</v>
      </c>
      <c r="O29" s="466">
        <f t="shared" si="21"/>
        <v>0</v>
      </c>
      <c r="P29" s="444">
        <f t="shared" si="28"/>
        <v>16920</v>
      </c>
      <c r="Q29" s="448">
        <f t="shared" si="24"/>
        <v>0</v>
      </c>
      <c r="R29" s="448">
        <f t="shared" si="25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32276</v>
      </c>
      <c r="X29" s="448">
        <f t="shared" si="20"/>
        <v>0</v>
      </c>
      <c r="Y29" s="444">
        <f t="shared" si="7"/>
        <v>714183</v>
      </c>
      <c r="Z29" s="448">
        <f t="shared" si="19"/>
        <v>0</v>
      </c>
      <c r="AA29" s="444">
        <f t="shared" si="7"/>
        <v>35852</v>
      </c>
      <c r="AB29" s="448">
        <f t="shared" si="16"/>
        <v>0</v>
      </c>
      <c r="AC29" s="444">
        <f t="shared" si="7"/>
        <v>943255</v>
      </c>
      <c r="AD29" s="448">
        <f t="shared" si="26"/>
        <v>0</v>
      </c>
      <c r="AE29" s="471">
        <f t="shared" si="8"/>
        <v>0</v>
      </c>
      <c r="AF29" s="472">
        <f t="shared" si="9"/>
        <v>0</v>
      </c>
      <c r="AG29" s="464">
        <f t="shared" si="22"/>
        <v>0</v>
      </c>
      <c r="AI29" s="465">
        <f>R29-'EDl log'!B27</f>
        <v>-978719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7"/>
        <v>32781494</v>
      </c>
      <c r="E30" s="311">
        <f t="shared" si="10"/>
        <v>0</v>
      </c>
      <c r="F30" s="444">
        <f t="shared" si="27"/>
        <v>4000629</v>
      </c>
      <c r="G30" s="312">
        <f t="shared" si="0"/>
        <v>0</v>
      </c>
      <c r="H30" s="444">
        <f t="shared" si="27"/>
        <v>17844118</v>
      </c>
      <c r="I30" s="312">
        <f t="shared" si="11"/>
        <v>0</v>
      </c>
      <c r="J30" s="444">
        <f t="shared" si="27"/>
        <v>28986530</v>
      </c>
      <c r="K30" s="312">
        <f t="shared" si="12"/>
        <v>0</v>
      </c>
      <c r="L30" s="444">
        <f t="shared" si="27"/>
        <v>24152120</v>
      </c>
      <c r="M30" s="312">
        <f t="shared" si="13"/>
        <v>0</v>
      </c>
      <c r="N30" s="310">
        <f t="shared" si="14"/>
        <v>0</v>
      </c>
      <c r="O30" s="466">
        <f t="shared" si="21"/>
        <v>0</v>
      </c>
      <c r="P30" s="444">
        <f t="shared" si="28"/>
        <v>16920</v>
      </c>
      <c r="Q30" s="448">
        <f t="shared" si="24"/>
        <v>0</v>
      </c>
      <c r="R30" s="448">
        <f t="shared" si="25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32276</v>
      </c>
      <c r="X30" s="469">
        <f t="shared" si="20"/>
        <v>0</v>
      </c>
      <c r="Y30" s="444">
        <f t="shared" si="7"/>
        <v>714183</v>
      </c>
      <c r="Z30" s="448">
        <f t="shared" si="19"/>
        <v>0</v>
      </c>
      <c r="AA30" s="444">
        <f t="shared" si="7"/>
        <v>35852</v>
      </c>
      <c r="AB30" s="448">
        <f t="shared" si="16"/>
        <v>0</v>
      </c>
      <c r="AC30" s="444">
        <f t="shared" si="7"/>
        <v>943255</v>
      </c>
      <c r="AD30" s="448">
        <f t="shared" si="26"/>
        <v>0</v>
      </c>
      <c r="AE30" s="471">
        <f t="shared" si="8"/>
        <v>0</v>
      </c>
      <c r="AF30" s="472">
        <f t="shared" si="9"/>
        <v>0</v>
      </c>
      <c r="AG30" s="464">
        <f t="shared" si="22"/>
        <v>0</v>
      </c>
      <c r="AI30" s="465">
        <f>R30-'EDl log'!B28</f>
        <v>-978719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7"/>
        <v>32781494</v>
      </c>
      <c r="E31" s="311">
        <f t="shared" si="10"/>
        <v>0</v>
      </c>
      <c r="F31" s="444">
        <f t="shared" si="27"/>
        <v>4000629</v>
      </c>
      <c r="G31" s="312">
        <f t="shared" si="0"/>
        <v>0</v>
      </c>
      <c r="H31" s="444">
        <f t="shared" si="27"/>
        <v>17844118</v>
      </c>
      <c r="I31" s="312">
        <f t="shared" si="11"/>
        <v>0</v>
      </c>
      <c r="J31" s="444">
        <f t="shared" si="27"/>
        <v>28986530</v>
      </c>
      <c r="K31" s="312">
        <f t="shared" si="12"/>
        <v>0</v>
      </c>
      <c r="L31" s="444">
        <f t="shared" si="27"/>
        <v>24152120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444">
        <f t="shared" si="28"/>
        <v>16920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32276</v>
      </c>
      <c r="X31" s="469">
        <f t="shared" ref="X31:X32" si="36">W31-W30</f>
        <v>0</v>
      </c>
      <c r="Y31" s="444">
        <f t="shared" si="7"/>
        <v>714183</v>
      </c>
      <c r="Z31" s="448">
        <f t="shared" ref="Z31:Z32" si="37">Y31-Y30</f>
        <v>0</v>
      </c>
      <c r="AA31" s="444">
        <f t="shared" si="7"/>
        <v>35852</v>
      </c>
      <c r="AB31" s="448">
        <f t="shared" ref="AB31:AB32" si="38">AA31-AA30</f>
        <v>0</v>
      </c>
      <c r="AC31" s="444">
        <f t="shared" si="7"/>
        <v>943255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-978719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7"/>
        <v>32781494</v>
      </c>
      <c r="E32" s="311">
        <f t="shared" si="10"/>
        <v>0</v>
      </c>
      <c r="F32" s="444">
        <f t="shared" si="27"/>
        <v>4000629</v>
      </c>
      <c r="G32" s="312">
        <f t="shared" si="0"/>
        <v>0</v>
      </c>
      <c r="H32" s="444">
        <f t="shared" si="27"/>
        <v>17844118</v>
      </c>
      <c r="I32" s="312">
        <f t="shared" si="11"/>
        <v>0</v>
      </c>
      <c r="J32" s="444">
        <f t="shared" si="27"/>
        <v>28986530</v>
      </c>
      <c r="K32" s="312">
        <f t="shared" si="12"/>
        <v>0</v>
      </c>
      <c r="L32" s="444">
        <f t="shared" si="27"/>
        <v>24152120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444">
        <f t="shared" si="28"/>
        <v>16920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32276</v>
      </c>
      <c r="X32" s="469">
        <f t="shared" si="36"/>
        <v>0</v>
      </c>
      <c r="Y32" s="444">
        <f t="shared" si="7"/>
        <v>714183</v>
      </c>
      <c r="Z32" s="448">
        <f t="shared" si="37"/>
        <v>0</v>
      </c>
      <c r="AA32" s="444">
        <f t="shared" si="7"/>
        <v>35852</v>
      </c>
      <c r="AB32" s="448">
        <f t="shared" si="38"/>
        <v>0</v>
      </c>
      <c r="AC32" s="444">
        <f t="shared" si="7"/>
        <v>943255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-978719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17" activePane="bottomLeft" state="frozen"/>
      <selection activeCell="K1" sqref="K1"/>
      <selection pane="bottomLeft" activeCell="Y19" sqref="Y1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82">
        <f>J36</f>
        <v>76.183333333333323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397"/>
      <c r="V1" s="27" t="s">
        <v>104</v>
      </c>
      <c r="W1" s="39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v>222</v>
      </c>
      <c r="C12" s="591">
        <v>228</v>
      </c>
      <c r="D12" s="45">
        <f t="shared" si="28"/>
        <v>7</v>
      </c>
      <c r="E12" s="45">
        <f t="shared" si="8"/>
        <v>58.660000000000004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v>2297</v>
      </c>
      <c r="L12" s="52">
        <f t="shared" si="11"/>
        <v>1</v>
      </c>
      <c r="M12" s="591">
        <v>169228</v>
      </c>
      <c r="N12" s="396">
        <f t="shared" si="2"/>
        <v>133</v>
      </c>
      <c r="O12" s="64">
        <f t="shared" si="12"/>
        <v>1869</v>
      </c>
      <c r="P12" s="591">
        <v>2057</v>
      </c>
      <c r="Q12" s="591">
        <v>173215</v>
      </c>
      <c r="R12" s="395">
        <f t="shared" si="51"/>
        <v>175</v>
      </c>
      <c r="S12" s="52">
        <f t="shared" si="4"/>
        <v>3</v>
      </c>
      <c r="T12" s="67">
        <f t="shared" si="30"/>
        <v>0</v>
      </c>
      <c r="U12" s="402">
        <f t="shared" si="13"/>
        <v>4</v>
      </c>
      <c r="V12" s="62">
        <f t="shared" si="14"/>
        <v>308</v>
      </c>
      <c r="W12" s="400">
        <f t="shared" si="15"/>
        <v>77</v>
      </c>
      <c r="X12" s="591">
        <v>2465</v>
      </c>
      <c r="Y12" s="52">
        <f t="shared" si="17"/>
        <v>1</v>
      </c>
      <c r="Z12" s="591">
        <v>138740</v>
      </c>
      <c r="AA12" s="65">
        <f t="shared" si="5"/>
        <v>108</v>
      </c>
      <c r="AB12" s="284">
        <f t="shared" si="31"/>
        <v>0</v>
      </c>
      <c r="AC12" s="591">
        <f t="shared" ref="AC12:AE12" si="55">AC11</f>
        <v>1936</v>
      </c>
      <c r="AD12" s="45">
        <f t="shared" si="6"/>
        <v>0</v>
      </c>
      <c r="AE12" s="591">
        <f t="shared" si="55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108</v>
      </c>
      <c r="AI12" s="318">
        <f t="shared" si="20"/>
        <v>416</v>
      </c>
      <c r="AJ12" s="318">
        <f>-tanks!AW13</f>
        <v>416</v>
      </c>
      <c r="AK12" s="318">
        <f t="shared" si="21"/>
        <v>0</v>
      </c>
      <c r="AL12" s="318">
        <f t="shared" si="7"/>
        <v>4</v>
      </c>
      <c r="AM12" s="318">
        <f t="shared" si="22"/>
        <v>1</v>
      </c>
      <c r="AN12" s="591">
        <f t="shared" ref="AN12:AP12" si="56">AN11</f>
        <v>67</v>
      </c>
      <c r="AO12" s="320">
        <f t="shared" si="24"/>
        <v>2010.0000000000002</v>
      </c>
      <c r="AP12" s="591">
        <f t="shared" si="56"/>
        <v>55</v>
      </c>
      <c r="AQ12" s="320">
        <f t="shared" si="25"/>
        <v>1650.0000000000002</v>
      </c>
      <c r="AR12" s="591">
        <f t="shared" ref="AR12" si="57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v>217</v>
      </c>
      <c r="C13" s="591">
        <v>223</v>
      </c>
      <c r="D13" s="45">
        <f t="shared" si="28"/>
        <v>5</v>
      </c>
      <c r="E13" s="45">
        <f t="shared" si="8"/>
        <v>41.900000000000006</v>
      </c>
      <c r="F13" s="591">
        <v>1808</v>
      </c>
      <c r="G13" s="52">
        <f t="shared" si="0"/>
        <v>3</v>
      </c>
      <c r="H13" s="591">
        <v>10857</v>
      </c>
      <c r="I13" s="396">
        <f t="shared" si="1"/>
        <v>232</v>
      </c>
      <c r="J13" s="66">
        <f t="shared" si="10"/>
        <v>77.333333333333329</v>
      </c>
      <c r="K13" s="591">
        <f t="shared" si="29"/>
        <v>2297</v>
      </c>
      <c r="L13" s="52">
        <f t="shared" si="11"/>
        <v>0</v>
      </c>
      <c r="M13" s="591">
        <f t="shared" si="29"/>
        <v>169228</v>
      </c>
      <c r="N13" s="396">
        <f t="shared" si="2"/>
        <v>0</v>
      </c>
      <c r="O13" s="64">
        <f t="shared" si="12"/>
        <v>1869</v>
      </c>
      <c r="P13" s="591">
        <v>2058</v>
      </c>
      <c r="Q13" s="591">
        <v>173309</v>
      </c>
      <c r="R13" s="395">
        <f t="shared" si="51"/>
        <v>94</v>
      </c>
      <c r="S13" s="52">
        <f t="shared" si="4"/>
        <v>1</v>
      </c>
      <c r="T13" s="67">
        <f t="shared" si="30"/>
        <v>0</v>
      </c>
      <c r="U13" s="402">
        <f t="shared" si="13"/>
        <v>4</v>
      </c>
      <c r="V13" s="62">
        <f>R13+N13+I13:I13</f>
        <v>326</v>
      </c>
      <c r="W13" s="400">
        <f t="shared" si="15"/>
        <v>81.5</v>
      </c>
      <c r="X13" s="591">
        <f t="shared" si="16"/>
        <v>2465</v>
      </c>
      <c r="Y13" s="52">
        <f t="shared" si="17"/>
        <v>0</v>
      </c>
      <c r="Z13" s="591">
        <f t="shared" si="16"/>
        <v>138740</v>
      </c>
      <c r="AA13" s="284">
        <f t="shared" si="5"/>
        <v>0</v>
      </c>
      <c r="AB13" s="284">
        <f t="shared" si="31"/>
        <v>0</v>
      </c>
      <c r="AC13" s="591">
        <f t="shared" ref="AC13:AE13" si="58">AC12</f>
        <v>1936</v>
      </c>
      <c r="AD13" s="45">
        <f t="shared" si="6"/>
        <v>0</v>
      </c>
      <c r="AE13" s="591">
        <f t="shared" si="58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326</v>
      </c>
      <c r="AJ13" s="318">
        <f>-tanks!AW14</f>
        <v>326</v>
      </c>
      <c r="AK13" s="318">
        <f t="shared" si="21"/>
        <v>0</v>
      </c>
      <c r="AL13" s="318">
        <f t="shared" si="7"/>
        <v>4</v>
      </c>
      <c r="AM13" s="318">
        <f t="shared" si="22"/>
        <v>0</v>
      </c>
      <c r="AN13" s="591">
        <f t="shared" ref="AN13:AP13" si="59">AN12</f>
        <v>67</v>
      </c>
      <c r="AO13" s="320">
        <f t="shared" si="24"/>
        <v>2010.0000000000002</v>
      </c>
      <c r="AP13" s="591">
        <f t="shared" si="59"/>
        <v>55</v>
      </c>
      <c r="AQ13" s="320">
        <f t="shared" si="25"/>
        <v>1650.0000000000002</v>
      </c>
      <c r="AR13" s="591">
        <f t="shared" ref="AR13" si="60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v>211</v>
      </c>
      <c r="C14" s="591">
        <v>218</v>
      </c>
      <c r="D14" s="45">
        <f t="shared" si="28"/>
        <v>5</v>
      </c>
      <c r="E14" s="45">
        <f t="shared" si="8"/>
        <v>41.900000000000006</v>
      </c>
      <c r="F14" s="591">
        <v>1809</v>
      </c>
      <c r="G14" s="52">
        <f t="shared" si="0"/>
        <v>1</v>
      </c>
      <c r="H14" s="591">
        <v>10998</v>
      </c>
      <c r="I14" s="396">
        <f t="shared" si="1"/>
        <v>141</v>
      </c>
      <c r="J14" s="66">
        <f t="shared" si="10"/>
        <v>141</v>
      </c>
      <c r="K14" s="591">
        <v>2301</v>
      </c>
      <c r="L14" s="52">
        <f t="shared" si="11"/>
        <v>4</v>
      </c>
      <c r="M14" s="591">
        <v>169496</v>
      </c>
      <c r="N14" s="396">
        <f t="shared" si="2"/>
        <v>268</v>
      </c>
      <c r="O14" s="64">
        <f t="shared" si="12"/>
        <v>1869</v>
      </c>
      <c r="P14" s="591">
        <f t="shared" si="12"/>
        <v>2058</v>
      </c>
      <c r="Q14" s="591">
        <f t="shared" ref="Q14" si="61">Q13</f>
        <v>173309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5</v>
      </c>
      <c r="V14" s="62">
        <f t="shared" si="14"/>
        <v>409</v>
      </c>
      <c r="W14" s="400">
        <f t="shared" si="15"/>
        <v>81.8</v>
      </c>
      <c r="X14" s="591">
        <f t="shared" si="16"/>
        <v>2465</v>
      </c>
      <c r="Y14" s="52">
        <f t="shared" si="17"/>
        <v>0</v>
      </c>
      <c r="Z14" s="591">
        <f t="shared" si="16"/>
        <v>138740</v>
      </c>
      <c r="AA14" s="65">
        <f t="shared" si="5"/>
        <v>0</v>
      </c>
      <c r="AB14" s="284">
        <f t="shared" si="31"/>
        <v>0</v>
      </c>
      <c r="AC14" s="591">
        <f t="shared" ref="AC14:AE14" si="62">AC13</f>
        <v>1936</v>
      </c>
      <c r="AD14" s="45">
        <f t="shared" si="6"/>
        <v>0</v>
      </c>
      <c r="AE14" s="591">
        <f t="shared" si="62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409</v>
      </c>
      <c r="AJ14" s="318">
        <f>-tanks!AW15</f>
        <v>409</v>
      </c>
      <c r="AK14" s="318">
        <f t="shared" si="21"/>
        <v>0</v>
      </c>
      <c r="AL14" s="318">
        <f t="shared" si="7"/>
        <v>5</v>
      </c>
      <c r="AM14" s="318">
        <f t="shared" si="22"/>
        <v>0</v>
      </c>
      <c r="AN14" s="591">
        <f t="shared" ref="AN14:AP14" si="63">AN13</f>
        <v>67</v>
      </c>
      <c r="AO14" s="320">
        <f t="shared" si="24"/>
        <v>2010.0000000000002</v>
      </c>
      <c r="AP14" s="591">
        <f t="shared" si="63"/>
        <v>55</v>
      </c>
      <c r="AQ14" s="320">
        <f t="shared" si="25"/>
        <v>1650.0000000000002</v>
      </c>
      <c r="AR14" s="591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v>207</v>
      </c>
      <c r="C15" s="591">
        <v>213</v>
      </c>
      <c r="D15" s="45">
        <f t="shared" si="28"/>
        <v>5</v>
      </c>
      <c r="E15" s="45">
        <f t="shared" si="8"/>
        <v>41.900000000000006</v>
      </c>
      <c r="F15" s="591">
        <f t="shared" si="9"/>
        <v>1809</v>
      </c>
      <c r="G15" s="52">
        <f t="shared" si="0"/>
        <v>0</v>
      </c>
      <c r="H15" s="591">
        <f t="shared" si="9"/>
        <v>10998</v>
      </c>
      <c r="I15" s="396">
        <f t="shared" si="1"/>
        <v>0</v>
      </c>
      <c r="J15" s="66">
        <f t="shared" si="10"/>
        <v>0</v>
      </c>
      <c r="K15" s="591">
        <v>2302</v>
      </c>
      <c r="L15" s="52">
        <f t="shared" si="11"/>
        <v>1</v>
      </c>
      <c r="M15" s="591">
        <v>169624</v>
      </c>
      <c r="N15" s="396">
        <f t="shared" si="2"/>
        <v>128</v>
      </c>
      <c r="O15" s="64">
        <f t="shared" si="12"/>
        <v>1869</v>
      </c>
      <c r="P15" s="591">
        <v>2061</v>
      </c>
      <c r="Q15" s="591">
        <v>173549</v>
      </c>
      <c r="R15" s="395">
        <f t="shared" si="51"/>
        <v>240</v>
      </c>
      <c r="S15" s="52">
        <f t="shared" si="4"/>
        <v>3</v>
      </c>
      <c r="T15" s="67">
        <f t="shared" si="30"/>
        <v>0</v>
      </c>
      <c r="U15" s="402">
        <f t="shared" si="13"/>
        <v>4</v>
      </c>
      <c r="V15" s="62">
        <f t="shared" si="14"/>
        <v>368</v>
      </c>
      <c r="W15" s="400">
        <f t="shared" si="15"/>
        <v>92</v>
      </c>
      <c r="X15" s="591">
        <f t="shared" si="16"/>
        <v>2465</v>
      </c>
      <c r="Y15" s="52">
        <f t="shared" si="17"/>
        <v>0</v>
      </c>
      <c r="Z15" s="591">
        <f t="shared" si="16"/>
        <v>138740</v>
      </c>
      <c r="AA15" s="65">
        <f t="shared" si="5"/>
        <v>0</v>
      </c>
      <c r="AB15" s="284">
        <f t="shared" si="31"/>
        <v>0</v>
      </c>
      <c r="AC15" s="591">
        <f t="shared" ref="AC15:AE15" si="65">AC14</f>
        <v>1936</v>
      </c>
      <c r="AD15" s="45">
        <f t="shared" si="6"/>
        <v>0</v>
      </c>
      <c r="AE15" s="591">
        <f t="shared" si="65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368</v>
      </c>
      <c r="AJ15" s="318">
        <f>-tanks!AW16</f>
        <v>368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91">
        <f t="shared" ref="AN15:AP15" si="66">AN14</f>
        <v>67</v>
      </c>
      <c r="AO15" s="320">
        <f t="shared" si="24"/>
        <v>2010.0000000000002</v>
      </c>
      <c r="AP15" s="591">
        <f t="shared" si="66"/>
        <v>55</v>
      </c>
      <c r="AQ15" s="320">
        <f t="shared" si="25"/>
        <v>1650.0000000000002</v>
      </c>
      <c r="AR15" s="591">
        <f t="shared" ref="AR15" si="67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v>200</v>
      </c>
      <c r="C16" s="591">
        <v>207</v>
      </c>
      <c r="D16" s="45">
        <f t="shared" si="28"/>
        <v>6</v>
      </c>
      <c r="E16" s="45">
        <f t="shared" si="8"/>
        <v>50.28</v>
      </c>
      <c r="F16" s="591">
        <v>1813</v>
      </c>
      <c r="G16" s="52">
        <f t="shared" si="0"/>
        <v>4</v>
      </c>
      <c r="H16" s="591">
        <v>11248</v>
      </c>
      <c r="I16" s="396">
        <f t="shared" si="1"/>
        <v>250</v>
      </c>
      <c r="J16" s="66">
        <f t="shared" si="10"/>
        <v>62.5</v>
      </c>
      <c r="K16" s="591">
        <f t="shared" si="29"/>
        <v>2302</v>
      </c>
      <c r="L16" s="52">
        <f t="shared" si="11"/>
        <v>0</v>
      </c>
      <c r="M16" s="591">
        <f t="shared" si="29"/>
        <v>169624</v>
      </c>
      <c r="N16" s="396">
        <f t="shared" si="2"/>
        <v>0</v>
      </c>
      <c r="O16" s="64">
        <f t="shared" si="12"/>
        <v>1869</v>
      </c>
      <c r="P16" s="591">
        <v>2063</v>
      </c>
      <c r="Q16" s="591">
        <v>173666</v>
      </c>
      <c r="R16" s="395">
        <f t="shared" si="51"/>
        <v>117</v>
      </c>
      <c r="S16" s="52">
        <f t="shared" si="4"/>
        <v>2</v>
      </c>
      <c r="T16" s="67">
        <f t="shared" si="30"/>
        <v>0</v>
      </c>
      <c r="U16" s="402">
        <f t="shared" si="13"/>
        <v>6</v>
      </c>
      <c r="V16" s="62">
        <f t="shared" si="14"/>
        <v>367</v>
      </c>
      <c r="W16" s="400">
        <f t="shared" si="15"/>
        <v>61.166666666666664</v>
      </c>
      <c r="X16" s="591">
        <f t="shared" si="16"/>
        <v>2465</v>
      </c>
      <c r="Y16" s="52">
        <f t="shared" si="17"/>
        <v>0</v>
      </c>
      <c r="Z16" s="591">
        <f t="shared" si="16"/>
        <v>138740</v>
      </c>
      <c r="AA16" s="65">
        <f t="shared" si="5"/>
        <v>0</v>
      </c>
      <c r="AB16" s="284">
        <f t="shared" si="31"/>
        <v>0</v>
      </c>
      <c r="AC16" s="591">
        <f t="shared" ref="AC16:AE16" si="68">AC15</f>
        <v>1936</v>
      </c>
      <c r="AD16" s="45">
        <f t="shared" si="6"/>
        <v>0</v>
      </c>
      <c r="AE16" s="591">
        <f t="shared" si="68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367</v>
      </c>
      <c r="AJ16" s="318">
        <f>-tanks!AW17</f>
        <v>367</v>
      </c>
      <c r="AK16" s="318">
        <f t="shared" si="21"/>
        <v>0</v>
      </c>
      <c r="AL16" s="318">
        <f t="shared" si="7"/>
        <v>6</v>
      </c>
      <c r="AM16" s="318">
        <f t="shared" si="22"/>
        <v>0</v>
      </c>
      <c r="AN16" s="591">
        <f t="shared" ref="AN16:AP16" si="69">AN15</f>
        <v>67</v>
      </c>
      <c r="AO16" s="320">
        <f t="shared" si="24"/>
        <v>2010.0000000000002</v>
      </c>
      <c r="AP16" s="591">
        <f t="shared" si="69"/>
        <v>55</v>
      </c>
      <c r="AQ16" s="320">
        <f t="shared" si="25"/>
        <v>1650.0000000000002</v>
      </c>
      <c r="AR16" s="591">
        <f t="shared" ref="AR16" si="70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v>195</v>
      </c>
      <c r="C17" s="591">
        <v>202</v>
      </c>
      <c r="D17" s="45">
        <f t="shared" si="28"/>
        <v>5</v>
      </c>
      <c r="E17" s="45">
        <f t="shared" si="8"/>
        <v>41.900000000000006</v>
      </c>
      <c r="F17" s="591">
        <v>1814</v>
      </c>
      <c r="G17" s="52">
        <f t="shared" si="0"/>
        <v>1</v>
      </c>
      <c r="H17" s="591">
        <v>11361</v>
      </c>
      <c r="I17" s="396">
        <f t="shared" si="1"/>
        <v>113</v>
      </c>
      <c r="J17" s="66">
        <f t="shared" si="10"/>
        <v>113</v>
      </c>
      <c r="K17" s="591">
        <v>2305</v>
      </c>
      <c r="L17" s="52">
        <v>169842</v>
      </c>
      <c r="M17" s="591">
        <f t="shared" si="29"/>
        <v>169624</v>
      </c>
      <c r="N17" s="396">
        <f t="shared" si="2"/>
        <v>0</v>
      </c>
      <c r="O17" s="64">
        <f t="shared" si="12"/>
        <v>1869</v>
      </c>
      <c r="P17" s="591">
        <f t="shared" si="12"/>
        <v>2063</v>
      </c>
      <c r="Q17" s="591">
        <f t="shared" ref="Q17" si="71">Q16</f>
        <v>173666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169843</v>
      </c>
      <c r="V17" s="62">
        <f t="shared" si="14"/>
        <v>113</v>
      </c>
      <c r="W17" s="400"/>
      <c r="X17" s="591">
        <f t="shared" si="16"/>
        <v>2465</v>
      </c>
      <c r="Y17" s="52">
        <f t="shared" si="17"/>
        <v>0</v>
      </c>
      <c r="Z17" s="591">
        <f t="shared" si="16"/>
        <v>138740</v>
      </c>
      <c r="AA17" s="65">
        <f t="shared" si="5"/>
        <v>0</v>
      </c>
      <c r="AB17" s="284">
        <f t="shared" si="31"/>
        <v>0</v>
      </c>
      <c r="AC17" s="591">
        <f t="shared" ref="AC17:AE17" si="72">AC16</f>
        <v>1936</v>
      </c>
      <c r="AD17" s="45">
        <f t="shared" si="6"/>
        <v>0</v>
      </c>
      <c r="AE17" s="591">
        <f t="shared" si="72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113</v>
      </c>
      <c r="AJ17" s="318">
        <f>-tanks!AW18</f>
        <v>113</v>
      </c>
      <c r="AK17" s="318">
        <f t="shared" si="21"/>
        <v>0</v>
      </c>
      <c r="AL17" s="318">
        <f t="shared" si="7"/>
        <v>169843</v>
      </c>
      <c r="AM17" s="318">
        <f t="shared" si="22"/>
        <v>0</v>
      </c>
      <c r="AN17" s="591">
        <f t="shared" ref="AN17:AP17" si="73">AN16</f>
        <v>67</v>
      </c>
      <c r="AO17" s="320">
        <f t="shared" si="24"/>
        <v>2010.0000000000002</v>
      </c>
      <c r="AP17" s="591">
        <f t="shared" si="73"/>
        <v>55</v>
      </c>
      <c r="AQ17" s="320">
        <f t="shared" si="25"/>
        <v>1650.0000000000002</v>
      </c>
      <c r="AR17" s="591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v>246</v>
      </c>
      <c r="C18" s="591">
        <v>252</v>
      </c>
      <c r="D18" s="45">
        <f t="shared" si="28"/>
        <v>-50</v>
      </c>
      <c r="E18" s="45">
        <f t="shared" si="8"/>
        <v>-419.00000000000006</v>
      </c>
      <c r="F18" s="591">
        <f t="shared" si="9"/>
        <v>1814</v>
      </c>
      <c r="G18" s="52">
        <f t="shared" si="0"/>
        <v>0</v>
      </c>
      <c r="H18" s="591">
        <f t="shared" si="9"/>
        <v>11361</v>
      </c>
      <c r="I18" s="396">
        <f t="shared" si="1"/>
        <v>0</v>
      </c>
      <c r="J18" s="66">
        <f t="shared" si="10"/>
        <v>0</v>
      </c>
      <c r="K18" s="591">
        <v>2306</v>
      </c>
      <c r="L18" s="52">
        <f t="shared" si="11"/>
        <v>1</v>
      </c>
      <c r="M18" s="591">
        <v>169940</v>
      </c>
      <c r="N18" s="396">
        <f t="shared" si="2"/>
        <v>316</v>
      </c>
      <c r="O18" s="64">
        <v>1869</v>
      </c>
      <c r="P18" s="591">
        <v>2066</v>
      </c>
      <c r="Q18" s="591">
        <v>173941</v>
      </c>
      <c r="R18" s="395">
        <f t="shared" si="51"/>
        <v>275</v>
      </c>
      <c r="S18" s="52">
        <f t="shared" si="4"/>
        <v>3</v>
      </c>
      <c r="T18" s="67">
        <f t="shared" si="30"/>
        <v>0</v>
      </c>
      <c r="U18" s="402">
        <f t="shared" si="13"/>
        <v>4</v>
      </c>
      <c r="V18" s="62">
        <f t="shared" si="14"/>
        <v>591</v>
      </c>
      <c r="W18" s="400"/>
      <c r="X18" s="591">
        <f t="shared" si="16"/>
        <v>2465</v>
      </c>
      <c r="Y18" s="52">
        <f t="shared" si="17"/>
        <v>0</v>
      </c>
      <c r="Z18" s="591">
        <f t="shared" si="16"/>
        <v>138740</v>
      </c>
      <c r="AA18" s="65">
        <f t="shared" si="5"/>
        <v>0</v>
      </c>
      <c r="AB18" s="284">
        <f t="shared" ref="AB18:AB23" si="75">SUM(Y18*$AB$2)</f>
        <v>0</v>
      </c>
      <c r="AC18" s="591">
        <f t="shared" ref="AC18:AE18" si="76">AC17</f>
        <v>1936</v>
      </c>
      <c r="AD18" s="45">
        <f t="shared" si="6"/>
        <v>0</v>
      </c>
      <c r="AE18" s="591">
        <f t="shared" si="76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591</v>
      </c>
      <c r="AJ18" s="318">
        <f>-tanks!AW19</f>
        <v>591</v>
      </c>
      <c r="AK18" s="318">
        <f t="shared" si="21"/>
        <v>0</v>
      </c>
      <c r="AL18" s="318">
        <f t="shared" si="7"/>
        <v>4</v>
      </c>
      <c r="AM18" s="318">
        <f t="shared" si="22"/>
        <v>0</v>
      </c>
      <c r="AN18" s="591">
        <f t="shared" ref="AN18:AP18" si="77">AN17</f>
        <v>67</v>
      </c>
      <c r="AO18" s="320">
        <f t="shared" si="24"/>
        <v>2010.0000000000002</v>
      </c>
      <c r="AP18" s="591">
        <f t="shared" si="77"/>
        <v>55</v>
      </c>
      <c r="AQ18" s="320">
        <f t="shared" si="25"/>
        <v>1650.0000000000002</v>
      </c>
      <c r="AR18" s="591">
        <f t="shared" ref="AR18" si="78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v>240</v>
      </c>
      <c r="C19" s="591">
        <v>247</v>
      </c>
      <c r="D19" s="45">
        <f t="shared" si="28"/>
        <v>5</v>
      </c>
      <c r="E19" s="45">
        <f t="shared" si="8"/>
        <v>41.900000000000006</v>
      </c>
      <c r="F19" s="591">
        <v>1816</v>
      </c>
      <c r="G19" s="52">
        <f t="shared" si="0"/>
        <v>2</v>
      </c>
      <c r="H19" s="591">
        <v>11508</v>
      </c>
      <c r="I19" s="396">
        <f t="shared" si="1"/>
        <v>147</v>
      </c>
      <c r="J19" s="66">
        <f t="shared" si="10"/>
        <v>73.5</v>
      </c>
      <c r="K19" s="591">
        <f t="shared" si="29"/>
        <v>2306</v>
      </c>
      <c r="L19" s="52">
        <f t="shared" si="11"/>
        <v>0</v>
      </c>
      <c r="M19" s="591">
        <f t="shared" si="29"/>
        <v>169940</v>
      </c>
      <c r="N19" s="396">
        <f t="shared" si="2"/>
        <v>0</v>
      </c>
      <c r="O19" s="64">
        <f t="shared" si="12"/>
        <v>1869</v>
      </c>
      <c r="P19" s="591">
        <v>2068</v>
      </c>
      <c r="Q19" s="591">
        <v>174085</v>
      </c>
      <c r="R19" s="395">
        <f t="shared" si="51"/>
        <v>144</v>
      </c>
      <c r="S19" s="52">
        <f t="shared" si="4"/>
        <v>2</v>
      </c>
      <c r="T19" s="67">
        <f t="shared" si="30"/>
        <v>0</v>
      </c>
      <c r="U19" s="402">
        <f t="shared" si="13"/>
        <v>4</v>
      </c>
      <c r="V19" s="62">
        <f t="shared" si="14"/>
        <v>291</v>
      </c>
      <c r="W19" s="400"/>
      <c r="X19" s="591">
        <f t="shared" si="16"/>
        <v>2465</v>
      </c>
      <c r="Y19" s="52">
        <f t="shared" si="17"/>
        <v>0</v>
      </c>
      <c r="Z19" s="591">
        <f t="shared" si="16"/>
        <v>138740</v>
      </c>
      <c r="AA19" s="65">
        <f t="shared" si="5"/>
        <v>0</v>
      </c>
      <c r="AB19" s="284">
        <f t="shared" si="75"/>
        <v>0</v>
      </c>
      <c r="AC19" s="591">
        <f t="shared" ref="AC19:AE19" si="79">AC18</f>
        <v>1936</v>
      </c>
      <c r="AD19" s="45">
        <f t="shared" si="6"/>
        <v>0</v>
      </c>
      <c r="AE19" s="591">
        <f t="shared" si="79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291</v>
      </c>
      <c r="AJ19" s="318">
        <f>-tanks!AW20</f>
        <v>291</v>
      </c>
      <c r="AK19" s="318">
        <f t="shared" si="21"/>
        <v>0</v>
      </c>
      <c r="AL19" s="318">
        <f t="shared" si="7"/>
        <v>4</v>
      </c>
      <c r="AM19" s="318">
        <f t="shared" si="22"/>
        <v>0</v>
      </c>
      <c r="AN19" s="591">
        <f t="shared" ref="AN19:AP19" si="80">AN18</f>
        <v>67</v>
      </c>
      <c r="AO19" s="320">
        <f t="shared" si="24"/>
        <v>2010.0000000000002</v>
      </c>
      <c r="AP19" s="591">
        <f t="shared" si="80"/>
        <v>55</v>
      </c>
      <c r="AQ19" s="320">
        <f t="shared" si="25"/>
        <v>1650.0000000000002</v>
      </c>
      <c r="AR19" s="591">
        <f t="shared" ref="AR19" si="81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f t="shared" ref="B19:C34" si="82">B19</f>
        <v>240</v>
      </c>
      <c r="C20" s="591">
        <f t="shared" si="82"/>
        <v>247</v>
      </c>
      <c r="D20" s="45">
        <f>C19-C20</f>
        <v>0</v>
      </c>
      <c r="E20" s="45">
        <f t="shared" si="8"/>
        <v>0</v>
      </c>
      <c r="F20" s="591">
        <f t="shared" si="9"/>
        <v>1816</v>
      </c>
      <c r="G20" s="52">
        <f t="shared" si="0"/>
        <v>0</v>
      </c>
      <c r="H20" s="591">
        <f t="shared" si="9"/>
        <v>11508</v>
      </c>
      <c r="I20" s="396">
        <f t="shared" si="1"/>
        <v>0</v>
      </c>
      <c r="J20" s="66">
        <f t="shared" si="10"/>
        <v>0</v>
      </c>
      <c r="K20" s="591">
        <f t="shared" si="29"/>
        <v>2306</v>
      </c>
      <c r="L20" s="52">
        <f t="shared" si="11"/>
        <v>0</v>
      </c>
      <c r="M20" s="591">
        <f t="shared" si="29"/>
        <v>169940</v>
      </c>
      <c r="N20" s="396">
        <f t="shared" si="2"/>
        <v>0</v>
      </c>
      <c r="O20" s="64">
        <f t="shared" si="12"/>
        <v>1869</v>
      </c>
      <c r="P20" s="591">
        <f t="shared" si="12"/>
        <v>2068</v>
      </c>
      <c r="Q20" s="591">
        <f t="shared" ref="Q20" si="83">Q19</f>
        <v>174085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1">
        <f t="shared" si="16"/>
        <v>2465</v>
      </c>
      <c r="Y20" s="52">
        <f t="shared" si="17"/>
        <v>0</v>
      </c>
      <c r="Z20" s="591">
        <f t="shared" si="16"/>
        <v>138740</v>
      </c>
      <c r="AA20" s="65">
        <f t="shared" si="5"/>
        <v>0</v>
      </c>
      <c r="AB20" s="284">
        <f t="shared" si="75"/>
        <v>0</v>
      </c>
      <c r="AC20" s="591">
        <f t="shared" ref="AC20:AE20" si="84">AC19</f>
        <v>1936</v>
      </c>
      <c r="AD20" s="45">
        <f t="shared" si="6"/>
        <v>0</v>
      </c>
      <c r="AE20" s="591">
        <f t="shared" si="84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1">
        <f t="shared" ref="AN20:AP20" si="85">AN19</f>
        <v>67</v>
      </c>
      <c r="AO20" s="320">
        <f t="shared" si="24"/>
        <v>2010.0000000000002</v>
      </c>
      <c r="AP20" s="591">
        <f t="shared" si="85"/>
        <v>55</v>
      </c>
      <c r="AQ20" s="320">
        <f t="shared" si="25"/>
        <v>1650.0000000000002</v>
      </c>
      <c r="AR20" s="591">
        <f t="shared" ref="AR20" si="86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f t="shared" si="82"/>
        <v>240</v>
      </c>
      <c r="C21" s="591">
        <f t="shared" si="82"/>
        <v>247</v>
      </c>
      <c r="D21" s="45">
        <f t="shared" ref="D21:D31" si="87">C20-C21</f>
        <v>0</v>
      </c>
      <c r="E21" s="45">
        <f t="shared" si="8"/>
        <v>0</v>
      </c>
      <c r="F21" s="591">
        <f t="shared" si="9"/>
        <v>1816</v>
      </c>
      <c r="G21" s="52">
        <f t="shared" si="0"/>
        <v>0</v>
      </c>
      <c r="H21" s="591">
        <f t="shared" si="9"/>
        <v>11508</v>
      </c>
      <c r="I21" s="396">
        <f t="shared" si="1"/>
        <v>0</v>
      </c>
      <c r="J21" s="66">
        <f t="shared" si="10"/>
        <v>0</v>
      </c>
      <c r="K21" s="591">
        <f t="shared" si="29"/>
        <v>2306</v>
      </c>
      <c r="L21" s="52">
        <f t="shared" si="11"/>
        <v>0</v>
      </c>
      <c r="M21" s="591">
        <f t="shared" si="29"/>
        <v>169940</v>
      </c>
      <c r="N21" s="396">
        <f t="shared" si="2"/>
        <v>0</v>
      </c>
      <c r="O21" s="64">
        <f t="shared" si="12"/>
        <v>1869</v>
      </c>
      <c r="P21" s="591">
        <f t="shared" si="12"/>
        <v>2068</v>
      </c>
      <c r="Q21" s="591">
        <f t="shared" ref="Q21" si="88">Q20</f>
        <v>174085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1">
        <f t="shared" si="16"/>
        <v>2465</v>
      </c>
      <c r="Y21" s="52">
        <f t="shared" si="17"/>
        <v>0</v>
      </c>
      <c r="Z21" s="591">
        <f t="shared" si="16"/>
        <v>138740</v>
      </c>
      <c r="AA21" s="65">
        <f t="shared" si="5"/>
        <v>0</v>
      </c>
      <c r="AB21" s="284">
        <f t="shared" si="75"/>
        <v>0</v>
      </c>
      <c r="AC21" s="591">
        <f t="shared" ref="AC21:AE21" si="89">AC20</f>
        <v>1936</v>
      </c>
      <c r="AD21" s="45">
        <f t="shared" si="6"/>
        <v>0</v>
      </c>
      <c r="AE21" s="591">
        <f t="shared" si="89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1">
        <f t="shared" ref="AN21:AP21" si="90">AN20</f>
        <v>67</v>
      </c>
      <c r="AO21" s="320">
        <f t="shared" si="24"/>
        <v>2010.0000000000002</v>
      </c>
      <c r="AP21" s="591">
        <f t="shared" si="90"/>
        <v>55</v>
      </c>
      <c r="AQ21" s="320">
        <f t="shared" si="25"/>
        <v>1650.0000000000002</v>
      </c>
      <c r="AR21" s="591">
        <f t="shared" ref="AR21" si="91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f t="shared" si="82"/>
        <v>240</v>
      </c>
      <c r="C22" s="591">
        <f t="shared" si="82"/>
        <v>247</v>
      </c>
      <c r="D22" s="45">
        <f t="shared" si="87"/>
        <v>0</v>
      </c>
      <c r="E22" s="45">
        <f t="shared" si="8"/>
        <v>0</v>
      </c>
      <c r="F22" s="591">
        <f t="shared" si="9"/>
        <v>1816</v>
      </c>
      <c r="G22" s="52">
        <f t="shared" si="0"/>
        <v>0</v>
      </c>
      <c r="H22" s="591">
        <f t="shared" si="9"/>
        <v>11508</v>
      </c>
      <c r="I22" s="396">
        <f t="shared" si="1"/>
        <v>0</v>
      </c>
      <c r="J22" s="66">
        <f t="shared" si="10"/>
        <v>0</v>
      </c>
      <c r="K22" s="591">
        <f t="shared" si="29"/>
        <v>2306</v>
      </c>
      <c r="L22" s="52">
        <f t="shared" si="11"/>
        <v>0</v>
      </c>
      <c r="M22" s="591">
        <f t="shared" si="29"/>
        <v>169940</v>
      </c>
      <c r="N22" s="396">
        <f t="shared" si="2"/>
        <v>0</v>
      </c>
      <c r="O22" s="64">
        <f t="shared" si="12"/>
        <v>1869</v>
      </c>
      <c r="P22" s="591">
        <f t="shared" si="12"/>
        <v>2068</v>
      </c>
      <c r="Q22" s="591">
        <f t="shared" ref="Q22" si="92">Q21</f>
        <v>174085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1">
        <f t="shared" si="16"/>
        <v>2465</v>
      </c>
      <c r="Y22" s="52">
        <f t="shared" si="17"/>
        <v>0</v>
      </c>
      <c r="Z22" s="591">
        <f t="shared" si="16"/>
        <v>138740</v>
      </c>
      <c r="AA22" s="65">
        <f t="shared" si="5"/>
        <v>0</v>
      </c>
      <c r="AB22" s="284">
        <f t="shared" si="75"/>
        <v>0</v>
      </c>
      <c r="AC22" s="591">
        <f t="shared" ref="AC22:AE22" si="93">AC21</f>
        <v>1936</v>
      </c>
      <c r="AD22" s="45">
        <f t="shared" si="6"/>
        <v>0</v>
      </c>
      <c r="AE22" s="591">
        <f t="shared" si="93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1">
        <f t="shared" ref="AN22:AP22" si="94">AN21</f>
        <v>67</v>
      </c>
      <c r="AO22" s="320">
        <f t="shared" si="24"/>
        <v>2010.0000000000002</v>
      </c>
      <c r="AP22" s="591">
        <f t="shared" si="94"/>
        <v>55</v>
      </c>
      <c r="AQ22" s="320">
        <f t="shared" si="25"/>
        <v>1650.0000000000002</v>
      </c>
      <c r="AR22" s="591">
        <f t="shared" ref="AR22" si="95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f t="shared" si="82"/>
        <v>240</v>
      </c>
      <c r="C23" s="591">
        <f t="shared" si="82"/>
        <v>247</v>
      </c>
      <c r="D23" s="45">
        <f t="shared" si="87"/>
        <v>0</v>
      </c>
      <c r="E23" s="45">
        <f t="shared" si="8"/>
        <v>0</v>
      </c>
      <c r="F23" s="591">
        <f t="shared" si="9"/>
        <v>1816</v>
      </c>
      <c r="G23" s="52">
        <f t="shared" si="0"/>
        <v>0</v>
      </c>
      <c r="H23" s="591">
        <f t="shared" si="9"/>
        <v>11508</v>
      </c>
      <c r="I23" s="396">
        <f t="shared" si="1"/>
        <v>0</v>
      </c>
      <c r="J23" s="66">
        <f t="shared" si="10"/>
        <v>0</v>
      </c>
      <c r="K23" s="591">
        <f t="shared" si="29"/>
        <v>2306</v>
      </c>
      <c r="L23" s="52">
        <f t="shared" si="11"/>
        <v>0</v>
      </c>
      <c r="M23" s="591">
        <f t="shared" si="29"/>
        <v>169940</v>
      </c>
      <c r="N23" s="396">
        <f t="shared" si="2"/>
        <v>0</v>
      </c>
      <c r="O23" s="64">
        <f t="shared" si="12"/>
        <v>1869</v>
      </c>
      <c r="P23" s="591">
        <f t="shared" si="12"/>
        <v>2068</v>
      </c>
      <c r="Q23" s="591">
        <f t="shared" ref="Q23" si="96">Q22</f>
        <v>174085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1">
        <f t="shared" si="16"/>
        <v>2465</v>
      </c>
      <c r="Y23" s="52">
        <f t="shared" si="17"/>
        <v>0</v>
      </c>
      <c r="Z23" s="591">
        <f t="shared" si="16"/>
        <v>138740</v>
      </c>
      <c r="AA23" s="65">
        <f t="shared" si="5"/>
        <v>0</v>
      </c>
      <c r="AB23" s="284">
        <f t="shared" si="75"/>
        <v>0</v>
      </c>
      <c r="AC23" s="591">
        <f t="shared" ref="AC23:AE23" si="97">AC22</f>
        <v>1936</v>
      </c>
      <c r="AD23" s="45">
        <f t="shared" si="6"/>
        <v>0</v>
      </c>
      <c r="AE23" s="591">
        <f t="shared" si="97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98">SUM(AH23+V23)</f>
        <v>0</v>
      </c>
      <c r="AJ23" s="318">
        <f>-tanks!AW24</f>
        <v>0</v>
      </c>
      <c r="AK23" s="318">
        <f t="shared" ref="AK23" si="99">SUM(AJ23-AI23)</f>
        <v>0</v>
      </c>
      <c r="AL23" s="318">
        <f t="shared" ref="AL23" si="100">S23+L23+G23</f>
        <v>0</v>
      </c>
      <c r="AM23" s="318">
        <f t="shared" ref="AM23" si="101">Y23+AD23</f>
        <v>0</v>
      </c>
      <c r="AN23" s="591">
        <f t="shared" ref="AN23:AP23" si="102">AN22</f>
        <v>67</v>
      </c>
      <c r="AO23" s="320">
        <f t="shared" si="24"/>
        <v>2010.0000000000002</v>
      </c>
      <c r="AP23" s="591">
        <f t="shared" si="102"/>
        <v>55</v>
      </c>
      <c r="AQ23" s="320">
        <f t="shared" si="25"/>
        <v>1650.0000000000002</v>
      </c>
      <c r="AR23" s="591">
        <f t="shared" ref="AR23" si="103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f t="shared" si="82"/>
        <v>240</v>
      </c>
      <c r="C24" s="591">
        <f t="shared" si="82"/>
        <v>247</v>
      </c>
      <c r="D24" s="45">
        <f t="shared" si="87"/>
        <v>0</v>
      </c>
      <c r="E24" s="45">
        <f t="shared" si="8"/>
        <v>0</v>
      </c>
      <c r="F24" s="591">
        <f t="shared" si="9"/>
        <v>1816</v>
      </c>
      <c r="G24" s="52">
        <f t="shared" si="0"/>
        <v>0</v>
      </c>
      <c r="H24" s="591">
        <f t="shared" si="9"/>
        <v>11508</v>
      </c>
      <c r="I24" s="396">
        <f t="shared" si="1"/>
        <v>0</v>
      </c>
      <c r="J24" s="66">
        <f t="shared" si="10"/>
        <v>0</v>
      </c>
      <c r="K24" s="591">
        <f t="shared" si="29"/>
        <v>2306</v>
      </c>
      <c r="L24" s="52">
        <f t="shared" si="11"/>
        <v>0</v>
      </c>
      <c r="M24" s="591">
        <f t="shared" si="29"/>
        <v>169940</v>
      </c>
      <c r="N24" s="396">
        <f t="shared" si="2"/>
        <v>0</v>
      </c>
      <c r="O24" s="64">
        <f t="shared" si="12"/>
        <v>1869</v>
      </c>
      <c r="P24" s="591">
        <f t="shared" si="12"/>
        <v>2068</v>
      </c>
      <c r="Q24" s="591">
        <f t="shared" ref="Q24" si="104">Q23</f>
        <v>174085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1">
        <f t="shared" si="16"/>
        <v>2465</v>
      </c>
      <c r="Y24" s="52">
        <f t="shared" si="17"/>
        <v>0</v>
      </c>
      <c r="Z24" s="591">
        <f t="shared" si="16"/>
        <v>138740</v>
      </c>
      <c r="AA24" s="65">
        <f t="shared" si="5"/>
        <v>0</v>
      </c>
      <c r="AB24" s="284">
        <f t="shared" ref="AB24:AB32" si="105">SUM(Y24*$AB$2)</f>
        <v>0</v>
      </c>
      <c r="AC24" s="591">
        <f t="shared" ref="AC24:AE24" si="106">AC23</f>
        <v>1936</v>
      </c>
      <c r="AD24" s="45">
        <f t="shared" si="6"/>
        <v>0</v>
      </c>
      <c r="AE24" s="591">
        <f t="shared" si="106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1">
        <f t="shared" ref="AN24:AP24" si="107">AN23</f>
        <v>67</v>
      </c>
      <c r="AO24" s="320">
        <f t="shared" si="24"/>
        <v>2010.0000000000002</v>
      </c>
      <c r="AP24" s="591">
        <f t="shared" si="107"/>
        <v>55</v>
      </c>
      <c r="AQ24" s="320">
        <f t="shared" si="25"/>
        <v>1650.0000000000002</v>
      </c>
      <c r="AR24" s="591">
        <f t="shared" ref="AR24" si="108">AR23</f>
        <v>61</v>
      </c>
      <c r="AS24" s="320">
        <f t="shared" si="37"/>
        <v>1830</v>
      </c>
      <c r="AT24" s="320">
        <f t="shared" ref="AT24:AT32" si="109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f t="shared" si="82"/>
        <v>240</v>
      </c>
      <c r="C25" s="591">
        <f t="shared" si="82"/>
        <v>247</v>
      </c>
      <c r="D25" s="45">
        <f t="shared" si="87"/>
        <v>0</v>
      </c>
      <c r="E25" s="45">
        <f t="shared" si="8"/>
        <v>0</v>
      </c>
      <c r="F25" s="591">
        <f t="shared" si="9"/>
        <v>1816</v>
      </c>
      <c r="G25" s="52">
        <f t="shared" si="0"/>
        <v>0</v>
      </c>
      <c r="H25" s="591">
        <f t="shared" si="9"/>
        <v>11508</v>
      </c>
      <c r="I25" s="396">
        <f t="shared" si="1"/>
        <v>0</v>
      </c>
      <c r="J25" s="66">
        <f t="shared" si="10"/>
        <v>0</v>
      </c>
      <c r="K25" s="591">
        <f t="shared" si="29"/>
        <v>2306</v>
      </c>
      <c r="L25" s="52">
        <f t="shared" si="11"/>
        <v>0</v>
      </c>
      <c r="M25" s="591">
        <f t="shared" si="29"/>
        <v>169940</v>
      </c>
      <c r="N25" s="396">
        <f t="shared" si="2"/>
        <v>0</v>
      </c>
      <c r="O25" s="64">
        <f>O24</f>
        <v>1869</v>
      </c>
      <c r="P25" s="591">
        <f t="shared" si="12"/>
        <v>2068</v>
      </c>
      <c r="Q25" s="591">
        <f t="shared" ref="Q25" si="110">Q24</f>
        <v>174085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1">
        <f t="shared" si="16"/>
        <v>2465</v>
      </c>
      <c r="Y25" s="52">
        <f t="shared" si="17"/>
        <v>0</v>
      </c>
      <c r="Z25" s="591">
        <f t="shared" si="16"/>
        <v>138740</v>
      </c>
      <c r="AA25" s="65">
        <f t="shared" si="5"/>
        <v>0</v>
      </c>
      <c r="AB25" s="284">
        <f t="shared" si="105"/>
        <v>0</v>
      </c>
      <c r="AC25" s="591">
        <f t="shared" ref="AC25:AE25" si="111">AC24</f>
        <v>1936</v>
      </c>
      <c r="AD25" s="45">
        <f t="shared" si="6"/>
        <v>0</v>
      </c>
      <c r="AE25" s="591">
        <f t="shared" si="111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1">
        <f t="shared" ref="AN25:AP25" si="112">AN24</f>
        <v>67</v>
      </c>
      <c r="AO25" s="320">
        <f t="shared" si="24"/>
        <v>2010.0000000000002</v>
      </c>
      <c r="AP25" s="591">
        <f t="shared" si="112"/>
        <v>55</v>
      </c>
      <c r="AQ25" s="320">
        <f t="shared" ref="AQ25:AQ32" si="113">(AP25/100)*3000</f>
        <v>1650.0000000000002</v>
      </c>
      <c r="AR25" s="591">
        <f t="shared" ref="AR25" si="114">AR24</f>
        <v>61</v>
      </c>
      <c r="AS25" s="320">
        <f t="shared" si="37"/>
        <v>1830</v>
      </c>
      <c r="AT25" s="320">
        <f t="shared" si="109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f t="shared" si="82"/>
        <v>240</v>
      </c>
      <c r="C26" s="591">
        <f t="shared" si="82"/>
        <v>247</v>
      </c>
      <c r="D26" s="45">
        <f t="shared" si="87"/>
        <v>0</v>
      </c>
      <c r="E26" s="45">
        <f t="shared" si="8"/>
        <v>0</v>
      </c>
      <c r="F26" s="591">
        <f t="shared" si="9"/>
        <v>1816</v>
      </c>
      <c r="G26" s="52">
        <f t="shared" si="0"/>
        <v>0</v>
      </c>
      <c r="H26" s="591">
        <f t="shared" si="9"/>
        <v>11508</v>
      </c>
      <c r="I26" s="396">
        <f t="shared" si="1"/>
        <v>0</v>
      </c>
      <c r="J26" s="66">
        <f t="shared" si="10"/>
        <v>0</v>
      </c>
      <c r="K26" s="591">
        <f t="shared" si="29"/>
        <v>2306</v>
      </c>
      <c r="L26" s="52">
        <f t="shared" si="11"/>
        <v>0</v>
      </c>
      <c r="M26" s="591">
        <f t="shared" si="29"/>
        <v>169940</v>
      </c>
      <c r="N26" s="396">
        <f t="shared" si="2"/>
        <v>0</v>
      </c>
      <c r="O26" s="64">
        <f t="shared" si="12"/>
        <v>1869</v>
      </c>
      <c r="P26" s="591">
        <f t="shared" si="12"/>
        <v>2068</v>
      </c>
      <c r="Q26" s="591">
        <f t="shared" ref="Q26" si="115">Q25</f>
        <v>174085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1">
        <f t="shared" si="16"/>
        <v>2465</v>
      </c>
      <c r="Y26" s="52">
        <f t="shared" si="17"/>
        <v>0</v>
      </c>
      <c r="Z26" s="591">
        <f t="shared" si="16"/>
        <v>138740</v>
      </c>
      <c r="AA26" s="65">
        <f t="shared" si="5"/>
        <v>0</v>
      </c>
      <c r="AB26" s="284">
        <f t="shared" si="105"/>
        <v>0</v>
      </c>
      <c r="AC26" s="591">
        <f t="shared" ref="AC26:AE26" si="116">AC25</f>
        <v>1936</v>
      </c>
      <c r="AD26" s="45">
        <f t="shared" si="6"/>
        <v>0</v>
      </c>
      <c r="AE26" s="591">
        <f t="shared" si="116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1">
        <f t="shared" ref="AN26:AP26" si="117">AN25</f>
        <v>67</v>
      </c>
      <c r="AO26" s="320">
        <f t="shared" si="24"/>
        <v>2010.0000000000002</v>
      </c>
      <c r="AP26" s="591">
        <f t="shared" si="117"/>
        <v>55</v>
      </c>
      <c r="AQ26" s="320">
        <f t="shared" si="113"/>
        <v>1650.0000000000002</v>
      </c>
      <c r="AR26" s="591">
        <f t="shared" ref="AR26" si="118">AR25</f>
        <v>61</v>
      </c>
      <c r="AS26" s="320">
        <f t="shared" si="37"/>
        <v>1830</v>
      </c>
      <c r="AT26" s="320">
        <f t="shared" si="109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f t="shared" si="82"/>
        <v>240</v>
      </c>
      <c r="C27" s="591">
        <f t="shared" si="82"/>
        <v>247</v>
      </c>
      <c r="D27" s="45">
        <f t="shared" si="87"/>
        <v>0</v>
      </c>
      <c r="E27" s="45">
        <f t="shared" si="8"/>
        <v>0</v>
      </c>
      <c r="F27" s="591">
        <f t="shared" si="9"/>
        <v>1816</v>
      </c>
      <c r="G27" s="52">
        <f t="shared" si="0"/>
        <v>0</v>
      </c>
      <c r="H27" s="591">
        <f t="shared" si="9"/>
        <v>11508</v>
      </c>
      <c r="I27" s="396">
        <f t="shared" si="1"/>
        <v>0</v>
      </c>
      <c r="J27" s="66">
        <f t="shared" si="10"/>
        <v>0</v>
      </c>
      <c r="K27" s="591">
        <f t="shared" si="29"/>
        <v>2306</v>
      </c>
      <c r="L27" s="52">
        <f t="shared" si="11"/>
        <v>0</v>
      </c>
      <c r="M27" s="591">
        <f t="shared" si="29"/>
        <v>169940</v>
      </c>
      <c r="N27" s="396">
        <f t="shared" si="2"/>
        <v>0</v>
      </c>
      <c r="O27" s="64">
        <f t="shared" si="12"/>
        <v>1869</v>
      </c>
      <c r="P27" s="591">
        <f t="shared" si="12"/>
        <v>2068</v>
      </c>
      <c r="Q27" s="591">
        <f t="shared" ref="Q27" si="119">Q26</f>
        <v>174085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1">
        <f t="shared" si="16"/>
        <v>2465</v>
      </c>
      <c r="Y27" s="52">
        <f t="shared" si="17"/>
        <v>0</v>
      </c>
      <c r="Z27" s="591">
        <f t="shared" si="16"/>
        <v>138740</v>
      </c>
      <c r="AA27" s="65">
        <f t="shared" si="5"/>
        <v>0</v>
      </c>
      <c r="AB27" s="284">
        <f t="shared" si="105"/>
        <v>0</v>
      </c>
      <c r="AC27" s="591">
        <f t="shared" ref="AC27:AE27" si="120">AC26</f>
        <v>1936</v>
      </c>
      <c r="AD27" s="45">
        <f t="shared" si="6"/>
        <v>0</v>
      </c>
      <c r="AE27" s="591">
        <f t="shared" si="120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1">
        <f t="shared" ref="AN27:AP27" si="121">AN26</f>
        <v>67</v>
      </c>
      <c r="AO27" s="320">
        <f>(AN27/100)*3000</f>
        <v>2010.0000000000002</v>
      </c>
      <c r="AP27" s="591">
        <f t="shared" si="121"/>
        <v>55</v>
      </c>
      <c r="AQ27" s="320">
        <f t="shared" si="113"/>
        <v>1650.0000000000002</v>
      </c>
      <c r="AR27" s="591">
        <f t="shared" ref="AR27" si="122">AR26</f>
        <v>61</v>
      </c>
      <c r="AS27" s="320">
        <f t="shared" si="37"/>
        <v>1830</v>
      </c>
      <c r="AT27" s="320">
        <f t="shared" si="109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f t="shared" si="82"/>
        <v>240</v>
      </c>
      <c r="C28" s="591">
        <f t="shared" si="82"/>
        <v>247</v>
      </c>
      <c r="D28" s="45">
        <f t="shared" si="87"/>
        <v>0</v>
      </c>
      <c r="E28" s="45">
        <f t="shared" si="8"/>
        <v>0</v>
      </c>
      <c r="F28" s="591">
        <f t="shared" si="9"/>
        <v>1816</v>
      </c>
      <c r="G28" s="52">
        <f t="shared" si="0"/>
        <v>0</v>
      </c>
      <c r="H28" s="591">
        <f t="shared" si="9"/>
        <v>11508</v>
      </c>
      <c r="I28" s="396">
        <f t="shared" si="1"/>
        <v>0</v>
      </c>
      <c r="J28" s="66">
        <f t="shared" si="10"/>
        <v>0</v>
      </c>
      <c r="K28" s="591">
        <f t="shared" si="29"/>
        <v>2306</v>
      </c>
      <c r="L28" s="52">
        <f t="shared" si="11"/>
        <v>0</v>
      </c>
      <c r="M28" s="591">
        <f t="shared" si="29"/>
        <v>169940</v>
      </c>
      <c r="N28" s="396">
        <f t="shared" si="2"/>
        <v>0</v>
      </c>
      <c r="O28" s="64">
        <f t="shared" si="12"/>
        <v>1869</v>
      </c>
      <c r="P28" s="591">
        <f t="shared" si="12"/>
        <v>2068</v>
      </c>
      <c r="Q28" s="591">
        <f t="shared" ref="Q28" si="123">Q27</f>
        <v>174085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1">
        <f t="shared" si="16"/>
        <v>2465</v>
      </c>
      <c r="Y28" s="52">
        <f t="shared" si="17"/>
        <v>0</v>
      </c>
      <c r="Z28" s="591">
        <f t="shared" si="16"/>
        <v>138740</v>
      </c>
      <c r="AA28" s="65">
        <f t="shared" si="5"/>
        <v>0</v>
      </c>
      <c r="AB28" s="284">
        <f t="shared" si="105"/>
        <v>0</v>
      </c>
      <c r="AC28" s="591">
        <f t="shared" ref="AC28:AE28" si="124">AC27</f>
        <v>1936</v>
      </c>
      <c r="AD28" s="45">
        <f t="shared" si="6"/>
        <v>0</v>
      </c>
      <c r="AE28" s="591">
        <f t="shared" si="124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1">
        <f t="shared" ref="AN28:AP28" si="125">AN27</f>
        <v>67</v>
      </c>
      <c r="AO28" s="320">
        <f t="shared" ref="AO28:AO32" si="126">(AN28/100)*3000</f>
        <v>2010.0000000000002</v>
      </c>
      <c r="AP28" s="591">
        <f t="shared" si="125"/>
        <v>55</v>
      </c>
      <c r="AQ28" s="320">
        <f t="shared" si="113"/>
        <v>1650.0000000000002</v>
      </c>
      <c r="AR28" s="591">
        <f t="shared" ref="AR28" si="127">AR27</f>
        <v>61</v>
      </c>
      <c r="AS28" s="320">
        <f t="shared" si="37"/>
        <v>1830</v>
      </c>
      <c r="AT28" s="320">
        <f t="shared" si="109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f t="shared" si="82"/>
        <v>240</v>
      </c>
      <c r="C29" s="591">
        <f t="shared" si="82"/>
        <v>247</v>
      </c>
      <c r="D29" s="45">
        <f t="shared" si="87"/>
        <v>0</v>
      </c>
      <c r="E29" s="45">
        <f t="shared" si="8"/>
        <v>0</v>
      </c>
      <c r="F29" s="591">
        <f t="shared" si="9"/>
        <v>1816</v>
      </c>
      <c r="G29" s="52">
        <f t="shared" si="0"/>
        <v>0</v>
      </c>
      <c r="H29" s="591">
        <f t="shared" si="9"/>
        <v>11508</v>
      </c>
      <c r="I29" s="396">
        <f t="shared" si="1"/>
        <v>0</v>
      </c>
      <c r="J29" s="66">
        <f t="shared" si="10"/>
        <v>0</v>
      </c>
      <c r="K29" s="591">
        <f t="shared" si="29"/>
        <v>2306</v>
      </c>
      <c r="L29" s="52">
        <f t="shared" si="11"/>
        <v>0</v>
      </c>
      <c r="M29" s="591">
        <f t="shared" si="29"/>
        <v>169940</v>
      </c>
      <c r="N29" s="396">
        <f t="shared" si="2"/>
        <v>0</v>
      </c>
      <c r="O29" s="64">
        <f t="shared" si="12"/>
        <v>1869</v>
      </c>
      <c r="P29" s="591">
        <f t="shared" si="12"/>
        <v>2068</v>
      </c>
      <c r="Q29" s="591">
        <f t="shared" ref="Q29" si="128">Q28</f>
        <v>174085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1">
        <f t="shared" si="16"/>
        <v>2465</v>
      </c>
      <c r="Y29" s="52">
        <f t="shared" si="17"/>
        <v>0</v>
      </c>
      <c r="Z29" s="591">
        <f t="shared" si="16"/>
        <v>138740</v>
      </c>
      <c r="AA29" s="65">
        <f t="shared" si="5"/>
        <v>0</v>
      </c>
      <c r="AB29" s="284">
        <f t="shared" si="105"/>
        <v>0</v>
      </c>
      <c r="AC29" s="591">
        <f t="shared" ref="AC29:AE29" si="129">AC28</f>
        <v>1936</v>
      </c>
      <c r="AD29" s="45">
        <f t="shared" si="6"/>
        <v>0</v>
      </c>
      <c r="AE29" s="591">
        <f t="shared" si="129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1">
        <f t="shared" ref="AN29:AP29" si="130">AN28</f>
        <v>67</v>
      </c>
      <c r="AO29" s="320">
        <f t="shared" si="126"/>
        <v>2010.0000000000002</v>
      </c>
      <c r="AP29" s="591">
        <f t="shared" si="130"/>
        <v>55</v>
      </c>
      <c r="AQ29" s="320">
        <f t="shared" si="113"/>
        <v>1650.0000000000002</v>
      </c>
      <c r="AR29" s="591">
        <f t="shared" ref="AR29" si="131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f t="shared" si="82"/>
        <v>240</v>
      </c>
      <c r="C30" s="591">
        <f t="shared" si="82"/>
        <v>247</v>
      </c>
      <c r="D30" s="45">
        <f t="shared" si="87"/>
        <v>0</v>
      </c>
      <c r="E30" s="45">
        <f t="shared" si="8"/>
        <v>0</v>
      </c>
      <c r="F30" s="591">
        <f t="shared" si="9"/>
        <v>1816</v>
      </c>
      <c r="G30" s="52">
        <f t="shared" si="0"/>
        <v>0</v>
      </c>
      <c r="H30" s="591">
        <f t="shared" si="9"/>
        <v>11508</v>
      </c>
      <c r="I30" s="396">
        <f t="shared" si="1"/>
        <v>0</v>
      </c>
      <c r="J30" s="66">
        <f t="shared" si="10"/>
        <v>0</v>
      </c>
      <c r="K30" s="591">
        <f t="shared" si="29"/>
        <v>2306</v>
      </c>
      <c r="L30" s="52">
        <f t="shared" si="11"/>
        <v>0</v>
      </c>
      <c r="M30" s="591">
        <f t="shared" si="29"/>
        <v>169940</v>
      </c>
      <c r="N30" s="396">
        <f t="shared" si="2"/>
        <v>0</v>
      </c>
      <c r="O30" s="64">
        <f t="shared" si="12"/>
        <v>1869</v>
      </c>
      <c r="P30" s="591">
        <f t="shared" si="12"/>
        <v>2068</v>
      </c>
      <c r="Q30" s="591">
        <f t="shared" ref="Q30" si="132">Q29</f>
        <v>174085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1">
        <f t="shared" si="16"/>
        <v>2465</v>
      </c>
      <c r="Y30" s="52">
        <f t="shared" si="17"/>
        <v>0</v>
      </c>
      <c r="Z30" s="591">
        <f t="shared" si="16"/>
        <v>138740</v>
      </c>
      <c r="AA30" s="65">
        <f t="shared" si="5"/>
        <v>0</v>
      </c>
      <c r="AB30" s="284">
        <f t="shared" si="105"/>
        <v>0</v>
      </c>
      <c r="AC30" s="591">
        <f t="shared" ref="AC30:AE30" si="133">AC29</f>
        <v>1936</v>
      </c>
      <c r="AD30" s="45">
        <f t="shared" si="6"/>
        <v>0</v>
      </c>
      <c r="AE30" s="591">
        <f t="shared" si="133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1">
        <f t="shared" ref="AN30:AP30" si="134">AN29</f>
        <v>67</v>
      </c>
      <c r="AO30" s="320">
        <f t="shared" si="126"/>
        <v>2010.0000000000002</v>
      </c>
      <c r="AP30" s="591">
        <f t="shared" si="134"/>
        <v>55</v>
      </c>
      <c r="AQ30" s="320">
        <f t="shared" si="113"/>
        <v>1650.0000000000002</v>
      </c>
      <c r="AR30" s="591">
        <f t="shared" ref="AR30" si="135">AR29</f>
        <v>61</v>
      </c>
      <c r="AS30" s="320">
        <f t="shared" si="37"/>
        <v>1830</v>
      </c>
      <c r="AT30" s="320">
        <f t="shared" si="109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f t="shared" si="82"/>
        <v>240</v>
      </c>
      <c r="C31" s="591">
        <f t="shared" si="82"/>
        <v>247</v>
      </c>
      <c r="D31" s="45">
        <f t="shared" si="87"/>
        <v>0</v>
      </c>
      <c r="E31" s="45">
        <f t="shared" si="8"/>
        <v>0</v>
      </c>
      <c r="F31" s="591">
        <f t="shared" si="9"/>
        <v>1816</v>
      </c>
      <c r="G31" s="52">
        <f t="shared" si="0"/>
        <v>0</v>
      </c>
      <c r="H31" s="591">
        <f t="shared" si="9"/>
        <v>11508</v>
      </c>
      <c r="I31" s="396">
        <f t="shared" si="1"/>
        <v>0</v>
      </c>
      <c r="J31" s="66">
        <f t="shared" si="10"/>
        <v>0</v>
      </c>
      <c r="K31" s="591">
        <f t="shared" si="29"/>
        <v>2306</v>
      </c>
      <c r="L31" s="52">
        <f t="shared" si="11"/>
        <v>0</v>
      </c>
      <c r="M31" s="591">
        <f t="shared" si="29"/>
        <v>169940</v>
      </c>
      <c r="N31" s="396">
        <f t="shared" si="2"/>
        <v>0</v>
      </c>
      <c r="O31" s="64">
        <f t="shared" si="12"/>
        <v>1869</v>
      </c>
      <c r="P31" s="591">
        <f t="shared" si="12"/>
        <v>2068</v>
      </c>
      <c r="Q31" s="591">
        <f t="shared" ref="Q31" si="136">Q30</f>
        <v>174085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2465</v>
      </c>
      <c r="Y31" s="52">
        <f t="shared" si="17"/>
        <v>0</v>
      </c>
      <c r="Z31" s="591">
        <f t="shared" si="16"/>
        <v>138740</v>
      </c>
      <c r="AA31" s="65">
        <f t="shared" si="5"/>
        <v>0</v>
      </c>
      <c r="AB31" s="284">
        <f t="shared" si="105"/>
        <v>0</v>
      </c>
      <c r="AC31" s="591">
        <f t="shared" ref="AC31:AE31" si="137">AC30</f>
        <v>1936</v>
      </c>
      <c r="AD31" s="269">
        <f t="shared" si="6"/>
        <v>0</v>
      </c>
      <c r="AE31" s="591">
        <f t="shared" si="137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38">AN30</f>
        <v>67</v>
      </c>
      <c r="AO31" s="320">
        <f t="shared" si="126"/>
        <v>2010.0000000000002</v>
      </c>
      <c r="AP31" s="591">
        <f t="shared" si="138"/>
        <v>55</v>
      </c>
      <c r="AQ31" s="320">
        <f t="shared" si="113"/>
        <v>1650.0000000000002</v>
      </c>
      <c r="AR31" s="591">
        <f t="shared" ref="AR31" si="139">AR30</f>
        <v>61</v>
      </c>
      <c r="AS31" s="320">
        <f t="shared" si="37"/>
        <v>1830</v>
      </c>
      <c r="AT31" s="320">
        <f t="shared" si="109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82"/>
        <v>240</v>
      </c>
      <c r="C32" s="591">
        <f t="shared" si="82"/>
        <v>247</v>
      </c>
      <c r="D32" s="45">
        <f t="shared" si="28"/>
        <v>0</v>
      </c>
      <c r="E32" s="45">
        <f t="shared" ref="E32" si="140">D32*8.38</f>
        <v>0</v>
      </c>
      <c r="F32" s="591">
        <f t="shared" si="9"/>
        <v>1816</v>
      </c>
      <c r="G32" s="52">
        <f t="shared" si="0"/>
        <v>0</v>
      </c>
      <c r="H32" s="591">
        <f t="shared" si="9"/>
        <v>11508</v>
      </c>
      <c r="I32" s="396">
        <f t="shared" si="1"/>
        <v>0</v>
      </c>
      <c r="J32" s="66">
        <f t="shared" si="10"/>
        <v>0</v>
      </c>
      <c r="K32" s="591">
        <f t="shared" si="29"/>
        <v>2306</v>
      </c>
      <c r="L32" s="52">
        <f t="shared" si="11"/>
        <v>0</v>
      </c>
      <c r="M32" s="591">
        <f t="shared" si="29"/>
        <v>169940</v>
      </c>
      <c r="N32" s="396">
        <f t="shared" si="2"/>
        <v>0</v>
      </c>
      <c r="O32" s="64">
        <f t="shared" si="12"/>
        <v>1869</v>
      </c>
      <c r="P32" s="591">
        <f t="shared" si="12"/>
        <v>2068</v>
      </c>
      <c r="Q32" s="591">
        <f t="shared" ref="Q32" si="141">Q31</f>
        <v>174085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2465</v>
      </c>
      <c r="Y32" s="52">
        <f t="shared" si="17"/>
        <v>0</v>
      </c>
      <c r="Z32" s="591">
        <f t="shared" si="16"/>
        <v>138740</v>
      </c>
      <c r="AA32" s="65">
        <f t="shared" si="5"/>
        <v>0</v>
      </c>
      <c r="AB32" s="284">
        <f t="shared" si="105"/>
        <v>0</v>
      </c>
      <c r="AC32" s="591">
        <f t="shared" ref="AC32:AE32" si="142">AC31</f>
        <v>1936</v>
      </c>
      <c r="AD32" s="269">
        <f t="shared" si="6"/>
        <v>0</v>
      </c>
      <c r="AE32" s="591">
        <f t="shared" si="142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43">AN31</f>
        <v>67</v>
      </c>
      <c r="AO32" s="320">
        <f t="shared" si="126"/>
        <v>2010.0000000000002</v>
      </c>
      <c r="AP32" s="591">
        <f t="shared" si="143"/>
        <v>55</v>
      </c>
      <c r="AQ32" s="320">
        <f t="shared" si="113"/>
        <v>1650.0000000000002</v>
      </c>
      <c r="AR32" s="591">
        <f t="shared" ref="AR32" si="144">AR31</f>
        <v>61</v>
      </c>
      <c r="AS32" s="320">
        <f t="shared" si="37"/>
        <v>1830</v>
      </c>
      <c r="AT32" s="320">
        <f t="shared" si="109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82"/>
        <v>240</v>
      </c>
      <c r="C33" s="591">
        <f t="shared" si="82"/>
        <v>247</v>
      </c>
      <c r="D33" s="45">
        <f t="shared" ref="D33:D34" si="145">C32-C33</f>
        <v>0</v>
      </c>
      <c r="E33" s="45">
        <f t="shared" ref="E33:E34" si="146">D33*8.38</f>
        <v>0</v>
      </c>
      <c r="F33" s="591">
        <f t="shared" si="9"/>
        <v>1816</v>
      </c>
      <c r="G33" s="52">
        <f t="shared" ref="G33:G34" si="147">F33-F32</f>
        <v>0</v>
      </c>
      <c r="H33" s="591">
        <f t="shared" si="9"/>
        <v>11508</v>
      </c>
      <c r="I33" s="396">
        <f t="shared" ref="I33:I34" si="148">SUM(H33-H32)</f>
        <v>0</v>
      </c>
      <c r="J33" s="66">
        <f t="shared" ref="J33:J34" si="149">IF(G33&gt;0,I33/G33,0)</f>
        <v>0</v>
      </c>
      <c r="K33" s="591">
        <f t="shared" si="29"/>
        <v>2306</v>
      </c>
      <c r="L33" s="52">
        <f t="shared" ref="L33:L34" si="150">K33-K32</f>
        <v>0</v>
      </c>
      <c r="M33" s="591">
        <f t="shared" si="29"/>
        <v>169940</v>
      </c>
      <c r="N33" s="396">
        <f t="shared" ref="N33:N34" si="151">M33-M32</f>
        <v>0</v>
      </c>
      <c r="O33" s="64">
        <f t="shared" ref="O33:P34" si="152">O32</f>
        <v>1869</v>
      </c>
      <c r="P33" s="591">
        <f t="shared" si="152"/>
        <v>2068</v>
      </c>
      <c r="Q33" s="591">
        <f t="shared" ref="Q33" si="153">Q32</f>
        <v>174085</v>
      </c>
      <c r="R33" s="395">
        <f t="shared" ref="R33:R34" si="154">Q33-Q32</f>
        <v>0</v>
      </c>
      <c r="S33" s="52">
        <f t="shared" ref="S33:S34" si="155">SUM(P33-P32)</f>
        <v>0</v>
      </c>
      <c r="T33" s="67">
        <f t="shared" ref="T33:T34" si="156">SUM(S33*$T$2)</f>
        <v>0</v>
      </c>
      <c r="U33" s="402">
        <f t="shared" ref="U33:U34" si="157">SUM(G33+L33+S33)</f>
        <v>0</v>
      </c>
      <c r="V33" s="62">
        <f t="shared" ref="V33:V34" si="158">R33+N33+I33:I33</f>
        <v>0</v>
      </c>
      <c r="W33" s="400"/>
      <c r="X33" s="591">
        <f t="shared" si="16"/>
        <v>2465</v>
      </c>
      <c r="Y33" s="52">
        <f t="shared" ref="Y33:Y34" si="159">X33-X32</f>
        <v>0</v>
      </c>
      <c r="Z33" s="591">
        <f t="shared" si="16"/>
        <v>138740</v>
      </c>
      <c r="AA33" s="65">
        <f t="shared" ref="AA33:AA34" si="160">Z33-Z32</f>
        <v>0</v>
      </c>
      <c r="AB33" s="284">
        <f t="shared" ref="AB33:AB34" si="161">SUM(Y33*$AB$2)</f>
        <v>0</v>
      </c>
      <c r="AC33" s="591">
        <f t="shared" ref="AC33:AE33" si="162">AC32</f>
        <v>1936</v>
      </c>
      <c r="AD33" s="269">
        <f t="shared" ref="AD33:AD34" si="163">AC33-AC32</f>
        <v>0</v>
      </c>
      <c r="AE33" s="591">
        <f t="shared" si="162"/>
        <v>365520.8</v>
      </c>
      <c r="AF33" s="306">
        <f t="shared" ref="AF33:AF34" si="164">AE33-AE32</f>
        <v>0</v>
      </c>
      <c r="AG33" s="209">
        <f t="shared" ref="AG33:AG34" si="165">IF(AD33&gt;0,AF33/AD33,0)</f>
        <v>0</v>
      </c>
      <c r="AH33" s="62">
        <f t="shared" ref="AH33:AH34" si="166">AF33+AA33</f>
        <v>0</v>
      </c>
      <c r="AI33" s="318">
        <f t="shared" ref="AI33:AI34" si="167">SUM(AH33+V33)</f>
        <v>0</v>
      </c>
      <c r="AJ33" s="318">
        <f>-tanks!AW34</f>
        <v>0</v>
      </c>
      <c r="AK33" s="318">
        <f t="shared" ref="AK33:AK34" si="168">SUM(AJ33-AI33)</f>
        <v>0</v>
      </c>
      <c r="AL33" s="318">
        <f t="shared" ref="AL33:AL34" si="169">S33+L33+G33</f>
        <v>0</v>
      </c>
      <c r="AM33" s="318">
        <f t="shared" ref="AM33:AM34" si="170">Y33+AD33</f>
        <v>0</v>
      </c>
      <c r="AN33" s="591">
        <f t="shared" ref="AN33:AP33" si="171">AN32</f>
        <v>67</v>
      </c>
      <c r="AO33" s="320">
        <f t="shared" ref="AO33:AO34" si="172">(AN33/100)*3000</f>
        <v>2010.0000000000002</v>
      </c>
      <c r="AP33" s="591">
        <f t="shared" si="171"/>
        <v>55</v>
      </c>
      <c r="AQ33" s="320">
        <f t="shared" ref="AQ33:AQ34" si="173">(AP33/100)*3000</f>
        <v>1650.0000000000002</v>
      </c>
      <c r="AR33" s="591">
        <f t="shared" ref="AR33" si="174">AR32</f>
        <v>61</v>
      </c>
      <c r="AS33" s="320">
        <f t="shared" ref="AS33:AS34" si="175">(AR33/100)*3000</f>
        <v>1830</v>
      </c>
      <c r="AT33" s="320">
        <f t="shared" ref="AT33:AT34" si="176">SUM(AO33+AQ33+AS33)</f>
        <v>5490</v>
      </c>
      <c r="AU33" s="320">
        <f t="shared" ref="AU33:AU34" si="177">AT32-AT33+AV33</f>
        <v>0</v>
      </c>
      <c r="AV33" s="269"/>
      <c r="AW33" s="269"/>
      <c r="AX33" s="313">
        <f t="shared" ref="AX33:AX34" si="178">IF(AV33&gt;0,AW33,AX32)</f>
        <v>0.8</v>
      </c>
    </row>
    <row r="34" spans="1:50">
      <c r="A34" s="63">
        <f>ELEC!C32</f>
        <v>44316</v>
      </c>
      <c r="B34" s="591">
        <f t="shared" si="82"/>
        <v>240</v>
      </c>
      <c r="C34" s="591">
        <f t="shared" si="82"/>
        <v>247</v>
      </c>
      <c r="D34" s="45">
        <f t="shared" si="145"/>
        <v>0</v>
      </c>
      <c r="E34" s="45">
        <f t="shared" si="146"/>
        <v>0</v>
      </c>
      <c r="F34" s="591">
        <f t="shared" si="9"/>
        <v>1816</v>
      </c>
      <c r="G34" s="52">
        <f t="shared" si="147"/>
        <v>0</v>
      </c>
      <c r="H34" s="591">
        <f t="shared" si="9"/>
        <v>11508</v>
      </c>
      <c r="I34" s="396">
        <f t="shared" si="148"/>
        <v>0</v>
      </c>
      <c r="J34" s="66">
        <f t="shared" si="149"/>
        <v>0</v>
      </c>
      <c r="K34" s="591">
        <f t="shared" si="29"/>
        <v>2306</v>
      </c>
      <c r="L34" s="52">
        <f t="shared" si="150"/>
        <v>0</v>
      </c>
      <c r="M34" s="591">
        <f t="shared" si="29"/>
        <v>169940</v>
      </c>
      <c r="N34" s="396">
        <f t="shared" si="151"/>
        <v>0</v>
      </c>
      <c r="O34" s="64">
        <f t="shared" ref="O34" si="179">O33</f>
        <v>1869</v>
      </c>
      <c r="P34" s="591">
        <f t="shared" si="152"/>
        <v>2068</v>
      </c>
      <c r="Q34" s="591">
        <f t="shared" ref="Q34" si="180">Q33</f>
        <v>174085</v>
      </c>
      <c r="R34" s="395">
        <f t="shared" si="154"/>
        <v>0</v>
      </c>
      <c r="S34" s="52">
        <f t="shared" si="155"/>
        <v>0</v>
      </c>
      <c r="T34" s="67">
        <f t="shared" si="156"/>
        <v>0</v>
      </c>
      <c r="U34" s="402">
        <f t="shared" si="157"/>
        <v>0</v>
      </c>
      <c r="V34" s="62">
        <f t="shared" si="158"/>
        <v>0</v>
      </c>
      <c r="W34" s="400"/>
      <c r="X34" s="591">
        <f t="shared" si="16"/>
        <v>2465</v>
      </c>
      <c r="Y34" s="52">
        <f t="shared" si="159"/>
        <v>0</v>
      </c>
      <c r="Z34" s="591">
        <f t="shared" si="16"/>
        <v>138740</v>
      </c>
      <c r="AA34" s="65">
        <f t="shared" si="160"/>
        <v>0</v>
      </c>
      <c r="AB34" s="284">
        <f t="shared" si="161"/>
        <v>0</v>
      </c>
      <c r="AC34" s="591">
        <f t="shared" ref="AC34:AE34" si="181">AC33</f>
        <v>1936</v>
      </c>
      <c r="AD34" s="269">
        <f t="shared" si="163"/>
        <v>0</v>
      </c>
      <c r="AE34" s="591">
        <f t="shared" si="181"/>
        <v>365520.8</v>
      </c>
      <c r="AF34" s="306">
        <f t="shared" si="164"/>
        <v>0</v>
      </c>
      <c r="AG34" s="209">
        <f t="shared" si="165"/>
        <v>0</v>
      </c>
      <c r="AH34" s="62">
        <f t="shared" si="166"/>
        <v>0</v>
      </c>
      <c r="AI34" s="318">
        <f t="shared" si="167"/>
        <v>0</v>
      </c>
      <c r="AJ34" s="318">
        <f>-tanks!AW35</f>
        <v>0</v>
      </c>
      <c r="AK34" s="318">
        <f t="shared" si="168"/>
        <v>0</v>
      </c>
      <c r="AL34" s="318">
        <f t="shared" si="169"/>
        <v>0</v>
      </c>
      <c r="AM34" s="318">
        <f t="shared" si="170"/>
        <v>0</v>
      </c>
      <c r="AN34" s="591">
        <f t="shared" ref="AN34:AP34" si="182">AN33</f>
        <v>67</v>
      </c>
      <c r="AO34" s="320">
        <f t="shared" si="172"/>
        <v>2010.0000000000002</v>
      </c>
      <c r="AP34" s="591">
        <f t="shared" si="182"/>
        <v>55</v>
      </c>
      <c r="AQ34" s="320">
        <f t="shared" si="173"/>
        <v>1650.0000000000002</v>
      </c>
      <c r="AR34" s="591">
        <f t="shared" ref="AR34" si="183">AR33</f>
        <v>61</v>
      </c>
      <c r="AS34" s="320">
        <f t="shared" si="175"/>
        <v>1830</v>
      </c>
      <c r="AT34" s="320">
        <f t="shared" si="176"/>
        <v>5490</v>
      </c>
      <c r="AU34" s="320">
        <f t="shared" si="177"/>
        <v>0</v>
      </c>
      <c r="AV34" s="269"/>
      <c r="AW34" s="269"/>
      <c r="AX34" s="313">
        <f t="shared" si="178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76.183333333333323</v>
      </c>
      <c r="V36" s="62">
        <f>SUM(V5:V32)</f>
        <v>4924</v>
      </c>
      <c r="AE36" s="71" t="s">
        <v>383</v>
      </c>
      <c r="AG36" s="344"/>
      <c r="AH36" s="62">
        <f>SUM(AH5:AH32)</f>
        <v>190</v>
      </c>
      <c r="AL36" s="62">
        <f>SUM(AL5:AL32)</f>
        <v>169903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5114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O1" zoomScaleNormal="100" workbookViewId="0">
      <pane ySplit="3" topLeftCell="A4" activePane="bottomLeft" state="frozen"/>
      <selection pane="bottomLeft" activeCell="AY20" sqref="AY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0" customWidth="1"/>
    <col min="14" max="14" width="10.7109375" style="492" customWidth="1"/>
    <col min="15" max="15" width="11.140625" style="490" customWidth="1"/>
    <col min="16" max="16" width="11.140625" style="492" customWidth="1"/>
    <col min="17" max="17" width="17.28515625" style="490" customWidth="1"/>
    <col min="18" max="18" width="10.85546875" style="490" customWidth="1"/>
    <col min="19" max="19" width="10.7109375" style="490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8039993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6" t="s">
        <v>126</v>
      </c>
      <c r="AO3" s="627"/>
      <c r="AP3" s="628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v>470</v>
      </c>
      <c r="W13" s="324">
        <f t="shared" si="18"/>
        <v>1</v>
      </c>
      <c r="X13" s="5">
        <v>151398</v>
      </c>
      <c r="Y13" s="324">
        <f t="shared" si="39"/>
        <v>102</v>
      </c>
      <c r="Z13" s="5">
        <v>98760</v>
      </c>
      <c r="AA13" s="83">
        <f t="shared" si="19"/>
        <v>37</v>
      </c>
      <c r="AB13" s="5">
        <f t="shared" ref="AB13:AC13" si="52">AB12</f>
        <v>261</v>
      </c>
      <c r="AC13" s="5">
        <f t="shared" si="52"/>
        <v>731</v>
      </c>
      <c r="AD13" s="83">
        <f t="shared" si="35"/>
        <v>0</v>
      </c>
      <c r="AE13" s="5">
        <f t="shared" ref="AE13:AG13" si="53">AE12</f>
        <v>229.03</v>
      </c>
      <c r="AF13" s="83">
        <f t="shared" si="22"/>
        <v>0</v>
      </c>
      <c r="AG13" s="5">
        <f t="shared" si="53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37</v>
      </c>
      <c r="AK13" s="327">
        <f t="shared" si="37"/>
        <v>102</v>
      </c>
      <c r="AL13" s="327">
        <f t="shared" si="26"/>
        <v>36</v>
      </c>
      <c r="AM13" s="327">
        <f>'General information '!D13</f>
        <v>18.5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v>38</v>
      </c>
      <c r="AU13" s="425">
        <f t="shared" si="43"/>
        <v>1.1000000000000001</v>
      </c>
      <c r="AV13" s="201">
        <v>202</v>
      </c>
      <c r="AW13" s="5">
        <v>2.9</v>
      </c>
      <c r="AX13" s="201">
        <v>194</v>
      </c>
      <c r="AY13" s="426">
        <f t="shared" si="7"/>
        <v>34.200000000000003</v>
      </c>
      <c r="AZ13" s="426">
        <f t="shared" si="28"/>
        <v>222.20000000000002</v>
      </c>
      <c r="BA13" s="426">
        <f t="shared" si="29"/>
        <v>562.6</v>
      </c>
      <c r="BB13" s="21">
        <f t="shared" si="30"/>
        <v>-120.60000000000001</v>
      </c>
      <c r="BC13" s="21">
        <f t="shared" si="31"/>
        <v>9.9000000000000057</v>
      </c>
      <c r="BD13" s="21">
        <f t="shared" si="31"/>
        <v>63.800000000000011</v>
      </c>
      <c r="BE13" s="24">
        <f t="shared" si="32"/>
        <v>-46.899999999999991</v>
      </c>
      <c r="BF13" s="96">
        <f t="shared" si="8"/>
        <v>46.899999999999991</v>
      </c>
      <c r="BG13" s="82">
        <f t="shared" si="9"/>
        <v>-46.899999999999991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v>618456</v>
      </c>
      <c r="H14" s="5">
        <f t="shared" si="14"/>
        <v>211</v>
      </c>
      <c r="I14" s="5">
        <f t="shared" si="0"/>
        <v>211</v>
      </c>
      <c r="J14" s="334">
        <f t="shared" si="1"/>
        <v>1.1848341232227488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4">SUM(M14-M13)</f>
        <v>0</v>
      </c>
      <c r="O14" s="410">
        <f t="shared" si="16"/>
        <v>529.52</v>
      </c>
      <c r="P14" s="512">
        <f t="shared" ref="P14:P33" si="55">SUM(O14-O13)</f>
        <v>0</v>
      </c>
      <c r="Q14" s="512">
        <f t="shared" ref="Q14:Q33" si="56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470</v>
      </c>
      <c r="W14" s="324">
        <f t="shared" si="18"/>
        <v>0</v>
      </c>
      <c r="X14" s="5">
        <f t="shared" ref="X14" si="57">X13</f>
        <v>151398</v>
      </c>
      <c r="Y14" s="324">
        <f t="shared" si="39"/>
        <v>0</v>
      </c>
      <c r="Z14" s="5">
        <v>98760</v>
      </c>
      <c r="AA14" s="83">
        <f t="shared" si="19"/>
        <v>0</v>
      </c>
      <c r="AB14" s="5">
        <f t="shared" ref="AB14:AC14" si="58">AB13</f>
        <v>261</v>
      </c>
      <c r="AC14" s="5">
        <f t="shared" si="58"/>
        <v>731</v>
      </c>
      <c r="AD14" s="83">
        <f t="shared" si="35"/>
        <v>0</v>
      </c>
      <c r="AE14" s="5">
        <f t="shared" ref="AE14:AG14" si="59">AE13</f>
        <v>229.03</v>
      </c>
      <c r="AF14" s="83">
        <f t="shared" si="22"/>
        <v>0</v>
      </c>
      <c r="AG14" s="5">
        <f t="shared" si="59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18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v>153</v>
      </c>
      <c r="AU14" s="425">
        <f t="shared" si="43"/>
        <v>1.1000000000000001</v>
      </c>
      <c r="AV14" s="201">
        <v>200</v>
      </c>
      <c r="AW14" s="5">
        <v>2.9</v>
      </c>
      <c r="AX14" s="201">
        <v>190</v>
      </c>
      <c r="AY14" s="426">
        <f t="shared" si="7"/>
        <v>137.70000000000002</v>
      </c>
      <c r="AZ14" s="426">
        <f t="shared" si="28"/>
        <v>220.00000000000003</v>
      </c>
      <c r="BA14" s="426">
        <f t="shared" si="29"/>
        <v>551</v>
      </c>
      <c r="BB14" s="21">
        <f t="shared" si="30"/>
        <v>103.50000000000001</v>
      </c>
      <c r="BC14" s="21">
        <f t="shared" si="31"/>
        <v>-2.1999999999999886</v>
      </c>
      <c r="BD14" s="21">
        <f t="shared" si="31"/>
        <v>-11.600000000000023</v>
      </c>
      <c r="BE14" s="24">
        <f t="shared" si="32"/>
        <v>89.7</v>
      </c>
      <c r="BF14" s="96">
        <f t="shared" si="8"/>
        <v>121.3</v>
      </c>
      <c r="BG14" s="82">
        <f t="shared" si="9"/>
        <v>89.7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618456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4"/>
        <v>0</v>
      </c>
      <c r="O15" s="410">
        <f t="shared" si="16"/>
        <v>529.52</v>
      </c>
      <c r="P15" s="512">
        <f t="shared" si="55"/>
        <v>0</v>
      </c>
      <c r="Q15" s="512">
        <f t="shared" si="56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470</v>
      </c>
      <c r="W15" s="324">
        <f t="shared" si="18"/>
        <v>0</v>
      </c>
      <c r="X15" s="5">
        <f t="shared" ref="X15" si="60">X14</f>
        <v>151398</v>
      </c>
      <c r="Y15" s="324">
        <f t="shared" si="39"/>
        <v>0</v>
      </c>
      <c r="Z15" s="5">
        <v>98760</v>
      </c>
      <c r="AA15" s="83">
        <f t="shared" si="19"/>
        <v>0</v>
      </c>
      <c r="AB15" s="5">
        <f t="shared" ref="AB15:AC15" si="61">AB14</f>
        <v>261</v>
      </c>
      <c r="AC15" s="5">
        <f t="shared" si="61"/>
        <v>731</v>
      </c>
      <c r="AD15" s="83">
        <f t="shared" si="35"/>
        <v>0</v>
      </c>
      <c r="AE15" s="5">
        <v>229.28</v>
      </c>
      <c r="AF15" s="83">
        <f t="shared" si="22"/>
        <v>0.25</v>
      </c>
      <c r="AG15" s="5">
        <v>2209.02</v>
      </c>
      <c r="AH15" s="83">
        <f t="shared" si="23"/>
        <v>9.6599999999998545</v>
      </c>
      <c r="AI15" s="83">
        <f t="shared" si="24"/>
        <v>9.9099999999998545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15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v>5</v>
      </c>
      <c r="AU15" s="425">
        <f t="shared" si="43"/>
        <v>1.1000000000000001</v>
      </c>
      <c r="AV15" s="201">
        <v>196</v>
      </c>
      <c r="AW15" s="5">
        <v>2.9</v>
      </c>
      <c r="AX15" s="201">
        <v>188</v>
      </c>
      <c r="AY15" s="426">
        <f t="shared" si="7"/>
        <v>4.5</v>
      </c>
      <c r="AZ15" s="426">
        <f t="shared" si="28"/>
        <v>215.60000000000002</v>
      </c>
      <c r="BA15" s="426">
        <f t="shared" si="29"/>
        <v>545.19999999999993</v>
      </c>
      <c r="BB15" s="21">
        <f t="shared" si="30"/>
        <v>-133.20000000000002</v>
      </c>
      <c r="BC15" s="21">
        <f t="shared" si="31"/>
        <v>-4.4000000000000057</v>
      </c>
      <c r="BD15" s="21">
        <f t="shared" si="31"/>
        <v>-5.8000000000000682</v>
      </c>
      <c r="BE15" s="24">
        <f t="shared" si="32"/>
        <v>-143.40000000000009</v>
      </c>
      <c r="BF15" s="96">
        <f t="shared" si="8"/>
        <v>143.40000000000009</v>
      </c>
      <c r="BG15" s="82">
        <f t="shared" si="9"/>
        <v>-143.40000000000009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v>618461</v>
      </c>
      <c r="H16" s="5">
        <f t="shared" si="14"/>
        <v>5</v>
      </c>
      <c r="I16" s="5">
        <f t="shared" si="0"/>
        <v>5</v>
      </c>
      <c r="J16" s="334">
        <f t="shared" si="1"/>
        <v>50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4"/>
        <v>0</v>
      </c>
      <c r="O16" s="410">
        <f t="shared" si="16"/>
        <v>529.52</v>
      </c>
      <c r="P16" s="512">
        <f t="shared" si="55"/>
        <v>0</v>
      </c>
      <c r="Q16" s="512">
        <f t="shared" si="56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470</v>
      </c>
      <c r="W16" s="324">
        <f t="shared" si="18"/>
        <v>0</v>
      </c>
      <c r="X16" s="5">
        <f t="shared" ref="X16" si="62">X15</f>
        <v>151398</v>
      </c>
      <c r="Y16" s="324">
        <f t="shared" si="39"/>
        <v>0</v>
      </c>
      <c r="Z16" s="5">
        <v>98760</v>
      </c>
      <c r="AA16" s="83">
        <f t="shared" si="19"/>
        <v>0</v>
      </c>
      <c r="AB16" s="5">
        <f t="shared" ref="AB16:AC16" si="63">AB15</f>
        <v>261</v>
      </c>
      <c r="AC16" s="5">
        <f t="shared" si="63"/>
        <v>731</v>
      </c>
      <c r="AD16" s="83">
        <f t="shared" si="35"/>
        <v>0</v>
      </c>
      <c r="AE16" s="5">
        <f t="shared" ref="AE16:AG16" si="64">AE15</f>
        <v>229.28</v>
      </c>
      <c r="AF16" s="83">
        <f t="shared" si="22"/>
        <v>0</v>
      </c>
      <c r="AG16" s="5">
        <f t="shared" si="64"/>
        <v>2209.02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v>146</v>
      </c>
      <c r="AU16" s="425">
        <f t="shared" si="43"/>
        <v>1.1000000000000001</v>
      </c>
      <c r="AV16" s="201">
        <v>190</v>
      </c>
      <c r="AW16" s="5">
        <v>2.9</v>
      </c>
      <c r="AX16" s="201">
        <v>186</v>
      </c>
      <c r="AY16" s="426">
        <f t="shared" si="7"/>
        <v>131.4</v>
      </c>
      <c r="AZ16" s="426">
        <f t="shared" si="28"/>
        <v>209.00000000000003</v>
      </c>
      <c r="BA16" s="426">
        <f t="shared" si="29"/>
        <v>539.4</v>
      </c>
      <c r="BB16" s="21">
        <f t="shared" si="30"/>
        <v>126.9</v>
      </c>
      <c r="BC16" s="21">
        <f t="shared" si="31"/>
        <v>-6.5999999999999943</v>
      </c>
      <c r="BD16" s="21">
        <f t="shared" si="31"/>
        <v>-5.7999999999999545</v>
      </c>
      <c r="BE16" s="24">
        <f t="shared" si="32"/>
        <v>114.50000000000006</v>
      </c>
      <c r="BF16" s="96">
        <f t="shared" si="8"/>
        <v>-109.50000000000006</v>
      </c>
      <c r="BG16" s="82">
        <f t="shared" si="9"/>
        <v>114.50000000000006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618461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4"/>
        <v>0</v>
      </c>
      <c r="O17" s="410">
        <f t="shared" si="16"/>
        <v>529.52</v>
      </c>
      <c r="P17" s="512">
        <f t="shared" si="55"/>
        <v>0</v>
      </c>
      <c r="Q17" s="512">
        <f t="shared" si="56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470</v>
      </c>
      <c r="W17" s="324">
        <f t="shared" si="18"/>
        <v>0</v>
      </c>
      <c r="X17" s="5">
        <f t="shared" ref="X17:Z17" si="65">X16</f>
        <v>151398</v>
      </c>
      <c r="Y17" s="324">
        <f t="shared" si="39"/>
        <v>0</v>
      </c>
      <c r="Z17" s="5">
        <f t="shared" si="65"/>
        <v>98760</v>
      </c>
      <c r="AA17" s="83">
        <f t="shared" si="19"/>
        <v>0</v>
      </c>
      <c r="AB17" s="5">
        <f t="shared" ref="AB17:AC17" si="66">AB16</f>
        <v>261</v>
      </c>
      <c r="AC17" s="5">
        <f t="shared" si="66"/>
        <v>731</v>
      </c>
      <c r="AD17" s="83">
        <f t="shared" si="35"/>
        <v>0</v>
      </c>
      <c r="AE17" s="5">
        <f t="shared" ref="AE17:AG17" si="67">AE16</f>
        <v>229.28</v>
      </c>
      <c r="AF17" s="83">
        <f t="shared" si="22"/>
        <v>0</v>
      </c>
      <c r="AG17" s="5">
        <f t="shared" si="67"/>
        <v>2209.02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14.5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146</v>
      </c>
      <c r="AU17" s="425">
        <f t="shared" si="43"/>
        <v>1.1000000000000001</v>
      </c>
      <c r="AV17" s="201">
        <v>186</v>
      </c>
      <c r="AW17" s="5">
        <v>2.9</v>
      </c>
      <c r="AX17" s="201">
        <v>183</v>
      </c>
      <c r="AY17" s="426">
        <f t="shared" si="7"/>
        <v>131.4</v>
      </c>
      <c r="AZ17" s="426">
        <f t="shared" si="28"/>
        <v>204.60000000000002</v>
      </c>
      <c r="BA17" s="426">
        <f t="shared" si="29"/>
        <v>530.69999999999993</v>
      </c>
      <c r="BB17" s="21">
        <f t="shared" si="30"/>
        <v>0</v>
      </c>
      <c r="BC17" s="21">
        <f t="shared" si="31"/>
        <v>-4.4000000000000057</v>
      </c>
      <c r="BD17" s="21">
        <f t="shared" si="31"/>
        <v>-8.7000000000000455</v>
      </c>
      <c r="BE17" s="24">
        <f t="shared" si="32"/>
        <v>-13.100000000000051</v>
      </c>
      <c r="BF17" s="96">
        <f t="shared" si="8"/>
        <v>13.100000000000051</v>
      </c>
      <c r="BG17" s="82">
        <f t="shared" si="9"/>
        <v>-13.100000000000051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618461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6740</v>
      </c>
      <c r="L18" s="83">
        <f t="shared" si="38"/>
        <v>2</v>
      </c>
      <c r="M18" s="410">
        <f t="shared" si="15"/>
        <v>457.44</v>
      </c>
      <c r="N18" s="512">
        <f t="shared" si="54"/>
        <v>0</v>
      </c>
      <c r="O18" s="410">
        <f t="shared" si="16"/>
        <v>529.52</v>
      </c>
      <c r="P18" s="512">
        <f t="shared" si="55"/>
        <v>0</v>
      </c>
      <c r="Q18" s="512">
        <f t="shared" si="56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470</v>
      </c>
      <c r="W18" s="324">
        <f t="shared" si="18"/>
        <v>0</v>
      </c>
      <c r="X18" s="5">
        <f t="shared" ref="X18:Z18" si="68">X17</f>
        <v>151398</v>
      </c>
      <c r="Y18" s="324">
        <f t="shared" si="39"/>
        <v>0</v>
      </c>
      <c r="Z18" s="5">
        <f t="shared" si="68"/>
        <v>98760</v>
      </c>
      <c r="AA18" s="83">
        <f t="shared" si="19"/>
        <v>0</v>
      </c>
      <c r="AB18" s="5">
        <f t="shared" ref="AB18:AC18" si="69">AB17</f>
        <v>261</v>
      </c>
      <c r="AC18" s="5">
        <f t="shared" si="69"/>
        <v>731</v>
      </c>
      <c r="AD18" s="83">
        <f t="shared" si="35"/>
        <v>0</v>
      </c>
      <c r="AE18" s="5">
        <f t="shared" ref="AE18:AG18" si="70">AE17</f>
        <v>229.28</v>
      </c>
      <c r="AF18" s="83">
        <f t="shared" si="22"/>
        <v>0</v>
      </c>
      <c r="AG18" s="5">
        <f t="shared" si="70"/>
        <v>2209.02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-2</v>
      </c>
      <c r="AL18" s="327">
        <f t="shared" si="26"/>
        <v>0</v>
      </c>
      <c r="AM18" s="327">
        <f>'General information '!D18</f>
        <v>14.5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v>146</v>
      </c>
      <c r="AU18" s="425">
        <f t="shared" si="43"/>
        <v>1.1000000000000001</v>
      </c>
      <c r="AV18" s="201">
        <v>194</v>
      </c>
      <c r="AW18" s="5">
        <v>2.9</v>
      </c>
      <c r="AX18" s="201">
        <v>177</v>
      </c>
      <c r="AY18" s="426">
        <f t="shared" si="7"/>
        <v>131.4</v>
      </c>
      <c r="AZ18" s="426">
        <f t="shared" si="28"/>
        <v>213.4</v>
      </c>
      <c r="BA18" s="426">
        <f t="shared" si="29"/>
        <v>513.29999999999995</v>
      </c>
      <c r="BB18" s="21">
        <f t="shared" si="30"/>
        <v>0</v>
      </c>
      <c r="BC18" s="21">
        <f t="shared" si="31"/>
        <v>8.7999999999999829</v>
      </c>
      <c r="BD18" s="21">
        <f t="shared" si="31"/>
        <v>-17.399999999999977</v>
      </c>
      <c r="BE18" s="24">
        <f t="shared" si="32"/>
        <v>-8.5999999999999943</v>
      </c>
      <c r="BF18" s="96">
        <f t="shared" si="8"/>
        <v>8.5999999999999943</v>
      </c>
      <c r="BG18" s="82">
        <f t="shared" si="9"/>
        <v>-8.5999999999999943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618461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6741</v>
      </c>
      <c r="L19" s="83">
        <f t="shared" si="38"/>
        <v>1</v>
      </c>
      <c r="M19" s="410">
        <f t="shared" si="15"/>
        <v>457.44</v>
      </c>
      <c r="N19" s="512">
        <f t="shared" si="54"/>
        <v>0</v>
      </c>
      <c r="O19" s="410">
        <f t="shared" si="16"/>
        <v>529.52</v>
      </c>
      <c r="P19" s="512">
        <f t="shared" si="55"/>
        <v>0</v>
      </c>
      <c r="Q19" s="512">
        <f t="shared" si="56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470</v>
      </c>
      <c r="W19" s="324">
        <f t="shared" si="18"/>
        <v>0</v>
      </c>
      <c r="X19" s="5">
        <f t="shared" ref="X19:Z19" si="71">X18</f>
        <v>151398</v>
      </c>
      <c r="Y19" s="324">
        <f t="shared" si="39"/>
        <v>0</v>
      </c>
      <c r="Z19" s="5">
        <f t="shared" si="71"/>
        <v>98760</v>
      </c>
      <c r="AA19" s="83">
        <f t="shared" si="19"/>
        <v>0</v>
      </c>
      <c r="AB19" s="5">
        <f t="shared" ref="AB19:AC19" si="72">AB18</f>
        <v>261</v>
      </c>
      <c r="AC19" s="5">
        <f t="shared" si="72"/>
        <v>731</v>
      </c>
      <c r="AD19" s="83">
        <f t="shared" si="35"/>
        <v>0</v>
      </c>
      <c r="AE19" s="5">
        <f t="shared" ref="AE19:AG19" si="73">AE18</f>
        <v>229.28</v>
      </c>
      <c r="AF19" s="83">
        <f t="shared" si="22"/>
        <v>0</v>
      </c>
      <c r="AG19" s="5">
        <f t="shared" si="73"/>
        <v>2209.02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-1</v>
      </c>
      <c r="AL19" s="327">
        <f t="shared" si="26"/>
        <v>0</v>
      </c>
      <c r="AM19" s="327">
        <f>'General information '!D19</f>
        <v>16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146</v>
      </c>
      <c r="AU19" s="425">
        <f t="shared" si="43"/>
        <v>1.1000000000000001</v>
      </c>
      <c r="AV19" s="201">
        <v>191</v>
      </c>
      <c r="AW19" s="5">
        <v>2.9</v>
      </c>
      <c r="AX19" s="201">
        <v>175</v>
      </c>
      <c r="AY19" s="426">
        <f t="shared" ref="AY19:AY21" si="74">AS19*AT19</f>
        <v>131.4</v>
      </c>
      <c r="AZ19" s="426">
        <f t="shared" ref="AZ19:AZ21" si="75">AU19*AV19</f>
        <v>210.10000000000002</v>
      </c>
      <c r="BA19" s="426">
        <f t="shared" ref="BA19:BA21" si="76">AW19*AX19</f>
        <v>507.5</v>
      </c>
      <c r="BB19" s="21">
        <f t="shared" ref="BB19:BB20" si="77">AY19-AY18</f>
        <v>0</v>
      </c>
      <c r="BC19" s="21">
        <f t="shared" ref="BC19:BC20" si="78">AZ19-AZ18</f>
        <v>-3.2999999999999829</v>
      </c>
      <c r="BD19" s="21">
        <f t="shared" ref="BD19:BD20" si="79">BA19-BA18</f>
        <v>-5.7999999999999545</v>
      </c>
      <c r="BE19" s="24">
        <f t="shared" ref="BE19:BE20" si="80">SUM(BB19:BD19)</f>
        <v>-9.0999999999999375</v>
      </c>
      <c r="BF19" s="96">
        <f t="shared" si="8"/>
        <v>9.0999999999999375</v>
      </c>
      <c r="BG19" s="82">
        <f t="shared" si="9"/>
        <v>-9.0999999999999375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618461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6741</v>
      </c>
      <c r="L20" s="83">
        <f t="shared" si="38"/>
        <v>0</v>
      </c>
      <c r="M20" s="410">
        <f t="shared" si="15"/>
        <v>457.44</v>
      </c>
      <c r="N20" s="512">
        <f t="shared" si="54"/>
        <v>0</v>
      </c>
      <c r="O20" s="410">
        <f t="shared" si="16"/>
        <v>529.52</v>
      </c>
      <c r="P20" s="512">
        <f t="shared" si="55"/>
        <v>0</v>
      </c>
      <c r="Q20" s="512">
        <f t="shared" si="56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470</v>
      </c>
      <c r="W20" s="324">
        <f t="shared" si="18"/>
        <v>0</v>
      </c>
      <c r="X20" s="5">
        <f t="shared" ref="X20:Z20" si="81">X19</f>
        <v>151398</v>
      </c>
      <c r="Y20" s="324">
        <f t="shared" si="39"/>
        <v>0</v>
      </c>
      <c r="Z20" s="5">
        <f t="shared" si="81"/>
        <v>98760</v>
      </c>
      <c r="AA20" s="83">
        <f t="shared" si="19"/>
        <v>0</v>
      </c>
      <c r="AB20" s="5">
        <f t="shared" ref="AB20:AC20" si="82">AB19</f>
        <v>261</v>
      </c>
      <c r="AC20" s="5">
        <f t="shared" si="82"/>
        <v>731</v>
      </c>
      <c r="AD20" s="83">
        <f t="shared" si="35"/>
        <v>0</v>
      </c>
      <c r="AE20" s="5">
        <f t="shared" ref="AE20:AG20" si="83">AE19</f>
        <v>229.28</v>
      </c>
      <c r="AF20" s="83">
        <f t="shared" si="22"/>
        <v>0</v>
      </c>
      <c r="AG20" s="5">
        <f t="shared" si="83"/>
        <v>2209.02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19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146</v>
      </c>
      <c r="AU20" s="425">
        <f t="shared" si="43"/>
        <v>1.1000000000000001</v>
      </c>
      <c r="AV20" s="201">
        <v>190</v>
      </c>
      <c r="AW20" s="5">
        <v>2.9</v>
      </c>
      <c r="AX20" s="201">
        <v>170</v>
      </c>
      <c r="AY20" s="426">
        <f t="shared" si="74"/>
        <v>131.4</v>
      </c>
      <c r="AZ20" s="426">
        <f t="shared" si="75"/>
        <v>209.00000000000003</v>
      </c>
      <c r="BA20" s="426">
        <f t="shared" si="76"/>
        <v>493</v>
      </c>
      <c r="BB20" s="21">
        <f t="shared" si="77"/>
        <v>0</v>
      </c>
      <c r="BC20" s="21">
        <f t="shared" si="78"/>
        <v>-1.0999999999999943</v>
      </c>
      <c r="BD20" s="21">
        <f t="shared" si="79"/>
        <v>-14.5</v>
      </c>
      <c r="BE20" s="24">
        <f t="shared" si="80"/>
        <v>-15.599999999999994</v>
      </c>
      <c r="BF20" s="96">
        <f t="shared" si="8"/>
        <v>15.599999999999994</v>
      </c>
      <c r="BG20" s="82">
        <f t="shared" si="9"/>
        <v>-15.599999999999994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618461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6741</v>
      </c>
      <c r="L21" s="83">
        <f t="shared" si="38"/>
        <v>0</v>
      </c>
      <c r="M21" s="410">
        <f t="shared" si="15"/>
        <v>457.44</v>
      </c>
      <c r="N21" s="512">
        <f t="shared" si="54"/>
        <v>0</v>
      </c>
      <c r="O21" s="410">
        <f t="shared" si="16"/>
        <v>529.52</v>
      </c>
      <c r="P21" s="512">
        <f t="shared" si="55"/>
        <v>0</v>
      </c>
      <c r="Q21" s="512">
        <f t="shared" si="56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470</v>
      </c>
      <c r="W21" s="324">
        <f t="shared" si="18"/>
        <v>0</v>
      </c>
      <c r="X21" s="5">
        <f t="shared" ref="X21:Z21" si="84">X20</f>
        <v>151398</v>
      </c>
      <c r="Y21" s="324">
        <f>SUM(X21-X20)</f>
        <v>0</v>
      </c>
      <c r="Z21" s="5">
        <f t="shared" si="84"/>
        <v>98760</v>
      </c>
      <c r="AA21" s="83">
        <f t="shared" si="19"/>
        <v>0</v>
      </c>
      <c r="AB21" s="5">
        <f t="shared" ref="AB21:AC21" si="85">AB20</f>
        <v>261</v>
      </c>
      <c r="AC21" s="5">
        <f t="shared" si="85"/>
        <v>731</v>
      </c>
      <c r="AD21" s="83">
        <f t="shared" si="35"/>
        <v>0</v>
      </c>
      <c r="AE21" s="5">
        <f t="shared" ref="AE21:AG21" si="86">AE20</f>
        <v>229.28</v>
      </c>
      <c r="AF21" s="83">
        <f t="shared" si="22"/>
        <v>0</v>
      </c>
      <c r="AG21" s="5">
        <f t="shared" si="86"/>
        <v>2209.02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146</v>
      </c>
      <c r="AU21" s="425">
        <f t="shared" si="43"/>
        <v>1.1000000000000001</v>
      </c>
      <c r="AV21" s="201">
        <f t="shared" si="43"/>
        <v>190</v>
      </c>
      <c r="AW21" s="5">
        <v>2.9</v>
      </c>
      <c r="AX21" s="201">
        <f t="shared" ref="AX21" si="87">AX20</f>
        <v>170</v>
      </c>
      <c r="AY21" s="426">
        <f t="shared" si="74"/>
        <v>131.4</v>
      </c>
      <c r="AZ21" s="426">
        <f t="shared" si="75"/>
        <v>209.00000000000003</v>
      </c>
      <c r="BA21" s="426">
        <f t="shared" si="76"/>
        <v>493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618461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6741</v>
      </c>
      <c r="L22" s="83">
        <f t="shared" si="38"/>
        <v>0</v>
      </c>
      <c r="M22" s="410">
        <f t="shared" si="15"/>
        <v>457.44</v>
      </c>
      <c r="N22" s="512">
        <f t="shared" si="54"/>
        <v>0</v>
      </c>
      <c r="O22" s="410">
        <f t="shared" si="16"/>
        <v>529.52</v>
      </c>
      <c r="P22" s="512">
        <f t="shared" si="55"/>
        <v>0</v>
      </c>
      <c r="Q22" s="512">
        <f t="shared" si="56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470</v>
      </c>
      <c r="W22" s="324">
        <f t="shared" si="18"/>
        <v>0</v>
      </c>
      <c r="X22" s="5">
        <f t="shared" ref="X22:Z22" si="88">X21</f>
        <v>151398</v>
      </c>
      <c r="Y22" s="324">
        <f t="shared" si="39"/>
        <v>0</v>
      </c>
      <c r="Z22" s="5">
        <f t="shared" si="88"/>
        <v>98760</v>
      </c>
      <c r="AA22" s="83">
        <f t="shared" si="19"/>
        <v>0</v>
      </c>
      <c r="AB22" s="5">
        <f t="shared" ref="AB22:AC22" si="89">AB21</f>
        <v>261</v>
      </c>
      <c r="AC22" s="5">
        <f t="shared" si="89"/>
        <v>731</v>
      </c>
      <c r="AD22" s="83">
        <f t="shared" si="35"/>
        <v>0</v>
      </c>
      <c r="AE22" s="5">
        <f t="shared" ref="AE22:AG22" si="90">AE21</f>
        <v>229.28</v>
      </c>
      <c r="AF22" s="83">
        <f t="shared" si="22"/>
        <v>0</v>
      </c>
      <c r="AG22" s="5">
        <f t="shared" si="90"/>
        <v>2209.02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91">AS21</f>
        <v>0.9</v>
      </c>
      <c r="AT22" s="201">
        <f t="shared" si="91"/>
        <v>146</v>
      </c>
      <c r="AU22" s="425">
        <f t="shared" si="43"/>
        <v>1.1000000000000001</v>
      </c>
      <c r="AV22" s="201">
        <f t="shared" si="43"/>
        <v>190</v>
      </c>
      <c r="AW22" s="5">
        <v>2.9</v>
      </c>
      <c r="AX22" s="201">
        <f t="shared" ref="AX22" si="92">AX21</f>
        <v>170</v>
      </c>
      <c r="AY22" s="426">
        <f t="shared" si="7"/>
        <v>131.4</v>
      </c>
      <c r="AZ22" s="426">
        <f t="shared" si="28"/>
        <v>209.00000000000003</v>
      </c>
      <c r="BA22" s="426">
        <f t="shared" si="29"/>
        <v>493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618461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6741</v>
      </c>
      <c r="L23" s="274">
        <f t="shared" si="38"/>
        <v>0</v>
      </c>
      <c r="M23" s="410">
        <f t="shared" si="15"/>
        <v>457.44</v>
      </c>
      <c r="N23" s="512">
        <f t="shared" si="54"/>
        <v>0</v>
      </c>
      <c r="O23" s="410">
        <f t="shared" si="16"/>
        <v>529.52</v>
      </c>
      <c r="P23" s="512">
        <f t="shared" si="55"/>
        <v>0</v>
      </c>
      <c r="Q23" s="512">
        <f t="shared" si="56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470</v>
      </c>
      <c r="W23" s="324">
        <f t="shared" si="18"/>
        <v>0</v>
      </c>
      <c r="X23" s="5">
        <f t="shared" ref="X23:Z23" si="93">X22</f>
        <v>151398</v>
      </c>
      <c r="Y23" s="324">
        <f t="shared" si="39"/>
        <v>0</v>
      </c>
      <c r="Z23" s="5">
        <f t="shared" si="93"/>
        <v>98760</v>
      </c>
      <c r="AA23" s="83">
        <f t="shared" si="19"/>
        <v>0</v>
      </c>
      <c r="AB23" s="5">
        <f t="shared" ref="AB23:AC23" si="94">AB22</f>
        <v>261</v>
      </c>
      <c r="AC23" s="5">
        <f t="shared" si="94"/>
        <v>731</v>
      </c>
      <c r="AD23" s="83">
        <f t="shared" si="35"/>
        <v>0</v>
      </c>
      <c r="AE23" s="5">
        <f t="shared" ref="AE23:AG23" si="95">AE22</f>
        <v>229.28</v>
      </c>
      <c r="AF23" s="83">
        <f t="shared" si="22"/>
        <v>0</v>
      </c>
      <c r="AG23" s="5">
        <f t="shared" si="95"/>
        <v>2209.02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91"/>
        <v>0.9</v>
      </c>
      <c r="AT23" s="201">
        <f t="shared" si="91"/>
        <v>146</v>
      </c>
      <c r="AU23" s="425">
        <f t="shared" si="43"/>
        <v>1.1000000000000001</v>
      </c>
      <c r="AV23" s="201">
        <f t="shared" si="43"/>
        <v>190</v>
      </c>
      <c r="AW23" s="5">
        <v>2.9</v>
      </c>
      <c r="AX23" s="201">
        <f t="shared" ref="AX23" si="96">AX22</f>
        <v>170</v>
      </c>
      <c r="AY23" s="426">
        <f t="shared" si="7"/>
        <v>131.4</v>
      </c>
      <c r="AZ23" s="426">
        <f t="shared" si="28"/>
        <v>209.00000000000003</v>
      </c>
      <c r="BA23" s="426">
        <f t="shared" si="29"/>
        <v>493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618461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-28</v>
      </c>
      <c r="M24" s="410">
        <f t="shared" si="15"/>
        <v>457.44</v>
      </c>
      <c r="N24" s="512">
        <f t="shared" si="54"/>
        <v>0</v>
      </c>
      <c r="O24" s="410">
        <f t="shared" si="16"/>
        <v>529.52</v>
      </c>
      <c r="P24" s="512">
        <f t="shared" si="55"/>
        <v>0</v>
      </c>
      <c r="Q24" s="512">
        <f t="shared" si="56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470</v>
      </c>
      <c r="W24" s="324">
        <f t="shared" si="18"/>
        <v>0</v>
      </c>
      <c r="X24" s="5">
        <f t="shared" ref="X24:Z24" si="97">X23</f>
        <v>151398</v>
      </c>
      <c r="Y24" s="324">
        <f t="shared" si="39"/>
        <v>0</v>
      </c>
      <c r="Z24" s="5">
        <f t="shared" si="97"/>
        <v>98760</v>
      </c>
      <c r="AA24" s="83">
        <f t="shared" si="19"/>
        <v>0</v>
      </c>
      <c r="AB24" s="5">
        <f t="shared" ref="AB24:AC24" si="98">AB23</f>
        <v>261</v>
      </c>
      <c r="AC24" s="5">
        <f t="shared" si="98"/>
        <v>731</v>
      </c>
      <c r="AD24" s="83">
        <f t="shared" si="35"/>
        <v>0</v>
      </c>
      <c r="AE24" s="5">
        <f t="shared" ref="AE24:AG24" si="99">AE23</f>
        <v>229.28</v>
      </c>
      <c r="AF24" s="83">
        <f t="shared" si="22"/>
        <v>0</v>
      </c>
      <c r="AG24" s="5">
        <f t="shared" si="99"/>
        <v>2209.02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28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91"/>
        <v>0.9</v>
      </c>
      <c r="AT24" s="201">
        <f t="shared" si="91"/>
        <v>146</v>
      </c>
      <c r="AU24" s="425">
        <f t="shared" si="43"/>
        <v>1.1000000000000001</v>
      </c>
      <c r="AV24" s="201">
        <f t="shared" si="43"/>
        <v>190</v>
      </c>
      <c r="AW24" s="5">
        <v>2.9</v>
      </c>
      <c r="AX24" s="201">
        <f t="shared" ref="AX24" si="100">AX23</f>
        <v>170</v>
      </c>
      <c r="AY24" s="426">
        <f t="shared" si="7"/>
        <v>131.4</v>
      </c>
      <c r="AZ24" s="426">
        <f t="shared" si="28"/>
        <v>209.00000000000003</v>
      </c>
      <c r="BA24" s="426">
        <f t="shared" si="29"/>
        <v>493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618461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6741</v>
      </c>
      <c r="L25" s="274">
        <f t="shared" si="38"/>
        <v>28</v>
      </c>
      <c r="M25" s="410">
        <f t="shared" si="15"/>
        <v>457.44</v>
      </c>
      <c r="N25" s="512">
        <f t="shared" si="54"/>
        <v>0</v>
      </c>
      <c r="O25" s="410">
        <f t="shared" si="16"/>
        <v>529.52</v>
      </c>
      <c r="P25" s="512">
        <f t="shared" si="55"/>
        <v>0</v>
      </c>
      <c r="Q25" s="512">
        <f t="shared" si="56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470</v>
      </c>
      <c r="W25" s="324">
        <f t="shared" si="18"/>
        <v>0</v>
      </c>
      <c r="X25" s="5">
        <f t="shared" ref="X25:Z25" si="101">X24</f>
        <v>151398</v>
      </c>
      <c r="Y25" s="324">
        <f t="shared" si="39"/>
        <v>0</v>
      </c>
      <c r="Z25" s="5">
        <f t="shared" si="101"/>
        <v>98760</v>
      </c>
      <c r="AA25" s="83">
        <f t="shared" si="19"/>
        <v>0</v>
      </c>
      <c r="AB25" s="5">
        <f t="shared" ref="AB25:AC25" si="102">AB24</f>
        <v>261</v>
      </c>
      <c r="AC25" s="5">
        <f t="shared" si="102"/>
        <v>731</v>
      </c>
      <c r="AD25" s="83">
        <f t="shared" si="35"/>
        <v>0</v>
      </c>
      <c r="AE25" s="5">
        <f t="shared" ref="AE25:AG25" si="103">AE24</f>
        <v>229.28</v>
      </c>
      <c r="AF25" s="83">
        <f t="shared" si="22"/>
        <v>0</v>
      </c>
      <c r="AG25" s="5">
        <f t="shared" si="103"/>
        <v>2209.02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-28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91"/>
        <v>0.9</v>
      </c>
      <c r="AT25" s="201">
        <f t="shared" si="91"/>
        <v>146</v>
      </c>
      <c r="AU25" s="425">
        <f t="shared" si="43"/>
        <v>1.1000000000000001</v>
      </c>
      <c r="AV25" s="201">
        <f t="shared" si="43"/>
        <v>190</v>
      </c>
      <c r="AW25" s="5">
        <v>2.9</v>
      </c>
      <c r="AX25" s="201">
        <f t="shared" ref="AX25" si="104">AX24</f>
        <v>170</v>
      </c>
      <c r="AY25" s="426">
        <f t="shared" si="7"/>
        <v>131.4</v>
      </c>
      <c r="AZ25" s="426">
        <f t="shared" si="28"/>
        <v>209.00000000000003</v>
      </c>
      <c r="BA25" s="426">
        <f t="shared" si="29"/>
        <v>493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618461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6741</v>
      </c>
      <c r="L26" s="274">
        <f t="shared" si="38"/>
        <v>0</v>
      </c>
      <c r="M26" s="410">
        <f t="shared" si="15"/>
        <v>457.44</v>
      </c>
      <c r="N26" s="512">
        <f t="shared" si="54"/>
        <v>0</v>
      </c>
      <c r="O26" s="410">
        <f t="shared" si="16"/>
        <v>529.52</v>
      </c>
      <c r="P26" s="512">
        <f t="shared" si="55"/>
        <v>0</v>
      </c>
      <c r="Q26" s="512">
        <f t="shared" si="56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470</v>
      </c>
      <c r="W26" s="324">
        <f t="shared" si="18"/>
        <v>0</v>
      </c>
      <c r="X26" s="5">
        <f t="shared" ref="X26:Z26" si="105">X25</f>
        <v>151398</v>
      </c>
      <c r="Y26" s="324">
        <f t="shared" si="39"/>
        <v>0</v>
      </c>
      <c r="Z26" s="5">
        <f t="shared" si="105"/>
        <v>98760</v>
      </c>
      <c r="AA26" s="83">
        <f t="shared" si="19"/>
        <v>0</v>
      </c>
      <c r="AB26" s="5">
        <f t="shared" ref="AB26:AC26" si="106">AB25</f>
        <v>261</v>
      </c>
      <c r="AC26" s="5">
        <f t="shared" si="106"/>
        <v>731</v>
      </c>
      <c r="AD26" s="83">
        <f t="shared" si="35"/>
        <v>0</v>
      </c>
      <c r="AE26" s="5">
        <f t="shared" ref="AE26:AG26" si="107">AE25</f>
        <v>229.28</v>
      </c>
      <c r="AF26" s="83">
        <f t="shared" si="22"/>
        <v>0</v>
      </c>
      <c r="AG26" s="5">
        <f t="shared" si="107"/>
        <v>2209.02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91"/>
        <v>0.9</v>
      </c>
      <c r="AT26" s="201">
        <f t="shared" si="91"/>
        <v>146</v>
      </c>
      <c r="AU26" s="425">
        <f t="shared" si="43"/>
        <v>1.1000000000000001</v>
      </c>
      <c r="AV26" s="201">
        <f t="shared" si="43"/>
        <v>190</v>
      </c>
      <c r="AW26" s="5">
        <v>2.9</v>
      </c>
      <c r="AX26" s="201">
        <f t="shared" ref="AX26" si="108">AX25</f>
        <v>170</v>
      </c>
      <c r="AY26" s="426">
        <f t="shared" si="7"/>
        <v>131.4</v>
      </c>
      <c r="AZ26" s="426">
        <f t="shared" si="28"/>
        <v>209.00000000000003</v>
      </c>
      <c r="BA26" s="426">
        <f t="shared" si="29"/>
        <v>493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618461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6741</v>
      </c>
      <c r="L27" s="274">
        <f t="shared" si="38"/>
        <v>0</v>
      </c>
      <c r="M27" s="410">
        <f t="shared" si="15"/>
        <v>457.44</v>
      </c>
      <c r="N27" s="512">
        <f t="shared" si="54"/>
        <v>0</v>
      </c>
      <c r="O27" s="410">
        <f t="shared" si="16"/>
        <v>529.52</v>
      </c>
      <c r="P27" s="512">
        <f t="shared" si="55"/>
        <v>0</v>
      </c>
      <c r="Q27" s="512">
        <f t="shared" si="56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470</v>
      </c>
      <c r="W27" s="324">
        <f t="shared" si="18"/>
        <v>0</v>
      </c>
      <c r="X27" s="5">
        <f t="shared" ref="X27:Z27" si="109">X26</f>
        <v>151398</v>
      </c>
      <c r="Y27" s="324">
        <f>SUM(X27-X26)</f>
        <v>0</v>
      </c>
      <c r="Z27" s="5">
        <f t="shared" si="109"/>
        <v>98760</v>
      </c>
      <c r="AA27" s="83">
        <f t="shared" si="19"/>
        <v>0</v>
      </c>
      <c r="AB27" s="5">
        <f t="shared" ref="AB27:AC27" si="110">AB26</f>
        <v>261</v>
      </c>
      <c r="AC27" s="5">
        <f t="shared" si="110"/>
        <v>731</v>
      </c>
      <c r="AD27" s="83">
        <f t="shared" si="35"/>
        <v>0</v>
      </c>
      <c r="AE27" s="5">
        <f t="shared" ref="AE27:AG27" si="111">AE26</f>
        <v>229.28</v>
      </c>
      <c r="AF27" s="83">
        <f t="shared" si="22"/>
        <v>0</v>
      </c>
      <c r="AG27" s="5">
        <f t="shared" si="111"/>
        <v>2209.02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91"/>
        <v>0.9</v>
      </c>
      <c r="AT27" s="201">
        <f t="shared" si="91"/>
        <v>146</v>
      </c>
      <c r="AU27" s="425">
        <f t="shared" si="43"/>
        <v>1.1000000000000001</v>
      </c>
      <c r="AV27" s="201">
        <f t="shared" si="43"/>
        <v>190</v>
      </c>
      <c r="AW27" s="5">
        <v>2.9</v>
      </c>
      <c r="AX27" s="201">
        <f t="shared" ref="AX27" si="112">AX26</f>
        <v>170</v>
      </c>
      <c r="AY27" s="426">
        <f t="shared" si="7"/>
        <v>131.4</v>
      </c>
      <c r="AZ27" s="426">
        <f t="shared" si="28"/>
        <v>209.00000000000003</v>
      </c>
      <c r="BA27" s="426">
        <f t="shared" si="29"/>
        <v>493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618461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6741</v>
      </c>
      <c r="L28" s="274">
        <f t="shared" si="38"/>
        <v>0</v>
      </c>
      <c r="M28" s="410">
        <f t="shared" si="15"/>
        <v>457.44</v>
      </c>
      <c r="N28" s="512">
        <f t="shared" si="54"/>
        <v>0</v>
      </c>
      <c r="O28" s="410">
        <f t="shared" si="16"/>
        <v>529.52</v>
      </c>
      <c r="P28" s="512">
        <f t="shared" si="55"/>
        <v>0</v>
      </c>
      <c r="Q28" s="512">
        <f t="shared" si="56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470</v>
      </c>
      <c r="W28" s="324">
        <f t="shared" si="18"/>
        <v>0</v>
      </c>
      <c r="X28" s="5">
        <f t="shared" ref="X28:Z28" si="113">X27</f>
        <v>151398</v>
      </c>
      <c r="Y28" s="324">
        <f t="shared" si="39"/>
        <v>0</v>
      </c>
      <c r="Z28" s="5">
        <f t="shared" si="113"/>
        <v>98760</v>
      </c>
      <c r="AA28" s="83">
        <f t="shared" si="19"/>
        <v>0</v>
      </c>
      <c r="AB28" s="5">
        <f t="shared" ref="AB28:AC28" si="114">AB27</f>
        <v>261</v>
      </c>
      <c r="AC28" s="5">
        <f t="shared" si="114"/>
        <v>731</v>
      </c>
      <c r="AD28" s="83">
        <f t="shared" si="35"/>
        <v>0</v>
      </c>
      <c r="AE28" s="5">
        <f t="shared" ref="AE28:AG28" si="115">AE27</f>
        <v>229.28</v>
      </c>
      <c r="AF28" s="83">
        <f t="shared" si="22"/>
        <v>0</v>
      </c>
      <c r="AG28" s="5">
        <f t="shared" si="115"/>
        <v>2209.02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91"/>
        <v>0.9</v>
      </c>
      <c r="AT28" s="201">
        <f t="shared" si="91"/>
        <v>146</v>
      </c>
      <c r="AU28" s="425">
        <f t="shared" si="43"/>
        <v>1.1000000000000001</v>
      </c>
      <c r="AV28" s="201">
        <f t="shared" si="43"/>
        <v>190</v>
      </c>
      <c r="AW28" s="5">
        <v>2.9</v>
      </c>
      <c r="AX28" s="201">
        <f t="shared" ref="AX28" si="116">AX27</f>
        <v>170</v>
      </c>
      <c r="AY28" s="426">
        <f t="shared" si="7"/>
        <v>131.4</v>
      </c>
      <c r="AZ28" s="426">
        <f t="shared" si="28"/>
        <v>209.00000000000003</v>
      </c>
      <c r="BA28" s="426">
        <f t="shared" si="29"/>
        <v>493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618461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6741</v>
      </c>
      <c r="L29" s="274">
        <f t="shared" si="38"/>
        <v>0</v>
      </c>
      <c r="M29" s="410">
        <f t="shared" si="15"/>
        <v>457.44</v>
      </c>
      <c r="N29" s="512">
        <f t="shared" si="54"/>
        <v>0</v>
      </c>
      <c r="O29" s="410">
        <f t="shared" si="16"/>
        <v>529.52</v>
      </c>
      <c r="P29" s="512">
        <f t="shared" si="55"/>
        <v>0</v>
      </c>
      <c r="Q29" s="512">
        <f t="shared" si="56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470</v>
      </c>
      <c r="W29" s="324">
        <f t="shared" si="18"/>
        <v>0</v>
      </c>
      <c r="X29" s="5">
        <f t="shared" ref="X29:Z29" si="117">X28</f>
        <v>151398</v>
      </c>
      <c r="Y29" s="324">
        <f t="shared" si="39"/>
        <v>0</v>
      </c>
      <c r="Z29" s="5">
        <f t="shared" si="117"/>
        <v>98760</v>
      </c>
      <c r="AA29" s="83">
        <f t="shared" si="19"/>
        <v>0</v>
      </c>
      <c r="AB29" s="5">
        <f t="shared" ref="AB29:AC29" si="118">AB28</f>
        <v>261</v>
      </c>
      <c r="AC29" s="5">
        <f t="shared" si="118"/>
        <v>731</v>
      </c>
      <c r="AD29" s="83">
        <f t="shared" si="35"/>
        <v>0</v>
      </c>
      <c r="AE29" s="5">
        <f t="shared" ref="AE29:AG29" si="119">AE28</f>
        <v>229.28</v>
      </c>
      <c r="AF29" s="83">
        <f t="shared" si="22"/>
        <v>0</v>
      </c>
      <c r="AG29" s="5">
        <f t="shared" si="119"/>
        <v>2209.02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91"/>
        <v>0.9</v>
      </c>
      <c r="AT29" s="201">
        <f t="shared" si="91"/>
        <v>146</v>
      </c>
      <c r="AU29" s="425">
        <f t="shared" si="43"/>
        <v>1.1000000000000001</v>
      </c>
      <c r="AV29" s="201">
        <f t="shared" si="43"/>
        <v>190</v>
      </c>
      <c r="AW29" s="5">
        <v>2.9</v>
      </c>
      <c r="AX29" s="201">
        <f t="shared" ref="AX29" si="120">AX28</f>
        <v>170</v>
      </c>
      <c r="AY29" s="426">
        <f t="shared" si="7"/>
        <v>131.4</v>
      </c>
      <c r="AZ29" s="426">
        <f t="shared" si="28"/>
        <v>209.00000000000003</v>
      </c>
      <c r="BA29" s="426">
        <f t="shared" si="29"/>
        <v>493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618461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6741</v>
      </c>
      <c r="L30" s="274">
        <f t="shared" si="38"/>
        <v>0</v>
      </c>
      <c r="M30" s="410">
        <f t="shared" si="15"/>
        <v>457.44</v>
      </c>
      <c r="N30" s="512">
        <f t="shared" si="54"/>
        <v>0</v>
      </c>
      <c r="O30" s="410">
        <f t="shared" si="16"/>
        <v>529.52</v>
      </c>
      <c r="P30" s="512">
        <f t="shared" si="55"/>
        <v>0</v>
      </c>
      <c r="Q30" s="512">
        <f t="shared" si="56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470</v>
      </c>
      <c r="W30" s="324">
        <f t="shared" si="18"/>
        <v>0</v>
      </c>
      <c r="X30" s="5">
        <f t="shared" ref="X30:Z30" si="121">X29</f>
        <v>151398</v>
      </c>
      <c r="Y30" s="324">
        <f t="shared" si="39"/>
        <v>0</v>
      </c>
      <c r="Z30" s="5">
        <f t="shared" si="121"/>
        <v>98760</v>
      </c>
      <c r="AA30" s="83">
        <f t="shared" si="19"/>
        <v>0</v>
      </c>
      <c r="AB30" s="5">
        <f t="shared" ref="AB30:AC30" si="122">AB29</f>
        <v>261</v>
      </c>
      <c r="AC30" s="5">
        <f t="shared" si="122"/>
        <v>731</v>
      </c>
      <c r="AD30" s="83">
        <f t="shared" si="35"/>
        <v>0</v>
      </c>
      <c r="AE30" s="5">
        <f t="shared" ref="AE30:AG30" si="123">AE29</f>
        <v>229.28</v>
      </c>
      <c r="AF30" s="83">
        <f t="shared" si="22"/>
        <v>0</v>
      </c>
      <c r="AG30" s="5">
        <f t="shared" si="123"/>
        <v>2209.02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91"/>
        <v>0.9</v>
      </c>
      <c r="AT30" s="201">
        <f t="shared" si="91"/>
        <v>146</v>
      </c>
      <c r="AU30" s="425">
        <f t="shared" si="43"/>
        <v>1.1000000000000001</v>
      </c>
      <c r="AV30" s="201">
        <f t="shared" si="43"/>
        <v>190</v>
      </c>
      <c r="AW30" s="5">
        <v>2.9</v>
      </c>
      <c r="AX30" s="201">
        <f t="shared" ref="AX30" si="124">AX29</f>
        <v>170</v>
      </c>
      <c r="AY30" s="426">
        <f t="shared" si="7"/>
        <v>131.4</v>
      </c>
      <c r="AZ30" s="426">
        <f t="shared" si="28"/>
        <v>209.00000000000003</v>
      </c>
      <c r="BA30" s="426">
        <f t="shared" si="29"/>
        <v>493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618461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6741</v>
      </c>
      <c r="L31" s="274">
        <f t="shared" si="38"/>
        <v>0</v>
      </c>
      <c r="M31" s="410">
        <f t="shared" si="15"/>
        <v>457.44</v>
      </c>
      <c r="N31" s="512">
        <f t="shared" si="54"/>
        <v>0</v>
      </c>
      <c r="O31" s="410">
        <f t="shared" si="16"/>
        <v>529.52</v>
      </c>
      <c r="P31" s="512">
        <f t="shared" si="55"/>
        <v>0</v>
      </c>
      <c r="Q31" s="512">
        <f t="shared" si="56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470</v>
      </c>
      <c r="W31" s="324">
        <f t="shared" si="18"/>
        <v>0</v>
      </c>
      <c r="X31" s="5">
        <f t="shared" ref="X31:Z31" si="125">X30</f>
        <v>151398</v>
      </c>
      <c r="Y31" s="324">
        <f t="shared" si="39"/>
        <v>0</v>
      </c>
      <c r="Z31" s="5">
        <f t="shared" si="125"/>
        <v>98760</v>
      </c>
      <c r="AA31" s="83">
        <f t="shared" si="19"/>
        <v>0</v>
      </c>
      <c r="AB31" s="5">
        <f t="shared" ref="AB31:AC31" si="126">AB30</f>
        <v>261</v>
      </c>
      <c r="AC31" s="5">
        <f t="shared" si="126"/>
        <v>731</v>
      </c>
      <c r="AD31" s="83">
        <f t="shared" si="35"/>
        <v>0</v>
      </c>
      <c r="AE31" s="5">
        <f t="shared" ref="AE31:AG31" si="127">AE30</f>
        <v>229.28</v>
      </c>
      <c r="AF31" s="83">
        <f t="shared" si="22"/>
        <v>0</v>
      </c>
      <c r="AG31" s="5">
        <f t="shared" si="127"/>
        <v>2209.02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91"/>
        <v>0.9</v>
      </c>
      <c r="AT31" s="201">
        <f t="shared" si="91"/>
        <v>146</v>
      </c>
      <c r="AU31" s="425">
        <f t="shared" si="43"/>
        <v>1.1000000000000001</v>
      </c>
      <c r="AV31" s="201">
        <f t="shared" si="43"/>
        <v>190</v>
      </c>
      <c r="AW31" s="5">
        <v>2.9</v>
      </c>
      <c r="AX31" s="201">
        <f t="shared" ref="AX31" si="128">AX30</f>
        <v>170</v>
      </c>
      <c r="AY31" s="426">
        <f t="shared" si="7"/>
        <v>131.4</v>
      </c>
      <c r="AZ31" s="426">
        <f t="shared" si="28"/>
        <v>209.00000000000003</v>
      </c>
      <c r="BA31" s="426">
        <f t="shared" si="29"/>
        <v>493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618461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6741</v>
      </c>
      <c r="L32" s="274">
        <f t="shared" si="38"/>
        <v>0</v>
      </c>
      <c r="M32" s="410">
        <f t="shared" si="15"/>
        <v>457.44</v>
      </c>
      <c r="N32" s="512">
        <f t="shared" si="54"/>
        <v>0</v>
      </c>
      <c r="O32" s="410">
        <f t="shared" si="16"/>
        <v>529.52</v>
      </c>
      <c r="P32" s="512">
        <f t="shared" si="55"/>
        <v>0</v>
      </c>
      <c r="Q32" s="512">
        <f t="shared" si="56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470</v>
      </c>
      <c r="W32" s="324">
        <f t="shared" si="18"/>
        <v>0</v>
      </c>
      <c r="X32" s="5">
        <f t="shared" ref="X32:Z32" si="129">X31</f>
        <v>151398</v>
      </c>
      <c r="Y32" s="324">
        <f t="shared" si="39"/>
        <v>0</v>
      </c>
      <c r="Z32" s="5">
        <f t="shared" si="129"/>
        <v>98760</v>
      </c>
      <c r="AA32" s="83">
        <f t="shared" si="19"/>
        <v>0</v>
      </c>
      <c r="AB32" s="5">
        <f t="shared" ref="AB32:AC32" si="130">AB31</f>
        <v>261</v>
      </c>
      <c r="AC32" s="5">
        <f t="shared" si="130"/>
        <v>731</v>
      </c>
      <c r="AD32" s="83">
        <f t="shared" si="35"/>
        <v>0</v>
      </c>
      <c r="AE32" s="5">
        <f t="shared" ref="AE32:AG32" si="131">AE31</f>
        <v>229.28</v>
      </c>
      <c r="AF32" s="83">
        <f t="shared" si="22"/>
        <v>0</v>
      </c>
      <c r="AG32" s="5">
        <f t="shared" si="131"/>
        <v>2209.02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91"/>
        <v>0.9</v>
      </c>
      <c r="AT32" s="201">
        <f t="shared" si="91"/>
        <v>146</v>
      </c>
      <c r="AU32" s="425">
        <f t="shared" si="43"/>
        <v>1.1000000000000001</v>
      </c>
      <c r="AV32" s="201">
        <f t="shared" si="43"/>
        <v>190</v>
      </c>
      <c r="AW32" s="5">
        <v>2.9</v>
      </c>
      <c r="AX32" s="201">
        <f t="shared" ref="AX32" si="132">AX31</f>
        <v>170</v>
      </c>
      <c r="AY32" s="426">
        <f t="shared" si="7"/>
        <v>131.4</v>
      </c>
      <c r="AZ32" s="426">
        <f t="shared" si="28"/>
        <v>209.00000000000003</v>
      </c>
      <c r="BA32" s="426">
        <f t="shared" si="29"/>
        <v>493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618461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6741</v>
      </c>
      <c r="L33" s="274">
        <f t="shared" si="38"/>
        <v>0</v>
      </c>
      <c r="M33" s="410">
        <f t="shared" si="15"/>
        <v>457.44</v>
      </c>
      <c r="N33" s="512">
        <f t="shared" si="54"/>
        <v>0</v>
      </c>
      <c r="O33" s="410">
        <f t="shared" si="16"/>
        <v>529.52</v>
      </c>
      <c r="P33" s="512">
        <f t="shared" si="55"/>
        <v>0</v>
      </c>
      <c r="Q33" s="512">
        <f t="shared" si="56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470</v>
      </c>
      <c r="W33" s="324">
        <f t="shared" si="18"/>
        <v>0</v>
      </c>
      <c r="X33" s="5">
        <f t="shared" ref="X33:Z33" si="133">X32</f>
        <v>151398</v>
      </c>
      <c r="Y33" s="324">
        <f t="shared" si="39"/>
        <v>0</v>
      </c>
      <c r="Z33" s="5">
        <f t="shared" si="133"/>
        <v>98760</v>
      </c>
      <c r="AA33" s="83">
        <f t="shared" si="19"/>
        <v>0</v>
      </c>
      <c r="AB33" s="5">
        <f t="shared" ref="AB33:AC33" si="134">AB32</f>
        <v>261</v>
      </c>
      <c r="AC33" s="5">
        <f t="shared" si="134"/>
        <v>731</v>
      </c>
      <c r="AD33" s="83">
        <f t="shared" si="35"/>
        <v>0</v>
      </c>
      <c r="AE33" s="5">
        <f t="shared" ref="AE33:AG33" si="135">AE32</f>
        <v>229.28</v>
      </c>
      <c r="AF33" s="83">
        <f>AE33-AE32</f>
        <v>0</v>
      </c>
      <c r="AG33" s="5">
        <f t="shared" si="135"/>
        <v>2209.02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91"/>
        <v>0.9</v>
      </c>
      <c r="AT33" s="201">
        <f t="shared" si="91"/>
        <v>146</v>
      </c>
      <c r="AU33" s="425">
        <f t="shared" si="43"/>
        <v>1.1000000000000001</v>
      </c>
      <c r="AV33" s="201">
        <f t="shared" si="43"/>
        <v>190</v>
      </c>
      <c r="AW33" s="5">
        <v>2.9</v>
      </c>
      <c r="AX33" s="201">
        <f t="shared" ref="AX33" si="136">AX32</f>
        <v>170</v>
      </c>
      <c r="AY33" s="426">
        <f t="shared" si="7"/>
        <v>131.4</v>
      </c>
      <c r="AZ33" s="426">
        <f t="shared" si="28"/>
        <v>209.00000000000003</v>
      </c>
      <c r="BA33" s="426">
        <f t="shared" si="29"/>
        <v>493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37">B34-B33</f>
        <v>0</v>
      </c>
      <c r="D34" s="419">
        <f t="shared" ref="D34:D35" si="138">C34/27</f>
        <v>0</v>
      </c>
      <c r="E34" s="333">
        <f>SUM((C34*$E$4)+(7500/'EDl log'!$A$36))</f>
        <v>250</v>
      </c>
      <c r="F34" s="327"/>
      <c r="G34" s="5">
        <f t="shared" si="13"/>
        <v>618461</v>
      </c>
      <c r="H34" s="5">
        <f t="shared" ref="H34:H35" si="139">G34-G33</f>
        <v>0</v>
      </c>
      <c r="I34" s="5">
        <f t="shared" ref="I34:I35" si="140">C34+H34</f>
        <v>0</v>
      </c>
      <c r="J34" s="334">
        <f t="shared" ref="J34:J35" si="141">IF(I34&gt;0,E34/I34,0)</f>
        <v>0</v>
      </c>
      <c r="K34" s="5">
        <f>'Swimming Pool quality check '!H34</f>
        <v>6741</v>
      </c>
      <c r="L34" s="274">
        <f t="shared" ref="L34:L35" si="142">K34-K33</f>
        <v>0</v>
      </c>
      <c r="M34" s="410">
        <f t="shared" si="15"/>
        <v>457.44</v>
      </c>
      <c r="N34" s="512">
        <f t="shared" ref="N34:N35" si="143">SUM(M34-M33)</f>
        <v>0</v>
      </c>
      <c r="O34" s="410">
        <f t="shared" si="16"/>
        <v>529.52</v>
      </c>
      <c r="P34" s="512">
        <f t="shared" ref="P34:P35" si="144">SUM(O34-O33)</f>
        <v>0</v>
      </c>
      <c r="Q34" s="512">
        <f t="shared" ref="Q34:Q35" si="145">SUM(P34+N34)</f>
        <v>0</v>
      </c>
      <c r="R34" s="514"/>
      <c r="S34" s="514"/>
      <c r="T34" s="5">
        <f t="shared" si="17"/>
        <v>5171</v>
      </c>
      <c r="U34" s="5">
        <f t="shared" ref="U34:U35" si="146">SUM(T34-T33)</f>
        <v>0</v>
      </c>
      <c r="V34" s="5">
        <f t="shared" si="17"/>
        <v>470</v>
      </c>
      <c r="W34" s="324">
        <f t="shared" ref="W34:W35" si="147">+V34-V33</f>
        <v>0</v>
      </c>
      <c r="X34" s="5">
        <f t="shared" ref="X34:Z34" si="148">X33</f>
        <v>151398</v>
      </c>
      <c r="Y34" s="324">
        <f t="shared" ref="Y34:Y35" si="149">SUM(X34-X33)</f>
        <v>0</v>
      </c>
      <c r="Z34" s="5">
        <f t="shared" si="148"/>
        <v>98760</v>
      </c>
      <c r="AA34" s="83">
        <f t="shared" ref="AA34:AA35" si="150">Z34-Z33</f>
        <v>0</v>
      </c>
      <c r="AB34" s="5">
        <f t="shared" ref="AB34:AC34" si="151">AB33</f>
        <v>261</v>
      </c>
      <c r="AC34" s="5">
        <f t="shared" si="151"/>
        <v>731</v>
      </c>
      <c r="AD34" s="83">
        <f t="shared" ref="AD34:AD35" si="152">AC34-AC33</f>
        <v>0</v>
      </c>
      <c r="AE34" s="5">
        <f t="shared" ref="AE34:AG34" si="153">AE33</f>
        <v>229.28</v>
      </c>
      <c r="AF34" s="83">
        <f t="shared" ref="AF34:AF35" si="154">AE34-AE33</f>
        <v>0</v>
      </c>
      <c r="AG34" s="5">
        <f t="shared" si="153"/>
        <v>2209.02</v>
      </c>
      <c r="AH34" s="83">
        <f t="shared" ref="AH34:AH35" si="155">AG34-AG33</f>
        <v>0</v>
      </c>
      <c r="AI34" s="83">
        <f t="shared" ref="AI34:AI35" si="156">AF34+AH34</f>
        <v>0</v>
      </c>
      <c r="AJ34" s="326">
        <f t="shared" ref="AJ34:AJ35" si="157">+Z34-Z33</f>
        <v>0</v>
      </c>
      <c r="AK34" s="327">
        <f t="shared" ref="AK34:AK35" si="158">SUM(Y34-L34)</f>
        <v>0</v>
      </c>
      <c r="AL34" s="327">
        <f t="shared" ref="AL34:AL35" si="159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60">A34</f>
        <v>44315</v>
      </c>
      <c r="AS34" s="424">
        <f t="shared" ref="AS34:AT34" si="161">AS33</f>
        <v>0.9</v>
      </c>
      <c r="AT34" s="201">
        <f t="shared" si="161"/>
        <v>146</v>
      </c>
      <c r="AU34" s="425">
        <f t="shared" ref="AU34:AV34" si="162">AU33</f>
        <v>1.1000000000000001</v>
      </c>
      <c r="AV34" s="201">
        <f t="shared" si="162"/>
        <v>190</v>
      </c>
      <c r="AW34" s="5">
        <v>2.9</v>
      </c>
      <c r="AX34" s="201">
        <f t="shared" ref="AX34" si="163">AX33</f>
        <v>170</v>
      </c>
      <c r="AY34" s="426">
        <f t="shared" ref="AY34:AY35" si="164">AS34*AT34</f>
        <v>131.4</v>
      </c>
      <c r="AZ34" s="426">
        <f t="shared" ref="AZ34:AZ35" si="165">AU34*AV34</f>
        <v>209.00000000000003</v>
      </c>
      <c r="BA34" s="426">
        <f t="shared" ref="BA34:BA35" si="166">AW34*AX34</f>
        <v>493</v>
      </c>
      <c r="BB34" s="21">
        <f t="shared" ref="BB34:BB35" si="167">AY34-AY33</f>
        <v>0</v>
      </c>
      <c r="BC34" s="21">
        <f t="shared" ref="BC34:BC35" si="168">AZ34-AZ33</f>
        <v>0</v>
      </c>
      <c r="BD34" s="21">
        <f t="shared" ref="BD34:BD35" si="169">BA34-BA33</f>
        <v>0</v>
      </c>
      <c r="BE34" s="24">
        <f t="shared" ref="BE34:BE35" si="170">SUM(BB34:BD34)</f>
        <v>0</v>
      </c>
      <c r="BF34" s="96">
        <f t="shared" ref="BF34:BF35" si="171">SUM(I34-BE34)</f>
        <v>0</v>
      </c>
      <c r="BG34" s="82">
        <f t="shared" ref="BG34:BG35" si="172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37"/>
        <v>0</v>
      </c>
      <c r="D35" s="419">
        <f t="shared" si="138"/>
        <v>0</v>
      </c>
      <c r="E35" s="333">
        <f>SUM((C35*$E$4)+(7500/'EDl log'!$A$36))</f>
        <v>250</v>
      </c>
      <c r="F35" s="327"/>
      <c r="G35" s="5">
        <f t="shared" si="13"/>
        <v>618461</v>
      </c>
      <c r="H35" s="5">
        <f t="shared" si="139"/>
        <v>0</v>
      </c>
      <c r="I35" s="5">
        <f t="shared" si="140"/>
        <v>0</v>
      </c>
      <c r="J35" s="334">
        <f t="shared" si="141"/>
        <v>0</v>
      </c>
      <c r="K35" s="5">
        <f>'Swimming Pool quality check '!H35</f>
        <v>6741</v>
      </c>
      <c r="L35" s="274">
        <f t="shared" si="142"/>
        <v>0</v>
      </c>
      <c r="M35" s="410">
        <f t="shared" si="15"/>
        <v>457.44</v>
      </c>
      <c r="N35" s="512">
        <f t="shared" si="143"/>
        <v>0</v>
      </c>
      <c r="O35" s="410">
        <f t="shared" si="16"/>
        <v>529.52</v>
      </c>
      <c r="P35" s="512">
        <f t="shared" si="144"/>
        <v>0</v>
      </c>
      <c r="Q35" s="512">
        <f t="shared" si="145"/>
        <v>0</v>
      </c>
      <c r="R35" s="514"/>
      <c r="S35" s="514"/>
      <c r="T35" s="5">
        <f t="shared" si="17"/>
        <v>5171</v>
      </c>
      <c r="U35" s="5">
        <f t="shared" si="146"/>
        <v>0</v>
      </c>
      <c r="V35" s="5">
        <f t="shared" si="17"/>
        <v>470</v>
      </c>
      <c r="W35" s="324">
        <f t="shared" si="147"/>
        <v>0</v>
      </c>
      <c r="X35" s="5">
        <f t="shared" ref="X35:Z35" si="173">X34</f>
        <v>151398</v>
      </c>
      <c r="Y35" s="324">
        <f t="shared" si="149"/>
        <v>0</v>
      </c>
      <c r="Z35" s="5">
        <f t="shared" si="173"/>
        <v>98760</v>
      </c>
      <c r="AA35" s="83">
        <f t="shared" si="150"/>
        <v>0</v>
      </c>
      <c r="AB35" s="5">
        <f t="shared" ref="AB35:AC35" si="174">AB34</f>
        <v>261</v>
      </c>
      <c r="AC35" s="5">
        <f t="shared" si="174"/>
        <v>731</v>
      </c>
      <c r="AD35" s="83">
        <f t="shared" si="152"/>
        <v>0</v>
      </c>
      <c r="AE35" s="5">
        <f t="shared" ref="AE35:AG35" si="175">AE34</f>
        <v>229.28</v>
      </c>
      <c r="AF35" s="83">
        <f t="shared" si="154"/>
        <v>0</v>
      </c>
      <c r="AG35" s="5">
        <f t="shared" si="175"/>
        <v>2209.02</v>
      </c>
      <c r="AH35" s="83">
        <f t="shared" si="155"/>
        <v>0</v>
      </c>
      <c r="AI35" s="83">
        <f t="shared" si="156"/>
        <v>0</v>
      </c>
      <c r="AJ35" s="326">
        <f t="shared" si="157"/>
        <v>0</v>
      </c>
      <c r="AK35" s="327">
        <f t="shared" si="158"/>
        <v>0</v>
      </c>
      <c r="AL35" s="327">
        <f t="shared" si="159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60"/>
        <v>44316</v>
      </c>
      <c r="AS35" s="424">
        <f t="shared" ref="AS35:AT35" si="176">AS34</f>
        <v>0.9</v>
      </c>
      <c r="AT35" s="201">
        <f t="shared" si="176"/>
        <v>146</v>
      </c>
      <c r="AU35" s="425">
        <f t="shared" ref="AU35:AV35" si="177">AU34</f>
        <v>1.1000000000000001</v>
      </c>
      <c r="AV35" s="201">
        <f t="shared" si="177"/>
        <v>190</v>
      </c>
      <c r="AW35" s="5">
        <v>2.9</v>
      </c>
      <c r="AX35" s="201">
        <f t="shared" ref="AX35" si="178">AX34</f>
        <v>170</v>
      </c>
      <c r="AY35" s="426">
        <f t="shared" si="164"/>
        <v>131.4</v>
      </c>
      <c r="AZ35" s="426">
        <f t="shared" si="165"/>
        <v>209.00000000000003</v>
      </c>
      <c r="BA35" s="426">
        <f t="shared" si="166"/>
        <v>493</v>
      </c>
      <c r="BB35" s="21">
        <f t="shared" si="167"/>
        <v>0</v>
      </c>
      <c r="BC35" s="21">
        <f t="shared" si="168"/>
        <v>0</v>
      </c>
      <c r="BD35" s="21">
        <f t="shared" si="169"/>
        <v>0</v>
      </c>
      <c r="BE35" s="24">
        <f t="shared" si="170"/>
        <v>0</v>
      </c>
      <c r="BF35" s="96">
        <f t="shared" si="171"/>
        <v>0</v>
      </c>
      <c r="BG35" s="82">
        <f t="shared" si="172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398</v>
      </c>
      <c r="I36" s="412">
        <f>SUM(I6:I33)</f>
        <v>398</v>
      </c>
      <c r="L36" s="268">
        <f>SUM(L7:L33)</f>
        <v>8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63</v>
      </c>
      <c r="AK36" s="327" t="e">
        <f>SUM(Y36-L36)</f>
        <v>#REF!</v>
      </c>
      <c r="AL36" s="322">
        <f>SUM(AL6:AL33)</f>
        <v>62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398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398</v>
      </c>
      <c r="H38" s="1">
        <f>SUM(H37+C37)</f>
        <v>7500</v>
      </c>
      <c r="K38" s="1">
        <f>SUM(H38/G38)</f>
        <v>18.844221105527637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RowHeight="15"/>
  <cols>
    <col min="1" max="1" width="11.85546875" style="48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>
        <v>20</v>
      </c>
      <c r="C13" s="37">
        <v>17</v>
      </c>
      <c r="D13" s="26">
        <f>(C13+B13)/2</f>
        <v>18.5</v>
      </c>
      <c r="E13" s="354">
        <v>0.81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>
        <v>20</v>
      </c>
      <c r="C14" s="37">
        <v>16</v>
      </c>
      <c r="D14" s="26">
        <f t="shared" ref="D14:D33" si="3">(C14+B14)/2</f>
        <v>18</v>
      </c>
      <c r="E14" s="340">
        <v>0.66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>
        <v>16</v>
      </c>
      <c r="C15" s="37">
        <v>14</v>
      </c>
      <c r="D15" s="26">
        <f t="shared" si="3"/>
        <v>15</v>
      </c>
      <c r="E15" s="340">
        <v>0.56000000000000005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>
        <v>16</v>
      </c>
      <c r="C17" s="37">
        <v>13</v>
      </c>
      <c r="D17" s="26">
        <f t="shared" si="3"/>
        <v>14.5</v>
      </c>
      <c r="E17" s="340">
        <v>0.71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>
        <v>18</v>
      </c>
      <c r="C18" s="37">
        <v>11</v>
      </c>
      <c r="D18" s="26">
        <f t="shared" si="3"/>
        <v>14.5</v>
      </c>
      <c r="E18" s="427">
        <v>0.53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>
        <v>20</v>
      </c>
      <c r="C19" s="37">
        <v>12</v>
      </c>
      <c r="D19" s="26">
        <f t="shared" si="3"/>
        <v>16</v>
      </c>
      <c r="E19" s="340">
        <v>0.53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>
        <v>24</v>
      </c>
      <c r="C20" s="37">
        <v>14</v>
      </c>
      <c r="D20" s="26">
        <f t="shared" si="3"/>
        <v>19</v>
      </c>
      <c r="E20" s="340">
        <v>0.62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16.833333333333332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O1" activePane="topRight" state="frozen"/>
      <selection pane="topRight" activeCell="AU20" sqref="AU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233</v>
      </c>
      <c r="AT3" s="638" t="s">
        <v>301</v>
      </c>
      <c r="AU3" s="639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4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4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4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0.34424999999995032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4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0.27572916666662828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4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4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4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1154.8818565403392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222</v>
      </c>
      <c r="C13" s="203">
        <f t="shared" si="18"/>
        <v>4776.5806451612898</v>
      </c>
      <c r="D13">
        <f t="shared" si="19"/>
        <v>222</v>
      </c>
      <c r="E13" s="203">
        <f t="shared" si="18"/>
        <v>4776.5806451612898</v>
      </c>
      <c r="F13">
        <f t="shared" si="20"/>
        <v>222</v>
      </c>
      <c r="G13" s="203">
        <f t="shared" si="1"/>
        <v>4776.5806451612898</v>
      </c>
      <c r="H13" s="203">
        <f t="shared" si="21"/>
        <v>222</v>
      </c>
      <c r="I13" s="203">
        <f t="shared" si="2"/>
        <v>4776.5806451612898</v>
      </c>
      <c r="J13" s="203">
        <f t="shared" si="22"/>
        <v>222</v>
      </c>
      <c r="K13" s="203">
        <f t="shared" si="3"/>
        <v>4776.5806451612898</v>
      </c>
      <c r="L13" s="203">
        <f t="shared" si="23"/>
        <v>222</v>
      </c>
      <c r="M13" s="203">
        <f t="shared" si="4"/>
        <v>4776.5806451612898</v>
      </c>
      <c r="N13" s="203">
        <f t="shared" si="24"/>
        <v>222</v>
      </c>
      <c r="O13" s="203">
        <f t="shared" si="5"/>
        <v>4776.5806451612898</v>
      </c>
      <c r="P13" s="203">
        <f t="shared" si="25"/>
        <v>222</v>
      </c>
      <c r="Q13" s="203">
        <f t="shared" si="6"/>
        <v>4776.5806451612898</v>
      </c>
      <c r="R13" s="203">
        <f t="shared" si="26"/>
        <v>222</v>
      </c>
      <c r="S13" s="203">
        <f t="shared" si="7"/>
        <v>4776.5806451612898</v>
      </c>
      <c r="T13" s="203">
        <f t="shared" si="27"/>
        <v>222</v>
      </c>
      <c r="U13" s="203">
        <f t="shared" si="8"/>
        <v>4776.5806451612898</v>
      </c>
      <c r="V13" s="203">
        <f t="shared" si="28"/>
        <v>222</v>
      </c>
      <c r="W13" s="203">
        <f t="shared" si="9"/>
        <v>4776.5806451612898</v>
      </c>
      <c r="X13" s="35">
        <f t="shared" si="10"/>
        <v>0.71612903225806424</v>
      </c>
      <c r="Y13" s="36">
        <f t="shared" si="29"/>
        <v>52542.387096774175</v>
      </c>
      <c r="Z13" s="203">
        <f>'B5'!C12</f>
        <v>228</v>
      </c>
      <c r="AA13" s="203">
        <f t="shared" si="30"/>
        <v>2280</v>
      </c>
      <c r="AB13" s="203">
        <f t="shared" si="31"/>
        <v>228</v>
      </c>
      <c r="AC13" s="203">
        <f t="shared" si="30"/>
        <v>2280</v>
      </c>
      <c r="AD13" s="203">
        <f t="shared" si="32"/>
        <v>228</v>
      </c>
      <c r="AE13" s="203">
        <f t="shared" si="11"/>
        <v>2280</v>
      </c>
      <c r="AF13" s="203">
        <f t="shared" si="33"/>
        <v>228</v>
      </c>
      <c r="AG13" s="203">
        <f t="shared" si="12"/>
        <v>2280</v>
      </c>
      <c r="AH13" s="203">
        <f t="shared" si="34"/>
        <v>228</v>
      </c>
      <c r="AI13" s="203">
        <f t="shared" si="13"/>
        <v>2280</v>
      </c>
      <c r="AJ13" s="203">
        <f t="shared" si="35"/>
        <v>228</v>
      </c>
      <c r="AK13" s="203">
        <f t="shared" si="14"/>
        <v>2280</v>
      </c>
      <c r="AL13" s="203">
        <f t="shared" si="36"/>
        <v>228</v>
      </c>
      <c r="AM13" s="203">
        <f t="shared" si="15"/>
        <v>2280</v>
      </c>
      <c r="AN13" s="35">
        <f t="shared" si="16"/>
        <v>0.81428571428571428</v>
      </c>
      <c r="AO13" s="36">
        <f t="shared" si="17"/>
        <v>15960</v>
      </c>
      <c r="AP13" s="561"/>
      <c r="AQ13" s="223">
        <f t="shared" si="37"/>
        <v>0.73682249216708817</v>
      </c>
      <c r="AR13" s="38">
        <f t="shared" si="42"/>
        <v>68502.387096774182</v>
      </c>
      <c r="AS13" s="197">
        <f t="shared" si="38"/>
        <v>-1910.0645161290595</v>
      </c>
      <c r="AT13" s="271"/>
      <c r="AU13" s="604"/>
      <c r="AV13" s="516">
        <f t="shared" si="43"/>
        <v>0.96</v>
      </c>
      <c r="AW13" s="290">
        <f>-SUM('B5'!AI12)</f>
        <v>-416</v>
      </c>
      <c r="AX13" s="290">
        <f t="shared" si="39"/>
        <v>-1494.0645161290595</v>
      </c>
      <c r="AY13" s="37">
        <f t="shared" si="40"/>
        <v>-1910.0645161290595</v>
      </c>
      <c r="AZ13" s="100">
        <f>ELEC!A10</f>
        <v>0</v>
      </c>
      <c r="BA13" s="118">
        <f>'General information '!D13</f>
        <v>18.5</v>
      </c>
      <c r="BB13" s="394">
        <f>SUM('General information '!E13)</f>
        <v>0.81</v>
      </c>
      <c r="BC13" s="3">
        <f t="shared" si="44"/>
        <v>0</v>
      </c>
      <c r="BD13" s="102">
        <v>19222</v>
      </c>
      <c r="BE13" s="14">
        <f>(305/1185)*ELEC!Q11</f>
        <v>1065.5696202530148</v>
      </c>
      <c r="BF13" s="14"/>
      <c r="BG13" s="14" t="e">
        <f>#REF!-BE13</f>
        <v>#REF!</v>
      </c>
      <c r="BH13" s="11"/>
      <c r="BI13">
        <v>5</v>
      </c>
      <c r="BJ13">
        <f t="shared" si="41"/>
        <v>-298.81290322581191</v>
      </c>
      <c r="BK13" s="592">
        <f>GEN!AF10</f>
        <v>0.40062500000008833</v>
      </c>
    </row>
    <row r="14" spans="1:63">
      <c r="A14" s="443">
        <f>ELEC!C11</f>
        <v>44295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7"/>
        <v>0.72032913843175217</v>
      </c>
      <c r="AR14" s="38">
        <f t="shared" si="42"/>
        <v>66969</v>
      </c>
      <c r="AS14" s="197">
        <f>SUM(AR14-AR13-AT14)</f>
        <v>-1533.3870967741823</v>
      </c>
      <c r="AT14" s="271"/>
      <c r="AU14" s="604"/>
      <c r="AV14" s="516">
        <f t="shared" si="43"/>
        <v>0.96</v>
      </c>
      <c r="AW14" s="290">
        <f>-SUM('B5'!AI13)</f>
        <v>-326</v>
      </c>
      <c r="AX14" s="290">
        <f t="shared" si="39"/>
        <v>-1207.3870967741823</v>
      </c>
      <c r="AY14" s="37">
        <f t="shared" si="40"/>
        <v>-1533.3870967741823</v>
      </c>
      <c r="AZ14" s="100">
        <f>ELEC!A11</f>
        <v>0</v>
      </c>
      <c r="BA14" s="118">
        <f>'General information '!D14</f>
        <v>18</v>
      </c>
      <c r="BB14" s="394">
        <f>SUM('General information '!E14)</f>
        <v>0.66</v>
      </c>
      <c r="BC14" s="3">
        <f t="shared" si="44"/>
        <v>0</v>
      </c>
      <c r="BD14" s="102">
        <v>19222</v>
      </c>
      <c r="BE14" s="14">
        <f>(305/1185)*ELEC!Q12</f>
        <v>729.68354430357283</v>
      </c>
      <c r="BF14" s="14"/>
      <c r="BG14" s="14" t="e">
        <f>#REF!-BE14</f>
        <v>#REF!</v>
      </c>
      <c r="BH14" s="11"/>
      <c r="BI14">
        <v>3</v>
      </c>
      <c r="BJ14">
        <f t="shared" si="41"/>
        <v>-402.46236559139408</v>
      </c>
      <c r="BK14" s="592">
        <f>GEN!AF11</f>
        <v>0.4312499999999394</v>
      </c>
    </row>
    <row r="15" spans="1:63" ht="13.5" customHeight="1">
      <c r="A15" s="443">
        <f>ELEC!C12</f>
        <v>44296</v>
      </c>
      <c r="B15">
        <f>'B5'!B14</f>
        <v>211</v>
      </c>
      <c r="C15" s="203">
        <f t="shared" si="18"/>
        <v>4539.9032258064517</v>
      </c>
      <c r="D15">
        <f t="shared" si="19"/>
        <v>211</v>
      </c>
      <c r="E15" s="203">
        <f t="shared" si="18"/>
        <v>4539.9032258064517</v>
      </c>
      <c r="F15">
        <f t="shared" si="20"/>
        <v>211</v>
      </c>
      <c r="G15" s="203">
        <f t="shared" si="1"/>
        <v>4539.9032258064517</v>
      </c>
      <c r="H15" s="203">
        <f t="shared" si="21"/>
        <v>211</v>
      </c>
      <c r="I15" s="203">
        <f t="shared" si="2"/>
        <v>4539.9032258064517</v>
      </c>
      <c r="J15" s="203">
        <f t="shared" si="22"/>
        <v>211</v>
      </c>
      <c r="K15" s="203">
        <f t="shared" si="3"/>
        <v>4539.9032258064517</v>
      </c>
      <c r="L15" s="203">
        <f t="shared" si="23"/>
        <v>211</v>
      </c>
      <c r="M15" s="203">
        <f t="shared" si="4"/>
        <v>4539.9032258064517</v>
      </c>
      <c r="N15" s="203">
        <f t="shared" si="24"/>
        <v>211</v>
      </c>
      <c r="O15" s="203">
        <f t="shared" si="5"/>
        <v>4539.9032258064517</v>
      </c>
      <c r="P15" s="203">
        <f t="shared" si="25"/>
        <v>211</v>
      </c>
      <c r="Q15" s="203">
        <f t="shared" si="6"/>
        <v>4539.9032258064517</v>
      </c>
      <c r="R15" s="203">
        <f t="shared" si="26"/>
        <v>211</v>
      </c>
      <c r="S15" s="203">
        <f t="shared" si="7"/>
        <v>4539.9032258064517</v>
      </c>
      <c r="T15" s="203">
        <f t="shared" si="27"/>
        <v>211</v>
      </c>
      <c r="U15" s="203">
        <f t="shared" si="8"/>
        <v>4539.9032258064517</v>
      </c>
      <c r="V15" s="203">
        <f t="shared" si="28"/>
        <v>211</v>
      </c>
      <c r="W15" s="203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3">
        <f>'B5'!C14</f>
        <v>218</v>
      </c>
      <c r="AA15" s="203">
        <f t="shared" si="30"/>
        <v>2180</v>
      </c>
      <c r="AB15" s="203">
        <f t="shared" si="31"/>
        <v>218</v>
      </c>
      <c r="AC15" s="203">
        <f t="shared" si="30"/>
        <v>2180</v>
      </c>
      <c r="AD15" s="203">
        <f t="shared" si="32"/>
        <v>218</v>
      </c>
      <c r="AE15" s="203">
        <f t="shared" si="11"/>
        <v>2180</v>
      </c>
      <c r="AF15" s="203">
        <f t="shared" si="33"/>
        <v>218</v>
      </c>
      <c r="AG15" s="203">
        <f t="shared" si="12"/>
        <v>2180</v>
      </c>
      <c r="AH15" s="203">
        <f t="shared" si="34"/>
        <v>218</v>
      </c>
      <c r="AI15" s="203">
        <f t="shared" si="13"/>
        <v>2180</v>
      </c>
      <c r="AJ15" s="203">
        <f t="shared" si="35"/>
        <v>218</v>
      </c>
      <c r="AK15" s="203">
        <f t="shared" si="14"/>
        <v>2180</v>
      </c>
      <c r="AL15" s="203">
        <f t="shared" si="36"/>
        <v>218</v>
      </c>
      <c r="AM15" s="203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3">
        <f t="shared" si="37"/>
        <v>0.70129004500237691</v>
      </c>
      <c r="AR15" s="38">
        <f t="shared" si="42"/>
        <v>65198.935483870977</v>
      </c>
      <c r="AS15" s="197">
        <f>SUM(AR15-AR14-AT15)</f>
        <v>-1770.0645161290231</v>
      </c>
      <c r="AT15" s="271"/>
      <c r="AU15" s="604"/>
      <c r="AV15" s="516">
        <f>IF(AT15&gt;0,AU15,AV14)</f>
        <v>0.96</v>
      </c>
      <c r="AW15" s="290">
        <f>-SUM('B5'!AI14)</f>
        <v>-409</v>
      </c>
      <c r="AX15" s="290">
        <f>-SUM(AW15-AS15)</f>
        <v>-1361.0645161290231</v>
      </c>
      <c r="AY15" s="37">
        <f t="shared" si="40"/>
        <v>-1770.0645161290231</v>
      </c>
      <c r="AZ15" s="100">
        <f>ELEC!A12</f>
        <v>0</v>
      </c>
      <c r="BA15" s="118">
        <f>'General information '!D15</f>
        <v>15</v>
      </c>
      <c r="BB15" s="394">
        <f>SUM('General information '!E15)</f>
        <v>0.56000000000000005</v>
      </c>
      <c r="BC15" s="3">
        <f t="shared" si="44"/>
        <v>0</v>
      </c>
      <c r="BD15" s="102">
        <v>19222</v>
      </c>
      <c r="BE15" s="14">
        <f>(305/1185)*ELEC!Q13</f>
        <v>793.51476793309632</v>
      </c>
      <c r="BF15" s="14"/>
      <c r="BG15" s="14" t="e">
        <f>#REF!-BE15</f>
        <v>#REF!</v>
      </c>
      <c r="BH15" s="11"/>
      <c r="BI15">
        <v>4</v>
      </c>
      <c r="BJ15">
        <f t="shared" si="41"/>
        <v>-340.26612903225578</v>
      </c>
      <c r="BK15" s="592">
        <f>GEN!AF12</f>
        <v>0.25312499999992205</v>
      </c>
    </row>
    <row r="16" spans="1:63">
      <c r="A16" s="443">
        <f>ELEC!C13</f>
        <v>44297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3">
        <f t="shared" si="37"/>
        <v>0.68734243096107994</v>
      </c>
      <c r="AR16" s="38">
        <f t="shared" si="42"/>
        <v>63902.225806451606</v>
      </c>
      <c r="AS16" s="197">
        <f>SUM(AR16-AR15-AT16)</f>
        <v>-1296.7096774193706</v>
      </c>
      <c r="AT16" s="355"/>
      <c r="AU16" s="604"/>
      <c r="AV16" s="516">
        <f>IF(AT16&gt;0,AU16,AV15)</f>
        <v>0.96</v>
      </c>
      <c r="AW16" s="290">
        <f>-SUM('B5'!AI15)</f>
        <v>-368</v>
      </c>
      <c r="AX16" s="290">
        <f>-SUM(AW16-AS16)</f>
        <v>-928.70967741937056</v>
      </c>
      <c r="AY16" s="37">
        <f t="shared" si="40"/>
        <v>-1296.7096774193706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1118.848101265291</v>
      </c>
      <c r="BF16" s="14"/>
      <c r="BG16" s="14" t="e">
        <f>#REF!-BE16</f>
        <v>#REF!</v>
      </c>
      <c r="BH16" s="11"/>
      <c r="BI16">
        <v>3</v>
      </c>
      <c r="BJ16">
        <f t="shared" si="41"/>
        <v>-309.5698924731235</v>
      </c>
      <c r="BK16" s="592">
        <f>GEN!AF13</f>
        <v>0.32114583333357893</v>
      </c>
    </row>
    <row r="17" spans="1:61">
      <c r="A17" s="443">
        <f>ELEC!C14</f>
        <v>44298</v>
      </c>
      <c r="B17">
        <f>'B5'!B16</f>
        <v>200</v>
      </c>
      <c r="C17" s="203">
        <f t="shared" si="18"/>
        <v>4303.2258064516127</v>
      </c>
      <c r="D17">
        <f t="shared" si="19"/>
        <v>200</v>
      </c>
      <c r="E17" s="203">
        <f t="shared" si="18"/>
        <v>4303.2258064516127</v>
      </c>
      <c r="F17">
        <f t="shared" si="20"/>
        <v>200</v>
      </c>
      <c r="G17" s="203">
        <f t="shared" si="1"/>
        <v>4303.2258064516127</v>
      </c>
      <c r="H17" s="203">
        <f t="shared" si="21"/>
        <v>200</v>
      </c>
      <c r="I17" s="203">
        <f t="shared" si="2"/>
        <v>4303.2258064516127</v>
      </c>
      <c r="J17" s="203">
        <f t="shared" si="22"/>
        <v>200</v>
      </c>
      <c r="K17" s="203">
        <f t="shared" si="3"/>
        <v>4303.2258064516127</v>
      </c>
      <c r="L17" s="203">
        <f t="shared" si="23"/>
        <v>200</v>
      </c>
      <c r="M17" s="203">
        <f t="shared" si="4"/>
        <v>4303.2258064516127</v>
      </c>
      <c r="N17" s="203">
        <f t="shared" si="24"/>
        <v>200</v>
      </c>
      <c r="O17" s="203">
        <f t="shared" si="5"/>
        <v>4303.2258064516127</v>
      </c>
      <c r="P17" s="203">
        <f t="shared" si="25"/>
        <v>200</v>
      </c>
      <c r="Q17" s="203">
        <f t="shared" si="6"/>
        <v>4303.2258064516127</v>
      </c>
      <c r="R17" s="203">
        <f t="shared" si="26"/>
        <v>200</v>
      </c>
      <c r="S17" s="203">
        <f t="shared" si="7"/>
        <v>4303.2258064516127</v>
      </c>
      <c r="T17" s="203">
        <f t="shared" si="27"/>
        <v>200</v>
      </c>
      <c r="U17" s="203">
        <f t="shared" si="8"/>
        <v>4303.2258064516127</v>
      </c>
      <c r="V17" s="203">
        <f t="shared" si="28"/>
        <v>200</v>
      </c>
      <c r="W17" s="203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3">
        <f>'B5'!C16</f>
        <v>207</v>
      </c>
      <c r="AA17" s="203">
        <f t="shared" si="30"/>
        <v>2070</v>
      </c>
      <c r="AB17" s="203">
        <f t="shared" si="31"/>
        <v>207</v>
      </c>
      <c r="AC17" s="203">
        <f t="shared" si="30"/>
        <v>2070</v>
      </c>
      <c r="AD17" s="203">
        <f t="shared" si="32"/>
        <v>207</v>
      </c>
      <c r="AE17" s="203">
        <f t="shared" si="11"/>
        <v>2070</v>
      </c>
      <c r="AF17" s="203">
        <f t="shared" si="33"/>
        <v>207</v>
      </c>
      <c r="AG17" s="203">
        <f t="shared" si="12"/>
        <v>2070</v>
      </c>
      <c r="AH17" s="203">
        <f t="shared" si="34"/>
        <v>207</v>
      </c>
      <c r="AI17" s="203">
        <f t="shared" si="13"/>
        <v>2070</v>
      </c>
      <c r="AJ17" s="203">
        <f t="shared" si="35"/>
        <v>207</v>
      </c>
      <c r="AK17" s="203">
        <f t="shared" si="14"/>
        <v>2070</v>
      </c>
      <c r="AL17" s="203">
        <f t="shared" si="36"/>
        <v>207</v>
      </c>
      <c r="AM17" s="203">
        <f t="shared" si="15"/>
        <v>2070</v>
      </c>
      <c r="AN17" s="35">
        <f t="shared" si="16"/>
        <v>0.73928571428571432</v>
      </c>
      <c r="AO17" s="36">
        <f>SUM(AA17+AC17+AE17+AG17+AI17+AK17+AM17)</f>
        <v>14490</v>
      </c>
      <c r="AQ17" s="223">
        <f t="shared" si="37"/>
        <v>0.66500466678463743</v>
      </c>
      <c r="AR17" s="38">
        <f t="shared" si="42"/>
        <v>61825.483870967742</v>
      </c>
      <c r="AS17" s="197">
        <f t="shared" si="38"/>
        <v>-2076.7419354838639</v>
      </c>
      <c r="AT17" s="355"/>
      <c r="AU17" s="604"/>
      <c r="AV17" s="516">
        <f t="shared" si="43"/>
        <v>0.96</v>
      </c>
      <c r="AW17" s="290">
        <f>-SUM('B5'!AI16)</f>
        <v>-367</v>
      </c>
      <c r="AX17" s="290">
        <f t="shared" si="39"/>
        <v>-1709.7419354838639</v>
      </c>
      <c r="AY17" s="37">
        <f t="shared" si="40"/>
        <v>-2076.7419354838639</v>
      </c>
      <c r="AZ17" s="100">
        <f>ELEC!A14</f>
        <v>0</v>
      </c>
      <c r="BA17" s="118">
        <f>'General information '!D17</f>
        <v>14.5</v>
      </c>
      <c r="BB17" s="394">
        <f>SUM('General information '!E17)</f>
        <v>0.71</v>
      </c>
      <c r="BC17" s="3">
        <f t="shared" si="44"/>
        <v>0</v>
      </c>
      <c r="BD17" s="102">
        <v>19222</v>
      </c>
      <c r="BE17" s="14">
        <f>(305/1185)*ELEC!Q15</f>
        <v>838.04219409314169</v>
      </c>
      <c r="BF17" s="14"/>
      <c r="BG17" s="14" t="e">
        <f>#REF!-BE17</f>
        <v>#REF!</v>
      </c>
      <c r="BH17" s="11"/>
    </row>
    <row r="18" spans="1:61">
      <c r="A18" s="443">
        <f>ELEC!C15</f>
        <v>44299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17"/>
        <v>14140</v>
      </c>
      <c r="AQ18" s="223">
        <f t="shared" si="37"/>
        <v>0.64851131304930154</v>
      </c>
      <c r="AR18" s="38">
        <f t="shared" si="42"/>
        <v>60292.09677419356</v>
      </c>
      <c r="AS18" s="197">
        <f t="shared" si="38"/>
        <v>-1533.3870967741823</v>
      </c>
      <c r="AT18" s="271"/>
      <c r="AU18" s="604"/>
      <c r="AV18" s="516">
        <f>IF(AT18&gt;0,AU18,AV17)</f>
        <v>0.96</v>
      </c>
      <c r="AW18" s="290">
        <f>-SUM('B5'!AI17)</f>
        <v>-113</v>
      </c>
      <c r="AX18" s="290">
        <f t="shared" si="39"/>
        <v>-1420.3870967741823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14.5</v>
      </c>
      <c r="BB18" s="394">
        <f>SUM('General information '!E18)</f>
        <v>0.53</v>
      </c>
      <c r="BC18" s="3">
        <f t="shared" si="44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43">
        <f>ELEC!C16</f>
        <v>44300</v>
      </c>
      <c r="B19">
        <f>'B5'!B18</f>
        <v>246</v>
      </c>
      <c r="C19" s="203">
        <f t="shared" si="18"/>
        <v>5292.9677419354839</v>
      </c>
      <c r="D19">
        <f t="shared" si="19"/>
        <v>246</v>
      </c>
      <c r="E19" s="203">
        <f t="shared" si="18"/>
        <v>5292.9677419354839</v>
      </c>
      <c r="F19">
        <f t="shared" si="20"/>
        <v>246</v>
      </c>
      <c r="G19" s="203">
        <f t="shared" si="1"/>
        <v>5292.9677419354839</v>
      </c>
      <c r="H19" s="203">
        <f t="shared" si="21"/>
        <v>246</v>
      </c>
      <c r="I19" s="203">
        <f t="shared" si="2"/>
        <v>5292.9677419354839</v>
      </c>
      <c r="J19" s="203">
        <f t="shared" si="22"/>
        <v>246</v>
      </c>
      <c r="K19" s="203">
        <f t="shared" si="3"/>
        <v>5292.9677419354839</v>
      </c>
      <c r="L19" s="203">
        <f t="shared" si="23"/>
        <v>246</v>
      </c>
      <c r="M19" s="203">
        <f t="shared" si="4"/>
        <v>5292.9677419354839</v>
      </c>
      <c r="N19" s="203">
        <f t="shared" si="24"/>
        <v>246</v>
      </c>
      <c r="O19" s="203">
        <f t="shared" si="5"/>
        <v>5292.9677419354839</v>
      </c>
      <c r="P19" s="203">
        <f t="shared" si="25"/>
        <v>246</v>
      </c>
      <c r="Q19" s="203">
        <f t="shared" si="6"/>
        <v>5292.9677419354839</v>
      </c>
      <c r="R19" s="203">
        <f t="shared" si="26"/>
        <v>246</v>
      </c>
      <c r="S19" s="203">
        <f t="shared" si="7"/>
        <v>5292.9677419354839</v>
      </c>
      <c r="T19" s="203">
        <f t="shared" si="27"/>
        <v>246</v>
      </c>
      <c r="U19" s="203">
        <f t="shared" si="8"/>
        <v>5292.9677419354839</v>
      </c>
      <c r="V19" s="203">
        <f t="shared" si="28"/>
        <v>246</v>
      </c>
      <c r="W19" s="203">
        <f t="shared" si="9"/>
        <v>5292.9677419354839</v>
      </c>
      <c r="X19" s="35">
        <f t="shared" si="10"/>
        <v>0.79354838709677422</v>
      </c>
      <c r="Y19" s="36">
        <f t="shared" si="29"/>
        <v>58222.645161290326</v>
      </c>
      <c r="Z19" s="203">
        <f>'B5'!C18</f>
        <v>252</v>
      </c>
      <c r="AA19" s="203">
        <f t="shared" si="30"/>
        <v>2520</v>
      </c>
      <c r="AB19" s="203">
        <f t="shared" si="31"/>
        <v>252</v>
      </c>
      <c r="AC19" s="203">
        <f t="shared" si="30"/>
        <v>2520</v>
      </c>
      <c r="AD19" s="203">
        <f t="shared" si="32"/>
        <v>252</v>
      </c>
      <c r="AE19" s="203">
        <f t="shared" si="11"/>
        <v>2520</v>
      </c>
      <c r="AF19" s="203">
        <f t="shared" si="33"/>
        <v>252</v>
      </c>
      <c r="AG19" s="203">
        <f t="shared" si="12"/>
        <v>2520</v>
      </c>
      <c r="AH19" s="203">
        <f t="shared" si="34"/>
        <v>252</v>
      </c>
      <c r="AI19" s="203">
        <f t="shared" si="13"/>
        <v>2520</v>
      </c>
      <c r="AJ19" s="203">
        <f t="shared" si="35"/>
        <v>252</v>
      </c>
      <c r="AK19" s="203">
        <f t="shared" si="14"/>
        <v>2520</v>
      </c>
      <c r="AL19" s="203">
        <f t="shared" si="36"/>
        <v>252</v>
      </c>
      <c r="AM19" s="203">
        <f t="shared" si="15"/>
        <v>2520</v>
      </c>
      <c r="AN19" s="35">
        <f t="shared" si="16"/>
        <v>0.9</v>
      </c>
      <c r="AO19" s="36">
        <f t="shared" si="17"/>
        <v>17640</v>
      </c>
      <c r="AQ19" s="223">
        <f t="shared" si="37"/>
        <v>0.8159905900967015</v>
      </c>
      <c r="AR19" s="38">
        <f t="shared" si="42"/>
        <v>75862.645161290333</v>
      </c>
      <c r="AS19" s="197">
        <f t="shared" si="38"/>
        <v>1025.5483870967728</v>
      </c>
      <c r="AT19" s="271">
        <v>14545</v>
      </c>
      <c r="AU19" s="604">
        <v>0.93</v>
      </c>
      <c r="AV19" s="516">
        <f t="shared" si="43"/>
        <v>0.93</v>
      </c>
      <c r="AW19" s="290">
        <f>-SUM('B5'!AI18)</f>
        <v>-591</v>
      </c>
      <c r="AX19" s="290">
        <f t="shared" si="39"/>
        <v>1616.5483870967728</v>
      </c>
      <c r="AY19" s="37">
        <f t="shared" si="40"/>
        <v>1025.5483870967728</v>
      </c>
      <c r="AZ19" s="100">
        <f>ELEC!A16</f>
        <v>0</v>
      </c>
      <c r="BA19" s="118">
        <f>'General information '!D19</f>
        <v>16</v>
      </c>
      <c r="BB19" s="394">
        <f>SUM('General information '!E19)</f>
        <v>0.53</v>
      </c>
      <c r="BC19" s="3">
        <f t="shared" si="44"/>
        <v>1</v>
      </c>
      <c r="BD19" s="102">
        <v>19222</v>
      </c>
      <c r="BE19" s="14">
        <f>(305/1185)*ELEC!Q17</f>
        <v>1286.9198312236288</v>
      </c>
      <c r="BF19" s="14"/>
      <c r="BG19" s="14" t="e">
        <f>#REF!-BE19</f>
        <v>#REF!</v>
      </c>
      <c r="BH19" s="11"/>
    </row>
    <row r="20" spans="1:61">
      <c r="A20" s="443">
        <f>ELEC!C17</f>
        <v>44301</v>
      </c>
      <c r="B20">
        <f>'B5'!B19</f>
        <v>240</v>
      </c>
      <c r="C20" s="203">
        <f t="shared" si="18"/>
        <v>5163.8709677419356</v>
      </c>
      <c r="D20">
        <f t="shared" si="19"/>
        <v>240</v>
      </c>
      <c r="E20" s="203">
        <f t="shared" si="18"/>
        <v>5163.8709677419356</v>
      </c>
      <c r="F20">
        <f t="shared" si="20"/>
        <v>240</v>
      </c>
      <c r="G20" s="203">
        <f t="shared" si="1"/>
        <v>5163.8709677419356</v>
      </c>
      <c r="H20" s="203">
        <f t="shared" si="21"/>
        <v>240</v>
      </c>
      <c r="I20" s="203">
        <f t="shared" si="2"/>
        <v>5163.8709677419356</v>
      </c>
      <c r="J20" s="203">
        <f t="shared" si="22"/>
        <v>240</v>
      </c>
      <c r="K20" s="203">
        <f t="shared" si="3"/>
        <v>5163.8709677419356</v>
      </c>
      <c r="L20" s="203">
        <f t="shared" si="23"/>
        <v>240</v>
      </c>
      <c r="M20" s="203">
        <f t="shared" si="4"/>
        <v>5163.8709677419356</v>
      </c>
      <c r="N20" s="203">
        <f t="shared" si="24"/>
        <v>240</v>
      </c>
      <c r="O20" s="203">
        <f t="shared" si="5"/>
        <v>5163.8709677419356</v>
      </c>
      <c r="P20" s="203">
        <f t="shared" si="25"/>
        <v>240</v>
      </c>
      <c r="Q20" s="203">
        <f t="shared" si="6"/>
        <v>5163.8709677419356</v>
      </c>
      <c r="R20" s="203">
        <f t="shared" si="26"/>
        <v>240</v>
      </c>
      <c r="S20" s="203">
        <f t="shared" si="7"/>
        <v>5163.8709677419356</v>
      </c>
      <c r="T20" s="203">
        <f t="shared" si="27"/>
        <v>240</v>
      </c>
      <c r="U20" s="203">
        <f t="shared" si="8"/>
        <v>5163.8709677419356</v>
      </c>
      <c r="V20" s="203">
        <f t="shared" si="28"/>
        <v>240</v>
      </c>
      <c r="W20" s="203">
        <f t="shared" si="9"/>
        <v>5163.8709677419356</v>
      </c>
      <c r="X20" s="35">
        <f t="shared" si="10"/>
        <v>0.77419354838709697</v>
      </c>
      <c r="Y20" s="36">
        <f t="shared" si="29"/>
        <v>56802.580645161303</v>
      </c>
      <c r="Z20" s="203">
        <f>'B5'!C19</f>
        <v>247</v>
      </c>
      <c r="AA20" s="203">
        <f t="shared" si="30"/>
        <v>2470</v>
      </c>
      <c r="AB20" s="203">
        <f t="shared" si="31"/>
        <v>247</v>
      </c>
      <c r="AC20" s="203">
        <f t="shared" si="30"/>
        <v>2470</v>
      </c>
      <c r="AD20" s="203">
        <f t="shared" si="32"/>
        <v>247</v>
      </c>
      <c r="AE20" s="203">
        <f t="shared" si="11"/>
        <v>2470</v>
      </c>
      <c r="AF20" s="203">
        <f t="shared" si="33"/>
        <v>247</v>
      </c>
      <c r="AG20" s="203">
        <f t="shared" si="12"/>
        <v>2470</v>
      </c>
      <c r="AH20" s="203">
        <f t="shared" si="34"/>
        <v>247</v>
      </c>
      <c r="AI20" s="203">
        <f t="shared" si="13"/>
        <v>2470</v>
      </c>
      <c r="AJ20" s="203">
        <f t="shared" si="35"/>
        <v>247</v>
      </c>
      <c r="AK20" s="203">
        <f t="shared" si="14"/>
        <v>2470</v>
      </c>
      <c r="AL20" s="203">
        <f t="shared" si="36"/>
        <v>247</v>
      </c>
      <c r="AM20" s="203">
        <f t="shared" si="15"/>
        <v>2470</v>
      </c>
      <c r="AN20" s="35">
        <f t="shared" si="16"/>
        <v>0.88214285714285712</v>
      </c>
      <c r="AO20" s="36">
        <f t="shared" si="17"/>
        <v>17290</v>
      </c>
      <c r="AQ20" s="223">
        <f t="shared" si="37"/>
        <v>0.79695149666732601</v>
      </c>
      <c r="AR20" s="38">
        <f t="shared" si="42"/>
        <v>74092.580645161303</v>
      </c>
      <c r="AS20" s="197">
        <f t="shared" si="38"/>
        <v>-1770.0645161290304</v>
      </c>
      <c r="AT20" s="271"/>
      <c r="AU20" s="604"/>
      <c r="AV20" s="516">
        <f t="shared" si="43"/>
        <v>0.93</v>
      </c>
      <c r="AW20" s="290">
        <f>-SUM('B5'!AI19)</f>
        <v>-291</v>
      </c>
      <c r="AX20" s="290">
        <f t="shared" si="39"/>
        <v>-1479.0645161290304</v>
      </c>
      <c r="AY20" s="37">
        <f t="shared" si="40"/>
        <v>-1770.0645161290304</v>
      </c>
      <c r="AZ20" s="100">
        <f>ELEC!A17</f>
        <v>0</v>
      </c>
      <c r="BA20" s="118">
        <f>'General information '!D20</f>
        <v>19</v>
      </c>
      <c r="BB20" s="394">
        <f>SUM('General information '!E20)</f>
        <v>0.62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3">
        <f>ELEC!C18</f>
        <v>44302</v>
      </c>
      <c r="B21">
        <f>'B5'!B20</f>
        <v>240</v>
      </c>
      <c r="C21" s="203">
        <f t="shared" si="18"/>
        <v>5163.8709677419356</v>
      </c>
      <c r="D21">
        <f t="shared" si="19"/>
        <v>240</v>
      </c>
      <c r="E21" s="203">
        <f t="shared" si="18"/>
        <v>5163.8709677419356</v>
      </c>
      <c r="F21">
        <f t="shared" si="20"/>
        <v>240</v>
      </c>
      <c r="G21" s="203">
        <f t="shared" si="1"/>
        <v>5163.8709677419356</v>
      </c>
      <c r="H21" s="203">
        <f t="shared" si="21"/>
        <v>240</v>
      </c>
      <c r="I21" s="203">
        <f t="shared" si="2"/>
        <v>5163.8709677419356</v>
      </c>
      <c r="J21" s="203">
        <f t="shared" si="22"/>
        <v>240</v>
      </c>
      <c r="K21" s="203">
        <f t="shared" si="3"/>
        <v>5163.8709677419356</v>
      </c>
      <c r="L21" s="203">
        <f t="shared" si="23"/>
        <v>240</v>
      </c>
      <c r="M21" s="203">
        <f t="shared" si="4"/>
        <v>5163.8709677419356</v>
      </c>
      <c r="N21" s="203">
        <f t="shared" si="24"/>
        <v>240</v>
      </c>
      <c r="O21" s="203">
        <f t="shared" si="5"/>
        <v>5163.8709677419356</v>
      </c>
      <c r="P21" s="203">
        <f t="shared" si="25"/>
        <v>240</v>
      </c>
      <c r="Q21" s="203">
        <f t="shared" si="6"/>
        <v>5163.8709677419356</v>
      </c>
      <c r="R21" s="203">
        <f t="shared" si="26"/>
        <v>240</v>
      </c>
      <c r="S21" s="203">
        <f t="shared" si="7"/>
        <v>5163.8709677419356</v>
      </c>
      <c r="T21" s="203">
        <f t="shared" si="27"/>
        <v>240</v>
      </c>
      <c r="U21" s="203">
        <f t="shared" si="8"/>
        <v>5163.8709677419356</v>
      </c>
      <c r="V21" s="203">
        <f t="shared" si="28"/>
        <v>240</v>
      </c>
      <c r="W21" s="203">
        <f t="shared" si="9"/>
        <v>5163.8709677419356</v>
      </c>
      <c r="X21" s="35">
        <f t="shared" si="10"/>
        <v>0.77419354838709697</v>
      </c>
      <c r="Y21" s="36">
        <f t="shared" si="29"/>
        <v>56802.580645161303</v>
      </c>
      <c r="Z21" s="203">
        <f>'B5'!C20</f>
        <v>247</v>
      </c>
      <c r="AA21" s="203">
        <f t="shared" si="30"/>
        <v>2470</v>
      </c>
      <c r="AB21" s="203">
        <f t="shared" si="31"/>
        <v>247</v>
      </c>
      <c r="AC21" s="203">
        <f t="shared" si="30"/>
        <v>2470</v>
      </c>
      <c r="AD21" s="203">
        <f t="shared" si="32"/>
        <v>247</v>
      </c>
      <c r="AE21" s="203">
        <f t="shared" si="11"/>
        <v>2470</v>
      </c>
      <c r="AF21" s="203">
        <f t="shared" si="33"/>
        <v>247</v>
      </c>
      <c r="AG21" s="203">
        <f t="shared" si="12"/>
        <v>2470</v>
      </c>
      <c r="AH21" s="203">
        <f t="shared" si="34"/>
        <v>247</v>
      </c>
      <c r="AI21" s="203">
        <f t="shared" si="13"/>
        <v>2470</v>
      </c>
      <c r="AJ21" s="203">
        <f t="shared" si="35"/>
        <v>247</v>
      </c>
      <c r="AK21" s="203">
        <f t="shared" si="14"/>
        <v>2470</v>
      </c>
      <c r="AL21" s="203">
        <f t="shared" si="36"/>
        <v>247</v>
      </c>
      <c r="AM21" s="203">
        <f t="shared" si="15"/>
        <v>2470</v>
      </c>
      <c r="AN21" s="35">
        <f t="shared" si="16"/>
        <v>0.88214285714285712</v>
      </c>
      <c r="AO21" s="36">
        <f t="shared" si="17"/>
        <v>17290</v>
      </c>
      <c r="AQ21" s="223">
        <f t="shared" si="37"/>
        <v>0.79695149666732601</v>
      </c>
      <c r="AR21" s="38">
        <f t="shared" si="42"/>
        <v>74092.580645161303</v>
      </c>
      <c r="AS21" s="197">
        <f t="shared" si="38"/>
        <v>0</v>
      </c>
      <c r="AT21" s="271"/>
      <c r="AU21" s="604"/>
      <c r="AV21" s="516">
        <f t="shared" si="43"/>
        <v>0.93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3">
        <f>ELEC!C19</f>
        <v>44303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247</v>
      </c>
      <c r="AA22" s="203">
        <f t="shared" si="30"/>
        <v>2470</v>
      </c>
      <c r="AB22" s="203">
        <f t="shared" si="31"/>
        <v>247</v>
      </c>
      <c r="AC22" s="203">
        <f t="shared" si="30"/>
        <v>2470</v>
      </c>
      <c r="AD22" s="203">
        <f t="shared" si="32"/>
        <v>247</v>
      </c>
      <c r="AE22" s="203">
        <f t="shared" si="11"/>
        <v>2470</v>
      </c>
      <c r="AF22" s="203">
        <f t="shared" si="33"/>
        <v>247</v>
      </c>
      <c r="AG22" s="203">
        <f t="shared" si="12"/>
        <v>2470</v>
      </c>
      <c r="AH22" s="203">
        <f t="shared" si="34"/>
        <v>247</v>
      </c>
      <c r="AI22" s="203">
        <f t="shared" si="13"/>
        <v>2470</v>
      </c>
      <c r="AJ22" s="203">
        <f t="shared" si="35"/>
        <v>247</v>
      </c>
      <c r="AK22" s="203">
        <f t="shared" si="14"/>
        <v>2470</v>
      </c>
      <c r="AL22" s="203">
        <f t="shared" si="36"/>
        <v>247</v>
      </c>
      <c r="AM22" s="203">
        <f t="shared" si="15"/>
        <v>2470</v>
      </c>
      <c r="AN22" s="35">
        <f t="shared" si="16"/>
        <v>0.88214285714285712</v>
      </c>
      <c r="AO22" s="36">
        <f t="shared" si="17"/>
        <v>17290</v>
      </c>
      <c r="AQ22" s="223">
        <f t="shared" si="37"/>
        <v>0.79695149666732601</v>
      </c>
      <c r="AR22" s="38">
        <f t="shared" si="42"/>
        <v>74092.580645161303</v>
      </c>
      <c r="AS22" s="197">
        <f t="shared" si="38"/>
        <v>0</v>
      </c>
      <c r="AT22" s="271"/>
      <c r="AU22" s="604"/>
      <c r="AV22" s="516">
        <f t="shared" si="43"/>
        <v>0.93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3">
        <f>ELEC!C20</f>
        <v>44304</v>
      </c>
      <c r="B23">
        <f>'B5'!B22</f>
        <v>240</v>
      </c>
      <c r="C23" s="203">
        <f t="shared" si="18"/>
        <v>5163.8709677419356</v>
      </c>
      <c r="D23">
        <f t="shared" si="19"/>
        <v>240</v>
      </c>
      <c r="E23" s="203">
        <f t="shared" si="18"/>
        <v>5163.8709677419356</v>
      </c>
      <c r="F23">
        <f t="shared" si="20"/>
        <v>240</v>
      </c>
      <c r="G23" s="203">
        <f t="shared" si="1"/>
        <v>5163.8709677419356</v>
      </c>
      <c r="H23" s="203">
        <f t="shared" si="21"/>
        <v>240</v>
      </c>
      <c r="I23" s="203">
        <f t="shared" si="2"/>
        <v>5163.8709677419356</v>
      </c>
      <c r="J23" s="203">
        <f t="shared" si="22"/>
        <v>240</v>
      </c>
      <c r="K23" s="203">
        <f t="shared" si="3"/>
        <v>5163.8709677419356</v>
      </c>
      <c r="L23" s="203">
        <f t="shared" si="23"/>
        <v>240</v>
      </c>
      <c r="M23" s="203">
        <f t="shared" si="4"/>
        <v>5163.8709677419356</v>
      </c>
      <c r="N23" s="203">
        <f t="shared" si="24"/>
        <v>240</v>
      </c>
      <c r="O23" s="203">
        <f t="shared" si="5"/>
        <v>5163.8709677419356</v>
      </c>
      <c r="P23" s="203">
        <f t="shared" si="25"/>
        <v>240</v>
      </c>
      <c r="Q23" s="203">
        <f t="shared" si="6"/>
        <v>5163.8709677419356</v>
      </c>
      <c r="R23" s="203">
        <f t="shared" si="26"/>
        <v>240</v>
      </c>
      <c r="S23" s="203">
        <f t="shared" si="7"/>
        <v>5163.8709677419356</v>
      </c>
      <c r="T23" s="203">
        <f t="shared" si="27"/>
        <v>240</v>
      </c>
      <c r="U23" s="203">
        <f t="shared" si="8"/>
        <v>5163.8709677419356</v>
      </c>
      <c r="V23" s="203">
        <f t="shared" si="28"/>
        <v>240</v>
      </c>
      <c r="W23" s="203">
        <f t="shared" si="9"/>
        <v>5163.8709677419356</v>
      </c>
      <c r="X23" s="35">
        <f t="shared" si="10"/>
        <v>0.77419354838709697</v>
      </c>
      <c r="Y23" s="36">
        <f t="shared" si="29"/>
        <v>56802.580645161303</v>
      </c>
      <c r="Z23" s="203">
        <f>'B5'!C22</f>
        <v>247</v>
      </c>
      <c r="AA23" s="203">
        <f t="shared" si="30"/>
        <v>2470</v>
      </c>
      <c r="AB23" s="203">
        <f t="shared" si="31"/>
        <v>247</v>
      </c>
      <c r="AC23" s="203">
        <f t="shared" si="30"/>
        <v>2470</v>
      </c>
      <c r="AD23" s="203">
        <f t="shared" si="32"/>
        <v>247</v>
      </c>
      <c r="AE23" s="203">
        <f t="shared" si="11"/>
        <v>2470</v>
      </c>
      <c r="AF23" s="203">
        <f t="shared" si="33"/>
        <v>247</v>
      </c>
      <c r="AG23" s="203">
        <f t="shared" si="12"/>
        <v>2470</v>
      </c>
      <c r="AH23" s="203">
        <f t="shared" si="34"/>
        <v>247</v>
      </c>
      <c r="AI23" s="203">
        <f t="shared" si="13"/>
        <v>2470</v>
      </c>
      <c r="AJ23" s="203">
        <f t="shared" si="35"/>
        <v>247</v>
      </c>
      <c r="AK23" s="203">
        <f t="shared" si="14"/>
        <v>2470</v>
      </c>
      <c r="AL23" s="203">
        <f t="shared" si="36"/>
        <v>247</v>
      </c>
      <c r="AM23" s="203">
        <f t="shared" si="15"/>
        <v>2470</v>
      </c>
      <c r="AN23" s="35">
        <f t="shared" si="16"/>
        <v>0.88214285714285712</v>
      </c>
      <c r="AO23" s="36">
        <f t="shared" si="17"/>
        <v>17290</v>
      </c>
      <c r="AQ23" s="223">
        <f t="shared" si="37"/>
        <v>0.79695149666732601</v>
      </c>
      <c r="AR23" s="38">
        <f t="shared" si="42"/>
        <v>74092.580645161303</v>
      </c>
      <c r="AS23" s="197">
        <f t="shared" si="38"/>
        <v>0</v>
      </c>
      <c r="AT23" s="271"/>
      <c r="AU23" s="604"/>
      <c r="AV23" s="516">
        <f t="shared" si="43"/>
        <v>0.93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3">
        <f>ELEC!C21</f>
        <v>44305</v>
      </c>
      <c r="B24">
        <f>'B5'!B23</f>
        <v>240</v>
      </c>
      <c r="C24" s="203">
        <f t="shared" si="18"/>
        <v>5163.8709677419356</v>
      </c>
      <c r="D24">
        <f t="shared" si="19"/>
        <v>240</v>
      </c>
      <c r="E24" s="203">
        <f t="shared" si="18"/>
        <v>5163.8709677419356</v>
      </c>
      <c r="F24">
        <f t="shared" si="20"/>
        <v>240</v>
      </c>
      <c r="G24" s="203">
        <f t="shared" si="1"/>
        <v>5163.8709677419356</v>
      </c>
      <c r="H24" s="203">
        <f t="shared" si="21"/>
        <v>240</v>
      </c>
      <c r="I24" s="203">
        <f t="shared" si="2"/>
        <v>5163.8709677419356</v>
      </c>
      <c r="J24" s="203">
        <f t="shared" si="22"/>
        <v>240</v>
      </c>
      <c r="K24" s="203">
        <f t="shared" si="3"/>
        <v>5163.8709677419356</v>
      </c>
      <c r="L24" s="203">
        <f t="shared" si="23"/>
        <v>240</v>
      </c>
      <c r="M24" s="203">
        <f t="shared" si="4"/>
        <v>5163.8709677419356</v>
      </c>
      <c r="N24" s="203">
        <f t="shared" si="24"/>
        <v>240</v>
      </c>
      <c r="O24" s="203">
        <f t="shared" si="5"/>
        <v>5163.8709677419356</v>
      </c>
      <c r="P24" s="203">
        <f t="shared" si="25"/>
        <v>240</v>
      </c>
      <c r="Q24" s="203">
        <f t="shared" si="6"/>
        <v>5163.8709677419356</v>
      </c>
      <c r="R24" s="203">
        <f t="shared" si="26"/>
        <v>240</v>
      </c>
      <c r="S24" s="203">
        <f t="shared" si="7"/>
        <v>5163.8709677419356</v>
      </c>
      <c r="T24" s="203">
        <f t="shared" si="27"/>
        <v>240</v>
      </c>
      <c r="U24" s="203">
        <f t="shared" si="8"/>
        <v>5163.8709677419356</v>
      </c>
      <c r="V24" s="203">
        <f t="shared" si="28"/>
        <v>240</v>
      </c>
      <c r="W24" s="203">
        <f t="shared" si="9"/>
        <v>5163.8709677419356</v>
      </c>
      <c r="X24" s="35">
        <f t="shared" si="10"/>
        <v>0.77419354838709697</v>
      </c>
      <c r="Y24" s="36">
        <f t="shared" si="29"/>
        <v>56802.580645161303</v>
      </c>
      <c r="Z24" s="203">
        <f>'B5'!C23</f>
        <v>247</v>
      </c>
      <c r="AA24" s="203">
        <f t="shared" si="30"/>
        <v>2470</v>
      </c>
      <c r="AB24" s="203">
        <f t="shared" si="31"/>
        <v>247</v>
      </c>
      <c r="AC24" s="203">
        <f t="shared" si="30"/>
        <v>2470</v>
      </c>
      <c r="AD24" s="203">
        <f t="shared" si="32"/>
        <v>247</v>
      </c>
      <c r="AE24" s="203">
        <f t="shared" si="11"/>
        <v>2470</v>
      </c>
      <c r="AF24" s="203">
        <f t="shared" si="33"/>
        <v>247</v>
      </c>
      <c r="AG24" s="203">
        <f t="shared" si="12"/>
        <v>2470</v>
      </c>
      <c r="AH24" s="203">
        <f t="shared" si="34"/>
        <v>247</v>
      </c>
      <c r="AI24" s="203">
        <f t="shared" si="13"/>
        <v>2470</v>
      </c>
      <c r="AJ24" s="203">
        <f t="shared" si="35"/>
        <v>247</v>
      </c>
      <c r="AK24" s="203">
        <f t="shared" si="14"/>
        <v>2470</v>
      </c>
      <c r="AL24" s="203">
        <f t="shared" si="36"/>
        <v>247</v>
      </c>
      <c r="AM24" s="203">
        <f t="shared" si="15"/>
        <v>2470</v>
      </c>
      <c r="AN24" s="35">
        <f t="shared" si="16"/>
        <v>0.88214285714285712</v>
      </c>
      <c r="AO24" s="36">
        <f t="shared" si="17"/>
        <v>17290</v>
      </c>
      <c r="AQ24" s="223">
        <f t="shared" si="37"/>
        <v>0.79695149666732601</v>
      </c>
      <c r="AR24" s="38">
        <f t="shared" si="42"/>
        <v>74092.580645161303</v>
      </c>
      <c r="AS24" s="197">
        <f t="shared" si="38"/>
        <v>0</v>
      </c>
      <c r="AT24" s="271"/>
      <c r="AU24" s="604"/>
      <c r="AV24" s="516">
        <f t="shared" si="43"/>
        <v>0.93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3">
        <f>ELEC!C22</f>
        <v>44306</v>
      </c>
      <c r="B25">
        <f>'B5'!B24</f>
        <v>240</v>
      </c>
      <c r="C25" s="203">
        <f t="shared" si="18"/>
        <v>5163.8709677419356</v>
      </c>
      <c r="D25">
        <f t="shared" si="19"/>
        <v>240</v>
      </c>
      <c r="E25" s="203">
        <f t="shared" si="18"/>
        <v>5163.8709677419356</v>
      </c>
      <c r="F25">
        <f t="shared" si="20"/>
        <v>240</v>
      </c>
      <c r="G25" s="203">
        <f t="shared" si="1"/>
        <v>5163.8709677419356</v>
      </c>
      <c r="H25" s="203">
        <f t="shared" si="21"/>
        <v>240</v>
      </c>
      <c r="I25" s="203">
        <f t="shared" si="2"/>
        <v>5163.8709677419356</v>
      </c>
      <c r="J25" s="203">
        <f t="shared" si="22"/>
        <v>240</v>
      </c>
      <c r="K25" s="203">
        <f t="shared" si="3"/>
        <v>5163.8709677419356</v>
      </c>
      <c r="L25" s="203">
        <f t="shared" si="23"/>
        <v>240</v>
      </c>
      <c r="M25" s="203">
        <f t="shared" si="4"/>
        <v>5163.8709677419356</v>
      </c>
      <c r="N25" s="203">
        <f t="shared" si="24"/>
        <v>240</v>
      </c>
      <c r="O25" s="203">
        <f t="shared" si="5"/>
        <v>5163.8709677419356</v>
      </c>
      <c r="P25" s="203">
        <f t="shared" si="25"/>
        <v>240</v>
      </c>
      <c r="Q25" s="203">
        <f t="shared" si="6"/>
        <v>5163.8709677419356</v>
      </c>
      <c r="R25" s="203">
        <f t="shared" si="26"/>
        <v>240</v>
      </c>
      <c r="S25" s="203">
        <f t="shared" si="7"/>
        <v>5163.8709677419356</v>
      </c>
      <c r="T25" s="203">
        <f t="shared" si="27"/>
        <v>240</v>
      </c>
      <c r="U25" s="203">
        <f t="shared" si="8"/>
        <v>5163.8709677419356</v>
      </c>
      <c r="V25" s="203">
        <f t="shared" si="28"/>
        <v>240</v>
      </c>
      <c r="W25" s="203">
        <f t="shared" si="9"/>
        <v>5163.8709677419356</v>
      </c>
      <c r="X25" s="35">
        <f t="shared" si="10"/>
        <v>0.77419354838709697</v>
      </c>
      <c r="Y25" s="36">
        <f t="shared" si="29"/>
        <v>56802.580645161303</v>
      </c>
      <c r="Z25" s="203">
        <f>'B5'!C24</f>
        <v>247</v>
      </c>
      <c r="AA25" s="203">
        <f t="shared" si="30"/>
        <v>2470</v>
      </c>
      <c r="AB25" s="203">
        <f t="shared" si="31"/>
        <v>247</v>
      </c>
      <c r="AC25" s="203">
        <f t="shared" si="30"/>
        <v>2470</v>
      </c>
      <c r="AD25" s="203">
        <f t="shared" si="32"/>
        <v>247</v>
      </c>
      <c r="AE25" s="203">
        <f t="shared" si="11"/>
        <v>2470</v>
      </c>
      <c r="AF25" s="203">
        <f t="shared" si="33"/>
        <v>247</v>
      </c>
      <c r="AG25" s="203">
        <f t="shared" si="12"/>
        <v>2470</v>
      </c>
      <c r="AH25" s="203">
        <f t="shared" si="34"/>
        <v>247</v>
      </c>
      <c r="AI25" s="203">
        <f t="shared" si="13"/>
        <v>2470</v>
      </c>
      <c r="AJ25" s="203">
        <f t="shared" si="35"/>
        <v>247</v>
      </c>
      <c r="AK25" s="203">
        <f t="shared" si="14"/>
        <v>2470</v>
      </c>
      <c r="AL25" s="203">
        <f t="shared" si="36"/>
        <v>247</v>
      </c>
      <c r="AM25" s="203">
        <f t="shared" si="15"/>
        <v>2470</v>
      </c>
      <c r="AN25" s="35">
        <f t="shared" si="16"/>
        <v>0.88214285714285712</v>
      </c>
      <c r="AO25" s="36">
        <f t="shared" si="17"/>
        <v>17290</v>
      </c>
      <c r="AQ25" s="223">
        <f t="shared" si="37"/>
        <v>0.79695149666732601</v>
      </c>
      <c r="AR25" s="38">
        <f t="shared" si="42"/>
        <v>74092.580645161303</v>
      </c>
      <c r="AS25" s="197">
        <f t="shared" si="38"/>
        <v>0</v>
      </c>
      <c r="AT25" s="271"/>
      <c r="AU25" s="604"/>
      <c r="AV25" s="516">
        <f t="shared" si="43"/>
        <v>0.93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3">
        <f>ELEC!C23</f>
        <v>44307</v>
      </c>
      <c r="B26">
        <f>'B5'!B25</f>
        <v>240</v>
      </c>
      <c r="C26" s="203">
        <f t="shared" si="18"/>
        <v>5163.8709677419356</v>
      </c>
      <c r="D26">
        <f t="shared" si="19"/>
        <v>240</v>
      </c>
      <c r="E26" s="203">
        <f t="shared" si="18"/>
        <v>5163.8709677419356</v>
      </c>
      <c r="F26">
        <f t="shared" si="20"/>
        <v>240</v>
      </c>
      <c r="G26" s="203">
        <f t="shared" si="1"/>
        <v>5163.8709677419356</v>
      </c>
      <c r="H26" s="203">
        <f t="shared" si="21"/>
        <v>240</v>
      </c>
      <c r="I26" s="203">
        <f t="shared" si="2"/>
        <v>5163.8709677419356</v>
      </c>
      <c r="J26" s="203">
        <f t="shared" si="22"/>
        <v>240</v>
      </c>
      <c r="K26" s="203">
        <f t="shared" si="3"/>
        <v>5163.8709677419356</v>
      </c>
      <c r="L26" s="203">
        <f t="shared" si="23"/>
        <v>240</v>
      </c>
      <c r="M26" s="203">
        <f t="shared" si="4"/>
        <v>5163.8709677419356</v>
      </c>
      <c r="N26" s="203">
        <f t="shared" si="24"/>
        <v>240</v>
      </c>
      <c r="O26" s="203">
        <f t="shared" si="5"/>
        <v>5163.8709677419356</v>
      </c>
      <c r="P26" s="203">
        <f t="shared" si="25"/>
        <v>240</v>
      </c>
      <c r="Q26" s="203">
        <f t="shared" si="6"/>
        <v>5163.8709677419356</v>
      </c>
      <c r="R26" s="203">
        <f t="shared" si="26"/>
        <v>240</v>
      </c>
      <c r="S26" s="203">
        <f t="shared" si="7"/>
        <v>5163.8709677419356</v>
      </c>
      <c r="T26" s="203">
        <f t="shared" si="27"/>
        <v>240</v>
      </c>
      <c r="U26" s="203">
        <f t="shared" si="8"/>
        <v>5163.8709677419356</v>
      </c>
      <c r="V26" s="203">
        <f t="shared" si="28"/>
        <v>240</v>
      </c>
      <c r="W26" s="203">
        <f t="shared" si="9"/>
        <v>5163.8709677419356</v>
      </c>
      <c r="X26" s="35">
        <f t="shared" si="10"/>
        <v>0.77419354838709697</v>
      </c>
      <c r="Y26" s="36">
        <f t="shared" si="29"/>
        <v>56802.580645161303</v>
      </c>
      <c r="Z26" s="203">
        <f>'B5'!C25</f>
        <v>247</v>
      </c>
      <c r="AA26" s="203">
        <f t="shared" si="30"/>
        <v>2470</v>
      </c>
      <c r="AB26" s="203">
        <f t="shared" si="31"/>
        <v>247</v>
      </c>
      <c r="AC26" s="203">
        <f t="shared" si="30"/>
        <v>2470</v>
      </c>
      <c r="AD26" s="203">
        <f t="shared" si="32"/>
        <v>247</v>
      </c>
      <c r="AE26" s="203">
        <f t="shared" si="11"/>
        <v>2470</v>
      </c>
      <c r="AF26" s="203">
        <f t="shared" si="33"/>
        <v>247</v>
      </c>
      <c r="AG26" s="203">
        <f t="shared" si="12"/>
        <v>2470</v>
      </c>
      <c r="AH26" s="203">
        <f t="shared" si="34"/>
        <v>247</v>
      </c>
      <c r="AI26" s="203">
        <f t="shared" si="13"/>
        <v>2470</v>
      </c>
      <c r="AJ26" s="203">
        <f t="shared" si="35"/>
        <v>247</v>
      </c>
      <c r="AK26" s="203">
        <f t="shared" si="14"/>
        <v>2470</v>
      </c>
      <c r="AL26" s="203">
        <f t="shared" si="36"/>
        <v>247</v>
      </c>
      <c r="AM26" s="203">
        <f t="shared" si="15"/>
        <v>2470</v>
      </c>
      <c r="AN26" s="35">
        <f t="shared" si="16"/>
        <v>0.88214285714285712</v>
      </c>
      <c r="AO26" s="36">
        <f t="shared" si="17"/>
        <v>17290</v>
      </c>
      <c r="AQ26" s="223">
        <f t="shared" si="37"/>
        <v>0.79695149666732601</v>
      </c>
      <c r="AR26" s="38">
        <f t="shared" si="42"/>
        <v>74092.580645161303</v>
      </c>
      <c r="AS26" s="197">
        <f t="shared" si="38"/>
        <v>0</v>
      </c>
      <c r="AT26" s="271"/>
      <c r="AU26" s="604"/>
      <c r="AV26" s="516">
        <f t="shared" si="43"/>
        <v>0.93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3">
        <f>ELEC!C24</f>
        <v>44308</v>
      </c>
      <c r="B27">
        <f>'B5'!B26</f>
        <v>240</v>
      </c>
      <c r="C27" s="203">
        <f t="shared" si="18"/>
        <v>5163.8709677419356</v>
      </c>
      <c r="D27">
        <f t="shared" si="19"/>
        <v>240</v>
      </c>
      <c r="E27" s="203">
        <f t="shared" si="18"/>
        <v>5163.8709677419356</v>
      </c>
      <c r="F27">
        <f t="shared" si="20"/>
        <v>240</v>
      </c>
      <c r="G27" s="203">
        <f t="shared" si="1"/>
        <v>5163.8709677419356</v>
      </c>
      <c r="H27" s="203">
        <f t="shared" si="21"/>
        <v>240</v>
      </c>
      <c r="I27" s="203">
        <f t="shared" si="2"/>
        <v>5163.8709677419356</v>
      </c>
      <c r="J27" s="203">
        <f t="shared" si="22"/>
        <v>240</v>
      </c>
      <c r="K27" s="203">
        <f t="shared" si="3"/>
        <v>5163.8709677419356</v>
      </c>
      <c r="L27" s="203">
        <f t="shared" si="23"/>
        <v>240</v>
      </c>
      <c r="M27" s="203">
        <f t="shared" si="4"/>
        <v>5163.8709677419356</v>
      </c>
      <c r="N27" s="203">
        <f t="shared" si="24"/>
        <v>240</v>
      </c>
      <c r="O27" s="203">
        <f t="shared" si="5"/>
        <v>5163.8709677419356</v>
      </c>
      <c r="P27" s="203">
        <f t="shared" si="25"/>
        <v>240</v>
      </c>
      <c r="Q27" s="203">
        <f t="shared" si="6"/>
        <v>5163.8709677419356</v>
      </c>
      <c r="R27" s="203">
        <f t="shared" si="26"/>
        <v>240</v>
      </c>
      <c r="S27" s="203">
        <f t="shared" si="7"/>
        <v>5163.8709677419356</v>
      </c>
      <c r="T27" s="203">
        <f t="shared" si="27"/>
        <v>240</v>
      </c>
      <c r="U27" s="203">
        <f t="shared" si="8"/>
        <v>5163.8709677419356</v>
      </c>
      <c r="V27" s="203">
        <f t="shared" si="28"/>
        <v>240</v>
      </c>
      <c r="W27" s="203">
        <f t="shared" si="9"/>
        <v>5163.8709677419356</v>
      </c>
      <c r="X27" s="35">
        <f t="shared" si="10"/>
        <v>0.77419354838709697</v>
      </c>
      <c r="Y27" s="36">
        <f t="shared" si="29"/>
        <v>56802.580645161303</v>
      </c>
      <c r="Z27" s="203">
        <f>'B5'!C26</f>
        <v>247</v>
      </c>
      <c r="AA27" s="203">
        <f t="shared" si="30"/>
        <v>2470</v>
      </c>
      <c r="AB27" s="203">
        <f t="shared" si="31"/>
        <v>247</v>
      </c>
      <c r="AC27" s="203">
        <f t="shared" si="30"/>
        <v>2470</v>
      </c>
      <c r="AD27" s="203">
        <f t="shared" si="32"/>
        <v>247</v>
      </c>
      <c r="AE27" s="203">
        <f t="shared" si="11"/>
        <v>2470</v>
      </c>
      <c r="AF27" s="203">
        <f t="shared" si="33"/>
        <v>247</v>
      </c>
      <c r="AG27" s="203">
        <f t="shared" si="12"/>
        <v>2470</v>
      </c>
      <c r="AH27" s="203">
        <f t="shared" si="34"/>
        <v>247</v>
      </c>
      <c r="AI27" s="203">
        <f t="shared" si="13"/>
        <v>2470</v>
      </c>
      <c r="AJ27" s="203">
        <f t="shared" si="35"/>
        <v>247</v>
      </c>
      <c r="AK27" s="203">
        <f t="shared" si="14"/>
        <v>2470</v>
      </c>
      <c r="AL27" s="203">
        <f t="shared" si="36"/>
        <v>247</v>
      </c>
      <c r="AM27" s="203">
        <f t="shared" si="15"/>
        <v>2470</v>
      </c>
      <c r="AN27" s="35">
        <f t="shared" si="16"/>
        <v>0.88214285714285712</v>
      </c>
      <c r="AO27" s="36">
        <f t="shared" si="17"/>
        <v>17290</v>
      </c>
      <c r="AQ27" s="223">
        <f t="shared" si="37"/>
        <v>0.79695149666732601</v>
      </c>
      <c r="AR27" s="38">
        <f t="shared" si="42"/>
        <v>74092.580645161303</v>
      </c>
      <c r="AS27" s="197">
        <f t="shared" si="38"/>
        <v>0</v>
      </c>
      <c r="AT27" s="271"/>
      <c r="AU27" s="604"/>
      <c r="AV27" s="516">
        <f t="shared" si="43"/>
        <v>0.93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3">
        <f>ELEC!C25</f>
        <v>44309</v>
      </c>
      <c r="B28">
        <f>'B5'!B27</f>
        <v>240</v>
      </c>
      <c r="C28" s="203">
        <f t="shared" si="18"/>
        <v>5163.8709677419356</v>
      </c>
      <c r="D28">
        <f t="shared" si="19"/>
        <v>240</v>
      </c>
      <c r="E28" s="203">
        <f t="shared" si="18"/>
        <v>5163.8709677419356</v>
      </c>
      <c r="F28">
        <f t="shared" si="20"/>
        <v>240</v>
      </c>
      <c r="G28" s="203">
        <f t="shared" si="1"/>
        <v>5163.8709677419356</v>
      </c>
      <c r="H28" s="203">
        <f t="shared" si="21"/>
        <v>240</v>
      </c>
      <c r="I28" s="203">
        <f t="shared" si="2"/>
        <v>5163.8709677419356</v>
      </c>
      <c r="J28" s="203">
        <f t="shared" si="22"/>
        <v>240</v>
      </c>
      <c r="K28" s="203">
        <f t="shared" si="3"/>
        <v>5163.8709677419356</v>
      </c>
      <c r="L28" s="203">
        <f t="shared" si="23"/>
        <v>240</v>
      </c>
      <c r="M28" s="203">
        <f t="shared" si="4"/>
        <v>5163.8709677419356</v>
      </c>
      <c r="N28" s="203">
        <f t="shared" si="24"/>
        <v>240</v>
      </c>
      <c r="O28" s="203">
        <f t="shared" si="5"/>
        <v>5163.8709677419356</v>
      </c>
      <c r="P28" s="203">
        <f t="shared" si="25"/>
        <v>240</v>
      </c>
      <c r="Q28" s="203">
        <f t="shared" si="6"/>
        <v>5163.8709677419356</v>
      </c>
      <c r="R28" s="203">
        <f t="shared" si="26"/>
        <v>240</v>
      </c>
      <c r="S28" s="203">
        <f t="shared" si="7"/>
        <v>5163.8709677419356</v>
      </c>
      <c r="T28" s="203">
        <f t="shared" si="27"/>
        <v>240</v>
      </c>
      <c r="U28" s="203">
        <f t="shared" si="8"/>
        <v>5163.8709677419356</v>
      </c>
      <c r="V28" s="203">
        <f t="shared" si="28"/>
        <v>240</v>
      </c>
      <c r="W28" s="203">
        <f t="shared" si="9"/>
        <v>5163.8709677419356</v>
      </c>
      <c r="X28" s="35">
        <f t="shared" si="10"/>
        <v>0.77419354838709697</v>
      </c>
      <c r="Y28" s="36">
        <f t="shared" si="29"/>
        <v>56802.580645161303</v>
      </c>
      <c r="Z28" s="203">
        <f>'B5'!C27</f>
        <v>247</v>
      </c>
      <c r="AA28" s="203">
        <f t="shared" si="30"/>
        <v>2470</v>
      </c>
      <c r="AB28" s="203">
        <f t="shared" si="31"/>
        <v>247</v>
      </c>
      <c r="AC28" s="203">
        <f t="shared" si="30"/>
        <v>2470</v>
      </c>
      <c r="AD28" s="203">
        <f t="shared" si="32"/>
        <v>247</v>
      </c>
      <c r="AE28" s="203">
        <f t="shared" si="11"/>
        <v>2470</v>
      </c>
      <c r="AF28" s="203">
        <f t="shared" si="33"/>
        <v>247</v>
      </c>
      <c r="AG28" s="203">
        <f t="shared" si="12"/>
        <v>2470</v>
      </c>
      <c r="AH28" s="203">
        <f t="shared" si="34"/>
        <v>247</v>
      </c>
      <c r="AI28" s="203">
        <f t="shared" si="13"/>
        <v>2470</v>
      </c>
      <c r="AJ28" s="203">
        <f t="shared" si="35"/>
        <v>247</v>
      </c>
      <c r="AK28" s="203">
        <f t="shared" si="14"/>
        <v>2470</v>
      </c>
      <c r="AL28" s="203">
        <f t="shared" si="36"/>
        <v>247</v>
      </c>
      <c r="AM28" s="203">
        <f t="shared" si="15"/>
        <v>2470</v>
      </c>
      <c r="AN28" s="35">
        <f t="shared" si="16"/>
        <v>0.88214285714285712</v>
      </c>
      <c r="AO28" s="36">
        <f t="shared" si="17"/>
        <v>17290</v>
      </c>
      <c r="AQ28" s="223">
        <f t="shared" si="37"/>
        <v>0.79695149666732601</v>
      </c>
      <c r="AR28" s="38">
        <f t="shared" si="42"/>
        <v>74092.580645161303</v>
      </c>
      <c r="AS28" s="197">
        <f t="shared" si="38"/>
        <v>0</v>
      </c>
      <c r="AT28" s="355"/>
      <c r="AU28" s="604"/>
      <c r="AV28" s="516">
        <f t="shared" si="43"/>
        <v>0.93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3">
        <f>ELEC!C26</f>
        <v>44310</v>
      </c>
      <c r="B29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203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3">
        <f t="shared" si="37"/>
        <v>0.79695149666732601</v>
      </c>
      <c r="AR29" s="38">
        <f t="shared" si="42"/>
        <v>74092.580645161303</v>
      </c>
      <c r="AS29" s="197">
        <f t="shared" si="38"/>
        <v>0</v>
      </c>
      <c r="AT29" s="355"/>
      <c r="AU29" s="604"/>
      <c r="AV29" s="516">
        <f t="shared" si="43"/>
        <v>0.93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3">
        <f>ELEC!C27</f>
        <v>44311</v>
      </c>
      <c r="B30">
        <f>'B5'!B29</f>
        <v>240</v>
      </c>
      <c r="C30" s="203">
        <f t="shared" si="18"/>
        <v>5163.8709677419356</v>
      </c>
      <c r="D30">
        <f t="shared" ref="D30:D33" si="45">SUM(B30)</f>
        <v>240</v>
      </c>
      <c r="E30" s="203">
        <f t="shared" si="18"/>
        <v>5163.8709677419356</v>
      </c>
      <c r="F30">
        <f t="shared" ref="F30:F33" si="46">SUM(D30)</f>
        <v>240</v>
      </c>
      <c r="G30" s="203">
        <f t="shared" si="1"/>
        <v>5163.8709677419356</v>
      </c>
      <c r="H30" s="203">
        <f t="shared" ref="H30:H33" si="47">SUM(F30)</f>
        <v>240</v>
      </c>
      <c r="I30" s="203">
        <f t="shared" si="2"/>
        <v>5163.8709677419356</v>
      </c>
      <c r="J30" s="203">
        <f t="shared" ref="J30:J33" si="48">SUM(H30)</f>
        <v>240</v>
      </c>
      <c r="K30" s="203">
        <f t="shared" si="3"/>
        <v>5163.8709677419356</v>
      </c>
      <c r="L30" s="203">
        <f t="shared" ref="L30:L33" si="49">SUM(J30)</f>
        <v>240</v>
      </c>
      <c r="M30" s="203">
        <f t="shared" si="4"/>
        <v>5163.8709677419356</v>
      </c>
      <c r="N30" s="203">
        <f t="shared" ref="N30:N33" si="50">SUM(L30)</f>
        <v>240</v>
      </c>
      <c r="O30" s="203">
        <f t="shared" si="5"/>
        <v>5163.8709677419356</v>
      </c>
      <c r="P30" s="203">
        <f t="shared" ref="P30:P33" si="51">SUM(N30)</f>
        <v>240</v>
      </c>
      <c r="Q30" s="203">
        <f t="shared" si="6"/>
        <v>5163.8709677419356</v>
      </c>
      <c r="R30" s="203">
        <f t="shared" ref="R30:R33" si="52">SUM(P30)</f>
        <v>240</v>
      </c>
      <c r="S30" s="203">
        <f t="shared" si="7"/>
        <v>5163.8709677419356</v>
      </c>
      <c r="T30" s="203">
        <f t="shared" ref="T30:T33" si="53">SUM(R30)</f>
        <v>240</v>
      </c>
      <c r="U30" s="203">
        <f t="shared" si="8"/>
        <v>5163.8709677419356</v>
      </c>
      <c r="V30" s="203">
        <f t="shared" ref="V30:V33" si="54">SUM(T30)</f>
        <v>240</v>
      </c>
      <c r="W30" s="203">
        <f t="shared" si="9"/>
        <v>5163.8709677419356</v>
      </c>
      <c r="X30" s="35">
        <f t="shared" ref="X30:X33" si="55">SUM(Y30/73370)</f>
        <v>0.77419354838709697</v>
      </c>
      <c r="Y30" s="36">
        <f t="shared" ref="Y30:Y33" si="56">SUM(C30+E30+G30+I30+K30+M30+O30+Q30+S30+U30+W30)</f>
        <v>56802.580645161303</v>
      </c>
      <c r="Z30" s="203">
        <f>'B5'!C29</f>
        <v>247</v>
      </c>
      <c r="AA30" s="203">
        <f t="shared" si="30"/>
        <v>2470</v>
      </c>
      <c r="AB30" s="203">
        <f t="shared" ref="AB30:AB33" si="57">SUM(Z30)</f>
        <v>247</v>
      </c>
      <c r="AC30" s="203">
        <f t="shared" si="30"/>
        <v>2470</v>
      </c>
      <c r="AD30" s="203">
        <f t="shared" ref="AD30:AD33" si="58">SUM(AB30)</f>
        <v>247</v>
      </c>
      <c r="AE30" s="203">
        <f t="shared" si="11"/>
        <v>2470</v>
      </c>
      <c r="AF30" s="203">
        <f t="shared" ref="AF30:AF33" si="59">SUM(AD30)</f>
        <v>247</v>
      </c>
      <c r="AG30" s="203">
        <f t="shared" si="12"/>
        <v>2470</v>
      </c>
      <c r="AH30" s="203">
        <f t="shared" ref="AH30:AH33" si="60">SUM(AF30)</f>
        <v>247</v>
      </c>
      <c r="AI30" s="203">
        <f t="shared" si="13"/>
        <v>2470</v>
      </c>
      <c r="AJ30" s="203">
        <f t="shared" ref="AJ30:AJ33" si="61">SUM(AH30)</f>
        <v>247</v>
      </c>
      <c r="AK30" s="203">
        <f t="shared" si="14"/>
        <v>2470</v>
      </c>
      <c r="AL30" s="203">
        <f t="shared" ref="AL30:AL33" si="62">SUM(AJ30)</f>
        <v>247</v>
      </c>
      <c r="AM30" s="203">
        <f t="shared" si="15"/>
        <v>2470</v>
      </c>
      <c r="AN30" s="35">
        <f t="shared" ref="AN30:AN33" si="63">SUM(AO30/19600)</f>
        <v>0.88214285714285712</v>
      </c>
      <c r="AO30" s="36">
        <f t="shared" ref="AO30:AO33" si="64">SUM(AA30+AC30+AE30+AG30+AI30+AK30+AM30)</f>
        <v>17290</v>
      </c>
      <c r="AQ30" s="223">
        <f t="shared" si="37"/>
        <v>0.79695149666732601</v>
      </c>
      <c r="AR30" s="38">
        <f t="shared" si="42"/>
        <v>74092.580645161303</v>
      </c>
      <c r="AS30" s="197">
        <f t="shared" si="38"/>
        <v>0</v>
      </c>
      <c r="AT30" s="355"/>
      <c r="AU30" s="604"/>
      <c r="AV30" s="516">
        <f t="shared" si="43"/>
        <v>0.93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3">
        <f>ELEC!C28</f>
        <v>44312</v>
      </c>
      <c r="B31">
        <f>'B5'!B30</f>
        <v>240</v>
      </c>
      <c r="C31" s="203">
        <f t="shared" si="18"/>
        <v>5163.8709677419356</v>
      </c>
      <c r="D31">
        <f t="shared" si="45"/>
        <v>240</v>
      </c>
      <c r="E31" s="203">
        <f t="shared" si="18"/>
        <v>5163.8709677419356</v>
      </c>
      <c r="F31">
        <f t="shared" si="46"/>
        <v>240</v>
      </c>
      <c r="G31" s="203">
        <f t="shared" si="1"/>
        <v>5163.8709677419356</v>
      </c>
      <c r="H31" s="203">
        <f t="shared" si="47"/>
        <v>240</v>
      </c>
      <c r="I31" s="203">
        <f t="shared" si="2"/>
        <v>5163.8709677419356</v>
      </c>
      <c r="J31" s="203">
        <f t="shared" si="48"/>
        <v>240</v>
      </c>
      <c r="K31" s="203">
        <f t="shared" si="3"/>
        <v>5163.8709677419356</v>
      </c>
      <c r="L31" s="203">
        <f t="shared" si="49"/>
        <v>240</v>
      </c>
      <c r="M31" s="203">
        <f t="shared" si="4"/>
        <v>5163.8709677419356</v>
      </c>
      <c r="N31" s="203">
        <f t="shared" si="50"/>
        <v>240</v>
      </c>
      <c r="O31" s="203">
        <f t="shared" si="5"/>
        <v>5163.8709677419356</v>
      </c>
      <c r="P31" s="203">
        <f t="shared" si="51"/>
        <v>240</v>
      </c>
      <c r="Q31" s="203">
        <f t="shared" si="6"/>
        <v>5163.8709677419356</v>
      </c>
      <c r="R31" s="203">
        <f t="shared" si="52"/>
        <v>240</v>
      </c>
      <c r="S31" s="203">
        <f t="shared" si="7"/>
        <v>5163.8709677419356</v>
      </c>
      <c r="T31" s="203">
        <f t="shared" si="53"/>
        <v>240</v>
      </c>
      <c r="U31" s="203">
        <f t="shared" si="8"/>
        <v>5163.8709677419356</v>
      </c>
      <c r="V31" s="203">
        <f t="shared" si="54"/>
        <v>240</v>
      </c>
      <c r="W31" s="203">
        <f t="shared" si="9"/>
        <v>5163.8709677419356</v>
      </c>
      <c r="X31" s="35">
        <f t="shared" si="55"/>
        <v>0.77419354838709697</v>
      </c>
      <c r="Y31" s="36">
        <f t="shared" si="56"/>
        <v>56802.580645161303</v>
      </c>
      <c r="Z31" s="203">
        <f>'B5'!C30</f>
        <v>247</v>
      </c>
      <c r="AA31" s="203">
        <f t="shared" si="30"/>
        <v>2470</v>
      </c>
      <c r="AB31" s="203">
        <f t="shared" si="57"/>
        <v>247</v>
      </c>
      <c r="AC31" s="203">
        <f t="shared" si="30"/>
        <v>2470</v>
      </c>
      <c r="AD31" s="203">
        <f t="shared" si="58"/>
        <v>247</v>
      </c>
      <c r="AE31" s="203">
        <f t="shared" si="11"/>
        <v>2470</v>
      </c>
      <c r="AF31" s="203">
        <f t="shared" si="59"/>
        <v>247</v>
      </c>
      <c r="AG31" s="203">
        <f t="shared" si="12"/>
        <v>2470</v>
      </c>
      <c r="AH31" s="203">
        <f t="shared" si="60"/>
        <v>247</v>
      </c>
      <c r="AI31" s="203">
        <f t="shared" si="13"/>
        <v>2470</v>
      </c>
      <c r="AJ31" s="203">
        <f t="shared" si="61"/>
        <v>247</v>
      </c>
      <c r="AK31" s="203">
        <f t="shared" si="14"/>
        <v>2470</v>
      </c>
      <c r="AL31" s="203">
        <f t="shared" si="62"/>
        <v>247</v>
      </c>
      <c r="AM31" s="203">
        <f t="shared" si="15"/>
        <v>2470</v>
      </c>
      <c r="AN31" s="35">
        <f t="shared" si="63"/>
        <v>0.88214285714285712</v>
      </c>
      <c r="AO31" s="36">
        <f t="shared" si="64"/>
        <v>17290</v>
      </c>
      <c r="AQ31" s="223">
        <f t="shared" si="37"/>
        <v>0.79695149666732601</v>
      </c>
      <c r="AR31" s="38">
        <f t="shared" si="42"/>
        <v>74092.580645161303</v>
      </c>
      <c r="AS31" s="197">
        <f>SUM(AR31-AR30-AT31)</f>
        <v>0</v>
      </c>
      <c r="AT31" s="355"/>
      <c r="AU31" s="604"/>
      <c r="AV31" s="516">
        <f t="shared" si="43"/>
        <v>0.93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3">
        <f>ELEC!C29</f>
        <v>44313</v>
      </c>
      <c r="B32">
        <f>'B5'!B31</f>
        <v>240</v>
      </c>
      <c r="C32" s="203">
        <f t="shared" si="18"/>
        <v>5163.8709677419356</v>
      </c>
      <c r="D32">
        <f t="shared" si="45"/>
        <v>240</v>
      </c>
      <c r="E32" s="203">
        <f t="shared" si="18"/>
        <v>5163.8709677419356</v>
      </c>
      <c r="F32">
        <f t="shared" si="46"/>
        <v>240</v>
      </c>
      <c r="G32" s="203">
        <f t="shared" si="1"/>
        <v>5163.8709677419356</v>
      </c>
      <c r="H32" s="203">
        <f t="shared" si="47"/>
        <v>240</v>
      </c>
      <c r="I32" s="203">
        <f t="shared" si="2"/>
        <v>5163.8709677419356</v>
      </c>
      <c r="J32" s="203">
        <f t="shared" si="48"/>
        <v>240</v>
      </c>
      <c r="K32" s="203">
        <f t="shared" si="3"/>
        <v>5163.8709677419356</v>
      </c>
      <c r="L32" s="203">
        <f t="shared" si="49"/>
        <v>240</v>
      </c>
      <c r="M32" s="203">
        <f t="shared" si="4"/>
        <v>5163.8709677419356</v>
      </c>
      <c r="N32" s="203">
        <f t="shared" si="50"/>
        <v>240</v>
      </c>
      <c r="O32" s="203">
        <f t="shared" si="5"/>
        <v>5163.8709677419356</v>
      </c>
      <c r="P32" s="203">
        <f t="shared" si="51"/>
        <v>240</v>
      </c>
      <c r="Q32" s="203">
        <f t="shared" si="6"/>
        <v>5163.8709677419356</v>
      </c>
      <c r="R32" s="203">
        <f t="shared" si="52"/>
        <v>240</v>
      </c>
      <c r="S32" s="203">
        <f t="shared" si="7"/>
        <v>5163.8709677419356</v>
      </c>
      <c r="T32" s="203">
        <f t="shared" si="53"/>
        <v>240</v>
      </c>
      <c r="U32" s="203">
        <f t="shared" si="8"/>
        <v>5163.8709677419356</v>
      </c>
      <c r="V32" s="203">
        <f t="shared" si="54"/>
        <v>240</v>
      </c>
      <c r="W32" s="203">
        <f t="shared" si="9"/>
        <v>5163.8709677419356</v>
      </c>
      <c r="X32" s="35">
        <f t="shared" si="55"/>
        <v>0.77419354838709697</v>
      </c>
      <c r="Y32" s="36">
        <f t="shared" si="56"/>
        <v>56802.580645161303</v>
      </c>
      <c r="Z32" s="203">
        <f>'B5'!C31</f>
        <v>247</v>
      </c>
      <c r="AA32" s="203">
        <f t="shared" si="30"/>
        <v>2470</v>
      </c>
      <c r="AB32" s="203">
        <f t="shared" si="57"/>
        <v>247</v>
      </c>
      <c r="AC32" s="203">
        <f t="shared" si="30"/>
        <v>2470</v>
      </c>
      <c r="AD32" s="203">
        <f t="shared" si="58"/>
        <v>247</v>
      </c>
      <c r="AE32" s="203">
        <f t="shared" si="11"/>
        <v>2470</v>
      </c>
      <c r="AF32" s="203">
        <f t="shared" si="59"/>
        <v>247</v>
      </c>
      <c r="AG32" s="203">
        <f t="shared" si="12"/>
        <v>2470</v>
      </c>
      <c r="AH32" s="203">
        <f t="shared" si="60"/>
        <v>247</v>
      </c>
      <c r="AI32" s="203">
        <f t="shared" si="13"/>
        <v>2470</v>
      </c>
      <c r="AJ32" s="203">
        <f t="shared" si="61"/>
        <v>247</v>
      </c>
      <c r="AK32" s="203">
        <f t="shared" si="14"/>
        <v>2470</v>
      </c>
      <c r="AL32" s="203">
        <f t="shared" si="62"/>
        <v>247</v>
      </c>
      <c r="AM32" s="203">
        <f t="shared" si="15"/>
        <v>2470</v>
      </c>
      <c r="AN32" s="35">
        <f t="shared" si="63"/>
        <v>0.88214285714285712</v>
      </c>
      <c r="AO32" s="36">
        <f t="shared" si="64"/>
        <v>17290</v>
      </c>
      <c r="AQ32" s="223">
        <f t="shared" si="37"/>
        <v>0.79695149666732601</v>
      </c>
      <c r="AR32" s="38">
        <f t="shared" si="42"/>
        <v>74092.580645161303</v>
      </c>
      <c r="AS32" s="197">
        <f t="shared" si="38"/>
        <v>0</v>
      </c>
      <c r="AT32" s="355"/>
      <c r="AU32" s="604"/>
      <c r="AV32" s="516">
        <f>IF(AT32&gt;0,AU32,AV31)</f>
        <v>0.93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240</v>
      </c>
      <c r="C33" s="203">
        <f t="shared" si="18"/>
        <v>5163.8709677419356</v>
      </c>
      <c r="D33">
        <f t="shared" si="45"/>
        <v>240</v>
      </c>
      <c r="E33" s="203">
        <f t="shared" si="18"/>
        <v>5163.8709677419356</v>
      </c>
      <c r="F33">
        <f t="shared" si="46"/>
        <v>240</v>
      </c>
      <c r="G33" s="203">
        <f t="shared" si="1"/>
        <v>5163.8709677419356</v>
      </c>
      <c r="H33" s="203">
        <f t="shared" si="47"/>
        <v>240</v>
      </c>
      <c r="I33" s="203">
        <f t="shared" si="2"/>
        <v>5163.8709677419356</v>
      </c>
      <c r="J33" s="203">
        <f t="shared" si="48"/>
        <v>240</v>
      </c>
      <c r="K33" s="203">
        <f t="shared" si="3"/>
        <v>5163.8709677419356</v>
      </c>
      <c r="L33" s="203">
        <f t="shared" si="49"/>
        <v>240</v>
      </c>
      <c r="M33" s="203">
        <f t="shared" si="4"/>
        <v>5163.8709677419356</v>
      </c>
      <c r="N33" s="203">
        <f t="shared" si="50"/>
        <v>240</v>
      </c>
      <c r="O33" s="203">
        <f t="shared" si="5"/>
        <v>5163.8709677419356</v>
      </c>
      <c r="P33" s="203">
        <f t="shared" si="51"/>
        <v>240</v>
      </c>
      <c r="Q33" s="203">
        <f t="shared" si="6"/>
        <v>5163.8709677419356</v>
      </c>
      <c r="R33" s="203">
        <f t="shared" si="52"/>
        <v>240</v>
      </c>
      <c r="S33" s="203">
        <f t="shared" si="7"/>
        <v>5163.8709677419356</v>
      </c>
      <c r="T33" s="203">
        <f t="shared" si="53"/>
        <v>240</v>
      </c>
      <c r="U33" s="203">
        <f t="shared" si="8"/>
        <v>5163.8709677419356</v>
      </c>
      <c r="V33" s="203">
        <f t="shared" si="54"/>
        <v>240</v>
      </c>
      <c r="W33" s="203">
        <f t="shared" si="9"/>
        <v>5163.8709677419356</v>
      </c>
      <c r="X33" s="35">
        <f t="shared" si="55"/>
        <v>0.77419354838709697</v>
      </c>
      <c r="Y33" s="36">
        <f t="shared" si="56"/>
        <v>56802.580645161303</v>
      </c>
      <c r="Z33" s="203">
        <f>'B5'!C32</f>
        <v>247</v>
      </c>
      <c r="AA33" s="203">
        <f t="shared" si="30"/>
        <v>2470</v>
      </c>
      <c r="AB33" s="203">
        <f t="shared" si="57"/>
        <v>247</v>
      </c>
      <c r="AC33" s="203">
        <f t="shared" si="30"/>
        <v>2470</v>
      </c>
      <c r="AD33" s="203">
        <f t="shared" si="58"/>
        <v>247</v>
      </c>
      <c r="AE33" s="203">
        <f t="shared" si="11"/>
        <v>2470</v>
      </c>
      <c r="AF33" s="203">
        <f t="shared" si="59"/>
        <v>247</v>
      </c>
      <c r="AG33" s="203">
        <f t="shared" si="12"/>
        <v>2470</v>
      </c>
      <c r="AH33" s="203">
        <f t="shared" si="60"/>
        <v>247</v>
      </c>
      <c r="AI33" s="203">
        <f t="shared" si="13"/>
        <v>2470</v>
      </c>
      <c r="AJ33" s="203">
        <f t="shared" si="61"/>
        <v>247</v>
      </c>
      <c r="AK33" s="203">
        <f t="shared" si="14"/>
        <v>2470</v>
      </c>
      <c r="AL33" s="203">
        <f t="shared" si="62"/>
        <v>247</v>
      </c>
      <c r="AM33" s="203">
        <f t="shared" si="15"/>
        <v>2470</v>
      </c>
      <c r="AN33" s="35">
        <f t="shared" si="63"/>
        <v>0.88214285714285712</v>
      </c>
      <c r="AO33" s="36">
        <f t="shared" si="64"/>
        <v>17290</v>
      </c>
      <c r="AQ33" s="223">
        <f t="shared" si="37"/>
        <v>0.79695149666732601</v>
      </c>
      <c r="AR33" s="38">
        <f t="shared" si="42"/>
        <v>74092.580645161303</v>
      </c>
      <c r="AS33" s="197">
        <f t="shared" si="38"/>
        <v>0</v>
      </c>
      <c r="AT33" s="355"/>
      <c r="AU33" s="604"/>
      <c r="AV33" s="516">
        <f>IF(AT33&gt;0,AU33,AV32)</f>
        <v>0.93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240</v>
      </c>
      <c r="C34" s="203">
        <f t="shared" ref="C34:C35" si="65">B34*$B$4</f>
        <v>5163.8709677419356</v>
      </c>
      <c r="D34">
        <f t="shared" ref="D34:D35" si="66">SUM(B34)</f>
        <v>240</v>
      </c>
      <c r="E34" s="203">
        <f t="shared" ref="E34:E35" si="67">D34*$B$4</f>
        <v>5163.8709677419356</v>
      </c>
      <c r="F34">
        <f t="shared" ref="F34:F35" si="68">SUM(D34)</f>
        <v>240</v>
      </c>
      <c r="G34" s="203">
        <f t="shared" ref="G34:G35" si="69">F34*$B$4</f>
        <v>5163.8709677419356</v>
      </c>
      <c r="H34" s="203">
        <f t="shared" ref="H34:H35" si="70">SUM(F34)</f>
        <v>240</v>
      </c>
      <c r="I34" s="203">
        <f t="shared" ref="I34:I35" si="71">H34*$B$4</f>
        <v>5163.8709677419356</v>
      </c>
      <c r="J34" s="203">
        <f t="shared" ref="J34:J35" si="72">SUM(H34)</f>
        <v>240</v>
      </c>
      <c r="K34" s="203">
        <f t="shared" ref="K34:K35" si="73">J34*$B$4</f>
        <v>5163.8709677419356</v>
      </c>
      <c r="L34" s="203">
        <f t="shared" ref="L34:L35" si="74">SUM(J34)</f>
        <v>240</v>
      </c>
      <c r="M34" s="203">
        <f t="shared" ref="M34:M35" si="75">L34*$B$4</f>
        <v>5163.8709677419356</v>
      </c>
      <c r="N34" s="203">
        <f t="shared" ref="N34:N35" si="76">SUM(L34)</f>
        <v>240</v>
      </c>
      <c r="O34" s="203">
        <f t="shared" ref="O34:O35" si="77">N34*$B$4</f>
        <v>5163.8709677419356</v>
      </c>
      <c r="P34" s="203">
        <f t="shared" ref="P34:P35" si="78">SUM(N34)</f>
        <v>240</v>
      </c>
      <c r="Q34" s="203">
        <f t="shared" ref="Q34:Q35" si="79">P34*$B$4</f>
        <v>5163.8709677419356</v>
      </c>
      <c r="R34" s="203">
        <f t="shared" ref="R34:R35" si="80">SUM(P34)</f>
        <v>240</v>
      </c>
      <c r="S34" s="203">
        <f t="shared" ref="S34:S35" si="81">R34*$B$4</f>
        <v>5163.8709677419356</v>
      </c>
      <c r="T34" s="203">
        <f t="shared" ref="T34:T35" si="82">SUM(R34)</f>
        <v>240</v>
      </c>
      <c r="U34" s="203">
        <f t="shared" ref="U34:U35" si="83">T34*$B$4</f>
        <v>5163.8709677419356</v>
      </c>
      <c r="V34" s="203">
        <f t="shared" ref="V34:V35" si="84">SUM(T34)</f>
        <v>240</v>
      </c>
      <c r="W34" s="203">
        <f t="shared" ref="W34:W35" si="85">V34*$B$4</f>
        <v>5163.8709677419356</v>
      </c>
      <c r="X34" s="35">
        <f t="shared" ref="X34:X35" si="86">SUM(Y34/73370)</f>
        <v>0.77419354838709697</v>
      </c>
      <c r="Y34" s="36">
        <f t="shared" ref="Y34:Y35" si="87">SUM(C34+E34+G34+I34+K34+M34+O34+Q34+S34+U34+W34)</f>
        <v>56802.580645161303</v>
      </c>
      <c r="Z34" s="203">
        <f>'B5'!C33</f>
        <v>247</v>
      </c>
      <c r="AA34" s="203">
        <f t="shared" ref="AA34:AA35" si="88">SUM(Z34*$Z$4)</f>
        <v>2470</v>
      </c>
      <c r="AB34" s="203">
        <f t="shared" ref="AB34:AB35" si="89">SUM(Z34)</f>
        <v>247</v>
      </c>
      <c r="AC34" s="203">
        <f t="shared" ref="AC34:AC35" si="90">SUM(AB34*$Z$4)</f>
        <v>2470</v>
      </c>
      <c r="AD34" s="203">
        <f t="shared" ref="AD34:AD35" si="91">SUM(AB34)</f>
        <v>247</v>
      </c>
      <c r="AE34" s="203">
        <f t="shared" ref="AE34:AE35" si="92">SUM(AD34*$Z$4)</f>
        <v>2470</v>
      </c>
      <c r="AF34" s="203">
        <f t="shared" ref="AF34:AF35" si="93">SUM(AD34)</f>
        <v>247</v>
      </c>
      <c r="AG34" s="203">
        <f t="shared" ref="AG34:AG35" si="94">SUM(AF34*$Z$4)</f>
        <v>2470</v>
      </c>
      <c r="AH34" s="203">
        <f t="shared" ref="AH34:AH35" si="95">SUM(AF34)</f>
        <v>247</v>
      </c>
      <c r="AI34" s="203">
        <f t="shared" ref="AI34:AI35" si="96">SUM(AH34*$Z$4)</f>
        <v>2470</v>
      </c>
      <c r="AJ34" s="203">
        <f t="shared" ref="AJ34:AJ35" si="97">SUM(AH34)</f>
        <v>247</v>
      </c>
      <c r="AK34" s="203">
        <f t="shared" ref="AK34:AK35" si="98">SUM(AJ34*$Z$4)</f>
        <v>2470</v>
      </c>
      <c r="AL34" s="203">
        <f t="shared" ref="AL34:AL35" si="99">SUM(AJ34)</f>
        <v>247</v>
      </c>
      <c r="AM34" s="203">
        <f t="shared" ref="AM34:AM35" si="100">SUM(AL34*$Z$4)</f>
        <v>2470</v>
      </c>
      <c r="AN34" s="35">
        <f t="shared" ref="AN34:AN35" si="101">SUM(AO34/19600)</f>
        <v>0.88214285714285712</v>
      </c>
      <c r="AO34" s="36">
        <f t="shared" ref="AO34:AO35" si="102">SUM(AA34+AC34+AE34+AG34+AI34+AK34+AM34)</f>
        <v>17290</v>
      </c>
      <c r="AQ34" s="223">
        <f t="shared" ref="AQ34:AQ35" si="103">SUM(AR34/92970)</f>
        <v>0.79695149666732601</v>
      </c>
      <c r="AR34" s="38">
        <f t="shared" si="42"/>
        <v>74092.580645161303</v>
      </c>
      <c r="AS34" s="197">
        <f t="shared" ref="AS34:AS35" si="104">SUM(AR34-AR33-AT34)</f>
        <v>0</v>
      </c>
      <c r="AT34" s="355"/>
      <c r="AU34" s="604"/>
      <c r="AV34" s="516">
        <f t="shared" ref="AV34:AV35" si="105">IF(AT34&gt;0,AU34,AV33)</f>
        <v>0.93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240</v>
      </c>
      <c r="C35" s="203">
        <f t="shared" si="65"/>
        <v>5163.8709677419356</v>
      </c>
      <c r="D35">
        <f t="shared" si="66"/>
        <v>240</v>
      </c>
      <c r="E35" s="203">
        <f t="shared" si="67"/>
        <v>5163.8709677419356</v>
      </c>
      <c r="F35">
        <f t="shared" si="68"/>
        <v>240</v>
      </c>
      <c r="G35" s="203">
        <f t="shared" si="69"/>
        <v>5163.8709677419356</v>
      </c>
      <c r="H35" s="203">
        <f t="shared" si="70"/>
        <v>240</v>
      </c>
      <c r="I35" s="203">
        <f t="shared" si="71"/>
        <v>5163.8709677419356</v>
      </c>
      <c r="J35" s="203">
        <f t="shared" si="72"/>
        <v>240</v>
      </c>
      <c r="K35" s="203">
        <f t="shared" si="73"/>
        <v>5163.8709677419356</v>
      </c>
      <c r="L35" s="203">
        <f t="shared" si="74"/>
        <v>240</v>
      </c>
      <c r="M35" s="203">
        <f t="shared" si="75"/>
        <v>5163.8709677419356</v>
      </c>
      <c r="N35" s="203">
        <f t="shared" si="76"/>
        <v>240</v>
      </c>
      <c r="O35" s="203">
        <f t="shared" si="77"/>
        <v>5163.8709677419356</v>
      </c>
      <c r="P35" s="203">
        <f t="shared" si="78"/>
        <v>240</v>
      </c>
      <c r="Q35" s="203">
        <f t="shared" si="79"/>
        <v>5163.8709677419356</v>
      </c>
      <c r="R35" s="203">
        <f t="shared" si="80"/>
        <v>240</v>
      </c>
      <c r="S35" s="203">
        <f t="shared" si="81"/>
        <v>5163.8709677419356</v>
      </c>
      <c r="T35" s="203">
        <f t="shared" si="82"/>
        <v>240</v>
      </c>
      <c r="U35" s="203">
        <f t="shared" si="83"/>
        <v>5163.8709677419356</v>
      </c>
      <c r="V35" s="203">
        <f t="shared" si="84"/>
        <v>240</v>
      </c>
      <c r="W35" s="203">
        <f t="shared" si="85"/>
        <v>5163.8709677419356</v>
      </c>
      <c r="X35" s="35">
        <f t="shared" si="86"/>
        <v>0.77419354838709697</v>
      </c>
      <c r="Y35" s="36">
        <f t="shared" si="87"/>
        <v>56802.580645161303</v>
      </c>
      <c r="Z35" s="203">
        <f>'B5'!C34</f>
        <v>247</v>
      </c>
      <c r="AA35" s="203">
        <f t="shared" si="88"/>
        <v>2470</v>
      </c>
      <c r="AB35" s="203">
        <f t="shared" si="89"/>
        <v>247</v>
      </c>
      <c r="AC35" s="203">
        <f t="shared" si="90"/>
        <v>2470</v>
      </c>
      <c r="AD35" s="203">
        <f t="shared" si="91"/>
        <v>247</v>
      </c>
      <c r="AE35" s="203">
        <f t="shared" si="92"/>
        <v>2470</v>
      </c>
      <c r="AF35" s="203">
        <f t="shared" si="93"/>
        <v>247</v>
      </c>
      <c r="AG35" s="203">
        <f t="shared" si="94"/>
        <v>2470</v>
      </c>
      <c r="AH35" s="203">
        <f t="shared" si="95"/>
        <v>247</v>
      </c>
      <c r="AI35" s="203">
        <f t="shared" si="96"/>
        <v>2470</v>
      </c>
      <c r="AJ35" s="203">
        <f t="shared" si="97"/>
        <v>247</v>
      </c>
      <c r="AK35" s="203">
        <f t="shared" si="98"/>
        <v>2470</v>
      </c>
      <c r="AL35" s="203">
        <f t="shared" si="99"/>
        <v>247</v>
      </c>
      <c r="AM35" s="203">
        <f t="shared" si="100"/>
        <v>2470</v>
      </c>
      <c r="AN35" s="35">
        <f t="shared" si="101"/>
        <v>0.88214285714285712</v>
      </c>
      <c r="AO35" s="36">
        <f t="shared" si="102"/>
        <v>17290</v>
      </c>
      <c r="AQ35" s="223">
        <f t="shared" si="103"/>
        <v>0.79695149666732601</v>
      </c>
      <c r="AR35" s="38">
        <f t="shared" si="42"/>
        <v>74092.580645161303</v>
      </c>
      <c r="AS35" s="197">
        <f t="shared" si="104"/>
        <v>0</v>
      </c>
      <c r="AT35" s="355"/>
      <c r="AU35" s="604"/>
      <c r="AV35" s="595">
        <f t="shared" si="105"/>
        <v>0.93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3</v>
      </c>
      <c r="AT36" s="203">
        <f>SUM(AT6:AT33)</f>
        <v>36050</v>
      </c>
      <c r="AU36">
        <f>SUM(AU6:AU33)/AS36</f>
        <v>0.95000000000000007</v>
      </c>
      <c r="AX36" s="203">
        <f>SUM(AX6:AX33)</f>
        <v>-23575.741935483849</v>
      </c>
      <c r="AY36" s="203">
        <f>SUM(AY6:AY33)</f>
        <v>-28689.741935483849</v>
      </c>
    </row>
    <row r="37" spans="1:60">
      <c r="AS37" s="206"/>
      <c r="AT37">
        <f>+AT36*AU36</f>
        <v>34247.5</v>
      </c>
    </row>
    <row r="39" spans="1:60">
      <c r="AS39" s="165">
        <f>SUM(AS6:AS33)/'EDl log'!A34</f>
        <v>-1912.6494623655899</v>
      </c>
      <c r="AT39" s="203"/>
    </row>
    <row r="40" spans="1:60">
      <c r="AX40">
        <v>43309</v>
      </c>
    </row>
    <row r="41" spans="1:60">
      <c r="AR41" s="203"/>
      <c r="AX41">
        <f>AX36/AX40</f>
        <v>-0.54436126291264753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9569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6</v>
      </c>
      <c r="B9" s="3">
        <f>ELEC!AF10</f>
        <v>1113</v>
      </c>
      <c r="C9" s="3">
        <f>ELEC!N10</f>
        <v>8207</v>
      </c>
      <c r="D9" s="3">
        <f t="shared" si="0"/>
        <v>3719.9999999990105</v>
      </c>
      <c r="E9" s="3">
        <f>ELEC!Q10</f>
        <v>4487.0000000009895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-78.499999999999957</v>
      </c>
      <c r="J9" s="9">
        <f>'B5'!A11</f>
        <v>44293</v>
      </c>
    </row>
    <row r="10" spans="1:10">
      <c r="A10" s="3">
        <f>ELEC!T11+ELEC!X11+ELEC!AB11</f>
        <v>4</v>
      </c>
      <c r="B10" s="3">
        <f>ELEC!AF11</f>
        <v>695</v>
      </c>
      <c r="C10" s="3">
        <f>ELEC!N11</f>
        <v>7584</v>
      </c>
      <c r="D10" s="3">
        <f t="shared" si="0"/>
        <v>3444.0000000005821</v>
      </c>
      <c r="E10" s="3">
        <f>ELEC!Q11</f>
        <v>4139.9999999994179</v>
      </c>
      <c r="F10" s="3">
        <f>GEN!Z10</f>
        <v>7</v>
      </c>
      <c r="G10" s="3">
        <f>WATER!C13+WATER!H13</f>
        <v>0</v>
      </c>
      <c r="H10" s="3">
        <f>WATER!L13</f>
        <v>0</v>
      </c>
      <c r="I10" s="15">
        <f>WATER!BC13+WATER!BD13+WATER!BE14-Sheet1!G10</f>
        <v>163.40000000000003</v>
      </c>
      <c r="J10" s="9">
        <f>'B5'!A12</f>
        <v>44294</v>
      </c>
    </row>
    <row r="11" spans="1:10">
      <c r="A11" s="3">
        <f>ELEC!T12+ELEC!X12+ELEC!AB12</f>
        <v>2</v>
      </c>
      <c r="B11" s="3">
        <f>ELEC!AF12</f>
        <v>396</v>
      </c>
      <c r="C11" s="3">
        <f>ELEC!N12</f>
        <v>6883</v>
      </c>
      <c r="D11" s="3">
        <f t="shared" si="0"/>
        <v>4048.0000000008731</v>
      </c>
      <c r="E11" s="3">
        <f>ELEC!Q12</f>
        <v>2834.9999999991269</v>
      </c>
      <c r="F11" s="3">
        <f>GEN!Z11</f>
        <v>6</v>
      </c>
      <c r="G11" s="3">
        <f>WATER!C14+WATER!H14</f>
        <v>211</v>
      </c>
      <c r="H11" s="3">
        <f>WATER!L14</f>
        <v>0</v>
      </c>
      <c r="I11" s="15">
        <f>WATER!BC14+WATER!BD14+WATER!BE15-Sheet1!G11</f>
        <v>-368.2000000000001</v>
      </c>
      <c r="J11" s="9">
        <f>'B5'!A13</f>
        <v>44295</v>
      </c>
    </row>
    <row r="12" spans="1:10">
      <c r="A12" s="3">
        <f>ELEC!T13+ELEC!X13+ELEC!AB13</f>
        <v>3</v>
      </c>
      <c r="B12" s="3">
        <f>ELEC!AF13</f>
        <v>557</v>
      </c>
      <c r="C12" s="3">
        <f>ELEC!N13</f>
        <v>6760.7999999998137</v>
      </c>
      <c r="D12" s="3">
        <f t="shared" si="0"/>
        <v>3677.7999999974563</v>
      </c>
      <c r="E12" s="3">
        <f>ELEC!Q13</f>
        <v>3083.0000000023574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104.29999999999998</v>
      </c>
      <c r="J12" s="9">
        <f>'B5'!A14</f>
        <v>44296</v>
      </c>
    </row>
    <row r="13" spans="1:10">
      <c r="A13" s="3">
        <f>ELEC!T14+ELEC!X14+ELEC!AB14</f>
        <v>4</v>
      </c>
      <c r="B13" s="3">
        <f>ELEC!AF14</f>
        <v>731</v>
      </c>
      <c r="C13" s="3">
        <f>ELEC!N14</f>
        <v>7293.2000000001863</v>
      </c>
      <c r="D13" s="3">
        <f t="shared" si="0"/>
        <v>2946.2000000022526</v>
      </c>
      <c r="E13" s="3">
        <f>ELEC!Q14</f>
        <v>4346.9999999979336</v>
      </c>
      <c r="F13" s="3">
        <f>GEN!Z13</f>
        <v>6</v>
      </c>
      <c r="G13" s="3">
        <f>WATER!C16+WATER!H16</f>
        <v>5</v>
      </c>
      <c r="H13" s="3">
        <f>WATER!L16</f>
        <v>0</v>
      </c>
      <c r="I13" s="15">
        <f>WATER!BC16+WATER!BD16+WATER!BE17-Sheet1!G13</f>
        <v>-30.5</v>
      </c>
      <c r="J13" s="9">
        <f>'B5'!A15</f>
        <v>44297</v>
      </c>
    </row>
    <row r="14" spans="1:10">
      <c r="A14" s="3">
        <f>ELEC!T15+ELEC!X15+ELEC!AB15</f>
        <v>4</v>
      </c>
      <c r="B14" s="3">
        <f>ELEC!AF15</f>
        <v>668</v>
      </c>
      <c r="C14" s="3">
        <f>ELEC!N15</f>
        <v>6843</v>
      </c>
      <c r="D14" s="3">
        <f t="shared" si="0"/>
        <v>3586.9999999987776</v>
      </c>
      <c r="E14" s="3">
        <f>ELEC!Q15</f>
        <v>3256.0000000012224</v>
      </c>
      <c r="F14" s="3">
        <f>GEN!Z14</f>
        <v>8</v>
      </c>
      <c r="G14" s="3">
        <f>WATER!C17+WATER!H17</f>
        <v>0</v>
      </c>
      <c r="H14" s="3">
        <f>WATER!L17</f>
        <v>0</v>
      </c>
      <c r="I14" s="15">
        <f>WATER!BC17+WATER!BD17+WATER!BE18-Sheet1!G14</f>
        <v>-21.700000000000045</v>
      </c>
      <c r="J14" s="9">
        <f>'B5'!A16</f>
        <v>44298</v>
      </c>
    </row>
    <row r="15" spans="1:10">
      <c r="A15" s="3">
        <f>ELEC!T16+ELEC!X16+ELEC!AB16</f>
        <v>2</v>
      </c>
      <c r="B15" s="3">
        <f>ELEC!AF16</f>
        <v>545</v>
      </c>
      <c r="C15" s="3">
        <f>ELEC!N16</f>
        <v>6800</v>
      </c>
      <c r="D15" s="3">
        <f t="shared" si="0"/>
        <v>3800</v>
      </c>
      <c r="E15" s="3">
        <f>ELEC!Q16</f>
        <v>3000</v>
      </c>
      <c r="F15" s="3">
        <f>GEN!Z15</f>
        <v>6</v>
      </c>
      <c r="G15" s="3">
        <f>WATER!C18+WATER!H18</f>
        <v>0</v>
      </c>
      <c r="H15" s="3">
        <f>WATER!L18</f>
        <v>2</v>
      </c>
      <c r="I15" s="15">
        <f>WATER!BC18+WATER!BD18+WATER!BE19-Sheet1!G15</f>
        <v>-17.699999999999932</v>
      </c>
      <c r="J15" s="9">
        <f>'B5'!A17</f>
        <v>44299</v>
      </c>
    </row>
    <row r="16" spans="1:10">
      <c r="A16" s="3">
        <f>ELEC!T17+ELEC!X17+ELEC!AB17</f>
        <v>4</v>
      </c>
      <c r="B16" s="3">
        <f>ELEC!AF17</f>
        <v>773</v>
      </c>
      <c r="C16" s="3">
        <f>ELEC!N17</f>
        <v>7587</v>
      </c>
      <c r="D16" s="3">
        <f t="shared" si="0"/>
        <v>2587</v>
      </c>
      <c r="E16" s="3">
        <f>ELEC!Q17</f>
        <v>5000</v>
      </c>
      <c r="F16" s="3">
        <f>GEN!Z16</f>
        <v>6</v>
      </c>
      <c r="G16" s="3">
        <f>WATER!C19+WATER!H19</f>
        <v>0</v>
      </c>
      <c r="H16" s="3">
        <f>WATER!L19</f>
        <v>1</v>
      </c>
      <c r="I16" s="15">
        <f>WATER!BC19+WATER!BD19+WATER!BE20-Sheet1!G16</f>
        <v>-24.699999999999932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8</v>
      </c>
      <c r="G17" s="3">
        <f>WATER!C20+WATER!H20</f>
        <v>0</v>
      </c>
      <c r="H17" s="3">
        <f>WATER!L20</f>
        <v>0</v>
      </c>
      <c r="I17" s="15">
        <f>WATER!BC20+WATER!BD20+WATER!BE21-Sheet1!G17</f>
        <v>-15.599999999999994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-28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28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6" t="s">
        <v>119</v>
      </c>
      <c r="C1" s="646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43" t="s">
        <v>115</v>
      </c>
      <c r="I1" s="644" t="s">
        <v>116</v>
      </c>
      <c r="J1" s="643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9"/>
      <c r="B2" s="647"/>
      <c r="C2" s="647"/>
      <c r="D2" s="650"/>
      <c r="E2" s="650"/>
      <c r="F2" s="651"/>
      <c r="G2" s="652"/>
      <c r="H2" s="643"/>
      <c r="I2" s="645"/>
      <c r="J2" s="643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308</v>
      </c>
      <c r="C12" s="76">
        <f>'B5'!AH12</f>
        <v>108</v>
      </c>
      <c r="D12" s="76">
        <f>GEN!AI10</f>
        <v>1154.8818565403392</v>
      </c>
      <c r="E12" s="242">
        <f t="shared" si="0"/>
        <v>1570.8818565403392</v>
      </c>
      <c r="F12" s="75">
        <f>WATER!L12</f>
        <v>0</v>
      </c>
      <c r="G12" s="78">
        <f>WATER!BG12</f>
        <v>18.000000000000028</v>
      </c>
      <c r="H12" s="79">
        <f>ELEC!AF10</f>
        <v>1113</v>
      </c>
      <c r="I12" s="79">
        <f>ELEC!Q10</f>
        <v>4487.0000000009895</v>
      </c>
      <c r="J12" s="79">
        <f>ELEC!R10</f>
        <v>3719.9999999990105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326</v>
      </c>
      <c r="C13" s="76">
        <f>'B5'!AH13</f>
        <v>0</v>
      </c>
      <c r="D13" s="76">
        <f>GEN!AI11</f>
        <v>1065.5696202530148</v>
      </c>
      <c r="E13" s="242">
        <f t="shared" si="0"/>
        <v>1391.5696202530148</v>
      </c>
      <c r="F13" s="75">
        <f>WATER!L13</f>
        <v>0</v>
      </c>
      <c r="G13" s="78">
        <f>WATER!BG13</f>
        <v>-46.899999999999991</v>
      </c>
      <c r="H13" s="79">
        <f>ELEC!AF11</f>
        <v>695</v>
      </c>
      <c r="I13" s="79">
        <f>ELEC!Q11</f>
        <v>4139.9999999994179</v>
      </c>
      <c r="J13" s="79">
        <f>ELEC!R11</f>
        <v>3444.0000000005821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409</v>
      </c>
      <c r="C14" s="76">
        <f>'B5'!AH14</f>
        <v>0</v>
      </c>
      <c r="D14" s="76">
        <f>GEN!AI12</f>
        <v>729.68354430357283</v>
      </c>
      <c r="E14" s="242">
        <f t="shared" si="0"/>
        <v>1138.6835443035729</v>
      </c>
      <c r="F14" s="75">
        <f>WATER!L14</f>
        <v>0</v>
      </c>
      <c r="G14" s="78">
        <f>WATER!BG14</f>
        <v>89.7</v>
      </c>
      <c r="H14" s="79">
        <f>ELEC!AF12</f>
        <v>396</v>
      </c>
      <c r="I14" s="79">
        <f>ELEC!Q12</f>
        <v>2834.9999999991269</v>
      </c>
      <c r="J14" s="79">
        <f>ELEC!R12</f>
        <v>4048.0000000008731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368</v>
      </c>
      <c r="C15" s="76">
        <f>'B5'!AH15</f>
        <v>0</v>
      </c>
      <c r="D15" s="76">
        <f>GEN!AI13</f>
        <v>793.51476793309632</v>
      </c>
      <c r="E15" s="242">
        <f t="shared" si="0"/>
        <v>1161.5147679330962</v>
      </c>
      <c r="F15" s="75">
        <f>WATER!L15</f>
        <v>0</v>
      </c>
      <c r="G15" s="78">
        <f>WATER!BG15</f>
        <v>-143.40000000000009</v>
      </c>
      <c r="H15" s="79">
        <f>ELEC!AF13</f>
        <v>557</v>
      </c>
      <c r="I15" s="79">
        <f>ELEC!Q13</f>
        <v>3083.0000000023574</v>
      </c>
      <c r="J15" s="79">
        <f>ELEC!R13</f>
        <v>3677.7999999974563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367</v>
      </c>
      <c r="C16" s="76">
        <f>'B5'!AH16</f>
        <v>0</v>
      </c>
      <c r="D16" s="76">
        <f>GEN!AI14</f>
        <v>1118.848101265291</v>
      </c>
      <c r="E16" s="242">
        <f t="shared" si="0"/>
        <v>1485.848101265291</v>
      </c>
      <c r="F16" s="75">
        <f>WATER!L16</f>
        <v>0</v>
      </c>
      <c r="G16" s="78">
        <f>WATER!BG16</f>
        <v>114.50000000000006</v>
      </c>
      <c r="H16" s="79">
        <f>ELEC!AF14</f>
        <v>731</v>
      </c>
      <c r="I16" s="79">
        <f>ELEC!Q14</f>
        <v>4346.9999999979336</v>
      </c>
      <c r="J16" s="79">
        <f>ELEC!R14</f>
        <v>2946.2000000022526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113</v>
      </c>
      <c r="C17" s="76">
        <f>'B5'!AH17</f>
        <v>0</v>
      </c>
      <c r="D17" s="76">
        <f>GEN!AI15</f>
        <v>838.04219409314169</v>
      </c>
      <c r="E17" s="242">
        <f t="shared" si="0"/>
        <v>951.04219409314169</v>
      </c>
      <c r="F17" s="75">
        <f>WATER!L17</f>
        <v>0</v>
      </c>
      <c r="G17" s="78">
        <f>WATER!BG17</f>
        <v>-13.100000000000051</v>
      </c>
      <c r="H17" s="79">
        <f>ELEC!AF15</f>
        <v>668</v>
      </c>
      <c r="I17" s="79">
        <f>ELEC!Q15</f>
        <v>3256.0000000012224</v>
      </c>
      <c r="J17" s="79">
        <f>ELEC!R15</f>
        <v>3586.9999999987776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591</v>
      </c>
      <c r="C18" s="76">
        <f>'B5'!AH18</f>
        <v>0</v>
      </c>
      <c r="D18" s="76">
        <f>GEN!AI16</f>
        <v>772.15189873417728</v>
      </c>
      <c r="E18" s="242">
        <f t="shared" si="0"/>
        <v>1363.1518987341774</v>
      </c>
      <c r="F18" s="75">
        <f>WATER!L18</f>
        <v>2</v>
      </c>
      <c r="G18" s="78">
        <f>WATER!BG18</f>
        <v>-8.5999999999999943</v>
      </c>
      <c r="H18" s="79">
        <f>ELEC!AF16</f>
        <v>545</v>
      </c>
      <c r="I18" s="79">
        <f>ELEC!Q16</f>
        <v>3000</v>
      </c>
      <c r="J18" s="79">
        <f>ELEC!R16</f>
        <v>3800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291</v>
      </c>
      <c r="C19" s="76">
        <f>'B5'!AH19</f>
        <v>0</v>
      </c>
      <c r="D19" s="76">
        <f>GEN!AI17</f>
        <v>1286.9198312236288</v>
      </c>
      <c r="E19" s="242">
        <f t="shared" si="0"/>
        <v>1577.9198312236288</v>
      </c>
      <c r="F19" s="75">
        <f>WATER!L19</f>
        <v>1</v>
      </c>
      <c r="G19" s="78">
        <f>WATER!BG19</f>
        <v>-9.0999999999999375</v>
      </c>
      <c r="H19" s="79">
        <f>ELEC!AF17</f>
        <v>773</v>
      </c>
      <c r="I19" s="79">
        <f>ELEC!Q17</f>
        <v>5000</v>
      </c>
      <c r="J19" s="79">
        <f>ELEC!R17</f>
        <v>2587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-15.599999999999994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-28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28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6</v>
      </c>
      <c r="E17">
        <f t="shared" si="0"/>
        <v>540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169843</v>
      </c>
      <c r="E18">
        <f t="shared" si="0"/>
        <v>15285870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zoomScale="112" zoomScaleNormal="112" workbookViewId="0">
      <pane ySplit="1" topLeftCell="A3" activePane="bottomLeft" state="frozen"/>
      <selection pane="bottomLeft" activeCell="D17" sqref="D1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f>436413+U3</f>
        <v>438913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T4:T32" si="15">436413+U4</f>
        <v>436663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f t="shared" si="15"/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f t="shared" si="15"/>
        <v>440913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f t="shared" si="15"/>
        <v>440163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2">
        <v>12090</v>
      </c>
      <c r="S8" s="287">
        <f t="shared" si="4"/>
        <v>14</v>
      </c>
      <c r="T8" s="538">
        <f t="shared" si="15"/>
        <v>439913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2">
        <v>12098</v>
      </c>
      <c r="S9" s="287">
        <f t="shared" si="4"/>
        <v>8</v>
      </c>
      <c r="T9" s="538">
        <f t="shared" si="15"/>
        <v>438413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.7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v>12105</v>
      </c>
      <c r="S10" s="287">
        <f t="shared" si="4"/>
        <v>7</v>
      </c>
      <c r="T10" s="538">
        <f t="shared" si="15"/>
        <v>438163</v>
      </c>
      <c r="U10" s="287">
        <f t="shared" si="16"/>
        <v>1750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7</v>
      </c>
      <c r="AA10" s="287">
        <f t="shared" si="17"/>
        <v>1750</v>
      </c>
      <c r="AB10" s="287">
        <f t="shared" si="18"/>
        <v>250</v>
      </c>
      <c r="AC10" s="287">
        <f t="shared" si="19"/>
        <v>250</v>
      </c>
      <c r="AD10" s="73">
        <f>ELEC!Q10</f>
        <v>4487.0000000009895</v>
      </c>
      <c r="AE10" s="73">
        <f t="shared" si="23"/>
        <v>641.00000000014131</v>
      </c>
      <c r="AF10" s="403">
        <f t="shared" si="24"/>
        <v>0.40062500000008833</v>
      </c>
      <c r="AG10" s="404">
        <f t="shared" si="25"/>
        <v>128.20000000002827</v>
      </c>
      <c r="AH10" s="404">
        <f t="shared" si="20"/>
        <v>121.79999999997173</v>
      </c>
      <c r="AI10" s="73">
        <f t="shared" si="26"/>
        <v>1154.8818565403392</v>
      </c>
      <c r="AJ10" s="289">
        <f t="shared" si="7"/>
        <v>0.25738396624472576</v>
      </c>
      <c r="AK10" s="289">
        <f t="shared" si="29"/>
        <v>164.98312236290559</v>
      </c>
    </row>
    <row r="11" spans="1:37" ht="15.7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v>12111</v>
      </c>
      <c r="S11" s="287">
        <f t="shared" si="4"/>
        <v>6</v>
      </c>
      <c r="T11" s="538">
        <f t="shared" si="15"/>
        <v>437913</v>
      </c>
      <c r="U11" s="287">
        <f t="shared" si="16"/>
        <v>1500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6</v>
      </c>
      <c r="AA11" s="287">
        <f t="shared" si="17"/>
        <v>1500</v>
      </c>
      <c r="AB11" s="287">
        <f t="shared" si="18"/>
        <v>250</v>
      </c>
      <c r="AC11" s="287">
        <f t="shared" si="19"/>
        <v>250</v>
      </c>
      <c r="AD11" s="73">
        <f>ELEC!Q11</f>
        <v>4139.9999999994179</v>
      </c>
      <c r="AE11" s="73">
        <f t="shared" si="23"/>
        <v>689.99999999990303</v>
      </c>
      <c r="AF11" s="403">
        <f t="shared" si="24"/>
        <v>0.4312499999999394</v>
      </c>
      <c r="AG11" s="404">
        <f t="shared" si="25"/>
        <v>137.99999999998062</v>
      </c>
      <c r="AH11" s="404">
        <f t="shared" si="20"/>
        <v>112.00000000001938</v>
      </c>
      <c r="AI11" s="73">
        <f t="shared" si="26"/>
        <v>1065.5696202530148</v>
      </c>
      <c r="AJ11" s="289">
        <f t="shared" si="7"/>
        <v>0.25738396624472576</v>
      </c>
      <c r="AK11" s="289">
        <f t="shared" si="29"/>
        <v>177.5949367088358</v>
      </c>
    </row>
    <row r="12" spans="1:37" ht="15.7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v>12118</v>
      </c>
      <c r="S12" s="287">
        <f t="shared" si="4"/>
        <v>7</v>
      </c>
      <c r="T12" s="538">
        <f t="shared" si="15"/>
        <v>438163</v>
      </c>
      <c r="U12" s="287">
        <f t="shared" si="16"/>
        <v>1750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7</v>
      </c>
      <c r="AA12" s="287">
        <f t="shared" si="17"/>
        <v>1750</v>
      </c>
      <c r="AB12" s="287">
        <f t="shared" si="18"/>
        <v>250</v>
      </c>
      <c r="AC12" s="287">
        <f t="shared" si="19"/>
        <v>250</v>
      </c>
      <c r="AD12" s="73">
        <f>ELEC!Q12</f>
        <v>2834.9999999991269</v>
      </c>
      <c r="AE12" s="73">
        <f t="shared" si="23"/>
        <v>404.99999999987529</v>
      </c>
      <c r="AF12" s="403">
        <f t="shared" si="24"/>
        <v>0.25312499999992205</v>
      </c>
      <c r="AG12" s="404">
        <f t="shared" si="25"/>
        <v>80.99999999997506</v>
      </c>
      <c r="AH12" s="404">
        <f t="shared" si="20"/>
        <v>169.00000000002495</v>
      </c>
      <c r="AI12" s="73">
        <f t="shared" si="26"/>
        <v>729.68354430357283</v>
      </c>
      <c r="AJ12" s="289">
        <f t="shared" si="7"/>
        <v>0.25738396624472576</v>
      </c>
      <c r="AK12" s="289">
        <f t="shared" si="29"/>
        <v>104.24050632908184</v>
      </c>
    </row>
    <row r="13" spans="1:37" ht="15.7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v>12124</v>
      </c>
      <c r="S13" s="287">
        <f t="shared" si="4"/>
        <v>6</v>
      </c>
      <c r="T13" s="538">
        <f t="shared" si="15"/>
        <v>437913</v>
      </c>
      <c r="U13" s="287">
        <f t="shared" si="16"/>
        <v>1500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6</v>
      </c>
      <c r="AA13" s="287">
        <f t="shared" si="17"/>
        <v>1500</v>
      </c>
      <c r="AB13" s="287">
        <f t="shared" si="18"/>
        <v>250</v>
      </c>
      <c r="AC13" s="287">
        <f t="shared" si="19"/>
        <v>250</v>
      </c>
      <c r="AD13" s="73">
        <f>ELEC!Q13</f>
        <v>3083.0000000023574</v>
      </c>
      <c r="AE13" s="73">
        <f t="shared" si="23"/>
        <v>513.83333333372627</v>
      </c>
      <c r="AF13" s="403">
        <f t="shared" si="24"/>
        <v>0.32114583333357893</v>
      </c>
      <c r="AG13" s="404">
        <f t="shared" si="25"/>
        <v>102.76666666674527</v>
      </c>
      <c r="AH13" s="404">
        <f t="shared" si="20"/>
        <v>147.23333333325473</v>
      </c>
      <c r="AI13" s="73">
        <f t="shared" si="26"/>
        <v>793.51476793309632</v>
      </c>
      <c r="AJ13" s="289">
        <f t="shared" si="7"/>
        <v>0.25738396624472576</v>
      </c>
      <c r="AK13" s="289">
        <f t="shared" si="29"/>
        <v>132.25246132218271</v>
      </c>
    </row>
    <row r="14" spans="1:37" ht="15.7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602">
        <v>12132</v>
      </c>
      <c r="S14" s="287">
        <f t="shared" si="4"/>
        <v>8</v>
      </c>
      <c r="T14" s="538">
        <f t="shared" si="15"/>
        <v>438413</v>
      </c>
      <c r="U14" s="287">
        <f t="shared" si="16"/>
        <v>2000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8</v>
      </c>
      <c r="AA14" s="287">
        <f t="shared" si="17"/>
        <v>2000</v>
      </c>
      <c r="AB14" s="287">
        <f t="shared" si="18"/>
        <v>250</v>
      </c>
      <c r="AC14" s="287">
        <f t="shared" si="19"/>
        <v>250</v>
      </c>
      <c r="AD14" s="73">
        <f>ELEC!Q14</f>
        <v>4346.9999999979336</v>
      </c>
      <c r="AE14" s="73">
        <f t="shared" si="23"/>
        <v>543.3749999997417</v>
      </c>
      <c r="AF14" s="403">
        <f t="shared" si="24"/>
        <v>0.33960937499983856</v>
      </c>
      <c r="AG14" s="404">
        <f t="shared" si="25"/>
        <v>108.67499999994834</v>
      </c>
      <c r="AH14" s="404">
        <f t="shared" si="20"/>
        <v>141.32500000005166</v>
      </c>
      <c r="AI14" s="73">
        <f t="shared" si="26"/>
        <v>1118.848101265291</v>
      </c>
      <c r="AJ14" s="289">
        <f t="shared" si="7"/>
        <v>0.25738396624472576</v>
      </c>
      <c r="AK14" s="289">
        <f t="shared" si="29"/>
        <v>139.85601265816138</v>
      </c>
    </row>
    <row r="15" spans="1:37" ht="15.75" thickBot="1">
      <c r="A15" s="4">
        <f>ELEC!C15</f>
        <v>44299</v>
      </c>
      <c r="B15" s="537">
        <v>9812</v>
      </c>
      <c r="C15" s="287">
        <f t="shared" si="9"/>
        <v>3</v>
      </c>
      <c r="D15" s="538">
        <v>372220</v>
      </c>
      <c r="E15" s="287">
        <f t="shared" si="10"/>
        <v>630</v>
      </c>
      <c r="F15" s="287">
        <f t="shared" si="0"/>
        <v>210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602">
        <v>12135</v>
      </c>
      <c r="S15" s="287">
        <f t="shared" si="4"/>
        <v>3</v>
      </c>
      <c r="T15" s="538">
        <f t="shared" si="15"/>
        <v>437163</v>
      </c>
      <c r="U15" s="287">
        <f t="shared" si="16"/>
        <v>750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6</v>
      </c>
      <c r="AA15" s="287">
        <f t="shared" si="17"/>
        <v>1380</v>
      </c>
      <c r="AB15" s="287">
        <f t="shared" si="18"/>
        <v>460</v>
      </c>
      <c r="AC15" s="287">
        <f t="shared" si="19"/>
        <v>230</v>
      </c>
      <c r="AD15" s="73">
        <f>ELEC!Q15</f>
        <v>3256.0000000012224</v>
      </c>
      <c r="AE15" s="73">
        <f t="shared" si="23"/>
        <v>542.66666666687036</v>
      </c>
      <c r="AF15" s="403">
        <f t="shared" si="24"/>
        <v>0.33916666666679396</v>
      </c>
      <c r="AG15" s="404">
        <f t="shared" si="25"/>
        <v>108.53333333337406</v>
      </c>
      <c r="AH15" s="404">
        <f t="shared" si="20"/>
        <v>121.46666666662594</v>
      </c>
      <c r="AI15" s="73">
        <f t="shared" si="26"/>
        <v>838.04219409314169</v>
      </c>
      <c r="AJ15" s="289">
        <f t="shared" si="7"/>
        <v>0.25738396624472576</v>
      </c>
      <c r="AK15" s="289">
        <f t="shared" si="29"/>
        <v>139.67369901552362</v>
      </c>
    </row>
    <row r="16" spans="1:37" ht="15.75" thickBot="1">
      <c r="A16" s="4">
        <f>ELEC!C16</f>
        <v>44300</v>
      </c>
      <c r="B16" s="537">
        <v>9818</v>
      </c>
      <c r="C16" s="287">
        <f t="shared" si="9"/>
        <v>6</v>
      </c>
      <c r="D16" s="538">
        <v>373994</v>
      </c>
      <c r="E16" s="287">
        <f t="shared" si="10"/>
        <v>1774</v>
      </c>
      <c r="F16" s="287">
        <f t="shared" si="0"/>
        <v>295.66666666666669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f t="shared" ref="R16:R32" si="31">R15</f>
        <v>12135</v>
      </c>
      <c r="S16" s="287">
        <f t="shared" si="4"/>
        <v>0</v>
      </c>
      <c r="T16" s="538">
        <f t="shared" si="15"/>
        <v>436413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6</v>
      </c>
      <c r="AA16" s="287">
        <f t="shared" si="17"/>
        <v>1774</v>
      </c>
      <c r="AB16" s="287">
        <f t="shared" si="18"/>
        <v>545.66666666666674</v>
      </c>
      <c r="AC16" s="287">
        <f t="shared" si="19"/>
        <v>295.66666666666669</v>
      </c>
      <c r="AD16" s="73">
        <f>ELEC!Q16</f>
        <v>3000</v>
      </c>
      <c r="AE16" s="73">
        <f t="shared" si="23"/>
        <v>500</v>
      </c>
      <c r="AF16" s="403">
        <f t="shared" si="24"/>
        <v>0.3125</v>
      </c>
      <c r="AG16" s="404">
        <f t="shared" si="25"/>
        <v>100</v>
      </c>
      <c r="AH16" s="404">
        <f t="shared" si="20"/>
        <v>195.66666666666669</v>
      </c>
      <c r="AI16" s="73">
        <f t="shared" si="26"/>
        <v>772.15189873417728</v>
      </c>
      <c r="AJ16" s="289">
        <f t="shared" si="7"/>
        <v>0.25738396624472576</v>
      </c>
      <c r="AK16" s="289">
        <f t="shared" si="29"/>
        <v>128.69198312236287</v>
      </c>
    </row>
    <row r="17" spans="1:37" ht="15.75" thickBot="1">
      <c r="A17" s="4">
        <f>ELEC!C17</f>
        <v>44301</v>
      </c>
      <c r="B17" s="717">
        <v>9826</v>
      </c>
      <c r="C17" s="287">
        <f t="shared" si="9"/>
        <v>8</v>
      </c>
      <c r="D17" s="270">
        <v>375483</v>
      </c>
      <c r="E17" s="287">
        <f t="shared" si="10"/>
        <v>1489</v>
      </c>
      <c r="F17" s="287">
        <f t="shared" si="0"/>
        <v>186.125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si="31"/>
        <v>12135</v>
      </c>
      <c r="S17" s="287">
        <f t="shared" si="4"/>
        <v>0</v>
      </c>
      <c r="T17" s="538">
        <f t="shared" si="15"/>
        <v>436413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8</v>
      </c>
      <c r="AA17" s="287">
        <f t="shared" si="17"/>
        <v>1489</v>
      </c>
      <c r="AB17" s="287">
        <f t="shared" si="18"/>
        <v>436.125</v>
      </c>
      <c r="AC17" s="287">
        <f t="shared" si="19"/>
        <v>186.125</v>
      </c>
      <c r="AD17" s="73">
        <f>ELEC!Q17</f>
        <v>5000</v>
      </c>
      <c r="AE17" s="73">
        <f t="shared" si="23"/>
        <v>625</v>
      </c>
      <c r="AF17" s="403">
        <f t="shared" si="24"/>
        <v>0.390625</v>
      </c>
      <c r="AG17" s="404">
        <f t="shared" si="25"/>
        <v>125</v>
      </c>
      <c r="AH17" s="404">
        <f t="shared" si="20"/>
        <v>61.125</v>
      </c>
      <c r="AI17" s="73">
        <f t="shared" si="26"/>
        <v>1286.9198312236288</v>
      </c>
      <c r="AJ17" s="289">
        <f t="shared" si="7"/>
        <v>0.25738396624472576</v>
      </c>
      <c r="AK17" s="289">
        <f t="shared" ref="AK17:AK30" si="32">IF(Z17&gt;0,AI17/Z17,0)</f>
        <v>160.8649789029536</v>
      </c>
    </row>
    <row r="18" spans="1:37" ht="15.75" thickBot="1">
      <c r="A18" s="4">
        <f>ELEC!C18</f>
        <v>44302</v>
      </c>
      <c r="B18" s="537">
        <f t="shared" si="28"/>
        <v>9826</v>
      </c>
      <c r="C18" s="287">
        <f t="shared" si="9"/>
        <v>0</v>
      </c>
      <c r="D18" s="538">
        <f t="shared" si="27"/>
        <v>375483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31"/>
        <v>12135</v>
      </c>
      <c r="S18" s="287">
        <f t="shared" si="4"/>
        <v>0</v>
      </c>
      <c r="T18" s="538">
        <f t="shared" si="15"/>
        <v>436413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44303</v>
      </c>
      <c r="B19" s="537">
        <f t="shared" si="28"/>
        <v>9826</v>
      </c>
      <c r="C19" s="287">
        <f t="shared" si="9"/>
        <v>0</v>
      </c>
      <c r="D19" s="538">
        <f t="shared" si="27"/>
        <v>375483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8">
        <f t="shared" si="31"/>
        <v>12135</v>
      </c>
      <c r="S19" s="287">
        <f t="shared" si="4"/>
        <v>0</v>
      </c>
      <c r="T19" s="538">
        <f t="shared" si="15"/>
        <v>436413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44304</v>
      </c>
      <c r="B20" s="537">
        <f t="shared" si="28"/>
        <v>9826</v>
      </c>
      <c r="C20" s="287">
        <f>B20-B19</f>
        <v>0</v>
      </c>
      <c r="D20" s="538">
        <f t="shared" si="27"/>
        <v>375483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8">
        <f t="shared" si="31"/>
        <v>12135</v>
      </c>
      <c r="S20" s="287">
        <f t="shared" si="4"/>
        <v>0</v>
      </c>
      <c r="T20" s="538">
        <f t="shared" si="15"/>
        <v>436413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44305</v>
      </c>
      <c r="B21" s="537">
        <f t="shared" si="28"/>
        <v>9826</v>
      </c>
      <c r="C21" s="287">
        <f t="shared" ref="C21" si="34">B21-B20</f>
        <v>0</v>
      </c>
      <c r="D21" s="538">
        <f t="shared" si="27"/>
        <v>375483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8">
        <f t="shared" si="31"/>
        <v>12135</v>
      </c>
      <c r="S21" s="287">
        <f t="shared" si="4"/>
        <v>0</v>
      </c>
      <c r="T21" s="538">
        <f t="shared" si="15"/>
        <v>436413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44306</v>
      </c>
      <c r="B22" s="537">
        <f t="shared" si="28"/>
        <v>9826</v>
      </c>
      <c r="C22" s="287">
        <f t="shared" si="9"/>
        <v>0</v>
      </c>
      <c r="D22" s="538">
        <f t="shared" si="27"/>
        <v>375483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8">
        <f t="shared" si="31"/>
        <v>12135</v>
      </c>
      <c r="S22" s="287">
        <f t="shared" si="4"/>
        <v>0</v>
      </c>
      <c r="T22" s="538">
        <f t="shared" si="15"/>
        <v>436413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44307</v>
      </c>
      <c r="B23" s="537">
        <f t="shared" si="28"/>
        <v>9826</v>
      </c>
      <c r="C23" s="287">
        <f t="shared" si="9"/>
        <v>0</v>
      </c>
      <c r="D23" s="538">
        <f t="shared" si="27"/>
        <v>375483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8">
        <f t="shared" si="31"/>
        <v>12135</v>
      </c>
      <c r="S23" s="287">
        <f>R23-R22</f>
        <v>0</v>
      </c>
      <c r="T23" s="538">
        <f t="shared" si="15"/>
        <v>436413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5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44308</v>
      </c>
      <c r="B24" s="537">
        <f t="shared" si="28"/>
        <v>9826</v>
      </c>
      <c r="C24" s="287">
        <f t="shared" si="9"/>
        <v>0</v>
      </c>
      <c r="D24" s="538">
        <f t="shared" si="27"/>
        <v>375483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8">
        <f t="shared" si="31"/>
        <v>12135</v>
      </c>
      <c r="S24" s="287">
        <f t="shared" si="4"/>
        <v>0</v>
      </c>
      <c r="T24" s="538">
        <f t="shared" si="15"/>
        <v>436413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5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44309</v>
      </c>
      <c r="B25" s="537">
        <f t="shared" si="28"/>
        <v>9826</v>
      </c>
      <c r="C25" s="287">
        <f t="shared" si="9"/>
        <v>0</v>
      </c>
      <c r="D25" s="538">
        <f t="shared" si="27"/>
        <v>375483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8">
        <f t="shared" si="31"/>
        <v>12135</v>
      </c>
      <c r="S25" s="287">
        <f t="shared" si="4"/>
        <v>0</v>
      </c>
      <c r="T25" s="538">
        <f t="shared" si="15"/>
        <v>436413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5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44310</v>
      </c>
      <c r="B26" s="537">
        <f t="shared" si="28"/>
        <v>9826</v>
      </c>
      <c r="C26" s="287">
        <f t="shared" si="9"/>
        <v>0</v>
      </c>
      <c r="D26" s="538">
        <f t="shared" si="27"/>
        <v>375483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8">
        <f t="shared" si="31"/>
        <v>12135</v>
      </c>
      <c r="S26" s="287">
        <f t="shared" si="4"/>
        <v>0</v>
      </c>
      <c r="T26" s="538">
        <f t="shared" si="15"/>
        <v>436413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5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44311</v>
      </c>
      <c r="B27" s="537">
        <f t="shared" si="28"/>
        <v>9826</v>
      </c>
      <c r="C27" s="287">
        <f t="shared" si="9"/>
        <v>0</v>
      </c>
      <c r="D27" s="538">
        <f t="shared" si="27"/>
        <v>375483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8">
        <f t="shared" si="31"/>
        <v>12135</v>
      </c>
      <c r="S27" s="287">
        <f t="shared" si="4"/>
        <v>0</v>
      </c>
      <c r="T27" s="538">
        <f t="shared" si="15"/>
        <v>436413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5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44312</v>
      </c>
      <c r="B28" s="537">
        <f t="shared" si="28"/>
        <v>9826</v>
      </c>
      <c r="C28" s="287">
        <f t="shared" si="9"/>
        <v>0</v>
      </c>
      <c r="D28" s="538">
        <f t="shared" si="27"/>
        <v>375483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8">
        <f t="shared" si="31"/>
        <v>12135</v>
      </c>
      <c r="S28" s="287">
        <f t="shared" si="4"/>
        <v>0</v>
      </c>
      <c r="T28" s="538">
        <f t="shared" si="15"/>
        <v>436413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5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44313</v>
      </c>
      <c r="B29" s="537">
        <f t="shared" si="28"/>
        <v>9826</v>
      </c>
      <c r="C29" s="287">
        <f t="shared" si="9"/>
        <v>0</v>
      </c>
      <c r="D29" s="538">
        <f t="shared" si="27"/>
        <v>375483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8">
        <f t="shared" si="31"/>
        <v>12135</v>
      </c>
      <c r="S29" s="287">
        <f t="shared" si="4"/>
        <v>0</v>
      </c>
      <c r="T29" s="538">
        <f t="shared" si="15"/>
        <v>436413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5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44314</v>
      </c>
      <c r="B30" s="537">
        <f t="shared" si="28"/>
        <v>9826</v>
      </c>
      <c r="C30" s="287">
        <f t="shared" si="9"/>
        <v>0</v>
      </c>
      <c r="D30" s="538">
        <f t="shared" si="27"/>
        <v>375483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8">
        <f t="shared" si="31"/>
        <v>12135</v>
      </c>
      <c r="S30" s="287">
        <f t="shared" si="4"/>
        <v>0</v>
      </c>
      <c r="T30" s="538">
        <f t="shared" si="15"/>
        <v>436413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5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44315</v>
      </c>
      <c r="B31" s="537">
        <f t="shared" si="28"/>
        <v>9826</v>
      </c>
      <c r="C31" s="287">
        <f t="shared" ref="C31:C32" si="36">B31-B30</f>
        <v>0</v>
      </c>
      <c r="D31" s="538">
        <f t="shared" si="27"/>
        <v>375483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1"/>
        <v>9934</v>
      </c>
      <c r="I31" s="287" t="str">
        <f t="shared" ref="I31:I32" si="39">IF(B31-H31&lt;=0,"ok","oil change")</f>
        <v>ok</v>
      </c>
      <c r="J31" s="538">
        <f t="shared" si="11"/>
        <v>10698</v>
      </c>
      <c r="K31" s="287">
        <f t="shared" ref="K31:K32" si="40">J31-J30</f>
        <v>0</v>
      </c>
      <c r="L31" s="538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8">
        <f t="shared" si="31"/>
        <v>12135</v>
      </c>
      <c r="S31" s="287">
        <f t="shared" ref="S31:S32" si="44">R31-R30</f>
        <v>0</v>
      </c>
      <c r="T31" s="538">
        <f t="shared" si="15"/>
        <v>436413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2" t="e">
        <f t="shared" ref="AG31:AG32" si="52">SUM(320*AF31)</f>
        <v>#DIV/0!</v>
      </c>
      <c r="AH31" s="502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>
      <c r="A32" s="4">
        <f>ELEC!C32</f>
        <v>44316</v>
      </c>
      <c r="B32" s="537">
        <f t="shared" si="28"/>
        <v>9826</v>
      </c>
      <c r="C32" s="287">
        <f t="shared" si="36"/>
        <v>0</v>
      </c>
      <c r="D32" s="538">
        <f t="shared" si="27"/>
        <v>375483</v>
      </c>
      <c r="E32" s="287">
        <f t="shared" si="37"/>
        <v>0</v>
      </c>
      <c r="F32" s="287">
        <f t="shared" si="38"/>
        <v>0</v>
      </c>
      <c r="G32" s="338"/>
      <c r="H32" s="270">
        <f t="shared" si="21"/>
        <v>9934</v>
      </c>
      <c r="I32" s="287" t="str">
        <f t="shared" si="39"/>
        <v>ok</v>
      </c>
      <c r="J32" s="538">
        <f t="shared" si="11"/>
        <v>10698</v>
      </c>
      <c r="K32" s="287">
        <f t="shared" si="40"/>
        <v>0</v>
      </c>
      <c r="L32" s="538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8">
        <f t="shared" si="31"/>
        <v>12135</v>
      </c>
      <c r="S32" s="287">
        <f t="shared" si="44"/>
        <v>0</v>
      </c>
      <c r="T32" s="538">
        <f t="shared" si="15"/>
        <v>436413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2" t="e">
        <f t="shared" si="52"/>
        <v>#DIV/0!</v>
      </c>
      <c r="AH32" s="502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158</v>
      </c>
      <c r="V33" s="40"/>
      <c r="X33">
        <v>341</v>
      </c>
      <c r="Z33" s="421">
        <f>SUM(Z3:Z30)</f>
        <v>158</v>
      </c>
    </row>
    <row r="34" spans="3:26">
      <c r="C34" s="40">
        <f>SUM(C3:C30)</f>
        <v>54</v>
      </c>
      <c r="K34" s="40">
        <f>SUM(K3:K30)</f>
        <v>0</v>
      </c>
      <c r="S34" s="40">
        <f>SUM(S3:S30)</f>
        <v>104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zoomScale="70" zoomScaleNormal="70" workbookViewId="0">
      <selection activeCell="J18" sqref="J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6">
        <v>144003</v>
      </c>
      <c r="G4" s="160">
        <f t="shared" ref="G4:G30" si="1">F4-F3</f>
        <v>40</v>
      </c>
      <c r="H4" s="596">
        <v>468754</v>
      </c>
      <c r="I4" s="161">
        <f t="shared" ref="I4:I30" si="2">H4-H3</f>
        <v>318</v>
      </c>
      <c r="J4" s="596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1417.8903225806309</v>
      </c>
      <c r="R4" s="297">
        <f>SUM(P4:Q4)</f>
        <v>1636.3450047254623</v>
      </c>
      <c r="S4" s="299">
        <f>SUM(ELEC!N3)</f>
        <v>10627</v>
      </c>
      <c r="T4" s="336">
        <f>IF(S4&gt;0,R4/S4,0)</f>
        <v>0.153979957158696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64"/>
      <c r="AC4" s="665"/>
    </row>
    <row r="5" spans="1:32" ht="20.100000000000001" customHeight="1">
      <c r="A5" s="163">
        <f>ELEC!C4</f>
        <v>44288</v>
      </c>
      <c r="B5" s="596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6">
        <v>144003</v>
      </c>
      <c r="G5" s="160">
        <f t="shared" si="1"/>
        <v>0</v>
      </c>
      <c r="H5" s="596">
        <v>469130</v>
      </c>
      <c r="I5" s="161">
        <f t="shared" si="2"/>
        <v>376</v>
      </c>
      <c r="J5" s="596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2921.67903225808</v>
      </c>
      <c r="R5" s="297">
        <f t="shared" ref="R5:R30" si="10">SUM(P5:Q5)</f>
        <v>3122.048142263608</v>
      </c>
      <c r="S5" s="299">
        <f>SUM(ELEC!N4)</f>
        <v>8566</v>
      </c>
      <c r="T5" s="336">
        <f>IF(S5&gt;0,R5/S5,0)</f>
        <v>0.36446978079192249</v>
      </c>
      <c r="U5" s="250"/>
      <c r="V5" s="658"/>
      <c r="W5" s="659"/>
      <c r="X5" s="659"/>
      <c r="Y5" s="660"/>
      <c r="Z5" s="26" t="s">
        <v>203</v>
      </c>
      <c r="AA5" s="264">
        <f>'[8]EDl log'!AA22</f>
        <v>5000</v>
      </c>
      <c r="AB5" s="666"/>
      <c r="AC5" s="667"/>
    </row>
    <row r="6" spans="1:32" ht="20.100000000000001" customHeight="1">
      <c r="A6" s="163">
        <f>ELEC!C5</f>
        <v>44289</v>
      </c>
      <c r="B6" s="596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6">
        <v>144225</v>
      </c>
      <c r="G6" s="160">
        <f t="shared" si="1"/>
        <v>222</v>
      </c>
      <c r="H6" s="596">
        <v>469522</v>
      </c>
      <c r="I6" s="161">
        <f t="shared" si="2"/>
        <v>392</v>
      </c>
      <c r="J6" s="596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2932.1290322580662</v>
      </c>
      <c r="R6" s="297">
        <f t="shared" si="10"/>
        <v>3180.7051074377237</v>
      </c>
      <c r="S6" s="299">
        <f>SUM(ELEC!N5)</f>
        <v>9686</v>
      </c>
      <c r="T6" s="336">
        <f t="shared" ref="T6:T30" si="12">IF(S6&gt;0,R6/S6,0)</f>
        <v>0.32838169599811312</v>
      </c>
      <c r="V6" s="661"/>
      <c r="W6" s="662"/>
      <c r="X6" s="662"/>
      <c r="Y6" s="663"/>
      <c r="Z6" s="3"/>
      <c r="AA6" s="3"/>
      <c r="AB6" s="666"/>
      <c r="AC6" s="667"/>
    </row>
    <row r="7" spans="1:32" ht="20.100000000000001" customHeight="1">
      <c r="A7" s="163">
        <f>ELEC!C6</f>
        <v>44290</v>
      </c>
      <c r="B7" s="596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6">
        <v>144225</v>
      </c>
      <c r="G7" s="160">
        <f t="shared" si="1"/>
        <v>0</v>
      </c>
      <c r="H7" s="596">
        <v>470042</v>
      </c>
      <c r="I7" s="161">
        <f t="shared" si="2"/>
        <v>520</v>
      </c>
      <c r="J7" s="596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2929.2790322580386</v>
      </c>
      <c r="R7" s="297">
        <f t="shared" si="10"/>
        <v>3136.7910941706973</v>
      </c>
      <c r="S7" s="299">
        <f>SUM(ELEC!N6)</f>
        <v>9198</v>
      </c>
      <c r="T7" s="336">
        <f t="shared" si="12"/>
        <v>0.34102969060346783</v>
      </c>
      <c r="V7" s="654" t="s">
        <v>204</v>
      </c>
      <c r="W7" s="655"/>
      <c r="X7" s="656" t="s">
        <v>205</v>
      </c>
      <c r="Y7" s="657"/>
      <c r="Z7" s="655"/>
      <c r="AA7" s="26"/>
      <c r="AB7" s="668"/>
      <c r="AC7" s="669"/>
    </row>
    <row r="8" spans="1:32" ht="20.100000000000001" customHeight="1">
      <c r="A8" s="163">
        <f>ELEC!C7</f>
        <v>44291</v>
      </c>
      <c r="B8" s="596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6">
        <v>144358</v>
      </c>
      <c r="G8" s="160">
        <f t="shared" si="1"/>
        <v>133</v>
      </c>
      <c r="H8" s="596">
        <v>470505</v>
      </c>
      <c r="I8" s="161">
        <f t="shared" si="2"/>
        <v>463</v>
      </c>
      <c r="J8" s="596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2238.2919354838891</v>
      </c>
      <c r="R8" s="297">
        <f t="shared" si="10"/>
        <v>2507.9041632340272</v>
      </c>
      <c r="S8" s="299">
        <f>SUM(ELEC!N7)</f>
        <v>9569</v>
      </c>
      <c r="T8" s="336">
        <f>IF(S8&gt;0,R8/S8,0)</f>
        <v>0.26208633746828586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9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6">
        <v>144524</v>
      </c>
      <c r="G9" s="160">
        <f t="shared" si="1"/>
        <v>166</v>
      </c>
      <c r="H9" s="596">
        <v>470972</v>
      </c>
      <c r="I9" s="161">
        <f t="shared" si="2"/>
        <v>467</v>
      </c>
      <c r="J9" s="596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2978.6790322580659</v>
      </c>
      <c r="R9" s="297">
        <f>SUM(P9:Q9)</f>
        <v>3218.7642284990829</v>
      </c>
      <c r="S9" s="299">
        <f>SUM(ELEC!N8)</f>
        <v>10832</v>
      </c>
      <c r="T9" s="336">
        <f t="shared" si="12"/>
        <v>0.29715327072554309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7">
        <f>'[3]EDl log'!AD26</f>
        <v>0.44904988583149508</v>
      </c>
    </row>
    <row r="10" spans="1:32" ht="20.100000000000001" customHeight="1">
      <c r="A10" s="163">
        <f>ELEC!C9</f>
        <v>44293</v>
      </c>
      <c r="B10" s="596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6">
        <v>144844</v>
      </c>
      <c r="G10" s="160">
        <f t="shared" si="1"/>
        <v>320</v>
      </c>
      <c r="H10" s="596">
        <v>471768</v>
      </c>
      <c r="I10" s="161">
        <f t="shared" si="2"/>
        <v>796</v>
      </c>
      <c r="J10" s="596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-605.67096774195488</v>
      </c>
      <c r="R10" s="297">
        <f t="shared" si="10"/>
        <v>-288.2338643699261</v>
      </c>
      <c r="S10" s="299">
        <f>SUM(ELEC!N9)</f>
        <v>8792</v>
      </c>
      <c r="T10" s="336">
        <f t="shared" si="12"/>
        <v>-3.2783651543440186E-2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7">
        <f>'[3]EDl log'!AD27</f>
        <v>0.41828244127094699</v>
      </c>
    </row>
    <row r="11" spans="1:32" ht="20.100000000000001" customHeight="1">
      <c r="A11" s="163">
        <f>ELEC!C10</f>
        <v>44294</v>
      </c>
      <c r="B11" s="596">
        <v>965675</v>
      </c>
      <c r="C11" s="264">
        <f t="shared" si="0"/>
        <v>2017</v>
      </c>
      <c r="D11" s="308">
        <f>SUM(G11+I11+K11)</f>
        <v>2023</v>
      </c>
      <c r="E11" s="308">
        <f t="shared" si="11"/>
        <v>965681</v>
      </c>
      <c r="F11" s="596">
        <v>145119</v>
      </c>
      <c r="G11" s="160">
        <f t="shared" si="1"/>
        <v>275</v>
      </c>
      <c r="H11" s="596">
        <v>472571</v>
      </c>
      <c r="I11" s="161">
        <f t="shared" si="2"/>
        <v>803</v>
      </c>
      <c r="J11" s="596">
        <v>347985</v>
      </c>
      <c r="K11" s="162">
        <f t="shared" si="3"/>
        <v>945</v>
      </c>
      <c r="L11" s="296">
        <f t="shared" si="4"/>
        <v>58.374792703150909</v>
      </c>
      <c r="M11" s="296">
        <f t="shared" si="5"/>
        <v>59.659038142620233</v>
      </c>
      <c r="N11" s="296">
        <f t="shared" si="6"/>
        <v>50.149253731343286</v>
      </c>
      <c r="O11" s="296">
        <f t="shared" si="8"/>
        <v>159.96313985627418</v>
      </c>
      <c r="P11" s="297">
        <f t="shared" si="9"/>
        <v>328.14622443338862</v>
      </c>
      <c r="Q11" s="297">
        <f>SUM(-tanks!AX13*tanks!$AU$36)</f>
        <v>1419.3612903226067</v>
      </c>
      <c r="R11" s="297">
        <f t="shared" si="10"/>
        <v>1747.5075147559953</v>
      </c>
      <c r="S11" s="299">
        <f>SUM(ELEC!N10)</f>
        <v>8207</v>
      </c>
      <c r="T11" s="336">
        <f t="shared" si="12"/>
        <v>0.21292890395467226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7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6">
        <v>967536</v>
      </c>
      <c r="C12" s="264">
        <f t="shared" si="0"/>
        <v>1861</v>
      </c>
      <c r="D12" s="308">
        <f t="shared" si="7"/>
        <v>1860</v>
      </c>
      <c r="E12" s="308">
        <f t="shared" si="11"/>
        <v>967535</v>
      </c>
      <c r="F12" s="596">
        <v>145297</v>
      </c>
      <c r="G12" s="160">
        <f t="shared" si="1"/>
        <v>178</v>
      </c>
      <c r="H12" s="596">
        <v>473491</v>
      </c>
      <c r="I12" s="161">
        <f t="shared" si="2"/>
        <v>920</v>
      </c>
      <c r="J12" s="596">
        <v>348747</v>
      </c>
      <c r="K12" s="162">
        <f t="shared" si="3"/>
        <v>762</v>
      </c>
      <c r="L12" s="296">
        <f t="shared" si="4"/>
        <v>37.784411276948589</v>
      </c>
      <c r="M12" s="296">
        <f t="shared" si="5"/>
        <v>68.35157545605307</v>
      </c>
      <c r="N12" s="296">
        <f t="shared" si="6"/>
        <v>40.437810945273633</v>
      </c>
      <c r="O12" s="296">
        <f t="shared" si="8"/>
        <v>159.96313985627418</v>
      </c>
      <c r="P12" s="297">
        <f t="shared" si="9"/>
        <v>306.53693753454945</v>
      </c>
      <c r="Q12" s="297">
        <f>SUM(-tanks!AX14*tanks!$AU$36)</f>
        <v>1147.0177419354732</v>
      </c>
      <c r="R12" s="297">
        <f t="shared" si="10"/>
        <v>1453.5546794700226</v>
      </c>
      <c r="S12" s="299">
        <f>SUM(ELEC!N11)</f>
        <v>7584</v>
      </c>
      <c r="T12" s="336">
        <f t="shared" si="12"/>
        <v>0.19166069085838905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00000000000001" customHeight="1">
      <c r="A13" s="163">
        <f>ELEC!C12</f>
        <v>44296</v>
      </c>
      <c r="B13" s="596">
        <v>969707</v>
      </c>
      <c r="C13" s="264">
        <f t="shared" si="0"/>
        <v>2171</v>
      </c>
      <c r="D13" s="308">
        <f t="shared" si="7"/>
        <v>2171</v>
      </c>
      <c r="E13" s="308">
        <f t="shared" si="11"/>
        <v>969707</v>
      </c>
      <c r="F13" s="596">
        <v>145686</v>
      </c>
      <c r="G13" s="160">
        <f t="shared" si="1"/>
        <v>389</v>
      </c>
      <c r="H13" s="596">
        <v>474357</v>
      </c>
      <c r="I13" s="161">
        <f t="shared" si="2"/>
        <v>866</v>
      </c>
      <c r="J13" s="596">
        <v>349663</v>
      </c>
      <c r="K13" s="162">
        <f t="shared" si="3"/>
        <v>916</v>
      </c>
      <c r="L13" s="296">
        <f t="shared" si="4"/>
        <v>82.573797678275284</v>
      </c>
      <c r="M13" s="296">
        <f t="shared" si="5"/>
        <v>64.339635157545601</v>
      </c>
      <c r="N13" s="296">
        <f t="shared" si="6"/>
        <v>48.610281923714759</v>
      </c>
      <c r="O13" s="296">
        <f t="shared" si="8"/>
        <v>159.96313985627418</v>
      </c>
      <c r="P13" s="297">
        <f t="shared" si="9"/>
        <v>355.48685461580982</v>
      </c>
      <c r="Q13" s="297">
        <f>SUM(-tanks!AX15*tanks!$AU$36)</f>
        <v>1293.011290322572</v>
      </c>
      <c r="R13" s="297">
        <f t="shared" si="10"/>
        <v>1648.4981449383818</v>
      </c>
      <c r="S13" s="299">
        <f>SUM(ELEC!N12)</f>
        <v>6883</v>
      </c>
      <c r="T13" s="336">
        <f>IF(S13&gt;0,R13/S13,0)</f>
        <v>0.23950285412441985</v>
      </c>
      <c r="V13" s="565" t="str">
        <f>'[8]EDl log'!V30</f>
        <v>Occ %</v>
      </c>
      <c r="W13" s="597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6">
        <v>971698</v>
      </c>
      <c r="C14" s="264">
        <f t="shared" si="0"/>
        <v>1991</v>
      </c>
      <c r="D14" s="308">
        <f t="shared" si="7"/>
        <v>1991</v>
      </c>
      <c r="E14" s="308">
        <f t="shared" si="11"/>
        <v>971698</v>
      </c>
      <c r="F14" s="596">
        <v>145810</v>
      </c>
      <c r="G14" s="160">
        <f t="shared" si="1"/>
        <v>124</v>
      </c>
      <c r="H14" s="596">
        <v>475588</v>
      </c>
      <c r="I14" s="161">
        <f t="shared" si="2"/>
        <v>1231</v>
      </c>
      <c r="J14" s="596">
        <v>350299</v>
      </c>
      <c r="K14" s="162">
        <f t="shared" ref="K14:K17" si="13">J14-J13</f>
        <v>636</v>
      </c>
      <c r="L14" s="296">
        <f t="shared" ref="L14:L17" si="14">SUM(G14*$Y$28)/1507.5</f>
        <v>26.321724709784412</v>
      </c>
      <c r="M14" s="296">
        <f t="shared" ref="M14:M17" si="15">SUM(I14*$Y$27)/1507.5</f>
        <v>91.457379767827533</v>
      </c>
      <c r="N14" s="296">
        <f t="shared" ref="N14:N17" si="16">SUM(K14*$Y$26)/1507.5</f>
        <v>33.75124378109453</v>
      </c>
      <c r="O14" s="296">
        <f t="shared" si="8"/>
        <v>159.96313985627418</v>
      </c>
      <c r="P14" s="297">
        <f t="shared" ref="P14:P17" si="17">SUM(L14:O14)</f>
        <v>311.49348811498066</v>
      </c>
      <c r="Q14" s="297">
        <f>SUM(-tanks!AX16*tanks!$AU$36)</f>
        <v>882.27419354840208</v>
      </c>
      <c r="R14" s="297">
        <f t="shared" ref="R14:R17" si="18">SUM(P14:Q14)</f>
        <v>1193.7676816633827</v>
      </c>
      <c r="S14" s="299">
        <f>SUM(ELEC!N13)</f>
        <v>6760.7999999998137</v>
      </c>
      <c r="T14" s="336">
        <f t="shared" ref="T14:T17" si="19">IF(S14&gt;0,R14/S14,0)</f>
        <v>0.17657195622757893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605">
        <v>973292</v>
      </c>
      <c r="C15" s="264">
        <f t="shared" si="0"/>
        <v>1594</v>
      </c>
      <c r="D15" s="308">
        <f t="shared" si="7"/>
        <v>1593</v>
      </c>
      <c r="E15" s="308">
        <f t="shared" si="11"/>
        <v>973291</v>
      </c>
      <c r="F15" s="607">
        <v>146008</v>
      </c>
      <c r="G15" s="160">
        <f t="shared" si="1"/>
        <v>198</v>
      </c>
      <c r="H15" s="605">
        <v>476179</v>
      </c>
      <c r="I15" s="161">
        <f t="shared" si="2"/>
        <v>591</v>
      </c>
      <c r="J15" s="605">
        <v>351103</v>
      </c>
      <c r="K15" s="162">
        <f t="shared" si="13"/>
        <v>804</v>
      </c>
      <c r="L15" s="296">
        <f t="shared" si="14"/>
        <v>42.029850746268657</v>
      </c>
      <c r="M15" s="296">
        <f t="shared" si="15"/>
        <v>43.908457711442786</v>
      </c>
      <c r="N15" s="296">
        <f t="shared" si="16"/>
        <v>42.666666666666664</v>
      </c>
      <c r="O15" s="296">
        <f t="shared" si="8"/>
        <v>159.96313985627418</v>
      </c>
      <c r="P15" s="297">
        <f t="shared" si="17"/>
        <v>288.5681149806523</v>
      </c>
      <c r="Q15" s="297">
        <f>SUM(-tanks!AX17*tanks!$AU$36)</f>
        <v>1624.2548387096708</v>
      </c>
      <c r="R15" s="297">
        <f t="shared" si="18"/>
        <v>1912.8229536903232</v>
      </c>
      <c r="S15" s="299">
        <f>SUM(ELEC!N14)</f>
        <v>7293.2000000001863</v>
      </c>
      <c r="T15" s="336">
        <f t="shared" si="19"/>
        <v>0.26227485242284243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00000000000001" customHeight="1" thickBot="1">
      <c r="A16" s="163">
        <f>ELEC!C15</f>
        <v>44299</v>
      </c>
      <c r="B16" s="606">
        <v>975030</v>
      </c>
      <c r="C16" s="264">
        <f t="shared" si="0"/>
        <v>1738</v>
      </c>
      <c r="D16" s="308">
        <f t="shared" si="7"/>
        <v>1739</v>
      </c>
      <c r="E16" s="308">
        <f t="shared" si="11"/>
        <v>975031</v>
      </c>
      <c r="F16" s="607">
        <v>146167</v>
      </c>
      <c r="G16" s="160">
        <f t="shared" si="1"/>
        <v>159</v>
      </c>
      <c r="H16" s="606">
        <v>476938</v>
      </c>
      <c r="I16" s="161">
        <f t="shared" si="2"/>
        <v>759</v>
      </c>
      <c r="J16" s="606">
        <v>351924</v>
      </c>
      <c r="K16" s="162">
        <f t="shared" si="13"/>
        <v>821</v>
      </c>
      <c r="L16" s="296">
        <f t="shared" si="14"/>
        <v>33.75124378109453</v>
      </c>
      <c r="M16" s="296">
        <f t="shared" si="15"/>
        <v>56.390049751243779</v>
      </c>
      <c r="N16" s="296">
        <f t="shared" si="16"/>
        <v>43.568822553897178</v>
      </c>
      <c r="O16" s="296">
        <f t="shared" si="8"/>
        <v>159.96313985627418</v>
      </c>
      <c r="P16" s="297">
        <f t="shared" si="17"/>
        <v>293.67325594250963</v>
      </c>
      <c r="Q16" s="297">
        <f>SUM(-tanks!AX18*tanks!$AU$36)</f>
        <v>1349.3677419354733</v>
      </c>
      <c r="R16" s="297">
        <f t="shared" si="18"/>
        <v>1643.040997877983</v>
      </c>
      <c r="S16" s="299">
        <f>SUM(ELEC!N15)</f>
        <v>6843</v>
      </c>
      <c r="T16" s="336">
        <f t="shared" si="19"/>
        <v>0.24010536283471914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00000000000001" customHeight="1">
      <c r="A17" s="163">
        <f>ELEC!C16</f>
        <v>44300</v>
      </c>
      <c r="B17" s="610">
        <v>976859</v>
      </c>
      <c r="C17" s="264">
        <f t="shared" si="0"/>
        <v>1829</v>
      </c>
      <c r="D17" s="308">
        <f t="shared" si="7"/>
        <v>1829</v>
      </c>
      <c r="E17" s="308">
        <f t="shared" si="11"/>
        <v>976859</v>
      </c>
      <c r="F17" s="607">
        <v>146430</v>
      </c>
      <c r="G17" s="160">
        <f t="shared" si="1"/>
        <v>263</v>
      </c>
      <c r="H17" s="610">
        <v>477617</v>
      </c>
      <c r="I17" s="161">
        <f t="shared" si="2"/>
        <v>679</v>
      </c>
      <c r="J17" s="610">
        <v>352811</v>
      </c>
      <c r="K17" s="162">
        <f t="shared" si="13"/>
        <v>887</v>
      </c>
      <c r="L17" s="296">
        <f t="shared" si="14"/>
        <v>55.827529021558874</v>
      </c>
      <c r="M17" s="296">
        <f t="shared" si="15"/>
        <v>50.446434494195685</v>
      </c>
      <c r="N17" s="296">
        <f t="shared" si="16"/>
        <v>47.071310116086238</v>
      </c>
      <c r="O17" s="296">
        <f t="shared" si="8"/>
        <v>159.96313985627418</v>
      </c>
      <c r="P17" s="297">
        <f t="shared" si="17"/>
        <v>313.30841348811498</v>
      </c>
      <c r="Q17" s="297">
        <f>SUM(-tanks!AX19*tanks!$AU$36)</f>
        <v>-1535.7209677419341</v>
      </c>
      <c r="R17" s="297">
        <f t="shared" si="18"/>
        <v>-1222.4125542538191</v>
      </c>
      <c r="S17" s="299">
        <f>SUM(ELEC!N16)</f>
        <v>6800</v>
      </c>
      <c r="T17" s="336">
        <f t="shared" si="19"/>
        <v>-0.17976655209614986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00000000000001" customHeight="1" thickBot="1">
      <c r="A18" s="163">
        <f>ELEC!C17</f>
        <v>44301</v>
      </c>
      <c r="B18" s="611">
        <v>978719</v>
      </c>
      <c r="C18" s="264">
        <f t="shared" si="0"/>
        <v>1860</v>
      </c>
      <c r="D18" s="308">
        <f t="shared" si="7"/>
        <v>1860</v>
      </c>
      <c r="E18" s="308">
        <f t="shared" si="11"/>
        <v>978719</v>
      </c>
      <c r="F18" s="607">
        <v>146676</v>
      </c>
      <c r="G18" s="160">
        <f t="shared" si="1"/>
        <v>246</v>
      </c>
      <c r="H18" s="611">
        <v>478799</v>
      </c>
      <c r="I18" s="161">
        <f t="shared" si="2"/>
        <v>1182</v>
      </c>
      <c r="J18" s="611">
        <v>353243</v>
      </c>
      <c r="K18" s="162">
        <f t="shared" si="3"/>
        <v>432</v>
      </c>
      <c r="L18" s="296">
        <f t="shared" ref="L18:L30" si="20">SUM(G18*$Y$28)/1507.5</f>
        <v>52.218905472636813</v>
      </c>
      <c r="M18" s="296">
        <f t="shared" ref="M18:M30" si="21">SUM(I18*$Y$27)/1507.5</f>
        <v>87.816915422885572</v>
      </c>
      <c r="N18" s="296">
        <f t="shared" ref="N18:N30" si="22">SUM(K18*$Y$26)/1507.5</f>
        <v>22.925373134328357</v>
      </c>
      <c r="O18" s="296">
        <f t="shared" si="8"/>
        <v>159.96313985627418</v>
      </c>
      <c r="P18" s="297">
        <f t="shared" si="9"/>
        <v>322.92433388612494</v>
      </c>
      <c r="Q18" s="297">
        <f>SUM(-tanks!AX20*tanks!$AU$36)</f>
        <v>1405.111290322579</v>
      </c>
      <c r="R18" s="297">
        <f t="shared" si="10"/>
        <v>1728.0356242087039</v>
      </c>
      <c r="S18" s="299">
        <f>SUM(ELEC!N17)</f>
        <v>7587</v>
      </c>
      <c r="T18" s="336">
        <f t="shared" si="12"/>
        <v>0.22776270254497216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00000000000001" customHeight="1" thickBot="1">
      <c r="A19" s="163">
        <f>ELEC!C18</f>
        <v>44302</v>
      </c>
      <c r="B19" s="596">
        <f t="shared" ref="B18:B33" si="23">B18</f>
        <v>978719</v>
      </c>
      <c r="C19" s="264">
        <f t="shared" si="0"/>
        <v>0</v>
      </c>
      <c r="D19" s="308">
        <f t="shared" si="7"/>
        <v>0</v>
      </c>
      <c r="E19" s="308">
        <f t="shared" si="11"/>
        <v>978719</v>
      </c>
      <c r="F19" s="596">
        <f t="shared" ref="F18:J33" si="24">F18</f>
        <v>146676</v>
      </c>
      <c r="G19" s="160">
        <f t="shared" si="1"/>
        <v>0</v>
      </c>
      <c r="H19" s="596">
        <f t="shared" si="24"/>
        <v>478799</v>
      </c>
      <c r="I19" s="161">
        <f t="shared" si="2"/>
        <v>0</v>
      </c>
      <c r="J19" s="596">
        <f t="shared" si="24"/>
        <v>353243</v>
      </c>
      <c r="K19" s="162">
        <f t="shared" si="3"/>
        <v>0</v>
      </c>
      <c r="L19" s="296">
        <f t="shared" si="20"/>
        <v>0</v>
      </c>
      <c r="M19" s="296">
        <f t="shared" si="21"/>
        <v>0</v>
      </c>
      <c r="N19" s="296">
        <f t="shared" si="22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00000000000001" customHeight="1" thickBot="1">
      <c r="A20" s="163">
        <f>ELEC!C19</f>
        <v>44303</v>
      </c>
      <c r="B20" s="596">
        <f t="shared" si="23"/>
        <v>978719</v>
      </c>
      <c r="C20" s="264">
        <f t="shared" si="0"/>
        <v>0</v>
      </c>
      <c r="D20" s="308">
        <f t="shared" si="7"/>
        <v>0</v>
      </c>
      <c r="E20" s="308">
        <f t="shared" si="11"/>
        <v>978719</v>
      </c>
      <c r="F20" s="596">
        <f t="shared" si="24"/>
        <v>146676</v>
      </c>
      <c r="G20" s="160">
        <f t="shared" si="1"/>
        <v>0</v>
      </c>
      <c r="H20" s="596">
        <f t="shared" si="24"/>
        <v>478799</v>
      </c>
      <c r="I20" s="161">
        <f t="shared" si="2"/>
        <v>0</v>
      </c>
      <c r="J20" s="596">
        <f t="shared" si="24"/>
        <v>353243</v>
      </c>
      <c r="K20" s="162">
        <f t="shared" si="3"/>
        <v>0</v>
      </c>
      <c r="L20" s="296">
        <f t="shared" si="20"/>
        <v>0</v>
      </c>
      <c r="M20" s="296">
        <f t="shared" si="21"/>
        <v>0</v>
      </c>
      <c r="N20" s="296">
        <f t="shared" si="22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4"/>
    </row>
    <row r="21" spans="1:32" ht="20.100000000000001" customHeight="1">
      <c r="A21" s="163">
        <f>ELEC!C20</f>
        <v>44304</v>
      </c>
      <c r="B21" s="596">
        <f t="shared" si="23"/>
        <v>978719</v>
      </c>
      <c r="C21" s="264">
        <f t="shared" si="0"/>
        <v>0</v>
      </c>
      <c r="D21" s="308">
        <f t="shared" si="7"/>
        <v>0</v>
      </c>
      <c r="E21" s="308">
        <f t="shared" si="11"/>
        <v>978719</v>
      </c>
      <c r="F21" s="596">
        <f t="shared" si="24"/>
        <v>146676</v>
      </c>
      <c r="G21" s="160">
        <f t="shared" si="1"/>
        <v>0</v>
      </c>
      <c r="H21" s="596">
        <f t="shared" si="24"/>
        <v>478799</v>
      </c>
      <c r="I21" s="161">
        <f t="shared" si="2"/>
        <v>0</v>
      </c>
      <c r="J21" s="596">
        <f t="shared" si="24"/>
        <v>353243</v>
      </c>
      <c r="K21" s="162">
        <f t="shared" si="3"/>
        <v>0</v>
      </c>
      <c r="L21" s="296">
        <f t="shared" si="20"/>
        <v>0</v>
      </c>
      <c r="M21" s="296">
        <f t="shared" si="21"/>
        <v>0</v>
      </c>
      <c r="N21" s="296">
        <f t="shared" si="22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64"/>
      <c r="AC21" s="665"/>
    </row>
    <row r="22" spans="1:32" ht="20.100000000000001" customHeight="1">
      <c r="A22" s="163">
        <f>ELEC!C21</f>
        <v>44305</v>
      </c>
      <c r="B22" s="596">
        <f t="shared" si="23"/>
        <v>978719</v>
      </c>
      <c r="C22" s="264">
        <f t="shared" si="0"/>
        <v>0</v>
      </c>
      <c r="D22" s="308">
        <f t="shared" si="7"/>
        <v>0</v>
      </c>
      <c r="E22" s="308">
        <f t="shared" si="11"/>
        <v>978719</v>
      </c>
      <c r="F22" s="596">
        <f t="shared" si="24"/>
        <v>146676</v>
      </c>
      <c r="G22" s="160">
        <f t="shared" si="1"/>
        <v>0</v>
      </c>
      <c r="H22" s="596">
        <f t="shared" si="24"/>
        <v>478799</v>
      </c>
      <c r="I22" s="161">
        <f t="shared" si="2"/>
        <v>0</v>
      </c>
      <c r="J22" s="596">
        <f t="shared" si="24"/>
        <v>353243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70"/>
      <c r="W22" s="671"/>
      <c r="X22" s="671"/>
      <c r="Y22" s="672"/>
      <c r="Z22" s="26" t="s">
        <v>203</v>
      </c>
      <c r="AA22" s="26">
        <v>5000</v>
      </c>
      <c r="AB22" s="666"/>
      <c r="AC22" s="667"/>
    </row>
    <row r="23" spans="1:32" ht="20.100000000000001" customHeight="1">
      <c r="A23" s="163">
        <f>ELEC!C22</f>
        <v>44306</v>
      </c>
      <c r="B23" s="596">
        <f t="shared" si="23"/>
        <v>978719</v>
      </c>
      <c r="C23" s="264">
        <f t="shared" si="0"/>
        <v>0</v>
      </c>
      <c r="D23" s="308">
        <f t="shared" si="7"/>
        <v>0</v>
      </c>
      <c r="E23" s="308">
        <f t="shared" si="11"/>
        <v>978719</v>
      </c>
      <c r="F23" s="596">
        <f t="shared" si="24"/>
        <v>146676</v>
      </c>
      <c r="G23" s="160">
        <f t="shared" si="1"/>
        <v>0</v>
      </c>
      <c r="H23" s="596">
        <f t="shared" si="24"/>
        <v>478799</v>
      </c>
      <c r="I23" s="161">
        <f t="shared" si="2"/>
        <v>0</v>
      </c>
      <c r="J23" s="596">
        <f t="shared" si="24"/>
        <v>353243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73"/>
      <c r="W23" s="674"/>
      <c r="X23" s="674"/>
      <c r="Y23" s="675"/>
      <c r="Z23" s="676"/>
      <c r="AA23" s="677"/>
      <c r="AB23" s="666"/>
      <c r="AC23" s="667"/>
    </row>
    <row r="24" spans="1:32" ht="20.100000000000001" customHeight="1">
      <c r="A24" s="163">
        <f>ELEC!C23</f>
        <v>44307</v>
      </c>
      <c r="B24" s="596">
        <f t="shared" si="23"/>
        <v>978719</v>
      </c>
      <c r="C24" s="264">
        <f t="shared" si="0"/>
        <v>0</v>
      </c>
      <c r="D24" s="308">
        <f t="shared" si="7"/>
        <v>0</v>
      </c>
      <c r="E24" s="308">
        <f t="shared" si="11"/>
        <v>978719</v>
      </c>
      <c r="F24" s="596">
        <f t="shared" si="24"/>
        <v>146676</v>
      </c>
      <c r="G24" s="160">
        <f t="shared" si="1"/>
        <v>0</v>
      </c>
      <c r="H24" s="596">
        <f t="shared" si="24"/>
        <v>478799</v>
      </c>
      <c r="I24" s="161">
        <f t="shared" si="2"/>
        <v>0</v>
      </c>
      <c r="J24" s="596">
        <f t="shared" si="24"/>
        <v>353243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78" t="s">
        <v>204</v>
      </c>
      <c r="W24" s="679"/>
      <c r="X24" s="680" t="s">
        <v>205</v>
      </c>
      <c r="Y24" s="681"/>
      <c r="Z24" s="682"/>
      <c r="AA24" s="170"/>
      <c r="AB24" s="668"/>
      <c r="AC24" s="669"/>
    </row>
    <row r="25" spans="1:32" ht="20.100000000000001" customHeight="1">
      <c r="A25" s="163">
        <f>ELEC!C24</f>
        <v>44308</v>
      </c>
      <c r="B25" s="596">
        <f t="shared" si="23"/>
        <v>978719</v>
      </c>
      <c r="C25" s="264">
        <f t="shared" si="0"/>
        <v>0</v>
      </c>
      <c r="D25" s="308">
        <f t="shared" si="7"/>
        <v>0</v>
      </c>
      <c r="E25" s="308">
        <f t="shared" si="11"/>
        <v>978719</v>
      </c>
      <c r="F25" s="596">
        <f t="shared" si="24"/>
        <v>146676</v>
      </c>
      <c r="G25" s="160">
        <f t="shared" si="1"/>
        <v>0</v>
      </c>
      <c r="H25" s="596">
        <f t="shared" si="24"/>
        <v>478799</v>
      </c>
      <c r="I25" s="161">
        <f t="shared" si="2"/>
        <v>0</v>
      </c>
      <c r="J25" s="596">
        <f t="shared" si="24"/>
        <v>353243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6">
        <f t="shared" si="23"/>
        <v>978719</v>
      </c>
      <c r="C26" s="264">
        <f t="shared" si="0"/>
        <v>0</v>
      </c>
      <c r="D26" s="308">
        <f t="shared" si="7"/>
        <v>0</v>
      </c>
      <c r="E26" s="308">
        <f t="shared" si="11"/>
        <v>978719</v>
      </c>
      <c r="F26" s="596">
        <f t="shared" si="24"/>
        <v>146676</v>
      </c>
      <c r="G26" s="160">
        <f t="shared" si="1"/>
        <v>0</v>
      </c>
      <c r="H26" s="596">
        <f t="shared" si="24"/>
        <v>478799</v>
      </c>
      <c r="I26" s="161">
        <f t="shared" si="2"/>
        <v>0</v>
      </c>
      <c r="J26" s="596">
        <f t="shared" si="24"/>
        <v>353243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353243</v>
      </c>
      <c r="X26" s="172" t="s">
        <v>199</v>
      </c>
      <c r="Y26" s="172">
        <v>80</v>
      </c>
      <c r="Z26" s="172">
        <v>1</v>
      </c>
      <c r="AA26" s="338">
        <f>(W26-V26)*Z26</f>
        <v>8987</v>
      </c>
      <c r="AB26" s="338">
        <f>AA26*Y26</f>
        <v>718960</v>
      </c>
      <c r="AC26" s="249">
        <f>AC9</f>
        <v>1033333</v>
      </c>
      <c r="AD26" s="212">
        <f>SUM(K35)</f>
        <v>0.40733354484884199</v>
      </c>
    </row>
    <row r="27" spans="1:32" ht="20.100000000000001" customHeight="1">
      <c r="A27" s="163">
        <f>ELEC!C26</f>
        <v>44310</v>
      </c>
      <c r="B27" s="596">
        <f t="shared" si="23"/>
        <v>978719</v>
      </c>
      <c r="C27" s="264">
        <f t="shared" si="0"/>
        <v>0</v>
      </c>
      <c r="D27" s="308">
        <f t="shared" si="7"/>
        <v>0</v>
      </c>
      <c r="E27" s="308">
        <f t="shared" si="11"/>
        <v>978719</v>
      </c>
      <c r="F27" s="596">
        <f t="shared" si="24"/>
        <v>146676</v>
      </c>
      <c r="G27" s="160">
        <f t="shared" si="1"/>
        <v>0</v>
      </c>
      <c r="H27" s="596">
        <f t="shared" si="24"/>
        <v>478799</v>
      </c>
      <c r="I27" s="161">
        <f t="shared" si="2"/>
        <v>0</v>
      </c>
      <c r="J27" s="596">
        <f t="shared" si="24"/>
        <v>353243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478799</v>
      </c>
      <c r="X27" s="172" t="s">
        <v>213</v>
      </c>
      <c r="Y27" s="172">
        <v>112</v>
      </c>
      <c r="Z27" s="172">
        <v>1</v>
      </c>
      <c r="AA27" s="338">
        <f>(W27-V27)*Z27</f>
        <v>10363</v>
      </c>
      <c r="AB27" s="338">
        <f>SUM(AA27*Y27)</f>
        <v>1160656</v>
      </c>
      <c r="AC27" s="249">
        <f>AC10</f>
        <v>6200000</v>
      </c>
      <c r="AD27" s="212">
        <f>SUM(I35)</f>
        <v>0.46970040339029145</v>
      </c>
    </row>
    <row r="28" spans="1:32" ht="20.100000000000001" customHeight="1">
      <c r="A28" s="163">
        <f>ELEC!C27</f>
        <v>44311</v>
      </c>
      <c r="B28" s="596">
        <f t="shared" si="23"/>
        <v>978719</v>
      </c>
      <c r="C28" s="264">
        <f t="shared" si="0"/>
        <v>0</v>
      </c>
      <c r="D28" s="308">
        <f t="shared" si="7"/>
        <v>0</v>
      </c>
      <c r="E28" s="308">
        <f t="shared" si="11"/>
        <v>978719</v>
      </c>
      <c r="F28" s="596">
        <f t="shared" si="24"/>
        <v>146676</v>
      </c>
      <c r="G28" s="160">
        <f t="shared" si="1"/>
        <v>0</v>
      </c>
      <c r="H28" s="596">
        <f t="shared" si="24"/>
        <v>478799</v>
      </c>
      <c r="I28" s="161">
        <f t="shared" si="2"/>
        <v>0</v>
      </c>
      <c r="J28" s="596">
        <f t="shared" si="24"/>
        <v>353243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146676</v>
      </c>
      <c r="X28" s="172" t="s">
        <v>197</v>
      </c>
      <c r="Y28" s="172">
        <v>320</v>
      </c>
      <c r="Z28" s="172">
        <v>1</v>
      </c>
      <c r="AA28" s="338">
        <f>(W28-V28)*Z28</f>
        <v>2713</v>
      </c>
      <c r="AB28" s="338">
        <f>SUM(AA28*Y28)</f>
        <v>868160</v>
      </c>
      <c r="AC28" s="249">
        <f>AC11</f>
        <v>1000</v>
      </c>
      <c r="AD28" s="212">
        <f>SUM(G35)</f>
        <v>0.12296605176086663</v>
      </c>
      <c r="AE28" s="40">
        <f>SUM(AB28*5%)</f>
        <v>43408</v>
      </c>
      <c r="AF28" s="82">
        <f>SUM(AE28/7)*31</f>
        <v>192235.42857142855</v>
      </c>
    </row>
    <row r="29" spans="1:32" ht="20.100000000000001" customHeight="1">
      <c r="A29" s="163">
        <f>ELEC!C28</f>
        <v>44312</v>
      </c>
      <c r="B29" s="596">
        <f t="shared" si="23"/>
        <v>978719</v>
      </c>
      <c r="C29" s="264">
        <f t="shared" si="0"/>
        <v>0</v>
      </c>
      <c r="D29" s="308">
        <f t="shared" si="7"/>
        <v>0</v>
      </c>
      <c r="E29" s="308">
        <f t="shared" si="11"/>
        <v>978719</v>
      </c>
      <c r="F29" s="596">
        <f t="shared" si="24"/>
        <v>146676</v>
      </c>
      <c r="G29" s="160">
        <f t="shared" si="1"/>
        <v>0</v>
      </c>
      <c r="H29" s="596">
        <f t="shared" si="24"/>
        <v>478799</v>
      </c>
      <c r="I29" s="161">
        <f t="shared" si="2"/>
        <v>0</v>
      </c>
      <c r="J29" s="596">
        <f t="shared" si="24"/>
        <v>353243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22063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6">
        <f t="shared" si="23"/>
        <v>978719</v>
      </c>
      <c r="C30" s="264">
        <f t="shared" si="0"/>
        <v>0</v>
      </c>
      <c r="D30" s="308">
        <f t="shared" si="7"/>
        <v>0</v>
      </c>
      <c r="E30" s="308">
        <f t="shared" si="11"/>
        <v>978719</v>
      </c>
      <c r="F30" s="596">
        <f t="shared" si="24"/>
        <v>146676</v>
      </c>
      <c r="G30" s="160">
        <f t="shared" si="1"/>
        <v>0</v>
      </c>
      <c r="H30" s="596">
        <f t="shared" si="24"/>
        <v>478799</v>
      </c>
      <c r="I30" s="161">
        <f t="shared" si="2"/>
        <v>0</v>
      </c>
      <c r="J30" s="596">
        <f t="shared" si="24"/>
        <v>353243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2747776</v>
      </c>
      <c r="AC30" s="249"/>
    </row>
    <row r="31" spans="1:32" ht="20.100000000000001" customHeight="1">
      <c r="A31" s="163">
        <f>ELEC!C30</f>
        <v>44314</v>
      </c>
      <c r="B31" s="596">
        <f t="shared" si="23"/>
        <v>978719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978719</v>
      </c>
      <c r="F31" s="596">
        <f t="shared" si="24"/>
        <v>146676</v>
      </c>
      <c r="G31" s="160">
        <f t="shared" ref="G31:G33" si="29">F31-F30</f>
        <v>0</v>
      </c>
      <c r="H31" s="596">
        <f t="shared" si="24"/>
        <v>478799</v>
      </c>
      <c r="I31" s="161">
        <f t="shared" ref="I31:I33" si="30">H31-H30</f>
        <v>0</v>
      </c>
      <c r="J31" s="596">
        <f t="shared" si="24"/>
        <v>353243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6">
        <f t="shared" si="23"/>
        <v>978719</v>
      </c>
      <c r="C32" s="264">
        <f t="shared" si="26"/>
        <v>0</v>
      </c>
      <c r="D32" s="308">
        <f t="shared" si="27"/>
        <v>0</v>
      </c>
      <c r="E32" s="308">
        <f t="shared" si="28"/>
        <v>978719</v>
      </c>
      <c r="F32" s="596">
        <f t="shared" si="24"/>
        <v>146676</v>
      </c>
      <c r="G32" s="160">
        <f t="shared" si="29"/>
        <v>0</v>
      </c>
      <c r="H32" s="596">
        <f t="shared" si="24"/>
        <v>478799</v>
      </c>
      <c r="I32" s="161">
        <f t="shared" si="30"/>
        <v>0</v>
      </c>
      <c r="J32" s="596">
        <f t="shared" si="24"/>
        <v>353243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6">
        <f t="shared" si="23"/>
        <v>978719</v>
      </c>
      <c r="C33" s="264">
        <f t="shared" si="26"/>
        <v>0</v>
      </c>
      <c r="D33" s="308">
        <f t="shared" si="27"/>
        <v>0</v>
      </c>
      <c r="E33" s="308">
        <f t="shared" si="28"/>
        <v>978719</v>
      </c>
      <c r="F33" s="596">
        <f t="shared" si="24"/>
        <v>146676</v>
      </c>
      <c r="G33" s="160">
        <f t="shared" si="29"/>
        <v>0</v>
      </c>
      <c r="H33" s="596">
        <f t="shared" si="24"/>
        <v>478799</v>
      </c>
      <c r="I33" s="161">
        <f t="shared" si="30"/>
        <v>0</v>
      </c>
      <c r="J33" s="596">
        <f t="shared" si="24"/>
        <v>353243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8">
        <f>'Utility Cost '!B18</f>
        <v>158</v>
      </c>
      <c r="X33" s="222"/>
      <c r="Y33" s="260"/>
      <c r="Z33" s="3"/>
      <c r="AA33" s="3"/>
      <c r="AB33" s="539">
        <f>SUM(AB30+AC33)</f>
        <v>9982109</v>
      </c>
      <c r="AC33" s="249">
        <f>SUM(AC29)</f>
        <v>7234333</v>
      </c>
    </row>
    <row r="34" spans="1:32" ht="15.75" thickBot="1">
      <c r="A34" s="536">
        <f>A36-COUNTIF(C4:C33,0)</f>
        <v>15</v>
      </c>
      <c r="C34" s="173">
        <f>SUM(C4:C33)/A34</f>
        <v>1470.8666666666666</v>
      </c>
      <c r="D34" s="173"/>
      <c r="E34" s="173"/>
      <c r="G34" s="173">
        <f>SUM(G4:G33)/A34</f>
        <v>180.86666666666667</v>
      </c>
      <c r="I34" s="173">
        <f>SUM(I4:I33)/A34</f>
        <v>690.86666666666667</v>
      </c>
      <c r="K34" s="173">
        <f>SUM(K4:K33)/A34</f>
        <v>599.13333333333333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.75" thickBot="1">
      <c r="A35" s="210"/>
      <c r="C35" s="212">
        <f>SUM(G35:K35)</f>
        <v>1</v>
      </c>
      <c r="G35" s="225">
        <f>IF(C34&gt;0,G34/C34,0)</f>
        <v>0.12296605176086663</v>
      </c>
      <c r="H35" s="212"/>
      <c r="I35" s="225">
        <f>SUM(I34/C34)</f>
        <v>0.46970040339029145</v>
      </c>
      <c r="J35" s="212"/>
      <c r="K35" s="225">
        <f>SUM(K34/C34)</f>
        <v>0.40733354484884199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6621.6311774461028</v>
      </c>
      <c r="AC35" s="572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6621.6311774461028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83"/>
      <c r="AC44" s="683"/>
      <c r="AD44" s="17"/>
      <c r="AE44" s="17"/>
      <c r="AF44" s="17"/>
    </row>
    <row r="45" spans="1:32">
      <c r="V45" s="683"/>
      <c r="W45" s="683"/>
      <c r="X45" s="683"/>
      <c r="Y45" s="683"/>
      <c r="Z45" s="543"/>
      <c r="AA45" s="543"/>
      <c r="AB45" s="683"/>
      <c r="AC45" s="683"/>
      <c r="AD45" s="17"/>
      <c r="AE45" s="17"/>
      <c r="AF45" s="17"/>
    </row>
    <row r="46" spans="1:32">
      <c r="V46" s="683"/>
      <c r="W46" s="683"/>
      <c r="X46" s="683"/>
      <c r="Y46" s="683"/>
      <c r="Z46" s="683"/>
      <c r="AA46" s="683"/>
      <c r="AB46" s="683"/>
      <c r="AC46" s="683"/>
      <c r="AD46" s="17"/>
      <c r="AE46" s="17"/>
      <c r="AF46" s="17"/>
    </row>
    <row r="47" spans="1:32">
      <c r="V47" s="684"/>
      <c r="W47" s="684"/>
      <c r="X47" s="685"/>
      <c r="Y47" s="685"/>
      <c r="Z47" s="685"/>
      <c r="AA47" s="544"/>
      <c r="AB47" s="683"/>
      <c r="AC47" s="683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7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B20" sqref="B20:F20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8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318</v>
      </c>
      <c r="C1" s="699"/>
      <c r="D1" s="701"/>
      <c r="E1" s="698" t="s">
        <v>319</v>
      </c>
      <c r="F1" s="699"/>
      <c r="G1" s="700"/>
      <c r="H1" s="695" t="s">
        <v>324</v>
      </c>
      <c r="I1" s="692" t="s">
        <v>325</v>
      </c>
      <c r="J1" s="689" t="s">
        <v>43</v>
      </c>
    </row>
    <row r="2" spans="1:18" ht="38.25" thickBot="1">
      <c r="A2" s="687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6"/>
      <c r="I2" s="693"/>
      <c r="J2" s="690"/>
    </row>
    <row r="3" spans="1:18" ht="24" customHeight="1" thickBot="1">
      <c r="A3" s="688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7"/>
      <c r="I3" s="694"/>
      <c r="J3" s="691"/>
    </row>
    <row r="4" spans="1:18" ht="19.5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81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81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.7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81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81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81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599">
        <v>7.8</v>
      </c>
      <c r="D11" s="170"/>
      <c r="E11" s="170">
        <v>1</v>
      </c>
      <c r="F11" s="170">
        <v>8</v>
      </c>
      <c r="G11" s="170"/>
      <c r="H11" s="609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.5" thickBot="1">
      <c r="A12" s="240">
        <f>ELEC!C9</f>
        <v>44293</v>
      </c>
      <c r="B12" s="254">
        <v>1.5</v>
      </c>
      <c r="C12" s="603">
        <v>7.8</v>
      </c>
      <c r="D12" s="170"/>
      <c r="E12" s="170">
        <v>1</v>
      </c>
      <c r="F12" s="170">
        <v>8</v>
      </c>
      <c r="G12" s="535"/>
      <c r="H12" s="581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.75" thickBot="1">
      <c r="A13" s="240">
        <f>ELEC!C10</f>
        <v>44294</v>
      </c>
      <c r="B13" s="535">
        <v>1.5</v>
      </c>
      <c r="C13" s="535">
        <v>7.8</v>
      </c>
      <c r="D13" s="535"/>
      <c r="E13" s="535">
        <v>1.4</v>
      </c>
      <c r="F13" s="535">
        <v>8</v>
      </c>
      <c r="G13" s="535"/>
      <c r="H13" s="581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.75" thickBot="1">
      <c r="A14" s="240">
        <f>ELEC!C11</f>
        <v>44295</v>
      </c>
      <c r="B14" s="535">
        <v>1.5</v>
      </c>
      <c r="C14" s="589">
        <v>7.8</v>
      </c>
      <c r="D14" s="170"/>
      <c r="E14" s="170">
        <v>1.3</v>
      </c>
      <c r="F14" s="170">
        <v>8</v>
      </c>
      <c r="G14" s="170"/>
      <c r="H14" s="581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.75" thickBot="1">
      <c r="A15" s="240">
        <f>ELEC!C12</f>
        <v>44296</v>
      </c>
      <c r="B15" s="535">
        <v>1.5</v>
      </c>
      <c r="C15" s="589">
        <v>7.8</v>
      </c>
      <c r="D15" s="589"/>
      <c r="E15" s="589">
        <v>1.1000000000000001</v>
      </c>
      <c r="F15" s="589">
        <v>8</v>
      </c>
      <c r="G15" s="579"/>
      <c r="H15" s="581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.75" thickBot="1">
      <c r="A16" s="240">
        <f>ELEC!C13</f>
        <v>44297</v>
      </c>
      <c r="B16" s="535">
        <v>1.5</v>
      </c>
      <c r="C16" s="589">
        <v>7.8</v>
      </c>
      <c r="D16" s="589"/>
      <c r="E16" s="589">
        <v>1.1000000000000001</v>
      </c>
      <c r="F16" s="589">
        <v>8</v>
      </c>
      <c r="G16" s="579"/>
      <c r="H16" s="581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.75" thickBot="1">
      <c r="A17" s="240">
        <f>ELEC!C14</f>
        <v>44298</v>
      </c>
      <c r="B17" s="254">
        <v>1.5</v>
      </c>
      <c r="C17" s="605">
        <v>7.8</v>
      </c>
      <c r="D17" s="170"/>
      <c r="E17" s="170">
        <v>1.5</v>
      </c>
      <c r="F17" s="605">
        <v>8</v>
      </c>
      <c r="G17" s="535"/>
      <c r="H17" s="581">
        <f t="shared" si="2"/>
        <v>6738</v>
      </c>
      <c r="I17" s="608" t="s">
        <v>417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.75" thickBot="1">
      <c r="A18" s="240">
        <f>ELEC!C15</f>
        <v>44299</v>
      </c>
      <c r="B18" s="254">
        <v>1.3</v>
      </c>
      <c r="C18" s="606">
        <v>7.8</v>
      </c>
      <c r="D18" s="170"/>
      <c r="E18" s="170">
        <v>1</v>
      </c>
      <c r="F18" s="606">
        <v>8</v>
      </c>
      <c r="G18" s="170"/>
      <c r="H18" s="581">
        <v>6740</v>
      </c>
      <c r="I18" s="507">
        <f t="shared" si="3"/>
        <v>2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.75" thickBot="1">
      <c r="A19" s="240">
        <f>ELEC!C16</f>
        <v>44300</v>
      </c>
      <c r="B19" s="254">
        <v>1.5</v>
      </c>
      <c r="C19" s="610">
        <v>7.8</v>
      </c>
      <c r="D19" s="170"/>
      <c r="E19" s="170">
        <v>1</v>
      </c>
      <c r="F19" s="610">
        <v>8</v>
      </c>
      <c r="G19" s="535"/>
      <c r="H19" s="581">
        <v>6741</v>
      </c>
      <c r="I19" s="507">
        <f t="shared" si="3"/>
        <v>1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.75" thickBot="1">
      <c r="A20" s="240">
        <f>ELEC!C17</f>
        <v>44301</v>
      </c>
      <c r="B20" s="254">
        <v>1.5</v>
      </c>
      <c r="C20" s="611">
        <v>7.8</v>
      </c>
      <c r="D20" s="170"/>
      <c r="E20" s="170">
        <v>1</v>
      </c>
      <c r="F20" s="611">
        <v>8</v>
      </c>
      <c r="G20" s="535"/>
      <c r="H20" s="581">
        <f t="shared" si="2"/>
        <v>6741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.75" thickBot="1">
      <c r="A21" s="240">
        <f>ELEC!C18</f>
        <v>44302</v>
      </c>
      <c r="B21" s="535"/>
      <c r="C21" s="589"/>
      <c r="D21" s="170"/>
      <c r="E21" s="170"/>
      <c r="F21" s="170"/>
      <c r="G21" s="535"/>
      <c r="H21" s="581">
        <f t="shared" si="2"/>
        <v>6741</v>
      </c>
      <c r="I21" s="507">
        <f t="shared" si="3"/>
        <v>0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.75" thickBot="1">
      <c r="A22" s="240">
        <f>ELEC!C19</f>
        <v>44303</v>
      </c>
      <c r="B22" s="535"/>
      <c r="C22" s="535"/>
      <c r="D22" s="535"/>
      <c r="E22" s="535"/>
      <c r="F22" s="535"/>
      <c r="G22" s="535"/>
      <c r="H22" s="581">
        <f t="shared" si="2"/>
        <v>6741</v>
      </c>
      <c r="I22" s="507">
        <f t="shared" si="3"/>
        <v>0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.75" thickBot="1">
      <c r="A23" s="240">
        <f>ELEC!C20</f>
        <v>44304</v>
      </c>
      <c r="B23" s="535"/>
      <c r="C23" s="535"/>
      <c r="D23" s="535"/>
      <c r="E23" s="535"/>
      <c r="F23" s="535"/>
      <c r="G23" s="535"/>
      <c r="H23" s="581">
        <f t="shared" si="2"/>
        <v>6741</v>
      </c>
      <c r="I23" s="507">
        <f t="shared" si="3"/>
        <v>0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.75" thickBot="1">
      <c r="A24" s="240">
        <f>ELEC!C21</f>
        <v>44305</v>
      </c>
      <c r="B24" s="535"/>
      <c r="C24" s="589"/>
      <c r="D24" s="170"/>
      <c r="E24" s="170"/>
      <c r="F24" s="170"/>
      <c r="G24" s="170"/>
      <c r="H24" s="581">
        <f t="shared" si="2"/>
        <v>6741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.75" thickBot="1">
      <c r="A25" s="240">
        <f>ELEC!C22</f>
        <v>44306</v>
      </c>
      <c r="B25" s="575"/>
      <c r="C25" s="589"/>
      <c r="D25" s="170"/>
      <c r="E25" s="170"/>
      <c r="F25" s="170"/>
      <c r="G25" s="170"/>
      <c r="H25" s="581">
        <f t="shared" si="2"/>
        <v>6741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.75" thickBot="1">
      <c r="A26" s="240">
        <f>ELEC!C23</f>
        <v>44307</v>
      </c>
      <c r="B26" s="254"/>
      <c r="C26" s="593"/>
      <c r="D26" s="170"/>
      <c r="E26" s="535"/>
      <c r="F26" s="593"/>
      <c r="G26" s="170"/>
      <c r="H26" s="581">
        <f t="shared" si="2"/>
        <v>6741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81">
        <f t="shared" si="2"/>
        <v>6741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.75" thickBot="1">
      <c r="A28" s="240">
        <f>ELEC!C25</f>
        <v>44309</v>
      </c>
      <c r="B28" s="254"/>
      <c r="C28" s="594"/>
      <c r="D28" s="170"/>
      <c r="E28" s="535"/>
      <c r="F28" s="594"/>
      <c r="G28" s="170"/>
      <c r="H28" s="581">
        <f t="shared" si="2"/>
        <v>6741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.75" thickBot="1">
      <c r="A29" s="240">
        <f>ELEC!C26</f>
        <v>44310</v>
      </c>
      <c r="B29" s="535"/>
      <c r="C29" s="535"/>
      <c r="D29" s="535"/>
      <c r="E29" s="170"/>
      <c r="F29" s="170"/>
      <c r="G29" s="535"/>
      <c r="H29" s="581">
        <f t="shared" si="2"/>
        <v>6741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1">
        <f t="shared" si="2"/>
        <v>6741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.75" thickBot="1">
      <c r="A31" s="240">
        <f>ELEC!C28</f>
        <v>44312</v>
      </c>
      <c r="B31" s="254"/>
      <c r="C31" s="589"/>
      <c r="D31" s="170"/>
      <c r="E31" s="170"/>
      <c r="F31" s="170"/>
      <c r="G31" s="170"/>
      <c r="H31" s="581">
        <f t="shared" si="2"/>
        <v>6741</v>
      </c>
      <c r="I31" s="507">
        <f t="shared" si="3"/>
        <v>0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81">
        <f t="shared" si="2"/>
        <v>6741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81">
        <f t="shared" si="2"/>
        <v>6741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81">
        <f t="shared" si="2"/>
        <v>6741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81">
        <f t="shared" si="2"/>
        <v>6741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409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-268.20000000000005</v>
      </c>
      <c r="AB13" s="272">
        <f>O43</f>
        <v>8.2999999999999972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20</v>
      </c>
      <c r="O17" s="272">
        <f>'General information '!C13</f>
        <v>17</v>
      </c>
      <c r="P17" s="272">
        <f t="shared" si="0"/>
        <v>0.19999999999999929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20</v>
      </c>
      <c r="O18" s="272">
        <f>'General information '!C14</f>
        <v>16</v>
      </c>
      <c r="P18" s="272">
        <f t="shared" si="0"/>
        <v>-0.30000000000000071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16</v>
      </c>
      <c r="O19" s="272">
        <f>'General information '!C15</f>
        <v>14</v>
      </c>
      <c r="P19" s="272">
        <f t="shared" si="0"/>
        <v>-3.3000000000000007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17</v>
      </c>
      <c r="O20" s="272">
        <f>'General information '!C16</f>
        <v>12</v>
      </c>
      <c r="P20" s="272">
        <f t="shared" si="0"/>
        <v>-3.8000000000000007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16</v>
      </c>
      <c r="O21" s="272">
        <f>'General information '!C17</f>
        <v>13</v>
      </c>
      <c r="P21" s="272">
        <f t="shared" si="0"/>
        <v>-3.8000000000000007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18</v>
      </c>
      <c r="O22" s="272">
        <f>'General information '!C18</f>
        <v>11</v>
      </c>
      <c r="P22" s="272">
        <f t="shared" si="0"/>
        <v>-3.8000000000000007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20</v>
      </c>
      <c r="O23" s="272">
        <f>'General information '!C19</f>
        <v>12</v>
      </c>
      <c r="P23" s="272">
        <f t="shared" si="0"/>
        <v>-2.3000000000000007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-493.59999999999997</v>
      </c>
      <c r="AB23" s="134">
        <f>SUM(AB10:AB22)</f>
        <v>29.099999999999984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24</v>
      </c>
      <c r="O24" s="272">
        <f>'General information '!C20</f>
        <v>14</v>
      </c>
      <c r="P24" s="272">
        <f t="shared" si="0"/>
        <v>0.69999999999999929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-268.20000000000005</v>
      </c>
      <c r="O43" s="119">
        <f>SUMIF(P10:P37,"&gt;0")</f>
        <v>8.2999999999999972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-4885.6000000000013</v>
      </c>
      <c r="O86" s="142">
        <f>C43+G43+K43+O43+S43+W43+C81+G81+K81+O81+S81+W81</f>
        <v>29.099999999999984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15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398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4100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36050</v>
      </c>
      <c r="C8" s="491">
        <f>SUM(tanks!AU36)</f>
        <v>0.95000000000000007</v>
      </c>
      <c r="D8" s="191">
        <f>SUM(B8*C8)*D4</f>
        <v>51628106.25</v>
      </c>
      <c r="E8" s="192">
        <f>SUM(D8/D4/F4)</f>
        <v>2283.1666666666665</v>
      </c>
      <c r="F8" s="192">
        <f>SUM(E8*F4)</f>
        <v>34247.5</v>
      </c>
      <c r="G8" s="508">
        <f>E8*$F$4</f>
        <v>34247.5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9982109</v>
      </c>
      <c r="E10" s="182">
        <f>SUM(D10/D4/F4)</f>
        <v>441.44207849640685</v>
      </c>
      <c r="F10" s="182">
        <f>SUM(E10*F4)</f>
        <v>6621.6311774461028</v>
      </c>
      <c r="G10" s="508">
        <f>E10*$G$4</f>
        <v>13243.262354892206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2997.9420784964068</v>
      </c>
      <c r="F12" s="180">
        <f>SUM(F6:F10)</f>
        <v>44969.131177446106</v>
      </c>
      <c r="G12" s="179">
        <f>SUM(G6:G10)</f>
        <v>55690.762354892206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10351.762354892206</v>
      </c>
      <c r="I14" s="423">
        <f>SUM(G12-I12)</f>
        <v>10351.762354892206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16.833333333333332</v>
      </c>
      <c r="C16" s="433">
        <f>'[15]Utility Cost '!C16</f>
        <v>18.116666666666667</v>
      </c>
      <c r="D16" s="432"/>
      <c r="E16" s="433">
        <f t="shared" si="0"/>
        <v>-1.283333333333335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158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58</v>
      </c>
      <c r="F18" s="526">
        <f>B18-D18</f>
        <v>-14.73885330486587</v>
      </c>
    </row>
    <row r="19" spans="1:10">
      <c r="A19" s="520" t="s">
        <v>411</v>
      </c>
      <c r="B19" s="518">
        <f>SUM(B18/$F$4)</f>
        <v>10.533333333333333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2021-04-16T06:54:16Z</dcterms:modified>
</cp:coreProperties>
</file>