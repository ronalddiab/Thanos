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<sst xmlns="http://schemas.openxmlformats.org/spreadsheetml/2006/main" count="313" uniqueCount="148">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</sst>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 t="str">
        <f>'FS Desroches Daily'!X6</f>
        <v/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2499.9999999999463</v>
      </c>
      <c r="F33" s="17">
        <f t="shared" ref="F33:BC33" si="1">SUM(F2:F32)</f>
        <v>1200.000000000312</v>
      </c>
      <c r="G33" s="17">
        <f t="shared" si="1"/>
        <v>3200.0000000000919</v>
      </c>
      <c r="H33" s="17">
        <f t="shared" si="1"/>
        <v>1499.9999999998349</v>
      </c>
      <c r="I33" s="17">
        <f t="shared" si="1"/>
        <v>3400.0000000000696</v>
      </c>
      <c r="J33" s="17">
        <f t="shared" si="1"/>
        <v>1000.0000000001119</v>
      </c>
      <c r="K33" s="17">
        <f t="shared" si="1"/>
        <v>1</v>
      </c>
      <c r="L33" s="17">
        <f t="shared" si="1"/>
        <v>4</v>
      </c>
      <c r="M33" s="17">
        <f t="shared" si="1"/>
        <v>421.30000000004657</v>
      </c>
      <c r="N33" s="17">
        <f t="shared" si="1"/>
        <v>192.20000000001164</v>
      </c>
      <c r="O33" s="17">
        <f t="shared" si="1"/>
        <v>79.999999999984084</v>
      </c>
      <c r="P33" s="17">
        <f t="shared" si="1"/>
        <v>899.99999999967883</v>
      </c>
      <c r="Q33" s="17">
        <f t="shared" si="1"/>
        <v>240.00000000000909</v>
      </c>
      <c r="R33" s="17">
        <f t="shared" si="1"/>
        <v>280.00000000002956</v>
      </c>
      <c r="S33" s="17">
        <f t="shared" si="1"/>
        <v>269.99999999998181</v>
      </c>
      <c r="T33" s="17">
        <f t="shared" si="1"/>
        <v>2.2000000000000455</v>
      </c>
      <c r="U33" s="35">
        <f t="shared" si="1"/>
        <v>469.99999999997044</v>
      </c>
      <c r="V33" s="35">
        <f t="shared" si="1"/>
        <v>310.00000000000227</v>
      </c>
      <c r="W33" s="35">
        <f t="shared" si="1"/>
        <v>560.00000000000227</v>
      </c>
      <c r="X33" s="35">
        <f t="shared" si="1"/>
        <v>400.00000000000568</v>
      </c>
      <c r="Y33" s="35">
        <f t="shared" si="1"/>
        <v>49.999999999982947</v>
      </c>
      <c r="Z33" s="35">
        <f t="shared" si="1"/>
        <v>69.999999999993179</v>
      </c>
      <c r="AA33" s="35">
        <f t="shared" si="1"/>
        <v>69.999999999993179</v>
      </c>
      <c r="AB33" s="35">
        <f t="shared" si="1"/>
        <v>50.000000000011369</v>
      </c>
      <c r="AC33" s="35">
        <f t="shared" si="1"/>
        <v>60.000000000002274</v>
      </c>
      <c r="AD33" s="35">
        <f t="shared" si="1"/>
        <v>40.000000000020464</v>
      </c>
      <c r="AE33" s="35">
        <f t="shared" si="1"/>
        <v>39.999999999992042</v>
      </c>
      <c r="AF33" s="17">
        <f t="shared" si="1"/>
        <v>55</v>
      </c>
      <c r="AG33" s="32">
        <f t="shared" si="1"/>
        <v>10.000000000019327</v>
      </c>
      <c r="AH33" s="32">
        <f t="shared" si="1"/>
        <v>20.000000000038654</v>
      </c>
      <c r="AI33" s="32">
        <f t="shared" si="1"/>
        <v>9.9999999999909051</v>
      </c>
      <c r="AJ33" s="32">
        <f t="shared" si="1"/>
        <v>30.000000000001137</v>
      </c>
      <c r="AK33" s="32">
        <f t="shared" si="1"/>
        <v>40.000000000020464</v>
      </c>
      <c r="AL33" s="32">
        <f t="shared" si="1"/>
        <v>14</v>
      </c>
      <c r="AM33" s="32">
        <f t="shared" si="1"/>
        <v>20.000000000010232</v>
      </c>
      <c r="AN33" s="32">
        <f t="shared" si="1"/>
        <v>40</v>
      </c>
      <c r="AO33" s="32">
        <f t="shared" si="1"/>
        <v>30.000000000001137</v>
      </c>
      <c r="AP33" s="32">
        <f t="shared" si="1"/>
        <v>42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33.400000000001455</v>
      </c>
      <c r="AU33" s="17">
        <f t="shared" si="1"/>
        <v>404</v>
      </c>
      <c r="AV33" s="17">
        <f t="shared" si="1"/>
        <v>960.00000000003638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7.3259999999999996</v>
      </c>
      <c r="BC33" s="17">
        <f t="shared" si="1"/>
        <v>16</v>
      </c>
    </row>
    <row r="35" spans="5:55" x14ac:dyDescent="0.25">
      <c r="E35" s="38">
        <f>E33/E37</f>
        <v>4.6468401486962083</v>
      </c>
      <c r="G35" s="29">
        <f>G33-M36</f>
        <v>2586.5000000000337</v>
      </c>
      <c r="AE35" s="35">
        <f>SUM(U33:AE33)</f>
        <v>2119.9999999999764</v>
      </c>
      <c r="AG35" s="32">
        <f>SUM(AG33:AP33)</f>
        <v>256.00000000008185</v>
      </c>
    </row>
    <row r="36" spans="5:55" x14ac:dyDescent="0.25">
      <c r="G36" s="29">
        <f>G35-633*14</f>
        <v>-6275.4999999999663</v>
      </c>
      <c r="M36" s="29">
        <f>M33+N33</f>
        <v>613.50000000005821</v>
      </c>
    </row>
    <row r="37" spans="5:55" x14ac:dyDescent="0.25">
      <c r="E37" s="17">
        <f>E33+F33+G33+H33+J33-633*14</f>
        <v>538.00000000029831</v>
      </c>
      <c r="G37" s="37">
        <f>M36/E37</f>
        <v>1.1403345724901821</v>
      </c>
      <c r="M37" s="35">
        <f>AE35</f>
        <v>2119.9999999999764</v>
      </c>
    </row>
    <row r="38" spans="5:55" x14ac:dyDescent="0.25">
      <c r="L38" s="27">
        <f>M38/E37</f>
        <v>0.47583643122665409</v>
      </c>
      <c r="M38" s="29">
        <f>AG35</f>
        <v>256.00000000008185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2" activePane="bottomLeft" state="frozen"/>
      <selection pane="bottomLeft" activeCell="CV7" sqref="CV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4</v>
      </c>
      <c r="CO3" s="62">
        <v>19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3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4</v>
      </c>
      <c r="CO4" s="62">
        <v>19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4</v>
      </c>
      <c r="CO5" s="62">
        <v>19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/>
      <c r="D6" s="64" t="str">
        <f t="shared" si="0"/>
        <v>0</v>
      </c>
      <c r="E6" s="58"/>
      <c r="F6" s="64" t="str">
        <f t="shared" si="1"/>
        <v>0</v>
      </c>
      <c r="G6" s="58"/>
      <c r="H6" s="64" t="str">
        <f t="shared" si="2"/>
        <v>0</v>
      </c>
      <c r="I6" s="58"/>
      <c r="J6" s="64" t="str">
        <f t="shared" si="3"/>
        <v>0</v>
      </c>
      <c r="K6" s="58"/>
      <c r="L6" s="64" t="str">
        <f t="shared" si="4"/>
        <v>0</v>
      </c>
      <c r="M6" s="58"/>
      <c r="N6" s="64" t="str">
        <f t="shared" si="5"/>
        <v/>
      </c>
      <c r="O6" s="58"/>
      <c r="P6" s="67" t="str">
        <f>IF((O6-O5&lt;0), "",O6-O5)</f>
        <v/>
      </c>
      <c r="Q6" s="58"/>
      <c r="R6" s="67" t="str">
        <f t="shared" si="6"/>
        <v/>
      </c>
      <c r="S6" s="58"/>
      <c r="T6" s="67" t="str">
        <f t="shared" si="7"/>
        <v/>
      </c>
      <c r="U6" s="58"/>
      <c r="V6" s="67" t="str">
        <f t="shared" si="8"/>
        <v/>
      </c>
      <c r="W6" s="58"/>
      <c r="X6" s="65" t="str">
        <f t="shared" si="9"/>
        <v/>
      </c>
      <c r="Y6" s="58"/>
      <c r="Z6" s="65" t="str">
        <f t="shared" si="10"/>
        <v/>
      </c>
      <c r="AA6" s="58"/>
      <c r="AB6" s="65" t="str">
        <f t="shared" si="11"/>
        <v/>
      </c>
      <c r="AC6" s="58"/>
      <c r="AD6" s="65" t="str">
        <f t="shared" si="12"/>
        <v/>
      </c>
      <c r="AE6" s="58"/>
      <c r="AF6" s="65" t="str">
        <f t="shared" si="13"/>
        <v/>
      </c>
      <c r="AG6" s="58"/>
      <c r="AH6" s="67" t="str">
        <f t="shared" si="14"/>
        <v/>
      </c>
      <c r="AI6" s="58"/>
      <c r="AJ6" s="65" t="str">
        <f t="shared" si="15"/>
        <v/>
      </c>
      <c r="AK6" s="58"/>
      <c r="AL6" s="65" t="str">
        <f t="shared" si="15"/>
        <v/>
      </c>
      <c r="AM6" s="58"/>
      <c r="AN6" s="65" t="str">
        <f t="shared" si="15"/>
        <v/>
      </c>
      <c r="AO6" s="58"/>
      <c r="AP6" s="65" t="str">
        <f t="shared" si="15"/>
        <v/>
      </c>
      <c r="AQ6" s="58"/>
      <c r="AR6" s="65" t="str">
        <f t="shared" si="16"/>
        <v/>
      </c>
      <c r="AS6" s="58"/>
      <c r="AT6" s="65" t="str">
        <f t="shared" si="17"/>
        <v/>
      </c>
      <c r="AU6" s="58"/>
      <c r="AV6" s="65" t="str">
        <f t="shared" si="18"/>
        <v/>
      </c>
      <c r="AW6" s="58"/>
      <c r="AX6" s="65" t="str">
        <f t="shared" si="19"/>
        <v/>
      </c>
      <c r="AY6" s="58"/>
      <c r="AZ6" s="65" t="str">
        <f t="shared" si="20"/>
        <v/>
      </c>
      <c r="BA6" s="58"/>
      <c r="BB6" s="65" t="str">
        <f t="shared" si="21"/>
        <v/>
      </c>
      <c r="BC6" s="58"/>
      <c r="BD6" s="65" t="str">
        <f t="shared" si="22"/>
        <v/>
      </c>
      <c r="BE6" s="59"/>
      <c r="BF6" s="67" t="str">
        <f t="shared" si="39"/>
        <v/>
      </c>
      <c r="BG6" s="60"/>
      <c r="BH6" s="65" t="str">
        <f t="shared" si="23"/>
        <v/>
      </c>
      <c r="BI6" s="60"/>
      <c r="BJ6" s="65" t="str">
        <f t="shared" si="40"/>
        <v/>
      </c>
      <c r="BK6" s="60"/>
      <c r="BL6" s="65" t="str">
        <f t="shared" si="24"/>
        <v/>
      </c>
      <c r="BM6" s="60"/>
      <c r="BN6" s="65" t="str">
        <f t="shared" si="25"/>
        <v/>
      </c>
      <c r="BO6" s="60"/>
      <c r="BP6" s="65" t="str">
        <f t="shared" si="26"/>
        <v/>
      </c>
      <c r="BQ6" s="60"/>
      <c r="BR6" s="65" t="str">
        <f t="shared" si="27"/>
        <v/>
      </c>
      <c r="BS6" s="60"/>
      <c r="BT6" s="65" t="str">
        <f t="shared" ref="BT6:BT35" si="42">IF((BS6-BS5&lt;0), "",(BS6-BS5)*1000)</f>
        <v/>
      </c>
      <c r="BU6" s="60"/>
      <c r="BV6" s="65" t="str">
        <f t="shared" si="29"/>
        <v/>
      </c>
      <c r="BW6" s="60"/>
      <c r="BX6" s="65" t="str">
        <f t="shared" si="30"/>
        <v/>
      </c>
      <c r="BY6" s="60"/>
      <c r="BZ6" s="67" t="str">
        <f t="shared" si="31"/>
        <v/>
      </c>
      <c r="CA6" s="60"/>
      <c r="CB6" s="67" t="str">
        <f t="shared" si="32"/>
        <v/>
      </c>
      <c r="CC6" s="60"/>
      <c r="CD6" s="67" t="str">
        <f t="shared" si="33"/>
        <v/>
      </c>
      <c r="CE6" s="60"/>
      <c r="CF6" s="67" t="str">
        <f t="shared" si="34"/>
        <v/>
      </c>
      <c r="CG6" s="60"/>
      <c r="CH6" s="67" t="str">
        <f t="shared" si="35"/>
        <v/>
      </c>
      <c r="CI6" s="60"/>
      <c r="CJ6" s="67" t="str">
        <f t="shared" si="36"/>
        <v/>
      </c>
      <c r="CK6" s="60"/>
      <c r="CL6" s="64" t="str">
        <f t="shared" si="37"/>
        <v/>
      </c>
      <c r="CM6" s="65" t="e">
        <f t="shared" si="41"/>
        <v>#VALUE!</v>
      </c>
      <c r="CN6" s="62">
        <v>4</v>
      </c>
      <c r="CO6" s="62">
        <v>19</v>
      </c>
      <c r="CP6" s="68"/>
      <c r="CQ6" s="67" t="str">
        <f t="shared" si="38"/>
        <v/>
      </c>
      <c r="CR6" s="68"/>
      <c r="CS6" s="67" t="str">
        <f t="shared" si="38"/>
        <v/>
      </c>
      <c r="CT6" s="75"/>
      <c r="CU6" s="67" t="str">
        <f t="shared" si="38"/>
        <v/>
      </c>
      <c r="CV6" s="68"/>
      <c r="CW6" s="67" t="str">
        <f t="shared" si="38"/>
        <v/>
      </c>
    </row>
    <row r="7" spans="1:102" ht="25.5" customHeight="1" thickBot="1" x14ac:dyDescent="0.45">
      <c r="A7" s="63">
        <v>44139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4"/>
        <v>0</v>
      </c>
      <c r="M7" s="58"/>
      <c r="N7" s="64">
        <f t="shared" si="5"/>
        <v>0</v>
      </c>
      <c r="O7" s="58"/>
      <c r="P7" s="67">
        <f t="shared" ref="P7:P10" si="43">IF((O7-O6&lt;0), "",O7-O6)</f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8"/>
        <v>0</v>
      </c>
      <c r="W7" s="58"/>
      <c r="X7" s="65">
        <f t="shared" si="9"/>
        <v>0</v>
      </c>
      <c r="Y7" s="58"/>
      <c r="Z7" s="65">
        <f t="shared" si="10"/>
        <v>0</v>
      </c>
      <c r="AA7" s="58"/>
      <c r="AB7" s="65">
        <f t="shared" si="11"/>
        <v>0</v>
      </c>
      <c r="AC7" s="58"/>
      <c r="AD7" s="65">
        <f t="shared" si="12"/>
        <v>0</v>
      </c>
      <c r="AE7" s="58"/>
      <c r="AF7" s="65">
        <f t="shared" si="13"/>
        <v>0</v>
      </c>
      <c r="AG7" s="58"/>
      <c r="AH7" s="67">
        <f t="shared" si="14"/>
        <v>0</v>
      </c>
      <c r="AI7" s="58"/>
      <c r="AJ7" s="65">
        <f t="shared" si="15"/>
        <v>0</v>
      </c>
      <c r="AK7" s="58"/>
      <c r="AL7" s="65">
        <f t="shared" si="15"/>
        <v>0</v>
      </c>
      <c r="AM7" s="58"/>
      <c r="AN7" s="65">
        <f t="shared" si="15"/>
        <v>0</v>
      </c>
      <c r="AO7" s="58"/>
      <c r="AP7" s="65">
        <f t="shared" si="15"/>
        <v>0</v>
      </c>
      <c r="AQ7" s="58"/>
      <c r="AR7" s="65">
        <f t="shared" si="16"/>
        <v>0</v>
      </c>
      <c r="AS7" s="58"/>
      <c r="AT7" s="65">
        <f t="shared" si="17"/>
        <v>0</v>
      </c>
      <c r="AU7" s="58"/>
      <c r="AV7" s="65">
        <f t="shared" si="18"/>
        <v>0</v>
      </c>
      <c r="AW7" s="58"/>
      <c r="AX7" s="65">
        <f t="shared" si="19"/>
        <v>0</v>
      </c>
      <c r="AY7" s="58"/>
      <c r="AZ7" s="65">
        <f t="shared" si="20"/>
        <v>0</v>
      </c>
      <c r="BA7" s="58"/>
      <c r="BB7" s="65">
        <f t="shared" si="21"/>
        <v>0</v>
      </c>
      <c r="BC7" s="58"/>
      <c r="BD7" s="65">
        <f t="shared" si="22"/>
        <v>0</v>
      </c>
      <c r="BE7" s="59"/>
      <c r="BF7" s="67">
        <f t="shared" si="39"/>
        <v>0</v>
      </c>
      <c r="BG7" s="60"/>
      <c r="BH7" s="65">
        <f t="shared" si="23"/>
        <v>0</v>
      </c>
      <c r="BI7" s="60"/>
      <c r="BJ7" s="65">
        <f t="shared" si="40"/>
        <v>0</v>
      </c>
      <c r="BK7" s="60"/>
      <c r="BL7" s="65">
        <f t="shared" si="24"/>
        <v>0</v>
      </c>
      <c r="BM7" s="60"/>
      <c r="BN7" s="65">
        <f t="shared" si="25"/>
        <v>0</v>
      </c>
      <c r="BO7" s="60"/>
      <c r="BP7" s="65">
        <f t="shared" si="26"/>
        <v>0</v>
      </c>
      <c r="BQ7" s="60"/>
      <c r="BR7" s="65">
        <f t="shared" si="27"/>
        <v>0</v>
      </c>
      <c r="BS7" s="60"/>
      <c r="BT7" s="65">
        <f t="shared" si="42"/>
        <v>0</v>
      </c>
      <c r="BU7" s="60"/>
      <c r="BV7" s="65">
        <f t="shared" si="29"/>
        <v>0</v>
      </c>
      <c r="BW7" s="60"/>
      <c r="BX7" s="65">
        <f t="shared" si="30"/>
        <v>0</v>
      </c>
      <c r="BY7" s="60"/>
      <c r="BZ7" s="67">
        <f t="shared" si="31"/>
        <v>0</v>
      </c>
      <c r="CA7" s="60"/>
      <c r="CB7" s="67">
        <f t="shared" si="32"/>
        <v>0</v>
      </c>
      <c r="CC7" s="60"/>
      <c r="CD7" s="67">
        <f t="shared" si="33"/>
        <v>0</v>
      </c>
      <c r="CE7" s="60"/>
      <c r="CF7" s="67">
        <f t="shared" si="34"/>
        <v>0</v>
      </c>
      <c r="CG7" s="60"/>
      <c r="CH7" s="67">
        <f t="shared" si="35"/>
        <v>0</v>
      </c>
      <c r="CI7" s="60"/>
      <c r="CJ7" s="67">
        <f t="shared" si="36"/>
        <v>0</v>
      </c>
      <c r="CK7" s="60"/>
      <c r="CL7" s="64">
        <f t="shared" si="37"/>
        <v>0</v>
      </c>
      <c r="CM7" s="65">
        <f t="shared" si="41"/>
        <v>0</v>
      </c>
      <c r="CN7" s="62">
        <v>4</v>
      </c>
      <c r="CO7" s="62">
        <v>19</v>
      </c>
      <c r="CP7" s="68"/>
      <c r="CQ7" s="67">
        <f t="shared" si="38"/>
        <v>0</v>
      </c>
      <c r="CR7" s="68"/>
      <c r="CS7" s="67">
        <f t="shared" si="38"/>
        <v>0</v>
      </c>
      <c r="CT7" s="75"/>
      <c r="CU7" s="67">
        <f t="shared" si="38"/>
        <v>0</v>
      </c>
      <c r="CV7" s="68"/>
      <c r="CW7" s="67">
        <f t="shared" si="38"/>
        <v>0</v>
      </c>
    </row>
    <row r="8" spans="1:102" ht="25.5" customHeight="1" thickBot="1" x14ac:dyDescent="0.45">
      <c r="A8" s="63">
        <v>44140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3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44141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44142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44143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44144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44145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44146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44147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44148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44149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44150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44151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44152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44153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44154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44155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44156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44157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44158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44159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44160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44161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44162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44163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44164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44165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44166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X11" sqref="X1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0"/>
        <v>-196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0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2020-11-03T12:27:43Z</dcterms:modified>
</cp:coreProperties>
</file>