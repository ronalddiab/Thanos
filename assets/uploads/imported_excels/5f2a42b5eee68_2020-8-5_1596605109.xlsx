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<sst xmlns="http://schemas.openxmlformats.org/spreadsheetml/2006/main" count="128" uniqueCount="49">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</sst>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56670</v>
      </c>
      <c r="F2" s="11">
        <v>5.0000000000000001E-3</v>
      </c>
      <c r="G2" s="12">
        <f>Submetering!R2</f>
        <v>956.57310700000005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53950</v>
      </c>
      <c r="F3" s="11">
        <v>5.0000000000000001E-3</v>
      </c>
      <c r="G3" s="12">
        <f>Submetering!R3</f>
        <v>883.51469399999996</v>
      </c>
      <c r="H3" s="11">
        <v>0.52800000000000002</v>
      </c>
      <c r="I3" s="12">
        <f>Hotel!B8</f>
        <v>118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51890</v>
      </c>
      <c r="F4" s="11">
        <v>5.0000000000000001E-3</v>
      </c>
      <c r="G4" s="12">
        <f>Submetering!R4</f>
        <v>1064.078751</v>
      </c>
      <c r="H4" s="11">
        <v>0.52800000000000002</v>
      </c>
      <c r="I4" s="12">
        <f>Hotel!B9</f>
        <v>59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50424</v>
      </c>
      <c r="F5" s="11">
        <v>5.0000000000000001E-3</v>
      </c>
      <c r="G5" s="12">
        <f>Submetering!R5</f>
        <v>1132.5946719999999</v>
      </c>
      <c r="H5" s="11">
        <v>0.52800000000000002</v>
      </c>
      <c r="I5" s="12">
        <f>Hotel!B10</f>
        <v>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L15" sqref="L1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8</v>
      </c>
      <c r="D2" s="2">
        <v>2020</v>
      </c>
      <c r="E2" s="4">
        <f>Hotel!Q7</f>
        <v>1070</v>
      </c>
      <c r="F2" s="4">
        <f>Hotel!R7</f>
        <v>14780</v>
      </c>
      <c r="G2" s="4">
        <f>Hotel!S7</f>
        <v>3920</v>
      </c>
      <c r="H2" s="4">
        <f>Hotel!T7</f>
        <v>1720</v>
      </c>
      <c r="I2" s="4">
        <f>Hotel!U7</f>
        <v>4310</v>
      </c>
      <c r="J2" s="4">
        <f>Hotel!V7</f>
        <v>3020</v>
      </c>
      <c r="K2" s="4">
        <f>Hotel!W7</f>
        <v>2390</v>
      </c>
      <c r="L2" s="4">
        <f>Hotel!X7</f>
        <v>1790</v>
      </c>
      <c r="M2" s="4">
        <f>Hotel!Y7</f>
        <v>3860</v>
      </c>
      <c r="N2" s="4">
        <f>Hotel!Z7</f>
        <v>2890</v>
      </c>
      <c r="O2" s="4">
        <f>Hotel!AA7</f>
        <v>3330</v>
      </c>
      <c r="P2" s="4">
        <f>Hotel!AB7</f>
        <v>6890</v>
      </c>
      <c r="Q2" s="4">
        <f>Hotel!AC7</f>
        <v>6700</v>
      </c>
      <c r="R2" s="4">
        <f>Hotel!AV7*0.00378541*100</f>
        <v>956.57310700000005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8</v>
      </c>
      <c r="D3" s="2">
        <v>2020</v>
      </c>
      <c r="E3" s="4">
        <f>Hotel!Q8</f>
        <v>940</v>
      </c>
      <c r="F3" s="4">
        <f>Hotel!R8</f>
        <v>15240</v>
      </c>
      <c r="G3" s="4">
        <f>Hotel!S8</f>
        <v>4250</v>
      </c>
      <c r="H3" s="4">
        <f>Hotel!T8</f>
        <v>1530</v>
      </c>
      <c r="I3" s="4">
        <f>Hotel!U8</f>
        <v>4030</v>
      </c>
      <c r="J3" s="4">
        <f>Hotel!V8</f>
        <v>2700</v>
      </c>
      <c r="K3" s="4">
        <f>Hotel!W8</f>
        <v>2160</v>
      </c>
      <c r="L3" s="4">
        <f>Hotel!X8</f>
        <v>1600</v>
      </c>
      <c r="M3" s="4">
        <f>Hotel!Y8</f>
        <v>3730</v>
      </c>
      <c r="N3" s="4">
        <f>Hotel!Z8</f>
        <v>2640</v>
      </c>
      <c r="O3" s="4">
        <f>Hotel!AA8</f>
        <v>3050</v>
      </c>
      <c r="P3" s="4">
        <f>Hotel!AB8</f>
        <v>6290</v>
      </c>
      <c r="Q3" s="4">
        <f>Hotel!AC8</f>
        <v>5790</v>
      </c>
      <c r="R3" s="4">
        <f>Hotel!AV8*0.00378541*100</f>
        <v>883.51469399999996</v>
      </c>
      <c r="S3" s="4">
        <f>Hotel!B8</f>
        <v>118</v>
      </c>
    </row>
    <row r="4" spans="1:19" x14ac:dyDescent="0.25">
      <c r="A4" s="21" t="s">
        <v>31</v>
      </c>
      <c r="B4" s="2">
        <f t="shared" ref="B4:B29" si="0">B3+1</f>
        <v>3</v>
      </c>
      <c r="C4" s="10">
        <v>8</v>
      </c>
      <c r="D4" s="2">
        <v>2020</v>
      </c>
      <c r="E4" s="4">
        <f>Hotel!Q9</f>
        <v>990</v>
      </c>
      <c r="F4" s="4">
        <f>Hotel!R9</f>
        <v>13360</v>
      </c>
      <c r="G4" s="4">
        <f>Hotel!S9</f>
        <v>3420</v>
      </c>
      <c r="H4" s="4">
        <f>Hotel!T9</f>
        <v>1600</v>
      </c>
      <c r="I4" s="4">
        <f>Hotel!U9</f>
        <v>3980</v>
      </c>
      <c r="J4" s="4">
        <f>Hotel!V9</f>
        <v>2930</v>
      </c>
      <c r="K4" s="4">
        <f>Hotel!W9</f>
        <v>2260</v>
      </c>
      <c r="L4" s="4">
        <f>Hotel!X9</f>
        <v>1560</v>
      </c>
      <c r="M4" s="4">
        <f>Hotel!Y9</f>
        <v>3890</v>
      </c>
      <c r="N4" s="4">
        <f>Hotel!Z9</f>
        <v>2620</v>
      </c>
      <c r="O4" s="4">
        <f>Hotel!AA9</f>
        <v>3000</v>
      </c>
      <c r="P4" s="4">
        <f>Hotel!AB9</f>
        <v>6500</v>
      </c>
      <c r="Q4" s="4">
        <f>Hotel!AC9</f>
        <v>5780</v>
      </c>
      <c r="R4" s="4">
        <f>Hotel!AV9*0.00378541*100</f>
        <v>1064.078751</v>
      </c>
      <c r="S4" s="4">
        <f>Hotel!B9</f>
        <v>59</v>
      </c>
    </row>
    <row r="5" spans="1:19" x14ac:dyDescent="0.25">
      <c r="A5" s="21" t="s">
        <v>31</v>
      </c>
      <c r="B5" s="2">
        <f t="shared" si="0"/>
        <v>4</v>
      </c>
      <c r="C5" s="10">
        <v>8</v>
      </c>
      <c r="D5" s="2">
        <v>2020</v>
      </c>
      <c r="E5" s="4">
        <f>Hotel!Q10</f>
        <v>970</v>
      </c>
      <c r="F5" s="4">
        <f>Hotel!R10</f>
        <v>12770</v>
      </c>
      <c r="G5" s="4">
        <f>Hotel!S10</f>
        <v>3230</v>
      </c>
      <c r="H5" s="4">
        <f>Hotel!T10</f>
        <v>1550</v>
      </c>
      <c r="I5" s="4">
        <f>Hotel!U10</f>
        <v>3990</v>
      </c>
      <c r="J5" s="4">
        <f>Hotel!V10</f>
        <v>2660</v>
      </c>
      <c r="K5" s="4">
        <f>Hotel!W10</f>
        <v>2170</v>
      </c>
      <c r="L5" s="4">
        <f>Hotel!X10</f>
        <v>1820</v>
      </c>
      <c r="M5" s="4">
        <f>Hotel!Y10</f>
        <v>3774</v>
      </c>
      <c r="N5" s="4">
        <f>Hotel!Z10</f>
        <v>2370</v>
      </c>
      <c r="O5" s="4">
        <f>Hotel!AA10</f>
        <v>2840</v>
      </c>
      <c r="P5" s="4">
        <f>Hotel!AB10</f>
        <v>6270</v>
      </c>
      <c r="Q5" s="4">
        <f>Hotel!AC10</f>
        <v>6010</v>
      </c>
      <c r="R5" s="4">
        <f>Hotel!AV10*0.00378541*100</f>
        <v>1132.5946719999999</v>
      </c>
      <c r="S5" s="4">
        <f>Hotel!B10</f>
        <v>59</v>
      </c>
    </row>
    <row r="6" spans="1:19" x14ac:dyDescent="0.25">
      <c r="A6" s="21" t="s">
        <v>31</v>
      </c>
      <c r="B6" s="2">
        <f t="shared" si="0"/>
        <v>5</v>
      </c>
      <c r="C6" s="10">
        <v>8</v>
      </c>
      <c r="D6" s="2">
        <v>2020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8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8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8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8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8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8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8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8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8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8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8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8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8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8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8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8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8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8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8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8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8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8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8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8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8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8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13" sqref="AU1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44043</v>
      </c>
      <c r="B2" s="40">
        <v>79</v>
      </c>
      <c r="C2" s="24">
        <v>6311090</v>
      </c>
      <c r="D2" s="24">
        <v>13494550</v>
      </c>
      <c r="E2" s="24">
        <v>1864110</v>
      </c>
      <c r="F2" s="24">
        <v>2950210</v>
      </c>
      <c r="G2" s="24">
        <v>8965460</v>
      </c>
      <c r="H2" s="24">
        <v>4519650</v>
      </c>
      <c r="I2" s="24">
        <v>4348480</v>
      </c>
      <c r="J2" s="24">
        <v>4861160</v>
      </c>
      <c r="K2" s="24">
        <v>7645680</v>
      </c>
      <c r="L2" s="24">
        <v>3033290</v>
      </c>
      <c r="M2" s="24">
        <v>6878190</v>
      </c>
      <c r="N2" s="24">
        <v>9916180</v>
      </c>
      <c r="O2" s="24">
        <v>13426050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59614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59614</v>
      </c>
    </row>
    <row r="7" spans="1:49" x14ac:dyDescent="0.25">
      <c r="A7" s="23">
        <v>44044</v>
      </c>
      <c r="B7" s="40">
        <v>94</v>
      </c>
      <c r="C7" s="24">
        <v>6312160</v>
      </c>
      <c r="D7" s="24">
        <v>13509330</v>
      </c>
      <c r="E7" s="24">
        <v>1868030</v>
      </c>
      <c r="F7" s="24">
        <v>2951930</v>
      </c>
      <c r="G7" s="24">
        <v>8969770</v>
      </c>
      <c r="H7" s="24">
        <v>4522670</v>
      </c>
      <c r="I7" s="24">
        <v>4350870</v>
      </c>
      <c r="J7" s="24">
        <v>4862950</v>
      </c>
      <c r="K7" s="24">
        <v>7649540</v>
      </c>
      <c r="L7" s="24">
        <v>3036180</v>
      </c>
      <c r="M7" s="24">
        <v>6881520</v>
      </c>
      <c r="N7" s="24">
        <v>9923070</v>
      </c>
      <c r="O7" s="24">
        <v>13432750</v>
      </c>
      <c r="Q7" s="37">
        <f>IF((C7-C2&lt;0), "0",C7-C2)</f>
        <v>1070</v>
      </c>
      <c r="R7" s="37">
        <f t="shared" ref="R7:AC7" si="0">IF((D7-D2&lt;0), "0",D7-D2)</f>
        <v>14780</v>
      </c>
      <c r="S7" s="37">
        <f>IF((E7-E2&lt;0), "0",E7-E2)</f>
        <v>3920</v>
      </c>
      <c r="T7" s="37">
        <f t="shared" si="0"/>
        <v>1720</v>
      </c>
      <c r="U7" s="37">
        <f t="shared" si="0"/>
        <v>4310</v>
      </c>
      <c r="V7" s="37">
        <f t="shared" si="0"/>
        <v>3020</v>
      </c>
      <c r="W7" s="37">
        <f t="shared" si="0"/>
        <v>2390</v>
      </c>
      <c r="X7" s="37">
        <f t="shared" si="0"/>
        <v>1790</v>
      </c>
      <c r="Y7" s="37">
        <f t="shared" si="0"/>
        <v>3860</v>
      </c>
      <c r="Z7" s="37">
        <f t="shared" si="0"/>
        <v>2890</v>
      </c>
      <c r="AA7" s="37">
        <f t="shared" si="0"/>
        <v>3330</v>
      </c>
      <c r="AB7" s="37">
        <f t="shared" si="0"/>
        <v>6890</v>
      </c>
      <c r="AC7" s="37">
        <f t="shared" si="0"/>
        <v>6700</v>
      </c>
      <c r="AD7" s="34">
        <f>SUM(Q7:AC7)</f>
        <v>56670</v>
      </c>
      <c r="AF7" s="20">
        <f t="shared" ref="AF7:AF36" si="1">Q7*$D$39</f>
        <v>5.3500000000000005</v>
      </c>
      <c r="AG7" s="20">
        <f t="shared" ref="AG7:AG36" si="2">R7*$D$39</f>
        <v>73.900000000000006</v>
      </c>
      <c r="AH7" s="20">
        <f t="shared" ref="AH7:AH36" si="3">S7*$D$39</f>
        <v>19.600000000000001</v>
      </c>
      <c r="AI7" s="20">
        <f t="shared" ref="AI7:AI36" si="4">T7*$D$39</f>
        <v>8.6</v>
      </c>
      <c r="AJ7" s="20">
        <f t="shared" ref="AJ7:AJ36" si="5">U7*$D$39</f>
        <v>21.55</v>
      </c>
      <c r="AK7" s="20">
        <f t="shared" ref="AK7:AK36" si="6">V7*$D$39</f>
        <v>15.1</v>
      </c>
      <c r="AL7" s="20">
        <f t="shared" ref="AL7:AL36" si="7">W7*$D$39</f>
        <v>11.950000000000001</v>
      </c>
      <c r="AM7" s="20">
        <f t="shared" ref="AM7:AM36" si="8">X7*$D$39</f>
        <v>8.9500000000000011</v>
      </c>
      <c r="AN7" s="20">
        <f t="shared" ref="AN7:AN36" si="9">Y7*$D$39</f>
        <v>19.3</v>
      </c>
      <c r="AO7" s="20">
        <f t="shared" ref="AO7:AO36" si="10">Z7*$D$39</f>
        <v>14.450000000000001</v>
      </c>
      <c r="AP7" s="20">
        <f t="shared" ref="AP7:AP36" si="11">AA7*$D$39</f>
        <v>16.649999999999999</v>
      </c>
      <c r="AQ7" s="20">
        <f t="shared" ref="AQ7:AQ36" si="12">AB7*$D$39</f>
        <v>34.450000000000003</v>
      </c>
      <c r="AR7" s="20">
        <f t="shared" ref="AR7:AR36" si="13">AC7*$D$39</f>
        <v>33.5</v>
      </c>
      <c r="AS7" s="35">
        <f>SUM(AF7:AR7)</f>
        <v>283.34999999999997</v>
      </c>
      <c r="AU7" s="47">
        <v>62141</v>
      </c>
      <c r="AV7" s="37">
        <f>IF((AU7-AU6&lt;0),"0",AU7-AU6)</f>
        <v>2527</v>
      </c>
      <c r="AW7" s="50">
        <v>0</v>
      </c>
    </row>
    <row r="8" spans="1:49" x14ac:dyDescent="0.25">
      <c r="A8" s="23">
        <v>44045</v>
      </c>
      <c r="B8" s="40">
        <v>118</v>
      </c>
      <c r="C8" s="24">
        <v>6313100</v>
      </c>
      <c r="D8" s="24">
        <v>13524570</v>
      </c>
      <c r="E8" s="24">
        <v>1872280</v>
      </c>
      <c r="F8" s="24">
        <v>2953460</v>
      </c>
      <c r="G8" s="24">
        <v>8973800</v>
      </c>
      <c r="H8" s="24">
        <v>4525370</v>
      </c>
      <c r="I8" s="24">
        <v>4353030</v>
      </c>
      <c r="J8" s="24">
        <v>4864550</v>
      </c>
      <c r="K8" s="24">
        <v>7653270</v>
      </c>
      <c r="L8" s="24">
        <v>3038820</v>
      </c>
      <c r="M8" s="24">
        <v>6884570</v>
      </c>
      <c r="N8" s="24">
        <v>9929360</v>
      </c>
      <c r="O8" s="24">
        <v>13438540</v>
      </c>
      <c r="Q8" s="37">
        <f>IF((C8-C7&lt;0), "0",C8-C7)</f>
        <v>940</v>
      </c>
      <c r="R8" s="37">
        <f t="shared" ref="R8:AC8" si="14">IF((D8-D7&lt;0), "0",D8-D7)</f>
        <v>15240</v>
      </c>
      <c r="S8" s="37">
        <f t="shared" ref="S8:S35" si="15">IF((E8-E7&lt;0), "0",E8-E7)</f>
        <v>4250</v>
      </c>
      <c r="T8" s="37">
        <f t="shared" si="14"/>
        <v>1530</v>
      </c>
      <c r="U8" s="37">
        <f t="shared" si="14"/>
        <v>4030</v>
      </c>
      <c r="V8" s="37">
        <f t="shared" si="14"/>
        <v>2700</v>
      </c>
      <c r="W8" s="37">
        <f t="shared" si="14"/>
        <v>2160</v>
      </c>
      <c r="X8" s="37">
        <f t="shared" si="14"/>
        <v>1600</v>
      </c>
      <c r="Y8" s="37">
        <f t="shared" si="14"/>
        <v>3730</v>
      </c>
      <c r="Z8" s="37">
        <f t="shared" si="14"/>
        <v>2640</v>
      </c>
      <c r="AA8" s="37">
        <f t="shared" si="14"/>
        <v>3050</v>
      </c>
      <c r="AB8" s="37">
        <f t="shared" si="14"/>
        <v>6290</v>
      </c>
      <c r="AC8" s="37">
        <f t="shared" si="14"/>
        <v>5790</v>
      </c>
      <c r="AD8" s="35">
        <f>SUM(Q8:AC8)</f>
        <v>53950</v>
      </c>
      <c r="AF8" s="20">
        <f t="shared" si="1"/>
        <v>4.7</v>
      </c>
      <c r="AG8" s="20">
        <f t="shared" si="2"/>
        <v>76.2</v>
      </c>
      <c r="AH8" s="20">
        <f t="shared" si="3"/>
        <v>21.25</v>
      </c>
      <c r="AI8" s="20">
        <f t="shared" si="4"/>
        <v>7.65</v>
      </c>
      <c r="AJ8" s="20">
        <f t="shared" si="5"/>
        <v>20.150000000000002</v>
      </c>
      <c r="AK8" s="20">
        <f t="shared" si="6"/>
        <v>13.5</v>
      </c>
      <c r="AL8" s="20">
        <f t="shared" si="7"/>
        <v>10.8</v>
      </c>
      <c r="AM8" s="20">
        <f t="shared" si="8"/>
        <v>8</v>
      </c>
      <c r="AN8" s="20">
        <f t="shared" si="9"/>
        <v>18.650000000000002</v>
      </c>
      <c r="AO8" s="20">
        <f t="shared" si="10"/>
        <v>13.200000000000001</v>
      </c>
      <c r="AP8" s="20">
        <f t="shared" si="11"/>
        <v>15.25</v>
      </c>
      <c r="AQ8" s="20">
        <f t="shared" si="12"/>
        <v>31.45</v>
      </c>
      <c r="AR8" s="20">
        <f t="shared" si="13"/>
        <v>28.95</v>
      </c>
      <c r="AS8" s="35">
        <f>SUM(AF8:AR8)</f>
        <v>269.75</v>
      </c>
      <c r="AU8" s="47">
        <v>64475</v>
      </c>
      <c r="AV8" s="37">
        <f>IF((AU8-AU7&lt;0),"0",AU8-AU7)</f>
        <v>2334</v>
      </c>
      <c r="AW8" s="35">
        <v>0</v>
      </c>
    </row>
    <row r="9" spans="1:49" x14ac:dyDescent="0.25">
      <c r="A9" s="23">
        <v>44046</v>
      </c>
      <c r="B9" s="40">
        <v>59</v>
      </c>
      <c r="C9" s="24">
        <v>6314090</v>
      </c>
      <c r="D9" s="24">
        <v>13537930</v>
      </c>
      <c r="E9" s="24">
        <v>1875700</v>
      </c>
      <c r="F9" s="24">
        <v>2955060</v>
      </c>
      <c r="G9" s="24">
        <v>8977780</v>
      </c>
      <c r="H9" s="24">
        <v>4528300</v>
      </c>
      <c r="I9" s="24">
        <v>4355290</v>
      </c>
      <c r="J9" s="24">
        <v>4866110</v>
      </c>
      <c r="K9" s="24">
        <v>7657160</v>
      </c>
      <c r="L9" s="24">
        <v>3041440</v>
      </c>
      <c r="M9" s="24">
        <v>6887570</v>
      </c>
      <c r="N9" s="24">
        <v>9935860</v>
      </c>
      <c r="O9" s="24">
        <v>13444320</v>
      </c>
      <c r="Q9" s="37">
        <f t="shared" ref="Q9:Q30" si="16">IF((C9-C8&lt;0), "0",C9-C8)</f>
        <v>990</v>
      </c>
      <c r="R9" s="37">
        <f t="shared" ref="R9:R35" si="17">IF((D9-D8&lt;0), "0",D9-D8)</f>
        <v>13360</v>
      </c>
      <c r="S9" s="37">
        <f t="shared" si="15"/>
        <v>3420</v>
      </c>
      <c r="T9" s="37">
        <f t="shared" ref="T9:T35" si="18">IF((F9-F8&lt;0), "0",F9-F8)</f>
        <v>1600</v>
      </c>
      <c r="U9" s="37">
        <f t="shared" ref="U9:U35" si="19">IF((G9-G8&lt;0), "0",G9-G8)</f>
        <v>3980</v>
      </c>
      <c r="V9" s="37">
        <f t="shared" ref="V9:V35" si="20">IF((H9-H8&lt;0), "0",H9-H8)</f>
        <v>2930</v>
      </c>
      <c r="W9" s="37">
        <f t="shared" ref="W9:W35" si="21">IF((I9-I8&lt;0), "0",I9-I8)</f>
        <v>2260</v>
      </c>
      <c r="X9" s="37">
        <f t="shared" ref="X9:X35" si="22">IF((J9-J8&lt;0), "0",J9-J8)</f>
        <v>1560</v>
      </c>
      <c r="Y9" s="37">
        <f t="shared" ref="Y9:Y35" si="23">IF((K9-K8&lt;0), "0",K9-K8)</f>
        <v>3890</v>
      </c>
      <c r="Z9" s="37">
        <f t="shared" ref="Z9:Z35" si="24">IF((L9-L8&lt;0), "0",L9-L8)</f>
        <v>2620</v>
      </c>
      <c r="AA9" s="37">
        <f t="shared" ref="AA9:AA35" si="25">IF((M9-M8&lt;0), "0",M9-M8)</f>
        <v>3000</v>
      </c>
      <c r="AB9" s="37">
        <f t="shared" ref="AB9:AB37" si="26">IF((N9-N8&lt;0), "0",N9-N8)</f>
        <v>6500</v>
      </c>
      <c r="AC9" s="37">
        <f t="shared" ref="AC9:AC37" si="27">IF((O9-O8&lt;0), "0",O9-O8)</f>
        <v>5780</v>
      </c>
      <c r="AD9" s="35">
        <f t="shared" ref="AD9:AD37" si="28">SUM(Q9:AC9)</f>
        <v>51890</v>
      </c>
      <c r="AF9" s="20">
        <f t="shared" si="1"/>
        <v>4.95</v>
      </c>
      <c r="AG9" s="20">
        <f t="shared" si="2"/>
        <v>66.8</v>
      </c>
      <c r="AH9" s="20">
        <f t="shared" si="3"/>
        <v>17.100000000000001</v>
      </c>
      <c r="AI9" s="20">
        <f t="shared" si="4"/>
        <v>8</v>
      </c>
      <c r="AJ9" s="20">
        <f t="shared" si="5"/>
        <v>19.900000000000002</v>
      </c>
      <c r="AK9" s="20">
        <f t="shared" si="6"/>
        <v>14.65</v>
      </c>
      <c r="AL9" s="20">
        <f t="shared" si="7"/>
        <v>11.3</v>
      </c>
      <c r="AM9" s="20">
        <f t="shared" si="8"/>
        <v>7.8</v>
      </c>
      <c r="AN9" s="20">
        <f t="shared" si="9"/>
        <v>19.45</v>
      </c>
      <c r="AO9" s="20">
        <f t="shared" si="10"/>
        <v>13.1</v>
      </c>
      <c r="AP9" s="20">
        <f t="shared" si="11"/>
        <v>15</v>
      </c>
      <c r="AQ9" s="20">
        <f t="shared" si="12"/>
        <v>32.5</v>
      </c>
      <c r="AR9" s="20">
        <f t="shared" si="13"/>
        <v>28.900000000000002</v>
      </c>
      <c r="AS9" s="35">
        <f t="shared" ref="AS9:AS33" si="29">SUM(AF9:AR9)</f>
        <v>259.45</v>
      </c>
      <c r="AU9" s="47">
        <v>67286</v>
      </c>
      <c r="AV9" s="37">
        <f>IF((AU9-AU8&lt;0),"0",AU9-AU8)</f>
        <v>2811</v>
      </c>
      <c r="AW9" s="35">
        <f t="shared" ref="AW9:AW35" si="30">AV9*$D$40</f>
        <v>5.6219999999999999</v>
      </c>
    </row>
    <row r="10" spans="1:49" x14ac:dyDescent="0.25">
      <c r="A10" s="23">
        <v>44047</v>
      </c>
      <c r="B10" s="40">
        <v>59</v>
      </c>
      <c r="C10" s="24">
        <v>6315060</v>
      </c>
      <c r="D10" s="24">
        <v>13550700</v>
      </c>
      <c r="E10" s="24">
        <v>1878930</v>
      </c>
      <c r="F10" s="24">
        <v>2956610</v>
      </c>
      <c r="G10" s="24">
        <v>8981770</v>
      </c>
      <c r="H10" s="24">
        <v>4530960</v>
      </c>
      <c r="I10" s="24">
        <v>4357460</v>
      </c>
      <c r="J10" s="24">
        <v>4867930</v>
      </c>
      <c r="K10" s="24">
        <v>7660934</v>
      </c>
      <c r="L10" s="24">
        <v>3043810</v>
      </c>
      <c r="M10" s="24">
        <v>6890410</v>
      </c>
      <c r="N10" s="24">
        <v>9942130</v>
      </c>
      <c r="O10" s="24">
        <v>13450330</v>
      </c>
      <c r="Q10" s="37">
        <f t="shared" si="16"/>
        <v>970</v>
      </c>
      <c r="R10" s="37">
        <f t="shared" si="17"/>
        <v>12770</v>
      </c>
      <c r="S10" s="37">
        <f t="shared" si="15"/>
        <v>3230</v>
      </c>
      <c r="T10" s="37">
        <f t="shared" si="18"/>
        <v>1550</v>
      </c>
      <c r="U10" s="37">
        <f t="shared" si="19"/>
        <v>3990</v>
      </c>
      <c r="V10" s="37">
        <f t="shared" si="20"/>
        <v>2660</v>
      </c>
      <c r="W10" s="37">
        <f t="shared" si="21"/>
        <v>2170</v>
      </c>
      <c r="X10" s="37">
        <f t="shared" si="22"/>
        <v>1820</v>
      </c>
      <c r="Y10" s="37">
        <f t="shared" si="23"/>
        <v>3774</v>
      </c>
      <c r="Z10" s="37">
        <f t="shared" si="24"/>
        <v>2370</v>
      </c>
      <c r="AA10" s="37">
        <f t="shared" si="25"/>
        <v>2840</v>
      </c>
      <c r="AB10" s="37">
        <f t="shared" si="26"/>
        <v>6270</v>
      </c>
      <c r="AC10" s="37">
        <f t="shared" si="27"/>
        <v>6010</v>
      </c>
      <c r="AD10" s="35">
        <f t="shared" si="28"/>
        <v>50424</v>
      </c>
      <c r="AF10" s="20">
        <f t="shared" si="1"/>
        <v>4.8500000000000005</v>
      </c>
      <c r="AG10" s="20">
        <f t="shared" si="2"/>
        <v>63.85</v>
      </c>
      <c r="AH10" s="20">
        <f t="shared" si="3"/>
        <v>16.149999999999999</v>
      </c>
      <c r="AI10" s="20">
        <f t="shared" si="4"/>
        <v>7.75</v>
      </c>
      <c r="AJ10" s="20">
        <f t="shared" si="5"/>
        <v>19.95</v>
      </c>
      <c r="AK10" s="20">
        <f t="shared" si="6"/>
        <v>13.3</v>
      </c>
      <c r="AL10" s="20">
        <f t="shared" si="7"/>
        <v>10.85</v>
      </c>
      <c r="AM10" s="20">
        <f t="shared" si="8"/>
        <v>9.1</v>
      </c>
      <c r="AN10" s="20">
        <f t="shared" si="9"/>
        <v>18.87</v>
      </c>
      <c r="AO10" s="20">
        <f t="shared" si="10"/>
        <v>11.85</v>
      </c>
      <c r="AP10" s="20">
        <f t="shared" si="11"/>
        <v>14.200000000000001</v>
      </c>
      <c r="AQ10" s="20">
        <f t="shared" si="12"/>
        <v>31.35</v>
      </c>
      <c r="AR10" s="20">
        <f t="shared" si="13"/>
        <v>30.05</v>
      </c>
      <c r="AS10" s="35">
        <f t="shared" si="29"/>
        <v>252.11999999999998</v>
      </c>
      <c r="AU10" s="47">
        <v>70278</v>
      </c>
      <c r="AV10" s="37">
        <f t="shared" ref="AV10:AV26" si="31">IF((AU10-AU9&lt;0),"0",AU10-AU9)</f>
        <v>2992</v>
      </c>
      <c r="AW10" s="35">
        <f t="shared" si="30"/>
        <v>5.984</v>
      </c>
    </row>
    <row r="11" spans="1:49" x14ac:dyDescent="0.25">
      <c r="A11" s="23">
        <v>44048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6"/>
        <v>0</v>
      </c>
      <c r="R11" s="37" t="str">
        <f t="shared" si="17"/>
        <v>0</v>
      </c>
      <c r="S11" s="37" t="str">
        <f t="shared" si="15"/>
        <v>0</v>
      </c>
      <c r="T11" s="37" t="str">
        <f t="shared" si="18"/>
        <v>0</v>
      </c>
      <c r="U11" s="37" t="str">
        <f t="shared" si="19"/>
        <v>0</v>
      </c>
      <c r="V11" s="37" t="str">
        <f t="shared" si="20"/>
        <v>0</v>
      </c>
      <c r="W11" s="37" t="str">
        <f t="shared" si="21"/>
        <v>0</v>
      </c>
      <c r="X11" s="37" t="str">
        <f t="shared" si="22"/>
        <v>0</v>
      </c>
      <c r="Y11" s="37" t="str">
        <f t="shared" si="23"/>
        <v>0</v>
      </c>
      <c r="Z11" s="37" t="str">
        <f t="shared" si="24"/>
        <v>0</v>
      </c>
      <c r="AA11" s="37" t="str">
        <f t="shared" si="25"/>
        <v>0</v>
      </c>
      <c r="AB11" s="37" t="str">
        <f t="shared" si="26"/>
        <v>0</v>
      </c>
      <c r="AC11" s="37" t="str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 t="str">
        <f t="shared" si="31"/>
        <v>0</v>
      </c>
      <c r="AW11" s="35">
        <f t="shared" si="30"/>
        <v>0</v>
      </c>
    </row>
    <row r="12" spans="1:49" x14ac:dyDescent="0.25">
      <c r="A12" s="23">
        <v>44049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44050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44051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44052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44053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44054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44055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44056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44057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44058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44059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44060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44061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44062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44063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44064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44065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44066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44067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44068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44069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44070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44071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44072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44073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44074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3970</v>
      </c>
      <c r="R38" s="30">
        <f t="shared" si="62"/>
        <v>56150</v>
      </c>
      <c r="S38" s="30">
        <f t="shared" si="62"/>
        <v>14820</v>
      </c>
      <c r="T38" s="30">
        <f t="shared" si="62"/>
        <v>6400</v>
      </c>
      <c r="U38" s="30">
        <f t="shared" si="62"/>
        <v>16310</v>
      </c>
      <c r="V38" s="30">
        <f t="shared" si="62"/>
        <v>11310</v>
      </c>
      <c r="W38" s="30">
        <f t="shared" si="62"/>
        <v>8980</v>
      </c>
      <c r="X38" s="30">
        <f t="shared" si="62"/>
        <v>6770</v>
      </c>
      <c r="Y38" s="30">
        <f t="shared" si="62"/>
        <v>15254</v>
      </c>
      <c r="Z38" s="30">
        <f t="shared" si="62"/>
        <v>10520</v>
      </c>
      <c r="AA38" s="30">
        <f t="shared" si="62"/>
        <v>12220</v>
      </c>
      <c r="AB38" s="30">
        <f t="shared" si="62"/>
        <v>25950</v>
      </c>
      <c r="AC38" s="30">
        <f t="shared" si="62"/>
        <v>24280</v>
      </c>
      <c r="AD38" s="35">
        <f t="shared" si="62"/>
        <v>212934</v>
      </c>
      <c r="AF38" s="35">
        <f t="shared" ref="AF38:AS38" si="63">SUM(AF7:AF34)</f>
        <v>19.850000000000001</v>
      </c>
      <c r="AG38" s="35">
        <f t="shared" si="63"/>
        <v>280.75000000000006</v>
      </c>
      <c r="AH38" s="35">
        <f t="shared" si="63"/>
        <v>74.099999999999994</v>
      </c>
      <c r="AI38" s="35">
        <f t="shared" si="63"/>
        <v>32</v>
      </c>
      <c r="AJ38" s="35">
        <f t="shared" si="63"/>
        <v>81.550000000000011</v>
      </c>
      <c r="AK38" s="35">
        <f t="shared" si="63"/>
        <v>56.55</v>
      </c>
      <c r="AL38" s="35">
        <f t="shared" si="63"/>
        <v>44.9</v>
      </c>
      <c r="AM38" s="35">
        <f t="shared" si="63"/>
        <v>33.85</v>
      </c>
      <c r="AN38" s="35">
        <f t="shared" si="63"/>
        <v>76.27000000000001</v>
      </c>
      <c r="AO38" s="35">
        <f t="shared" si="63"/>
        <v>52.6</v>
      </c>
      <c r="AP38" s="35">
        <f t="shared" si="63"/>
        <v>61.1</v>
      </c>
      <c r="AQ38" s="35">
        <f t="shared" si="63"/>
        <v>129.75</v>
      </c>
      <c r="AR38" s="35">
        <f t="shared" si="63"/>
        <v>121.4</v>
      </c>
      <c r="AS38" s="35">
        <f t="shared" si="63"/>
        <v>1064.6699999999998</v>
      </c>
      <c r="AU38" s="48"/>
      <c r="AV38" s="35">
        <f>SUM(AV7:AV34)</f>
        <v>10664</v>
      </c>
      <c r="AW38" s="35">
        <f>SUM(AW7:AW34)</f>
        <v>11.606</v>
      </c>
    </row>
    <row r="39" spans="1:49" x14ac:dyDescent="0.25">
      <c r="D39">
        <v>5.0000000000000001E-3</v>
      </c>
      <c r="AV39" s="36">
        <f>AV38*0.00378541*1000</f>
        <v>40367.612240000002</v>
      </c>
    </row>
    <row r="40" spans="1:49" x14ac:dyDescent="0.25">
      <c r="D40">
        <v>2E-3</v>
      </c>
      <c r="AV40">
        <f>AV39/31</f>
        <v>1302.1810400000002</v>
      </c>
    </row>
    <row r="41" spans="1:49" x14ac:dyDescent="0.25">
      <c r="AV41">
        <f>AV38*0.00378541</f>
        <v>40.36761224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2020-08-05T05:24:26Z</dcterms:modified>
</cp:coreProperties>
</file>