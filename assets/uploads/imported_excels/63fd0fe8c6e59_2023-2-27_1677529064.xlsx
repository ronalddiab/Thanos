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19 Anouar\"/>
    </mc:Choice>
  </mc:AlternateContent>
  <xr:revisionPtr revIDLastSave="0" documentId="13_ncr:1_{F1653E47-C643-4337-807B-76E96A711D24}" xr6:coauthVersionLast="47" xr6:coauthVersionMax="47" xr10:uidLastSave="{00000000-0000-0000-0000-000000000000}"/>
  <bookViews>
    <workbookView xWindow="-120" yWindow="-120" windowWidth="29040" windowHeight="15840" tabRatio="764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vi Gaz" sheetId="4" r:id="rId4"/>
    <sheet name="Suivi EAU-ELEC" sheetId="6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énergie'!$A$1:$Y$55</definedName>
    <definedName name="_xlnm.Print_Area" localSheetId="5">'facture électricité'!$A$1:$J$33</definedName>
    <definedName name="_xlnm.Print_Area" localSheetId="4">'Suivi EAU-ELEC'!$A$1:$K$41</definedName>
    <definedName name="_xlnm.Print_Area" localSheetId="3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4" l="1"/>
  <c r="P5" i="4" s="1"/>
  <c r="O6" i="4"/>
  <c r="P6" i="4" s="1"/>
  <c r="O7" i="4"/>
  <c r="P7" i="4" s="1"/>
  <c r="O8" i="4"/>
  <c r="O9" i="4"/>
  <c r="O10" i="4"/>
  <c r="V16" i="2" s="1"/>
  <c r="G8" i="22" s="1"/>
  <c r="O11" i="4"/>
  <c r="V17" i="2" s="1"/>
  <c r="O12" i="4"/>
  <c r="P12" i="4" s="1"/>
  <c r="O13" i="4"/>
  <c r="P13" i="4" s="1"/>
  <c r="O14" i="4"/>
  <c r="P14" i="4" s="1"/>
  <c r="O15" i="4"/>
  <c r="P15" i="4" s="1"/>
  <c r="O16" i="4"/>
  <c r="O17" i="4"/>
  <c r="O18" i="4"/>
  <c r="V24" i="2" s="1"/>
  <c r="G16" i="22" s="1"/>
  <c r="O19" i="4"/>
  <c r="V25" i="2" s="1"/>
  <c r="O20" i="4"/>
  <c r="P20" i="4" s="1"/>
  <c r="O21" i="4"/>
  <c r="P21" i="4" s="1"/>
  <c r="O22" i="4"/>
  <c r="P22" i="4" s="1"/>
  <c r="O23" i="4"/>
  <c r="P23" i="4" s="1"/>
  <c r="O24" i="4"/>
  <c r="O25" i="4"/>
  <c r="O26" i="4"/>
  <c r="V32" i="2" s="1"/>
  <c r="G24" i="22" s="1"/>
  <c r="O27" i="4"/>
  <c r="V33" i="2" s="1"/>
  <c r="O28" i="4"/>
  <c r="P28" i="4" s="1"/>
  <c r="O29" i="4"/>
  <c r="P29" i="4" s="1"/>
  <c r="O30" i="4"/>
  <c r="P30" i="4" s="1"/>
  <c r="O31" i="4"/>
  <c r="P31" i="4" s="1"/>
  <c r="O32" i="4"/>
  <c r="O33" i="4"/>
  <c r="O34" i="4"/>
  <c r="V40" i="2" s="1"/>
  <c r="G32" i="22" s="1"/>
  <c r="V11" i="2"/>
  <c r="V12" i="2"/>
  <c r="G4" i="22" s="1"/>
  <c r="V13" i="2"/>
  <c r="V14" i="2"/>
  <c r="V15" i="2"/>
  <c r="V19" i="2"/>
  <c r="V20" i="2"/>
  <c r="G12" i="22" s="1"/>
  <c r="V21" i="2"/>
  <c r="G13" i="22" s="1"/>
  <c r="V22" i="2"/>
  <c r="G14" i="22" s="1"/>
  <c r="V23" i="2"/>
  <c r="V27" i="2"/>
  <c r="V28" i="2"/>
  <c r="V29" i="2"/>
  <c r="V30" i="2"/>
  <c r="V31" i="2"/>
  <c r="V35" i="2"/>
  <c r="V36" i="2"/>
  <c r="G28" i="22" s="1"/>
  <c r="V37" i="2"/>
  <c r="V38" i="2"/>
  <c r="V39" i="2"/>
  <c r="L50" i="2"/>
  <c r="N50" i="2" s="1"/>
  <c r="L49" i="2"/>
  <c r="N49" i="2" s="1"/>
  <c r="L48" i="2"/>
  <c r="N48" i="2" s="1"/>
  <c r="N47" i="2"/>
  <c r="L47" i="2"/>
  <c r="P8" i="4"/>
  <c r="P9" i="4"/>
  <c r="P10" i="4"/>
  <c r="P16" i="4"/>
  <c r="P17" i="4"/>
  <c r="P18" i="4"/>
  <c r="P24" i="4"/>
  <c r="P25" i="4"/>
  <c r="P26" i="4"/>
  <c r="P32" i="4"/>
  <c r="P33" i="4"/>
  <c r="P34" i="4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I24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G8" i="21"/>
  <c r="G16" i="21"/>
  <c r="F26" i="21"/>
  <c r="E12" i="21"/>
  <c r="F10" i="2"/>
  <c r="I2" i="22" s="1"/>
  <c r="G5" i="22"/>
  <c r="G6" i="22"/>
  <c r="G7" i="22"/>
  <c r="G15" i="22"/>
  <c r="G20" i="22"/>
  <c r="G21" i="22"/>
  <c r="G22" i="22"/>
  <c r="G23" i="22"/>
  <c r="G29" i="22"/>
  <c r="G30" i="22"/>
  <c r="G31" i="22"/>
  <c r="V10" i="2"/>
  <c r="X10" i="2" s="1"/>
  <c r="N10" i="2"/>
  <c r="O10" i="2" s="1"/>
  <c r="M10" i="2"/>
  <c r="L10" i="2"/>
  <c r="Q10" i="2" s="1"/>
  <c r="C40" i="6"/>
  <c r="K40" i="6"/>
  <c r="I40" i="6"/>
  <c r="G40" i="6"/>
  <c r="E40" i="6"/>
  <c r="K34" i="6"/>
  <c r="N35" i="2" s="1"/>
  <c r="G27" i="21" s="1"/>
  <c r="K35" i="6"/>
  <c r="N36" i="2" s="1"/>
  <c r="G28" i="21" s="1"/>
  <c r="K36" i="6"/>
  <c r="N37" i="2" s="1"/>
  <c r="G29" i="21" s="1"/>
  <c r="K37" i="6"/>
  <c r="N38" i="2" s="1"/>
  <c r="G30" i="21" s="1"/>
  <c r="K38" i="6"/>
  <c r="N39" i="2" s="1"/>
  <c r="G31" i="21" s="1"/>
  <c r="K39" i="6"/>
  <c r="N40" i="2" s="1"/>
  <c r="G32" i="21" s="1"/>
  <c r="I34" i="6"/>
  <c r="M35" i="2" s="1"/>
  <c r="F27" i="21" s="1"/>
  <c r="I35" i="6"/>
  <c r="M36" i="2" s="1"/>
  <c r="F28" i="21" s="1"/>
  <c r="I36" i="6"/>
  <c r="M37" i="2" s="1"/>
  <c r="F29" i="21" s="1"/>
  <c r="I37" i="6"/>
  <c r="M38" i="2" s="1"/>
  <c r="F30" i="21" s="1"/>
  <c r="I38" i="6"/>
  <c r="M39" i="2" s="1"/>
  <c r="F31" i="21" s="1"/>
  <c r="I39" i="6"/>
  <c r="M40" i="2" s="1"/>
  <c r="G34" i="6"/>
  <c r="L35" i="2" s="1"/>
  <c r="G35" i="6"/>
  <c r="L36" i="2" s="1"/>
  <c r="G36" i="6"/>
  <c r="L37" i="2" s="1"/>
  <c r="G37" i="6"/>
  <c r="L38" i="2" s="1"/>
  <c r="G38" i="6"/>
  <c r="L39" i="2" s="1"/>
  <c r="Q39" i="2" s="1"/>
  <c r="G39" i="6"/>
  <c r="L40" i="2" s="1"/>
  <c r="E34" i="6"/>
  <c r="F35" i="2" s="1"/>
  <c r="I27" i="22" s="1"/>
  <c r="E35" i="6"/>
  <c r="F36" i="2" s="1"/>
  <c r="I28" i="22" s="1"/>
  <c r="E36" i="6"/>
  <c r="F37" i="2" s="1"/>
  <c r="I29" i="22" s="1"/>
  <c r="E37" i="6"/>
  <c r="F38" i="2" s="1"/>
  <c r="I30" i="22" s="1"/>
  <c r="E38" i="6"/>
  <c r="F39" i="2" s="1"/>
  <c r="H39" i="2" s="1"/>
  <c r="E39" i="6"/>
  <c r="F40" i="2" s="1"/>
  <c r="I32" i="22" s="1"/>
  <c r="C34" i="6"/>
  <c r="C35" i="6"/>
  <c r="C36" i="6"/>
  <c r="C37" i="6"/>
  <c r="C38" i="6"/>
  <c r="C39" i="6"/>
  <c r="K33" i="6"/>
  <c r="N34" i="2" s="1"/>
  <c r="G26" i="21" s="1"/>
  <c r="I33" i="6"/>
  <c r="M34" i="2" s="1"/>
  <c r="G33" i="6"/>
  <c r="L34" i="2" s="1"/>
  <c r="Q34" i="2" s="1"/>
  <c r="E33" i="6"/>
  <c r="F34" i="2" s="1"/>
  <c r="I26" i="22" s="1"/>
  <c r="C33" i="6"/>
  <c r="K32" i="6"/>
  <c r="N33" i="2" s="1"/>
  <c r="G25" i="21" s="1"/>
  <c r="I32" i="6"/>
  <c r="M33" i="2" s="1"/>
  <c r="F25" i="21" s="1"/>
  <c r="G32" i="6"/>
  <c r="L33" i="2" s="1"/>
  <c r="E32" i="6"/>
  <c r="F33" i="2" s="1"/>
  <c r="I25" i="22" s="1"/>
  <c r="C32" i="6"/>
  <c r="K31" i="6"/>
  <c r="N32" i="2" s="1"/>
  <c r="G24" i="21" s="1"/>
  <c r="I31" i="6"/>
  <c r="M32" i="2" s="1"/>
  <c r="F24" i="21" s="1"/>
  <c r="G31" i="6"/>
  <c r="L32" i="2" s="1"/>
  <c r="E31" i="6"/>
  <c r="F32" i="2" s="1"/>
  <c r="H32" i="2" s="1"/>
  <c r="C31" i="6"/>
  <c r="K30" i="6"/>
  <c r="N31" i="2" s="1"/>
  <c r="G23" i="21" s="1"/>
  <c r="I30" i="6"/>
  <c r="M31" i="2" s="1"/>
  <c r="F23" i="21" s="1"/>
  <c r="G30" i="6"/>
  <c r="L31" i="2" s="1"/>
  <c r="E23" i="21" s="1"/>
  <c r="E30" i="6"/>
  <c r="F31" i="2" s="1"/>
  <c r="I23" i="22" s="1"/>
  <c r="C30" i="6"/>
  <c r="E29" i="6"/>
  <c r="F30" i="2" s="1"/>
  <c r="I22" i="22" s="1"/>
  <c r="G29" i="6"/>
  <c r="L30" i="2" s="1"/>
  <c r="E22" i="21" s="1"/>
  <c r="I29" i="6"/>
  <c r="M30" i="2" s="1"/>
  <c r="F22" i="21" s="1"/>
  <c r="K29" i="6"/>
  <c r="N30" i="2" s="1"/>
  <c r="C29" i="6"/>
  <c r="K28" i="6"/>
  <c r="N29" i="2" s="1"/>
  <c r="G21" i="21" s="1"/>
  <c r="I28" i="6"/>
  <c r="M29" i="2" s="1"/>
  <c r="F21" i="21" s="1"/>
  <c r="G28" i="6"/>
  <c r="L29" i="2" s="1"/>
  <c r="E21" i="21" s="1"/>
  <c r="E28" i="6"/>
  <c r="F29" i="2" s="1"/>
  <c r="I21" i="22" s="1"/>
  <c r="C28" i="6"/>
  <c r="K27" i="6"/>
  <c r="N28" i="2" s="1"/>
  <c r="G20" i="21" s="1"/>
  <c r="I27" i="6"/>
  <c r="M28" i="2" s="1"/>
  <c r="F20" i="21" s="1"/>
  <c r="G27" i="6"/>
  <c r="L28" i="2" s="1"/>
  <c r="Q28" i="2" s="1"/>
  <c r="E27" i="6"/>
  <c r="F28" i="2" s="1"/>
  <c r="I20" i="22" s="1"/>
  <c r="C27" i="6"/>
  <c r="K26" i="6"/>
  <c r="N27" i="2" s="1"/>
  <c r="G19" i="21" s="1"/>
  <c r="I26" i="6"/>
  <c r="M27" i="2" s="1"/>
  <c r="F19" i="21" s="1"/>
  <c r="G26" i="6"/>
  <c r="L27" i="2" s="1"/>
  <c r="E26" i="6"/>
  <c r="F27" i="2" s="1"/>
  <c r="I19" i="22" s="1"/>
  <c r="C26" i="6"/>
  <c r="K25" i="6"/>
  <c r="N26" i="2" s="1"/>
  <c r="G18" i="21" s="1"/>
  <c r="I25" i="6"/>
  <c r="M26" i="2" s="1"/>
  <c r="F18" i="21" s="1"/>
  <c r="G25" i="6"/>
  <c r="L26" i="2" s="1"/>
  <c r="E18" i="21" s="1"/>
  <c r="E25" i="6"/>
  <c r="F26" i="2" s="1"/>
  <c r="I18" i="22" s="1"/>
  <c r="C25" i="6"/>
  <c r="K24" i="6"/>
  <c r="N25" i="2" s="1"/>
  <c r="G17" i="21" s="1"/>
  <c r="I24" i="6"/>
  <c r="M25" i="2" s="1"/>
  <c r="F17" i="21" s="1"/>
  <c r="G24" i="6"/>
  <c r="L25" i="2" s="1"/>
  <c r="E24" i="6"/>
  <c r="F25" i="2" s="1"/>
  <c r="I17" i="22" s="1"/>
  <c r="C24" i="6"/>
  <c r="K21" i="6"/>
  <c r="N22" i="2" s="1"/>
  <c r="G14" i="21" s="1"/>
  <c r="I21" i="6"/>
  <c r="M22" i="2" s="1"/>
  <c r="F14" i="21" s="1"/>
  <c r="G21" i="6"/>
  <c r="L22" i="2" s="1"/>
  <c r="E21" i="6"/>
  <c r="F22" i="2" s="1"/>
  <c r="H22" i="2" s="1"/>
  <c r="C21" i="6"/>
  <c r="K20" i="6"/>
  <c r="N21" i="2" s="1"/>
  <c r="G13" i="21" s="1"/>
  <c r="I20" i="6"/>
  <c r="M21" i="2" s="1"/>
  <c r="F13" i="21" s="1"/>
  <c r="G20" i="6"/>
  <c r="L21" i="2" s="1"/>
  <c r="E13" i="21" s="1"/>
  <c r="E13" i="22" s="1"/>
  <c r="E20" i="6"/>
  <c r="F21" i="2" s="1"/>
  <c r="I13" i="22" s="1"/>
  <c r="C20" i="6"/>
  <c r="K19" i="6"/>
  <c r="N20" i="2" s="1"/>
  <c r="G12" i="21" s="1"/>
  <c r="I19" i="6"/>
  <c r="M20" i="2" s="1"/>
  <c r="F12" i="21" s="1"/>
  <c r="G19" i="6"/>
  <c r="L20" i="2" s="1"/>
  <c r="E19" i="6"/>
  <c r="F20" i="2" s="1"/>
  <c r="H20" i="2" s="1"/>
  <c r="C19" i="6"/>
  <c r="K18" i="6"/>
  <c r="N19" i="2" s="1"/>
  <c r="G11" i="21" s="1"/>
  <c r="I18" i="6"/>
  <c r="M19" i="2" s="1"/>
  <c r="F11" i="21" s="1"/>
  <c r="G18" i="6"/>
  <c r="L19" i="2" s="1"/>
  <c r="E11" i="21" s="1"/>
  <c r="E18" i="6"/>
  <c r="F19" i="2" s="1"/>
  <c r="I11" i="22" s="1"/>
  <c r="C18" i="6"/>
  <c r="K17" i="6"/>
  <c r="N18" i="2" s="1"/>
  <c r="G10" i="21" s="1"/>
  <c r="I17" i="6"/>
  <c r="M18" i="2" s="1"/>
  <c r="F10" i="21" s="1"/>
  <c r="G17" i="6"/>
  <c r="L18" i="2" s="1"/>
  <c r="Q18" i="2" s="1"/>
  <c r="E17" i="6"/>
  <c r="F18" i="2" s="1"/>
  <c r="I10" i="22" s="1"/>
  <c r="C17" i="6"/>
  <c r="K15" i="6"/>
  <c r="N16" i="2" s="1"/>
  <c r="I15" i="6"/>
  <c r="M16" i="2" s="1"/>
  <c r="F8" i="21" s="1"/>
  <c r="G15" i="6"/>
  <c r="L16" i="2" s="1"/>
  <c r="E15" i="6"/>
  <c r="F16" i="2" s="1"/>
  <c r="I8" i="22" s="1"/>
  <c r="C15" i="6"/>
  <c r="K14" i="6"/>
  <c r="N15" i="2" s="1"/>
  <c r="G7" i="21" s="1"/>
  <c r="I14" i="6"/>
  <c r="M15" i="2" s="1"/>
  <c r="F7" i="21" s="1"/>
  <c r="G14" i="6"/>
  <c r="L15" i="2" s="1"/>
  <c r="E14" i="6"/>
  <c r="F15" i="2" s="1"/>
  <c r="I7" i="22" s="1"/>
  <c r="C14" i="6"/>
  <c r="K13" i="6"/>
  <c r="N14" i="2" s="1"/>
  <c r="G6" i="21" s="1"/>
  <c r="I13" i="6"/>
  <c r="M14" i="2" s="1"/>
  <c r="F6" i="21" s="1"/>
  <c r="G13" i="6"/>
  <c r="L14" i="2" s="1"/>
  <c r="E13" i="6"/>
  <c r="F14" i="2" s="1"/>
  <c r="H14" i="2" s="1"/>
  <c r="C13" i="6"/>
  <c r="K12" i="6"/>
  <c r="N13" i="2" s="1"/>
  <c r="G5" i="21" s="1"/>
  <c r="I12" i="6"/>
  <c r="M13" i="2" s="1"/>
  <c r="F5" i="21" s="1"/>
  <c r="G12" i="6"/>
  <c r="L13" i="2" s="1"/>
  <c r="E12" i="6"/>
  <c r="F13" i="2" s="1"/>
  <c r="H13" i="2" s="1"/>
  <c r="C12" i="6"/>
  <c r="K11" i="6"/>
  <c r="N12" i="2" s="1"/>
  <c r="I11" i="6"/>
  <c r="M12" i="2" s="1"/>
  <c r="F4" i="21" s="1"/>
  <c r="G11" i="6"/>
  <c r="L12" i="2" s="1"/>
  <c r="E4" i="21" s="1"/>
  <c r="E11" i="6"/>
  <c r="F12" i="2" s="1"/>
  <c r="I4" i="22" s="1"/>
  <c r="C11" i="6"/>
  <c r="K10" i="6"/>
  <c r="N11" i="2" s="1"/>
  <c r="G3" i="21" s="1"/>
  <c r="I10" i="6"/>
  <c r="M11" i="2" s="1"/>
  <c r="F3" i="21" s="1"/>
  <c r="G10" i="6"/>
  <c r="L11" i="2" s="1"/>
  <c r="E10" i="6"/>
  <c r="F11" i="2" s="1"/>
  <c r="H11" i="2" s="1"/>
  <c r="C10" i="6"/>
  <c r="K16" i="6"/>
  <c r="N17" i="2" s="1"/>
  <c r="G9" i="21" s="1"/>
  <c r="I16" i="6"/>
  <c r="M17" i="2" s="1"/>
  <c r="F9" i="21" s="1"/>
  <c r="G16" i="6"/>
  <c r="L17" i="2" s="1"/>
  <c r="E9" i="21" s="1"/>
  <c r="E23" i="6"/>
  <c r="F24" i="2" s="1"/>
  <c r="H24" i="2" s="1"/>
  <c r="K23" i="6"/>
  <c r="N24" i="2" s="1"/>
  <c r="I23" i="6"/>
  <c r="M24" i="2" s="1"/>
  <c r="F16" i="21" s="1"/>
  <c r="G23" i="6"/>
  <c r="L24" i="2" s="1"/>
  <c r="C23" i="6"/>
  <c r="K22" i="6"/>
  <c r="N23" i="2" s="1"/>
  <c r="G15" i="21" s="1"/>
  <c r="I22" i="6"/>
  <c r="M23" i="2" s="1"/>
  <c r="F15" i="21" s="1"/>
  <c r="G22" i="6"/>
  <c r="L23" i="2" s="1"/>
  <c r="E22" i="6"/>
  <c r="F23" i="2" s="1"/>
  <c r="H23" i="2" s="1"/>
  <c r="C22" i="6"/>
  <c r="D29" i="19"/>
  <c r="D29" i="10"/>
  <c r="E16" i="6"/>
  <c r="F17" i="2" s="1"/>
  <c r="I9" i="22" s="1"/>
  <c r="C16" i="6"/>
  <c r="M7" i="4"/>
  <c r="J7" i="4"/>
  <c r="K7" i="4"/>
  <c r="M6" i="4"/>
  <c r="J6" i="4"/>
  <c r="K6" i="4"/>
  <c r="M5" i="4"/>
  <c r="J5" i="4"/>
  <c r="K5" i="4"/>
  <c r="M4" i="4"/>
  <c r="J4" i="4"/>
  <c r="K4" i="4"/>
  <c r="Q38" i="2"/>
  <c r="H40" i="2"/>
  <c r="H36" i="2"/>
  <c r="H37" i="2"/>
  <c r="H27" i="2"/>
  <c r="H28" i="2"/>
  <c r="H29" i="2"/>
  <c r="H31" i="2"/>
  <c r="H34" i="2"/>
  <c r="H35" i="2"/>
  <c r="H38" i="2"/>
  <c r="H15" i="2"/>
  <c r="H16" i="2"/>
  <c r="H18" i="2"/>
  <c r="H19" i="2"/>
  <c r="H10" i="2"/>
  <c r="L2" i="22"/>
  <c r="K2" i="22"/>
  <c r="G2" i="22"/>
  <c r="I2" i="21"/>
  <c r="H2" i="21"/>
  <c r="D41" i="2"/>
  <c r="E41" i="2"/>
  <c r="F2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 s="1"/>
  <c r="B32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 s="1"/>
  <c r="B32" i="22" s="1"/>
  <c r="J20" i="4"/>
  <c r="K20" i="4"/>
  <c r="AC30" i="4"/>
  <c r="G8" i="11"/>
  <c r="B13" i="11"/>
  <c r="F13" i="11"/>
  <c r="E29" i="10"/>
  <c r="F29" i="10"/>
  <c r="H29" i="10"/>
  <c r="I29" i="10"/>
  <c r="Q22" i="2"/>
  <c r="G8" i="18"/>
  <c r="B13" i="18"/>
  <c r="F13" i="18"/>
  <c r="E18" i="19"/>
  <c r="D26" i="19"/>
  <c r="F26" i="19"/>
  <c r="H26" i="19"/>
  <c r="I26" i="19"/>
  <c r="F18" i="20"/>
  <c r="F17" i="20"/>
  <c r="F16" i="20"/>
  <c r="G8" i="20"/>
  <c r="B20" i="20"/>
  <c r="F20" i="20"/>
  <c r="Q13" i="2"/>
  <c r="Q25" i="2"/>
  <c r="Q32" i="2"/>
  <c r="E17" i="19"/>
  <c r="D25" i="19"/>
  <c r="F25" i="19"/>
  <c r="H31" i="19"/>
  <c r="I31" i="19"/>
  <c r="H30" i="19"/>
  <c r="I30" i="19"/>
  <c r="F29" i="19"/>
  <c r="H29" i="19"/>
  <c r="I29" i="19"/>
  <c r="F28" i="19"/>
  <c r="E19" i="19"/>
  <c r="I19" i="19"/>
  <c r="AC33" i="4"/>
  <c r="E33" i="4"/>
  <c r="AC16" i="4"/>
  <c r="AC17" i="4"/>
  <c r="AC10" i="4"/>
  <c r="G10" i="4"/>
  <c r="AC11" i="4"/>
  <c r="AC13" i="4"/>
  <c r="I13" i="4"/>
  <c r="G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C21" i="4"/>
  <c r="AC22" i="4"/>
  <c r="G22" i="4"/>
  <c r="AC23" i="4"/>
  <c r="I23" i="4"/>
  <c r="AC24" i="4"/>
  <c r="C24" i="4"/>
  <c r="AC25" i="4"/>
  <c r="G25" i="4" s="1"/>
  <c r="C25" i="4"/>
  <c r="E25" i="4"/>
  <c r="AC12" i="4"/>
  <c r="C12" i="4"/>
  <c r="F20" i="18"/>
  <c r="F21" i="18"/>
  <c r="F22" i="18"/>
  <c r="B23" i="18"/>
  <c r="F23" i="18"/>
  <c r="F24" i="18"/>
  <c r="F28" i="18"/>
  <c r="F16" i="11"/>
  <c r="F17" i="11"/>
  <c r="F18" i="11"/>
  <c r="E17" i="10"/>
  <c r="I17" i="10"/>
  <c r="E18" i="10"/>
  <c r="D26" i="10"/>
  <c r="F26" i="10"/>
  <c r="H26" i="10"/>
  <c r="I26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C4" i="4"/>
  <c r="AD4" i="4"/>
  <c r="AE4" i="4"/>
  <c r="AC5" i="4"/>
  <c r="C5" i="4"/>
  <c r="AD5" i="4"/>
  <c r="AE5" i="4"/>
  <c r="AC6" i="4"/>
  <c r="C6" i="4"/>
  <c r="AD6" i="4"/>
  <c r="AE6" i="4"/>
  <c r="AC7" i="4"/>
  <c r="G7" i="4"/>
  <c r="AD7" i="4"/>
  <c r="AE7" i="4"/>
  <c r="J8" i="4"/>
  <c r="K8" i="4"/>
  <c r="L7" i="4"/>
  <c r="N7" i="4"/>
  <c r="M8" i="4"/>
  <c r="AC8" i="4"/>
  <c r="E8" i="4"/>
  <c r="AD8" i="4"/>
  <c r="AE8" i="4"/>
  <c r="J9" i="4"/>
  <c r="K9" i="4"/>
  <c r="M9" i="4"/>
  <c r="AC9" i="4"/>
  <c r="G9" i="4"/>
  <c r="AD9" i="4"/>
  <c r="AE9" i="4"/>
  <c r="J10" i="4"/>
  <c r="K10" i="4"/>
  <c r="M10" i="4"/>
  <c r="AD10" i="4"/>
  <c r="AE10" i="4"/>
  <c r="J11" i="4"/>
  <c r="K11" i="4"/>
  <c r="M11" i="4"/>
  <c r="AD11" i="4"/>
  <c r="AE11" i="4"/>
  <c r="J12" i="4"/>
  <c r="K12" i="4"/>
  <c r="L11" i="4"/>
  <c r="N11" i="4"/>
  <c r="M12" i="4"/>
  <c r="AD12" i="4"/>
  <c r="AE12" i="4"/>
  <c r="J13" i="4"/>
  <c r="K13" i="4"/>
  <c r="L12" i="4"/>
  <c r="N12" i="4"/>
  <c r="M13" i="4"/>
  <c r="AD13" i="4"/>
  <c r="AE13" i="4"/>
  <c r="J14" i="4"/>
  <c r="K14" i="4"/>
  <c r="M14" i="4"/>
  <c r="AC14" i="4"/>
  <c r="I14" i="4"/>
  <c r="J15" i="4"/>
  <c r="K15" i="4"/>
  <c r="L14" i="4"/>
  <c r="N14" i="4"/>
  <c r="M15" i="4"/>
  <c r="AC15" i="4"/>
  <c r="J16" i="4"/>
  <c r="K16" i="4"/>
  <c r="L15" i="4"/>
  <c r="N15" i="4"/>
  <c r="M16" i="4"/>
  <c r="J17" i="4"/>
  <c r="K17" i="4"/>
  <c r="L16" i="4"/>
  <c r="N16" i="4"/>
  <c r="M17" i="4"/>
  <c r="J18" i="4"/>
  <c r="K18" i="4"/>
  <c r="L17" i="4"/>
  <c r="N17" i="4"/>
  <c r="M18" i="4"/>
  <c r="AC18" i="4"/>
  <c r="E18" i="4" s="1"/>
  <c r="I18" i="4"/>
  <c r="J19" i="4"/>
  <c r="K19" i="4"/>
  <c r="L18" i="4"/>
  <c r="N18" i="4"/>
  <c r="M19" i="4"/>
  <c r="AC19" i="4"/>
  <c r="L19" i="4" s="1"/>
  <c r="N19" i="4" s="1"/>
  <c r="M20" i="4"/>
  <c r="AC20" i="4"/>
  <c r="G20" i="4"/>
  <c r="J21" i="4"/>
  <c r="K21" i="4"/>
  <c r="M21" i="4"/>
  <c r="J22" i="4"/>
  <c r="K22" i="4"/>
  <c r="L21" i="4"/>
  <c r="N21" i="4"/>
  <c r="M22" i="4"/>
  <c r="J23" i="4"/>
  <c r="K23" i="4"/>
  <c r="L22" i="4"/>
  <c r="N22" i="4"/>
  <c r="M23" i="4"/>
  <c r="J24" i="4"/>
  <c r="K24" i="4"/>
  <c r="L23" i="4"/>
  <c r="N23" i="4"/>
  <c r="M24" i="4"/>
  <c r="J25" i="4"/>
  <c r="K25" i="4"/>
  <c r="L24" i="4"/>
  <c r="N24" i="4"/>
  <c r="M25" i="4"/>
  <c r="AD25" i="4"/>
  <c r="J26" i="4"/>
  <c r="K26" i="4"/>
  <c r="L25" i="4"/>
  <c r="N25" i="4"/>
  <c r="M26" i="4"/>
  <c r="AC26" i="4"/>
  <c r="AD26" i="4"/>
  <c r="J27" i="4"/>
  <c r="K27" i="4"/>
  <c r="L26" i="4"/>
  <c r="N26" i="4"/>
  <c r="M27" i="4"/>
  <c r="AC27" i="4"/>
  <c r="C27" i="4"/>
  <c r="AD27" i="4"/>
  <c r="J28" i="4"/>
  <c r="K28" i="4"/>
  <c r="L27" i="4"/>
  <c r="N27" i="4"/>
  <c r="M28" i="4"/>
  <c r="AC28" i="4"/>
  <c r="AD28" i="4"/>
  <c r="J29" i="4"/>
  <c r="K29" i="4"/>
  <c r="L28" i="4"/>
  <c r="N28" i="4"/>
  <c r="M29" i="4"/>
  <c r="AC29" i="4"/>
  <c r="G29" i="4" s="1"/>
  <c r="E29" i="4"/>
  <c r="AD29" i="4"/>
  <c r="J30" i="4"/>
  <c r="K30" i="4"/>
  <c r="L29" i="4"/>
  <c r="N29" i="4"/>
  <c r="M30" i="4"/>
  <c r="AD30" i="4"/>
  <c r="AE30" i="4"/>
  <c r="J31" i="4"/>
  <c r="K31" i="4"/>
  <c r="M31" i="4"/>
  <c r="AC31" i="4"/>
  <c r="G31" i="4" s="1"/>
  <c r="C31" i="4"/>
  <c r="AD31" i="4"/>
  <c r="AE31" i="4"/>
  <c r="J32" i="4"/>
  <c r="K32" i="4"/>
  <c r="L31" i="4"/>
  <c r="N31" i="4"/>
  <c r="M32" i="4"/>
  <c r="AC32" i="4"/>
  <c r="G32" i="4"/>
  <c r="AD32" i="4"/>
  <c r="AE32" i="4"/>
  <c r="J33" i="4"/>
  <c r="K33" i="4"/>
  <c r="L32" i="4"/>
  <c r="N32" i="4"/>
  <c r="M33" i="4"/>
  <c r="AD33" i="4"/>
  <c r="AE33" i="4"/>
  <c r="J34" i="4"/>
  <c r="K34" i="4"/>
  <c r="L33" i="4"/>
  <c r="N33" i="4"/>
  <c r="M34" i="4"/>
  <c r="AC34" i="4"/>
  <c r="E34" i="4"/>
  <c r="AD34" i="4"/>
  <c r="AE34" i="4"/>
  <c r="J35" i="4"/>
  <c r="K35" i="4"/>
  <c r="L34" i="4"/>
  <c r="N34" i="4"/>
  <c r="M35" i="4"/>
  <c r="AC35" i="4"/>
  <c r="AD35" i="4"/>
  <c r="AE35" i="4"/>
  <c r="J36" i="4"/>
  <c r="K36" i="4"/>
  <c r="M36" i="4"/>
  <c r="AC36" i="4"/>
  <c r="E36" i="4" s="1"/>
  <c r="G36" i="4"/>
  <c r="AD36" i="4"/>
  <c r="AE36" i="4"/>
  <c r="J37" i="4"/>
  <c r="K37" i="4"/>
  <c r="M37" i="4"/>
  <c r="AC37" i="4"/>
  <c r="AD37" i="4"/>
  <c r="AE37" i="4"/>
  <c r="J38" i="4"/>
  <c r="K38" i="4"/>
  <c r="L37" i="4" s="1"/>
  <c r="N37" i="4" s="1"/>
  <c r="O37" i="4" s="1"/>
  <c r="P37" i="4" s="1"/>
  <c r="M38" i="4"/>
  <c r="AC38" i="4"/>
  <c r="I38" i="4"/>
  <c r="AD38" i="4"/>
  <c r="AE38" i="4"/>
  <c r="J39" i="4"/>
  <c r="K39" i="4"/>
  <c r="L38" i="4"/>
  <c r="N38" i="4"/>
  <c r="O38" i="4"/>
  <c r="P38" i="4"/>
  <c r="M39" i="4"/>
  <c r="AC39" i="4"/>
  <c r="C39" i="4"/>
  <c r="AD39" i="4"/>
  <c r="AE39" i="4"/>
  <c r="J40" i="4"/>
  <c r="K40" i="4"/>
  <c r="M40" i="4"/>
  <c r="AC40" i="4"/>
  <c r="AD40" i="4"/>
  <c r="AE40" i="4"/>
  <c r="J41" i="4"/>
  <c r="K41" i="4"/>
  <c r="L40" i="4"/>
  <c r="N40" i="4"/>
  <c r="O40" i="4"/>
  <c r="P40" i="4"/>
  <c r="M41" i="4"/>
  <c r="AC41" i="4"/>
  <c r="G41" i="4"/>
  <c r="E41" i="4"/>
  <c r="AD41" i="4"/>
  <c r="AE41" i="4"/>
  <c r="J42" i="4"/>
  <c r="K42" i="4"/>
  <c r="L41" i="4"/>
  <c r="N41" i="4"/>
  <c r="O41" i="4"/>
  <c r="P41" i="4"/>
  <c r="M42" i="4"/>
  <c r="AC42" i="4"/>
  <c r="C42" i="4"/>
  <c r="AD42" i="4"/>
  <c r="AE42" i="4"/>
  <c r="Q43" i="4"/>
  <c r="T43" i="4"/>
  <c r="W43" i="4"/>
  <c r="Z43" i="4"/>
  <c r="AC43" i="4"/>
  <c r="S41" i="2"/>
  <c r="U41" i="2"/>
  <c r="I41" i="4"/>
  <c r="I42" i="4"/>
  <c r="G38" i="4"/>
  <c r="L42" i="4"/>
  <c r="N42" i="4"/>
  <c r="O42" i="4"/>
  <c r="P42" i="4"/>
  <c r="G39" i="4"/>
  <c r="C38" i="4"/>
  <c r="C41" i="4"/>
  <c r="E38" i="4"/>
  <c r="E42" i="4"/>
  <c r="G42" i="4"/>
  <c r="G28" i="4"/>
  <c r="C20" i="4"/>
  <c r="H28" i="19"/>
  <c r="I28" i="19"/>
  <c r="G21" i="4"/>
  <c r="I37" i="4"/>
  <c r="C32" i="4"/>
  <c r="I32" i="4"/>
  <c r="E32" i="4"/>
  <c r="G40" i="4"/>
  <c r="I40" i="4"/>
  <c r="C36" i="4"/>
  <c r="L36" i="4"/>
  <c r="N36" i="4"/>
  <c r="O36" i="4"/>
  <c r="P36" i="4" s="1"/>
  <c r="I36" i="4"/>
  <c r="C14" i="4"/>
  <c r="G14" i="4"/>
  <c r="E14" i="4"/>
  <c r="E5" i="4"/>
  <c r="G5" i="4"/>
  <c r="I5" i="4"/>
  <c r="G30" i="4"/>
  <c r="I30" i="4"/>
  <c r="C28" i="4"/>
  <c r="E28" i="4"/>
  <c r="I28" i="4"/>
  <c r="G26" i="4"/>
  <c r="G24" i="4"/>
  <c r="E24" i="4"/>
  <c r="I24" i="4"/>
  <c r="I11" i="4"/>
  <c r="G11" i="4"/>
  <c r="E11" i="4"/>
  <c r="C11" i="4"/>
  <c r="G16" i="4"/>
  <c r="E16" i="4"/>
  <c r="C16" i="4"/>
  <c r="I16" i="4"/>
  <c r="L39" i="4"/>
  <c r="N39" i="4"/>
  <c r="O39" i="4"/>
  <c r="P39" i="4"/>
  <c r="C29" i="4"/>
  <c r="C22" i="4"/>
  <c r="G23" i="4"/>
  <c r="E39" i="4"/>
  <c r="I7" i="4"/>
  <c r="G12" i="4"/>
  <c r="I29" i="4"/>
  <c r="I22" i="4"/>
  <c r="E31" i="4"/>
  <c r="E22" i="4"/>
  <c r="E12" i="4"/>
  <c r="I39" i="4"/>
  <c r="C8" i="4"/>
  <c r="E13" i="4"/>
  <c r="C13" i="4"/>
  <c r="E17" i="4"/>
  <c r="C17" i="4"/>
  <c r="I17" i="4"/>
  <c r="I12" i="4"/>
  <c r="C9" i="4"/>
  <c r="G17" i="4"/>
  <c r="E9" i="4"/>
  <c r="I4" i="4"/>
  <c r="G6" i="4"/>
  <c r="B13" i="20"/>
  <c r="F13" i="20"/>
  <c r="F21" i="20"/>
  <c r="F19" i="19"/>
  <c r="I8" i="4"/>
  <c r="G8" i="4"/>
  <c r="C7" i="4"/>
  <c r="E7" i="4"/>
  <c r="I15" i="4"/>
  <c r="E15" i="4"/>
  <c r="E10" i="4"/>
  <c r="G37" i="4"/>
  <c r="E40" i="4"/>
  <c r="C40" i="4"/>
  <c r="G19" i="4"/>
  <c r="C19" i="4"/>
  <c r="G15" i="4"/>
  <c r="L10" i="4"/>
  <c r="N10" i="4"/>
  <c r="C10" i="4"/>
  <c r="I19" i="4"/>
  <c r="L5" i="4"/>
  <c r="N5" i="4"/>
  <c r="E4" i="4"/>
  <c r="I35" i="4"/>
  <c r="C35" i="4"/>
  <c r="G35" i="4"/>
  <c r="L35" i="4"/>
  <c r="N35" i="4"/>
  <c r="O35" i="4"/>
  <c r="P35" i="4"/>
  <c r="I33" i="4"/>
  <c r="E35" i="4"/>
  <c r="C15" i="4"/>
  <c r="C23" i="4"/>
  <c r="E23" i="4"/>
  <c r="E37" i="4"/>
  <c r="C37" i="4"/>
  <c r="E27" i="4"/>
  <c r="G27" i="4"/>
  <c r="I27" i="4"/>
  <c r="I21" i="4"/>
  <c r="I10" i="4"/>
  <c r="E21" i="4"/>
  <c r="C33" i="4"/>
  <c r="I31" i="4"/>
  <c r="E26" i="4"/>
  <c r="C26" i="4"/>
  <c r="I26" i="4"/>
  <c r="L13" i="4"/>
  <c r="N13" i="4"/>
  <c r="L9" i="4"/>
  <c r="N9" i="4"/>
  <c r="I9" i="4"/>
  <c r="E30" i="4"/>
  <c r="C30" i="4"/>
  <c r="I25" i="4"/>
  <c r="E19" i="4"/>
  <c r="G33" i="4"/>
  <c r="C18" i="4"/>
  <c r="G18" i="4"/>
  <c r="E6" i="4"/>
  <c r="I34" i="4"/>
  <c r="F17" i="19"/>
  <c r="F22" i="20"/>
  <c r="F24" i="20"/>
  <c r="F25" i="20"/>
  <c r="D27" i="19"/>
  <c r="F27" i="19"/>
  <c r="H27" i="19"/>
  <c r="I27" i="19"/>
  <c r="I17" i="19"/>
  <c r="F32" i="19"/>
  <c r="H25" i="19"/>
  <c r="I25" i="19"/>
  <c r="I32" i="19"/>
  <c r="I18" i="19"/>
  <c r="F18" i="19"/>
  <c r="E20" i="19"/>
  <c r="E20" i="4"/>
  <c r="L20" i="4"/>
  <c r="N20" i="4"/>
  <c r="I20" i="4"/>
  <c r="D25" i="10"/>
  <c r="F25" i="10"/>
  <c r="I19" i="10"/>
  <c r="E20" i="10"/>
  <c r="F19" i="10"/>
  <c r="F18" i="10"/>
  <c r="I18" i="10"/>
  <c r="F17" i="10"/>
  <c r="Q44" i="4"/>
  <c r="AC44" i="4"/>
  <c r="K48" i="4"/>
  <c r="L48" i="4"/>
  <c r="M48" i="4" s="1"/>
  <c r="L30" i="4"/>
  <c r="N30" i="4"/>
  <c r="F32" i="10"/>
  <c r="H25" i="10"/>
  <c r="I25" i="10"/>
  <c r="I32" i="10"/>
  <c r="B19" i="11"/>
  <c r="F19" i="11"/>
  <c r="F20" i="11"/>
  <c r="F21" i="11"/>
  <c r="F23" i="11"/>
  <c r="F24" i="11"/>
  <c r="P27" i="4" l="1"/>
  <c r="P19" i="4"/>
  <c r="P11" i="4"/>
  <c r="V34" i="2"/>
  <c r="X34" i="2" s="1"/>
  <c r="V26" i="2"/>
  <c r="X26" i="2" s="1"/>
  <c r="V18" i="2"/>
  <c r="X18" i="2" s="1"/>
  <c r="Q29" i="2"/>
  <c r="H30" i="2"/>
  <c r="X32" i="2"/>
  <c r="I16" i="22"/>
  <c r="Q26" i="2"/>
  <c r="J13" i="21"/>
  <c r="J18" i="21"/>
  <c r="O37" i="2"/>
  <c r="E2" i="21"/>
  <c r="O24" i="2"/>
  <c r="N41" i="2"/>
  <c r="I46" i="2" s="1"/>
  <c r="L46" i="2" s="1"/>
  <c r="O14" i="2"/>
  <c r="O25" i="2"/>
  <c r="Q30" i="2"/>
  <c r="O33" i="2"/>
  <c r="O36" i="2"/>
  <c r="E26" i="21"/>
  <c r="J26" i="21" s="1"/>
  <c r="J21" i="21"/>
  <c r="Q23" i="2"/>
  <c r="G2" i="21"/>
  <c r="H12" i="2"/>
  <c r="Q37" i="2"/>
  <c r="Q19" i="2"/>
  <c r="H26" i="2"/>
  <c r="O16" i="2"/>
  <c r="O27" i="2"/>
  <c r="Q40" i="2"/>
  <c r="E20" i="21"/>
  <c r="Q35" i="2"/>
  <c r="O13" i="2"/>
  <c r="O22" i="2"/>
  <c r="O32" i="2"/>
  <c r="Q17" i="2"/>
  <c r="Q16" i="2"/>
  <c r="F41" i="2"/>
  <c r="I53" i="2" s="1"/>
  <c r="L53" i="2" s="1"/>
  <c r="N53" i="2" s="1"/>
  <c r="H21" i="2"/>
  <c r="E21" i="22"/>
  <c r="E12" i="22"/>
  <c r="M12" i="22" s="1"/>
  <c r="J23" i="21"/>
  <c r="E23" i="22"/>
  <c r="M23" i="22" s="1"/>
  <c r="E20" i="22"/>
  <c r="E18" i="22"/>
  <c r="J9" i="21"/>
  <c r="E9" i="22"/>
  <c r="E11" i="22"/>
  <c r="J11" i="21"/>
  <c r="J12" i="21"/>
  <c r="Q33" i="2"/>
  <c r="Q24" i="2"/>
  <c r="Q15" i="2"/>
  <c r="H17" i="2"/>
  <c r="Q36" i="2"/>
  <c r="O11" i="2"/>
  <c r="O20" i="2"/>
  <c r="O35" i="2"/>
  <c r="M21" i="22"/>
  <c r="X24" i="2"/>
  <c r="E27" i="21"/>
  <c r="E19" i="21"/>
  <c r="E3" i="21"/>
  <c r="E3" i="22" s="1"/>
  <c r="I31" i="22"/>
  <c r="I15" i="22"/>
  <c r="Q14" i="2"/>
  <c r="M20" i="22"/>
  <c r="X16" i="2"/>
  <c r="E10" i="21"/>
  <c r="F32" i="21"/>
  <c r="G22" i="21"/>
  <c r="E22" i="22" s="1"/>
  <c r="M22" i="22" s="1"/>
  <c r="I14" i="22"/>
  <c r="I6" i="22"/>
  <c r="E28" i="21"/>
  <c r="E26" i="22"/>
  <c r="M41" i="2"/>
  <c r="I45" i="2" s="1"/>
  <c r="L45" i="2" s="1"/>
  <c r="Q31" i="2"/>
  <c r="Q21" i="2"/>
  <c r="H33" i="2"/>
  <c r="H25" i="2"/>
  <c r="E25" i="21"/>
  <c r="E17" i="21"/>
  <c r="I5" i="22"/>
  <c r="Q20" i="2"/>
  <c r="Q12" i="2"/>
  <c r="O23" i="2"/>
  <c r="O17" i="2"/>
  <c r="O19" i="2"/>
  <c r="O29" i="2"/>
  <c r="O40" i="2"/>
  <c r="E32" i="21"/>
  <c r="E24" i="21"/>
  <c r="E16" i="21"/>
  <c r="E8" i="21"/>
  <c r="G4" i="21"/>
  <c r="E4" i="22" s="1"/>
  <c r="M4" i="22" s="1"/>
  <c r="I12" i="22"/>
  <c r="L41" i="2"/>
  <c r="I44" i="2" s="1"/>
  <c r="L44" i="2" s="1"/>
  <c r="N44" i="2" s="1"/>
  <c r="Q11" i="2"/>
  <c r="Q41" i="2" s="1"/>
  <c r="O15" i="2"/>
  <c r="O26" i="2"/>
  <c r="O34" i="2"/>
  <c r="O39" i="2"/>
  <c r="E31" i="21"/>
  <c r="E31" i="22" s="1"/>
  <c r="E15" i="21"/>
  <c r="E7" i="21"/>
  <c r="I3" i="22"/>
  <c r="Q27" i="2"/>
  <c r="O12" i="2"/>
  <c r="O21" i="2"/>
  <c r="O31" i="2"/>
  <c r="O38" i="2"/>
  <c r="E30" i="21"/>
  <c r="E14" i="21"/>
  <c r="E6" i="21"/>
  <c r="O18" i="2"/>
  <c r="O28" i="2"/>
  <c r="M13" i="22"/>
  <c r="X40" i="2"/>
  <c r="E29" i="21"/>
  <c r="E5" i="21"/>
  <c r="G26" i="22"/>
  <c r="G18" i="22"/>
  <c r="G10" i="22"/>
  <c r="X39" i="2"/>
  <c r="X31" i="2"/>
  <c r="X23" i="2"/>
  <c r="X15" i="2"/>
  <c r="X38" i="2"/>
  <c r="X30" i="2"/>
  <c r="X22" i="2"/>
  <c r="X14" i="2"/>
  <c r="X37" i="2"/>
  <c r="X29" i="2"/>
  <c r="X21" i="2"/>
  <c r="X13" i="2"/>
  <c r="X36" i="2"/>
  <c r="X28" i="2"/>
  <c r="X20" i="2"/>
  <c r="X12" i="2"/>
  <c r="O30" i="2"/>
  <c r="C34" i="4"/>
  <c r="G34" i="4"/>
  <c r="L8" i="4"/>
  <c r="N8" i="4" s="1"/>
  <c r="L6" i="4"/>
  <c r="N6" i="4" s="1"/>
  <c r="I6" i="4"/>
  <c r="G4" i="4"/>
  <c r="L4" i="4"/>
  <c r="N4" i="4" s="1"/>
  <c r="F25" i="18"/>
  <c r="F29" i="18" s="1"/>
  <c r="J20" i="21"/>
  <c r="J2" i="21" l="1"/>
  <c r="J3" i="21"/>
  <c r="M26" i="22"/>
  <c r="J4" i="21"/>
  <c r="E2" i="22"/>
  <c r="M2" i="22" s="1"/>
  <c r="O41" i="2"/>
  <c r="H41" i="2"/>
  <c r="N51" i="2"/>
  <c r="N52" i="2" s="1"/>
  <c r="J22" i="21"/>
  <c r="E5" i="22"/>
  <c r="M5" i="22" s="1"/>
  <c r="J5" i="21"/>
  <c r="J6" i="21"/>
  <c r="E6" i="22"/>
  <c r="M6" i="22" s="1"/>
  <c r="E17" i="22"/>
  <c r="J17" i="21"/>
  <c r="J10" i="21"/>
  <c r="E10" i="22"/>
  <c r="M10" i="22" s="1"/>
  <c r="J29" i="21"/>
  <c r="E29" i="22"/>
  <c r="M29" i="22" s="1"/>
  <c r="E14" i="22"/>
  <c r="M14" i="22" s="1"/>
  <c r="J14" i="21"/>
  <c r="J8" i="21"/>
  <c r="E8" i="22"/>
  <c r="M8" i="22" s="1"/>
  <c r="J25" i="21"/>
  <c r="E25" i="22"/>
  <c r="E19" i="22"/>
  <c r="J19" i="21"/>
  <c r="M18" i="22"/>
  <c r="J30" i="21"/>
  <c r="E30" i="22"/>
  <c r="M30" i="22" s="1"/>
  <c r="E16" i="22"/>
  <c r="M16" i="22" s="1"/>
  <c r="J16" i="21"/>
  <c r="E28" i="22"/>
  <c r="M28" i="22" s="1"/>
  <c r="J28" i="21"/>
  <c r="E27" i="22"/>
  <c r="J27" i="21"/>
  <c r="E15" i="22"/>
  <c r="M15" i="22" s="1"/>
  <c r="J15" i="21"/>
  <c r="J24" i="21"/>
  <c r="E24" i="22"/>
  <c r="M24" i="22" s="1"/>
  <c r="E7" i="22"/>
  <c r="M7" i="22" s="1"/>
  <c r="J7" i="21"/>
  <c r="E32" i="22"/>
  <c r="M32" i="22" s="1"/>
  <c r="J32" i="21"/>
  <c r="G11" i="22"/>
  <c r="M11" i="22" s="1"/>
  <c r="X19" i="2"/>
  <c r="G9" i="22"/>
  <c r="M9" i="22" s="1"/>
  <c r="X17" i="2"/>
  <c r="G27" i="22"/>
  <c r="M27" i="22" s="1"/>
  <c r="X35" i="2"/>
  <c r="G19" i="22"/>
  <c r="M19" i="22" s="1"/>
  <c r="X27" i="2"/>
  <c r="G25" i="22"/>
  <c r="X33" i="2"/>
  <c r="G17" i="22"/>
  <c r="X25" i="2"/>
  <c r="G3" i="22"/>
  <c r="M3" i="22" s="1"/>
  <c r="X11" i="2"/>
  <c r="V41" i="2"/>
  <c r="I54" i="2" s="1"/>
  <c r="L54" i="2" s="1"/>
  <c r="N54" i="2" s="1"/>
  <c r="O4" i="4"/>
  <c r="P4" i="4" s="1"/>
  <c r="N43" i="4"/>
  <c r="M25" i="22" l="1"/>
  <c r="M17" i="22"/>
  <c r="X41" i="2"/>
  <c r="O43" i="4"/>
  <c r="K47" i="4"/>
  <c r="P43" i="4" l="1"/>
  <c r="M47" i="4" s="1"/>
  <c r="L47" i="4"/>
</calcChain>
</file>

<file path=xl/sharedStrings.xml><?xml version="1.0" encoding="utf-8"?>
<sst xmlns="http://schemas.openxmlformats.org/spreadsheetml/2006/main" count="473" uniqueCount="186">
  <si>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</si>
  <si>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</si>
  <si>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</si>
  <si>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</si>
  <si>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</si>
  <si>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</si>
  <si>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</si>
  <si>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</si>
  <si>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</si>
  <si>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</si>
  <si>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</si>
  <si>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</si>
  <si>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</si>
  <si>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</si>
  <si>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</si>
  <si>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</si>
  <si>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</si>
  <si>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</si>
  <si>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</si>
  <si>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</si>
  <si>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</si>
  <si>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</si>
  <si>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</si>
  <si>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</si>
  <si>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</si>
  <si>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</si>
  <si>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</si>
  <si>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</si>
  <si>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</si>
  <si>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</si>
  <si>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</si>
  <si>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</si>
  <si>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</si>
  <si>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</si>
  <si>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</si>
  <si>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</si>
  <si>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</si>
  <si>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</si>
  <si>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</si>
  <si>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</si>
  <si>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</si>
  <si>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Gaz July 2019</t>
  </si>
  <si>
    <t>a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</si>
  <si>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</si>
  <si>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</si>
  <si>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</si>
  <si>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</si>
  <si>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</si>
  <si>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</si>
  <si>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</si>
  <si>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</si>
  <si>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</si>
  <si>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</si>
  <si>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</si>
  <si>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</si>
  <si>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</si>
  <si>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</si>
  <si>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</si>
  <si>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</si>
  <si>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</si>
  <si>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</si>
  <si>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</si>
  <si>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</si>
  <si>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</si>
  <si>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</si>
  <si>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</si>
  <si>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</si>
  <si>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</si>
  <si>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</si>
  <si>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</si>
  <si>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</si>
  <si>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</si>
  <si>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Suivi  Compteur  d'Eau- électricité Lydec- July 2019</t>
  </si>
  <si>
    <t>Département Engineering 2019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</si>
  <si>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</si>
  <si>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</si>
  <si>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</si>
  <si>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</si>
  <si>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</si>
  <si>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</si>
  <si>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</si>
  <si>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</si>
  <si>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</si>
  <si>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</si>
  <si>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</si>
  <si>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</si>
  <si>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</si>
  <si>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</si>
  <si>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 xml:space="preserve">      Estimation  de la consommation électrique Juillet 2019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</si>
  <si>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</si>
  <si>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</si>
  <si>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</si>
  <si>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</si>
  <si>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</si>
  <si>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</si>
  <si>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</si>
  <si>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</si>
  <si>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</si>
  <si>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</si>
  <si>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</si>
  <si>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</si>
  <si>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</si>
  <si>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</si>
  <si>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</si>
  <si>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</si>
  <si>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</si>
  <si>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</si>
  <si>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</si>
  <si>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</si>
  <si>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</si>
  <si>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</si>
  <si>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</si>
  <si>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</si>
  <si>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</si>
  <si>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</si>
  <si>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</si>
  <si>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</si>
  <si>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</si>
  <si>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</si>
  <si>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</si>
  <si>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</si>
  <si>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</si>
  <si>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</si>
  <si>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</si>
  <si>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</si>
  <si>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</si>
  <si>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</si>
  <si>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</si>
  <si>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</si>
  <si>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</si>
  <si>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</si>
  <si>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</si>
  <si>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July 2019</t>
  </si>
  <si>
    <t>Estimation de la consommation d'Eau Sanitaire July 2019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</si>
  <si>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</si>
  <si>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</si>
  <si>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</si>
  <si>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</si>
  <si>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</si>
  <si>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</si>
  <si>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</si>
  <si>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</si>
  <si>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</si>
  <si>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</si>
  <si>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</si>
  <si>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</si>
  <si>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</si>
  <si>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</si>
  <si>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</si>
  <si>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</si>
  <si>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</si>
  <si>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</si>
  <si>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</si>
  <si>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</si>
  <si>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</si>
  <si>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July 2019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</si>
  <si>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</si>
  <si>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</si>
  <si>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</si>
  <si>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</si>
  <si>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</si>
  <si>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</si>
  <si>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</si>
  <si>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</si>
  <si>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</si>
  <si>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</si>
  <si>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</si>
  <si>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</si>
  <si>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</si>
  <si>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</si>
  <si>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</si>
  <si>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</si>
  <si>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</si>
  <si>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</si>
  <si>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</si>
  <si>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</si>
  <si>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</si>
  <si>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</si>
  <si>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</si>
  <si>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électricité en DH HT</t>
  </si>
  <si>
    <t>L'eau en M3</t>
  </si>
  <si>
    <t>L'eau en DH HT</t>
  </si>
  <si>
    <t>Gaz en KG</t>
  </si>
  <si>
    <t>GAZ en  DH HT</t>
  </si>
  <si>
    <t xml:space="preserve">TOTAL  </t>
  </si>
  <si>
    <t>UNIT KW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</si>
</sst>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8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i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16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0" fontId="21" fillId="15" borderId="16" xfId="0" applyFont="1" applyFill="1" applyBorder="1" applyAlignment="1">
      <alignment horizontal="center" vertical="center" wrapText="1"/>
    </xf>
    <xf numFmtId="14" fontId="6" fillId="16" borderId="1" xfId="0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9" xfId="0" applyBorder="1"/>
    <xf numFmtId="0" fontId="28" fillId="0" borderId="20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29" fillId="17" borderId="23" xfId="0" applyFont="1" applyFill="1" applyBorder="1"/>
    <xf numFmtId="0" fontId="29" fillId="17" borderId="24" xfId="0" applyFont="1" applyFill="1" applyBorder="1"/>
    <xf numFmtId="0" fontId="0" fillId="0" borderId="25" xfId="0" applyBorder="1"/>
    <xf numFmtId="0" fontId="28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6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0" fillId="0" borderId="22" xfId="0" applyFont="1" applyBorder="1"/>
    <xf numFmtId="0" fontId="30" fillId="0" borderId="27" xfId="0" applyFont="1" applyBorder="1" applyAlignment="1">
      <alignment horizontal="right" vertical="center"/>
    </xf>
    <xf numFmtId="0" fontId="31" fillId="18" borderId="22" xfId="0" applyFont="1" applyFill="1" applyBorder="1" applyAlignment="1">
      <alignment horizontal="right"/>
    </xf>
    <xf numFmtId="0" fontId="30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2" fillId="18" borderId="6" xfId="0" applyFont="1" applyFill="1" applyBorder="1" applyAlignment="1">
      <alignment horizontal="center" vertical="center"/>
    </xf>
    <xf numFmtId="0" fontId="33" fillId="0" borderId="19" xfId="0" applyFont="1" applyBorder="1" applyAlignment="1">
      <alignment vertical="center"/>
    </xf>
    <xf numFmtId="0" fontId="33" fillId="0" borderId="29" xfId="0" applyFont="1" applyBorder="1" applyAlignment="1">
      <alignment vertical="center"/>
    </xf>
    <xf numFmtId="0" fontId="32" fillId="18" borderId="8" xfId="0" applyFont="1" applyFill="1" applyBorder="1" applyAlignment="1">
      <alignment horizontal="center" vertical="center"/>
    </xf>
    <xf numFmtId="0" fontId="33" fillId="0" borderId="25" xfId="0" applyFont="1" applyBorder="1" applyAlignment="1">
      <alignment vertical="center"/>
    </xf>
    <xf numFmtId="0" fontId="33" fillId="0" borderId="24" xfId="0" applyFont="1" applyBorder="1" applyAlignment="1">
      <alignment vertical="center"/>
    </xf>
    <xf numFmtId="0" fontId="1" fillId="19" borderId="1" xfId="0" applyFont="1" applyFill="1" applyBorder="1" applyAlignment="1">
      <alignment horizontal="center"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7" fillId="0" borderId="10" xfId="0" applyFont="1" applyBorder="1" applyAlignment="1">
      <alignment vertical="center"/>
    </xf>
    <xf numFmtId="0" fontId="27" fillId="0" borderId="10" xfId="0" applyFont="1" applyBorder="1" applyAlignment="1">
      <alignment vertical="center" wrapText="1"/>
    </xf>
    <xf numFmtId="0" fontId="27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6" fillId="17" borderId="10" xfId="0" applyNumberFormat="1" applyFont="1" applyFill="1" applyBorder="1"/>
    <xf numFmtId="0" fontId="26" fillId="20" borderId="10" xfId="0" applyFont="1" applyFill="1" applyBorder="1"/>
    <xf numFmtId="0" fontId="26" fillId="0" borderId="10" xfId="0" applyFont="1" applyBorder="1"/>
    <xf numFmtId="0" fontId="26" fillId="0" borderId="0" xfId="0" applyFont="1"/>
    <xf numFmtId="0" fontId="26" fillId="0" borderId="24" xfId="0" applyFont="1" applyBorder="1"/>
    <xf numFmtId="0" fontId="27" fillId="0" borderId="10" xfId="0" applyFont="1" applyBorder="1"/>
    <xf numFmtId="0" fontId="28" fillId="0" borderId="10" xfId="0" applyFont="1" applyBorder="1"/>
    <xf numFmtId="0" fontId="28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6" fillId="0" borderId="19" xfId="0" applyNumberFormat="1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4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6" fillId="0" borderId="32" xfId="0" applyFont="1" applyBorder="1" applyAlignment="1">
      <alignment wrapText="1"/>
    </xf>
    <xf numFmtId="0" fontId="26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6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5" fillId="0" borderId="32" xfId="0" applyFont="1" applyBorder="1" applyAlignment="1">
      <alignment horizontal="center"/>
    </xf>
    <xf numFmtId="1" fontId="35" fillId="0" borderId="32" xfId="0" applyNumberFormat="1" applyFont="1" applyBorder="1" applyAlignment="1">
      <alignment horizontal="center"/>
    </xf>
    <xf numFmtId="0" fontId="36" fillId="0" borderId="0" xfId="0" applyFont="1" applyAlignment="1">
      <alignment horizontal="center"/>
    </xf>
    <xf numFmtId="1" fontId="36" fillId="0" borderId="0" xfId="0" applyNumberFormat="1" applyFont="1" applyAlignment="1">
      <alignment horizontal="center"/>
    </xf>
    <xf numFmtId="0" fontId="26" fillId="0" borderId="32" xfId="0" applyFont="1" applyBorder="1" applyAlignment="1">
      <alignment horizontal="center" wrapText="1"/>
    </xf>
    <xf numFmtId="0" fontId="37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15" borderId="16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1" fontId="26" fillId="0" borderId="32" xfId="0" applyNumberFormat="1" applyFont="1" applyBorder="1" applyAlignment="1">
      <alignment horizontal="center" wrapText="1"/>
    </xf>
    <xf numFmtId="2" fontId="38" fillId="7" borderId="9" xfId="0" applyNumberFormat="1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2" fontId="7" fillId="8" borderId="37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9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9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9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9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9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6" borderId="30" xfId="0" applyFont="1" applyFill="1" applyBorder="1" applyAlignment="1">
      <alignment horizontal="center" vertical="center"/>
    </xf>
    <xf numFmtId="0" fontId="10" fillId="26" borderId="3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9" fillId="15" borderId="6" xfId="0" applyFont="1" applyFill="1" applyBorder="1" applyAlignment="1">
      <alignment horizontal="center" vertical="center" wrapText="1"/>
    </xf>
    <xf numFmtId="0" fontId="39" fillId="15" borderId="8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9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12" borderId="51" xfId="0" applyFont="1" applyFill="1" applyBorder="1" applyAlignment="1">
      <alignment horizontal="center" vertical="center"/>
    </xf>
    <xf numFmtId="0" fontId="18" fillId="12" borderId="52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9" xfId="0" applyFont="1" applyBorder="1" applyAlignment="1">
      <alignment horizontal="center"/>
    </xf>
    <xf numFmtId="0" fontId="18" fillId="0" borderId="45" xfId="0" applyFont="1" applyBorder="1" applyAlignment="1">
      <alignment horizontal="center"/>
    </xf>
    <xf numFmtId="0" fontId="18" fillId="0" borderId="44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46" xfId="0" applyBorder="1" applyAlignment="1">
      <alignment horizontal="center"/>
    </xf>
    <xf numFmtId="0" fontId="0" fillId="0" borderId="48" xfId="0" applyBorder="1" applyAlignment="1">
      <alignment horizontal="center"/>
    </xf>
    <xf numFmtId="0" fontId="33" fillId="0" borderId="26" xfId="0" applyFont="1" applyBorder="1" applyAlignment="1">
      <alignment horizontal="left" vertical="center"/>
    </xf>
    <xf numFmtId="0" fontId="33" fillId="0" borderId="19" xfId="0" applyFont="1" applyBorder="1" applyAlignment="1">
      <alignment horizontal="left" vertical="center"/>
    </xf>
    <xf numFmtId="0" fontId="33" fillId="0" borderId="28" xfId="0" applyFont="1" applyBorder="1" applyAlignment="1">
      <alignment horizontal="left" vertical="center"/>
    </xf>
    <xf numFmtId="0" fontId="33" fillId="0" borderId="25" xfId="0" applyFont="1" applyBorder="1" applyAlignment="1">
      <alignment horizontal="left" vertical="center"/>
    </xf>
    <xf numFmtId="0" fontId="35" fillId="0" borderId="10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3" xfId="0" applyBorder="1" applyAlignment="1">
      <alignment horizontal="left" vertical="top"/>
    </xf>
    <xf numFmtId="0" fontId="30" fillId="0" borderId="27" xfId="0" applyFont="1" applyBorder="1" applyAlignment="1">
      <alignment horizontal="left" vertical="top"/>
    </xf>
    <xf numFmtId="0" fontId="30" fillId="0" borderId="0" xfId="0" applyFont="1" applyAlignment="1">
      <alignment horizontal="left" vertical="top"/>
    </xf>
    <xf numFmtId="0" fontId="30" fillId="0" borderId="53" xfId="0" applyFont="1" applyBorder="1" applyAlignment="1">
      <alignment horizontal="left" vertical="top"/>
    </xf>
    <xf numFmtId="0" fontId="30" fillId="0" borderId="46" xfId="0" applyFont="1" applyBorder="1" applyAlignment="1">
      <alignment horizontal="center"/>
    </xf>
    <xf numFmtId="0" fontId="30" fillId="0" borderId="4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4" xfId="0" applyBorder="1" applyAlignment="1">
      <alignment horizontal="center"/>
    </xf>
    <xf numFmtId="0" fontId="28" fillId="0" borderId="55" xfId="0" applyFont="1" applyBorder="1" applyAlignment="1">
      <alignment horizontal="left" vertical="center"/>
    </xf>
    <xf numFmtId="0" fontId="28" fillId="0" borderId="56" xfId="0" applyFont="1" applyBorder="1" applyAlignment="1">
      <alignment horizontal="left" vertical="center"/>
    </xf>
    <xf numFmtId="0" fontId="28" fillId="0" borderId="57" xfId="0" applyFont="1" applyBorder="1" applyAlignment="1">
      <alignment horizontal="left" vertical="center"/>
    </xf>
    <xf numFmtId="0" fontId="28" fillId="0" borderId="28" xfId="0" applyFont="1" applyBorder="1" applyAlignment="1">
      <alignment horizontal="left" vertical="center"/>
    </xf>
    <xf numFmtId="0" fontId="28" fillId="0" borderId="25" xfId="0" applyFont="1" applyBorder="1" applyAlignment="1">
      <alignment horizontal="left" vertical="center"/>
    </xf>
    <xf numFmtId="0" fontId="28" fillId="0" borderId="24" xfId="0" applyFont="1" applyBorder="1" applyAlignment="1">
      <alignment horizontal="left" vertical="center"/>
    </xf>
    <xf numFmtId="0" fontId="28" fillId="0" borderId="18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8" borderId="18" xfId="0" applyFont="1" applyFill="1" applyBorder="1" applyAlignment="1">
      <alignment horizontal="center" vertical="center"/>
    </xf>
    <xf numFmtId="0" fontId="28" fillId="18" borderId="10" xfId="0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3" xfId="0" applyBorder="1" applyAlignment="1">
      <alignment horizontal="center"/>
    </xf>
    <xf numFmtId="0" fontId="40" fillId="17" borderId="28" xfId="0" applyFont="1" applyFill="1" applyBorder="1" applyAlignment="1">
      <alignment horizontal="left"/>
    </xf>
    <xf numFmtId="0" fontId="40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8" fillId="0" borderId="18" xfId="0" applyFont="1" applyBorder="1" applyAlignment="1">
      <alignment horizontal="center" wrapText="1"/>
    </xf>
    <xf numFmtId="0" fontId="28" fillId="0" borderId="46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6" xfId="0" applyNumberFormat="1" applyFont="1" applyBorder="1" applyAlignment="1">
      <alignment horizontal="center" vertical="center" readingOrder="2"/>
    </xf>
    <xf numFmtId="14" fontId="0" fillId="0" borderId="48" xfId="0" applyNumberFormat="1" applyBorder="1" applyAlignment="1">
      <alignment horizontal="center" vertical="center" readingOrder="2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8" fillId="0" borderId="58" xfId="0" applyFont="1" applyBorder="1" applyAlignment="1">
      <alignment horizontal="center" vertical="center" wrapText="1"/>
    </xf>
    <xf numFmtId="0" fontId="28" fillId="0" borderId="59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58" xfId="0" applyFont="1" applyBorder="1" applyAlignment="1">
      <alignment horizontal="center" vertical="center" wrapText="1"/>
    </xf>
    <xf numFmtId="0" fontId="27" fillId="0" borderId="59" xfId="0" applyFont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left"/>
    </xf>
    <xf numFmtId="0" fontId="28" fillId="0" borderId="47" xfId="0" applyFont="1" applyBorder="1" applyAlignment="1">
      <alignment horizontal="left"/>
    </xf>
    <xf numFmtId="0" fontId="28" fillId="0" borderId="48" xfId="0" applyFont="1" applyBorder="1" applyAlignment="1">
      <alignment horizontal="left"/>
    </xf>
    <xf numFmtId="0" fontId="44" fillId="0" borderId="10" xfId="0" applyFont="1" applyBorder="1" applyAlignment="1">
      <alignment horizontal="center"/>
    </xf>
    <xf numFmtId="0" fontId="26" fillId="27" borderId="26" xfId="0" applyFont="1" applyFill="1" applyBorder="1" applyAlignment="1">
      <alignment horizontal="left"/>
    </xf>
    <xf numFmtId="0" fontId="26" fillId="27" borderId="19" xfId="0" applyFont="1" applyFill="1" applyBorder="1" applyAlignment="1">
      <alignment horizontal="left"/>
    </xf>
    <xf numFmtId="0" fontId="26" fillId="27" borderId="29" xfId="0" applyFont="1" applyFill="1" applyBorder="1" applyAlignment="1">
      <alignment horizontal="left"/>
    </xf>
    <xf numFmtId="0" fontId="26" fillId="27" borderId="28" xfId="0" applyFont="1" applyFill="1" applyBorder="1" applyAlignment="1">
      <alignment horizontal="left"/>
    </xf>
    <xf numFmtId="0" fontId="26" fillId="27" borderId="25" xfId="0" applyFont="1" applyFill="1" applyBorder="1" applyAlignment="1">
      <alignment horizontal="left"/>
    </xf>
    <xf numFmtId="0" fontId="26" fillId="27" borderId="24" xfId="0" applyFont="1" applyFill="1" applyBorder="1" applyAlignment="1">
      <alignment horizontal="left"/>
    </xf>
    <xf numFmtId="0" fontId="45" fillId="27" borderId="10" xfId="0" applyFont="1" applyFill="1" applyBorder="1" applyAlignment="1">
      <alignment horizontal="center"/>
    </xf>
    <xf numFmtId="0" fontId="46" fillId="18" borderId="46" xfId="0" applyFont="1" applyFill="1" applyBorder="1" applyAlignment="1">
      <alignment horizontal="left"/>
    </xf>
    <xf numFmtId="0" fontId="46" fillId="18" borderId="47" xfId="0" applyFont="1" applyFill="1" applyBorder="1" applyAlignment="1">
      <alignment horizontal="left"/>
    </xf>
    <xf numFmtId="0" fontId="46" fillId="18" borderId="48" xfId="0" applyFont="1" applyFill="1" applyBorder="1" applyAlignment="1">
      <alignment horizontal="left"/>
    </xf>
    <xf numFmtId="0" fontId="47" fillId="18" borderId="10" xfId="0" applyFont="1" applyFill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8" fillId="0" borderId="46" xfId="0" applyFont="1" applyBorder="1" applyAlignment="1"/>
    <xf numFmtId="0" fontId="28" fillId="0" borderId="47" xfId="0" applyFont="1" applyBorder="1" applyAlignment="1"/>
    <xf numFmtId="0" fontId="28" fillId="0" borderId="48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7" xfId="0" applyFont="1" applyBorder="1" applyAlignment="1">
      <alignment horizontal="left"/>
    </xf>
    <xf numFmtId="2" fontId="26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6" fillId="0" borderId="34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46" xfId="0" applyFont="1" applyBorder="1" applyAlignment="1">
      <alignment horizontal="right" vertical="center"/>
    </xf>
    <xf numFmtId="0" fontId="26" fillId="0" borderId="48" xfId="0" applyFont="1" applyBorder="1" applyAlignment="1">
      <alignment horizontal="right" vertical="center"/>
    </xf>
    <xf numFmtId="0" fontId="26" fillId="0" borderId="10" xfId="0" applyFont="1" applyBorder="1" applyAlignment="1">
      <alignment horizontal="right" vertical="center"/>
    </xf>
    <xf numFmtId="0" fontId="26" fillId="0" borderId="47" xfId="0" applyFont="1" applyBorder="1" applyAlignment="1">
      <alignment horizontal="right" vertical="center"/>
    </xf>
    <xf numFmtId="0" fontId="26" fillId="0" borderId="46" xfId="0" applyFont="1" applyBorder="1" applyAlignment="1">
      <alignment horizontal="center"/>
    </xf>
    <xf numFmtId="0" fontId="26" fillId="0" borderId="48" xfId="0" applyFont="1" applyBorder="1" applyAlignment="1">
      <alignment horizontal="center"/>
    </xf>
    <xf numFmtId="2" fontId="47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9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0" fillId="18" borderId="47" xfId="0" applyFill="1" applyBorder="1" applyAlignment="1">
      <alignment horizontal="center"/>
    </xf>
    <xf numFmtId="0" fontId="0" fillId="18" borderId="48" xfId="0" applyFill="1" applyBorder="1" applyAlignment="1">
      <alignment horizontal="center"/>
    </xf>
    <xf numFmtId="0" fontId="24" fillId="19" borderId="39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0" fillId="0" borderId="3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39" fillId="6" borderId="30" xfId="0" applyNumberFormat="1" applyFont="1" applyFill="1" applyBorder="1" applyAlignment="1">
      <alignment horizontal="center" vertical="center" wrapText="1"/>
    </xf>
    <xf numFmtId="2" fontId="39" fillId="6" borderId="3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0" fontId="39" fillId="6" borderId="5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4" xfId="0" applyNumberFormat="1" applyFont="1" applyFill="1" applyBorder="1" applyAlignment="1">
      <alignment horizontal="center" vertical="center" wrapText="1"/>
    </xf>
    <xf numFmtId="2" fontId="11" fillId="6" borderId="30" xfId="0" applyNumberFormat="1" applyFont="1" applyFill="1" applyBorder="1" applyAlignment="1">
      <alignment horizontal="center" vertical="center" wrapText="1"/>
    </xf>
    <xf numFmtId="2" fontId="11" fillId="6" borderId="39" xfId="0" applyNumberFormat="1" applyFont="1" applyFill="1" applyBorder="1" applyAlignment="1">
      <alignment horizontal="center" vertical="center" wrapText="1"/>
    </xf>
    <xf numFmtId="2" fontId="11" fillId="6" borderId="3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EAU-ELEC'!$A$9:$A$41</c:f>
              <c:numCache>
                <c:formatCode>m/d/yyyy</c:formatCode>
                <c:ptCount val="33"/>
                <c:pt idx="0">
                  <c:v>43647</c:v>
                </c:pt>
                <c:pt idx="1">
                  <c:v>43648</c:v>
                </c:pt>
                <c:pt idx="2">
                  <c:v>43649</c:v>
                </c:pt>
                <c:pt idx="3">
                  <c:v>43650</c:v>
                </c:pt>
                <c:pt idx="4">
                  <c:v>43651</c:v>
                </c:pt>
                <c:pt idx="5">
                  <c:v>43652</c:v>
                </c:pt>
                <c:pt idx="6">
                  <c:v>43653</c:v>
                </c:pt>
                <c:pt idx="7">
                  <c:v>43654</c:v>
                </c:pt>
                <c:pt idx="8">
                  <c:v>43655</c:v>
                </c:pt>
                <c:pt idx="9">
                  <c:v>43656</c:v>
                </c:pt>
                <c:pt idx="10">
                  <c:v>43657</c:v>
                </c:pt>
                <c:pt idx="11">
                  <c:v>43658</c:v>
                </c:pt>
                <c:pt idx="12">
                  <c:v>43659</c:v>
                </c:pt>
                <c:pt idx="13">
                  <c:v>43660</c:v>
                </c:pt>
                <c:pt idx="14">
                  <c:v>43661</c:v>
                </c:pt>
                <c:pt idx="15">
                  <c:v>43662</c:v>
                </c:pt>
                <c:pt idx="16">
                  <c:v>43663</c:v>
                </c:pt>
                <c:pt idx="17">
                  <c:v>43664</c:v>
                </c:pt>
                <c:pt idx="18">
                  <c:v>43665</c:v>
                </c:pt>
                <c:pt idx="19">
                  <c:v>43666</c:v>
                </c:pt>
                <c:pt idx="20">
                  <c:v>43667</c:v>
                </c:pt>
                <c:pt idx="21">
                  <c:v>43668</c:v>
                </c:pt>
                <c:pt idx="22">
                  <c:v>43669</c:v>
                </c:pt>
                <c:pt idx="23">
                  <c:v>43670</c:v>
                </c:pt>
                <c:pt idx="24">
                  <c:v>43671</c:v>
                </c:pt>
                <c:pt idx="25">
                  <c:v>43672</c:v>
                </c:pt>
                <c:pt idx="26">
                  <c:v>43673</c:v>
                </c:pt>
                <c:pt idx="27">
                  <c:v>43674</c:v>
                </c:pt>
                <c:pt idx="28">
                  <c:v>43675</c:v>
                </c:pt>
                <c:pt idx="29">
                  <c:v>43676</c:v>
                </c:pt>
                <c:pt idx="30">
                  <c:v>43677</c:v>
                </c:pt>
                <c:pt idx="31">
                  <c:v>43678</c:v>
                </c:pt>
              </c:numCache>
            </c:numRef>
          </c:cat>
          <c:val>
            <c:numRef>
              <c:f>'Suivi EAU-ELEC'!$E$9:$E$41</c:f>
              <c:numCache>
                <c:formatCode>General</c:formatCode>
                <c:ptCount val="33"/>
                <c:pt idx="0">
                  <c:v>319.80000000000291</c:v>
                </c:pt>
                <c:pt idx="1">
                  <c:v>169.69999999999709</c:v>
                </c:pt>
                <c:pt idx="2">
                  <c:v>163.69999999999709</c:v>
                </c:pt>
                <c:pt idx="3">
                  <c:v>194.30000000000291</c:v>
                </c:pt>
                <c:pt idx="4">
                  <c:v>191.5</c:v>
                </c:pt>
                <c:pt idx="5">
                  <c:v>185.90000000000146</c:v>
                </c:pt>
                <c:pt idx="6">
                  <c:v>172.59999999999854</c:v>
                </c:pt>
                <c:pt idx="7">
                  <c:v>151.59999999999854</c:v>
                </c:pt>
                <c:pt idx="8">
                  <c:v>177.90000000000146</c:v>
                </c:pt>
                <c:pt idx="9">
                  <c:v>192</c:v>
                </c:pt>
                <c:pt idx="10">
                  <c:v>187</c:v>
                </c:pt>
                <c:pt idx="11">
                  <c:v>182</c:v>
                </c:pt>
                <c:pt idx="12">
                  <c:v>187</c:v>
                </c:pt>
                <c:pt idx="13">
                  <c:v>164.30000000000291</c:v>
                </c:pt>
                <c:pt idx="14">
                  <c:v>133.79999999999563</c:v>
                </c:pt>
                <c:pt idx="15">
                  <c:v>210.59999999999854</c:v>
                </c:pt>
                <c:pt idx="16">
                  <c:v>234.10000000000582</c:v>
                </c:pt>
                <c:pt idx="17">
                  <c:v>186.39999999999418</c:v>
                </c:pt>
                <c:pt idx="18">
                  <c:v>171.80000000000291</c:v>
                </c:pt>
                <c:pt idx="19">
                  <c:v>178</c:v>
                </c:pt>
                <c:pt idx="20">
                  <c:v>155.19999999999709</c:v>
                </c:pt>
                <c:pt idx="21">
                  <c:v>146.5</c:v>
                </c:pt>
                <c:pt idx="22">
                  <c:v>175.70000000000437</c:v>
                </c:pt>
                <c:pt idx="23">
                  <c:v>188.90000000000146</c:v>
                </c:pt>
                <c:pt idx="24">
                  <c:v>183</c:v>
                </c:pt>
                <c:pt idx="25">
                  <c:v>201.59999999999854</c:v>
                </c:pt>
                <c:pt idx="26">
                  <c:v>200.19999999999709</c:v>
                </c:pt>
                <c:pt idx="27">
                  <c:v>158.09999999999854</c:v>
                </c:pt>
                <c:pt idx="28">
                  <c:v>140</c:v>
                </c:pt>
                <c:pt idx="29">
                  <c:v>184.80000000000291</c:v>
                </c:pt>
                <c:pt idx="30">
                  <c:v>161</c:v>
                </c:pt>
                <c:pt idx="3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C-4852-9E1F-C73E75562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913935"/>
        <c:axId val="1"/>
      </c:barChart>
      <c:dateAx>
        <c:axId val="76913935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913935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marker>
            <c:symbol val="diamond"/>
            <c:size val="9"/>
          </c:marker>
          <c:cat>
            <c:numRef>
              <c:f>'Suivi EAU-ELEC'!$A$9:$A$41</c:f>
              <c:numCache>
                <c:formatCode>m/d/yyyy</c:formatCode>
                <c:ptCount val="33"/>
                <c:pt idx="0">
                  <c:v>43647</c:v>
                </c:pt>
                <c:pt idx="1">
                  <c:v>43648</c:v>
                </c:pt>
                <c:pt idx="2">
                  <c:v>43649</c:v>
                </c:pt>
                <c:pt idx="3">
                  <c:v>43650</c:v>
                </c:pt>
                <c:pt idx="4">
                  <c:v>43651</c:v>
                </c:pt>
                <c:pt idx="5">
                  <c:v>43652</c:v>
                </c:pt>
                <c:pt idx="6">
                  <c:v>43653</c:v>
                </c:pt>
                <c:pt idx="7">
                  <c:v>43654</c:v>
                </c:pt>
                <c:pt idx="8">
                  <c:v>43655</c:v>
                </c:pt>
                <c:pt idx="9">
                  <c:v>43656</c:v>
                </c:pt>
                <c:pt idx="10">
                  <c:v>43657</c:v>
                </c:pt>
                <c:pt idx="11">
                  <c:v>43658</c:v>
                </c:pt>
                <c:pt idx="12">
                  <c:v>43659</c:v>
                </c:pt>
                <c:pt idx="13">
                  <c:v>43660</c:v>
                </c:pt>
                <c:pt idx="14">
                  <c:v>43661</c:v>
                </c:pt>
                <c:pt idx="15">
                  <c:v>43662</c:v>
                </c:pt>
                <c:pt idx="16">
                  <c:v>43663</c:v>
                </c:pt>
                <c:pt idx="17">
                  <c:v>43664</c:v>
                </c:pt>
                <c:pt idx="18">
                  <c:v>43665</c:v>
                </c:pt>
                <c:pt idx="19">
                  <c:v>43666</c:v>
                </c:pt>
                <c:pt idx="20">
                  <c:v>43667</c:v>
                </c:pt>
                <c:pt idx="21">
                  <c:v>43668</c:v>
                </c:pt>
                <c:pt idx="22">
                  <c:v>43669</c:v>
                </c:pt>
                <c:pt idx="23">
                  <c:v>43670</c:v>
                </c:pt>
                <c:pt idx="24">
                  <c:v>43671</c:v>
                </c:pt>
                <c:pt idx="25">
                  <c:v>43672</c:v>
                </c:pt>
                <c:pt idx="26">
                  <c:v>43673</c:v>
                </c:pt>
                <c:pt idx="27">
                  <c:v>43674</c:v>
                </c:pt>
                <c:pt idx="28">
                  <c:v>43675</c:v>
                </c:pt>
                <c:pt idx="29">
                  <c:v>43676</c:v>
                </c:pt>
                <c:pt idx="30">
                  <c:v>43677</c:v>
                </c:pt>
                <c:pt idx="31">
                  <c:v>43678</c:v>
                </c:pt>
              </c:numCache>
            </c:numRef>
          </c:cat>
          <c:val>
            <c:numRef>
              <c:f>'Suivi EAU-ELEC'!$G$9:$G$41</c:f>
              <c:numCache>
                <c:formatCode>General</c:formatCode>
                <c:ptCount val="33"/>
                <c:pt idx="0">
                  <c:v>4753</c:v>
                </c:pt>
                <c:pt idx="1">
                  <c:v>4280</c:v>
                </c:pt>
                <c:pt idx="2">
                  <c:v>4213</c:v>
                </c:pt>
                <c:pt idx="3">
                  <c:v>3743</c:v>
                </c:pt>
                <c:pt idx="4">
                  <c:v>5010</c:v>
                </c:pt>
                <c:pt idx="5">
                  <c:v>4704</c:v>
                </c:pt>
                <c:pt idx="6">
                  <c:v>3989</c:v>
                </c:pt>
                <c:pt idx="7">
                  <c:v>4414</c:v>
                </c:pt>
                <c:pt idx="8">
                  <c:v>5812</c:v>
                </c:pt>
                <c:pt idx="9">
                  <c:v>4903</c:v>
                </c:pt>
                <c:pt idx="10">
                  <c:v>4784</c:v>
                </c:pt>
                <c:pt idx="11">
                  <c:v>5221</c:v>
                </c:pt>
                <c:pt idx="12">
                  <c:v>5512</c:v>
                </c:pt>
                <c:pt idx="13">
                  <c:v>4558</c:v>
                </c:pt>
                <c:pt idx="14">
                  <c:v>5063</c:v>
                </c:pt>
                <c:pt idx="15">
                  <c:v>5311</c:v>
                </c:pt>
                <c:pt idx="16">
                  <c:v>4769</c:v>
                </c:pt>
                <c:pt idx="17">
                  <c:v>4564</c:v>
                </c:pt>
                <c:pt idx="18">
                  <c:v>5234</c:v>
                </c:pt>
                <c:pt idx="19">
                  <c:v>4917</c:v>
                </c:pt>
                <c:pt idx="20">
                  <c:v>4586</c:v>
                </c:pt>
                <c:pt idx="21">
                  <c:v>4835</c:v>
                </c:pt>
                <c:pt idx="22">
                  <c:v>4783</c:v>
                </c:pt>
                <c:pt idx="23">
                  <c:v>5088</c:v>
                </c:pt>
                <c:pt idx="24">
                  <c:v>4675</c:v>
                </c:pt>
                <c:pt idx="25">
                  <c:v>4857</c:v>
                </c:pt>
                <c:pt idx="26">
                  <c:v>4951</c:v>
                </c:pt>
                <c:pt idx="27">
                  <c:v>4045</c:v>
                </c:pt>
                <c:pt idx="28">
                  <c:v>4563</c:v>
                </c:pt>
                <c:pt idx="29">
                  <c:v>5815</c:v>
                </c:pt>
                <c:pt idx="30">
                  <c:v>5044</c:v>
                </c:pt>
                <c:pt idx="31">
                  <c:v>4681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50-4198-B31A-8061D9D8004C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marker>
            <c:symbol val="square"/>
            <c:size val="9"/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EAU-ELEC'!$A$9:$A$41</c:f>
              <c:numCache>
                <c:formatCode>m/d/yyyy</c:formatCode>
                <c:ptCount val="33"/>
                <c:pt idx="0">
                  <c:v>43647</c:v>
                </c:pt>
                <c:pt idx="1">
                  <c:v>43648</c:v>
                </c:pt>
                <c:pt idx="2">
                  <c:v>43649</c:v>
                </c:pt>
                <c:pt idx="3">
                  <c:v>43650</c:v>
                </c:pt>
                <c:pt idx="4">
                  <c:v>43651</c:v>
                </c:pt>
                <c:pt idx="5">
                  <c:v>43652</c:v>
                </c:pt>
                <c:pt idx="6">
                  <c:v>43653</c:v>
                </c:pt>
                <c:pt idx="7">
                  <c:v>43654</c:v>
                </c:pt>
                <c:pt idx="8">
                  <c:v>43655</c:v>
                </c:pt>
                <c:pt idx="9">
                  <c:v>43656</c:v>
                </c:pt>
                <c:pt idx="10">
                  <c:v>43657</c:v>
                </c:pt>
                <c:pt idx="11">
                  <c:v>43658</c:v>
                </c:pt>
                <c:pt idx="12">
                  <c:v>43659</c:v>
                </c:pt>
                <c:pt idx="13">
                  <c:v>43660</c:v>
                </c:pt>
                <c:pt idx="14">
                  <c:v>43661</c:v>
                </c:pt>
                <c:pt idx="15">
                  <c:v>43662</c:v>
                </c:pt>
                <c:pt idx="16">
                  <c:v>43663</c:v>
                </c:pt>
                <c:pt idx="17">
                  <c:v>43664</c:v>
                </c:pt>
                <c:pt idx="18">
                  <c:v>43665</c:v>
                </c:pt>
                <c:pt idx="19">
                  <c:v>43666</c:v>
                </c:pt>
                <c:pt idx="20">
                  <c:v>43667</c:v>
                </c:pt>
                <c:pt idx="21">
                  <c:v>43668</c:v>
                </c:pt>
                <c:pt idx="22">
                  <c:v>43669</c:v>
                </c:pt>
                <c:pt idx="23">
                  <c:v>43670</c:v>
                </c:pt>
                <c:pt idx="24">
                  <c:v>43671</c:v>
                </c:pt>
                <c:pt idx="25">
                  <c:v>43672</c:v>
                </c:pt>
                <c:pt idx="26">
                  <c:v>43673</c:v>
                </c:pt>
                <c:pt idx="27">
                  <c:v>43674</c:v>
                </c:pt>
                <c:pt idx="28">
                  <c:v>43675</c:v>
                </c:pt>
                <c:pt idx="29">
                  <c:v>43676</c:v>
                </c:pt>
                <c:pt idx="30">
                  <c:v>43677</c:v>
                </c:pt>
                <c:pt idx="31">
                  <c:v>43678</c:v>
                </c:pt>
              </c:numCache>
            </c:numRef>
          </c:cat>
          <c:val>
            <c:numRef>
              <c:f>'Suivi EAU-ELEC'!$I$9:$I$41</c:f>
              <c:numCache>
                <c:formatCode>General</c:formatCode>
                <c:ptCount val="33"/>
                <c:pt idx="0">
                  <c:v>9058</c:v>
                </c:pt>
                <c:pt idx="1">
                  <c:v>8622</c:v>
                </c:pt>
                <c:pt idx="2">
                  <c:v>8656</c:v>
                </c:pt>
                <c:pt idx="3">
                  <c:v>9721</c:v>
                </c:pt>
                <c:pt idx="4">
                  <c:v>9305</c:v>
                </c:pt>
                <c:pt idx="5">
                  <c:v>10133</c:v>
                </c:pt>
                <c:pt idx="6">
                  <c:v>10438</c:v>
                </c:pt>
                <c:pt idx="7">
                  <c:v>10165</c:v>
                </c:pt>
                <c:pt idx="8">
                  <c:v>10373</c:v>
                </c:pt>
                <c:pt idx="9">
                  <c:v>10097</c:v>
                </c:pt>
                <c:pt idx="10">
                  <c:v>9346</c:v>
                </c:pt>
                <c:pt idx="11">
                  <c:v>10100</c:v>
                </c:pt>
                <c:pt idx="12">
                  <c:v>10235</c:v>
                </c:pt>
                <c:pt idx="13">
                  <c:v>10825</c:v>
                </c:pt>
                <c:pt idx="14">
                  <c:v>8932</c:v>
                </c:pt>
                <c:pt idx="15">
                  <c:v>10182</c:v>
                </c:pt>
                <c:pt idx="16">
                  <c:v>9217</c:v>
                </c:pt>
                <c:pt idx="17">
                  <c:v>8791</c:v>
                </c:pt>
                <c:pt idx="18">
                  <c:v>9167</c:v>
                </c:pt>
                <c:pt idx="19">
                  <c:v>9604</c:v>
                </c:pt>
                <c:pt idx="20">
                  <c:v>9003</c:v>
                </c:pt>
                <c:pt idx="21">
                  <c:v>9540</c:v>
                </c:pt>
                <c:pt idx="22">
                  <c:v>10667</c:v>
                </c:pt>
                <c:pt idx="23">
                  <c:v>10189</c:v>
                </c:pt>
                <c:pt idx="24">
                  <c:v>9771</c:v>
                </c:pt>
                <c:pt idx="25">
                  <c:v>10094</c:v>
                </c:pt>
                <c:pt idx="26">
                  <c:v>9866</c:v>
                </c:pt>
                <c:pt idx="27">
                  <c:v>9742</c:v>
                </c:pt>
                <c:pt idx="28">
                  <c:v>9132</c:v>
                </c:pt>
                <c:pt idx="29">
                  <c:v>9234</c:v>
                </c:pt>
                <c:pt idx="30">
                  <c:v>9803</c:v>
                </c:pt>
                <c:pt idx="31">
                  <c:v>9903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50-4198-B31A-8061D9D8004C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marker>
            <c:symbol val="triangle"/>
            <c:size val="9"/>
          </c:marker>
          <c:cat>
            <c:numRef>
              <c:f>'Suivi EAU-ELEC'!$A$9:$A$41</c:f>
              <c:numCache>
                <c:formatCode>m/d/yyyy</c:formatCode>
                <c:ptCount val="33"/>
                <c:pt idx="0">
                  <c:v>43647</c:v>
                </c:pt>
                <c:pt idx="1">
                  <c:v>43648</c:v>
                </c:pt>
                <c:pt idx="2">
                  <c:v>43649</c:v>
                </c:pt>
                <c:pt idx="3">
                  <c:v>43650</c:v>
                </c:pt>
                <c:pt idx="4">
                  <c:v>43651</c:v>
                </c:pt>
                <c:pt idx="5">
                  <c:v>43652</c:v>
                </c:pt>
                <c:pt idx="6">
                  <c:v>43653</c:v>
                </c:pt>
                <c:pt idx="7">
                  <c:v>43654</c:v>
                </c:pt>
                <c:pt idx="8">
                  <c:v>43655</c:v>
                </c:pt>
                <c:pt idx="9">
                  <c:v>43656</c:v>
                </c:pt>
                <c:pt idx="10">
                  <c:v>43657</c:v>
                </c:pt>
                <c:pt idx="11">
                  <c:v>43658</c:v>
                </c:pt>
                <c:pt idx="12">
                  <c:v>43659</c:v>
                </c:pt>
                <c:pt idx="13">
                  <c:v>43660</c:v>
                </c:pt>
                <c:pt idx="14">
                  <c:v>43661</c:v>
                </c:pt>
                <c:pt idx="15">
                  <c:v>43662</c:v>
                </c:pt>
                <c:pt idx="16">
                  <c:v>43663</c:v>
                </c:pt>
                <c:pt idx="17">
                  <c:v>43664</c:v>
                </c:pt>
                <c:pt idx="18">
                  <c:v>43665</c:v>
                </c:pt>
                <c:pt idx="19">
                  <c:v>43666</c:v>
                </c:pt>
                <c:pt idx="20">
                  <c:v>43667</c:v>
                </c:pt>
                <c:pt idx="21">
                  <c:v>43668</c:v>
                </c:pt>
                <c:pt idx="22">
                  <c:v>43669</c:v>
                </c:pt>
                <c:pt idx="23">
                  <c:v>43670</c:v>
                </c:pt>
                <c:pt idx="24">
                  <c:v>43671</c:v>
                </c:pt>
                <c:pt idx="25">
                  <c:v>43672</c:v>
                </c:pt>
                <c:pt idx="26">
                  <c:v>43673</c:v>
                </c:pt>
                <c:pt idx="27">
                  <c:v>43674</c:v>
                </c:pt>
                <c:pt idx="28">
                  <c:v>43675</c:v>
                </c:pt>
                <c:pt idx="29">
                  <c:v>43676</c:v>
                </c:pt>
                <c:pt idx="30">
                  <c:v>43677</c:v>
                </c:pt>
                <c:pt idx="31">
                  <c:v>43678</c:v>
                </c:pt>
              </c:numCache>
            </c:numRef>
          </c:cat>
          <c:val>
            <c:numRef>
              <c:f>'Suivi EAU-ELEC'!$K$9:$K$41</c:f>
              <c:numCache>
                <c:formatCode>General</c:formatCode>
                <c:ptCount val="33"/>
                <c:pt idx="0">
                  <c:v>3384</c:v>
                </c:pt>
                <c:pt idx="1">
                  <c:v>3195</c:v>
                </c:pt>
                <c:pt idx="2">
                  <c:v>3433</c:v>
                </c:pt>
                <c:pt idx="3">
                  <c:v>3609</c:v>
                </c:pt>
                <c:pt idx="4">
                  <c:v>3534</c:v>
                </c:pt>
                <c:pt idx="5">
                  <c:v>3707</c:v>
                </c:pt>
                <c:pt idx="6">
                  <c:v>3361</c:v>
                </c:pt>
                <c:pt idx="7">
                  <c:v>3621</c:v>
                </c:pt>
                <c:pt idx="8">
                  <c:v>3849</c:v>
                </c:pt>
                <c:pt idx="9">
                  <c:v>3766</c:v>
                </c:pt>
                <c:pt idx="10">
                  <c:v>3883</c:v>
                </c:pt>
                <c:pt idx="11">
                  <c:v>3755</c:v>
                </c:pt>
                <c:pt idx="12">
                  <c:v>3875</c:v>
                </c:pt>
                <c:pt idx="13">
                  <c:v>4680</c:v>
                </c:pt>
                <c:pt idx="14">
                  <c:v>3639</c:v>
                </c:pt>
                <c:pt idx="15">
                  <c:v>3827</c:v>
                </c:pt>
                <c:pt idx="16">
                  <c:v>3683</c:v>
                </c:pt>
                <c:pt idx="17">
                  <c:v>3555</c:v>
                </c:pt>
                <c:pt idx="18">
                  <c:v>3637</c:v>
                </c:pt>
                <c:pt idx="19">
                  <c:v>3785</c:v>
                </c:pt>
                <c:pt idx="20">
                  <c:v>3701</c:v>
                </c:pt>
                <c:pt idx="21">
                  <c:v>2975</c:v>
                </c:pt>
                <c:pt idx="22">
                  <c:v>5045</c:v>
                </c:pt>
                <c:pt idx="23">
                  <c:v>4100</c:v>
                </c:pt>
                <c:pt idx="24">
                  <c:v>3834</c:v>
                </c:pt>
                <c:pt idx="25">
                  <c:v>3663</c:v>
                </c:pt>
                <c:pt idx="26">
                  <c:v>3609</c:v>
                </c:pt>
                <c:pt idx="27">
                  <c:v>3607</c:v>
                </c:pt>
                <c:pt idx="28">
                  <c:v>3404</c:v>
                </c:pt>
                <c:pt idx="29">
                  <c:v>3641</c:v>
                </c:pt>
                <c:pt idx="30">
                  <c:v>3775</c:v>
                </c:pt>
                <c:pt idx="31">
                  <c:v>3819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50-4198-B31A-8061D9D80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911615"/>
        <c:axId val="1"/>
      </c:lineChart>
      <c:dateAx>
        <c:axId val="7691161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91161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5115681233933158E-2"/>
          <c:y val="0.81944692019880483"/>
          <c:w val="0.80848383026671788"/>
          <c:h val="0.1071433517618808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43647</c:v>
                </c:pt>
                <c:pt idx="1">
                  <c:v>43648</c:v>
                </c:pt>
                <c:pt idx="2">
                  <c:v>43649</c:v>
                </c:pt>
                <c:pt idx="3">
                  <c:v>43650</c:v>
                </c:pt>
                <c:pt idx="4">
                  <c:v>43651</c:v>
                </c:pt>
                <c:pt idx="5">
                  <c:v>43652</c:v>
                </c:pt>
                <c:pt idx="6">
                  <c:v>43653</c:v>
                </c:pt>
                <c:pt idx="7">
                  <c:v>43654</c:v>
                </c:pt>
                <c:pt idx="8">
                  <c:v>43655</c:v>
                </c:pt>
                <c:pt idx="9">
                  <c:v>43656</c:v>
                </c:pt>
                <c:pt idx="10">
                  <c:v>43657</c:v>
                </c:pt>
                <c:pt idx="11">
                  <c:v>43658</c:v>
                </c:pt>
                <c:pt idx="12">
                  <c:v>43659</c:v>
                </c:pt>
                <c:pt idx="13">
                  <c:v>43660</c:v>
                </c:pt>
                <c:pt idx="14">
                  <c:v>43661</c:v>
                </c:pt>
                <c:pt idx="15">
                  <c:v>43662</c:v>
                </c:pt>
                <c:pt idx="16">
                  <c:v>43663</c:v>
                </c:pt>
                <c:pt idx="17">
                  <c:v>43664</c:v>
                </c:pt>
                <c:pt idx="18">
                  <c:v>43665</c:v>
                </c:pt>
                <c:pt idx="19">
                  <c:v>43666</c:v>
                </c:pt>
                <c:pt idx="20">
                  <c:v>43667</c:v>
                </c:pt>
                <c:pt idx="21">
                  <c:v>43668</c:v>
                </c:pt>
                <c:pt idx="22">
                  <c:v>43669</c:v>
                </c:pt>
                <c:pt idx="23">
                  <c:v>43670</c:v>
                </c:pt>
                <c:pt idx="24">
                  <c:v>43671</c:v>
                </c:pt>
                <c:pt idx="25">
                  <c:v>43672</c:v>
                </c:pt>
                <c:pt idx="26">
                  <c:v>43673</c:v>
                </c:pt>
                <c:pt idx="27">
                  <c:v>43674</c:v>
                </c:pt>
                <c:pt idx="28">
                  <c:v>43675</c:v>
                </c:pt>
                <c:pt idx="29">
                  <c:v>43676</c:v>
                </c:pt>
                <c:pt idx="30">
                  <c:v>43677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543.98657000000003</c:v>
                </c:pt>
                <c:pt idx="1">
                  <c:v>255.99368000000001</c:v>
                </c:pt>
                <c:pt idx="2">
                  <c:v>575.98577999999998</c:v>
                </c:pt>
                <c:pt idx="3">
                  <c:v>287.99288999999999</c:v>
                </c:pt>
                <c:pt idx="4">
                  <c:v>351.99131</c:v>
                </c:pt>
                <c:pt idx="5">
                  <c:v>287.99288999999999</c:v>
                </c:pt>
                <c:pt idx="6">
                  <c:v>415.98973000000001</c:v>
                </c:pt>
                <c:pt idx="7">
                  <c:v>415.98973000000001</c:v>
                </c:pt>
                <c:pt idx="8">
                  <c:v>319.99209999999999</c:v>
                </c:pt>
                <c:pt idx="9">
                  <c:v>447.98894000000001</c:v>
                </c:pt>
                <c:pt idx="10">
                  <c:v>223.99447000000001</c:v>
                </c:pt>
                <c:pt idx="11">
                  <c:v>639.98419999999999</c:v>
                </c:pt>
                <c:pt idx="12">
                  <c:v>447.98894000000001</c:v>
                </c:pt>
                <c:pt idx="13">
                  <c:v>287.99288999999999</c:v>
                </c:pt>
                <c:pt idx="14">
                  <c:v>415.98973000000001</c:v>
                </c:pt>
                <c:pt idx="15">
                  <c:v>351.99131</c:v>
                </c:pt>
                <c:pt idx="16">
                  <c:v>639.98419999999999</c:v>
                </c:pt>
                <c:pt idx="17">
                  <c:v>255.99368000000001</c:v>
                </c:pt>
                <c:pt idx="18">
                  <c:v>511.98736000000002</c:v>
                </c:pt>
                <c:pt idx="19">
                  <c:v>191.99526</c:v>
                </c:pt>
                <c:pt idx="20">
                  <c:v>319.99209999999999</c:v>
                </c:pt>
                <c:pt idx="21">
                  <c:v>255.99368000000001</c:v>
                </c:pt>
                <c:pt idx="22">
                  <c:v>127.99684000000001</c:v>
                </c:pt>
                <c:pt idx="23">
                  <c:v>351.99131</c:v>
                </c:pt>
                <c:pt idx="24">
                  <c:v>191.99526</c:v>
                </c:pt>
                <c:pt idx="25">
                  <c:v>255.99368000000001</c:v>
                </c:pt>
                <c:pt idx="26">
                  <c:v>447.98894000000001</c:v>
                </c:pt>
                <c:pt idx="27">
                  <c:v>287.99288999999999</c:v>
                </c:pt>
                <c:pt idx="28">
                  <c:v>415.98973000000001</c:v>
                </c:pt>
                <c:pt idx="29">
                  <c:v>223.99447000000001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F-4DD1-B15F-1A995C4A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567903"/>
        <c:axId val="1"/>
      </c:barChart>
      <c:dateAx>
        <c:axId val="77567903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25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567903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551883479353814"/>
          <c:y val="0.94988078297441736"/>
          <c:w val="8.9628681177977287E-3"/>
          <c:h val="2.386642633526225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2D-45BB-A135-60933544B130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2D-45BB-A135-60933544B130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2D-45BB-A135-60933544B130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2D-45BB-A135-60933544B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50495"/>
        <c:axId val="1"/>
      </c:lineChart>
      <c:catAx>
        <c:axId val="75350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535049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5056576732431871"/>
          <c:y val="0.94892727118787568"/>
          <c:w val="0.64781957182654271"/>
          <c:h val="0.9731208195749724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électr'!$B$16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électr'!$C$16:$N$16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64-4713-8621-0C0F6698A136}"/>
            </c:ext>
          </c:extLst>
        </c:ser>
        <c:ser>
          <c:idx val="1"/>
          <c:order val="1"/>
          <c:tx>
            <c:strRef>
              <c:f>'cons annuel électr'!$B$17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électr'!$C$17:$N$17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64-4713-8621-0C0F6698A136}"/>
            </c:ext>
          </c:extLst>
        </c:ser>
        <c:ser>
          <c:idx val="2"/>
          <c:order val="2"/>
          <c:tx>
            <c:strRef>
              <c:f>'cons annuel électr'!$B$18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64-4713-8621-0C0F6698A136}"/>
            </c:ext>
          </c:extLst>
        </c:ser>
        <c:ser>
          <c:idx val="3"/>
          <c:order val="3"/>
          <c:tx>
            <c:strRef>
              <c:f>'cons annuel électr'!$B$19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64-4713-8621-0C0F6698A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51423"/>
        <c:axId val="1"/>
      </c:lineChart>
      <c:catAx>
        <c:axId val="75351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535142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4913161921110569"/>
          <c:y val="0.95122207285064975"/>
          <c:w val="0.64771031583137417"/>
          <c:h val="0.9756123167530887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8D-46A8-9BD1-7F05BAB4E45A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8D-46A8-9BD1-7F05BAB4E45A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8D-46A8-9BD1-7F05BAB4E45A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8D-46A8-9BD1-7F05BAB4E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49567"/>
        <c:axId val="1"/>
      </c:lineChart>
      <c:catAx>
        <c:axId val="75349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534956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2720626833410527"/>
          <c:y val="0.95273866886042224"/>
          <c:w val="0.67279488960938694"/>
          <c:h val="0.9751267285619147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'!$B$16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'!$C$16:$N$16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7B-4D2A-961A-64444A6458D8}"/>
            </c:ext>
          </c:extLst>
        </c:ser>
        <c:ser>
          <c:idx val="1"/>
          <c:order val="1"/>
          <c:tx>
            <c:strRef>
              <c:f>'cons annuel EAU  '!$B$17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'!$C$17:$N$17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7B-4D2A-961A-64444A6458D8}"/>
            </c:ext>
          </c:extLst>
        </c:ser>
        <c:ser>
          <c:idx val="2"/>
          <c:order val="2"/>
          <c:tx>
            <c:strRef>
              <c:f>'cons annuel EAU  '!$B$18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7B-4D2A-961A-64444A6458D8}"/>
            </c:ext>
          </c:extLst>
        </c:ser>
        <c:ser>
          <c:idx val="3"/>
          <c:order val="3"/>
          <c:tx>
            <c:strRef>
              <c:f>'cons annuel EAU  '!$B$19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7B-4D2A-961A-64444A645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55135"/>
        <c:axId val="1"/>
      </c:lineChart>
      <c:catAx>
        <c:axId val="75355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535513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3094849726968384"/>
          <c:y val="0.95331695331695332"/>
          <c:w val="0.66726372083632657"/>
          <c:h val="0.9754299754299754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C2-4292-ABCD-BB12A97437D5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2-4292-ABCD-BB12A97437D5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C2-4292-ABCD-BB12A97437D5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C2-4292-ABCD-BB12A9743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907439"/>
        <c:axId val="1"/>
      </c:lineChart>
      <c:catAx>
        <c:axId val="76907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90743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251883646123182"/>
          <c:y val="0.95683679827791313"/>
          <c:w val="0.6710534209539597"/>
          <c:h val="0.9784195320908627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GAZ'!$B$16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GAZ'!$C$16:$N$16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0A-4C0A-8D24-9E89DB394D05}"/>
            </c:ext>
          </c:extLst>
        </c:ser>
        <c:ser>
          <c:idx val="1"/>
          <c:order val="1"/>
          <c:tx>
            <c:strRef>
              <c:f>'livraison annuel GAZ'!$B$17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GAZ'!$C$17:$N$17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0A-4C0A-8D24-9E89DB394D05}"/>
            </c:ext>
          </c:extLst>
        </c:ser>
        <c:ser>
          <c:idx val="2"/>
          <c:order val="2"/>
          <c:tx>
            <c:strRef>
              <c:f>'livraison annuel GAZ'!$B$18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0A-4C0A-8D24-9E89DB394D05}"/>
            </c:ext>
          </c:extLst>
        </c:ser>
        <c:ser>
          <c:idx val="3"/>
          <c:order val="3"/>
          <c:tx>
            <c:strRef>
              <c:f>'livraison annuel GAZ'!$B$19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0A-4C0A-8D24-9E89DB394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909759"/>
        <c:axId val="1"/>
      </c:lineChart>
      <c:catAx>
        <c:axId val="76909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909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4290576009079943"/>
          <c:y val="0.9572456530819633"/>
          <c:w val="0.65371674824430726"/>
          <c:h val="0.9786233252909893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981075</xdr:colOff>
      <xdr:row>1</xdr:row>
      <xdr:rowOff>800100</xdr:rowOff>
    </xdr:from>
    <xdr:to>
      <xdr:col>16</xdr:col>
      <xdr:colOff>647700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D7EB8A25-5D07-4513-5D88-BF66A8CCA02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361950</xdr:colOff>
      <xdr:row>1</xdr:row>
      <xdr:rowOff>85725</xdr:rowOff>
    </xdr:from>
    <xdr:to>
      <xdr:col>12</xdr:col>
      <xdr:colOff>1666875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F89F554A-AD13-58C0-0942-ACFCF4A8974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0454050" name="Picture 1">
          <a:extLst>
            <a:ext uri="{FF2B5EF4-FFF2-40B4-BE49-F238E27FC236}">
              <a16:creationId xmlns:a16="http://schemas.microsoft.com/office/drawing/2014/main" id="{6D124D7F-421A-4C8A-0E8E-505614537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0455296" name="Graphique 3">
          <a:extLst>
            <a:ext uri="{FF2B5EF4-FFF2-40B4-BE49-F238E27FC236}">
              <a16:creationId xmlns:a16="http://schemas.microsoft.com/office/drawing/2014/main" id="{EA44E3ED-6161-1E1A-3F7C-1D25F657B0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314325</xdr:rowOff>
    </xdr:to>
    <xdr:graphicFrame macro="">
      <xdr:nvGraphicFramePr>
        <xdr:cNvPr id="20455297" name="Graphique 4">
          <a:extLst>
            <a:ext uri="{FF2B5EF4-FFF2-40B4-BE49-F238E27FC236}">
              <a16:creationId xmlns:a16="http://schemas.microsoft.com/office/drawing/2014/main" id="{8BCC3BF7-DCED-0AFE-7E24-F9E1C00B6802}"/>
            </a:ext>
            <a:ext uri="{147F2762-F138-4A5C-976F-8EAC2B608ADB}">
              <a16:predDERef xmlns:a16="http://schemas.microsoft.com/office/drawing/2014/main" pred="{EA44E3ED-6161-1E1A-3F7C-1D25F657B0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38</xdr:row>
      <xdr:rowOff>57150</xdr:rowOff>
    </xdr:from>
    <xdr:to>
      <xdr:col>25</xdr:col>
      <xdr:colOff>657225</xdr:colOff>
      <xdr:row>47</xdr:row>
      <xdr:rowOff>142875</xdr:rowOff>
    </xdr:to>
    <xdr:graphicFrame macro="">
      <xdr:nvGraphicFramePr>
        <xdr:cNvPr id="20455298" name="Graphique 5">
          <a:extLst>
            <a:ext uri="{FF2B5EF4-FFF2-40B4-BE49-F238E27FC236}">
              <a16:creationId xmlns:a16="http://schemas.microsoft.com/office/drawing/2014/main" id="{21E547A6-4DEC-B33B-92FF-BDEB9E92C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0455299" name="Picture 1">
          <a:extLst>
            <a:ext uri="{FF2B5EF4-FFF2-40B4-BE49-F238E27FC236}">
              <a16:creationId xmlns:a16="http://schemas.microsoft.com/office/drawing/2014/main" id="{B76F0347-7B83-E758-D3AC-EDC7EAAF6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0458944" name="Picture 1">
          <a:extLst>
            <a:ext uri="{FF2B5EF4-FFF2-40B4-BE49-F238E27FC236}">
              <a16:creationId xmlns:a16="http://schemas.microsoft.com/office/drawing/2014/main" id="{90FFA70B-D7BE-9D26-450A-3DF2A4210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0458945" name="Picture 1">
          <a:extLst>
            <a:ext uri="{FF2B5EF4-FFF2-40B4-BE49-F238E27FC236}">
              <a16:creationId xmlns:a16="http://schemas.microsoft.com/office/drawing/2014/main" id="{C8447D5E-9F9B-258A-B68B-9D28E4AE4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0558251" name="Picture 1">
          <a:extLst>
            <a:ext uri="{FF2B5EF4-FFF2-40B4-BE49-F238E27FC236}">
              <a16:creationId xmlns:a16="http://schemas.microsoft.com/office/drawing/2014/main" id="{07A64D1E-91A7-694E-6B92-071B2C651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0558252" name="Picture 1">
          <a:extLst>
            <a:ext uri="{FF2B5EF4-FFF2-40B4-BE49-F238E27FC236}">
              <a16:creationId xmlns:a16="http://schemas.microsoft.com/office/drawing/2014/main" id="{534D19E6-0B3F-55B3-FB84-706A5DF6B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2240768" name="Picture 1">
          <a:extLst>
            <a:ext uri="{FF2B5EF4-FFF2-40B4-BE49-F238E27FC236}">
              <a16:creationId xmlns:a16="http://schemas.microsoft.com/office/drawing/2014/main" id="{CDC4A6BF-027E-6D11-E501-AE035ECAF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2240769" name="Picture 1">
          <a:extLst>
            <a:ext uri="{FF2B5EF4-FFF2-40B4-BE49-F238E27FC236}">
              <a16:creationId xmlns:a16="http://schemas.microsoft.com/office/drawing/2014/main" id="{A80CA8B8-7177-4F5A-1D7B-6AC0D0906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2240770" name="Picture 1">
          <a:extLst>
            <a:ext uri="{FF2B5EF4-FFF2-40B4-BE49-F238E27FC236}">
              <a16:creationId xmlns:a16="http://schemas.microsoft.com/office/drawing/2014/main" id="{512BBEAF-E5B7-2FC9-05AC-A91C45657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2240771" name="Picture 1">
          <a:extLst>
            <a:ext uri="{FF2B5EF4-FFF2-40B4-BE49-F238E27FC236}">
              <a16:creationId xmlns:a16="http://schemas.microsoft.com/office/drawing/2014/main" id="{3478CFAD-279D-2233-EB56-1D07132A9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2240772" name="Picture 1">
          <a:extLst>
            <a:ext uri="{FF2B5EF4-FFF2-40B4-BE49-F238E27FC236}">
              <a16:creationId xmlns:a16="http://schemas.microsoft.com/office/drawing/2014/main" id="{B42DF91D-62D1-4F37-C4D8-B2DE4E8D5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2240773" name="Picture 1">
          <a:extLst>
            <a:ext uri="{FF2B5EF4-FFF2-40B4-BE49-F238E27FC236}">
              <a16:creationId xmlns:a16="http://schemas.microsoft.com/office/drawing/2014/main" id="{DE5469D3-6DD0-966C-FC0E-68489EF72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2240774" name="Picture 1">
          <a:extLst>
            <a:ext uri="{FF2B5EF4-FFF2-40B4-BE49-F238E27FC236}">
              <a16:creationId xmlns:a16="http://schemas.microsoft.com/office/drawing/2014/main" id="{B88A1106-44FB-CCF5-1F57-F3AFC3265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2240775" name="Picture 1">
          <a:extLst>
            <a:ext uri="{FF2B5EF4-FFF2-40B4-BE49-F238E27FC236}">
              <a16:creationId xmlns:a16="http://schemas.microsoft.com/office/drawing/2014/main" id="{C9F9EC5F-555A-04D1-2971-8EC25A0F7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2240776" name="Picture 1">
          <a:extLst>
            <a:ext uri="{FF2B5EF4-FFF2-40B4-BE49-F238E27FC236}">
              <a16:creationId xmlns:a16="http://schemas.microsoft.com/office/drawing/2014/main" id="{4EAE9800-9413-F488-E1C7-B0AAB28DE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2240777" name="Picture 1">
          <a:extLst>
            <a:ext uri="{FF2B5EF4-FFF2-40B4-BE49-F238E27FC236}">
              <a16:creationId xmlns:a16="http://schemas.microsoft.com/office/drawing/2014/main" id="{DE76577F-B129-8413-5ED2-FC213E945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2240778" name="Picture 1">
          <a:extLst>
            <a:ext uri="{FF2B5EF4-FFF2-40B4-BE49-F238E27FC236}">
              <a16:creationId xmlns:a16="http://schemas.microsoft.com/office/drawing/2014/main" id="{D0426317-9E7C-5B9E-0404-B2C86A915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2240779" name="Picture 1">
          <a:extLst>
            <a:ext uri="{FF2B5EF4-FFF2-40B4-BE49-F238E27FC236}">
              <a16:creationId xmlns:a16="http://schemas.microsoft.com/office/drawing/2014/main" id="{9448245A-EDF0-ACEA-7FD8-B3DC1B7CA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2240780" name="Picture 1">
          <a:extLst>
            <a:ext uri="{FF2B5EF4-FFF2-40B4-BE49-F238E27FC236}">
              <a16:creationId xmlns:a16="http://schemas.microsoft.com/office/drawing/2014/main" id="{BCF5EE52-BE38-43B9-8BAA-228C043E4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2240781" name="Picture 1">
          <a:extLst>
            <a:ext uri="{FF2B5EF4-FFF2-40B4-BE49-F238E27FC236}">
              <a16:creationId xmlns:a16="http://schemas.microsoft.com/office/drawing/2014/main" id="{71DBEB8D-25AF-D0F7-8017-DCAAA32F0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2240782" name="Picture 1">
          <a:extLst>
            <a:ext uri="{FF2B5EF4-FFF2-40B4-BE49-F238E27FC236}">
              <a16:creationId xmlns:a16="http://schemas.microsoft.com/office/drawing/2014/main" id="{2BF8033E-FF0D-46AF-30F1-0A21D2C04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2240783" name="Picture 1">
          <a:extLst>
            <a:ext uri="{FF2B5EF4-FFF2-40B4-BE49-F238E27FC236}">
              <a16:creationId xmlns:a16="http://schemas.microsoft.com/office/drawing/2014/main" id="{C7A96ABE-7721-6897-EF8C-716C90892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2241792" name="Picture 1">
          <a:extLst>
            <a:ext uri="{FF2B5EF4-FFF2-40B4-BE49-F238E27FC236}">
              <a16:creationId xmlns:a16="http://schemas.microsoft.com/office/drawing/2014/main" id="{CCCC4F31-0F11-0890-46F4-4CAF9B533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2241793" name="Picture 1">
          <a:extLst>
            <a:ext uri="{FF2B5EF4-FFF2-40B4-BE49-F238E27FC236}">
              <a16:creationId xmlns:a16="http://schemas.microsoft.com/office/drawing/2014/main" id="{28CEB3FA-19FA-E0CF-4EE5-C08BA3673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2241794" name="Picture 1">
          <a:extLst>
            <a:ext uri="{FF2B5EF4-FFF2-40B4-BE49-F238E27FC236}">
              <a16:creationId xmlns:a16="http://schemas.microsoft.com/office/drawing/2014/main" id="{05A772D1-563C-C142-B530-2560FADD6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2241795" name="Picture 1">
          <a:extLst>
            <a:ext uri="{FF2B5EF4-FFF2-40B4-BE49-F238E27FC236}">
              <a16:creationId xmlns:a16="http://schemas.microsoft.com/office/drawing/2014/main" id="{E63103C9-104B-44C4-B675-F3480CCD1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2241796" name="Picture 1">
          <a:extLst>
            <a:ext uri="{FF2B5EF4-FFF2-40B4-BE49-F238E27FC236}">
              <a16:creationId xmlns:a16="http://schemas.microsoft.com/office/drawing/2014/main" id="{16562E41-B887-B356-2D37-7D0CC153A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2241797" name="Picture 1">
          <a:extLst>
            <a:ext uri="{FF2B5EF4-FFF2-40B4-BE49-F238E27FC236}">
              <a16:creationId xmlns:a16="http://schemas.microsoft.com/office/drawing/2014/main" id="{F08C781B-B77A-FDF9-10D8-A878E2A5A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2241798" name="Picture 1">
          <a:extLst>
            <a:ext uri="{FF2B5EF4-FFF2-40B4-BE49-F238E27FC236}">
              <a16:creationId xmlns:a16="http://schemas.microsoft.com/office/drawing/2014/main" id="{BF4AFA8E-3EB5-4504-0F3A-6159CD48F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2241799" name="Picture 1">
          <a:extLst>
            <a:ext uri="{FF2B5EF4-FFF2-40B4-BE49-F238E27FC236}">
              <a16:creationId xmlns:a16="http://schemas.microsoft.com/office/drawing/2014/main" id="{0EE3A0BB-5D29-77AC-7CF7-5D9695198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2241800" name="Picture 1">
          <a:extLst>
            <a:ext uri="{FF2B5EF4-FFF2-40B4-BE49-F238E27FC236}">
              <a16:creationId xmlns:a16="http://schemas.microsoft.com/office/drawing/2014/main" id="{5664B88D-A987-4B9A-2886-62D08DEC3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2241801" name="Picture 1">
          <a:extLst>
            <a:ext uri="{FF2B5EF4-FFF2-40B4-BE49-F238E27FC236}">
              <a16:creationId xmlns:a16="http://schemas.microsoft.com/office/drawing/2014/main" id="{7E786BF3-0CC3-605F-BB2B-6C325680F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2241802" name="Picture 1">
          <a:extLst>
            <a:ext uri="{FF2B5EF4-FFF2-40B4-BE49-F238E27FC236}">
              <a16:creationId xmlns:a16="http://schemas.microsoft.com/office/drawing/2014/main" id="{043D0555-C24A-579C-FFD5-5EAAAFC40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2241803" name="Picture 1">
          <a:extLst>
            <a:ext uri="{FF2B5EF4-FFF2-40B4-BE49-F238E27FC236}">
              <a16:creationId xmlns:a16="http://schemas.microsoft.com/office/drawing/2014/main" id="{4FA47957-88A5-A277-7B79-2CA052979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2241804" name="Picture 1">
          <a:extLst>
            <a:ext uri="{FF2B5EF4-FFF2-40B4-BE49-F238E27FC236}">
              <a16:creationId xmlns:a16="http://schemas.microsoft.com/office/drawing/2014/main" id="{6C6D9B0A-4822-CB50-4DD9-9907BB0F2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2241805" name="Picture 1">
          <a:extLst>
            <a:ext uri="{FF2B5EF4-FFF2-40B4-BE49-F238E27FC236}">
              <a16:creationId xmlns:a16="http://schemas.microsoft.com/office/drawing/2014/main" id="{8F2EADF6-042D-A3B9-DE3E-81F03E2C7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2241806" name="Picture 1">
          <a:extLst>
            <a:ext uri="{FF2B5EF4-FFF2-40B4-BE49-F238E27FC236}">
              <a16:creationId xmlns:a16="http://schemas.microsoft.com/office/drawing/2014/main" id="{1B72EF07-95B6-042C-4D84-30D42160F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2241807" name="Picture 1">
          <a:extLst>
            <a:ext uri="{FF2B5EF4-FFF2-40B4-BE49-F238E27FC236}">
              <a16:creationId xmlns:a16="http://schemas.microsoft.com/office/drawing/2014/main" id="{845D8BB0-D641-5453-8F98-0B9C96A94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0462464" name="Picture 1">
          <a:extLst>
            <a:ext uri="{FF2B5EF4-FFF2-40B4-BE49-F238E27FC236}">
              <a16:creationId xmlns:a16="http://schemas.microsoft.com/office/drawing/2014/main" id="{4D71E72A-D3CC-2EF8-C6A0-B53C14A80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0462465" name="Picture 1">
          <a:extLst>
            <a:ext uri="{FF2B5EF4-FFF2-40B4-BE49-F238E27FC236}">
              <a16:creationId xmlns:a16="http://schemas.microsoft.com/office/drawing/2014/main" id="{3A50D027-8CDB-F97B-CB91-C220E1847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0462466" name="Picture 1">
          <a:extLst>
            <a:ext uri="{FF2B5EF4-FFF2-40B4-BE49-F238E27FC236}">
              <a16:creationId xmlns:a16="http://schemas.microsoft.com/office/drawing/2014/main" id="{0F485B80-8EB0-4E77-75BE-32EFEFEE6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0462467" name="Picture 1">
          <a:extLst>
            <a:ext uri="{FF2B5EF4-FFF2-40B4-BE49-F238E27FC236}">
              <a16:creationId xmlns:a16="http://schemas.microsoft.com/office/drawing/2014/main" id="{6B244237-E843-B188-BDB2-4753012BF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21</xdr:row>
      <xdr:rowOff>28575</xdr:rowOff>
    </xdr:from>
    <xdr:to>
      <xdr:col>13</xdr:col>
      <xdr:colOff>447675</xdr:colOff>
      <xdr:row>42</xdr:row>
      <xdr:rowOff>85725</xdr:rowOff>
    </xdr:to>
    <xdr:graphicFrame macro="">
      <xdr:nvGraphicFramePr>
        <xdr:cNvPr id="20463040" name="Chart 1">
          <a:extLst>
            <a:ext uri="{FF2B5EF4-FFF2-40B4-BE49-F238E27FC236}">
              <a16:creationId xmlns:a16="http://schemas.microsoft.com/office/drawing/2014/main" id="{F561BBD9-B365-A7D3-0E61-44079BB7CD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21</xdr:row>
      <xdr:rowOff>47625</xdr:rowOff>
    </xdr:from>
    <xdr:to>
      <xdr:col>6</xdr:col>
      <xdr:colOff>638175</xdr:colOff>
      <xdr:row>42</xdr:row>
      <xdr:rowOff>76200</xdr:rowOff>
    </xdr:to>
    <xdr:graphicFrame macro="">
      <xdr:nvGraphicFramePr>
        <xdr:cNvPr id="20463041" name="Chart 2">
          <a:extLst>
            <a:ext uri="{FF2B5EF4-FFF2-40B4-BE49-F238E27FC236}">
              <a16:creationId xmlns:a16="http://schemas.microsoft.com/office/drawing/2014/main" id="{94BC3A7B-9E2A-4821-C8A5-0591A6985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22</xdr:row>
      <xdr:rowOff>28575</xdr:rowOff>
    </xdr:from>
    <xdr:to>
      <xdr:col>13</xdr:col>
      <xdr:colOff>981075</xdr:colOff>
      <xdr:row>45</xdr:row>
      <xdr:rowOff>47625</xdr:rowOff>
    </xdr:to>
    <xdr:graphicFrame macro="">
      <xdr:nvGraphicFramePr>
        <xdr:cNvPr id="20466112" name="Chart 1">
          <a:extLst>
            <a:ext uri="{FF2B5EF4-FFF2-40B4-BE49-F238E27FC236}">
              <a16:creationId xmlns:a16="http://schemas.microsoft.com/office/drawing/2014/main" id="{F1925F40-B8BB-FE1C-A949-0C2F0C556E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22</xdr:row>
      <xdr:rowOff>9525</xdr:rowOff>
    </xdr:from>
    <xdr:to>
      <xdr:col>6</xdr:col>
      <xdr:colOff>238125</xdr:colOff>
      <xdr:row>45</xdr:row>
      <xdr:rowOff>76200</xdr:rowOff>
    </xdr:to>
    <xdr:graphicFrame macro="">
      <xdr:nvGraphicFramePr>
        <xdr:cNvPr id="20466113" name="Chart 2">
          <a:extLst>
            <a:ext uri="{FF2B5EF4-FFF2-40B4-BE49-F238E27FC236}">
              <a16:creationId xmlns:a16="http://schemas.microsoft.com/office/drawing/2014/main" id="{285101F4-2FBA-EC38-7A21-752684AE21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22</xdr:row>
      <xdr:rowOff>28575</xdr:rowOff>
    </xdr:from>
    <xdr:to>
      <xdr:col>13</xdr:col>
      <xdr:colOff>1114425</xdr:colOff>
      <xdr:row>46</xdr:row>
      <xdr:rowOff>28575</xdr:rowOff>
    </xdr:to>
    <xdr:graphicFrame macro="">
      <xdr:nvGraphicFramePr>
        <xdr:cNvPr id="20469184" name="Chart 1">
          <a:extLst>
            <a:ext uri="{FF2B5EF4-FFF2-40B4-BE49-F238E27FC236}">
              <a16:creationId xmlns:a16="http://schemas.microsoft.com/office/drawing/2014/main" id="{B3548BE3-233E-94DE-29FE-7B91963D3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22</xdr:row>
      <xdr:rowOff>9525</xdr:rowOff>
    </xdr:from>
    <xdr:to>
      <xdr:col>7</xdr:col>
      <xdr:colOff>66675</xdr:colOff>
      <xdr:row>46</xdr:row>
      <xdr:rowOff>47625</xdr:rowOff>
    </xdr:to>
    <xdr:graphicFrame macro="">
      <xdr:nvGraphicFramePr>
        <xdr:cNvPr id="20469185" name="Chart 2">
          <a:extLst>
            <a:ext uri="{FF2B5EF4-FFF2-40B4-BE49-F238E27FC236}">
              <a16:creationId xmlns:a16="http://schemas.microsoft.com/office/drawing/2014/main" id="{91AF1393-9CA1-AFFD-B9D2-F59B9454A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9"/>
  <sheetViews>
    <sheetView workbookViewId="0">
      <selection activeCell="I2" sqref="I2:I32"/>
    </sheetView>
  </sheetViews>
  <sheetFormatPr baseColWidth="10" defaultColWidth="11.5703125" defaultRowHeight="12.75" x14ac:dyDescent="0.2"/>
  <cols>
    <col min="1" max="1" width="12.42578125" style="50" customWidth="1"/>
    <col min="2" max="3" width="11.5703125" style="150"/>
    <col min="4" max="4" width="13.42578125" style="151" customWidth="1"/>
    <col min="5" max="5" width="12.5703125" style="147" customWidth="1"/>
    <col min="6" max="6" width="12.5703125" style="50" customWidth="1"/>
    <col min="7" max="10" width="11.5703125" style="50"/>
    <col min="11" max="12" width="11.5703125" style="147"/>
    <col min="13" max="13" width="0" hidden="1" customWidth="1"/>
  </cols>
  <sheetData>
    <row r="1" spans="1:13" s="108" customFormat="1" ht="60.75" thickBot="1" x14ac:dyDescent="0.3">
      <c r="A1" s="145" t="s">
        <v>0</v>
      </c>
      <c r="B1" s="148" t="s">
        <v>1</v>
      </c>
      <c r="C1" s="148" t="s">
        <v>2</v>
      </c>
      <c r="D1" s="149" t="s">
        <v>3</v>
      </c>
      <c r="E1" s="157" t="s">
        <v>4</v>
      </c>
      <c r="F1" s="152" t="s">
        <v>5</v>
      </c>
      <c r="G1" s="152" t="s">
        <v>6</v>
      </c>
      <c r="H1" s="152" t="s">
        <v>7</v>
      </c>
      <c r="I1" s="152" t="s">
        <v>8</v>
      </c>
      <c r="J1" s="152" t="s">
        <v>9</v>
      </c>
      <c r="K1" s="157" t="s">
        <v>10</v>
      </c>
      <c r="L1" s="157" t="s">
        <v>11</v>
      </c>
      <c r="M1" s="142" t="s">
        <v>12</v>
      </c>
    </row>
    <row r="2" spans="1:13" x14ac:dyDescent="0.2">
      <c r="A2" s="146" t="s">
        <v>13</v>
      </c>
      <c r="B2" s="150">
        <v>1</v>
      </c>
      <c r="C2" s="150">
        <v>7</v>
      </c>
      <c r="D2" s="151">
        <v>2019</v>
      </c>
      <c r="E2" s="147">
        <f>submetering!E2+submetering!F2+submetering!G2</f>
        <v>17195</v>
      </c>
      <c r="F2" s="144">
        <v>1.05</v>
      </c>
      <c r="G2" s="144">
        <f>'Consommation mensuel énergie'!V10</f>
        <v>543.98657000000003</v>
      </c>
      <c r="H2" s="144">
        <v>7.8</v>
      </c>
      <c r="I2" s="144">
        <f>'Consommation mensuel énergie'!F10</f>
        <v>319.80000000000291</v>
      </c>
      <c r="J2" s="144">
        <v>11.4</v>
      </c>
      <c r="K2" s="147">
        <f>'Consommation mensuel énergie'!D10</f>
        <v>132</v>
      </c>
      <c r="L2" s="147">
        <f>'Consommation mensuel énergie'!E10</f>
        <v>193</v>
      </c>
      <c r="M2" s="143" t="e">
        <f>E2*F2+G2*H2+#REF!*#REF!+I2*J2</f>
        <v>#REF!</v>
      </c>
    </row>
    <row r="3" spans="1:13" x14ac:dyDescent="0.2">
      <c r="A3" s="146" t="s">
        <v>13</v>
      </c>
      <c r="B3" s="150">
        <f>B2+1</f>
        <v>2</v>
      </c>
      <c r="C3" s="150">
        <v>7</v>
      </c>
      <c r="D3" s="151">
        <v>2019</v>
      </c>
      <c r="E3" s="147">
        <f>submetering!E3+submetering!F3+submetering!G3</f>
        <v>16097</v>
      </c>
      <c r="F3" s="144">
        <v>1.05</v>
      </c>
      <c r="G3" s="144">
        <f>'Consommation mensuel énergie'!V11</f>
        <v>255.99368000000001</v>
      </c>
      <c r="H3" s="144">
        <v>7.8</v>
      </c>
      <c r="I3" s="144">
        <f>'Consommation mensuel énergie'!F11</f>
        <v>169.69999999999709</v>
      </c>
      <c r="J3" s="144">
        <v>11.4</v>
      </c>
      <c r="K3" s="147">
        <f>'Consommation mensuel énergie'!D11</f>
        <v>180</v>
      </c>
      <c r="L3" s="147">
        <f>'Consommation mensuel énergie'!E11</f>
        <v>259</v>
      </c>
      <c r="M3" s="143" t="e">
        <f>E3*F3+G3*H3+#REF!*#REF!+I3*J3</f>
        <v>#REF!</v>
      </c>
    </row>
    <row r="4" spans="1:13" x14ac:dyDescent="0.2">
      <c r="A4" s="146" t="s">
        <v>13</v>
      </c>
      <c r="B4" s="150">
        <f t="shared" ref="B4:B32" si="0">B3+1</f>
        <v>3</v>
      </c>
      <c r="C4" s="150">
        <v>7</v>
      </c>
      <c r="D4" s="151">
        <v>2019</v>
      </c>
      <c r="E4" s="147">
        <f>submetering!E4+submetering!F4+submetering!G4</f>
        <v>16302</v>
      </c>
      <c r="F4" s="144">
        <v>1.05</v>
      </c>
      <c r="G4" s="144">
        <f>'Consommation mensuel énergie'!V12</f>
        <v>575.98577999999998</v>
      </c>
      <c r="H4" s="144">
        <v>7.8</v>
      </c>
      <c r="I4" s="144">
        <f>'Consommation mensuel énergie'!F12</f>
        <v>163.69999999999709</v>
      </c>
      <c r="J4" s="144">
        <v>11.4</v>
      </c>
      <c r="K4" s="147">
        <f>'Consommation mensuel énergie'!D12</f>
        <v>180</v>
      </c>
      <c r="L4" s="147">
        <f>'Consommation mensuel énergie'!E12</f>
        <v>266</v>
      </c>
      <c r="M4" s="143" t="e">
        <f>E4*F4+G4*H4+#REF!*#REF!+I4*J4</f>
        <v>#REF!</v>
      </c>
    </row>
    <row r="5" spans="1:13" x14ac:dyDescent="0.2">
      <c r="A5" s="146" t="s">
        <v>13</v>
      </c>
      <c r="B5" s="150">
        <f t="shared" si="0"/>
        <v>4</v>
      </c>
      <c r="C5" s="150">
        <v>7</v>
      </c>
      <c r="D5" s="151">
        <v>2019</v>
      </c>
      <c r="E5" s="147">
        <f>submetering!E5+submetering!F5+submetering!G5</f>
        <v>17073</v>
      </c>
      <c r="F5" s="144">
        <v>1.05</v>
      </c>
      <c r="G5" s="144">
        <f>'Consommation mensuel énergie'!V13</f>
        <v>287.99288999999999</v>
      </c>
      <c r="H5" s="144">
        <v>7.8</v>
      </c>
      <c r="I5" s="144">
        <f>'Consommation mensuel énergie'!F13</f>
        <v>194.30000000000291</v>
      </c>
      <c r="J5" s="144">
        <v>11.4</v>
      </c>
      <c r="K5" s="147">
        <f>'Consommation mensuel énergie'!D13</f>
        <v>174</v>
      </c>
      <c r="L5" s="147">
        <f>'Consommation mensuel énergie'!E13</f>
        <v>263</v>
      </c>
      <c r="M5" s="143" t="e">
        <f>E5*F5+G5*H5+#REF!*#REF!+I5*J5</f>
        <v>#REF!</v>
      </c>
    </row>
    <row r="6" spans="1:13" x14ac:dyDescent="0.2">
      <c r="A6" s="146" t="s">
        <v>13</v>
      </c>
      <c r="B6" s="150">
        <f t="shared" si="0"/>
        <v>5</v>
      </c>
      <c r="C6" s="150">
        <v>7</v>
      </c>
      <c r="D6" s="151">
        <v>2019</v>
      </c>
      <c r="E6" s="147">
        <f>submetering!E6+submetering!F6+submetering!G6</f>
        <v>17849</v>
      </c>
      <c r="F6" s="144">
        <v>1.05</v>
      </c>
      <c r="G6" s="144">
        <f>'Consommation mensuel énergie'!V14</f>
        <v>351.99131</v>
      </c>
      <c r="H6" s="144">
        <v>7.8</v>
      </c>
      <c r="I6" s="144">
        <f>'Consommation mensuel énergie'!F14</f>
        <v>191.5</v>
      </c>
      <c r="J6" s="144">
        <v>11.4</v>
      </c>
      <c r="K6" s="147">
        <f>'Consommation mensuel énergie'!D14</f>
        <v>176</v>
      </c>
      <c r="L6" s="147">
        <f>'Consommation mensuel énergie'!E14</f>
        <v>279</v>
      </c>
      <c r="M6" s="143" t="e">
        <f>E6*F6+G6*H6+#REF!*#REF!+I6*J6</f>
        <v>#REF!</v>
      </c>
    </row>
    <row r="7" spans="1:13" x14ac:dyDescent="0.2">
      <c r="A7" s="146" t="s">
        <v>13</v>
      </c>
      <c r="B7" s="150">
        <f t="shared" si="0"/>
        <v>6</v>
      </c>
      <c r="C7" s="150">
        <v>7</v>
      </c>
      <c r="D7" s="151">
        <v>2019</v>
      </c>
      <c r="E7" s="147">
        <f>submetering!E7+submetering!F7+submetering!G7</f>
        <v>18544</v>
      </c>
      <c r="F7" s="144">
        <v>1.05</v>
      </c>
      <c r="G7" s="144">
        <f>'Consommation mensuel énergie'!V15</f>
        <v>287.99288999999999</v>
      </c>
      <c r="H7" s="144">
        <v>7.8</v>
      </c>
      <c r="I7" s="144">
        <f>'Consommation mensuel énergie'!F15</f>
        <v>185.90000000000146</v>
      </c>
      <c r="J7" s="144">
        <v>11.4</v>
      </c>
      <c r="K7" s="147">
        <f>'Consommation mensuel énergie'!D15</f>
        <v>166</v>
      </c>
      <c r="L7" s="147">
        <f>'Consommation mensuel énergie'!E15</f>
        <v>282</v>
      </c>
      <c r="M7" s="143" t="e">
        <f>E7*F7+G7*H7+#REF!*#REF!+I7*J7</f>
        <v>#REF!</v>
      </c>
    </row>
    <row r="8" spans="1:13" x14ac:dyDescent="0.2">
      <c r="A8" s="146" t="s">
        <v>13</v>
      </c>
      <c r="B8" s="150">
        <f t="shared" si="0"/>
        <v>7</v>
      </c>
      <c r="C8" s="150">
        <v>7</v>
      </c>
      <c r="D8" s="151">
        <v>2019</v>
      </c>
      <c r="E8" s="147">
        <f>submetering!E8+submetering!F8+submetering!G8</f>
        <v>17788</v>
      </c>
      <c r="F8" s="144">
        <v>1.05</v>
      </c>
      <c r="G8" s="144">
        <f>'Consommation mensuel énergie'!V16</f>
        <v>415.98973000000001</v>
      </c>
      <c r="H8" s="144">
        <v>7.8</v>
      </c>
      <c r="I8" s="144">
        <f>'Consommation mensuel énergie'!F16</f>
        <v>172.59999999999854</v>
      </c>
      <c r="J8" s="144">
        <v>11.4</v>
      </c>
      <c r="K8" s="147">
        <f>'Consommation mensuel énergie'!D16</f>
        <v>139</v>
      </c>
      <c r="L8" s="147">
        <f>'Consommation mensuel énergie'!E16</f>
        <v>224</v>
      </c>
      <c r="M8" s="143" t="e">
        <f>E8*F8+G8*H8+#REF!*#REF!+I8*J8</f>
        <v>#REF!</v>
      </c>
    </row>
    <row r="9" spans="1:13" x14ac:dyDescent="0.2">
      <c r="A9" s="146" t="s">
        <v>13</v>
      </c>
      <c r="B9" s="150">
        <f t="shared" si="0"/>
        <v>8</v>
      </c>
      <c r="C9" s="150">
        <v>7</v>
      </c>
      <c r="D9" s="151">
        <v>2019</v>
      </c>
      <c r="E9" s="147">
        <f>submetering!E9+submetering!F9+submetering!G9</f>
        <v>18200</v>
      </c>
      <c r="F9" s="144">
        <v>1.05</v>
      </c>
      <c r="G9" s="144">
        <f>'Consommation mensuel énergie'!V17</f>
        <v>415.98973000000001</v>
      </c>
      <c r="H9" s="144">
        <v>7.8</v>
      </c>
      <c r="I9" s="144">
        <f>'Consommation mensuel énergie'!F17</f>
        <v>151.59999999999854</v>
      </c>
      <c r="J9" s="144">
        <v>11.4</v>
      </c>
      <c r="K9" s="147">
        <f>'Consommation mensuel énergie'!D17</f>
        <v>150</v>
      </c>
      <c r="L9" s="147">
        <f>'Consommation mensuel énergie'!E17</f>
        <v>231</v>
      </c>
      <c r="M9" s="143" t="e">
        <f>E9*F9+G9*H9+#REF!*#REF!+I9*J9</f>
        <v>#REF!</v>
      </c>
    </row>
    <row r="10" spans="1:13" x14ac:dyDescent="0.2">
      <c r="A10" s="146" t="s">
        <v>13</v>
      </c>
      <c r="B10" s="150">
        <f t="shared" si="0"/>
        <v>9</v>
      </c>
      <c r="C10" s="150">
        <v>7</v>
      </c>
      <c r="D10" s="151">
        <v>2019</v>
      </c>
      <c r="E10" s="147">
        <f>submetering!E10+submetering!F10+submetering!G10</f>
        <v>20034</v>
      </c>
      <c r="F10" s="144">
        <v>1.05</v>
      </c>
      <c r="G10" s="144">
        <f>'Consommation mensuel énergie'!V18</f>
        <v>319.99209999999999</v>
      </c>
      <c r="H10" s="144">
        <v>7.8</v>
      </c>
      <c r="I10" s="144">
        <f>'Consommation mensuel énergie'!F18</f>
        <v>177.90000000000146</v>
      </c>
      <c r="J10" s="144">
        <v>11.4</v>
      </c>
      <c r="K10" s="147">
        <f>'Consommation mensuel énergie'!D18</f>
        <v>151</v>
      </c>
      <c r="L10" s="147">
        <f>'Consommation mensuel énergie'!E18</f>
        <v>249</v>
      </c>
      <c r="M10" s="143" t="e">
        <f>E10*F10+G10*H10+#REF!*#REF!+I10*J10</f>
        <v>#REF!</v>
      </c>
    </row>
    <row r="11" spans="1:13" x14ac:dyDescent="0.2">
      <c r="A11" s="146" t="s">
        <v>13</v>
      </c>
      <c r="B11" s="150">
        <f t="shared" si="0"/>
        <v>10</v>
      </c>
      <c r="C11" s="150">
        <v>7</v>
      </c>
      <c r="D11" s="151">
        <v>2019</v>
      </c>
      <c r="E11" s="147">
        <f>submetering!E11+submetering!F11+submetering!G11</f>
        <v>18766</v>
      </c>
      <c r="F11" s="144">
        <v>1.05</v>
      </c>
      <c r="G11" s="144">
        <f>'Consommation mensuel énergie'!V19</f>
        <v>447.98894000000001</v>
      </c>
      <c r="H11" s="144">
        <v>7.8</v>
      </c>
      <c r="I11" s="144">
        <f>'Consommation mensuel énergie'!F19</f>
        <v>192</v>
      </c>
      <c r="J11" s="144">
        <v>11.4</v>
      </c>
      <c r="K11" s="147">
        <f>'Consommation mensuel énergie'!D19</f>
        <v>131</v>
      </c>
      <c r="L11" s="147">
        <f>'Consommation mensuel énergie'!E19</f>
        <v>240</v>
      </c>
      <c r="M11" s="143" t="e">
        <f>E11*F11+G11*H11+#REF!*#REF!+I11*J11</f>
        <v>#REF!</v>
      </c>
    </row>
    <row r="12" spans="1:13" x14ac:dyDescent="0.2">
      <c r="A12" s="146" t="s">
        <v>13</v>
      </c>
      <c r="B12" s="150">
        <f t="shared" si="0"/>
        <v>11</v>
      </c>
      <c r="C12" s="150">
        <v>7</v>
      </c>
      <c r="D12" s="151">
        <v>2019</v>
      </c>
      <c r="E12" s="147">
        <f>submetering!E12+submetering!F12+submetering!G12</f>
        <v>18013</v>
      </c>
      <c r="F12" s="144">
        <v>1.05</v>
      </c>
      <c r="G12" s="144">
        <f>'Consommation mensuel énergie'!V20</f>
        <v>223.99447000000001</v>
      </c>
      <c r="H12" s="144">
        <v>7.8</v>
      </c>
      <c r="I12" s="144">
        <f>'Consommation mensuel énergie'!F20</f>
        <v>187</v>
      </c>
      <c r="J12" s="144">
        <v>11.4</v>
      </c>
      <c r="K12" s="147">
        <f>'Consommation mensuel énergie'!D20</f>
        <v>141</v>
      </c>
      <c r="L12" s="147">
        <f>'Consommation mensuel énergie'!E20</f>
        <v>239</v>
      </c>
      <c r="M12" s="143" t="e">
        <f>E12*F12+G12*H12+#REF!*#REF!+I12*J12</f>
        <v>#REF!</v>
      </c>
    </row>
    <row r="13" spans="1:13" x14ac:dyDescent="0.2">
      <c r="A13" s="146" t="s">
        <v>13</v>
      </c>
      <c r="B13" s="150">
        <f t="shared" si="0"/>
        <v>12</v>
      </c>
      <c r="C13" s="150">
        <v>7</v>
      </c>
      <c r="D13" s="151">
        <v>2019</v>
      </c>
      <c r="E13" s="147">
        <f>submetering!E13+submetering!F13+submetering!G13</f>
        <v>19076</v>
      </c>
      <c r="F13" s="144">
        <v>1.05</v>
      </c>
      <c r="G13" s="144">
        <f>'Consommation mensuel énergie'!V21</f>
        <v>639.98419999999999</v>
      </c>
      <c r="H13" s="144">
        <v>7.8</v>
      </c>
      <c r="I13" s="144">
        <f>'Consommation mensuel énergie'!F21</f>
        <v>182</v>
      </c>
      <c r="J13" s="144">
        <v>11.4</v>
      </c>
      <c r="K13" s="147">
        <f>'Consommation mensuel énergie'!D21</f>
        <v>157</v>
      </c>
      <c r="L13" s="147">
        <f>'Consommation mensuel énergie'!E21</f>
        <v>271</v>
      </c>
      <c r="M13" s="143" t="e">
        <f>E13*F13+G13*H13+#REF!*#REF!+I13*J13</f>
        <v>#REF!</v>
      </c>
    </row>
    <row r="14" spans="1:13" x14ac:dyDescent="0.2">
      <c r="A14" s="146" t="s">
        <v>13</v>
      </c>
      <c r="B14" s="150">
        <f t="shared" si="0"/>
        <v>13</v>
      </c>
      <c r="C14" s="150">
        <v>7</v>
      </c>
      <c r="D14" s="151">
        <v>2019</v>
      </c>
      <c r="E14" s="147">
        <f>submetering!E14+submetering!F14+submetering!G14</f>
        <v>19622</v>
      </c>
      <c r="F14" s="144">
        <v>1.05</v>
      </c>
      <c r="G14" s="144">
        <f>'Consommation mensuel énergie'!V22</f>
        <v>447.98894000000001</v>
      </c>
      <c r="H14" s="144">
        <v>7.8</v>
      </c>
      <c r="I14" s="144">
        <f>'Consommation mensuel énergie'!F22</f>
        <v>187</v>
      </c>
      <c r="J14" s="144">
        <v>11.4</v>
      </c>
      <c r="K14" s="147">
        <f>'Consommation mensuel énergie'!D22</f>
        <v>129</v>
      </c>
      <c r="L14" s="147">
        <f>'Consommation mensuel énergie'!E22</f>
        <v>246</v>
      </c>
      <c r="M14" s="143" t="e">
        <f>E14*F14+G14*H14+#REF!*#REF!+I14*J14</f>
        <v>#REF!</v>
      </c>
    </row>
    <row r="15" spans="1:13" x14ac:dyDescent="0.2">
      <c r="A15" s="146" t="s">
        <v>13</v>
      </c>
      <c r="B15" s="150">
        <f t="shared" si="0"/>
        <v>14</v>
      </c>
      <c r="C15" s="150">
        <v>7</v>
      </c>
      <c r="D15" s="151">
        <v>2019</v>
      </c>
      <c r="E15" s="147">
        <f>submetering!E15+submetering!F15+submetering!G15</f>
        <v>20063</v>
      </c>
      <c r="F15" s="144">
        <v>1.05</v>
      </c>
      <c r="G15" s="144">
        <f>'Consommation mensuel énergie'!V23</f>
        <v>287.99288999999999</v>
      </c>
      <c r="H15" s="144">
        <v>7.8</v>
      </c>
      <c r="I15" s="144">
        <f>'Consommation mensuel énergie'!F23</f>
        <v>164.30000000000291</v>
      </c>
      <c r="J15" s="144">
        <v>11.4</v>
      </c>
      <c r="K15" s="147">
        <f>'Consommation mensuel énergie'!D23</f>
        <v>125</v>
      </c>
      <c r="L15" s="147">
        <f>'Consommation mensuel énergie'!E23</f>
        <v>216</v>
      </c>
      <c r="M15" s="143" t="e">
        <f>E15*F15+G15*H15+#REF!*#REF!+I15*J15</f>
        <v>#REF!</v>
      </c>
    </row>
    <row r="16" spans="1:13" x14ac:dyDescent="0.2">
      <c r="A16" s="146" t="s">
        <v>13</v>
      </c>
      <c r="B16" s="150">
        <f t="shared" si="0"/>
        <v>15</v>
      </c>
      <c r="C16" s="150">
        <v>7</v>
      </c>
      <c r="D16" s="151">
        <v>2019</v>
      </c>
      <c r="E16" s="147">
        <f>submetering!E16+submetering!F16+submetering!G16</f>
        <v>17634</v>
      </c>
      <c r="F16" s="144">
        <v>1.05</v>
      </c>
      <c r="G16" s="144">
        <f>'Consommation mensuel énergie'!V24</f>
        <v>415.98973000000001</v>
      </c>
      <c r="H16" s="144">
        <v>7.8</v>
      </c>
      <c r="I16" s="144">
        <f>'Consommation mensuel énergie'!F24</f>
        <v>133.79999999999563</v>
      </c>
      <c r="J16" s="144">
        <v>11.4</v>
      </c>
      <c r="K16" s="147">
        <f>'Consommation mensuel énergie'!D24</f>
        <v>185</v>
      </c>
      <c r="L16" s="147">
        <f>'Consommation mensuel énergie'!E24</f>
        <v>275</v>
      </c>
      <c r="M16" s="143" t="e">
        <f>E16*F16+G16*H16+#REF!*#REF!+I16*J16</f>
        <v>#REF!</v>
      </c>
    </row>
    <row r="17" spans="1:13" x14ac:dyDescent="0.2">
      <c r="A17" s="146" t="s">
        <v>13</v>
      </c>
      <c r="B17" s="150">
        <f t="shared" si="0"/>
        <v>16</v>
      </c>
      <c r="C17" s="150">
        <v>7</v>
      </c>
      <c r="D17" s="151">
        <v>2019</v>
      </c>
      <c r="E17" s="147">
        <f>submetering!E17+submetering!F17+submetering!G17</f>
        <v>19320</v>
      </c>
      <c r="F17" s="144">
        <v>1.05</v>
      </c>
      <c r="G17" s="144">
        <f>'Consommation mensuel énergie'!V25</f>
        <v>351.99131</v>
      </c>
      <c r="H17" s="144">
        <v>7.8</v>
      </c>
      <c r="I17" s="144">
        <f>'Consommation mensuel énergie'!F25</f>
        <v>210.59999999999854</v>
      </c>
      <c r="J17" s="144">
        <v>11.4</v>
      </c>
      <c r="K17" s="147">
        <f>'Consommation mensuel énergie'!D25</f>
        <v>166</v>
      </c>
      <c r="L17" s="147">
        <f>'Consommation mensuel énergie'!E25</f>
        <v>258</v>
      </c>
      <c r="M17" s="143" t="e">
        <f>E17*F17+G17*H17+#REF!*#REF!+I17*J17</f>
        <v>#REF!</v>
      </c>
    </row>
    <row r="18" spans="1:13" x14ac:dyDescent="0.2">
      <c r="A18" s="146" t="s">
        <v>13</v>
      </c>
      <c r="B18" s="150">
        <f t="shared" si="0"/>
        <v>17</v>
      </c>
      <c r="C18" s="150">
        <v>7</v>
      </c>
      <c r="D18" s="151">
        <v>2019</v>
      </c>
      <c r="E18" s="147">
        <f>submetering!E18+submetering!F18+submetering!G18</f>
        <v>17669</v>
      </c>
      <c r="F18" s="144">
        <v>1.05</v>
      </c>
      <c r="G18" s="144">
        <f>'Consommation mensuel énergie'!V26</f>
        <v>639.98419999999999</v>
      </c>
      <c r="H18" s="144">
        <v>7.8</v>
      </c>
      <c r="I18" s="144">
        <f>'Consommation mensuel énergie'!F26</f>
        <v>234.10000000000582</v>
      </c>
      <c r="J18" s="144">
        <v>11.4</v>
      </c>
      <c r="K18" s="147">
        <f>'Consommation mensuel énergie'!D26</f>
        <v>144</v>
      </c>
      <c r="L18" s="147">
        <f>'Consommation mensuel énergie'!E26</f>
        <v>228</v>
      </c>
      <c r="M18" s="143" t="e">
        <f>E18*F18+G18*H18+#REF!*#REF!+I18*J18</f>
        <v>#REF!</v>
      </c>
    </row>
    <row r="19" spans="1:13" x14ac:dyDescent="0.2">
      <c r="A19" s="146" t="s">
        <v>13</v>
      </c>
      <c r="B19" s="150">
        <f t="shared" si="0"/>
        <v>18</v>
      </c>
      <c r="C19" s="150">
        <v>7</v>
      </c>
      <c r="D19" s="151">
        <v>2019</v>
      </c>
      <c r="E19" s="147">
        <f>submetering!E19+submetering!F19+submetering!G19</f>
        <v>16910</v>
      </c>
      <c r="F19" s="144">
        <v>1.05</v>
      </c>
      <c r="G19" s="144">
        <f>'Consommation mensuel énergie'!V27</f>
        <v>255.99368000000001</v>
      </c>
      <c r="H19" s="144">
        <v>7.8</v>
      </c>
      <c r="I19" s="144">
        <f>'Consommation mensuel énergie'!F27</f>
        <v>186.39999999999418</v>
      </c>
      <c r="J19" s="144">
        <v>11.4</v>
      </c>
      <c r="K19" s="147">
        <f>'Consommation mensuel énergie'!D27</f>
        <v>112</v>
      </c>
      <c r="L19" s="147">
        <f>'Consommation mensuel énergie'!E27</f>
        <v>198</v>
      </c>
      <c r="M19" s="143" t="e">
        <f>E19*F19+G19*H19+#REF!*#REF!+I19*J19</f>
        <v>#REF!</v>
      </c>
    </row>
    <row r="20" spans="1:13" x14ac:dyDescent="0.2">
      <c r="A20" s="146" t="s">
        <v>13</v>
      </c>
      <c r="B20" s="150">
        <f t="shared" si="0"/>
        <v>19</v>
      </c>
      <c r="C20" s="150">
        <v>7</v>
      </c>
      <c r="D20" s="151">
        <v>2019</v>
      </c>
      <c r="E20" s="147">
        <f>submetering!E20+submetering!F20+submetering!G20</f>
        <v>18038</v>
      </c>
      <c r="F20" s="144">
        <v>1.05</v>
      </c>
      <c r="G20" s="144">
        <f>'Consommation mensuel énergie'!V28</f>
        <v>511.98736000000002</v>
      </c>
      <c r="H20" s="144">
        <v>7.8</v>
      </c>
      <c r="I20" s="144">
        <f>'Consommation mensuel énergie'!F28</f>
        <v>171.80000000000291</v>
      </c>
      <c r="J20" s="144">
        <v>11.4</v>
      </c>
      <c r="K20" s="147">
        <f>'Consommation mensuel énergie'!D28</f>
        <v>121</v>
      </c>
      <c r="L20" s="147">
        <f>'Consommation mensuel énergie'!E28</f>
        <v>234</v>
      </c>
      <c r="M20" s="143" t="e">
        <f>E20*F20+G20*H20+#REF!*#REF!+I20*J20</f>
        <v>#REF!</v>
      </c>
    </row>
    <row r="21" spans="1:13" x14ac:dyDescent="0.2">
      <c r="A21" s="146" t="s">
        <v>13</v>
      </c>
      <c r="B21" s="150">
        <f t="shared" si="0"/>
        <v>20</v>
      </c>
      <c r="C21" s="150">
        <v>7</v>
      </c>
      <c r="D21" s="151">
        <v>2019</v>
      </c>
      <c r="E21" s="147">
        <f>submetering!E21+submetering!F21+submetering!G21</f>
        <v>18306</v>
      </c>
      <c r="F21" s="144">
        <v>1.05</v>
      </c>
      <c r="G21" s="144">
        <f>'Consommation mensuel énergie'!V29</f>
        <v>191.99526</v>
      </c>
      <c r="H21" s="144">
        <v>7.8</v>
      </c>
      <c r="I21" s="144">
        <f>'Consommation mensuel énergie'!F29</f>
        <v>178</v>
      </c>
      <c r="J21" s="144">
        <v>11.4</v>
      </c>
      <c r="K21" s="147">
        <f>'Consommation mensuel énergie'!D29</f>
        <v>117</v>
      </c>
      <c r="L21" s="147">
        <f>'Consommation mensuel énergie'!E29</f>
        <v>221</v>
      </c>
      <c r="M21" s="143" t="e">
        <f>E21*F21+G21*H21+#REF!*#REF!+I21*J21</f>
        <v>#REF!</v>
      </c>
    </row>
    <row r="22" spans="1:13" x14ac:dyDescent="0.2">
      <c r="A22" s="146" t="s">
        <v>13</v>
      </c>
      <c r="B22" s="150">
        <f t="shared" si="0"/>
        <v>21</v>
      </c>
      <c r="C22" s="150">
        <v>7</v>
      </c>
      <c r="D22" s="151">
        <v>2019</v>
      </c>
      <c r="E22" s="147">
        <f>submetering!E22+submetering!F22+submetering!G22</f>
        <v>17290</v>
      </c>
      <c r="F22" s="144">
        <v>1.05</v>
      </c>
      <c r="G22" s="144">
        <f>'Consommation mensuel énergie'!V30</f>
        <v>319.99209999999999</v>
      </c>
      <c r="H22" s="144">
        <v>7.8</v>
      </c>
      <c r="I22" s="144">
        <f>'Consommation mensuel énergie'!F30</f>
        <v>155.19999999999709</v>
      </c>
      <c r="J22" s="144">
        <v>11.4</v>
      </c>
      <c r="K22" s="147">
        <f>'Consommation mensuel énergie'!D30</f>
        <v>134</v>
      </c>
      <c r="L22" s="147">
        <f>'Consommation mensuel énergie'!E30</f>
        <v>229</v>
      </c>
      <c r="M22" s="143" t="e">
        <f>E22*F22+G22*H22+#REF!*#REF!+I22*J22</f>
        <v>#REF!</v>
      </c>
    </row>
    <row r="23" spans="1:13" x14ac:dyDescent="0.2">
      <c r="A23" s="146" t="s">
        <v>13</v>
      </c>
      <c r="B23" s="150">
        <f t="shared" si="0"/>
        <v>22</v>
      </c>
      <c r="C23" s="150">
        <v>7</v>
      </c>
      <c r="D23" s="151">
        <v>2019</v>
      </c>
      <c r="E23" s="147">
        <f>submetering!E23+submetering!F23+submetering!G23</f>
        <v>17350</v>
      </c>
      <c r="F23" s="144">
        <v>1.05</v>
      </c>
      <c r="G23" s="144">
        <f>'Consommation mensuel énergie'!V31</f>
        <v>255.99368000000001</v>
      </c>
      <c r="H23" s="144">
        <v>7.8</v>
      </c>
      <c r="I23" s="144">
        <f>'Consommation mensuel énergie'!F31</f>
        <v>146.5</v>
      </c>
      <c r="J23" s="144">
        <v>11.4</v>
      </c>
      <c r="K23" s="147">
        <f>'Consommation mensuel énergie'!D31</f>
        <v>166</v>
      </c>
      <c r="L23" s="147">
        <f>'Consommation mensuel énergie'!E31</f>
        <v>247</v>
      </c>
      <c r="M23" s="143" t="e">
        <f>E23*F23+G23*H23+#REF!*#REF!+I23*J23</f>
        <v>#REF!</v>
      </c>
    </row>
    <row r="24" spans="1:13" x14ac:dyDescent="0.2">
      <c r="A24" s="146" t="s">
        <v>13</v>
      </c>
      <c r="B24" s="150">
        <f t="shared" si="0"/>
        <v>23</v>
      </c>
      <c r="C24" s="150">
        <v>7</v>
      </c>
      <c r="D24" s="151">
        <v>2019</v>
      </c>
      <c r="E24" s="147">
        <f>submetering!E24+submetering!F24+submetering!G24</f>
        <v>20495</v>
      </c>
      <c r="F24" s="144">
        <v>1.05</v>
      </c>
      <c r="G24" s="144">
        <f>'Consommation mensuel énergie'!V32</f>
        <v>127.99684000000001</v>
      </c>
      <c r="H24" s="144">
        <v>7.8</v>
      </c>
      <c r="I24" s="144">
        <f>'Consommation mensuel énergie'!F32</f>
        <v>175.70000000000437</v>
      </c>
      <c r="J24" s="144">
        <v>11.4</v>
      </c>
      <c r="K24" s="147">
        <f>'Consommation mensuel énergie'!D32</f>
        <v>175</v>
      </c>
      <c r="L24" s="147">
        <f>'Consommation mensuel énergie'!E32</f>
        <v>263</v>
      </c>
      <c r="M24" s="143" t="e">
        <f>E24*F24+G24*H24+#REF!*#REF!+I24*J24</f>
        <v>#REF!</v>
      </c>
    </row>
    <row r="25" spans="1:13" x14ac:dyDescent="0.2">
      <c r="A25" s="146" t="s">
        <v>13</v>
      </c>
      <c r="B25" s="150">
        <f t="shared" si="0"/>
        <v>24</v>
      </c>
      <c r="C25" s="150">
        <v>7</v>
      </c>
      <c r="D25" s="151">
        <v>2019</v>
      </c>
      <c r="E25" s="147">
        <f>submetering!E25+submetering!F25+submetering!G25</f>
        <v>19377</v>
      </c>
      <c r="F25" s="144">
        <v>1.05</v>
      </c>
      <c r="G25" s="144">
        <f>'Consommation mensuel énergie'!V33</f>
        <v>351.99131</v>
      </c>
      <c r="H25" s="144">
        <v>7.8</v>
      </c>
      <c r="I25" s="144">
        <f>'Consommation mensuel énergie'!F33</f>
        <v>188.90000000000146</v>
      </c>
      <c r="J25" s="144">
        <v>11.4</v>
      </c>
      <c r="K25" s="147">
        <f>'Consommation mensuel énergie'!D33</f>
        <v>167</v>
      </c>
      <c r="L25" s="147">
        <f>'Consommation mensuel énergie'!E33</f>
        <v>250</v>
      </c>
      <c r="M25" s="143" t="e">
        <f>E25*F25+G25*H25+#REF!*#REF!+I25*J25</f>
        <v>#REF!</v>
      </c>
    </row>
    <row r="26" spans="1:13" x14ac:dyDescent="0.2">
      <c r="A26" s="146" t="s">
        <v>13</v>
      </c>
      <c r="B26" s="150">
        <f>B25+1</f>
        <v>25</v>
      </c>
      <c r="C26" s="150">
        <v>7</v>
      </c>
      <c r="D26" s="151">
        <v>2019</v>
      </c>
      <c r="E26" s="147">
        <f>submetering!E26+submetering!F26+submetering!G26</f>
        <v>18280</v>
      </c>
      <c r="F26" s="144">
        <v>1.05</v>
      </c>
      <c r="G26" s="144">
        <f>'Consommation mensuel énergie'!V34</f>
        <v>191.99526</v>
      </c>
      <c r="H26" s="144">
        <v>7.8</v>
      </c>
      <c r="I26" s="144">
        <f>'Consommation mensuel énergie'!F34</f>
        <v>183</v>
      </c>
      <c r="J26" s="144">
        <v>11.4</v>
      </c>
      <c r="K26" s="147">
        <f>'Consommation mensuel énergie'!D34</f>
        <v>167</v>
      </c>
      <c r="L26" s="147">
        <f>'Consommation mensuel énergie'!E34</f>
        <v>259</v>
      </c>
      <c r="M26" s="143" t="e">
        <f>E26*F26+G26*H26+#REF!*#REF!+I26*J26</f>
        <v>#REF!</v>
      </c>
    </row>
    <row r="27" spans="1:13" x14ac:dyDescent="0.2">
      <c r="A27" s="146" t="s">
        <v>13</v>
      </c>
      <c r="B27" s="150">
        <f t="shared" si="0"/>
        <v>26</v>
      </c>
      <c r="C27" s="150">
        <v>7</v>
      </c>
      <c r="D27" s="151">
        <v>2019</v>
      </c>
      <c r="E27" s="147">
        <f>submetering!E27+submetering!F27+submetering!G27</f>
        <v>18614</v>
      </c>
      <c r="F27" s="144">
        <v>1.05</v>
      </c>
      <c r="G27" s="144">
        <f>'Consommation mensuel énergie'!V35</f>
        <v>255.99368000000001</v>
      </c>
      <c r="H27" s="144">
        <v>7.8</v>
      </c>
      <c r="I27" s="144">
        <f>'Consommation mensuel énergie'!F35</f>
        <v>201.59999999999854</v>
      </c>
      <c r="J27" s="144">
        <v>11.4</v>
      </c>
      <c r="K27" s="147">
        <f>'Consommation mensuel énergie'!D35</f>
        <v>142</v>
      </c>
      <c r="L27" s="147">
        <f>'Consommation mensuel énergie'!E35</f>
        <v>234</v>
      </c>
      <c r="M27" s="143" t="e">
        <f>E27*F27+G27*H27+#REF!*#REF!+I27*J27</f>
        <v>#REF!</v>
      </c>
    </row>
    <row r="28" spans="1:13" x14ac:dyDescent="0.2">
      <c r="A28" s="146" t="s">
        <v>13</v>
      </c>
      <c r="B28" s="150">
        <f t="shared" si="0"/>
        <v>27</v>
      </c>
      <c r="C28" s="150">
        <v>7</v>
      </c>
      <c r="D28" s="151">
        <v>2019</v>
      </c>
      <c r="E28" s="147">
        <f>submetering!E28+submetering!F28+submetering!G28</f>
        <v>18426</v>
      </c>
      <c r="F28" s="144">
        <v>1.05</v>
      </c>
      <c r="G28" s="144">
        <f>'Consommation mensuel énergie'!V36</f>
        <v>447.98894000000001</v>
      </c>
      <c r="H28" s="144">
        <v>7.8</v>
      </c>
      <c r="I28" s="144">
        <f>'Consommation mensuel énergie'!F36</f>
        <v>200.19999999999709</v>
      </c>
      <c r="J28" s="144">
        <v>11.4</v>
      </c>
      <c r="K28" s="147">
        <f>'Consommation mensuel énergie'!D36</f>
        <v>137</v>
      </c>
      <c r="L28" s="147">
        <f>'Consommation mensuel énergie'!E36</f>
        <v>245</v>
      </c>
      <c r="M28" s="143" t="e">
        <f>E28*F28+G28*H28+#REF!*#REF!+I28*J28</f>
        <v>#REF!</v>
      </c>
    </row>
    <row r="29" spans="1:13" x14ac:dyDescent="0.2">
      <c r="A29" s="146" t="s">
        <v>13</v>
      </c>
      <c r="B29" s="150">
        <f t="shared" si="0"/>
        <v>28</v>
      </c>
      <c r="C29" s="150">
        <v>7</v>
      </c>
      <c r="D29" s="151">
        <v>2019</v>
      </c>
      <c r="E29" s="147">
        <f>submetering!E29+submetering!F29+submetering!G29</f>
        <v>17394</v>
      </c>
      <c r="F29" s="144">
        <v>1.05</v>
      </c>
      <c r="G29" s="144">
        <f>'Consommation mensuel énergie'!V37</f>
        <v>287.99288999999999</v>
      </c>
      <c r="H29" s="144">
        <v>7.8</v>
      </c>
      <c r="I29" s="144">
        <f>'Consommation mensuel énergie'!F37</f>
        <v>158.09999999999854</v>
      </c>
      <c r="J29" s="144">
        <v>11.4</v>
      </c>
      <c r="K29" s="147">
        <f>'Consommation mensuel énergie'!D37</f>
        <v>147</v>
      </c>
      <c r="L29" s="147">
        <f>'Consommation mensuel énergie'!E37</f>
        <v>262</v>
      </c>
      <c r="M29" s="143" t="e">
        <f>E29*F29+G29*H29+#REF!*#REF!+I29*J29</f>
        <v>#REF!</v>
      </c>
    </row>
    <row r="30" spans="1:13" x14ac:dyDescent="0.2">
      <c r="A30" s="146" t="s">
        <v>13</v>
      </c>
      <c r="B30" s="150">
        <f t="shared" si="0"/>
        <v>29</v>
      </c>
      <c r="C30" s="150">
        <v>7</v>
      </c>
      <c r="D30" s="151">
        <v>2019</v>
      </c>
      <c r="E30" s="147">
        <f>submetering!E30+submetering!F30+submetering!G30</f>
        <v>17099</v>
      </c>
      <c r="F30" s="144">
        <v>1.05</v>
      </c>
      <c r="G30" s="144">
        <f>'Consommation mensuel énergie'!V38</f>
        <v>415.98973000000001</v>
      </c>
      <c r="H30" s="144">
        <v>7.8</v>
      </c>
      <c r="I30" s="144">
        <f>'Consommation mensuel énergie'!F38</f>
        <v>140</v>
      </c>
      <c r="J30" s="144">
        <v>11.4</v>
      </c>
      <c r="K30" s="147">
        <f>'Consommation mensuel énergie'!D38</f>
        <v>144</v>
      </c>
      <c r="L30" s="147">
        <f>'Consommation mensuel énergie'!E38</f>
        <v>252</v>
      </c>
      <c r="M30" s="143" t="e">
        <f>E30*F30+G30*H30+#REF!*#REF!+I30*J30</f>
        <v>#REF!</v>
      </c>
    </row>
    <row r="31" spans="1:13" x14ac:dyDescent="0.2">
      <c r="A31" s="146" t="s">
        <v>13</v>
      </c>
      <c r="B31" s="150">
        <f t="shared" si="0"/>
        <v>30</v>
      </c>
      <c r="C31" s="150">
        <v>7</v>
      </c>
      <c r="D31" s="151">
        <v>2019</v>
      </c>
      <c r="E31" s="147">
        <f>submetering!E31+submetering!F31+submetering!G31</f>
        <v>18690</v>
      </c>
      <c r="F31" s="144">
        <v>1.05</v>
      </c>
      <c r="G31" s="144">
        <f>'Consommation mensuel énergie'!V39</f>
        <v>223.99447000000001</v>
      </c>
      <c r="H31" s="144">
        <v>7.8</v>
      </c>
      <c r="I31" s="144">
        <f>'Consommation mensuel énergie'!F39</f>
        <v>184.80000000000291</v>
      </c>
      <c r="J31" s="144">
        <v>11.4</v>
      </c>
      <c r="K31" s="147">
        <f>'Consommation mensuel énergie'!D39</f>
        <v>148</v>
      </c>
      <c r="L31" s="147">
        <f>'Consommation mensuel énergie'!E39</f>
        <v>247</v>
      </c>
      <c r="M31" s="143"/>
    </row>
    <row r="32" spans="1:13" x14ac:dyDescent="0.2">
      <c r="A32" s="146" t="s">
        <v>13</v>
      </c>
      <c r="B32" s="150">
        <f t="shared" si="0"/>
        <v>31</v>
      </c>
      <c r="C32" s="150">
        <v>7</v>
      </c>
      <c r="D32" s="151">
        <v>2019</v>
      </c>
      <c r="E32" s="147">
        <f>submetering!E32+submetering!F32+submetering!G32</f>
        <v>18622</v>
      </c>
      <c r="F32" s="144">
        <v>1.05</v>
      </c>
      <c r="G32" s="144">
        <f>'Consommation mensuel énergie'!V40</f>
        <v>287.99288999999999</v>
      </c>
      <c r="H32" s="144">
        <v>7.8</v>
      </c>
      <c r="I32" s="144">
        <f>'Consommation mensuel énergie'!F40</f>
        <v>161</v>
      </c>
      <c r="J32" s="144">
        <v>11.4</v>
      </c>
      <c r="K32" s="147">
        <f>'Consommation mensuel énergie'!D40</f>
        <v>146</v>
      </c>
      <c r="L32" s="147">
        <f>'Consommation mensuel énergie'!E40</f>
        <v>261</v>
      </c>
      <c r="M32" s="143" t="e">
        <f>E32*F32+G32*H32+#REF!*#REF!+I32*J32</f>
        <v>#REF!</v>
      </c>
    </row>
    <row r="33" spans="6:10" x14ac:dyDescent="0.2">
      <c r="F33" s="144"/>
      <c r="G33" s="144"/>
      <c r="H33" s="144"/>
      <c r="I33" s="144"/>
      <c r="J33" s="144"/>
    </row>
    <row r="34" spans="6:10" x14ac:dyDescent="0.2">
      <c r="F34" s="144"/>
      <c r="G34" s="144"/>
      <c r="H34" s="144"/>
      <c r="I34" s="144"/>
      <c r="J34" s="144"/>
    </row>
    <row r="35" spans="6:10" x14ac:dyDescent="0.2">
      <c r="F35" s="144"/>
      <c r="G35" s="144"/>
      <c r="H35" s="144"/>
      <c r="I35" s="144"/>
      <c r="J35" s="144"/>
    </row>
    <row r="36" spans="6:10" x14ac:dyDescent="0.2">
      <c r="F36" s="144"/>
      <c r="G36" s="144"/>
      <c r="H36" s="144"/>
      <c r="I36" s="144"/>
      <c r="J36" s="144"/>
    </row>
    <row r="37" spans="6:10" x14ac:dyDescent="0.2">
      <c r="F37" s="144"/>
      <c r="G37" s="144"/>
      <c r="H37" s="144"/>
      <c r="I37" s="144"/>
      <c r="J37" s="144"/>
    </row>
    <row r="38" spans="6:10" x14ac:dyDescent="0.2">
      <c r="F38" s="144"/>
      <c r="G38" s="144"/>
      <c r="H38" s="144"/>
      <c r="I38" s="144"/>
      <c r="J38" s="144"/>
    </row>
    <row r="39" spans="6:10" x14ac:dyDescent="0.2">
      <c r="F39" s="144"/>
      <c r="G39" s="144"/>
      <c r="H39" s="144"/>
      <c r="I39" s="144"/>
      <c r="J39" s="14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I2" sqref="I2:I32"/>
    </sheetView>
  </sheetViews>
  <sheetFormatPr baseColWidth="10" defaultColWidth="11.5703125" defaultRowHeight="12.75" x14ac:dyDescent="0.2"/>
  <cols>
    <col min="1" max="1" width="12.42578125" style="50" customWidth="1"/>
    <col min="2" max="3" width="11.5703125" style="150"/>
    <col min="4" max="4" width="13.42578125" style="151" customWidth="1"/>
    <col min="5" max="6" width="12.5703125" style="50" customWidth="1"/>
    <col min="7" max="7" width="11.5703125" style="50"/>
    <col min="10" max="10" width="0" hidden="1" customWidth="1"/>
  </cols>
  <sheetData>
    <row r="1" spans="1:10" s="108" customFormat="1" ht="30.75" thickBot="1" x14ac:dyDescent="0.3">
      <c r="A1" s="145" t="s">
        <v>0</v>
      </c>
      <c r="B1" s="148" t="s">
        <v>1</v>
      </c>
      <c r="C1" s="148" t="s">
        <v>2</v>
      </c>
      <c r="D1" s="149" t="s">
        <v>3</v>
      </c>
      <c r="E1" s="152" t="s">
        <v>14</v>
      </c>
      <c r="F1" s="152" t="s">
        <v>15</v>
      </c>
      <c r="G1" s="152" t="s">
        <v>16</v>
      </c>
      <c r="H1" s="141" t="s">
        <v>10</v>
      </c>
      <c r="I1" s="141" t="s">
        <v>11</v>
      </c>
      <c r="J1" s="142" t="s">
        <v>12</v>
      </c>
    </row>
    <row r="2" spans="1:10" x14ac:dyDescent="0.2">
      <c r="A2" s="146" t="s">
        <v>13</v>
      </c>
      <c r="B2" s="150">
        <v>1</v>
      </c>
      <c r="C2" s="150">
        <v>7</v>
      </c>
      <c r="D2" s="151">
        <v>2019</v>
      </c>
      <c r="E2" s="147">
        <f>'Consommation mensuel énergie'!L10</f>
        <v>4753</v>
      </c>
      <c r="F2" s="147">
        <f>'Consommation mensuel énergie'!M10</f>
        <v>9058</v>
      </c>
      <c r="G2" s="147">
        <f>'Consommation mensuel énergie'!N10</f>
        <v>3384</v>
      </c>
      <c r="H2" s="147">
        <f>'Consommation mensuel énergie'!D10</f>
        <v>132</v>
      </c>
      <c r="I2" s="147">
        <f>'Consommation mensuel énergie'!E10</f>
        <v>193</v>
      </c>
      <c r="J2" s="143" t="e">
        <f>E2*F2+G2*#REF!+#REF!*#REF!+#REF!*#REF!</f>
        <v>#REF!</v>
      </c>
    </row>
    <row r="3" spans="1:10" x14ac:dyDescent="0.2">
      <c r="A3" s="146" t="s">
        <v>13</v>
      </c>
      <c r="B3" s="150">
        <f>B2+1</f>
        <v>2</v>
      </c>
      <c r="C3" s="150">
        <v>7</v>
      </c>
      <c r="D3" s="151">
        <v>2019</v>
      </c>
      <c r="E3" s="147">
        <f>'Consommation mensuel énergie'!L11</f>
        <v>4280</v>
      </c>
      <c r="F3" s="147">
        <f>'Consommation mensuel énergie'!M11</f>
        <v>8622</v>
      </c>
      <c r="G3" s="147">
        <f>'Consommation mensuel énergie'!N11</f>
        <v>3195</v>
      </c>
      <c r="H3" s="147">
        <f>'Consommation mensuel énergie'!D11</f>
        <v>180</v>
      </c>
      <c r="I3" s="147">
        <f>'Consommation mensuel énergie'!E11</f>
        <v>259</v>
      </c>
      <c r="J3" s="143" t="e">
        <f>E3*F3+G3*#REF!+#REF!*#REF!+#REF!*#REF!</f>
        <v>#REF!</v>
      </c>
    </row>
    <row r="4" spans="1:10" x14ac:dyDescent="0.2">
      <c r="A4" s="146" t="s">
        <v>13</v>
      </c>
      <c r="B4" s="150">
        <f t="shared" ref="B4:B30" si="0">B3+1</f>
        <v>3</v>
      </c>
      <c r="C4" s="150">
        <v>7</v>
      </c>
      <c r="D4" s="151">
        <v>2019</v>
      </c>
      <c r="E4" s="147">
        <f>'Consommation mensuel énergie'!L12</f>
        <v>4213</v>
      </c>
      <c r="F4" s="147">
        <f>'Consommation mensuel énergie'!M12</f>
        <v>8656</v>
      </c>
      <c r="G4" s="147">
        <f>'Consommation mensuel énergie'!N12</f>
        <v>3433</v>
      </c>
      <c r="H4" s="147">
        <f>'Consommation mensuel énergie'!D12</f>
        <v>180</v>
      </c>
      <c r="I4" s="147">
        <f>'Consommation mensuel énergie'!E12</f>
        <v>266</v>
      </c>
      <c r="J4" s="143" t="e">
        <f>E4*F4+G4*#REF!+#REF!*#REF!+#REF!*#REF!</f>
        <v>#REF!</v>
      </c>
    </row>
    <row r="5" spans="1:10" x14ac:dyDescent="0.2">
      <c r="A5" s="146" t="s">
        <v>13</v>
      </c>
      <c r="B5" s="150">
        <f t="shared" si="0"/>
        <v>4</v>
      </c>
      <c r="C5" s="150">
        <v>7</v>
      </c>
      <c r="D5" s="151">
        <v>2019</v>
      </c>
      <c r="E5" s="147">
        <f>'Consommation mensuel énergie'!L13</f>
        <v>3743</v>
      </c>
      <c r="F5" s="147">
        <f>'Consommation mensuel énergie'!M13</f>
        <v>9721</v>
      </c>
      <c r="G5" s="147">
        <f>'Consommation mensuel énergie'!N13</f>
        <v>3609</v>
      </c>
      <c r="H5" s="147">
        <f>'Consommation mensuel énergie'!D13</f>
        <v>174</v>
      </c>
      <c r="I5" s="147">
        <f>'Consommation mensuel énergie'!E13</f>
        <v>263</v>
      </c>
      <c r="J5" s="143" t="e">
        <f>E5*F5+G5*#REF!+#REF!*#REF!+#REF!*#REF!</f>
        <v>#REF!</v>
      </c>
    </row>
    <row r="6" spans="1:10" x14ac:dyDescent="0.2">
      <c r="A6" s="146" t="s">
        <v>13</v>
      </c>
      <c r="B6" s="150">
        <f t="shared" si="0"/>
        <v>5</v>
      </c>
      <c r="C6" s="150">
        <v>7</v>
      </c>
      <c r="D6" s="151">
        <v>2019</v>
      </c>
      <c r="E6" s="147">
        <f>'Consommation mensuel énergie'!L14</f>
        <v>5010</v>
      </c>
      <c r="F6" s="147">
        <f>'Consommation mensuel énergie'!M14</f>
        <v>9305</v>
      </c>
      <c r="G6" s="147">
        <f>'Consommation mensuel énergie'!N14</f>
        <v>3534</v>
      </c>
      <c r="H6" s="147">
        <f>'Consommation mensuel énergie'!D14</f>
        <v>176</v>
      </c>
      <c r="I6" s="147">
        <f>'Consommation mensuel énergie'!E14</f>
        <v>279</v>
      </c>
      <c r="J6" s="143" t="e">
        <f>E6*F6+G6*#REF!+#REF!*#REF!+#REF!*#REF!</f>
        <v>#REF!</v>
      </c>
    </row>
    <row r="7" spans="1:10" x14ac:dyDescent="0.2">
      <c r="A7" s="146" t="s">
        <v>13</v>
      </c>
      <c r="B7" s="150">
        <f t="shared" si="0"/>
        <v>6</v>
      </c>
      <c r="C7" s="150">
        <v>7</v>
      </c>
      <c r="D7" s="151">
        <v>2019</v>
      </c>
      <c r="E7" s="147">
        <f>'Consommation mensuel énergie'!L15</f>
        <v>4704</v>
      </c>
      <c r="F7" s="147">
        <f>'Consommation mensuel énergie'!M15</f>
        <v>10133</v>
      </c>
      <c r="G7" s="147">
        <f>'Consommation mensuel énergie'!N15</f>
        <v>3707</v>
      </c>
      <c r="H7" s="147">
        <f>'Consommation mensuel énergie'!D15</f>
        <v>166</v>
      </c>
      <c r="I7" s="147">
        <f>'Consommation mensuel énergie'!E15</f>
        <v>282</v>
      </c>
      <c r="J7" s="143" t="e">
        <f>E7*F7+G7*#REF!+#REF!*#REF!+#REF!*#REF!</f>
        <v>#REF!</v>
      </c>
    </row>
    <row r="8" spans="1:10" x14ac:dyDescent="0.2">
      <c r="A8" s="146" t="s">
        <v>13</v>
      </c>
      <c r="B8" s="150">
        <f t="shared" si="0"/>
        <v>7</v>
      </c>
      <c r="C8" s="150">
        <v>7</v>
      </c>
      <c r="D8" s="151">
        <v>2019</v>
      </c>
      <c r="E8" s="147">
        <f>'Consommation mensuel énergie'!L16</f>
        <v>3989</v>
      </c>
      <c r="F8" s="147">
        <f>'Consommation mensuel énergie'!M16</f>
        <v>10438</v>
      </c>
      <c r="G8" s="147">
        <f>'Consommation mensuel énergie'!N16</f>
        <v>3361</v>
      </c>
      <c r="H8" s="147">
        <f>'Consommation mensuel énergie'!D16</f>
        <v>139</v>
      </c>
      <c r="I8" s="147">
        <f>'Consommation mensuel énergie'!E16</f>
        <v>224</v>
      </c>
      <c r="J8" s="143" t="e">
        <f>E8*F8+G8*#REF!+#REF!*#REF!+#REF!*#REF!</f>
        <v>#REF!</v>
      </c>
    </row>
    <row r="9" spans="1:10" x14ac:dyDescent="0.2">
      <c r="A9" s="146" t="s">
        <v>13</v>
      </c>
      <c r="B9" s="150">
        <f t="shared" si="0"/>
        <v>8</v>
      </c>
      <c r="C9" s="150">
        <v>7</v>
      </c>
      <c r="D9" s="151">
        <v>2019</v>
      </c>
      <c r="E9" s="147">
        <f>'Consommation mensuel énergie'!L17</f>
        <v>4414</v>
      </c>
      <c r="F9" s="147">
        <f>'Consommation mensuel énergie'!M17</f>
        <v>10165</v>
      </c>
      <c r="G9" s="147">
        <f>'Consommation mensuel énergie'!N17</f>
        <v>3621</v>
      </c>
      <c r="H9" s="147">
        <f>'Consommation mensuel énergie'!D17</f>
        <v>150</v>
      </c>
      <c r="I9" s="147">
        <f>'Consommation mensuel énergie'!E17</f>
        <v>231</v>
      </c>
      <c r="J9" s="143" t="e">
        <f>E9*F9+G9*#REF!+#REF!*#REF!+#REF!*#REF!</f>
        <v>#REF!</v>
      </c>
    </row>
    <row r="10" spans="1:10" x14ac:dyDescent="0.2">
      <c r="A10" s="146" t="s">
        <v>13</v>
      </c>
      <c r="B10" s="150">
        <f t="shared" si="0"/>
        <v>9</v>
      </c>
      <c r="C10" s="150">
        <v>7</v>
      </c>
      <c r="D10" s="151">
        <v>2019</v>
      </c>
      <c r="E10" s="147">
        <f>'Consommation mensuel énergie'!L18</f>
        <v>5812</v>
      </c>
      <c r="F10" s="147">
        <f>'Consommation mensuel énergie'!M18</f>
        <v>10373</v>
      </c>
      <c r="G10" s="147">
        <f>'Consommation mensuel énergie'!N18</f>
        <v>3849</v>
      </c>
      <c r="H10" s="147">
        <f>'Consommation mensuel énergie'!D18</f>
        <v>151</v>
      </c>
      <c r="I10" s="147">
        <f>'Consommation mensuel énergie'!E18</f>
        <v>249</v>
      </c>
      <c r="J10" s="143" t="e">
        <f>E10*F10+G10*#REF!+#REF!*#REF!+#REF!*#REF!</f>
        <v>#REF!</v>
      </c>
    </row>
    <row r="11" spans="1:10" x14ac:dyDescent="0.2">
      <c r="A11" s="146" t="s">
        <v>13</v>
      </c>
      <c r="B11" s="150">
        <f t="shared" si="0"/>
        <v>10</v>
      </c>
      <c r="C11" s="150">
        <v>7</v>
      </c>
      <c r="D11" s="151">
        <v>2019</v>
      </c>
      <c r="E11" s="147">
        <f>'Consommation mensuel énergie'!L19</f>
        <v>4903</v>
      </c>
      <c r="F11" s="147">
        <f>'Consommation mensuel énergie'!M19</f>
        <v>10097</v>
      </c>
      <c r="G11" s="147">
        <f>'Consommation mensuel énergie'!N19</f>
        <v>3766</v>
      </c>
      <c r="H11" s="147">
        <f>'Consommation mensuel énergie'!D19</f>
        <v>131</v>
      </c>
      <c r="I11" s="147">
        <f>'Consommation mensuel énergie'!E19</f>
        <v>240</v>
      </c>
      <c r="J11" s="143" t="e">
        <f>E11*F11+G11*#REF!+#REF!*#REF!+#REF!*#REF!</f>
        <v>#REF!</v>
      </c>
    </row>
    <row r="12" spans="1:10" x14ac:dyDescent="0.2">
      <c r="A12" s="146" t="s">
        <v>13</v>
      </c>
      <c r="B12" s="150">
        <f t="shared" si="0"/>
        <v>11</v>
      </c>
      <c r="C12" s="150">
        <v>7</v>
      </c>
      <c r="D12" s="151">
        <v>2019</v>
      </c>
      <c r="E12" s="147">
        <f>'Consommation mensuel énergie'!L20</f>
        <v>4784</v>
      </c>
      <c r="F12" s="147">
        <f>'Consommation mensuel énergie'!M20</f>
        <v>9346</v>
      </c>
      <c r="G12" s="147">
        <f>'Consommation mensuel énergie'!N20</f>
        <v>3883</v>
      </c>
      <c r="H12" s="147">
        <f>'Consommation mensuel énergie'!D20</f>
        <v>141</v>
      </c>
      <c r="I12" s="147">
        <f>'Consommation mensuel énergie'!E20</f>
        <v>239</v>
      </c>
      <c r="J12" s="143" t="e">
        <f>E12*F12+G12*#REF!+#REF!*#REF!+#REF!*#REF!</f>
        <v>#REF!</v>
      </c>
    </row>
    <row r="13" spans="1:10" x14ac:dyDescent="0.2">
      <c r="A13" s="146" t="s">
        <v>13</v>
      </c>
      <c r="B13" s="150">
        <f t="shared" si="0"/>
        <v>12</v>
      </c>
      <c r="C13" s="150">
        <v>7</v>
      </c>
      <c r="D13" s="151">
        <v>2019</v>
      </c>
      <c r="E13" s="147">
        <f>'Consommation mensuel énergie'!L21</f>
        <v>5221</v>
      </c>
      <c r="F13" s="147">
        <f>'Consommation mensuel énergie'!M21</f>
        <v>10100</v>
      </c>
      <c r="G13" s="147">
        <f>'Consommation mensuel énergie'!N21</f>
        <v>3755</v>
      </c>
      <c r="H13" s="147">
        <f>'Consommation mensuel énergie'!D21</f>
        <v>157</v>
      </c>
      <c r="I13" s="147">
        <f>'Consommation mensuel énergie'!E21</f>
        <v>271</v>
      </c>
      <c r="J13" s="143" t="e">
        <f>E13*F13+G13*#REF!+#REF!*#REF!+#REF!*#REF!</f>
        <v>#REF!</v>
      </c>
    </row>
    <row r="14" spans="1:10" x14ac:dyDescent="0.2">
      <c r="A14" s="146" t="s">
        <v>13</v>
      </c>
      <c r="B14" s="150">
        <f t="shared" si="0"/>
        <v>13</v>
      </c>
      <c r="C14" s="150">
        <v>7</v>
      </c>
      <c r="D14" s="151">
        <v>2019</v>
      </c>
      <c r="E14" s="147">
        <f>'Consommation mensuel énergie'!L22</f>
        <v>5512</v>
      </c>
      <c r="F14" s="147">
        <f>'Consommation mensuel énergie'!M22</f>
        <v>10235</v>
      </c>
      <c r="G14" s="147">
        <f>'Consommation mensuel énergie'!N22</f>
        <v>3875</v>
      </c>
      <c r="H14" s="147">
        <f>'Consommation mensuel énergie'!D22</f>
        <v>129</v>
      </c>
      <c r="I14" s="147">
        <f>'Consommation mensuel énergie'!E22</f>
        <v>246</v>
      </c>
      <c r="J14" s="143" t="e">
        <f>E14*F14+G14*#REF!+#REF!*#REF!+#REF!*#REF!</f>
        <v>#REF!</v>
      </c>
    </row>
    <row r="15" spans="1:10" x14ac:dyDescent="0.2">
      <c r="A15" s="146" t="s">
        <v>13</v>
      </c>
      <c r="B15" s="150">
        <f t="shared" si="0"/>
        <v>14</v>
      </c>
      <c r="C15" s="150">
        <v>7</v>
      </c>
      <c r="D15" s="151">
        <v>2019</v>
      </c>
      <c r="E15" s="147">
        <f>'Consommation mensuel énergie'!L23</f>
        <v>4558</v>
      </c>
      <c r="F15" s="147">
        <f>'Consommation mensuel énergie'!M23</f>
        <v>10825</v>
      </c>
      <c r="G15" s="147">
        <f>'Consommation mensuel énergie'!N23</f>
        <v>4680</v>
      </c>
      <c r="H15" s="147">
        <f>'Consommation mensuel énergie'!D23</f>
        <v>125</v>
      </c>
      <c r="I15" s="147">
        <f>'Consommation mensuel énergie'!E23</f>
        <v>216</v>
      </c>
      <c r="J15" s="143" t="e">
        <f>E15*F15+G15*#REF!+#REF!*#REF!+#REF!*#REF!</f>
        <v>#REF!</v>
      </c>
    </row>
    <row r="16" spans="1:10" x14ac:dyDescent="0.2">
      <c r="A16" s="146" t="s">
        <v>13</v>
      </c>
      <c r="B16" s="150">
        <f t="shared" si="0"/>
        <v>15</v>
      </c>
      <c r="C16" s="150">
        <v>7</v>
      </c>
      <c r="D16" s="151">
        <v>2019</v>
      </c>
      <c r="E16" s="147">
        <f>'Consommation mensuel énergie'!L24</f>
        <v>5063</v>
      </c>
      <c r="F16" s="147">
        <f>'Consommation mensuel énergie'!M24</f>
        <v>8932</v>
      </c>
      <c r="G16" s="147">
        <f>'Consommation mensuel énergie'!N24</f>
        <v>3639</v>
      </c>
      <c r="H16" s="147">
        <f>'Consommation mensuel énergie'!D24</f>
        <v>185</v>
      </c>
      <c r="I16" s="147">
        <f>'Consommation mensuel énergie'!E24</f>
        <v>275</v>
      </c>
      <c r="J16" s="143" t="e">
        <f>E16*F16+G16*#REF!+#REF!*#REF!+#REF!*#REF!</f>
        <v>#REF!</v>
      </c>
    </row>
    <row r="17" spans="1:10" x14ac:dyDescent="0.2">
      <c r="A17" s="146" t="s">
        <v>13</v>
      </c>
      <c r="B17" s="150">
        <f t="shared" si="0"/>
        <v>16</v>
      </c>
      <c r="C17" s="150">
        <v>7</v>
      </c>
      <c r="D17" s="151">
        <v>2019</v>
      </c>
      <c r="E17" s="147">
        <f>'Consommation mensuel énergie'!L25</f>
        <v>5311</v>
      </c>
      <c r="F17" s="147">
        <f>'Consommation mensuel énergie'!M25</f>
        <v>10182</v>
      </c>
      <c r="G17" s="147">
        <f>'Consommation mensuel énergie'!N25</f>
        <v>3827</v>
      </c>
      <c r="H17" s="147">
        <f>'Consommation mensuel énergie'!D25</f>
        <v>166</v>
      </c>
      <c r="I17" s="147">
        <f>'Consommation mensuel énergie'!E25</f>
        <v>258</v>
      </c>
      <c r="J17" s="143" t="e">
        <f>E17*F17+G17*#REF!+#REF!*#REF!+#REF!*#REF!</f>
        <v>#REF!</v>
      </c>
    </row>
    <row r="18" spans="1:10" x14ac:dyDescent="0.2">
      <c r="A18" s="146" t="s">
        <v>13</v>
      </c>
      <c r="B18" s="150">
        <f t="shared" si="0"/>
        <v>17</v>
      </c>
      <c r="C18" s="150">
        <v>7</v>
      </c>
      <c r="D18" s="151">
        <v>2019</v>
      </c>
      <c r="E18" s="147">
        <f>'Consommation mensuel énergie'!L26</f>
        <v>4769</v>
      </c>
      <c r="F18" s="147">
        <f>'Consommation mensuel énergie'!M26</f>
        <v>9217</v>
      </c>
      <c r="G18" s="147">
        <f>'Consommation mensuel énergie'!N26</f>
        <v>3683</v>
      </c>
      <c r="H18" s="147">
        <f>'Consommation mensuel énergie'!D26</f>
        <v>144</v>
      </c>
      <c r="I18" s="147">
        <f>'Consommation mensuel énergie'!E26</f>
        <v>228</v>
      </c>
      <c r="J18" s="143" t="e">
        <f>E18*F18+G18*#REF!+#REF!*#REF!+#REF!*#REF!</f>
        <v>#REF!</v>
      </c>
    </row>
    <row r="19" spans="1:10" x14ac:dyDescent="0.2">
      <c r="A19" s="146" t="s">
        <v>13</v>
      </c>
      <c r="B19" s="150">
        <f t="shared" si="0"/>
        <v>18</v>
      </c>
      <c r="C19" s="150">
        <v>7</v>
      </c>
      <c r="D19" s="151">
        <v>2019</v>
      </c>
      <c r="E19" s="147">
        <f>'Consommation mensuel énergie'!L27</f>
        <v>4564</v>
      </c>
      <c r="F19" s="147">
        <f>'Consommation mensuel énergie'!M27</f>
        <v>8791</v>
      </c>
      <c r="G19" s="147">
        <f>'Consommation mensuel énergie'!N27</f>
        <v>3555</v>
      </c>
      <c r="H19" s="147">
        <f>'Consommation mensuel énergie'!D27</f>
        <v>112</v>
      </c>
      <c r="I19" s="147">
        <f>'Consommation mensuel énergie'!E27</f>
        <v>198</v>
      </c>
      <c r="J19" s="143" t="e">
        <f>E19*F19+G19*#REF!+#REF!*#REF!+#REF!*#REF!</f>
        <v>#REF!</v>
      </c>
    </row>
    <row r="20" spans="1:10" x14ac:dyDescent="0.2">
      <c r="A20" s="146" t="s">
        <v>13</v>
      </c>
      <c r="B20" s="150">
        <f t="shared" si="0"/>
        <v>19</v>
      </c>
      <c r="C20" s="150">
        <v>7</v>
      </c>
      <c r="D20" s="151">
        <v>2019</v>
      </c>
      <c r="E20" s="147">
        <f>'Consommation mensuel énergie'!L28</f>
        <v>5234</v>
      </c>
      <c r="F20" s="147">
        <f>'Consommation mensuel énergie'!M28</f>
        <v>9167</v>
      </c>
      <c r="G20" s="147">
        <f>'Consommation mensuel énergie'!N28</f>
        <v>3637</v>
      </c>
      <c r="H20" s="147">
        <f>'Consommation mensuel énergie'!D28</f>
        <v>121</v>
      </c>
      <c r="I20" s="147">
        <f>'Consommation mensuel énergie'!E28</f>
        <v>234</v>
      </c>
      <c r="J20" s="143" t="e">
        <f>E20*F20+G20*#REF!+#REF!*#REF!+#REF!*#REF!</f>
        <v>#REF!</v>
      </c>
    </row>
    <row r="21" spans="1:10" x14ac:dyDescent="0.2">
      <c r="A21" s="146" t="s">
        <v>13</v>
      </c>
      <c r="B21" s="150">
        <f t="shared" si="0"/>
        <v>20</v>
      </c>
      <c r="C21" s="150">
        <v>7</v>
      </c>
      <c r="D21" s="151">
        <v>2019</v>
      </c>
      <c r="E21" s="147">
        <f>'Consommation mensuel énergie'!L29</f>
        <v>4917</v>
      </c>
      <c r="F21" s="147">
        <f>'Consommation mensuel énergie'!M29</f>
        <v>9604</v>
      </c>
      <c r="G21" s="147">
        <f>'Consommation mensuel énergie'!N29</f>
        <v>3785</v>
      </c>
      <c r="H21" s="147">
        <f>'Consommation mensuel énergie'!D29</f>
        <v>117</v>
      </c>
      <c r="I21" s="147">
        <f>'Consommation mensuel énergie'!E29</f>
        <v>221</v>
      </c>
      <c r="J21" s="143" t="e">
        <f>E21*F21+G21*#REF!+#REF!*#REF!+#REF!*#REF!</f>
        <v>#REF!</v>
      </c>
    </row>
    <row r="22" spans="1:10" x14ac:dyDescent="0.2">
      <c r="A22" s="146" t="s">
        <v>13</v>
      </c>
      <c r="B22" s="150">
        <f t="shared" si="0"/>
        <v>21</v>
      </c>
      <c r="C22" s="150">
        <v>7</v>
      </c>
      <c r="D22" s="151">
        <v>2019</v>
      </c>
      <c r="E22" s="147">
        <f>'Consommation mensuel énergie'!L30</f>
        <v>4586</v>
      </c>
      <c r="F22" s="147">
        <f>'Consommation mensuel énergie'!M30</f>
        <v>9003</v>
      </c>
      <c r="G22" s="147">
        <f>'Consommation mensuel énergie'!N30</f>
        <v>3701</v>
      </c>
      <c r="H22" s="147">
        <f>'Consommation mensuel énergie'!D30</f>
        <v>134</v>
      </c>
      <c r="I22" s="147">
        <f>'Consommation mensuel énergie'!E30</f>
        <v>229</v>
      </c>
      <c r="J22" s="143" t="e">
        <f>E22*F22+G22*#REF!+#REF!*#REF!+#REF!*#REF!</f>
        <v>#REF!</v>
      </c>
    </row>
    <row r="23" spans="1:10" x14ac:dyDescent="0.2">
      <c r="A23" s="146" t="s">
        <v>13</v>
      </c>
      <c r="B23" s="150">
        <f t="shared" si="0"/>
        <v>22</v>
      </c>
      <c r="C23" s="150">
        <v>7</v>
      </c>
      <c r="D23" s="151">
        <v>2019</v>
      </c>
      <c r="E23" s="147">
        <f>'Consommation mensuel énergie'!L31</f>
        <v>4835</v>
      </c>
      <c r="F23" s="147">
        <f>'Consommation mensuel énergie'!M31</f>
        <v>9540</v>
      </c>
      <c r="G23" s="147">
        <f>'Consommation mensuel énergie'!N31</f>
        <v>2975</v>
      </c>
      <c r="H23" s="147">
        <f>'Consommation mensuel énergie'!D31</f>
        <v>166</v>
      </c>
      <c r="I23" s="147">
        <f>'Consommation mensuel énergie'!E31</f>
        <v>247</v>
      </c>
      <c r="J23" s="143" t="e">
        <f>E23*F23+G23*#REF!+#REF!*#REF!+#REF!*#REF!</f>
        <v>#REF!</v>
      </c>
    </row>
    <row r="24" spans="1:10" x14ac:dyDescent="0.2">
      <c r="A24" s="146" t="s">
        <v>13</v>
      </c>
      <c r="B24" s="150">
        <f t="shared" si="0"/>
        <v>23</v>
      </c>
      <c r="C24" s="150">
        <v>7</v>
      </c>
      <c r="D24" s="151">
        <v>2019</v>
      </c>
      <c r="E24" s="147">
        <f>'Consommation mensuel énergie'!L32</f>
        <v>4783</v>
      </c>
      <c r="F24" s="147">
        <f>'Consommation mensuel énergie'!M32</f>
        <v>10667</v>
      </c>
      <c r="G24" s="147">
        <f>'Consommation mensuel énergie'!N32</f>
        <v>5045</v>
      </c>
      <c r="H24" s="147">
        <f>'Consommation mensuel énergie'!D32</f>
        <v>175</v>
      </c>
      <c r="I24" s="147">
        <f>'Consommation mensuel énergie'!E32</f>
        <v>263</v>
      </c>
      <c r="J24" s="143" t="e">
        <f>E24*F24+G24*#REF!+#REF!*#REF!+#REF!*#REF!</f>
        <v>#REF!</v>
      </c>
    </row>
    <row r="25" spans="1:10" x14ac:dyDescent="0.2">
      <c r="A25" s="146" t="s">
        <v>13</v>
      </c>
      <c r="B25" s="150">
        <f t="shared" si="0"/>
        <v>24</v>
      </c>
      <c r="C25" s="150">
        <v>7</v>
      </c>
      <c r="D25" s="151">
        <v>2019</v>
      </c>
      <c r="E25" s="147">
        <f>'Consommation mensuel énergie'!L33</f>
        <v>5088</v>
      </c>
      <c r="F25" s="147">
        <f>'Consommation mensuel énergie'!M33</f>
        <v>10189</v>
      </c>
      <c r="G25" s="147">
        <f>'Consommation mensuel énergie'!N33</f>
        <v>4100</v>
      </c>
      <c r="H25" s="147">
        <f>'Consommation mensuel énergie'!D33</f>
        <v>167</v>
      </c>
      <c r="I25" s="147">
        <f>'Consommation mensuel énergie'!E33</f>
        <v>250</v>
      </c>
      <c r="J25" s="143" t="e">
        <f>E25*F25+G25*#REF!+#REF!*#REF!+#REF!*#REF!</f>
        <v>#REF!</v>
      </c>
    </row>
    <row r="26" spans="1:10" x14ac:dyDescent="0.2">
      <c r="A26" s="146" t="s">
        <v>13</v>
      </c>
      <c r="B26" s="150">
        <f>B25+1</f>
        <v>25</v>
      </c>
      <c r="C26" s="150">
        <v>7</v>
      </c>
      <c r="D26" s="151">
        <v>2019</v>
      </c>
      <c r="E26" s="147">
        <f>'Consommation mensuel énergie'!L34</f>
        <v>4675</v>
      </c>
      <c r="F26" s="147">
        <f>'Consommation mensuel énergie'!M34</f>
        <v>9771</v>
      </c>
      <c r="G26" s="147">
        <f>'Consommation mensuel énergie'!N34</f>
        <v>3834</v>
      </c>
      <c r="H26" s="147">
        <f>'Consommation mensuel énergie'!D34</f>
        <v>167</v>
      </c>
      <c r="I26" s="147">
        <f>'Consommation mensuel énergie'!E34</f>
        <v>259</v>
      </c>
      <c r="J26" s="143" t="e">
        <f>E26*F26+G26*#REF!+#REF!*#REF!+#REF!*#REF!</f>
        <v>#REF!</v>
      </c>
    </row>
    <row r="27" spans="1:10" x14ac:dyDescent="0.2">
      <c r="A27" s="146" t="s">
        <v>13</v>
      </c>
      <c r="B27" s="150">
        <f t="shared" si="0"/>
        <v>26</v>
      </c>
      <c r="C27" s="150">
        <v>7</v>
      </c>
      <c r="D27" s="151">
        <v>2019</v>
      </c>
      <c r="E27" s="147">
        <f>'Consommation mensuel énergie'!L35</f>
        <v>4857</v>
      </c>
      <c r="F27" s="147">
        <f>'Consommation mensuel énergie'!M35</f>
        <v>10094</v>
      </c>
      <c r="G27" s="147">
        <f>'Consommation mensuel énergie'!N35</f>
        <v>3663</v>
      </c>
      <c r="H27" s="147">
        <f>'Consommation mensuel énergie'!D35</f>
        <v>142</v>
      </c>
      <c r="I27" s="147">
        <f>'Consommation mensuel énergie'!E35</f>
        <v>234</v>
      </c>
      <c r="J27" s="143" t="e">
        <f>E27*F27+G27*#REF!+#REF!*#REF!+#REF!*#REF!</f>
        <v>#REF!</v>
      </c>
    </row>
    <row r="28" spans="1:10" x14ac:dyDescent="0.2">
      <c r="A28" s="146" t="s">
        <v>13</v>
      </c>
      <c r="B28" s="150">
        <f t="shared" si="0"/>
        <v>27</v>
      </c>
      <c r="C28" s="150">
        <v>7</v>
      </c>
      <c r="D28" s="151">
        <v>2019</v>
      </c>
      <c r="E28" s="147">
        <f>'Consommation mensuel énergie'!L36</f>
        <v>4951</v>
      </c>
      <c r="F28" s="147">
        <f>'Consommation mensuel énergie'!M36</f>
        <v>9866</v>
      </c>
      <c r="G28" s="147">
        <f>'Consommation mensuel énergie'!N36</f>
        <v>3609</v>
      </c>
      <c r="H28" s="147">
        <f>'Consommation mensuel énergie'!D36</f>
        <v>137</v>
      </c>
      <c r="I28" s="147">
        <f>'Consommation mensuel énergie'!E36</f>
        <v>245</v>
      </c>
      <c r="J28" s="143" t="e">
        <f>E28*F28+G28*#REF!+#REF!*#REF!+#REF!*#REF!</f>
        <v>#REF!</v>
      </c>
    </row>
    <row r="29" spans="1:10" x14ac:dyDescent="0.2">
      <c r="A29" s="146" t="s">
        <v>13</v>
      </c>
      <c r="B29" s="150">
        <f t="shared" si="0"/>
        <v>28</v>
      </c>
      <c r="C29" s="150">
        <v>7</v>
      </c>
      <c r="D29" s="151">
        <v>2019</v>
      </c>
      <c r="E29" s="147">
        <f>'Consommation mensuel énergie'!L37</f>
        <v>4045</v>
      </c>
      <c r="F29" s="147">
        <f>'Consommation mensuel énergie'!M37</f>
        <v>9742</v>
      </c>
      <c r="G29" s="147">
        <f>'Consommation mensuel énergie'!N37</f>
        <v>3607</v>
      </c>
      <c r="H29" s="147">
        <f>'Consommation mensuel énergie'!D37</f>
        <v>147</v>
      </c>
      <c r="I29" s="147">
        <f>'Consommation mensuel énergie'!E37</f>
        <v>262</v>
      </c>
      <c r="J29" s="143" t="e">
        <f>E29*F29+G29*#REF!+#REF!*#REF!+#REF!*#REF!</f>
        <v>#REF!</v>
      </c>
    </row>
    <row r="30" spans="1:10" x14ac:dyDescent="0.2">
      <c r="A30" s="146" t="s">
        <v>13</v>
      </c>
      <c r="B30" s="150">
        <f t="shared" si="0"/>
        <v>29</v>
      </c>
      <c r="C30" s="150">
        <v>7</v>
      </c>
      <c r="D30" s="151">
        <v>2019</v>
      </c>
      <c r="E30" s="147">
        <f>'Consommation mensuel énergie'!L38</f>
        <v>4563</v>
      </c>
      <c r="F30" s="147">
        <f>'Consommation mensuel énergie'!M38</f>
        <v>9132</v>
      </c>
      <c r="G30" s="147">
        <f>'Consommation mensuel énergie'!N38</f>
        <v>3404</v>
      </c>
      <c r="H30" s="147">
        <f>'Consommation mensuel énergie'!D38</f>
        <v>144</v>
      </c>
      <c r="I30" s="147">
        <f>'Consommation mensuel énergie'!E38</f>
        <v>252</v>
      </c>
      <c r="J30" s="143" t="e">
        <f>E30*F30+G30*#REF!+#REF!*#REF!+#REF!*#REF!</f>
        <v>#REF!</v>
      </c>
    </row>
    <row r="31" spans="1:10" x14ac:dyDescent="0.2">
      <c r="A31" s="146" t="s">
        <v>13</v>
      </c>
      <c r="B31" s="150">
        <f>B30+1</f>
        <v>30</v>
      </c>
      <c r="C31" s="150">
        <v>7</v>
      </c>
      <c r="D31" s="151">
        <v>2019</v>
      </c>
      <c r="E31" s="147">
        <f>'Consommation mensuel énergie'!L39</f>
        <v>5815</v>
      </c>
      <c r="F31" s="147">
        <f>'Consommation mensuel énergie'!M39</f>
        <v>9234</v>
      </c>
      <c r="G31" s="147">
        <f>'Consommation mensuel énergie'!N39</f>
        <v>3641</v>
      </c>
      <c r="H31" s="147">
        <f>'Consommation mensuel énergie'!D39</f>
        <v>148</v>
      </c>
      <c r="I31" s="147">
        <f>'Consommation mensuel énergie'!E39</f>
        <v>247</v>
      </c>
      <c r="J31" s="143"/>
    </row>
    <row r="32" spans="1:10" x14ac:dyDescent="0.2">
      <c r="A32" s="146" t="s">
        <v>13</v>
      </c>
      <c r="B32" s="150">
        <f>B31+1</f>
        <v>31</v>
      </c>
      <c r="C32" s="150">
        <v>7</v>
      </c>
      <c r="D32" s="151">
        <v>2019</v>
      </c>
      <c r="E32" s="147">
        <f>'Consommation mensuel énergie'!L40</f>
        <v>5044</v>
      </c>
      <c r="F32" s="147">
        <f>'Consommation mensuel énergie'!M40</f>
        <v>9803</v>
      </c>
      <c r="G32" s="147">
        <f>'Consommation mensuel énergie'!N40</f>
        <v>3775</v>
      </c>
      <c r="H32" s="147">
        <f>'Consommation mensuel énergie'!D40</f>
        <v>146</v>
      </c>
      <c r="I32" s="147">
        <f>'Consommation mensuel énergie'!E40</f>
        <v>261</v>
      </c>
      <c r="J32" s="143" t="e">
        <f>E32*F32+G32*#REF!+#REF!*#REF!+#REF!*#REF!</f>
        <v>#REF!</v>
      </c>
    </row>
    <row r="33" spans="5:9" x14ac:dyDescent="0.2">
      <c r="E33" s="144"/>
      <c r="F33" s="144"/>
      <c r="G33" s="144"/>
      <c r="H33" s="143"/>
      <c r="I33" s="143"/>
    </row>
    <row r="34" spans="5:9" x14ac:dyDescent="0.2">
      <c r="E34" s="144"/>
      <c r="F34" s="144"/>
      <c r="G34" s="144"/>
      <c r="H34" s="143"/>
      <c r="I34" s="143"/>
    </row>
    <row r="35" spans="5:9" x14ac:dyDescent="0.2">
      <c r="E35" s="144"/>
      <c r="F35" s="144"/>
      <c r="G35" s="144"/>
      <c r="H35" s="143"/>
      <c r="I35" s="143"/>
    </row>
    <row r="36" spans="5:9" x14ac:dyDescent="0.2">
      <c r="E36" s="144"/>
      <c r="F36" s="144"/>
      <c r="G36" s="144"/>
      <c r="H36" s="143"/>
      <c r="I36" s="143"/>
    </row>
    <row r="37" spans="5:9" x14ac:dyDescent="0.2">
      <c r="E37" s="144"/>
      <c r="F37" s="144"/>
      <c r="G37" s="144"/>
      <c r="H37" s="143"/>
      <c r="I37" s="143"/>
    </row>
    <row r="38" spans="5:9" x14ac:dyDescent="0.2">
      <c r="E38" s="144"/>
      <c r="F38" s="144"/>
      <c r="G38" s="144"/>
      <c r="H38" s="143"/>
      <c r="I38" s="143"/>
    </row>
    <row r="39" spans="5:9" x14ac:dyDescent="0.2">
      <c r="E39" s="144"/>
      <c r="F39" s="144"/>
      <c r="G39" s="144"/>
      <c r="H39" s="143"/>
      <c r="I39" s="14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60"/>
  <sheetViews>
    <sheetView showGridLines="0" tabSelected="1" view="pageBreakPreview" zoomScale="60" zoomScaleNormal="85" workbookViewId="0">
      <pane xSplit="3" ySplit="9" topLeftCell="D34" activePane="bottomRight" state="frozen"/>
      <selection pane="topRight" activeCell="B21" sqref="A21:IV21"/>
      <selection pane="bottomLeft" activeCell="B21" sqref="A21:IV21"/>
      <selection pane="bottomRight" activeCell="H48" sqref="H48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10"/>
      <c r="B2" s="211"/>
      <c r="C2" s="211"/>
      <c r="D2" s="211"/>
      <c r="E2" s="211"/>
      <c r="F2" s="211"/>
      <c r="G2" s="211"/>
      <c r="H2" s="212"/>
      <c r="I2" s="221" t="s">
        <v>17</v>
      </c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</row>
    <row r="3" spans="1:24" ht="15" hidden="1" customHeight="1" thickBot="1" x14ac:dyDescent="0.25"/>
    <row r="4" spans="1:24" ht="39" hidden="1" customHeight="1" thickBot="1" x14ac:dyDescent="0.25">
      <c r="A4" s="213"/>
      <c r="B4" s="213"/>
      <c r="C4" s="213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13"/>
      <c r="B5" s="213"/>
      <c r="C5" s="213"/>
      <c r="D5" s="5"/>
      <c r="E5" s="5"/>
      <c r="F5" s="5"/>
      <c r="G5" s="5"/>
      <c r="H5" s="5"/>
      <c r="I5" s="5"/>
      <c r="J5" s="5"/>
      <c r="K5" s="5"/>
      <c r="L5" s="5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</row>
    <row r="6" spans="1:24" s="5" customFormat="1" ht="44.25" hidden="1" customHeight="1" thickBot="1" x14ac:dyDescent="0.25">
      <c r="A6" s="3"/>
      <c r="B6" s="3"/>
      <c r="C6" s="3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</row>
    <row r="7" spans="1:24" s="5" customFormat="1" ht="18.75" hidden="1" customHeight="1" thickBot="1" x14ac:dyDescent="0.25">
      <c r="F7" s="214"/>
      <c r="G7" s="214"/>
      <c r="H7" s="214"/>
      <c r="I7" s="214"/>
      <c r="J7" s="214"/>
      <c r="K7" s="214"/>
      <c r="L7" s="214"/>
      <c r="M7" s="214"/>
      <c r="N7" s="226"/>
      <c r="O7" s="226"/>
      <c r="P7" s="214"/>
      <c r="Q7" s="214"/>
      <c r="R7" s="214"/>
      <c r="S7" s="214"/>
      <c r="T7" s="214"/>
      <c r="U7" s="214"/>
      <c r="V7" s="214"/>
      <c r="W7" s="214"/>
      <c r="X7" s="214"/>
    </row>
    <row r="8" spans="1:24" ht="18.75" customHeight="1" thickBot="1" x14ac:dyDescent="0.25">
      <c r="A8" s="214"/>
      <c r="B8" s="223" t="s">
        <v>19</v>
      </c>
      <c r="C8" s="4"/>
      <c r="D8" s="224" t="s">
        <v>20</v>
      </c>
      <c r="E8" s="224" t="s">
        <v>21</v>
      </c>
      <c r="F8" s="233" t="s">
        <v>22</v>
      </c>
      <c r="G8" s="2"/>
      <c r="H8" s="215" t="s">
        <v>23</v>
      </c>
      <c r="I8" s="216"/>
      <c r="J8" s="217"/>
      <c r="K8" s="235" t="s">
        <v>24</v>
      </c>
      <c r="L8" s="229" t="s">
        <v>25</v>
      </c>
      <c r="M8" s="229"/>
      <c r="N8" s="229"/>
      <c r="O8" s="229" t="s">
        <v>26</v>
      </c>
      <c r="P8" s="2"/>
      <c r="Q8" s="227" t="s">
        <v>23</v>
      </c>
      <c r="R8" s="2"/>
      <c r="S8" s="227" t="s">
        <v>27</v>
      </c>
      <c r="T8" s="2"/>
      <c r="U8" s="227" t="s">
        <v>28</v>
      </c>
      <c r="V8" s="231" t="s">
        <v>29</v>
      </c>
      <c r="W8" s="2"/>
      <c r="X8" s="227" t="s">
        <v>23</v>
      </c>
    </row>
    <row r="9" spans="1:24" ht="59.25" customHeight="1" thickBot="1" x14ac:dyDescent="0.25">
      <c r="A9" s="214"/>
      <c r="B9" s="223"/>
      <c r="C9" s="4"/>
      <c r="D9" s="225"/>
      <c r="E9" s="225"/>
      <c r="F9" s="234"/>
      <c r="G9" s="2"/>
      <c r="H9" s="218"/>
      <c r="I9" s="219"/>
      <c r="J9" s="220"/>
      <c r="K9" s="236"/>
      <c r="L9" s="97" t="s">
        <v>30</v>
      </c>
      <c r="M9" s="97" t="s">
        <v>31</v>
      </c>
      <c r="N9" s="97" t="s">
        <v>32</v>
      </c>
      <c r="O9" s="230"/>
      <c r="P9" s="2"/>
      <c r="Q9" s="228"/>
      <c r="R9" s="2"/>
      <c r="S9" s="228"/>
      <c r="T9" s="2"/>
      <c r="U9" s="228"/>
      <c r="V9" s="232"/>
      <c r="W9" s="2"/>
      <c r="X9" s="228"/>
    </row>
    <row r="10" spans="1:24" ht="32.25" customHeight="1" thickBot="1" x14ac:dyDescent="0.25">
      <c r="A10" s="2"/>
      <c r="B10" s="6">
        <v>43647</v>
      </c>
      <c r="C10" s="7"/>
      <c r="D10" s="153">
        <v>132</v>
      </c>
      <c r="E10" s="153">
        <v>193</v>
      </c>
      <c r="F10" s="13">
        <f>'Suivi EAU-ELEC'!E9</f>
        <v>319.80000000000291</v>
      </c>
      <c r="G10" s="11"/>
      <c r="H10" s="167">
        <f>F10*8.79</f>
        <v>2811.0420000000254</v>
      </c>
      <c r="I10" s="168"/>
      <c r="J10" s="168"/>
      <c r="K10" s="65">
        <v>42278</v>
      </c>
      <c r="L10" s="98">
        <f>'Suivi EAU-ELEC'!G9</f>
        <v>4753</v>
      </c>
      <c r="M10" s="99">
        <f>'Suivi EAU-ELEC'!I9</f>
        <v>9058</v>
      </c>
      <c r="N10" s="99">
        <f>'Suivi EAU-ELEC'!K9</f>
        <v>3384</v>
      </c>
      <c r="O10" s="99">
        <f>L10+M10+N10</f>
        <v>17195</v>
      </c>
      <c r="P10" s="11"/>
      <c r="Q10" s="37">
        <f>L10*0.6985+M10*0.9514+N10*1.3304</f>
        <v>16439.825299999997</v>
      </c>
      <c r="R10" s="11"/>
      <c r="S10" s="31"/>
      <c r="T10" s="11"/>
      <c r="U10" s="31"/>
      <c r="V10" s="158">
        <f>'Suvi Gaz'!O4</f>
        <v>543.98657000000003</v>
      </c>
      <c r="W10" s="11"/>
      <c r="X10" s="37">
        <f>V10*7.8</f>
        <v>4243.0952459999999</v>
      </c>
    </row>
    <row r="11" spans="1:24" ht="32.25" customHeight="1" thickBot="1" x14ac:dyDescent="0.25">
      <c r="A11" s="2"/>
      <c r="B11" s="6">
        <v>43648</v>
      </c>
      <c r="C11" s="7"/>
      <c r="D11" s="153">
        <v>180</v>
      </c>
      <c r="E11" s="153">
        <v>259</v>
      </c>
      <c r="F11" s="13">
        <f>'Suivi EAU-ELEC'!E10</f>
        <v>169.69999999999709</v>
      </c>
      <c r="G11" s="11"/>
      <c r="H11" s="167">
        <f t="shared" ref="H11:H21" si="0">F11*8.79</f>
        <v>1491.6629999999743</v>
      </c>
      <c r="I11" s="168"/>
      <c r="J11" s="168"/>
      <c r="K11" s="65">
        <v>42279</v>
      </c>
      <c r="L11" s="98">
        <f>'Suivi EAU-ELEC'!G10</f>
        <v>4280</v>
      </c>
      <c r="M11" s="99">
        <f>'Suivi EAU-ELEC'!I10</f>
        <v>8622</v>
      </c>
      <c r="N11" s="99">
        <f>'Suivi EAU-ELEC'!K10</f>
        <v>3195</v>
      </c>
      <c r="O11" s="99">
        <f t="shared" ref="O11:O40" si="1">L11+M11+N11</f>
        <v>16097</v>
      </c>
      <c r="P11" s="11"/>
      <c r="Q11" s="37">
        <f t="shared" ref="Q11:Q40" si="2">L11*0.6985+M11*0.9514+N11*1.3304</f>
        <v>15443.178800000002</v>
      </c>
      <c r="R11" s="11"/>
      <c r="S11" s="31"/>
      <c r="T11" s="11"/>
      <c r="U11" s="31"/>
      <c r="V11" s="158">
        <f>'Suvi Gaz'!O5</f>
        <v>255.99368000000001</v>
      </c>
      <c r="W11" s="11"/>
      <c r="X11" s="37">
        <f t="shared" ref="X11:X40" si="3">V11*7.8</f>
        <v>1996.750704</v>
      </c>
    </row>
    <row r="12" spans="1:24" ht="32.25" customHeight="1" thickBot="1" x14ac:dyDescent="0.25">
      <c r="A12" s="2"/>
      <c r="B12" s="6">
        <v>43649</v>
      </c>
      <c r="C12" s="7"/>
      <c r="D12" s="153">
        <v>180</v>
      </c>
      <c r="E12" s="153">
        <v>266</v>
      </c>
      <c r="F12" s="13">
        <f>'Suivi EAU-ELEC'!E11</f>
        <v>163.69999999999709</v>
      </c>
      <c r="G12" s="11"/>
      <c r="H12" s="167">
        <f t="shared" si="0"/>
        <v>1438.9229999999743</v>
      </c>
      <c r="I12" s="168"/>
      <c r="J12" s="168"/>
      <c r="K12" s="65">
        <v>42280</v>
      </c>
      <c r="L12" s="98">
        <f>'Suivi EAU-ELEC'!G11</f>
        <v>4213</v>
      </c>
      <c r="M12" s="99">
        <f>'Suivi EAU-ELEC'!I11</f>
        <v>8656</v>
      </c>
      <c r="N12" s="99">
        <f>'Suivi EAU-ELEC'!K11</f>
        <v>3433</v>
      </c>
      <c r="O12" s="99">
        <f t="shared" si="1"/>
        <v>16302</v>
      </c>
      <c r="P12" s="11"/>
      <c r="Q12" s="37">
        <f t="shared" si="2"/>
        <v>15745.362100000002</v>
      </c>
      <c r="R12" s="11"/>
      <c r="S12" s="31"/>
      <c r="T12" s="11"/>
      <c r="U12" s="31"/>
      <c r="V12" s="158">
        <f>'Suvi Gaz'!O6</f>
        <v>575.98577999999998</v>
      </c>
      <c r="W12" s="11"/>
      <c r="X12" s="37">
        <f t="shared" si="3"/>
        <v>4492.6890839999996</v>
      </c>
    </row>
    <row r="13" spans="1:24" ht="32.25" customHeight="1" thickBot="1" x14ac:dyDescent="0.25">
      <c r="A13" s="2"/>
      <c r="B13" s="6">
        <v>43650</v>
      </c>
      <c r="C13" s="7"/>
      <c r="D13" s="153">
        <v>174</v>
      </c>
      <c r="E13" s="153">
        <v>263</v>
      </c>
      <c r="F13" s="13">
        <f>'Suivi EAU-ELEC'!E12</f>
        <v>194.30000000000291</v>
      </c>
      <c r="G13" s="11"/>
      <c r="H13" s="167">
        <f t="shared" si="0"/>
        <v>1707.8970000000254</v>
      </c>
      <c r="I13" s="168"/>
      <c r="J13" s="168"/>
      <c r="K13" s="65">
        <v>42281</v>
      </c>
      <c r="L13" s="98">
        <f>'Suivi EAU-ELEC'!G12</f>
        <v>3743</v>
      </c>
      <c r="M13" s="99">
        <f>'Suivi EAU-ELEC'!I12</f>
        <v>9721</v>
      </c>
      <c r="N13" s="99">
        <f>'Suivi EAU-ELEC'!K12</f>
        <v>3609</v>
      </c>
      <c r="O13" s="99">
        <f t="shared" si="1"/>
        <v>17073</v>
      </c>
      <c r="P13" s="11"/>
      <c r="Q13" s="37">
        <f t="shared" si="2"/>
        <v>16664.458500000001</v>
      </c>
      <c r="R13" s="11"/>
      <c r="S13" s="31"/>
      <c r="T13" s="11"/>
      <c r="U13" s="31"/>
      <c r="V13" s="158">
        <f>'Suvi Gaz'!O7</f>
        <v>287.99288999999999</v>
      </c>
      <c r="W13" s="11"/>
      <c r="X13" s="37">
        <f t="shared" si="3"/>
        <v>2246.3445419999998</v>
      </c>
    </row>
    <row r="14" spans="1:24" ht="32.25" customHeight="1" thickBot="1" x14ac:dyDescent="0.25">
      <c r="A14" s="2"/>
      <c r="B14" s="6">
        <v>43651</v>
      </c>
      <c r="C14" s="7"/>
      <c r="D14" s="153">
        <v>176</v>
      </c>
      <c r="E14" s="153">
        <v>279</v>
      </c>
      <c r="F14" s="13">
        <f>'Suivi EAU-ELEC'!E13</f>
        <v>191.5</v>
      </c>
      <c r="G14" s="12"/>
      <c r="H14" s="167">
        <f t="shared" si="0"/>
        <v>1683.2849999999999</v>
      </c>
      <c r="I14" s="168"/>
      <c r="J14" s="168"/>
      <c r="K14" s="65">
        <v>42282</v>
      </c>
      <c r="L14" s="98">
        <f>'Suivi EAU-ELEC'!G13</f>
        <v>5010</v>
      </c>
      <c r="M14" s="99">
        <f>'Suivi EAU-ELEC'!I13</f>
        <v>9305</v>
      </c>
      <c r="N14" s="99">
        <f>'Suivi EAU-ELEC'!K13</f>
        <v>3534</v>
      </c>
      <c r="O14" s="99">
        <f t="shared" si="1"/>
        <v>17849</v>
      </c>
      <c r="P14" s="12"/>
      <c r="Q14" s="37">
        <f t="shared" si="2"/>
        <v>17053.8956</v>
      </c>
      <c r="R14" s="12"/>
      <c r="S14" s="31"/>
      <c r="T14" s="12"/>
      <c r="U14" s="31"/>
      <c r="V14" s="158">
        <f>'Suvi Gaz'!O8</f>
        <v>351.99131</v>
      </c>
      <c r="W14" s="11"/>
      <c r="X14" s="37">
        <f t="shared" si="3"/>
        <v>2745.5322179999998</v>
      </c>
    </row>
    <row r="15" spans="1:24" ht="32.25" customHeight="1" thickBot="1" x14ac:dyDescent="0.25">
      <c r="A15" s="5"/>
      <c r="B15" s="6">
        <v>43652</v>
      </c>
      <c r="C15" s="7"/>
      <c r="D15" s="153">
        <v>166</v>
      </c>
      <c r="E15" s="153">
        <v>282</v>
      </c>
      <c r="F15" s="13">
        <f>'Suivi EAU-ELEC'!E14</f>
        <v>185.90000000000146</v>
      </c>
      <c r="G15" s="11"/>
      <c r="H15" s="167">
        <f t="shared" si="0"/>
        <v>1634.0610000000127</v>
      </c>
      <c r="I15" s="168"/>
      <c r="J15" s="168"/>
      <c r="K15" s="65">
        <v>42283</v>
      </c>
      <c r="L15" s="98">
        <f>'Suivi EAU-ELEC'!G14</f>
        <v>4704</v>
      </c>
      <c r="M15" s="99">
        <f>'Suivi EAU-ELEC'!I14</f>
        <v>10133</v>
      </c>
      <c r="N15" s="99">
        <f>'Suivi EAU-ELEC'!K14</f>
        <v>3707</v>
      </c>
      <c r="O15" s="99">
        <f t="shared" si="1"/>
        <v>18544</v>
      </c>
      <c r="P15" s="12"/>
      <c r="Q15" s="37">
        <f t="shared" si="2"/>
        <v>17858.073</v>
      </c>
      <c r="R15" s="12"/>
      <c r="S15" s="31"/>
      <c r="T15" s="12"/>
      <c r="U15" s="31"/>
      <c r="V15" s="158">
        <f>'Suvi Gaz'!O9</f>
        <v>287.99288999999999</v>
      </c>
      <c r="W15" s="11"/>
      <c r="X15" s="37">
        <f t="shared" si="3"/>
        <v>2246.3445419999998</v>
      </c>
    </row>
    <row r="16" spans="1:24" ht="32.25" customHeight="1" thickBot="1" x14ac:dyDescent="0.25">
      <c r="A16" s="5"/>
      <c r="B16" s="6">
        <v>43653</v>
      </c>
      <c r="C16" s="7"/>
      <c r="D16" s="153">
        <v>139</v>
      </c>
      <c r="E16" s="153">
        <v>224</v>
      </c>
      <c r="F16" s="13">
        <f>'Suivi EAU-ELEC'!E15</f>
        <v>172.59999999999854</v>
      </c>
      <c r="G16" s="11"/>
      <c r="H16" s="167">
        <f t="shared" si="0"/>
        <v>1517.153999999987</v>
      </c>
      <c r="I16" s="168"/>
      <c r="J16" s="168"/>
      <c r="K16" s="65">
        <v>42284</v>
      </c>
      <c r="L16" s="98">
        <f>'Suivi EAU-ELEC'!G15</f>
        <v>3989</v>
      </c>
      <c r="M16" s="99">
        <f>'Suivi EAU-ELEC'!I15</f>
        <v>10438</v>
      </c>
      <c r="N16" s="99">
        <f>'Suivi EAU-ELEC'!K15</f>
        <v>3361</v>
      </c>
      <c r="O16" s="99">
        <f t="shared" si="1"/>
        <v>17788</v>
      </c>
      <c r="P16" s="11"/>
      <c r="Q16" s="37">
        <f t="shared" si="2"/>
        <v>17188.504099999998</v>
      </c>
      <c r="R16" s="11"/>
      <c r="S16" s="31"/>
      <c r="T16" s="11"/>
      <c r="U16" s="31"/>
      <c r="V16" s="158">
        <f>'Suvi Gaz'!O10</f>
        <v>415.98973000000001</v>
      </c>
      <c r="W16" s="11"/>
      <c r="X16" s="37">
        <f t="shared" si="3"/>
        <v>3244.7198939999998</v>
      </c>
    </row>
    <row r="17" spans="1:24" s="5" customFormat="1" ht="32.25" customHeight="1" thickBot="1" x14ac:dyDescent="0.25">
      <c r="A17" s="2"/>
      <c r="B17" s="6">
        <v>43654</v>
      </c>
      <c r="C17" s="7"/>
      <c r="D17" s="153">
        <v>150</v>
      </c>
      <c r="E17" s="153">
        <v>231</v>
      </c>
      <c r="F17" s="13">
        <f>'Suivi EAU-ELEC'!E16</f>
        <v>151.59999999999854</v>
      </c>
      <c r="G17" s="11"/>
      <c r="H17" s="167">
        <f t="shared" si="0"/>
        <v>1332.5639999999871</v>
      </c>
      <c r="I17" s="168"/>
      <c r="J17" s="168"/>
      <c r="K17" s="65">
        <v>42285</v>
      </c>
      <c r="L17" s="98">
        <f>'Suivi EAU-ELEC'!G16</f>
        <v>4414</v>
      </c>
      <c r="M17" s="99">
        <f>'Suivi EAU-ELEC'!I16</f>
        <v>10165</v>
      </c>
      <c r="N17" s="99">
        <f>'Suivi EAU-ELEC'!K16</f>
        <v>3621</v>
      </c>
      <c r="O17" s="99">
        <f t="shared" si="1"/>
        <v>18200</v>
      </c>
      <c r="P17" s="12"/>
      <c r="Q17" s="37">
        <f t="shared" si="2"/>
        <v>17571.538400000001</v>
      </c>
      <c r="R17" s="12"/>
      <c r="S17" s="31"/>
      <c r="T17" s="12"/>
      <c r="U17" s="31"/>
      <c r="V17" s="158">
        <f>'Suvi Gaz'!O11</f>
        <v>415.98973000000001</v>
      </c>
      <c r="W17" s="11"/>
      <c r="X17" s="37">
        <f t="shared" si="3"/>
        <v>3244.7198939999998</v>
      </c>
    </row>
    <row r="18" spans="1:24" ht="32.25" customHeight="1" thickBot="1" x14ac:dyDescent="0.25">
      <c r="A18" s="2"/>
      <c r="B18" s="6">
        <v>43655</v>
      </c>
      <c r="C18" s="7"/>
      <c r="D18" s="153">
        <v>151</v>
      </c>
      <c r="E18" s="153">
        <v>249</v>
      </c>
      <c r="F18" s="13">
        <f>'Suivi EAU-ELEC'!E17</f>
        <v>177.90000000000146</v>
      </c>
      <c r="G18" s="11"/>
      <c r="H18" s="167">
        <f t="shared" si="0"/>
        <v>1563.7410000000127</v>
      </c>
      <c r="I18" s="168"/>
      <c r="J18" s="168"/>
      <c r="K18" s="65">
        <v>42286</v>
      </c>
      <c r="L18" s="98">
        <f>'Suivi EAU-ELEC'!G17</f>
        <v>5812</v>
      </c>
      <c r="M18" s="99">
        <f>'Suivi EAU-ELEC'!I17</f>
        <v>10373</v>
      </c>
      <c r="N18" s="99">
        <f>'Suivi EAU-ELEC'!K17</f>
        <v>3849</v>
      </c>
      <c r="O18" s="99">
        <f t="shared" si="1"/>
        <v>20034</v>
      </c>
      <c r="P18" s="12"/>
      <c r="Q18" s="37">
        <f t="shared" si="2"/>
        <v>19049.263800000001</v>
      </c>
      <c r="R18" s="12"/>
      <c r="S18" s="31"/>
      <c r="T18" s="12"/>
      <c r="U18" s="31"/>
      <c r="V18" s="158">
        <f>'Suvi Gaz'!O12</f>
        <v>319.99209999999999</v>
      </c>
      <c r="W18" s="11"/>
      <c r="X18" s="37">
        <f t="shared" si="3"/>
        <v>2495.9383800000001</v>
      </c>
    </row>
    <row r="19" spans="1:24" ht="32.25" customHeight="1" thickBot="1" x14ac:dyDescent="0.25">
      <c r="A19" s="2"/>
      <c r="B19" s="6">
        <v>43656</v>
      </c>
      <c r="C19" s="7"/>
      <c r="D19" s="153">
        <v>131</v>
      </c>
      <c r="E19" s="153">
        <v>240</v>
      </c>
      <c r="F19" s="13">
        <f>'Suivi EAU-ELEC'!E18</f>
        <v>192</v>
      </c>
      <c r="G19" s="12"/>
      <c r="H19" s="167">
        <f t="shared" si="0"/>
        <v>1687.6799999999998</v>
      </c>
      <c r="I19" s="168"/>
      <c r="J19" s="168"/>
      <c r="K19" s="65">
        <v>42287</v>
      </c>
      <c r="L19" s="98">
        <f>'Suivi EAU-ELEC'!G18</f>
        <v>4903</v>
      </c>
      <c r="M19" s="99">
        <f>'Suivi EAU-ELEC'!I18</f>
        <v>10097</v>
      </c>
      <c r="N19" s="99">
        <f>'Suivi EAU-ELEC'!K18</f>
        <v>3766</v>
      </c>
      <c r="O19" s="99">
        <f t="shared" si="1"/>
        <v>18766</v>
      </c>
      <c r="P19" s="12"/>
      <c r="Q19" s="37">
        <f t="shared" si="2"/>
        <v>18041.3177</v>
      </c>
      <c r="R19" s="12"/>
      <c r="S19" s="31"/>
      <c r="T19" s="12"/>
      <c r="U19" s="31"/>
      <c r="V19" s="158">
        <f>'Suvi Gaz'!O13</f>
        <v>447.98894000000001</v>
      </c>
      <c r="W19" s="11"/>
      <c r="X19" s="37">
        <f t="shared" si="3"/>
        <v>3494.3137320000001</v>
      </c>
    </row>
    <row r="20" spans="1:24" ht="32.25" customHeight="1" thickBot="1" x14ac:dyDescent="0.25">
      <c r="A20" s="2"/>
      <c r="B20" s="6">
        <v>43657</v>
      </c>
      <c r="C20" s="7"/>
      <c r="D20" s="153">
        <v>141</v>
      </c>
      <c r="E20" s="153">
        <v>239</v>
      </c>
      <c r="F20" s="13">
        <f>'Suivi EAU-ELEC'!E19</f>
        <v>187</v>
      </c>
      <c r="G20" s="12"/>
      <c r="H20" s="167">
        <f t="shared" si="0"/>
        <v>1643.7299999999998</v>
      </c>
      <c r="I20" s="168"/>
      <c r="J20" s="168"/>
      <c r="K20" s="65">
        <v>42288</v>
      </c>
      <c r="L20" s="98">
        <f>'Suivi EAU-ELEC'!G19</f>
        <v>4784</v>
      </c>
      <c r="M20" s="99">
        <f>'Suivi EAU-ELEC'!I19</f>
        <v>9346</v>
      </c>
      <c r="N20" s="99">
        <f>'Suivi EAU-ELEC'!K19</f>
        <v>3883</v>
      </c>
      <c r="O20" s="99">
        <f t="shared" si="1"/>
        <v>18013</v>
      </c>
      <c r="P20" s="12"/>
      <c r="Q20" s="37">
        <f t="shared" si="2"/>
        <v>17399.351600000002</v>
      </c>
      <c r="R20" s="12"/>
      <c r="S20" s="31"/>
      <c r="T20" s="12"/>
      <c r="U20" s="31"/>
      <c r="V20" s="158">
        <f>'Suvi Gaz'!O14</f>
        <v>223.99447000000001</v>
      </c>
      <c r="W20" s="11"/>
      <c r="X20" s="37">
        <f t="shared" si="3"/>
        <v>1747.156866</v>
      </c>
    </row>
    <row r="21" spans="1:24" ht="32.25" customHeight="1" thickBot="1" x14ac:dyDescent="0.25">
      <c r="A21" s="2"/>
      <c r="B21" s="6">
        <v>43658</v>
      </c>
      <c r="C21" s="7"/>
      <c r="D21" s="153">
        <v>157</v>
      </c>
      <c r="E21" s="153">
        <v>271</v>
      </c>
      <c r="F21" s="13">
        <f>'Suivi EAU-ELEC'!E20</f>
        <v>182</v>
      </c>
      <c r="G21" s="12"/>
      <c r="H21" s="167">
        <f t="shared" si="0"/>
        <v>1599.7799999999997</v>
      </c>
      <c r="I21" s="168"/>
      <c r="J21" s="168"/>
      <c r="K21" s="65">
        <v>42289</v>
      </c>
      <c r="L21" s="98">
        <f>'Suivi EAU-ELEC'!G20</f>
        <v>5221</v>
      </c>
      <c r="M21" s="99">
        <f>'Suivi EAU-ELEC'!I20</f>
        <v>10100</v>
      </c>
      <c r="N21" s="99">
        <f>'Suivi EAU-ELEC'!K20</f>
        <v>3755</v>
      </c>
      <c r="O21" s="99">
        <f t="shared" si="1"/>
        <v>19076</v>
      </c>
      <c r="P21" s="12"/>
      <c r="Q21" s="37">
        <f t="shared" si="2"/>
        <v>18251.660499999998</v>
      </c>
      <c r="R21" s="12"/>
      <c r="S21" s="31"/>
      <c r="T21" s="12"/>
      <c r="U21" s="31"/>
      <c r="V21" s="158">
        <f>'Suvi Gaz'!O15</f>
        <v>639.98419999999999</v>
      </c>
      <c r="W21" s="11"/>
      <c r="X21" s="37">
        <f t="shared" si="3"/>
        <v>4991.8767600000001</v>
      </c>
    </row>
    <row r="22" spans="1:24" ht="32.25" customHeight="1" thickBot="1" x14ac:dyDescent="0.25">
      <c r="A22" s="2"/>
      <c r="B22" s="6">
        <v>43659</v>
      </c>
      <c r="C22" s="7"/>
      <c r="D22" s="153">
        <v>129</v>
      </c>
      <c r="E22" s="153">
        <v>246</v>
      </c>
      <c r="F22" s="13">
        <f>'Suivi EAU-ELEC'!E21</f>
        <v>187</v>
      </c>
      <c r="G22" s="12"/>
      <c r="H22" s="167">
        <f t="shared" ref="H22:H38" si="4">F22*8.79</f>
        <v>1643.7299999999998</v>
      </c>
      <c r="I22" s="168"/>
      <c r="J22" s="168"/>
      <c r="K22" s="65">
        <v>42290</v>
      </c>
      <c r="L22" s="98">
        <f>'Suivi EAU-ELEC'!G21</f>
        <v>5512</v>
      </c>
      <c r="M22" s="99">
        <f>'Suivi EAU-ELEC'!I21</f>
        <v>10235</v>
      </c>
      <c r="N22" s="99">
        <f>'Suivi EAU-ELEC'!K21</f>
        <v>3875</v>
      </c>
      <c r="O22" s="99">
        <f t="shared" si="1"/>
        <v>19622</v>
      </c>
      <c r="P22" s="12"/>
      <c r="Q22" s="37">
        <f t="shared" si="2"/>
        <v>18743.010999999999</v>
      </c>
      <c r="R22" s="12"/>
      <c r="S22" s="31"/>
      <c r="T22" s="12"/>
      <c r="U22" s="31"/>
      <c r="V22" s="158">
        <f>'Suvi Gaz'!O16</f>
        <v>447.98894000000001</v>
      </c>
      <c r="W22" s="11"/>
      <c r="X22" s="37">
        <f t="shared" si="3"/>
        <v>3494.3137320000001</v>
      </c>
    </row>
    <row r="23" spans="1:24" ht="32.25" customHeight="1" thickBot="1" x14ac:dyDescent="0.25">
      <c r="A23" s="2"/>
      <c r="B23" s="6">
        <v>43660</v>
      </c>
      <c r="C23" s="7"/>
      <c r="D23" s="153">
        <v>125</v>
      </c>
      <c r="E23" s="153">
        <v>216</v>
      </c>
      <c r="F23" s="13">
        <f>'Suivi EAU-ELEC'!E22</f>
        <v>164.30000000000291</v>
      </c>
      <c r="G23" s="14"/>
      <c r="H23" s="167">
        <f t="shared" si="4"/>
        <v>1444.1970000000254</v>
      </c>
      <c r="I23" s="168"/>
      <c r="J23" s="168"/>
      <c r="K23" s="65">
        <v>42291</v>
      </c>
      <c r="L23" s="98">
        <f>'Suivi EAU-ELEC'!G22</f>
        <v>4558</v>
      </c>
      <c r="M23" s="99">
        <f>'Suivi EAU-ELEC'!I22</f>
        <v>10825</v>
      </c>
      <c r="N23" s="99">
        <f>'Suivi EAU-ELEC'!K22</f>
        <v>4680</v>
      </c>
      <c r="O23" s="99">
        <f t="shared" si="1"/>
        <v>20063</v>
      </c>
      <c r="P23" s="12"/>
      <c r="Q23" s="37">
        <f t="shared" si="2"/>
        <v>19708.940000000002</v>
      </c>
      <c r="R23" s="12"/>
      <c r="S23" s="31"/>
      <c r="T23" s="14"/>
      <c r="U23" s="31"/>
      <c r="V23" s="158">
        <f>'Suvi Gaz'!O17</f>
        <v>287.99288999999999</v>
      </c>
      <c r="W23" s="11"/>
      <c r="X23" s="37">
        <f t="shared" si="3"/>
        <v>2246.3445419999998</v>
      </c>
    </row>
    <row r="24" spans="1:24" ht="32.25" customHeight="1" thickBot="1" x14ac:dyDescent="0.25">
      <c r="A24" s="2"/>
      <c r="B24" s="6">
        <v>43661</v>
      </c>
      <c r="C24" s="7"/>
      <c r="D24" s="153">
        <v>185</v>
      </c>
      <c r="E24" s="153">
        <v>275</v>
      </c>
      <c r="F24" s="13">
        <f>'Suivi EAU-ELEC'!E23</f>
        <v>133.79999999999563</v>
      </c>
      <c r="G24" s="14"/>
      <c r="H24" s="167">
        <f t="shared" si="4"/>
        <v>1176.1019999999614</v>
      </c>
      <c r="I24" s="168"/>
      <c r="J24" s="168"/>
      <c r="K24" s="65">
        <v>42292</v>
      </c>
      <c r="L24" s="98">
        <f>'Suivi EAU-ELEC'!G23</f>
        <v>5063</v>
      </c>
      <c r="M24" s="99">
        <f>'Suivi EAU-ELEC'!I23</f>
        <v>8932</v>
      </c>
      <c r="N24" s="99">
        <f>'Suivi EAU-ELEC'!K23</f>
        <v>3639</v>
      </c>
      <c r="O24" s="99">
        <f t="shared" si="1"/>
        <v>17634</v>
      </c>
      <c r="P24" s="12"/>
      <c r="Q24" s="37">
        <f t="shared" si="2"/>
        <v>16875.7359</v>
      </c>
      <c r="R24" s="12"/>
      <c r="S24" s="31"/>
      <c r="T24" s="14"/>
      <c r="U24" s="31"/>
      <c r="V24" s="158">
        <f>'Suvi Gaz'!O18</f>
        <v>415.98973000000001</v>
      </c>
      <c r="W24" s="11"/>
      <c r="X24" s="37">
        <f t="shared" si="3"/>
        <v>3244.7198939999998</v>
      </c>
    </row>
    <row r="25" spans="1:24" ht="32.25" customHeight="1" thickBot="1" x14ac:dyDescent="0.25">
      <c r="A25" s="2"/>
      <c r="B25" s="6">
        <v>43662</v>
      </c>
      <c r="C25" s="7"/>
      <c r="D25" s="153">
        <v>166</v>
      </c>
      <c r="E25" s="153">
        <v>258</v>
      </c>
      <c r="F25" s="13">
        <f>'Suivi EAU-ELEC'!E24</f>
        <v>210.59999999999854</v>
      </c>
      <c r="G25" s="14"/>
      <c r="H25" s="167">
        <f t="shared" si="4"/>
        <v>1851.173999999987</v>
      </c>
      <c r="I25" s="168"/>
      <c r="J25" s="168"/>
      <c r="K25" s="65">
        <v>42293</v>
      </c>
      <c r="L25" s="98">
        <f>'Suivi EAU-ELEC'!G24</f>
        <v>5311</v>
      </c>
      <c r="M25" s="99">
        <f>'Suivi EAU-ELEC'!I24</f>
        <v>10182</v>
      </c>
      <c r="N25" s="99">
        <f>'Suivi EAU-ELEC'!K24</f>
        <v>3827</v>
      </c>
      <c r="O25" s="99">
        <f t="shared" si="1"/>
        <v>19320</v>
      </c>
      <c r="P25" s="12"/>
      <c r="Q25" s="37">
        <f t="shared" si="2"/>
        <v>18488.329100000003</v>
      </c>
      <c r="R25" s="12"/>
      <c r="S25" s="31"/>
      <c r="T25" s="14"/>
      <c r="U25" s="31"/>
      <c r="V25" s="158">
        <f>'Suvi Gaz'!O19</f>
        <v>351.99131</v>
      </c>
      <c r="W25" s="11"/>
      <c r="X25" s="37">
        <f t="shared" si="3"/>
        <v>2745.5322179999998</v>
      </c>
    </row>
    <row r="26" spans="1:24" ht="32.25" customHeight="1" thickBot="1" x14ac:dyDescent="0.25">
      <c r="A26" s="2"/>
      <c r="B26" s="6">
        <v>43663</v>
      </c>
      <c r="C26" s="7"/>
      <c r="D26" s="153">
        <v>144</v>
      </c>
      <c r="E26" s="153">
        <v>228</v>
      </c>
      <c r="F26" s="13">
        <f>'Suivi EAU-ELEC'!E25</f>
        <v>234.10000000000582</v>
      </c>
      <c r="G26" s="14"/>
      <c r="H26" s="167">
        <f t="shared" si="4"/>
        <v>2057.739000000051</v>
      </c>
      <c r="I26" s="168"/>
      <c r="J26" s="168"/>
      <c r="K26" s="65">
        <v>42294</v>
      </c>
      <c r="L26" s="98">
        <f>'Suivi EAU-ELEC'!G25</f>
        <v>4769</v>
      </c>
      <c r="M26" s="99">
        <f>'Suivi EAU-ELEC'!I25</f>
        <v>9217</v>
      </c>
      <c r="N26" s="99">
        <f>'Suivi EAU-ELEC'!K25</f>
        <v>3683</v>
      </c>
      <c r="O26" s="99">
        <f t="shared" si="1"/>
        <v>17669</v>
      </c>
      <c r="P26" s="14"/>
      <c r="Q26" s="37">
        <f t="shared" si="2"/>
        <v>17000.0635</v>
      </c>
      <c r="R26" s="14"/>
      <c r="S26" s="31"/>
      <c r="T26" s="14"/>
      <c r="U26" s="31"/>
      <c r="V26" s="158">
        <f>'Suvi Gaz'!O20</f>
        <v>639.98419999999999</v>
      </c>
      <c r="W26" s="11"/>
      <c r="X26" s="37">
        <f t="shared" si="3"/>
        <v>4991.8767600000001</v>
      </c>
    </row>
    <row r="27" spans="1:24" ht="32.25" customHeight="1" thickBot="1" x14ac:dyDescent="0.25">
      <c r="A27" s="2"/>
      <c r="B27" s="6">
        <v>43664</v>
      </c>
      <c r="C27" s="7"/>
      <c r="D27" s="153">
        <v>112</v>
      </c>
      <c r="E27" s="153">
        <v>198</v>
      </c>
      <c r="F27" s="13">
        <f>'Suivi EAU-ELEC'!E26</f>
        <v>186.39999999999418</v>
      </c>
      <c r="G27" s="14"/>
      <c r="H27" s="167">
        <f t="shared" si="4"/>
        <v>1638.4559999999487</v>
      </c>
      <c r="I27" s="168"/>
      <c r="J27" s="168"/>
      <c r="K27" s="65">
        <v>42295</v>
      </c>
      <c r="L27" s="98">
        <f>'Suivi EAU-ELEC'!G26</f>
        <v>4564</v>
      </c>
      <c r="M27" s="99">
        <f>'Suivi EAU-ELEC'!I26</f>
        <v>8791</v>
      </c>
      <c r="N27" s="99">
        <f>'Suivi EAU-ELEC'!K26</f>
        <v>3555</v>
      </c>
      <c r="O27" s="99">
        <f t="shared" si="1"/>
        <v>16910</v>
      </c>
      <c r="P27" s="14"/>
      <c r="Q27" s="37">
        <f t="shared" si="2"/>
        <v>16281.2834</v>
      </c>
      <c r="R27" s="14"/>
      <c r="S27" s="31"/>
      <c r="T27" s="14"/>
      <c r="U27" s="31"/>
      <c r="V27" s="158">
        <f>'Suvi Gaz'!O21</f>
        <v>255.99368000000001</v>
      </c>
      <c r="W27" s="11"/>
      <c r="X27" s="37">
        <f t="shared" si="3"/>
        <v>1996.750704</v>
      </c>
    </row>
    <row r="28" spans="1:24" ht="32.25" customHeight="1" thickBot="1" x14ac:dyDescent="0.25">
      <c r="A28" s="2"/>
      <c r="B28" s="6">
        <v>43665</v>
      </c>
      <c r="C28" s="7"/>
      <c r="D28" s="153">
        <v>121</v>
      </c>
      <c r="E28" s="153">
        <v>234</v>
      </c>
      <c r="F28" s="13">
        <f>'Suivi EAU-ELEC'!E27</f>
        <v>171.80000000000291</v>
      </c>
      <c r="G28" s="11"/>
      <c r="H28" s="167">
        <f t="shared" si="4"/>
        <v>1510.1220000000255</v>
      </c>
      <c r="I28" s="168"/>
      <c r="J28" s="168"/>
      <c r="K28" s="65">
        <v>42296</v>
      </c>
      <c r="L28" s="98">
        <f>'Suivi EAU-ELEC'!G27</f>
        <v>5234</v>
      </c>
      <c r="M28" s="99">
        <f>'Suivi EAU-ELEC'!I27</f>
        <v>9167</v>
      </c>
      <c r="N28" s="99">
        <f>'Suivi EAU-ELEC'!K27</f>
        <v>3637</v>
      </c>
      <c r="O28" s="99">
        <f t="shared" si="1"/>
        <v>18038</v>
      </c>
      <c r="P28" s="11"/>
      <c r="Q28" s="37">
        <f t="shared" si="2"/>
        <v>17216.097600000001</v>
      </c>
      <c r="R28" s="11"/>
      <c r="S28" s="31"/>
      <c r="T28" s="11"/>
      <c r="U28" s="31"/>
      <c r="V28" s="158">
        <f>'Suvi Gaz'!O22</f>
        <v>511.98736000000002</v>
      </c>
      <c r="W28" s="11"/>
      <c r="X28" s="37">
        <f t="shared" si="3"/>
        <v>3993.5014080000001</v>
      </c>
    </row>
    <row r="29" spans="1:24" ht="32.25" customHeight="1" thickBot="1" x14ac:dyDescent="0.25">
      <c r="A29" s="2"/>
      <c r="B29" s="6">
        <v>43666</v>
      </c>
      <c r="C29" s="7"/>
      <c r="D29" s="153">
        <v>117</v>
      </c>
      <c r="E29" s="153">
        <v>221</v>
      </c>
      <c r="F29" s="13">
        <f>'Suivi EAU-ELEC'!E28</f>
        <v>178</v>
      </c>
      <c r="G29" s="11"/>
      <c r="H29" s="167">
        <f t="shared" si="4"/>
        <v>1564.62</v>
      </c>
      <c r="I29" s="168"/>
      <c r="J29" s="168"/>
      <c r="K29" s="65">
        <v>42297</v>
      </c>
      <c r="L29" s="98">
        <f>'Suivi EAU-ELEC'!G28</f>
        <v>4917</v>
      </c>
      <c r="M29" s="99">
        <f>'Suivi EAU-ELEC'!I28</f>
        <v>9604</v>
      </c>
      <c r="N29" s="99">
        <f>'Suivi EAU-ELEC'!K28</f>
        <v>3785</v>
      </c>
      <c r="O29" s="99">
        <f t="shared" si="1"/>
        <v>18306</v>
      </c>
      <c r="P29" s="11"/>
      <c r="Q29" s="37">
        <f t="shared" si="2"/>
        <v>17607.3341</v>
      </c>
      <c r="R29" s="11"/>
      <c r="S29" s="31"/>
      <c r="T29" s="11"/>
      <c r="U29" s="31"/>
      <c r="V29" s="158">
        <f>'Suvi Gaz'!O23</f>
        <v>191.99526</v>
      </c>
      <c r="W29" s="11"/>
      <c r="X29" s="37">
        <f t="shared" si="3"/>
        <v>1497.563028</v>
      </c>
    </row>
    <row r="30" spans="1:24" ht="32.25" customHeight="1" thickBot="1" x14ac:dyDescent="0.25">
      <c r="A30" s="2"/>
      <c r="B30" s="6">
        <v>43667</v>
      </c>
      <c r="C30" s="7"/>
      <c r="D30" s="153">
        <v>134</v>
      </c>
      <c r="E30" s="153">
        <v>229</v>
      </c>
      <c r="F30" s="13">
        <f>'Suivi EAU-ELEC'!E29</f>
        <v>155.19999999999709</v>
      </c>
      <c r="G30" s="11"/>
      <c r="H30" s="167">
        <f t="shared" si="4"/>
        <v>1364.2079999999744</v>
      </c>
      <c r="I30" s="168"/>
      <c r="J30" s="168"/>
      <c r="K30" s="65">
        <v>42298</v>
      </c>
      <c r="L30" s="98">
        <f>'Suivi EAU-ELEC'!G29</f>
        <v>4586</v>
      </c>
      <c r="M30" s="99">
        <f>'Suivi EAU-ELEC'!I29</f>
        <v>9003</v>
      </c>
      <c r="N30" s="99">
        <f>'Suivi EAU-ELEC'!K29</f>
        <v>3701</v>
      </c>
      <c r="O30" s="99">
        <f t="shared" si="1"/>
        <v>17290</v>
      </c>
      <c r="P30" s="11"/>
      <c r="Q30" s="37">
        <f t="shared" si="2"/>
        <v>16692.585599999999</v>
      </c>
      <c r="R30" s="11"/>
      <c r="S30" s="31"/>
      <c r="T30" s="11"/>
      <c r="U30" s="31"/>
      <c r="V30" s="158">
        <f>'Suvi Gaz'!O24</f>
        <v>319.99209999999999</v>
      </c>
      <c r="W30" s="11"/>
      <c r="X30" s="37">
        <f t="shared" si="3"/>
        <v>2495.9383800000001</v>
      </c>
    </row>
    <row r="31" spans="1:24" ht="27.75" customHeight="1" thickBot="1" x14ac:dyDescent="0.25">
      <c r="A31" s="2"/>
      <c r="B31" s="6">
        <v>43668</v>
      </c>
      <c r="C31" s="7"/>
      <c r="D31" s="153">
        <v>166</v>
      </c>
      <c r="E31" s="153">
        <v>247</v>
      </c>
      <c r="F31" s="13">
        <f>'Suivi EAU-ELEC'!E30</f>
        <v>146.5</v>
      </c>
      <c r="G31" s="11"/>
      <c r="H31" s="167">
        <f t="shared" si="4"/>
        <v>1287.7349999999999</v>
      </c>
      <c r="I31" s="168"/>
      <c r="J31" s="168"/>
      <c r="K31" s="65">
        <v>42299</v>
      </c>
      <c r="L31" s="98">
        <f>'Suivi EAU-ELEC'!G30</f>
        <v>4835</v>
      </c>
      <c r="M31" s="99">
        <f>'Suivi EAU-ELEC'!I30</f>
        <v>9540</v>
      </c>
      <c r="N31" s="99">
        <f>'Suivi EAU-ELEC'!K30</f>
        <v>2975</v>
      </c>
      <c r="O31" s="99">
        <f t="shared" si="1"/>
        <v>17350</v>
      </c>
      <c r="P31" s="11"/>
      <c r="Q31" s="37">
        <f>L31*0.6985+M31*0.9514+N31*1.3304</f>
        <v>16411.5435</v>
      </c>
      <c r="R31" s="11"/>
      <c r="S31" s="31"/>
      <c r="T31" s="11"/>
      <c r="U31" s="31"/>
      <c r="V31" s="158">
        <f>'Suvi Gaz'!O25</f>
        <v>255.99368000000001</v>
      </c>
      <c r="W31" s="11"/>
      <c r="X31" s="37">
        <f t="shared" si="3"/>
        <v>1996.750704</v>
      </c>
    </row>
    <row r="32" spans="1:24" ht="37.5" customHeight="1" thickBot="1" x14ac:dyDescent="0.25">
      <c r="A32" s="2"/>
      <c r="B32" s="6">
        <v>43669</v>
      </c>
      <c r="C32" s="7"/>
      <c r="D32" s="153">
        <v>175</v>
      </c>
      <c r="E32" s="153">
        <v>263</v>
      </c>
      <c r="F32" s="13">
        <f>'Suivi EAU-ELEC'!E31</f>
        <v>175.70000000000437</v>
      </c>
      <c r="G32" s="11"/>
      <c r="H32" s="167">
        <f t="shared" si="4"/>
        <v>1544.4030000000382</v>
      </c>
      <c r="I32" s="168"/>
      <c r="J32" s="168"/>
      <c r="K32" s="65">
        <v>42300</v>
      </c>
      <c r="L32" s="98">
        <f>'Suivi EAU-ELEC'!G31</f>
        <v>4783</v>
      </c>
      <c r="M32" s="99">
        <f>'Suivi EAU-ELEC'!I31</f>
        <v>10667</v>
      </c>
      <c r="N32" s="99">
        <f>'Suivi EAU-ELEC'!K31</f>
        <v>5045</v>
      </c>
      <c r="O32" s="99">
        <f t="shared" si="1"/>
        <v>20495</v>
      </c>
      <c r="P32" s="11"/>
      <c r="Q32" s="37">
        <f t="shared" si="2"/>
        <v>20201.3773</v>
      </c>
      <c r="R32" s="11"/>
      <c r="S32" s="31"/>
      <c r="T32" s="11"/>
      <c r="U32" s="31"/>
      <c r="V32" s="158">
        <f>'Suvi Gaz'!O26</f>
        <v>127.99684000000001</v>
      </c>
      <c r="W32" s="11"/>
      <c r="X32" s="37">
        <f t="shared" si="3"/>
        <v>998.37535200000002</v>
      </c>
    </row>
    <row r="33" spans="1:24" ht="37.5" customHeight="1" thickBot="1" x14ac:dyDescent="0.25">
      <c r="A33" s="2"/>
      <c r="B33" s="6">
        <v>43670</v>
      </c>
      <c r="C33" s="7"/>
      <c r="D33" s="153">
        <v>167</v>
      </c>
      <c r="E33" s="153">
        <v>250</v>
      </c>
      <c r="F33" s="13">
        <f>'Suivi EAU-ELEC'!E32</f>
        <v>188.90000000000146</v>
      </c>
      <c r="G33" s="11"/>
      <c r="H33" s="167">
        <f t="shared" si="4"/>
        <v>1660.4310000000125</v>
      </c>
      <c r="I33" s="168"/>
      <c r="J33" s="168"/>
      <c r="K33" s="65">
        <v>42301</v>
      </c>
      <c r="L33" s="98">
        <f>'Suivi EAU-ELEC'!G32</f>
        <v>5088</v>
      </c>
      <c r="M33" s="99">
        <f>'Suivi EAU-ELEC'!I32</f>
        <v>10189</v>
      </c>
      <c r="N33" s="99">
        <f>'Suivi EAU-ELEC'!K32</f>
        <v>4100</v>
      </c>
      <c r="O33" s="99">
        <f t="shared" si="1"/>
        <v>19377</v>
      </c>
      <c r="P33" s="11"/>
      <c r="Q33" s="37">
        <f t="shared" si="2"/>
        <v>18702.422599999998</v>
      </c>
      <c r="R33" s="11"/>
      <c r="S33" s="31"/>
      <c r="T33" s="11"/>
      <c r="U33" s="31"/>
      <c r="V33" s="158">
        <f>'Suvi Gaz'!O27</f>
        <v>351.99131</v>
      </c>
      <c r="W33" s="11"/>
      <c r="X33" s="37">
        <f t="shared" si="3"/>
        <v>2745.5322179999998</v>
      </c>
    </row>
    <row r="34" spans="1:24" ht="37.5" customHeight="1" thickBot="1" x14ac:dyDescent="0.25">
      <c r="A34" s="2"/>
      <c r="B34" s="6">
        <v>43671</v>
      </c>
      <c r="C34" s="7"/>
      <c r="D34" s="153">
        <v>167</v>
      </c>
      <c r="E34" s="153">
        <v>259</v>
      </c>
      <c r="F34" s="13">
        <f>'Suivi EAU-ELEC'!E33</f>
        <v>183</v>
      </c>
      <c r="G34" s="11"/>
      <c r="H34" s="167">
        <f t="shared" si="4"/>
        <v>1608.57</v>
      </c>
      <c r="I34" s="168"/>
      <c r="J34" s="168"/>
      <c r="K34" s="65">
        <v>42302</v>
      </c>
      <c r="L34" s="98">
        <f>'Suivi EAU-ELEC'!G33</f>
        <v>4675</v>
      </c>
      <c r="M34" s="99">
        <f>'Suivi EAU-ELEC'!I33</f>
        <v>9771</v>
      </c>
      <c r="N34" s="99">
        <f>'Suivi EAU-ELEC'!K33</f>
        <v>3834</v>
      </c>
      <c r="O34" s="99">
        <f t="shared" si="1"/>
        <v>18280</v>
      </c>
      <c r="P34" s="11"/>
      <c r="Q34" s="37">
        <f t="shared" si="2"/>
        <v>17662.370500000001</v>
      </c>
      <c r="R34" s="11"/>
      <c r="S34" s="31"/>
      <c r="T34" s="11"/>
      <c r="U34" s="31"/>
      <c r="V34" s="158">
        <f>'Suvi Gaz'!O28</f>
        <v>191.99526</v>
      </c>
      <c r="W34" s="11"/>
      <c r="X34" s="37">
        <f t="shared" si="3"/>
        <v>1497.563028</v>
      </c>
    </row>
    <row r="35" spans="1:24" ht="33.75" customHeight="1" thickBot="1" x14ac:dyDescent="0.25">
      <c r="A35" s="2"/>
      <c r="B35" s="6">
        <v>43672</v>
      </c>
      <c r="C35" s="7"/>
      <c r="D35" s="153">
        <v>142</v>
      </c>
      <c r="E35" s="153">
        <v>234</v>
      </c>
      <c r="F35" s="13">
        <f>'Suivi EAU-ELEC'!E34</f>
        <v>201.59999999999854</v>
      </c>
      <c r="G35" s="11"/>
      <c r="H35" s="167">
        <f t="shared" si="4"/>
        <v>1772.0639999999871</v>
      </c>
      <c r="I35" s="168"/>
      <c r="J35" s="168"/>
      <c r="K35" s="65">
        <v>42303</v>
      </c>
      <c r="L35" s="98">
        <f>'Suivi EAU-ELEC'!G34</f>
        <v>4857</v>
      </c>
      <c r="M35" s="99">
        <f>'Suivi EAU-ELEC'!I34</f>
        <v>10094</v>
      </c>
      <c r="N35" s="99">
        <f>'Suivi EAU-ELEC'!K34</f>
        <v>3663</v>
      </c>
      <c r="O35" s="99">
        <f t="shared" si="1"/>
        <v>18614</v>
      </c>
      <c r="P35" s="11"/>
      <c r="Q35" s="37">
        <f t="shared" si="2"/>
        <v>17869.301299999999</v>
      </c>
      <c r="R35" s="11"/>
      <c r="S35" s="31"/>
      <c r="T35" s="11"/>
      <c r="U35" s="31"/>
      <c r="V35" s="158">
        <f>'Suvi Gaz'!O29</f>
        <v>255.99368000000001</v>
      </c>
      <c r="W35" s="11"/>
      <c r="X35" s="37">
        <f t="shared" si="3"/>
        <v>1996.750704</v>
      </c>
    </row>
    <row r="36" spans="1:24" ht="33.75" customHeight="1" thickBot="1" x14ac:dyDescent="0.25">
      <c r="A36" s="2"/>
      <c r="B36" s="6">
        <v>43673</v>
      </c>
      <c r="C36" s="7"/>
      <c r="D36" s="153">
        <v>137</v>
      </c>
      <c r="E36" s="153">
        <v>245</v>
      </c>
      <c r="F36" s="13">
        <f>'Suivi EAU-ELEC'!E35</f>
        <v>200.19999999999709</v>
      </c>
      <c r="G36" s="11"/>
      <c r="H36" s="167">
        <f>F36*8.79</f>
        <v>1759.7579999999743</v>
      </c>
      <c r="I36" s="168"/>
      <c r="J36" s="168"/>
      <c r="K36" s="65">
        <v>42304</v>
      </c>
      <c r="L36" s="98">
        <f>'Suivi EAU-ELEC'!G35</f>
        <v>4951</v>
      </c>
      <c r="M36" s="99">
        <f>'Suivi EAU-ELEC'!I35</f>
        <v>9866</v>
      </c>
      <c r="N36" s="99">
        <f>'Suivi EAU-ELEC'!K35</f>
        <v>3609</v>
      </c>
      <c r="O36" s="99">
        <f t="shared" si="1"/>
        <v>18426</v>
      </c>
      <c r="P36" s="11"/>
      <c r="Q36" s="37">
        <f t="shared" si="2"/>
        <v>17646.199499999999</v>
      </c>
      <c r="R36" s="11"/>
      <c r="S36" s="31"/>
      <c r="T36" s="11"/>
      <c r="U36" s="31"/>
      <c r="V36" s="158">
        <f>'Suvi Gaz'!O30</f>
        <v>447.98894000000001</v>
      </c>
      <c r="W36" s="11"/>
      <c r="X36" s="37">
        <f t="shared" si="3"/>
        <v>3494.3137320000001</v>
      </c>
    </row>
    <row r="37" spans="1:24" ht="33.75" customHeight="1" thickBot="1" x14ac:dyDescent="0.25">
      <c r="A37" s="2"/>
      <c r="B37" s="6">
        <v>43674</v>
      </c>
      <c r="C37" s="7"/>
      <c r="D37" s="153">
        <v>147</v>
      </c>
      <c r="E37" s="153">
        <v>262</v>
      </c>
      <c r="F37" s="13">
        <f>'Suivi EAU-ELEC'!E36</f>
        <v>158.09999999999854</v>
      </c>
      <c r="G37" s="11"/>
      <c r="H37" s="167">
        <f>F37*8.79</f>
        <v>1389.6989999999871</v>
      </c>
      <c r="I37" s="168"/>
      <c r="J37" s="168"/>
      <c r="K37" s="65">
        <v>42305</v>
      </c>
      <c r="L37" s="98">
        <f>'Suivi EAU-ELEC'!G36</f>
        <v>4045</v>
      </c>
      <c r="M37" s="99">
        <f>'Suivi EAU-ELEC'!I36</f>
        <v>9742</v>
      </c>
      <c r="N37" s="99">
        <f>'Suivi EAU-ELEC'!K36</f>
        <v>3607</v>
      </c>
      <c r="O37" s="99">
        <f t="shared" si="1"/>
        <v>17394</v>
      </c>
      <c r="P37" s="11"/>
      <c r="Q37" s="37">
        <f t="shared" si="2"/>
        <v>16892.724099999999</v>
      </c>
      <c r="R37" s="11"/>
      <c r="S37" s="31"/>
      <c r="T37" s="11"/>
      <c r="U37" s="31"/>
      <c r="V37" s="158">
        <f>'Suvi Gaz'!O31</f>
        <v>287.99288999999999</v>
      </c>
      <c r="W37" s="11"/>
      <c r="X37" s="37">
        <f t="shared" si="3"/>
        <v>2246.3445419999998</v>
      </c>
    </row>
    <row r="38" spans="1:24" ht="33.75" customHeight="1" thickBot="1" x14ac:dyDescent="0.25">
      <c r="A38" s="2"/>
      <c r="B38" s="6">
        <v>43675</v>
      </c>
      <c r="C38" s="7"/>
      <c r="D38" s="153">
        <v>144</v>
      </c>
      <c r="E38" s="153">
        <v>252</v>
      </c>
      <c r="F38" s="13">
        <f>'Suivi EAU-ELEC'!E37</f>
        <v>140</v>
      </c>
      <c r="G38" s="11"/>
      <c r="H38" s="167">
        <f t="shared" si="4"/>
        <v>1230.5999999999999</v>
      </c>
      <c r="I38" s="168"/>
      <c r="J38" s="168"/>
      <c r="K38" s="65"/>
      <c r="L38" s="98">
        <f>'Suivi EAU-ELEC'!G37</f>
        <v>4563</v>
      </c>
      <c r="M38" s="99">
        <f>'Suivi EAU-ELEC'!I37</f>
        <v>9132</v>
      </c>
      <c r="N38" s="99">
        <f>'Suivi EAU-ELEC'!K37</f>
        <v>3404</v>
      </c>
      <c r="O38" s="99">
        <f t="shared" si="1"/>
        <v>17099</v>
      </c>
      <c r="P38" s="11"/>
      <c r="Q38" s="37">
        <f t="shared" si="2"/>
        <v>16404.121900000002</v>
      </c>
      <c r="R38" s="11"/>
      <c r="S38" s="31"/>
      <c r="T38" s="11"/>
      <c r="U38" s="31"/>
      <c r="V38" s="158">
        <f>'Suvi Gaz'!O32</f>
        <v>415.98973000000001</v>
      </c>
      <c r="W38" s="11"/>
      <c r="X38" s="37">
        <f t="shared" si="3"/>
        <v>3244.7198939999998</v>
      </c>
    </row>
    <row r="39" spans="1:24" ht="33.75" customHeight="1" thickBot="1" x14ac:dyDescent="0.25">
      <c r="A39" s="2"/>
      <c r="B39" s="6">
        <v>43676</v>
      </c>
      <c r="C39" s="7"/>
      <c r="D39" s="153">
        <v>148</v>
      </c>
      <c r="E39" s="153">
        <v>247</v>
      </c>
      <c r="F39" s="13">
        <f>'Suivi EAU-ELEC'!E38</f>
        <v>184.80000000000291</v>
      </c>
      <c r="G39" s="11"/>
      <c r="H39" s="167">
        <f>F39*8.79</f>
        <v>1624.3920000000255</v>
      </c>
      <c r="I39" s="168"/>
      <c r="J39" s="168"/>
      <c r="K39" s="65"/>
      <c r="L39" s="98">
        <f>'Suivi EAU-ELEC'!G38</f>
        <v>5815</v>
      </c>
      <c r="M39" s="99">
        <f>'Suivi EAU-ELEC'!I38</f>
        <v>9234</v>
      </c>
      <c r="N39" s="99">
        <f>'Suivi EAU-ELEC'!K38</f>
        <v>3641</v>
      </c>
      <c r="O39" s="99">
        <f t="shared" si="1"/>
        <v>18690</v>
      </c>
      <c r="P39" s="11"/>
      <c r="Q39" s="37">
        <f t="shared" si="2"/>
        <v>17690.9915</v>
      </c>
      <c r="R39" s="11"/>
      <c r="S39" s="31"/>
      <c r="T39" s="11"/>
      <c r="U39" s="31"/>
      <c r="V39" s="158">
        <f>'Suvi Gaz'!O33</f>
        <v>223.99447000000001</v>
      </c>
      <c r="W39" s="11"/>
      <c r="X39" s="37">
        <f t="shared" si="3"/>
        <v>1747.156866</v>
      </c>
    </row>
    <row r="40" spans="1:24" ht="33.75" customHeight="1" thickBot="1" x14ac:dyDescent="0.25">
      <c r="A40" s="2"/>
      <c r="B40" s="6">
        <v>43677</v>
      </c>
      <c r="C40" s="7"/>
      <c r="D40" s="153">
        <v>146</v>
      </c>
      <c r="E40" s="153">
        <v>261</v>
      </c>
      <c r="F40" s="13">
        <f>'Suivi EAU-ELEC'!E39</f>
        <v>161</v>
      </c>
      <c r="G40" s="11"/>
      <c r="H40" s="167">
        <f>F40*8.79</f>
        <v>1415.1899999999998</v>
      </c>
      <c r="I40" s="168"/>
      <c r="J40" s="168"/>
      <c r="K40" s="65"/>
      <c r="L40" s="98">
        <f>'Suivi EAU-ELEC'!G39</f>
        <v>5044</v>
      </c>
      <c r="M40" s="99">
        <f>'Suivi EAU-ELEC'!I39</f>
        <v>9803</v>
      </c>
      <c r="N40" s="99">
        <f>'Suivi EAU-ELEC'!K39</f>
        <v>3775</v>
      </c>
      <c r="O40" s="99">
        <f t="shared" si="1"/>
        <v>18622</v>
      </c>
      <c r="P40" s="11"/>
      <c r="Q40" s="37">
        <f t="shared" si="2"/>
        <v>17872.068200000002</v>
      </c>
      <c r="R40" s="11"/>
      <c r="S40" s="31"/>
      <c r="T40" s="11"/>
      <c r="U40" s="31"/>
      <c r="V40" s="158">
        <f>'Suvi Gaz'!O34</f>
        <v>287.99288999999999</v>
      </c>
      <c r="W40" s="11"/>
      <c r="X40" s="37">
        <f t="shared" si="3"/>
        <v>2246.3445419999998</v>
      </c>
    </row>
    <row r="41" spans="1:24" ht="42.75" customHeight="1" thickBot="1" x14ac:dyDescent="0.25">
      <c r="A41" s="2"/>
      <c r="B41" s="10"/>
      <c r="C41" s="10"/>
      <c r="D41" s="8">
        <f>SUM(D10:D40)</f>
        <v>4649</v>
      </c>
      <c r="E41" s="8">
        <f>SUM(E10:E40)</f>
        <v>7621</v>
      </c>
      <c r="F41" s="8">
        <f>SUM(F10:F40)</f>
        <v>5649</v>
      </c>
      <c r="G41" s="1"/>
      <c r="H41" s="240">
        <f>SUM(H10:H40)</f>
        <v>49654.709999999992</v>
      </c>
      <c r="I41" s="241"/>
      <c r="J41" s="242"/>
      <c r="K41" s="1"/>
      <c r="L41" s="57">
        <f>SUM(L10:L40)</f>
        <v>148996</v>
      </c>
      <c r="M41" s="57">
        <f>SUM(M10:M40)</f>
        <v>300008</v>
      </c>
      <c r="N41" s="58">
        <f>SUM(N10:N40)</f>
        <v>115132</v>
      </c>
      <c r="O41" s="59">
        <f>SUM(O10:O40)</f>
        <v>564136</v>
      </c>
      <c r="P41" s="34"/>
      <c r="Q41" s="35">
        <f>SUM(Q10:Q40)</f>
        <v>542672.92999999993</v>
      </c>
      <c r="R41" s="34"/>
      <c r="S41" s="33">
        <f>SUM(S10:S40)</f>
        <v>0</v>
      </c>
      <c r="T41" s="34"/>
      <c r="U41" s="33">
        <f>SUM(U10:U40)</f>
        <v>0</v>
      </c>
      <c r="V41" s="35">
        <f>SUM(V10:V40)</f>
        <v>11039.727449999997</v>
      </c>
      <c r="W41" s="34"/>
      <c r="X41" s="35">
        <f>SUM(X10:X40)</f>
        <v>86109.874110000019</v>
      </c>
    </row>
    <row r="42" spans="1:24" s="5" customFormat="1" ht="12.75" customHeight="1" thickBot="1" x14ac:dyDescent="0.25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172" t="s">
        <v>33</v>
      </c>
      <c r="B43" s="173"/>
      <c r="C43" s="173"/>
      <c r="D43" s="173"/>
      <c r="E43" s="173"/>
      <c r="F43" s="174"/>
      <c r="G43" s="29"/>
      <c r="H43" s="30" t="s">
        <v>34</v>
      </c>
      <c r="I43" s="243" t="s">
        <v>35</v>
      </c>
      <c r="J43" s="244"/>
      <c r="K43" s="245"/>
      <c r="L43" s="208" t="s">
        <v>36</v>
      </c>
      <c r="M43" s="209"/>
      <c r="N43" s="172" t="s">
        <v>37</v>
      </c>
      <c r="O43" s="173"/>
      <c r="P43" s="173"/>
      <c r="Q43" s="173"/>
      <c r="R43" s="173"/>
      <c r="S43" s="173"/>
      <c r="T43" s="173"/>
      <c r="U43" s="173"/>
      <c r="V43" s="173"/>
      <c r="W43" s="173"/>
      <c r="X43" s="174"/>
    </row>
    <row r="44" spans="1:24" s="20" customFormat="1" ht="29.25" customHeight="1" thickBot="1" x14ac:dyDescent="0.25">
      <c r="A44" s="195" t="s">
        <v>38</v>
      </c>
      <c r="B44" s="196"/>
      <c r="C44" s="197"/>
      <c r="D44" s="17" t="s">
        <v>30</v>
      </c>
      <c r="E44" s="17" t="s">
        <v>30</v>
      </c>
      <c r="F44" s="17" t="s">
        <v>30</v>
      </c>
      <c r="G44" s="18"/>
      <c r="H44" s="19">
        <v>0.69850000000000001</v>
      </c>
      <c r="I44" s="205">
        <f>L41</f>
        <v>148996</v>
      </c>
      <c r="J44" s="206"/>
      <c r="K44" s="207"/>
      <c r="L44" s="201">
        <f>I44*H44</f>
        <v>104073.70600000001</v>
      </c>
      <c r="M44" s="202"/>
      <c r="N44" s="182">
        <f>L44+L45+L46</f>
        <v>542672.92999999993</v>
      </c>
      <c r="O44" s="183"/>
      <c r="P44" s="183"/>
      <c r="Q44" s="183"/>
      <c r="R44" s="183"/>
      <c r="S44" s="183"/>
      <c r="T44" s="183"/>
      <c r="U44" s="183"/>
      <c r="V44" s="183"/>
      <c r="W44" s="183"/>
      <c r="X44" s="184"/>
    </row>
    <row r="45" spans="1:24" s="20" customFormat="1" ht="29.25" customHeight="1" thickBot="1" x14ac:dyDescent="0.25">
      <c r="A45" s="198"/>
      <c r="B45" s="199"/>
      <c r="C45" s="200"/>
      <c r="D45" s="16" t="s">
        <v>31</v>
      </c>
      <c r="E45" s="16" t="s">
        <v>31</v>
      </c>
      <c r="F45" s="16" t="s">
        <v>31</v>
      </c>
      <c r="G45" s="18"/>
      <c r="H45" s="21">
        <v>0.95140000000000002</v>
      </c>
      <c r="I45" s="205">
        <f>M41</f>
        <v>300008</v>
      </c>
      <c r="J45" s="206"/>
      <c r="K45" s="207"/>
      <c r="L45" s="201">
        <f>I45*H45</f>
        <v>285427.61119999998</v>
      </c>
      <c r="M45" s="202"/>
      <c r="N45" s="185"/>
      <c r="O45" s="186"/>
      <c r="P45" s="186"/>
      <c r="Q45" s="186"/>
      <c r="R45" s="186"/>
      <c r="S45" s="186"/>
      <c r="T45" s="186"/>
      <c r="U45" s="186"/>
      <c r="V45" s="186"/>
      <c r="W45" s="186"/>
      <c r="X45" s="187"/>
    </row>
    <row r="46" spans="1:24" s="20" customFormat="1" ht="24.75" customHeight="1" thickBot="1" x14ac:dyDescent="0.25">
      <c r="A46" s="198"/>
      <c r="B46" s="199"/>
      <c r="C46" s="200"/>
      <c r="D46" s="22" t="s">
        <v>32</v>
      </c>
      <c r="E46" s="22" t="s">
        <v>32</v>
      </c>
      <c r="F46" s="22" t="s">
        <v>32</v>
      </c>
      <c r="G46" s="23"/>
      <c r="H46" s="23">
        <v>1.3304</v>
      </c>
      <c r="I46" s="237">
        <f>N41</f>
        <v>115132</v>
      </c>
      <c r="J46" s="238"/>
      <c r="K46" s="239"/>
      <c r="L46" s="201">
        <f>I46*H46</f>
        <v>153171.6128</v>
      </c>
      <c r="M46" s="202"/>
      <c r="N46" s="188"/>
      <c r="O46" s="189"/>
      <c r="P46" s="189"/>
      <c r="Q46" s="189"/>
      <c r="R46" s="189"/>
      <c r="S46" s="189"/>
      <c r="T46" s="189"/>
      <c r="U46" s="189"/>
      <c r="V46" s="189"/>
      <c r="W46" s="189"/>
      <c r="X46" s="190"/>
    </row>
    <row r="47" spans="1:24" s="20" customFormat="1" ht="39.950000000000003" customHeight="1" thickBot="1" x14ac:dyDescent="0.25">
      <c r="A47" s="162"/>
      <c r="B47" s="163"/>
      <c r="C47" s="163"/>
      <c r="D47" s="205" t="s">
        <v>127</v>
      </c>
      <c r="E47" s="429"/>
      <c r="F47" s="430"/>
      <c r="G47" s="162"/>
      <c r="H47" s="21">
        <v>1000</v>
      </c>
      <c r="I47" s="159">
        <v>43.88167</v>
      </c>
      <c r="J47" s="160">
        <v>43.88167</v>
      </c>
      <c r="K47" s="161"/>
      <c r="L47" s="431">
        <f>I47*H47</f>
        <v>43881.67</v>
      </c>
      <c r="M47" s="432"/>
      <c r="N47" s="433">
        <f>L47</f>
        <v>43881.67</v>
      </c>
      <c r="O47" s="429"/>
      <c r="P47" s="429"/>
      <c r="Q47" s="429"/>
      <c r="R47" s="429"/>
      <c r="S47" s="429"/>
      <c r="T47" s="429"/>
      <c r="U47" s="429"/>
      <c r="V47" s="429"/>
      <c r="W47" s="429"/>
      <c r="X47" s="430"/>
    </row>
    <row r="48" spans="1:24" s="20" customFormat="1" ht="39.950000000000003" customHeight="1" thickBot="1" x14ac:dyDescent="0.25">
      <c r="A48" s="162"/>
      <c r="B48" s="163"/>
      <c r="C48" s="163"/>
      <c r="D48" s="205" t="s">
        <v>128</v>
      </c>
      <c r="E48" s="429"/>
      <c r="F48" s="430"/>
      <c r="G48" s="18"/>
      <c r="H48" s="434">
        <v>340</v>
      </c>
      <c r="I48" s="159">
        <v>65.822505000000007</v>
      </c>
      <c r="J48" s="160">
        <v>65.822505000000007</v>
      </c>
      <c r="K48" s="161"/>
      <c r="L48" s="201">
        <f>I48*H48</f>
        <v>22379.651700000002</v>
      </c>
      <c r="M48" s="202"/>
      <c r="N48" s="433">
        <f>L48</f>
        <v>22379.651700000002</v>
      </c>
      <c r="O48" s="429"/>
      <c r="P48" s="429"/>
      <c r="Q48" s="429"/>
      <c r="R48" s="429"/>
      <c r="S48" s="429"/>
      <c r="T48" s="429"/>
      <c r="U48" s="429"/>
      <c r="V48" s="429"/>
      <c r="W48" s="429"/>
      <c r="X48" s="430"/>
    </row>
    <row r="49" spans="1:24" s="20" customFormat="1" ht="39.950000000000003" customHeight="1" thickBot="1" x14ac:dyDescent="0.25">
      <c r="A49" s="162"/>
      <c r="B49" s="163"/>
      <c r="C49" s="163"/>
      <c r="D49" s="205" t="s">
        <v>129</v>
      </c>
      <c r="E49" s="429"/>
      <c r="F49" s="430"/>
      <c r="G49" s="18"/>
      <c r="H49" s="21"/>
      <c r="I49" s="159">
        <v>841</v>
      </c>
      <c r="J49" s="160">
        <v>841</v>
      </c>
      <c r="K49" s="161"/>
      <c r="L49" s="201">
        <f>J49</f>
        <v>841</v>
      </c>
      <c r="M49" s="202"/>
      <c r="N49" s="433">
        <f>L49</f>
        <v>841</v>
      </c>
      <c r="O49" s="429"/>
      <c r="P49" s="429"/>
      <c r="Q49" s="429"/>
      <c r="R49" s="429"/>
      <c r="S49" s="429"/>
      <c r="T49" s="429"/>
      <c r="U49" s="429"/>
      <c r="V49" s="429"/>
      <c r="W49" s="429"/>
      <c r="X49" s="430"/>
    </row>
    <row r="50" spans="1:24" s="20" customFormat="1" ht="39.950000000000003" customHeight="1" thickBot="1" x14ac:dyDescent="0.25">
      <c r="A50" s="162"/>
      <c r="B50" s="163"/>
      <c r="C50" s="163"/>
      <c r="D50" s="195" t="s">
        <v>130</v>
      </c>
      <c r="E50" s="435"/>
      <c r="F50" s="436"/>
      <c r="G50" s="18"/>
      <c r="H50" s="23"/>
      <c r="I50" s="162">
        <v>1492</v>
      </c>
      <c r="J50" s="163">
        <v>1492</v>
      </c>
      <c r="K50" s="164"/>
      <c r="L50" s="437">
        <f>J50</f>
        <v>1492</v>
      </c>
      <c r="M50" s="438"/>
      <c r="N50" s="433">
        <f>L50</f>
        <v>1492</v>
      </c>
      <c r="O50" s="429"/>
      <c r="P50" s="429"/>
      <c r="Q50" s="429"/>
      <c r="R50" s="429"/>
      <c r="S50" s="429"/>
      <c r="T50" s="429"/>
      <c r="U50" s="429"/>
      <c r="V50" s="429"/>
      <c r="W50" s="429"/>
      <c r="X50" s="430"/>
    </row>
    <row r="51" spans="1:24" s="20" customFormat="1" ht="39.950000000000003" customHeight="1" thickBot="1" x14ac:dyDescent="0.25">
      <c r="A51" s="162"/>
      <c r="B51" s="163"/>
      <c r="C51" s="163"/>
      <c r="D51" s="205" t="s">
        <v>184</v>
      </c>
      <c r="E51" s="429"/>
      <c r="F51" s="429"/>
      <c r="G51" s="429"/>
      <c r="H51" s="429"/>
      <c r="I51" s="429"/>
      <c r="J51" s="429"/>
      <c r="K51" s="429"/>
      <c r="L51" s="429"/>
      <c r="M51" s="430"/>
      <c r="N51" s="433">
        <f>N44+N47+N48+N49+N50</f>
        <v>611267.25170000002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30"/>
    </row>
    <row r="52" spans="1:24" s="20" customFormat="1" ht="43.5" customHeight="1" thickBot="1" x14ac:dyDescent="0.25">
      <c r="A52" s="162"/>
      <c r="B52" s="163"/>
      <c r="C52" s="163"/>
      <c r="D52" s="205" t="s">
        <v>185</v>
      </c>
      <c r="E52" s="429"/>
      <c r="F52" s="429"/>
      <c r="G52" s="429"/>
      <c r="H52" s="429"/>
      <c r="I52" s="429"/>
      <c r="J52" s="429"/>
      <c r="K52" s="429"/>
      <c r="L52" s="429"/>
      <c r="M52" s="430"/>
      <c r="N52" s="439">
        <f>N51/O41</f>
        <v>1.083545903292823</v>
      </c>
      <c r="O52" s="440"/>
      <c r="P52" s="440"/>
      <c r="Q52" s="440"/>
      <c r="R52" s="440"/>
      <c r="S52" s="440"/>
      <c r="T52" s="440"/>
      <c r="U52" s="440"/>
      <c r="V52" s="440"/>
      <c r="W52" s="440"/>
      <c r="X52" s="441"/>
    </row>
    <row r="53" spans="1:24" s="26" customFormat="1" ht="32.25" customHeight="1" thickBot="1" x14ac:dyDescent="0.25">
      <c r="A53" s="169" t="s">
        <v>39</v>
      </c>
      <c r="B53" s="170"/>
      <c r="C53" s="170"/>
      <c r="D53" s="170"/>
      <c r="E53" s="170"/>
      <c r="F53" s="171"/>
      <c r="G53" s="24"/>
      <c r="H53" s="25">
        <v>8.7899999999999991</v>
      </c>
      <c r="I53" s="169">
        <f>F41</f>
        <v>5649</v>
      </c>
      <c r="J53" s="170"/>
      <c r="K53" s="171"/>
      <c r="L53" s="203">
        <f>I53*H53</f>
        <v>49654.709999999992</v>
      </c>
      <c r="M53" s="204"/>
      <c r="N53" s="179">
        <f>L53</f>
        <v>49654.709999999992</v>
      </c>
      <c r="O53" s="180"/>
      <c r="P53" s="180"/>
      <c r="Q53" s="180"/>
      <c r="R53" s="180"/>
      <c r="S53" s="180"/>
      <c r="T53" s="180"/>
      <c r="U53" s="180"/>
      <c r="V53" s="180"/>
      <c r="W53" s="180"/>
      <c r="X53" s="181"/>
    </row>
    <row r="54" spans="1:24" s="26" customFormat="1" ht="36.75" customHeight="1" thickBot="1" x14ac:dyDescent="0.25">
      <c r="A54" s="191" t="s">
        <v>40</v>
      </c>
      <c r="B54" s="192"/>
      <c r="C54" s="192"/>
      <c r="D54" s="192"/>
      <c r="E54" s="192"/>
      <c r="F54" s="193"/>
      <c r="G54" s="27"/>
      <c r="H54" s="28">
        <v>7.8</v>
      </c>
      <c r="I54" s="165">
        <f>V41</f>
        <v>11039.727449999997</v>
      </c>
      <c r="J54" s="194"/>
      <c r="K54" s="166"/>
      <c r="L54" s="165">
        <f>I54*H54</f>
        <v>86109.874109999975</v>
      </c>
      <c r="M54" s="166"/>
      <c r="N54" s="176">
        <f>L54</f>
        <v>86109.874109999975</v>
      </c>
      <c r="O54" s="177"/>
      <c r="P54" s="177"/>
      <c r="Q54" s="177"/>
      <c r="R54" s="177"/>
      <c r="S54" s="177"/>
      <c r="T54" s="177"/>
      <c r="U54" s="177"/>
      <c r="V54" s="177"/>
      <c r="W54" s="177"/>
      <c r="X54" s="178"/>
    </row>
    <row r="55" spans="1:24" ht="27" customHeight="1" x14ac:dyDescent="0.2">
      <c r="A55" s="2"/>
      <c r="B55" s="2"/>
      <c r="C55" s="2"/>
      <c r="D55" s="2"/>
      <c r="E55" s="2"/>
      <c r="F55" s="2"/>
      <c r="G55" s="36"/>
      <c r="H55" s="36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36"/>
      <c r="U55" s="36"/>
      <c r="V55" s="36"/>
      <c r="W55" s="36"/>
      <c r="X55" s="36"/>
    </row>
    <row r="56" spans="1:24" ht="18.75" customHeight="1" x14ac:dyDescent="0.2"/>
    <row r="60" spans="1:24" ht="39" customHeight="1" x14ac:dyDescent="0.2"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</row>
  </sheetData>
  <mergeCells count="88">
    <mergeCell ref="N51:X51"/>
    <mergeCell ref="D52:M52"/>
    <mergeCell ref="N52:X52"/>
    <mergeCell ref="D49:F49"/>
    <mergeCell ref="L49:M49"/>
    <mergeCell ref="N49:X49"/>
    <mergeCell ref="D50:F50"/>
    <mergeCell ref="L50:M50"/>
    <mergeCell ref="N50:X50"/>
    <mergeCell ref="D47:F47"/>
    <mergeCell ref="L47:M47"/>
    <mergeCell ref="N47:X47"/>
    <mergeCell ref="D48:F48"/>
    <mergeCell ref="L48:M48"/>
    <mergeCell ref="N48:X48"/>
    <mergeCell ref="D8:D9"/>
    <mergeCell ref="H41:J41"/>
    <mergeCell ref="H30:J30"/>
    <mergeCell ref="H38:J38"/>
    <mergeCell ref="H36:J36"/>
    <mergeCell ref="H33:J33"/>
    <mergeCell ref="H31:J31"/>
    <mergeCell ref="H13:J13"/>
    <mergeCell ref="H21:J21"/>
    <mergeCell ref="H19:J19"/>
    <mergeCell ref="H29:J29"/>
    <mergeCell ref="K8:K9"/>
    <mergeCell ref="H22:J22"/>
    <mergeCell ref="H10:J10"/>
    <mergeCell ref="H12:J12"/>
    <mergeCell ref="H14:J14"/>
    <mergeCell ref="H18:J18"/>
    <mergeCell ref="H17:J17"/>
    <mergeCell ref="H11:J11"/>
    <mergeCell ref="F8:F9"/>
    <mergeCell ref="H37:J37"/>
    <mergeCell ref="H15:J15"/>
    <mergeCell ref="H23:J23"/>
    <mergeCell ref="H16:J16"/>
    <mergeCell ref="H26:J26"/>
    <mergeCell ref="H28:J28"/>
    <mergeCell ref="H32:J32"/>
    <mergeCell ref="A2:H2"/>
    <mergeCell ref="A4:C5"/>
    <mergeCell ref="F7:L7"/>
    <mergeCell ref="H8:J9"/>
    <mergeCell ref="I2:X2"/>
    <mergeCell ref="A8:A9"/>
    <mergeCell ref="B8:B9"/>
    <mergeCell ref="E8:E9"/>
    <mergeCell ref="M5:X7"/>
    <mergeCell ref="U8:U9"/>
    <mergeCell ref="Q8:Q9"/>
    <mergeCell ref="O8:O9"/>
    <mergeCell ref="X8:X9"/>
    <mergeCell ref="V8:V9"/>
    <mergeCell ref="S8:S9"/>
    <mergeCell ref="L8:N8"/>
    <mergeCell ref="L53:M53"/>
    <mergeCell ref="L45:M45"/>
    <mergeCell ref="H34:J34"/>
    <mergeCell ref="I44:K44"/>
    <mergeCell ref="L43:M43"/>
    <mergeCell ref="I45:K45"/>
    <mergeCell ref="I46:K46"/>
    <mergeCell ref="H39:J39"/>
    <mergeCell ref="I43:K43"/>
    <mergeCell ref="D51:M51"/>
    <mergeCell ref="H25:J25"/>
    <mergeCell ref="H20:J20"/>
    <mergeCell ref="H24:J24"/>
    <mergeCell ref="H35:J35"/>
    <mergeCell ref="H27:J27"/>
    <mergeCell ref="L54:M54"/>
    <mergeCell ref="H40:J40"/>
    <mergeCell ref="A53:F53"/>
    <mergeCell ref="A43:F43"/>
    <mergeCell ref="B60:X60"/>
    <mergeCell ref="N54:X54"/>
    <mergeCell ref="N53:X53"/>
    <mergeCell ref="N44:X46"/>
    <mergeCell ref="N43:X43"/>
    <mergeCell ref="A54:F54"/>
    <mergeCell ref="I54:K54"/>
    <mergeCell ref="A44:C46"/>
    <mergeCell ref="L44:M44"/>
    <mergeCell ref="L46:M46"/>
    <mergeCell ref="I53:K53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view="pageBreakPreview" zoomScale="60" zoomScaleNormal="60" workbookViewId="0">
      <pane xSplit="1" ySplit="3" topLeftCell="B32" activePane="bottomRight" state="frozen"/>
      <selection pane="topRight" activeCell="B1" sqref="B1"/>
      <selection pane="bottomLeft" activeCell="A4" sqref="A4"/>
      <selection pane="bottomRight" activeCell="O4" sqref="O4:O34"/>
    </sheetView>
  </sheetViews>
  <sheetFormatPr baseColWidth="10" defaultColWidth="11.42578125" defaultRowHeight="15" x14ac:dyDescent="0.3"/>
  <cols>
    <col min="1" max="1" width="18.7109375" style="38" customWidth="1"/>
    <col min="2" max="3" width="9.5703125" style="39" customWidth="1"/>
    <col min="4" max="4" width="9.85546875" style="39" customWidth="1"/>
    <col min="5" max="5" width="8.85546875" style="39" customWidth="1"/>
    <col min="6" max="6" width="11.42578125" style="39" customWidth="1"/>
    <col min="7" max="7" width="8.85546875" style="39" customWidth="1"/>
    <col min="8" max="8" width="9.85546875" style="39" customWidth="1"/>
    <col min="9" max="9" width="12.140625" style="39" customWidth="1"/>
    <col min="10" max="10" width="16.140625" style="39" customWidth="1"/>
    <col min="11" max="11" width="17.28515625" style="39" customWidth="1"/>
    <col min="12" max="12" width="14.28515625" style="39" customWidth="1"/>
    <col min="13" max="13" width="16.28515625" style="39" customWidth="1"/>
    <col min="14" max="14" width="14.140625" style="39" customWidth="1"/>
    <col min="15" max="15" width="14.42578125" style="39" customWidth="1"/>
    <col min="16" max="16" width="15.85546875" style="39" customWidth="1"/>
    <col min="17" max="17" width="11.85546875" style="39" customWidth="1"/>
    <col min="18" max="18" width="8.42578125" style="39" customWidth="1"/>
    <col min="19" max="19" width="9.85546875" style="39" customWidth="1"/>
    <col min="20" max="20" width="11.28515625" style="39" customWidth="1"/>
    <col min="21" max="21" width="8.42578125" style="39" customWidth="1"/>
    <col min="22" max="22" width="9.85546875" style="39" customWidth="1"/>
    <col min="23" max="23" width="11.28515625" style="39" customWidth="1"/>
    <col min="24" max="24" width="8.42578125" style="39" customWidth="1"/>
    <col min="25" max="25" width="9.85546875" style="39" customWidth="1"/>
    <col min="26" max="26" width="11.28515625" style="39" customWidth="1"/>
    <col min="27" max="27" width="8.42578125" style="39" customWidth="1"/>
    <col min="28" max="28" width="9.85546875" style="39" customWidth="1"/>
    <col min="29" max="29" width="15.28515625" style="40" customWidth="1"/>
    <col min="30" max="30" width="20.140625" style="39" customWidth="1"/>
    <col min="31" max="31" width="24.5703125" style="39" customWidth="1"/>
    <col min="32" max="16384" width="11.42578125" style="39"/>
  </cols>
  <sheetData>
    <row r="1" spans="1:31" ht="62.25" customHeight="1" thickBot="1" x14ac:dyDescent="0.35">
      <c r="F1" s="255" t="s">
        <v>41</v>
      </c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39" t="s">
        <v>42</v>
      </c>
    </row>
    <row r="2" spans="1:31" ht="41.25" customHeight="1" thickBot="1" x14ac:dyDescent="0.4">
      <c r="Q2" s="260">
        <v>803</v>
      </c>
      <c r="R2" s="261"/>
      <c r="S2" s="262"/>
      <c r="T2" s="263">
        <v>519</v>
      </c>
      <c r="U2" s="261"/>
      <c r="V2" s="262"/>
      <c r="W2" s="263">
        <v>800</v>
      </c>
      <c r="X2" s="261"/>
      <c r="Y2" s="262"/>
      <c r="Z2" s="263">
        <v>802</v>
      </c>
      <c r="AA2" s="261"/>
      <c r="AB2" s="264"/>
      <c r="AC2" s="39"/>
    </row>
    <row r="3" spans="1:31" s="140" customFormat="1" ht="50.25" customHeight="1" x14ac:dyDescent="0.3">
      <c r="A3" s="129"/>
      <c r="B3" s="130" t="s">
        <v>43</v>
      </c>
      <c r="C3" s="131" t="s">
        <v>44</v>
      </c>
      <c r="D3" s="130" t="s">
        <v>45</v>
      </c>
      <c r="E3" s="131" t="s">
        <v>46</v>
      </c>
      <c r="F3" s="130" t="s">
        <v>47</v>
      </c>
      <c r="G3" s="131" t="s">
        <v>48</v>
      </c>
      <c r="H3" s="130" t="s">
        <v>49</v>
      </c>
      <c r="I3" s="131" t="s">
        <v>50</v>
      </c>
      <c r="J3" s="132" t="s">
        <v>51</v>
      </c>
      <c r="K3" s="132" t="s">
        <v>52</v>
      </c>
      <c r="L3" s="132" t="s">
        <v>53</v>
      </c>
      <c r="M3" s="132" t="s">
        <v>54</v>
      </c>
      <c r="N3" s="132" t="s">
        <v>55</v>
      </c>
      <c r="O3" s="133" t="s">
        <v>56</v>
      </c>
      <c r="P3" s="133" t="s">
        <v>57</v>
      </c>
      <c r="Q3" s="134" t="s">
        <v>58</v>
      </c>
      <c r="R3" s="134" t="s">
        <v>59</v>
      </c>
      <c r="S3" s="134" t="s">
        <v>60</v>
      </c>
      <c r="T3" s="135" t="s">
        <v>61</v>
      </c>
      <c r="U3" s="136" t="s">
        <v>59</v>
      </c>
      <c r="V3" s="135" t="s">
        <v>60</v>
      </c>
      <c r="W3" s="135" t="s">
        <v>62</v>
      </c>
      <c r="X3" s="135" t="s">
        <v>59</v>
      </c>
      <c r="Y3" s="135" t="s">
        <v>60</v>
      </c>
      <c r="Z3" s="135" t="s">
        <v>63</v>
      </c>
      <c r="AA3" s="135" t="s">
        <v>59</v>
      </c>
      <c r="AB3" s="137" t="s">
        <v>60</v>
      </c>
      <c r="AC3" s="138" t="s">
        <v>64</v>
      </c>
      <c r="AD3" s="139" t="s">
        <v>65</v>
      </c>
      <c r="AE3" s="139" t="s">
        <v>66</v>
      </c>
    </row>
    <row r="4" spans="1:31" ht="32.25" customHeight="1" x14ac:dyDescent="0.3">
      <c r="A4" s="43">
        <v>43647</v>
      </c>
      <c r="B4" s="44">
        <v>45</v>
      </c>
      <c r="C4" s="42">
        <f t="shared" ref="C4:C19" si="0">IF(AC4&gt;0,((B4-R4)+(S4-B5)),IF(B5=0, ,(B4-B5)))</f>
        <v>5</v>
      </c>
      <c r="D4" s="44">
        <v>49</v>
      </c>
      <c r="E4" s="42">
        <f>IF(AC4&gt;0,((D4-U4)+(V4-D5)),IF(D5=0, ,(D4-D5)))</f>
        <v>5</v>
      </c>
      <c r="F4" s="44">
        <v>49</v>
      </c>
      <c r="G4" s="42">
        <f t="shared" ref="G4:G23" si="1">IF(AC4&gt;0,((F4-X4)+(Y4-F5)),IF(F5=0, ,(F4-F5)))</f>
        <v>3</v>
      </c>
      <c r="H4" s="44">
        <v>50</v>
      </c>
      <c r="I4" s="42">
        <f t="shared" ref="I4:I36" si="2">IF(AC4&gt;0,((H4-AA4)+(AB4-H5)),IF(H5=0, ,(H4-H5)))</f>
        <v>4</v>
      </c>
      <c r="J4" s="42">
        <f t="shared" ref="J4:J42" si="3">B4+D4+F4+H4</f>
        <v>193</v>
      </c>
      <c r="K4" s="42">
        <f t="shared" ref="K4:K42" si="4">J4/4</f>
        <v>48.25</v>
      </c>
      <c r="L4" s="42">
        <f t="shared" ref="L4:L19" si="5">IF(AC4&gt;0,((K4-AD4)+(AE4-K5)),IF(K5=0, ,(K4-K5)))</f>
        <v>4.25</v>
      </c>
      <c r="M4" s="42">
        <f>6049*4</f>
        <v>24196</v>
      </c>
      <c r="N4" s="42">
        <f t="shared" ref="N4:N42" si="6">L4*M4/100</f>
        <v>1028.33</v>
      </c>
      <c r="O4" s="42">
        <f>N4*0.529</f>
        <v>543.98657000000003</v>
      </c>
      <c r="P4" s="45">
        <f>O4*7.8</f>
        <v>4243.0952459999999</v>
      </c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>
        <f t="shared" ref="AC4:AC25" si="7">Q4+T4+W4+Z4</f>
        <v>0</v>
      </c>
      <c r="AD4" s="41">
        <f t="shared" ref="AD4:AD24" si="8">(R4+U4+X4+AA4)/4</f>
        <v>0</v>
      </c>
      <c r="AE4" s="41">
        <f t="shared" ref="AE4:AE24" si="9">(S4+V4+Y4+AB4)/4</f>
        <v>0</v>
      </c>
    </row>
    <row r="5" spans="1:31" ht="32.25" customHeight="1" x14ac:dyDescent="0.3">
      <c r="A5" s="43">
        <v>43648</v>
      </c>
      <c r="B5" s="44">
        <v>40</v>
      </c>
      <c r="C5" s="42">
        <f t="shared" si="0"/>
        <v>4</v>
      </c>
      <c r="D5" s="44">
        <v>44</v>
      </c>
      <c r="E5" s="42">
        <f>IF(AC5&gt;0,((D5-U5)+(V5-D6)),IF(D6=0, ,(D5-D6)))</f>
        <v>2</v>
      </c>
      <c r="F5" s="44">
        <v>46</v>
      </c>
      <c r="G5" s="42">
        <f t="shared" si="1"/>
        <v>1</v>
      </c>
      <c r="H5" s="44">
        <v>46</v>
      </c>
      <c r="I5" s="42">
        <f t="shared" si="2"/>
        <v>1</v>
      </c>
      <c r="J5" s="42">
        <f t="shared" si="3"/>
        <v>176</v>
      </c>
      <c r="K5" s="42">
        <f t="shared" si="4"/>
        <v>44</v>
      </c>
      <c r="L5" s="42">
        <f t="shared" si="5"/>
        <v>2</v>
      </c>
      <c r="M5" s="42">
        <f>6049*4</f>
        <v>24196</v>
      </c>
      <c r="N5" s="42">
        <f t="shared" si="6"/>
        <v>483.92</v>
      </c>
      <c r="O5" s="42">
        <f t="shared" ref="O5:O34" si="10">N5*0.529</f>
        <v>255.99368000000001</v>
      </c>
      <c r="P5" s="45">
        <f t="shared" ref="P5:P34" si="11">O5*7.8</f>
        <v>1996.750704</v>
      </c>
      <c r="Q5" s="42">
        <v>1889</v>
      </c>
      <c r="R5" s="42">
        <v>40</v>
      </c>
      <c r="S5" s="42">
        <v>68</v>
      </c>
      <c r="T5" s="42">
        <v>1900</v>
      </c>
      <c r="U5" s="42">
        <v>40</v>
      </c>
      <c r="V5" s="42">
        <v>64</v>
      </c>
      <c r="W5" s="42">
        <v>1911</v>
      </c>
      <c r="X5" s="42">
        <v>45</v>
      </c>
      <c r="Y5" s="42">
        <v>70</v>
      </c>
      <c r="Z5" s="42">
        <v>2003</v>
      </c>
      <c r="AA5" s="42">
        <v>45</v>
      </c>
      <c r="AB5" s="42">
        <v>70</v>
      </c>
      <c r="AC5" s="42">
        <f t="shared" si="7"/>
        <v>7703</v>
      </c>
      <c r="AD5" s="41">
        <f t="shared" si="8"/>
        <v>42.5</v>
      </c>
      <c r="AE5" s="41">
        <f t="shared" si="9"/>
        <v>68</v>
      </c>
    </row>
    <row r="6" spans="1:31" ht="32.25" customHeight="1" x14ac:dyDescent="0.3">
      <c r="A6" s="43">
        <v>43649</v>
      </c>
      <c r="B6" s="44">
        <v>64</v>
      </c>
      <c r="C6" s="42">
        <f t="shared" si="0"/>
        <v>4</v>
      </c>
      <c r="D6" s="44">
        <v>66</v>
      </c>
      <c r="E6" s="42">
        <f>IF(AC6:AC29&gt;0,((D6-U6)+(V6-D7)),IF(D7=0, ,(D6-D7)))</f>
        <v>5</v>
      </c>
      <c r="F6" s="44">
        <v>70</v>
      </c>
      <c r="G6" s="42">
        <f t="shared" si="1"/>
        <v>5</v>
      </c>
      <c r="H6" s="44">
        <v>70</v>
      </c>
      <c r="I6" s="42">
        <f t="shared" si="2"/>
        <v>4</v>
      </c>
      <c r="J6" s="42">
        <f t="shared" si="3"/>
        <v>270</v>
      </c>
      <c r="K6" s="42">
        <f t="shared" si="4"/>
        <v>67.5</v>
      </c>
      <c r="L6" s="42">
        <f t="shared" si="5"/>
        <v>4.5</v>
      </c>
      <c r="M6" s="42">
        <f>6049*4</f>
        <v>24196</v>
      </c>
      <c r="N6" s="42">
        <f t="shared" si="6"/>
        <v>1088.82</v>
      </c>
      <c r="O6" s="42">
        <f t="shared" si="10"/>
        <v>575.98577999999998</v>
      </c>
      <c r="P6" s="45">
        <f t="shared" si="11"/>
        <v>4492.6890839999996</v>
      </c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>
        <f t="shared" si="7"/>
        <v>0</v>
      </c>
      <c r="AD6" s="41">
        <f t="shared" si="8"/>
        <v>0</v>
      </c>
      <c r="AE6" s="41">
        <f t="shared" si="9"/>
        <v>0</v>
      </c>
    </row>
    <row r="7" spans="1:31" ht="32.25" customHeight="1" x14ac:dyDescent="0.3">
      <c r="A7" s="43">
        <v>43650</v>
      </c>
      <c r="B7" s="44">
        <v>60</v>
      </c>
      <c r="C7" s="42">
        <f t="shared" si="0"/>
        <v>4</v>
      </c>
      <c r="D7" s="44">
        <v>61</v>
      </c>
      <c r="E7" s="42">
        <f>IF(AC7:AC30&gt;0,((D7-U7)+(V7-D8)),IF(D8=0, ,(D7-D8)))</f>
        <v>2</v>
      </c>
      <c r="F7" s="44">
        <v>65</v>
      </c>
      <c r="G7" s="42">
        <f t="shared" si="1"/>
        <v>0</v>
      </c>
      <c r="H7" s="44">
        <v>66</v>
      </c>
      <c r="I7" s="42">
        <f t="shared" si="2"/>
        <v>3</v>
      </c>
      <c r="J7" s="42">
        <f t="shared" si="3"/>
        <v>252</v>
      </c>
      <c r="K7" s="42">
        <f t="shared" si="4"/>
        <v>63</v>
      </c>
      <c r="L7" s="42">
        <f t="shared" si="5"/>
        <v>2.25</v>
      </c>
      <c r="M7" s="42">
        <f>6049*4</f>
        <v>24196</v>
      </c>
      <c r="N7" s="42">
        <f t="shared" si="6"/>
        <v>544.41</v>
      </c>
      <c r="O7" s="42">
        <f t="shared" si="10"/>
        <v>287.99288999999999</v>
      </c>
      <c r="P7" s="45">
        <f t="shared" si="11"/>
        <v>2246.3445419999998</v>
      </c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>
        <f t="shared" si="7"/>
        <v>0</v>
      </c>
      <c r="AD7" s="41">
        <f t="shared" si="8"/>
        <v>0</v>
      </c>
      <c r="AE7" s="41">
        <f t="shared" si="9"/>
        <v>0</v>
      </c>
    </row>
    <row r="8" spans="1:31" ht="32.25" customHeight="1" x14ac:dyDescent="0.3">
      <c r="A8" s="43">
        <v>43651</v>
      </c>
      <c r="B8" s="44">
        <v>56</v>
      </c>
      <c r="C8" s="42">
        <f t="shared" si="0"/>
        <v>2</v>
      </c>
      <c r="D8" s="44">
        <v>59</v>
      </c>
      <c r="E8" s="42">
        <f t="shared" ref="E8:E23" si="12">IF(AC8&gt;0,((D8-U8)+(V8-D9)),IF(D9=0, ,(D8-D9)))</f>
        <v>4</v>
      </c>
      <c r="F8" s="44">
        <v>65</v>
      </c>
      <c r="G8" s="42">
        <f t="shared" si="1"/>
        <v>5</v>
      </c>
      <c r="H8" s="44">
        <v>63</v>
      </c>
      <c r="I8" s="42">
        <f t="shared" si="2"/>
        <v>0</v>
      </c>
      <c r="J8" s="42">
        <f t="shared" si="3"/>
        <v>243</v>
      </c>
      <c r="K8" s="42">
        <f t="shared" si="4"/>
        <v>60.75</v>
      </c>
      <c r="L8" s="42">
        <f t="shared" si="5"/>
        <v>2.75</v>
      </c>
      <c r="M8" s="42">
        <f t="shared" ref="M8:M42" si="13">6049*4</f>
        <v>24196</v>
      </c>
      <c r="N8" s="42">
        <f t="shared" si="6"/>
        <v>665.39</v>
      </c>
      <c r="O8" s="42">
        <f t="shared" si="10"/>
        <v>351.99131</v>
      </c>
      <c r="P8" s="45">
        <f t="shared" si="11"/>
        <v>2745.5322179999998</v>
      </c>
      <c r="Q8" s="42">
        <v>2475</v>
      </c>
      <c r="R8" s="42">
        <v>55</v>
      </c>
      <c r="S8" s="42">
        <v>85</v>
      </c>
      <c r="T8" s="42">
        <v>2655</v>
      </c>
      <c r="U8" s="42">
        <v>55</v>
      </c>
      <c r="V8" s="42">
        <v>85</v>
      </c>
      <c r="W8" s="42">
        <v>2239</v>
      </c>
      <c r="X8" s="42">
        <v>60</v>
      </c>
      <c r="Y8" s="42">
        <v>85</v>
      </c>
      <c r="Z8" s="42">
        <v>2039</v>
      </c>
      <c r="AA8" s="42">
        <v>63</v>
      </c>
      <c r="AB8" s="42">
        <v>85</v>
      </c>
      <c r="AC8" s="42">
        <f t="shared" si="7"/>
        <v>9408</v>
      </c>
      <c r="AD8" s="41">
        <f t="shared" si="8"/>
        <v>58.25</v>
      </c>
      <c r="AE8" s="41">
        <f t="shared" si="9"/>
        <v>85</v>
      </c>
    </row>
    <row r="9" spans="1:31" ht="32.25" customHeight="1" x14ac:dyDescent="0.3">
      <c r="A9" s="43">
        <v>43652</v>
      </c>
      <c r="B9" s="44">
        <v>84</v>
      </c>
      <c r="C9" s="42">
        <f t="shared" si="0"/>
        <v>4</v>
      </c>
      <c r="D9" s="44">
        <v>85</v>
      </c>
      <c r="E9" s="42">
        <f t="shared" si="12"/>
        <v>2</v>
      </c>
      <c r="F9" s="44">
        <v>85</v>
      </c>
      <c r="G9" s="42">
        <f t="shared" si="1"/>
        <v>2</v>
      </c>
      <c r="H9" s="44">
        <v>85</v>
      </c>
      <c r="I9" s="42">
        <f t="shared" si="2"/>
        <v>1</v>
      </c>
      <c r="J9" s="42">
        <f t="shared" si="3"/>
        <v>339</v>
      </c>
      <c r="K9" s="42">
        <f t="shared" si="4"/>
        <v>84.75</v>
      </c>
      <c r="L9" s="42">
        <f t="shared" si="5"/>
        <v>2.25</v>
      </c>
      <c r="M9" s="42">
        <f t="shared" si="13"/>
        <v>24196</v>
      </c>
      <c r="N9" s="42">
        <f t="shared" si="6"/>
        <v>544.41</v>
      </c>
      <c r="O9" s="42">
        <f t="shared" si="10"/>
        <v>287.99288999999999</v>
      </c>
      <c r="P9" s="45">
        <f t="shared" si="11"/>
        <v>2246.3445419999998</v>
      </c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>
        <f t="shared" si="7"/>
        <v>0</v>
      </c>
      <c r="AD9" s="41">
        <f t="shared" si="8"/>
        <v>0</v>
      </c>
      <c r="AE9" s="41">
        <f t="shared" si="9"/>
        <v>0</v>
      </c>
    </row>
    <row r="10" spans="1:31" ht="32.25" customHeight="1" x14ac:dyDescent="0.3">
      <c r="A10" s="43">
        <v>43653</v>
      </c>
      <c r="B10" s="44">
        <v>80</v>
      </c>
      <c r="C10" s="42">
        <f t="shared" si="0"/>
        <v>3</v>
      </c>
      <c r="D10" s="44">
        <v>83</v>
      </c>
      <c r="E10" s="42">
        <f t="shared" si="12"/>
        <v>3</v>
      </c>
      <c r="F10" s="44">
        <v>83</v>
      </c>
      <c r="G10" s="42">
        <f t="shared" si="1"/>
        <v>3</v>
      </c>
      <c r="H10" s="44">
        <v>84</v>
      </c>
      <c r="I10" s="42">
        <f t="shared" si="2"/>
        <v>4</v>
      </c>
      <c r="J10" s="42">
        <f t="shared" si="3"/>
        <v>330</v>
      </c>
      <c r="K10" s="42">
        <f t="shared" si="4"/>
        <v>82.5</v>
      </c>
      <c r="L10" s="42">
        <f t="shared" si="5"/>
        <v>3.25</v>
      </c>
      <c r="M10" s="42">
        <f t="shared" si="13"/>
        <v>24196</v>
      </c>
      <c r="N10" s="42">
        <f t="shared" si="6"/>
        <v>786.37</v>
      </c>
      <c r="O10" s="42">
        <f t="shared" si="10"/>
        <v>415.98973000000001</v>
      </c>
      <c r="P10" s="45">
        <f t="shared" si="11"/>
        <v>3244.7198939999998</v>
      </c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>
        <f t="shared" si="7"/>
        <v>0</v>
      </c>
      <c r="AD10" s="41">
        <f t="shared" si="8"/>
        <v>0</v>
      </c>
      <c r="AE10" s="41">
        <f t="shared" si="9"/>
        <v>0</v>
      </c>
    </row>
    <row r="11" spans="1:31" ht="32.25" customHeight="1" x14ac:dyDescent="0.3">
      <c r="A11" s="43">
        <v>43654</v>
      </c>
      <c r="B11" s="44">
        <v>77</v>
      </c>
      <c r="C11" s="42">
        <f t="shared" si="0"/>
        <v>2</v>
      </c>
      <c r="D11" s="44">
        <v>80</v>
      </c>
      <c r="E11" s="42">
        <f t="shared" si="12"/>
        <v>4</v>
      </c>
      <c r="F11" s="44">
        <v>80</v>
      </c>
      <c r="G11" s="42">
        <f t="shared" si="1"/>
        <v>3</v>
      </c>
      <c r="H11" s="44">
        <v>80</v>
      </c>
      <c r="I11" s="42">
        <f t="shared" si="2"/>
        <v>4</v>
      </c>
      <c r="J11" s="42">
        <f t="shared" si="3"/>
        <v>317</v>
      </c>
      <c r="K11" s="42">
        <f t="shared" si="4"/>
        <v>79.25</v>
      </c>
      <c r="L11" s="42">
        <f t="shared" si="5"/>
        <v>3.25</v>
      </c>
      <c r="M11" s="42">
        <f t="shared" si="13"/>
        <v>24196</v>
      </c>
      <c r="N11" s="42">
        <f t="shared" si="6"/>
        <v>786.37</v>
      </c>
      <c r="O11" s="42">
        <f t="shared" si="10"/>
        <v>415.98973000000001</v>
      </c>
      <c r="P11" s="45">
        <f t="shared" si="11"/>
        <v>3244.7198939999998</v>
      </c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>
        <f t="shared" si="7"/>
        <v>0</v>
      </c>
      <c r="AD11" s="41">
        <f t="shared" si="8"/>
        <v>0</v>
      </c>
      <c r="AE11" s="41">
        <f t="shared" si="9"/>
        <v>0</v>
      </c>
    </row>
    <row r="12" spans="1:31" ht="32.25" customHeight="1" x14ac:dyDescent="0.3">
      <c r="A12" s="43">
        <v>43655</v>
      </c>
      <c r="B12" s="44">
        <v>75</v>
      </c>
      <c r="C12" s="42">
        <f t="shared" si="0"/>
        <v>5</v>
      </c>
      <c r="D12" s="44">
        <v>76</v>
      </c>
      <c r="E12" s="42">
        <f t="shared" si="12"/>
        <v>2</v>
      </c>
      <c r="F12" s="44">
        <v>77</v>
      </c>
      <c r="G12" s="42">
        <f t="shared" si="1"/>
        <v>2</v>
      </c>
      <c r="H12" s="44">
        <v>76</v>
      </c>
      <c r="I12" s="42">
        <f t="shared" si="2"/>
        <v>1</v>
      </c>
      <c r="J12" s="42">
        <f t="shared" si="3"/>
        <v>304</v>
      </c>
      <c r="K12" s="42">
        <f t="shared" si="4"/>
        <v>76</v>
      </c>
      <c r="L12" s="42">
        <f t="shared" si="5"/>
        <v>2.5</v>
      </c>
      <c r="M12" s="42">
        <f t="shared" si="13"/>
        <v>24196</v>
      </c>
      <c r="N12" s="42">
        <f t="shared" si="6"/>
        <v>604.9</v>
      </c>
      <c r="O12" s="42">
        <f t="shared" si="10"/>
        <v>319.99209999999999</v>
      </c>
      <c r="P12" s="45">
        <f t="shared" si="11"/>
        <v>2495.9383800000001</v>
      </c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>
        <f t="shared" si="7"/>
        <v>0</v>
      </c>
      <c r="AD12" s="41">
        <f t="shared" si="8"/>
        <v>0</v>
      </c>
      <c r="AE12" s="41">
        <f t="shared" si="9"/>
        <v>0</v>
      </c>
    </row>
    <row r="13" spans="1:31" ht="32.25" customHeight="1" x14ac:dyDescent="0.3">
      <c r="A13" s="43">
        <v>43656</v>
      </c>
      <c r="B13" s="44">
        <v>70</v>
      </c>
      <c r="C13" s="42">
        <f t="shared" si="0"/>
        <v>2</v>
      </c>
      <c r="D13" s="44">
        <v>74</v>
      </c>
      <c r="E13" s="42">
        <f t="shared" si="12"/>
        <v>4</v>
      </c>
      <c r="F13" s="44">
        <v>75</v>
      </c>
      <c r="G13" s="42">
        <f t="shared" si="1"/>
        <v>3</v>
      </c>
      <c r="H13" s="44">
        <v>75</v>
      </c>
      <c r="I13" s="42">
        <f t="shared" si="2"/>
        <v>5</v>
      </c>
      <c r="J13" s="42">
        <f t="shared" si="3"/>
        <v>294</v>
      </c>
      <c r="K13" s="42">
        <f t="shared" si="4"/>
        <v>73.5</v>
      </c>
      <c r="L13" s="42">
        <f t="shared" si="5"/>
        <v>3.5</v>
      </c>
      <c r="M13" s="42">
        <f t="shared" si="13"/>
        <v>24196</v>
      </c>
      <c r="N13" s="42">
        <f t="shared" si="6"/>
        <v>846.86</v>
      </c>
      <c r="O13" s="42">
        <f t="shared" si="10"/>
        <v>447.98894000000001</v>
      </c>
      <c r="P13" s="45">
        <f t="shared" si="11"/>
        <v>3494.3137320000001</v>
      </c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>
        <f t="shared" si="7"/>
        <v>0</v>
      </c>
      <c r="AD13" s="41">
        <f t="shared" si="8"/>
        <v>0</v>
      </c>
      <c r="AE13" s="41">
        <f t="shared" si="9"/>
        <v>0</v>
      </c>
    </row>
    <row r="14" spans="1:31" ht="32.25" customHeight="1" x14ac:dyDescent="0.3">
      <c r="A14" s="43">
        <v>43657</v>
      </c>
      <c r="B14" s="44">
        <v>68</v>
      </c>
      <c r="C14" s="42">
        <f t="shared" si="0"/>
        <v>3</v>
      </c>
      <c r="D14" s="44">
        <v>70</v>
      </c>
      <c r="E14" s="42">
        <f t="shared" si="12"/>
        <v>2</v>
      </c>
      <c r="F14" s="44">
        <v>72</v>
      </c>
      <c r="G14" s="42">
        <f t="shared" si="1"/>
        <v>2</v>
      </c>
      <c r="H14" s="44">
        <v>70</v>
      </c>
      <c r="I14" s="42">
        <f t="shared" si="2"/>
        <v>0</v>
      </c>
      <c r="J14" s="42">
        <f t="shared" si="3"/>
        <v>280</v>
      </c>
      <c r="K14" s="42">
        <f t="shared" si="4"/>
        <v>70</v>
      </c>
      <c r="L14" s="42">
        <f t="shared" si="5"/>
        <v>1.75</v>
      </c>
      <c r="M14" s="42">
        <f t="shared" si="13"/>
        <v>24196</v>
      </c>
      <c r="N14" s="42">
        <f t="shared" si="6"/>
        <v>423.43</v>
      </c>
      <c r="O14" s="42">
        <f t="shared" si="10"/>
        <v>223.99447000000001</v>
      </c>
      <c r="P14" s="45">
        <f t="shared" si="11"/>
        <v>1747.156866</v>
      </c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>
        <f t="shared" si="7"/>
        <v>0</v>
      </c>
      <c r="AD14" s="41">
        <f t="shared" si="8"/>
        <v>0</v>
      </c>
      <c r="AE14" s="41">
        <f t="shared" si="9"/>
        <v>0</v>
      </c>
    </row>
    <row r="15" spans="1:31" ht="32.25" customHeight="1" x14ac:dyDescent="0.3">
      <c r="A15" s="43">
        <v>43658</v>
      </c>
      <c r="B15" s="44">
        <v>65</v>
      </c>
      <c r="C15" s="42">
        <f t="shared" si="0"/>
        <v>5</v>
      </c>
      <c r="D15" s="44">
        <v>68</v>
      </c>
      <c r="E15" s="42">
        <f t="shared" si="12"/>
        <v>5</v>
      </c>
      <c r="F15" s="44">
        <v>70</v>
      </c>
      <c r="G15" s="42">
        <f t="shared" si="1"/>
        <v>5</v>
      </c>
      <c r="H15" s="44">
        <v>70</v>
      </c>
      <c r="I15" s="42">
        <f t="shared" si="2"/>
        <v>5</v>
      </c>
      <c r="J15" s="42">
        <f t="shared" si="3"/>
        <v>273</v>
      </c>
      <c r="K15" s="42">
        <f t="shared" si="4"/>
        <v>68.25</v>
      </c>
      <c r="L15" s="42">
        <f t="shared" si="5"/>
        <v>5</v>
      </c>
      <c r="M15" s="42">
        <f t="shared" si="13"/>
        <v>24196</v>
      </c>
      <c r="N15" s="42">
        <f t="shared" si="6"/>
        <v>1209.8</v>
      </c>
      <c r="O15" s="42">
        <f t="shared" si="10"/>
        <v>639.98419999999999</v>
      </c>
      <c r="P15" s="45">
        <f t="shared" si="11"/>
        <v>4991.8767600000001</v>
      </c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>
        <f t="shared" si="7"/>
        <v>0</v>
      </c>
      <c r="AD15" s="41">
        <f t="shared" si="8"/>
        <v>0</v>
      </c>
      <c r="AE15" s="41">
        <f t="shared" si="9"/>
        <v>0</v>
      </c>
    </row>
    <row r="16" spans="1:31" ht="32.25" customHeight="1" x14ac:dyDescent="0.3">
      <c r="A16" s="43">
        <v>43659</v>
      </c>
      <c r="B16" s="44">
        <v>60</v>
      </c>
      <c r="C16" s="42">
        <f t="shared" si="0"/>
        <v>6</v>
      </c>
      <c r="D16" s="44">
        <v>63</v>
      </c>
      <c r="E16" s="42">
        <f t="shared" si="12"/>
        <v>3</v>
      </c>
      <c r="F16" s="44">
        <v>65</v>
      </c>
      <c r="G16" s="42">
        <f t="shared" si="1"/>
        <v>3</v>
      </c>
      <c r="H16" s="44">
        <v>65</v>
      </c>
      <c r="I16" s="42">
        <f t="shared" si="2"/>
        <v>2</v>
      </c>
      <c r="J16" s="42">
        <f t="shared" si="3"/>
        <v>253</v>
      </c>
      <c r="K16" s="42">
        <f t="shared" si="4"/>
        <v>63.25</v>
      </c>
      <c r="L16" s="42">
        <f t="shared" si="5"/>
        <v>3.5</v>
      </c>
      <c r="M16" s="42">
        <f t="shared" si="13"/>
        <v>24196</v>
      </c>
      <c r="N16" s="42">
        <f t="shared" si="6"/>
        <v>846.86</v>
      </c>
      <c r="O16" s="42">
        <f t="shared" si="10"/>
        <v>447.98894000000001</v>
      </c>
      <c r="P16" s="45">
        <f t="shared" si="11"/>
        <v>3494.3137320000001</v>
      </c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>
        <f t="shared" si="7"/>
        <v>0</v>
      </c>
      <c r="AD16" s="41">
        <f t="shared" si="8"/>
        <v>0</v>
      </c>
      <c r="AE16" s="41">
        <f t="shared" si="9"/>
        <v>0</v>
      </c>
    </row>
    <row r="17" spans="1:31" ht="32.25" customHeight="1" x14ac:dyDescent="0.3">
      <c r="A17" s="43">
        <v>43660</v>
      </c>
      <c r="B17" s="44">
        <v>54</v>
      </c>
      <c r="C17" s="42">
        <f t="shared" si="0"/>
        <v>0</v>
      </c>
      <c r="D17" s="44">
        <v>60</v>
      </c>
      <c r="E17" s="42">
        <f t="shared" si="12"/>
        <v>4</v>
      </c>
      <c r="F17" s="44">
        <v>62</v>
      </c>
      <c r="G17" s="42">
        <f t="shared" si="1"/>
        <v>2</v>
      </c>
      <c r="H17" s="44">
        <v>63</v>
      </c>
      <c r="I17" s="42">
        <f t="shared" si="2"/>
        <v>3</v>
      </c>
      <c r="J17" s="42">
        <f t="shared" si="3"/>
        <v>239</v>
      </c>
      <c r="K17" s="42">
        <f t="shared" si="4"/>
        <v>59.75</v>
      </c>
      <c r="L17" s="42">
        <f t="shared" si="5"/>
        <v>2.25</v>
      </c>
      <c r="M17" s="42">
        <f t="shared" si="13"/>
        <v>24196</v>
      </c>
      <c r="N17" s="42">
        <f t="shared" si="6"/>
        <v>544.41</v>
      </c>
      <c r="O17" s="42">
        <f t="shared" si="10"/>
        <v>287.99288999999999</v>
      </c>
      <c r="P17" s="45">
        <f t="shared" si="11"/>
        <v>2246.3445419999998</v>
      </c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>
        <f t="shared" si="7"/>
        <v>0</v>
      </c>
      <c r="AD17" s="41">
        <f t="shared" si="8"/>
        <v>0</v>
      </c>
      <c r="AE17" s="41">
        <f t="shared" si="9"/>
        <v>0</v>
      </c>
    </row>
    <row r="18" spans="1:31" ht="32.25" customHeight="1" x14ac:dyDescent="0.3">
      <c r="A18" s="43">
        <v>43661</v>
      </c>
      <c r="B18" s="44">
        <v>54</v>
      </c>
      <c r="C18" s="42">
        <f t="shared" si="0"/>
        <v>3</v>
      </c>
      <c r="D18" s="44">
        <v>56</v>
      </c>
      <c r="E18" s="42">
        <f t="shared" si="12"/>
        <v>2</v>
      </c>
      <c r="F18" s="44">
        <v>60</v>
      </c>
      <c r="G18" s="42">
        <f t="shared" si="1"/>
        <v>4</v>
      </c>
      <c r="H18" s="44">
        <v>60</v>
      </c>
      <c r="I18" s="42">
        <f t="shared" si="2"/>
        <v>4</v>
      </c>
      <c r="J18" s="42">
        <f t="shared" si="3"/>
        <v>230</v>
      </c>
      <c r="K18" s="42">
        <f t="shared" si="4"/>
        <v>57.5</v>
      </c>
      <c r="L18" s="42">
        <f t="shared" si="5"/>
        <v>3.25</v>
      </c>
      <c r="M18" s="42">
        <f t="shared" si="13"/>
        <v>24196</v>
      </c>
      <c r="N18" s="42">
        <f t="shared" si="6"/>
        <v>786.37</v>
      </c>
      <c r="O18" s="42">
        <f t="shared" si="10"/>
        <v>415.98973000000001</v>
      </c>
      <c r="P18" s="45">
        <f t="shared" si="11"/>
        <v>3244.7198939999998</v>
      </c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>
        <f t="shared" si="7"/>
        <v>0</v>
      </c>
      <c r="AD18" s="41">
        <f t="shared" si="8"/>
        <v>0</v>
      </c>
      <c r="AE18" s="41">
        <f t="shared" si="9"/>
        <v>0</v>
      </c>
    </row>
    <row r="19" spans="1:31" ht="32.25" customHeight="1" x14ac:dyDescent="0.3">
      <c r="A19" s="43">
        <v>43662</v>
      </c>
      <c r="B19" s="44">
        <v>51</v>
      </c>
      <c r="C19" s="42">
        <f t="shared" si="0"/>
        <v>3</v>
      </c>
      <c r="D19" s="44">
        <v>54</v>
      </c>
      <c r="E19" s="42">
        <f t="shared" si="12"/>
        <v>4</v>
      </c>
      <c r="F19" s="44">
        <v>56</v>
      </c>
      <c r="G19" s="42">
        <f t="shared" si="1"/>
        <v>2</v>
      </c>
      <c r="H19" s="44">
        <v>56</v>
      </c>
      <c r="I19" s="42">
        <f t="shared" si="2"/>
        <v>2</v>
      </c>
      <c r="J19" s="42">
        <f t="shared" si="3"/>
        <v>217</v>
      </c>
      <c r="K19" s="42">
        <f t="shared" si="4"/>
        <v>54.25</v>
      </c>
      <c r="L19" s="42">
        <f t="shared" si="5"/>
        <v>2.75</v>
      </c>
      <c r="M19" s="42">
        <f t="shared" si="13"/>
        <v>24196</v>
      </c>
      <c r="N19" s="42">
        <f t="shared" si="6"/>
        <v>665.39</v>
      </c>
      <c r="O19" s="42">
        <f t="shared" si="10"/>
        <v>351.99131</v>
      </c>
      <c r="P19" s="45">
        <f t="shared" si="11"/>
        <v>2745.5322179999998</v>
      </c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>
        <f t="shared" si="7"/>
        <v>0</v>
      </c>
      <c r="AD19" s="41">
        <f t="shared" si="8"/>
        <v>0</v>
      </c>
      <c r="AE19" s="41">
        <f t="shared" si="9"/>
        <v>0</v>
      </c>
    </row>
    <row r="20" spans="1:31" ht="32.25" customHeight="1" x14ac:dyDescent="0.3">
      <c r="A20" s="43">
        <v>43663</v>
      </c>
      <c r="B20" s="44">
        <v>48</v>
      </c>
      <c r="C20" s="42">
        <f t="shared" ref="C20:C35" si="14">IF(AC20&gt;0,((B20-R20)+(S20-B21)),IF(B21=0, ,(B20-B21)))</f>
        <v>6</v>
      </c>
      <c r="D20" s="44">
        <v>50</v>
      </c>
      <c r="E20" s="42">
        <f t="shared" si="12"/>
        <v>6</v>
      </c>
      <c r="F20" s="44">
        <v>54</v>
      </c>
      <c r="G20" s="42">
        <f t="shared" si="1"/>
        <v>4</v>
      </c>
      <c r="H20" s="44">
        <v>54</v>
      </c>
      <c r="I20" s="42">
        <f t="shared" si="2"/>
        <v>4</v>
      </c>
      <c r="J20" s="42">
        <f t="shared" si="3"/>
        <v>206</v>
      </c>
      <c r="K20" s="42">
        <f t="shared" si="4"/>
        <v>51.5</v>
      </c>
      <c r="L20" s="42">
        <f t="shared" ref="L20:L42" si="15">IF(AC20&gt;0,((K20-AD20)+(AE20-K21)),IF(K21=0, ,(K20-K21)))</f>
        <v>5</v>
      </c>
      <c r="M20" s="42">
        <f t="shared" si="13"/>
        <v>24196</v>
      </c>
      <c r="N20" s="42">
        <f t="shared" si="6"/>
        <v>1209.8</v>
      </c>
      <c r="O20" s="42">
        <f t="shared" si="10"/>
        <v>639.98419999999999</v>
      </c>
      <c r="P20" s="45">
        <f t="shared" si="11"/>
        <v>4991.8767600000001</v>
      </c>
      <c r="Q20" s="42">
        <v>3233</v>
      </c>
      <c r="R20" s="42">
        <v>43</v>
      </c>
      <c r="S20" s="42">
        <v>85</v>
      </c>
      <c r="T20" s="42">
        <v>2917</v>
      </c>
      <c r="U20" s="42">
        <v>45</v>
      </c>
      <c r="V20" s="42">
        <v>85</v>
      </c>
      <c r="W20" s="42">
        <v>2860</v>
      </c>
      <c r="X20" s="42">
        <v>50</v>
      </c>
      <c r="Y20" s="42">
        <v>85</v>
      </c>
      <c r="Z20" s="42">
        <v>2790</v>
      </c>
      <c r="AA20" s="42">
        <v>50</v>
      </c>
      <c r="AB20" s="42">
        <v>85</v>
      </c>
      <c r="AC20" s="42">
        <f t="shared" si="7"/>
        <v>11800</v>
      </c>
      <c r="AD20" s="41">
        <f t="shared" si="8"/>
        <v>47</v>
      </c>
      <c r="AE20" s="41">
        <f t="shared" si="9"/>
        <v>85</v>
      </c>
    </row>
    <row r="21" spans="1:31" ht="32.25" customHeight="1" x14ac:dyDescent="0.3">
      <c r="A21" s="43">
        <v>43664</v>
      </c>
      <c r="B21" s="44">
        <v>84</v>
      </c>
      <c r="C21" s="42">
        <f t="shared" si="14"/>
        <v>4</v>
      </c>
      <c r="D21" s="44">
        <v>84</v>
      </c>
      <c r="E21" s="42">
        <f t="shared" si="12"/>
        <v>4</v>
      </c>
      <c r="F21" s="44">
        <v>85</v>
      </c>
      <c r="G21" s="42">
        <f t="shared" si="1"/>
        <v>0</v>
      </c>
      <c r="H21" s="44">
        <v>85</v>
      </c>
      <c r="I21" s="42">
        <f t="shared" si="2"/>
        <v>0</v>
      </c>
      <c r="J21" s="42">
        <f t="shared" si="3"/>
        <v>338</v>
      </c>
      <c r="K21" s="42">
        <f t="shared" si="4"/>
        <v>84.5</v>
      </c>
      <c r="L21" s="42">
        <f>IF(AC21&gt;0,((K21-AD21)+(AE21-K22)),IF(K22=0, ,(K21-K22)))</f>
        <v>2</v>
      </c>
      <c r="M21" s="42">
        <f t="shared" si="13"/>
        <v>24196</v>
      </c>
      <c r="N21" s="42">
        <f t="shared" si="6"/>
        <v>483.92</v>
      </c>
      <c r="O21" s="42">
        <f t="shared" si="10"/>
        <v>255.99368000000001</v>
      </c>
      <c r="P21" s="45">
        <f t="shared" si="11"/>
        <v>1996.750704</v>
      </c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>
        <f t="shared" si="7"/>
        <v>0</v>
      </c>
      <c r="AD21" s="41">
        <f t="shared" si="8"/>
        <v>0</v>
      </c>
      <c r="AE21" s="41">
        <f t="shared" si="9"/>
        <v>0</v>
      </c>
    </row>
    <row r="22" spans="1:31" ht="32.25" customHeight="1" x14ac:dyDescent="0.3">
      <c r="A22" s="43">
        <v>43665</v>
      </c>
      <c r="B22" s="44">
        <v>80</v>
      </c>
      <c r="C22" s="42">
        <f t="shared" si="14"/>
        <v>4</v>
      </c>
      <c r="D22" s="44">
        <v>80</v>
      </c>
      <c r="E22" s="42">
        <f t="shared" si="12"/>
        <v>2</v>
      </c>
      <c r="F22" s="44">
        <v>85</v>
      </c>
      <c r="G22" s="42">
        <f t="shared" si="1"/>
        <v>5</v>
      </c>
      <c r="H22" s="44">
        <v>85</v>
      </c>
      <c r="I22" s="42">
        <f t="shared" si="2"/>
        <v>5</v>
      </c>
      <c r="J22" s="42">
        <f t="shared" si="3"/>
        <v>330</v>
      </c>
      <c r="K22" s="42">
        <f t="shared" si="4"/>
        <v>82.5</v>
      </c>
      <c r="L22" s="42">
        <f>IF(AC22&gt;0,((K22-AD22)+(AE22-K23)),IF(K23=0, ,(K22-K23)))</f>
        <v>4</v>
      </c>
      <c r="M22" s="42">
        <f t="shared" si="13"/>
        <v>24196</v>
      </c>
      <c r="N22" s="42">
        <f t="shared" si="6"/>
        <v>967.84</v>
      </c>
      <c r="O22" s="42">
        <f t="shared" si="10"/>
        <v>511.98736000000002</v>
      </c>
      <c r="P22" s="45">
        <f t="shared" si="11"/>
        <v>3993.5014080000001</v>
      </c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>
        <f t="shared" si="7"/>
        <v>0</v>
      </c>
      <c r="AD22" s="41">
        <f t="shared" si="8"/>
        <v>0</v>
      </c>
      <c r="AE22" s="41">
        <f t="shared" si="9"/>
        <v>0</v>
      </c>
    </row>
    <row r="23" spans="1:31" ht="32.25" customHeight="1" x14ac:dyDescent="0.3">
      <c r="A23" s="43">
        <v>43666</v>
      </c>
      <c r="B23" s="44">
        <v>76</v>
      </c>
      <c r="C23" s="42">
        <f t="shared" si="14"/>
        <v>1</v>
      </c>
      <c r="D23" s="44">
        <v>78</v>
      </c>
      <c r="E23" s="42">
        <f t="shared" si="12"/>
        <v>3</v>
      </c>
      <c r="F23" s="44">
        <v>80</v>
      </c>
      <c r="G23" s="42">
        <f t="shared" si="1"/>
        <v>1</v>
      </c>
      <c r="H23" s="44">
        <v>80</v>
      </c>
      <c r="I23" s="42">
        <f t="shared" si="2"/>
        <v>1</v>
      </c>
      <c r="J23" s="42">
        <f t="shared" si="3"/>
        <v>314</v>
      </c>
      <c r="K23" s="42">
        <f t="shared" si="4"/>
        <v>78.5</v>
      </c>
      <c r="L23" s="42">
        <f t="shared" si="15"/>
        <v>1.5</v>
      </c>
      <c r="M23" s="42">
        <f t="shared" si="13"/>
        <v>24196</v>
      </c>
      <c r="N23" s="42">
        <f t="shared" si="6"/>
        <v>362.94</v>
      </c>
      <c r="O23" s="42">
        <f t="shared" si="10"/>
        <v>191.99526</v>
      </c>
      <c r="P23" s="45">
        <f t="shared" si="11"/>
        <v>1497.563028</v>
      </c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>
        <f t="shared" si="7"/>
        <v>0</v>
      </c>
      <c r="AD23" s="41">
        <f t="shared" si="8"/>
        <v>0</v>
      </c>
      <c r="AE23" s="41">
        <f t="shared" si="9"/>
        <v>0</v>
      </c>
    </row>
    <row r="24" spans="1:31" ht="32.25" customHeight="1" x14ac:dyDescent="0.3">
      <c r="A24" s="43">
        <v>43667</v>
      </c>
      <c r="B24" s="44">
        <v>75</v>
      </c>
      <c r="C24" s="42">
        <f t="shared" si="14"/>
        <v>1</v>
      </c>
      <c r="D24" s="44">
        <v>75</v>
      </c>
      <c r="E24" s="42">
        <f t="shared" ref="E24:E36" si="16">IF(AC24&gt;0,((D24-U24)+(V24-D25)),IF(D25=0, ,(D24-D25)))</f>
        <v>2</v>
      </c>
      <c r="F24" s="44">
        <v>79</v>
      </c>
      <c r="G24" s="42">
        <f t="shared" ref="G24:G36" si="17">IF(AC24&gt;0,((F24-X24)+(Y24-F25)),IF(F25=0, ,(F24-F25)))</f>
        <v>3</v>
      </c>
      <c r="H24" s="44">
        <v>79</v>
      </c>
      <c r="I24" s="42">
        <f t="shared" si="2"/>
        <v>4</v>
      </c>
      <c r="J24" s="42">
        <f t="shared" si="3"/>
        <v>308</v>
      </c>
      <c r="K24" s="42">
        <f t="shared" si="4"/>
        <v>77</v>
      </c>
      <c r="L24" s="42">
        <f t="shared" si="15"/>
        <v>2.5</v>
      </c>
      <c r="M24" s="42">
        <f t="shared" si="13"/>
        <v>24196</v>
      </c>
      <c r="N24" s="42">
        <f t="shared" si="6"/>
        <v>604.9</v>
      </c>
      <c r="O24" s="42">
        <f t="shared" si="10"/>
        <v>319.99209999999999</v>
      </c>
      <c r="P24" s="45">
        <f t="shared" si="11"/>
        <v>2495.9383800000001</v>
      </c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>
        <f t="shared" si="7"/>
        <v>0</v>
      </c>
      <c r="AD24" s="41">
        <f t="shared" si="8"/>
        <v>0</v>
      </c>
      <c r="AE24" s="41">
        <f t="shared" si="9"/>
        <v>0</v>
      </c>
    </row>
    <row r="25" spans="1:31" ht="32.25" customHeight="1" x14ac:dyDescent="0.3">
      <c r="A25" s="43">
        <v>43668</v>
      </c>
      <c r="B25" s="44">
        <v>74</v>
      </c>
      <c r="C25" s="42">
        <f t="shared" si="14"/>
        <v>4</v>
      </c>
      <c r="D25" s="44">
        <v>73</v>
      </c>
      <c r="E25" s="42">
        <f t="shared" si="16"/>
        <v>3</v>
      </c>
      <c r="F25" s="44">
        <v>76</v>
      </c>
      <c r="G25" s="42">
        <f t="shared" si="17"/>
        <v>1</v>
      </c>
      <c r="H25" s="44">
        <v>75</v>
      </c>
      <c r="I25" s="42">
        <f t="shared" si="2"/>
        <v>0</v>
      </c>
      <c r="J25" s="42">
        <f t="shared" si="3"/>
        <v>298</v>
      </c>
      <c r="K25" s="42">
        <f t="shared" si="4"/>
        <v>74.5</v>
      </c>
      <c r="L25" s="42">
        <f t="shared" si="15"/>
        <v>2</v>
      </c>
      <c r="M25" s="42">
        <f t="shared" si="13"/>
        <v>24196</v>
      </c>
      <c r="N25" s="42">
        <f t="shared" si="6"/>
        <v>483.92</v>
      </c>
      <c r="O25" s="42">
        <f t="shared" si="10"/>
        <v>255.99368000000001</v>
      </c>
      <c r="P25" s="45">
        <f t="shared" si="11"/>
        <v>1996.750704</v>
      </c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>
        <f t="shared" si="7"/>
        <v>0</v>
      </c>
      <c r="AD25" s="41">
        <f t="shared" ref="AD25:AD42" si="18">(R25+U25+X25+AA25)/4</f>
        <v>0</v>
      </c>
      <c r="AE25" s="41">
        <f>(S25+V25+Y25+AB25)/4</f>
        <v>0</v>
      </c>
    </row>
    <row r="26" spans="1:31" ht="32.25" customHeight="1" x14ac:dyDescent="0.3">
      <c r="A26" s="43">
        <v>43669</v>
      </c>
      <c r="B26" s="44">
        <v>70</v>
      </c>
      <c r="C26" s="42">
        <f t="shared" si="14"/>
        <v>1</v>
      </c>
      <c r="D26" s="44">
        <v>70</v>
      </c>
      <c r="E26" s="42">
        <f t="shared" si="16"/>
        <v>1</v>
      </c>
      <c r="F26" s="44">
        <v>75</v>
      </c>
      <c r="G26" s="42">
        <f t="shared" si="17"/>
        <v>1</v>
      </c>
      <c r="H26" s="44">
        <v>75</v>
      </c>
      <c r="I26" s="42">
        <f t="shared" si="2"/>
        <v>1</v>
      </c>
      <c r="J26" s="42">
        <f t="shared" si="3"/>
        <v>290</v>
      </c>
      <c r="K26" s="42">
        <f t="shared" si="4"/>
        <v>72.5</v>
      </c>
      <c r="L26" s="42">
        <f t="shared" si="15"/>
        <v>1</v>
      </c>
      <c r="M26" s="42">
        <f t="shared" si="13"/>
        <v>24196</v>
      </c>
      <c r="N26" s="42">
        <f t="shared" si="6"/>
        <v>241.96</v>
      </c>
      <c r="O26" s="42">
        <f t="shared" si="10"/>
        <v>127.99684000000001</v>
      </c>
      <c r="P26" s="45">
        <f t="shared" si="11"/>
        <v>998.37535200000002</v>
      </c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>
        <f t="shared" ref="AC26:AC43" si="19">Q26+T26+W26+Z26</f>
        <v>0</v>
      </c>
      <c r="AD26" s="41">
        <f t="shared" si="18"/>
        <v>0</v>
      </c>
      <c r="AE26" s="41">
        <f>(S26+V26+Y26+AB26)/4</f>
        <v>0</v>
      </c>
    </row>
    <row r="27" spans="1:31" ht="32.25" customHeight="1" x14ac:dyDescent="0.3">
      <c r="A27" s="43">
        <v>43670</v>
      </c>
      <c r="B27" s="44">
        <v>69</v>
      </c>
      <c r="C27" s="42">
        <f t="shared" si="14"/>
        <v>3</v>
      </c>
      <c r="D27" s="44">
        <v>69</v>
      </c>
      <c r="E27" s="42">
        <f t="shared" si="16"/>
        <v>2</v>
      </c>
      <c r="F27" s="44">
        <v>74</v>
      </c>
      <c r="G27" s="42">
        <f t="shared" si="17"/>
        <v>3</v>
      </c>
      <c r="H27" s="44">
        <v>74</v>
      </c>
      <c r="I27" s="42">
        <f t="shared" si="2"/>
        <v>3</v>
      </c>
      <c r="J27" s="42">
        <f t="shared" si="3"/>
        <v>286</v>
      </c>
      <c r="K27" s="42">
        <f t="shared" si="4"/>
        <v>71.5</v>
      </c>
      <c r="L27" s="42">
        <f t="shared" si="15"/>
        <v>2.75</v>
      </c>
      <c r="M27" s="42">
        <f t="shared" si="13"/>
        <v>24196</v>
      </c>
      <c r="N27" s="42">
        <f t="shared" si="6"/>
        <v>665.39</v>
      </c>
      <c r="O27" s="42">
        <f t="shared" si="10"/>
        <v>351.99131</v>
      </c>
      <c r="P27" s="45">
        <f t="shared" si="11"/>
        <v>2745.5322179999998</v>
      </c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>
        <f t="shared" si="19"/>
        <v>0</v>
      </c>
      <c r="AD27" s="41">
        <f t="shared" si="18"/>
        <v>0</v>
      </c>
      <c r="AE27" s="41">
        <f>(S27+V27+Y27+AB27)/4</f>
        <v>0</v>
      </c>
    </row>
    <row r="28" spans="1:31" ht="32.25" customHeight="1" x14ac:dyDescent="0.3">
      <c r="A28" s="43">
        <v>43671</v>
      </c>
      <c r="B28" s="44">
        <v>66</v>
      </c>
      <c r="C28" s="42">
        <f t="shared" si="14"/>
        <v>2</v>
      </c>
      <c r="D28" s="44">
        <v>67</v>
      </c>
      <c r="E28" s="42">
        <f t="shared" si="16"/>
        <v>2</v>
      </c>
      <c r="F28" s="44">
        <v>71</v>
      </c>
      <c r="G28" s="42">
        <f t="shared" si="17"/>
        <v>1</v>
      </c>
      <c r="H28" s="44">
        <v>71</v>
      </c>
      <c r="I28" s="42">
        <f t="shared" si="2"/>
        <v>1</v>
      </c>
      <c r="J28" s="42">
        <f t="shared" si="3"/>
        <v>275</v>
      </c>
      <c r="K28" s="42">
        <f t="shared" si="4"/>
        <v>68.75</v>
      </c>
      <c r="L28" s="42">
        <f t="shared" si="15"/>
        <v>1.5</v>
      </c>
      <c r="M28" s="42">
        <f t="shared" si="13"/>
        <v>24196</v>
      </c>
      <c r="N28" s="42">
        <f t="shared" si="6"/>
        <v>362.94</v>
      </c>
      <c r="O28" s="42">
        <f t="shared" si="10"/>
        <v>191.99526</v>
      </c>
      <c r="P28" s="45">
        <f t="shared" si="11"/>
        <v>1497.563028</v>
      </c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>
        <f t="shared" si="19"/>
        <v>0</v>
      </c>
      <c r="AD28" s="41">
        <f t="shared" si="18"/>
        <v>0</v>
      </c>
      <c r="AE28" s="41">
        <f>(S28+V28+Y28+AB28)/4</f>
        <v>0</v>
      </c>
    </row>
    <row r="29" spans="1:31" ht="32.25" customHeight="1" x14ac:dyDescent="0.3">
      <c r="A29" s="43">
        <v>43672</v>
      </c>
      <c r="B29" s="44">
        <v>64</v>
      </c>
      <c r="C29" s="42">
        <f t="shared" si="14"/>
        <v>2</v>
      </c>
      <c r="D29" s="44">
        <v>65</v>
      </c>
      <c r="E29" s="42">
        <f t="shared" si="16"/>
        <v>2</v>
      </c>
      <c r="F29" s="44">
        <v>70</v>
      </c>
      <c r="G29" s="42">
        <f t="shared" si="17"/>
        <v>2</v>
      </c>
      <c r="H29" s="44">
        <v>70</v>
      </c>
      <c r="I29" s="42">
        <f t="shared" si="2"/>
        <v>2</v>
      </c>
      <c r="J29" s="42">
        <f t="shared" si="3"/>
        <v>269</v>
      </c>
      <c r="K29" s="42">
        <f t="shared" si="4"/>
        <v>67.25</v>
      </c>
      <c r="L29" s="42">
        <f t="shared" si="15"/>
        <v>2</v>
      </c>
      <c r="M29" s="42">
        <f t="shared" si="13"/>
        <v>24196</v>
      </c>
      <c r="N29" s="42">
        <f t="shared" si="6"/>
        <v>483.92</v>
      </c>
      <c r="O29" s="42">
        <f t="shared" si="10"/>
        <v>255.99368000000001</v>
      </c>
      <c r="P29" s="45">
        <f t="shared" si="11"/>
        <v>1996.750704</v>
      </c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>
        <f t="shared" si="19"/>
        <v>0</v>
      </c>
      <c r="AD29" s="41">
        <f t="shared" si="18"/>
        <v>0</v>
      </c>
      <c r="AE29" s="41">
        <f>(S29+V29+Y29+AB29)/4</f>
        <v>0</v>
      </c>
    </row>
    <row r="30" spans="1:31" ht="32.25" customHeight="1" x14ac:dyDescent="0.3">
      <c r="A30" s="43">
        <v>43673</v>
      </c>
      <c r="B30" s="44">
        <v>62</v>
      </c>
      <c r="C30" s="42">
        <f t="shared" si="14"/>
        <v>4</v>
      </c>
      <c r="D30" s="44">
        <v>63</v>
      </c>
      <c r="E30" s="42">
        <f t="shared" si="16"/>
        <v>4</v>
      </c>
      <c r="F30" s="44">
        <v>68</v>
      </c>
      <c r="G30" s="42">
        <f t="shared" si="17"/>
        <v>3</v>
      </c>
      <c r="H30" s="44">
        <v>68</v>
      </c>
      <c r="I30" s="42">
        <f t="shared" si="2"/>
        <v>3</v>
      </c>
      <c r="J30" s="42">
        <f t="shared" si="3"/>
        <v>261</v>
      </c>
      <c r="K30" s="42">
        <f t="shared" si="4"/>
        <v>65.25</v>
      </c>
      <c r="L30" s="42">
        <f t="shared" si="15"/>
        <v>3.5</v>
      </c>
      <c r="M30" s="42">
        <f t="shared" si="13"/>
        <v>24196</v>
      </c>
      <c r="N30" s="42">
        <f t="shared" si="6"/>
        <v>846.86</v>
      </c>
      <c r="O30" s="42">
        <f t="shared" si="10"/>
        <v>447.98894000000001</v>
      </c>
      <c r="P30" s="45">
        <f t="shared" si="11"/>
        <v>3494.3137320000001</v>
      </c>
      <c r="Q30" s="42">
        <v>1737</v>
      </c>
      <c r="R30" s="42">
        <v>60</v>
      </c>
      <c r="S30" s="42">
        <v>85</v>
      </c>
      <c r="T30" s="42">
        <v>1650</v>
      </c>
      <c r="U30" s="42">
        <v>61</v>
      </c>
      <c r="V30" s="42">
        <v>85</v>
      </c>
      <c r="W30" s="42">
        <v>1409</v>
      </c>
      <c r="X30" s="42">
        <v>65</v>
      </c>
      <c r="Y30" s="42">
        <v>85</v>
      </c>
      <c r="Z30" s="42">
        <v>1424</v>
      </c>
      <c r="AA30" s="42">
        <v>65</v>
      </c>
      <c r="AB30" s="42">
        <v>85</v>
      </c>
      <c r="AC30" s="42">
        <f t="shared" si="19"/>
        <v>6220</v>
      </c>
      <c r="AD30" s="41">
        <f t="shared" si="18"/>
        <v>62.75</v>
      </c>
      <c r="AE30" s="41">
        <f t="shared" ref="AE30:AE42" si="20">(S30+V30+Y30+AB30)/4</f>
        <v>85</v>
      </c>
    </row>
    <row r="31" spans="1:31" ht="32.25" customHeight="1" x14ac:dyDescent="0.3">
      <c r="A31" s="43">
        <v>43674</v>
      </c>
      <c r="B31" s="44">
        <v>83</v>
      </c>
      <c r="C31" s="42">
        <f t="shared" si="14"/>
        <v>3</v>
      </c>
      <c r="D31" s="44">
        <v>83</v>
      </c>
      <c r="E31" s="42">
        <f t="shared" si="16"/>
        <v>2</v>
      </c>
      <c r="F31" s="44">
        <v>85</v>
      </c>
      <c r="G31" s="42">
        <f>IF(AC31&gt;0,((F31-X31)+(Y31-F32)),IF(F32=0, ,(F31-F32)))</f>
        <v>3</v>
      </c>
      <c r="H31" s="44">
        <v>85</v>
      </c>
      <c r="I31" s="42">
        <f t="shared" si="2"/>
        <v>1</v>
      </c>
      <c r="J31" s="42">
        <f t="shared" si="3"/>
        <v>336</v>
      </c>
      <c r="K31" s="42">
        <f t="shared" si="4"/>
        <v>84</v>
      </c>
      <c r="L31" s="42">
        <f t="shared" si="15"/>
        <v>2.25</v>
      </c>
      <c r="M31" s="42">
        <f t="shared" si="13"/>
        <v>24196</v>
      </c>
      <c r="N31" s="42">
        <f t="shared" si="6"/>
        <v>544.41</v>
      </c>
      <c r="O31" s="42">
        <f t="shared" si="10"/>
        <v>287.99288999999999</v>
      </c>
      <c r="P31" s="45">
        <f t="shared" si="11"/>
        <v>2246.3445419999998</v>
      </c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>
        <f t="shared" si="19"/>
        <v>0</v>
      </c>
      <c r="AD31" s="41">
        <f t="shared" si="18"/>
        <v>0</v>
      </c>
      <c r="AE31" s="41">
        <f t="shared" si="20"/>
        <v>0</v>
      </c>
    </row>
    <row r="32" spans="1:31" ht="32.25" customHeight="1" x14ac:dyDescent="0.3">
      <c r="A32" s="43">
        <v>43675</v>
      </c>
      <c r="B32" s="44">
        <v>80</v>
      </c>
      <c r="C32" s="42">
        <f t="shared" si="14"/>
        <v>4</v>
      </c>
      <c r="D32" s="44">
        <v>81</v>
      </c>
      <c r="E32" s="42">
        <f t="shared" si="16"/>
        <v>3</v>
      </c>
      <c r="F32" s="44">
        <v>82</v>
      </c>
      <c r="G32" s="42">
        <f t="shared" si="17"/>
        <v>2</v>
      </c>
      <c r="H32" s="44">
        <v>84</v>
      </c>
      <c r="I32" s="42">
        <f t="shared" si="2"/>
        <v>4</v>
      </c>
      <c r="J32" s="42">
        <f t="shared" si="3"/>
        <v>327</v>
      </c>
      <c r="K32" s="42">
        <f t="shared" si="4"/>
        <v>81.75</v>
      </c>
      <c r="L32" s="42">
        <f t="shared" si="15"/>
        <v>3.25</v>
      </c>
      <c r="M32" s="42">
        <f t="shared" si="13"/>
        <v>24196</v>
      </c>
      <c r="N32" s="42">
        <f t="shared" si="6"/>
        <v>786.37</v>
      </c>
      <c r="O32" s="42">
        <f t="shared" si="10"/>
        <v>415.98973000000001</v>
      </c>
      <c r="P32" s="45">
        <f t="shared" si="11"/>
        <v>3244.7198939999998</v>
      </c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>
        <f>Q32+T32+W32+Z32</f>
        <v>0</v>
      </c>
      <c r="AD32" s="41">
        <f t="shared" si="18"/>
        <v>0</v>
      </c>
      <c r="AE32" s="41">
        <f t="shared" si="20"/>
        <v>0</v>
      </c>
    </row>
    <row r="33" spans="1:31" ht="32.25" customHeight="1" x14ac:dyDescent="0.3">
      <c r="A33" s="43">
        <v>43676</v>
      </c>
      <c r="B33" s="44">
        <v>76</v>
      </c>
      <c r="C33" s="42">
        <f t="shared" si="14"/>
        <v>1</v>
      </c>
      <c r="D33" s="44">
        <v>78</v>
      </c>
      <c r="E33" s="42">
        <f t="shared" si="16"/>
        <v>3</v>
      </c>
      <c r="F33" s="44">
        <v>80</v>
      </c>
      <c r="G33" s="42">
        <f t="shared" si="17"/>
        <v>1</v>
      </c>
      <c r="H33" s="44">
        <v>80</v>
      </c>
      <c r="I33" s="42">
        <f t="shared" si="2"/>
        <v>2</v>
      </c>
      <c r="J33" s="42">
        <f t="shared" si="3"/>
        <v>314</v>
      </c>
      <c r="K33" s="42">
        <f t="shared" si="4"/>
        <v>78.5</v>
      </c>
      <c r="L33" s="42">
        <f t="shared" si="15"/>
        <v>1.75</v>
      </c>
      <c r="M33" s="42">
        <f t="shared" si="13"/>
        <v>24196</v>
      </c>
      <c r="N33" s="42">
        <f t="shared" si="6"/>
        <v>423.43</v>
      </c>
      <c r="O33" s="42">
        <f t="shared" si="10"/>
        <v>223.99447000000001</v>
      </c>
      <c r="P33" s="45">
        <f t="shared" si="11"/>
        <v>1747.156866</v>
      </c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>
        <f>Q33+T33+W33+Z33</f>
        <v>0</v>
      </c>
      <c r="AD33" s="41">
        <f t="shared" si="18"/>
        <v>0</v>
      </c>
      <c r="AE33" s="41">
        <f t="shared" si="20"/>
        <v>0</v>
      </c>
    </row>
    <row r="34" spans="1:31" ht="32.25" customHeight="1" x14ac:dyDescent="0.3">
      <c r="A34" s="43">
        <v>43677</v>
      </c>
      <c r="B34" s="44">
        <v>75</v>
      </c>
      <c r="C34" s="42">
        <f t="shared" si="14"/>
        <v>2</v>
      </c>
      <c r="D34" s="44">
        <v>75</v>
      </c>
      <c r="E34" s="42">
        <f t="shared" si="16"/>
        <v>1</v>
      </c>
      <c r="F34" s="44">
        <v>79</v>
      </c>
      <c r="G34" s="42">
        <f t="shared" si="17"/>
        <v>3</v>
      </c>
      <c r="H34" s="44">
        <v>78</v>
      </c>
      <c r="I34" s="42">
        <f t="shared" si="2"/>
        <v>3</v>
      </c>
      <c r="J34" s="42">
        <f t="shared" si="3"/>
        <v>307</v>
      </c>
      <c r="K34" s="42">
        <f t="shared" si="4"/>
        <v>76.75</v>
      </c>
      <c r="L34" s="42">
        <f t="shared" si="15"/>
        <v>2.25</v>
      </c>
      <c r="M34" s="42">
        <f t="shared" si="13"/>
        <v>24196</v>
      </c>
      <c r="N34" s="42">
        <f t="shared" si="6"/>
        <v>544.41</v>
      </c>
      <c r="O34" s="42">
        <f t="shared" si="10"/>
        <v>287.99288999999999</v>
      </c>
      <c r="P34" s="45">
        <f t="shared" si="11"/>
        <v>2246.3445419999998</v>
      </c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>
        <f t="shared" si="19"/>
        <v>0</v>
      </c>
      <c r="AD34" s="41">
        <f t="shared" si="18"/>
        <v>0</v>
      </c>
      <c r="AE34" s="41">
        <f t="shared" si="20"/>
        <v>0</v>
      </c>
    </row>
    <row r="35" spans="1:31" ht="32.25" customHeight="1" x14ac:dyDescent="0.3">
      <c r="A35" s="43">
        <v>43678</v>
      </c>
      <c r="B35" s="44">
        <v>73</v>
      </c>
      <c r="C35" s="42">
        <f t="shared" si="14"/>
        <v>0</v>
      </c>
      <c r="D35" s="44">
        <v>74</v>
      </c>
      <c r="E35" s="42">
        <f t="shared" si="16"/>
        <v>0</v>
      </c>
      <c r="F35" s="44">
        <v>76</v>
      </c>
      <c r="G35" s="42">
        <f t="shared" si="17"/>
        <v>0</v>
      </c>
      <c r="H35" s="44">
        <v>75</v>
      </c>
      <c r="I35" s="42">
        <f t="shared" si="2"/>
        <v>0</v>
      </c>
      <c r="J35" s="42">
        <f t="shared" si="3"/>
        <v>298</v>
      </c>
      <c r="K35" s="42">
        <f t="shared" si="4"/>
        <v>74.5</v>
      </c>
      <c r="L35" s="42">
        <f t="shared" si="15"/>
        <v>0</v>
      </c>
      <c r="M35" s="42">
        <f t="shared" si="13"/>
        <v>24196</v>
      </c>
      <c r="N35" s="42">
        <f t="shared" si="6"/>
        <v>0</v>
      </c>
      <c r="O35" s="42">
        <f t="shared" ref="O8:O37" si="21">N35*0.529</f>
        <v>0</v>
      </c>
      <c r="P35" s="45">
        <f t="shared" ref="P35:P36" si="22">O35*7.8</f>
        <v>0</v>
      </c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>
        <f t="shared" si="19"/>
        <v>0</v>
      </c>
      <c r="AD35" s="41">
        <f t="shared" si="18"/>
        <v>0</v>
      </c>
      <c r="AE35" s="41">
        <f t="shared" si="20"/>
        <v>0</v>
      </c>
    </row>
    <row r="36" spans="1:31" ht="32.25" customHeight="1" x14ac:dyDescent="0.3">
      <c r="A36" s="43"/>
      <c r="B36" s="44"/>
      <c r="C36" s="42">
        <f>IF(AC36&gt;0,((B36-R36)+(S36-B37)),IF(B37=0, ,(B36-B37)))</f>
        <v>0</v>
      </c>
      <c r="D36" s="44"/>
      <c r="E36" s="42">
        <f t="shared" si="16"/>
        <v>0</v>
      </c>
      <c r="F36" s="44"/>
      <c r="G36" s="42">
        <f t="shared" si="17"/>
        <v>0</v>
      </c>
      <c r="H36" s="44"/>
      <c r="I36" s="42">
        <f t="shared" si="2"/>
        <v>0</v>
      </c>
      <c r="J36" s="42">
        <f t="shared" si="3"/>
        <v>0</v>
      </c>
      <c r="K36" s="42">
        <f t="shared" si="4"/>
        <v>0</v>
      </c>
      <c r="L36" s="42">
        <f t="shared" si="15"/>
        <v>0</v>
      </c>
      <c r="M36" s="42">
        <f t="shared" si="13"/>
        <v>24196</v>
      </c>
      <c r="N36" s="42">
        <f t="shared" si="6"/>
        <v>0</v>
      </c>
      <c r="O36" s="42">
        <f t="shared" si="21"/>
        <v>0</v>
      </c>
      <c r="P36" s="45">
        <f t="shared" si="22"/>
        <v>0</v>
      </c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>
        <f t="shared" si="19"/>
        <v>0</v>
      </c>
      <c r="AD36" s="41">
        <f t="shared" si="18"/>
        <v>0</v>
      </c>
      <c r="AE36" s="41">
        <f t="shared" si="20"/>
        <v>0</v>
      </c>
    </row>
    <row r="37" spans="1:31" ht="32.25" customHeight="1" x14ac:dyDescent="0.3">
      <c r="A37" s="43"/>
      <c r="B37" s="44"/>
      <c r="C37" s="42">
        <f t="shared" ref="C37:C42" si="23">IF(AC37&gt;0,((B37-R37)+(S37-B38)),IF(B38=0, ,(B37-B38)))</f>
        <v>0</v>
      </c>
      <c r="D37" s="44"/>
      <c r="E37" s="42">
        <f>IF(AC37:AC60&gt;0,((D37-U37)+(V37-D38)),IF(D38=0, ,(D37-D38)))</f>
        <v>0</v>
      </c>
      <c r="F37" s="44"/>
      <c r="G37" s="42">
        <f t="shared" ref="G37:G42" si="24">IF(AC37&gt;0,((F37-X37)+(Y37-F38)),IF(F38=0, ,(F37-F38)))</f>
        <v>0</v>
      </c>
      <c r="H37" s="44"/>
      <c r="I37" s="42">
        <f t="shared" ref="I37:I42" si="25">IF(AC37&gt;0,((H37-AA37)+(AB37-H38)),IF(H38=0, ,(H37-H38)))</f>
        <v>0</v>
      </c>
      <c r="J37" s="42">
        <f t="shared" si="3"/>
        <v>0</v>
      </c>
      <c r="K37" s="42">
        <f t="shared" si="4"/>
        <v>0</v>
      </c>
      <c r="L37" s="42">
        <f t="shared" si="15"/>
        <v>0</v>
      </c>
      <c r="M37" s="42">
        <f t="shared" si="13"/>
        <v>24196</v>
      </c>
      <c r="N37" s="42">
        <f t="shared" si="6"/>
        <v>0</v>
      </c>
      <c r="O37" s="42">
        <f t="shared" si="21"/>
        <v>0</v>
      </c>
      <c r="P37" s="45">
        <f t="shared" ref="P37:P42" si="26">O37*8</f>
        <v>0</v>
      </c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>
        <f t="shared" si="19"/>
        <v>0</v>
      </c>
      <c r="AD37" s="41">
        <f t="shared" si="18"/>
        <v>0</v>
      </c>
      <c r="AE37" s="41">
        <f t="shared" si="20"/>
        <v>0</v>
      </c>
    </row>
    <row r="38" spans="1:31" ht="32.25" customHeight="1" x14ac:dyDescent="0.3">
      <c r="A38" s="43"/>
      <c r="B38" s="44"/>
      <c r="C38" s="42">
        <f t="shared" si="23"/>
        <v>0</v>
      </c>
      <c r="D38" s="44"/>
      <c r="E38" s="42">
        <f>IF(AC38:AC61&gt;0,((D38-U38)+(V38-D39)),IF(D39=0, ,(D38-D39)))</f>
        <v>0</v>
      </c>
      <c r="F38" s="44"/>
      <c r="G38" s="42">
        <f t="shared" si="24"/>
        <v>0</v>
      </c>
      <c r="H38" s="44"/>
      <c r="I38" s="42">
        <f t="shared" si="25"/>
        <v>0</v>
      </c>
      <c r="J38" s="42">
        <f t="shared" si="3"/>
        <v>0</v>
      </c>
      <c r="K38" s="42">
        <f t="shared" si="4"/>
        <v>0</v>
      </c>
      <c r="L38" s="42">
        <f t="shared" si="15"/>
        <v>0</v>
      </c>
      <c r="M38" s="42">
        <f t="shared" si="13"/>
        <v>24196</v>
      </c>
      <c r="N38" s="42">
        <f t="shared" si="6"/>
        <v>0</v>
      </c>
      <c r="O38" s="42">
        <f>N38*0.53</f>
        <v>0</v>
      </c>
      <c r="P38" s="45">
        <f t="shared" si="26"/>
        <v>0</v>
      </c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>
        <f t="shared" si="19"/>
        <v>0</v>
      </c>
      <c r="AD38" s="41">
        <f t="shared" si="18"/>
        <v>0</v>
      </c>
      <c r="AE38" s="41">
        <f t="shared" si="20"/>
        <v>0</v>
      </c>
    </row>
    <row r="39" spans="1:31" ht="32.25" customHeight="1" x14ac:dyDescent="0.3">
      <c r="A39" s="43"/>
      <c r="B39" s="44"/>
      <c r="C39" s="42">
        <f t="shared" si="23"/>
        <v>0</v>
      </c>
      <c r="D39" s="44"/>
      <c r="E39" s="42">
        <f>IF(AC39&gt;0,((D39-U39)+(V39-D40)),IF(D40=0, ,(D39-D40)))</f>
        <v>0</v>
      </c>
      <c r="F39" s="44"/>
      <c r="G39" s="42">
        <f t="shared" si="24"/>
        <v>0</v>
      </c>
      <c r="H39" s="44"/>
      <c r="I39" s="42">
        <f t="shared" si="25"/>
        <v>0</v>
      </c>
      <c r="J39" s="42">
        <f t="shared" si="3"/>
        <v>0</v>
      </c>
      <c r="K39" s="42">
        <f t="shared" si="4"/>
        <v>0</v>
      </c>
      <c r="L39" s="42">
        <f t="shared" si="15"/>
        <v>0</v>
      </c>
      <c r="M39" s="42">
        <f t="shared" si="13"/>
        <v>24196</v>
      </c>
      <c r="N39" s="42">
        <f t="shared" si="6"/>
        <v>0</v>
      </c>
      <c r="O39" s="42">
        <f>N39*0.53</f>
        <v>0</v>
      </c>
      <c r="P39" s="45">
        <f t="shared" si="26"/>
        <v>0</v>
      </c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>
        <f t="shared" si="19"/>
        <v>0</v>
      </c>
      <c r="AD39" s="41">
        <f t="shared" si="18"/>
        <v>0</v>
      </c>
      <c r="AE39" s="41">
        <f t="shared" si="20"/>
        <v>0</v>
      </c>
    </row>
    <row r="40" spans="1:31" ht="32.25" customHeight="1" x14ac:dyDescent="0.3">
      <c r="A40" s="43"/>
      <c r="B40" s="44"/>
      <c r="C40" s="42">
        <f t="shared" si="23"/>
        <v>0</v>
      </c>
      <c r="D40" s="44"/>
      <c r="E40" s="42">
        <f>IF(AC40&gt;0,((D40-U40)+(V40-D41)),IF(D41=0, ,(D40-D41)))</f>
        <v>0</v>
      </c>
      <c r="F40" s="44"/>
      <c r="G40" s="42">
        <f t="shared" si="24"/>
        <v>0</v>
      </c>
      <c r="H40" s="44"/>
      <c r="I40" s="42">
        <f t="shared" si="25"/>
        <v>0</v>
      </c>
      <c r="J40" s="42">
        <f t="shared" si="3"/>
        <v>0</v>
      </c>
      <c r="K40" s="42">
        <f t="shared" si="4"/>
        <v>0</v>
      </c>
      <c r="L40" s="42">
        <f t="shared" si="15"/>
        <v>0</v>
      </c>
      <c r="M40" s="42">
        <f t="shared" si="13"/>
        <v>24196</v>
      </c>
      <c r="N40" s="42">
        <f t="shared" si="6"/>
        <v>0</v>
      </c>
      <c r="O40" s="42">
        <f>N40*0.53</f>
        <v>0</v>
      </c>
      <c r="P40" s="45">
        <f t="shared" si="26"/>
        <v>0</v>
      </c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>
        <f t="shared" si="19"/>
        <v>0</v>
      </c>
      <c r="AD40" s="41">
        <f t="shared" si="18"/>
        <v>0</v>
      </c>
      <c r="AE40" s="41">
        <f t="shared" si="20"/>
        <v>0</v>
      </c>
    </row>
    <row r="41" spans="1:31" ht="32.25" customHeight="1" x14ac:dyDescent="0.3">
      <c r="A41" s="43"/>
      <c r="B41" s="44"/>
      <c r="C41" s="42">
        <f t="shared" si="23"/>
        <v>0</v>
      </c>
      <c r="D41" s="44"/>
      <c r="E41" s="42">
        <f>IF(AC41&gt;0,((D41-U41)+(V41-D42)),IF(D42=0, ,(D41-D42)))</f>
        <v>0</v>
      </c>
      <c r="F41" s="44"/>
      <c r="G41" s="42">
        <f t="shared" si="24"/>
        <v>0</v>
      </c>
      <c r="H41" s="44"/>
      <c r="I41" s="42">
        <f t="shared" si="25"/>
        <v>0</v>
      </c>
      <c r="J41" s="42">
        <f t="shared" si="3"/>
        <v>0</v>
      </c>
      <c r="K41" s="42">
        <f t="shared" si="4"/>
        <v>0</v>
      </c>
      <c r="L41" s="42">
        <f t="shared" si="15"/>
        <v>0</v>
      </c>
      <c r="M41" s="42">
        <f t="shared" si="13"/>
        <v>24196</v>
      </c>
      <c r="N41" s="42">
        <f t="shared" si="6"/>
        <v>0</v>
      </c>
      <c r="O41" s="42">
        <f>N41*0.53</f>
        <v>0</v>
      </c>
      <c r="P41" s="45">
        <f t="shared" si="26"/>
        <v>0</v>
      </c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>
        <f t="shared" si="19"/>
        <v>0</v>
      </c>
      <c r="AD41" s="41">
        <f t="shared" si="18"/>
        <v>0</v>
      </c>
      <c r="AE41" s="41">
        <f t="shared" si="20"/>
        <v>0</v>
      </c>
    </row>
    <row r="42" spans="1:31" ht="32.25" customHeight="1" x14ac:dyDescent="0.3">
      <c r="A42" s="43"/>
      <c r="B42" s="44"/>
      <c r="C42" s="42">
        <f t="shared" si="23"/>
        <v>0</v>
      </c>
      <c r="D42" s="44"/>
      <c r="E42" s="42">
        <f>IF(AC42&gt;0,((D42-U42)+(V42-D43)),IF(D43=0, ,(D42-D43)))</f>
        <v>0</v>
      </c>
      <c r="F42" s="44"/>
      <c r="G42" s="42">
        <f t="shared" si="24"/>
        <v>0</v>
      </c>
      <c r="H42" s="44"/>
      <c r="I42" s="42">
        <f t="shared" si="25"/>
        <v>0</v>
      </c>
      <c r="J42" s="42">
        <f t="shared" si="3"/>
        <v>0</v>
      </c>
      <c r="K42" s="42">
        <f t="shared" si="4"/>
        <v>0</v>
      </c>
      <c r="L42" s="42">
        <f t="shared" si="15"/>
        <v>0</v>
      </c>
      <c r="M42" s="42">
        <f t="shared" si="13"/>
        <v>24196</v>
      </c>
      <c r="N42" s="42">
        <f t="shared" si="6"/>
        <v>0</v>
      </c>
      <c r="O42" s="42">
        <f>N42*0.53</f>
        <v>0</v>
      </c>
      <c r="P42" s="45">
        <f t="shared" si="26"/>
        <v>0</v>
      </c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>
        <f t="shared" si="19"/>
        <v>0</v>
      </c>
      <c r="AD42" s="41">
        <f t="shared" si="18"/>
        <v>0</v>
      </c>
      <c r="AE42" s="41">
        <f t="shared" si="20"/>
        <v>0</v>
      </c>
    </row>
    <row r="43" spans="1:31" ht="32.25" customHeight="1" thickBot="1" x14ac:dyDescent="0.35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2">
        <f>SUM(N4:N42)</f>
        <v>20869.049999999996</v>
      </c>
      <c r="O43" s="42">
        <f>N43*0.529</f>
        <v>11039.727449999998</v>
      </c>
      <c r="P43" s="45">
        <f>O43*7.8</f>
        <v>86109.87410999999</v>
      </c>
      <c r="Q43" s="256">
        <f>SUM(Q4:Q42)</f>
        <v>9334</v>
      </c>
      <c r="R43" s="257"/>
      <c r="S43" s="258"/>
      <c r="T43" s="259">
        <f>SUM(T4:T42)</f>
        <v>9122</v>
      </c>
      <c r="U43" s="257"/>
      <c r="V43" s="258"/>
      <c r="W43" s="259">
        <f>SUM(W4:W42)</f>
        <v>8419</v>
      </c>
      <c r="X43" s="257"/>
      <c r="Y43" s="258"/>
      <c r="Z43" s="259">
        <f>SUM(Z4:Z42)</f>
        <v>8256</v>
      </c>
      <c r="AA43" s="257"/>
      <c r="AB43" s="258"/>
      <c r="AC43" s="42">
        <f t="shared" si="19"/>
        <v>35131</v>
      </c>
    </row>
    <row r="44" spans="1:31" ht="35.25" customHeight="1" thickBot="1" x14ac:dyDescent="0.35">
      <c r="B44" s="246"/>
      <c r="C44" s="247"/>
      <c r="D44" s="247"/>
      <c r="E44" s="247"/>
      <c r="F44" s="247"/>
      <c r="G44" s="247"/>
      <c r="H44" s="247"/>
      <c r="I44" s="248"/>
      <c r="J44" s="40"/>
      <c r="K44" s="40"/>
      <c r="L44" s="40"/>
      <c r="M44" s="40"/>
      <c r="N44" s="40"/>
      <c r="O44" s="40"/>
      <c r="P44" s="40"/>
      <c r="Q44" s="249">
        <f>Q43+T43+W43+Z43</f>
        <v>35131</v>
      </c>
      <c r="R44" s="250"/>
      <c r="S44" s="250"/>
      <c r="T44" s="250"/>
      <c r="U44" s="250"/>
      <c r="V44" s="250"/>
      <c r="W44" s="250"/>
      <c r="X44" s="250"/>
      <c r="Y44" s="250"/>
      <c r="Z44" s="250"/>
      <c r="AA44" s="250"/>
      <c r="AB44" s="251"/>
      <c r="AC44" s="42">
        <f>Q44+T44+W44+Z44</f>
        <v>35131</v>
      </c>
    </row>
    <row r="45" spans="1:31" ht="7.5" customHeight="1" thickBot="1" x14ac:dyDescent="0.35">
      <c r="D45" s="39" t="s">
        <v>18</v>
      </c>
    </row>
    <row r="46" spans="1:31" ht="51" customHeight="1" thickBot="1" x14ac:dyDescent="0.35">
      <c r="H46" s="40"/>
      <c r="I46" s="40"/>
      <c r="J46" s="40"/>
      <c r="K46" s="46" t="s">
        <v>67</v>
      </c>
      <c r="L46" s="47" t="s">
        <v>68</v>
      </c>
      <c r="M46" s="47" t="s">
        <v>69</v>
      </c>
    </row>
    <row r="47" spans="1:31" ht="48" customHeight="1" thickBot="1" x14ac:dyDescent="0.35">
      <c r="H47" s="252" t="s">
        <v>70</v>
      </c>
      <c r="I47" s="253"/>
      <c r="J47" s="254"/>
      <c r="K47" s="48">
        <f>N43</f>
        <v>20869.049999999996</v>
      </c>
      <c r="L47" s="49">
        <f>O43</f>
        <v>11039.727449999998</v>
      </c>
      <c r="M47" s="49">
        <f>P43</f>
        <v>86109.87410999999</v>
      </c>
    </row>
    <row r="48" spans="1:31" ht="54.75" customHeight="1" thickBot="1" x14ac:dyDescent="0.35">
      <c r="H48" s="252" t="s">
        <v>71</v>
      </c>
      <c r="I48" s="253"/>
      <c r="J48" s="254"/>
      <c r="K48" s="46">
        <f>AC44</f>
        <v>35131</v>
      </c>
      <c r="L48" s="47">
        <f>K48*0.529</f>
        <v>18584.299000000003</v>
      </c>
      <c r="M48" s="47">
        <f>L48*7.8</f>
        <v>144957.53220000002</v>
      </c>
    </row>
  </sheetData>
  <mergeCells count="13">
    <mergeCell ref="B44:I44"/>
    <mergeCell ref="Q44:AB44"/>
    <mergeCell ref="H47:J47"/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4"/>
  <sheetViews>
    <sheetView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42" sqref="A42:K47"/>
    </sheetView>
  </sheetViews>
  <sheetFormatPr baseColWidth="10" defaultColWidth="11.42578125" defaultRowHeight="18" x14ac:dyDescent="0.25"/>
  <cols>
    <col min="1" max="1" width="18.5703125" style="50" customWidth="1"/>
    <col min="2" max="3" width="19.140625" style="50" customWidth="1"/>
    <col min="4" max="4" width="16.7109375" customWidth="1"/>
    <col min="5" max="5" width="19.5703125" style="154" customWidth="1"/>
    <col min="6" max="11" width="16.7109375" customWidth="1"/>
    <col min="12" max="12" width="24.28515625" customWidth="1"/>
  </cols>
  <sheetData>
    <row r="1" spans="1:12" ht="12.75" customHeight="1" x14ac:dyDescent="0.2">
      <c r="A1" s="284"/>
      <c r="B1" s="285"/>
      <c r="C1" s="285"/>
      <c r="D1" s="286"/>
      <c r="E1" s="267" t="s">
        <v>72</v>
      </c>
      <c r="F1" s="268"/>
      <c r="G1" s="268"/>
      <c r="H1" s="268"/>
      <c r="I1" s="269"/>
      <c r="J1" s="276" t="s">
        <v>73</v>
      </c>
      <c r="K1" s="277"/>
      <c r="L1" s="52"/>
    </row>
    <row r="2" spans="1:12" ht="16.5" customHeight="1" x14ac:dyDescent="0.2">
      <c r="A2" s="287"/>
      <c r="B2" s="288"/>
      <c r="C2" s="288"/>
      <c r="D2" s="289"/>
      <c r="E2" s="270"/>
      <c r="F2" s="271"/>
      <c r="G2" s="271"/>
      <c r="H2" s="271"/>
      <c r="I2" s="272"/>
      <c r="J2" s="278"/>
      <c r="K2" s="279"/>
      <c r="L2" s="52"/>
    </row>
    <row r="3" spans="1:12" ht="48" customHeight="1" thickBot="1" x14ac:dyDescent="0.25">
      <c r="A3" s="290"/>
      <c r="B3" s="291"/>
      <c r="C3" s="291"/>
      <c r="D3" s="292"/>
      <c r="E3" s="273"/>
      <c r="F3" s="274"/>
      <c r="G3" s="274"/>
      <c r="H3" s="274"/>
      <c r="I3" s="275"/>
      <c r="J3" s="280"/>
      <c r="K3" s="281"/>
      <c r="L3" s="52"/>
    </row>
    <row r="6" spans="1:12" ht="10.5" customHeight="1" thickBot="1" x14ac:dyDescent="0.3"/>
    <row r="7" spans="1:12" ht="16.5" customHeight="1" thickTop="1" thickBot="1" x14ac:dyDescent="0.25">
      <c r="A7" s="265" t="s">
        <v>74</v>
      </c>
      <c r="B7" s="293" t="s">
        <v>75</v>
      </c>
      <c r="C7" s="294"/>
      <c r="D7" s="282" t="s">
        <v>76</v>
      </c>
      <c r="E7" s="282"/>
      <c r="F7" s="283" t="s">
        <v>77</v>
      </c>
      <c r="G7" s="283"/>
      <c r="H7" s="283"/>
      <c r="I7" s="283"/>
      <c r="J7" s="283"/>
      <c r="K7" s="283"/>
    </row>
    <row r="8" spans="1:12" s="32" customFormat="1" ht="28.5" customHeight="1" thickTop="1" thickBot="1" x14ac:dyDescent="0.25">
      <c r="A8" s="266"/>
      <c r="B8" s="124" t="s">
        <v>78</v>
      </c>
      <c r="C8" s="124" t="s">
        <v>79</v>
      </c>
      <c r="D8" s="60" t="s">
        <v>78</v>
      </c>
      <c r="E8" s="60" t="s">
        <v>80</v>
      </c>
      <c r="F8" s="62" t="s">
        <v>81</v>
      </c>
      <c r="G8" s="62" t="s">
        <v>82</v>
      </c>
      <c r="H8" s="62" t="s">
        <v>83</v>
      </c>
      <c r="I8" s="62" t="s">
        <v>84</v>
      </c>
      <c r="J8" s="62" t="s">
        <v>85</v>
      </c>
      <c r="K8" s="62" t="s">
        <v>86</v>
      </c>
    </row>
    <row r="9" spans="1:12" ht="21" thickTop="1" thickBot="1" x14ac:dyDescent="0.35">
      <c r="A9" s="63">
        <v>43647</v>
      </c>
      <c r="B9" s="126">
        <v>2375</v>
      </c>
      <c r="C9" s="125">
        <v>0</v>
      </c>
      <c r="D9" s="61">
        <v>34451.800000000003</v>
      </c>
      <c r="E9" s="54">
        <v>319.80000000000291</v>
      </c>
      <c r="F9" s="55">
        <v>8385026</v>
      </c>
      <c r="G9" s="54">
        <v>4753</v>
      </c>
      <c r="H9" s="55">
        <v>14047255</v>
      </c>
      <c r="I9" s="54">
        <v>9058</v>
      </c>
      <c r="J9" s="55">
        <v>6272389</v>
      </c>
      <c r="K9" s="54">
        <v>3384</v>
      </c>
    </row>
    <row r="10" spans="1:12" ht="21" thickTop="1" thickBot="1" x14ac:dyDescent="0.35">
      <c r="A10" s="63">
        <v>43648</v>
      </c>
      <c r="B10" s="126">
        <v>2375</v>
      </c>
      <c r="C10" s="125">
        <f t="shared" ref="C10:C17" si="0">B10-B9</f>
        <v>0</v>
      </c>
      <c r="D10" s="61">
        <v>34621.5</v>
      </c>
      <c r="E10" s="54">
        <f t="shared" ref="E10:E17" si="1">D10-D9</f>
        <v>169.69999999999709</v>
      </c>
      <c r="F10" s="55">
        <v>8389306</v>
      </c>
      <c r="G10" s="54">
        <f t="shared" ref="G10:G21" si="2">F10-F9</f>
        <v>4280</v>
      </c>
      <c r="H10" s="55">
        <v>14055877</v>
      </c>
      <c r="I10" s="54">
        <f t="shared" ref="I10:I21" si="3">H10-H9</f>
        <v>8622</v>
      </c>
      <c r="J10" s="55">
        <v>6275584</v>
      </c>
      <c r="K10" s="54">
        <f t="shared" ref="K10:K21" si="4">J10-J9</f>
        <v>3195</v>
      </c>
    </row>
    <row r="11" spans="1:12" ht="21" thickTop="1" thickBot="1" x14ac:dyDescent="0.35">
      <c r="A11" s="63">
        <v>43649</v>
      </c>
      <c r="B11" s="126">
        <v>2375</v>
      </c>
      <c r="C11" s="125">
        <f t="shared" si="0"/>
        <v>0</v>
      </c>
      <c r="D11" s="61">
        <v>34785.199999999997</v>
      </c>
      <c r="E11" s="54">
        <f t="shared" si="1"/>
        <v>163.69999999999709</v>
      </c>
      <c r="F11" s="55">
        <v>8393519</v>
      </c>
      <c r="G11" s="54">
        <f t="shared" si="2"/>
        <v>4213</v>
      </c>
      <c r="H11" s="55">
        <v>14064533</v>
      </c>
      <c r="I11" s="54">
        <f t="shared" si="3"/>
        <v>8656</v>
      </c>
      <c r="J11" s="55">
        <v>6279017</v>
      </c>
      <c r="K11" s="54">
        <f t="shared" si="4"/>
        <v>3433</v>
      </c>
    </row>
    <row r="12" spans="1:12" ht="21" thickTop="1" thickBot="1" x14ac:dyDescent="0.35">
      <c r="A12" s="63">
        <v>43650</v>
      </c>
      <c r="B12" s="126">
        <v>2375</v>
      </c>
      <c r="C12" s="125">
        <f t="shared" si="0"/>
        <v>0</v>
      </c>
      <c r="D12" s="61">
        <v>34979.5</v>
      </c>
      <c r="E12" s="54">
        <f t="shared" si="1"/>
        <v>194.30000000000291</v>
      </c>
      <c r="F12" s="55">
        <v>8397262</v>
      </c>
      <c r="G12" s="54">
        <f t="shared" si="2"/>
        <v>3743</v>
      </c>
      <c r="H12" s="55">
        <v>14074254</v>
      </c>
      <c r="I12" s="54">
        <f t="shared" si="3"/>
        <v>9721</v>
      </c>
      <c r="J12" s="55">
        <v>6282626</v>
      </c>
      <c r="K12" s="54">
        <f t="shared" si="4"/>
        <v>3609</v>
      </c>
    </row>
    <row r="13" spans="1:12" ht="21" thickTop="1" thickBot="1" x14ac:dyDescent="0.35">
      <c r="A13" s="63">
        <v>43651</v>
      </c>
      <c r="B13" s="126">
        <v>2375</v>
      </c>
      <c r="C13" s="125">
        <f t="shared" si="0"/>
        <v>0</v>
      </c>
      <c r="D13" s="61">
        <v>35171</v>
      </c>
      <c r="E13" s="54">
        <f t="shared" si="1"/>
        <v>191.5</v>
      </c>
      <c r="F13" s="55">
        <v>8402272</v>
      </c>
      <c r="G13" s="54">
        <f t="shared" si="2"/>
        <v>5010</v>
      </c>
      <c r="H13" s="55">
        <v>14083559</v>
      </c>
      <c r="I13" s="54">
        <f t="shared" si="3"/>
        <v>9305</v>
      </c>
      <c r="J13" s="55">
        <v>6286160</v>
      </c>
      <c r="K13" s="54">
        <f t="shared" si="4"/>
        <v>3534</v>
      </c>
    </row>
    <row r="14" spans="1:12" ht="21" thickTop="1" thickBot="1" x14ac:dyDescent="0.35">
      <c r="A14" s="63">
        <v>43652</v>
      </c>
      <c r="B14" s="126">
        <v>2375</v>
      </c>
      <c r="C14" s="125">
        <f t="shared" si="0"/>
        <v>0</v>
      </c>
      <c r="D14" s="61">
        <v>35356.9</v>
      </c>
      <c r="E14" s="54">
        <f t="shared" si="1"/>
        <v>185.90000000000146</v>
      </c>
      <c r="F14" s="55">
        <v>8406976</v>
      </c>
      <c r="G14" s="54">
        <f t="shared" si="2"/>
        <v>4704</v>
      </c>
      <c r="H14" s="55">
        <v>14093692</v>
      </c>
      <c r="I14" s="54">
        <f t="shared" si="3"/>
        <v>10133</v>
      </c>
      <c r="J14" s="55">
        <v>6289867</v>
      </c>
      <c r="K14" s="54">
        <f t="shared" si="4"/>
        <v>3707</v>
      </c>
    </row>
    <row r="15" spans="1:12" ht="21" thickTop="1" thickBot="1" x14ac:dyDescent="0.35">
      <c r="A15" s="63">
        <v>43653</v>
      </c>
      <c r="B15" s="126">
        <v>2375</v>
      </c>
      <c r="C15" s="125">
        <f t="shared" si="0"/>
        <v>0</v>
      </c>
      <c r="D15" s="61">
        <v>35529.5</v>
      </c>
      <c r="E15" s="54">
        <f t="shared" si="1"/>
        <v>172.59999999999854</v>
      </c>
      <c r="F15" s="55">
        <v>8410965</v>
      </c>
      <c r="G15" s="54">
        <f t="shared" si="2"/>
        <v>3989</v>
      </c>
      <c r="H15" s="55">
        <v>14104130</v>
      </c>
      <c r="I15" s="54">
        <f t="shared" si="3"/>
        <v>10438</v>
      </c>
      <c r="J15" s="55">
        <v>6293228</v>
      </c>
      <c r="K15" s="54">
        <f t="shared" si="4"/>
        <v>3361</v>
      </c>
    </row>
    <row r="16" spans="1:12" ht="21" thickTop="1" thickBot="1" x14ac:dyDescent="0.35">
      <c r="A16" s="63">
        <v>43654</v>
      </c>
      <c r="B16" s="126">
        <v>2375</v>
      </c>
      <c r="C16" s="125">
        <f t="shared" si="0"/>
        <v>0</v>
      </c>
      <c r="D16" s="61">
        <v>35681.1</v>
      </c>
      <c r="E16" s="54">
        <f t="shared" si="1"/>
        <v>151.59999999999854</v>
      </c>
      <c r="F16" s="55">
        <v>8415379</v>
      </c>
      <c r="G16" s="54">
        <f t="shared" si="2"/>
        <v>4414</v>
      </c>
      <c r="H16" s="55">
        <v>14114295</v>
      </c>
      <c r="I16" s="54">
        <f t="shared" si="3"/>
        <v>10165</v>
      </c>
      <c r="J16" s="55">
        <v>6296849</v>
      </c>
      <c r="K16" s="54">
        <f t="shared" si="4"/>
        <v>3621</v>
      </c>
    </row>
    <row r="17" spans="1:29" ht="21" thickTop="1" thickBot="1" x14ac:dyDescent="0.35">
      <c r="A17" s="63">
        <v>43655</v>
      </c>
      <c r="B17" s="126">
        <v>2375</v>
      </c>
      <c r="C17" s="125">
        <f t="shared" si="0"/>
        <v>0</v>
      </c>
      <c r="D17" s="61">
        <v>35859</v>
      </c>
      <c r="E17" s="54">
        <f t="shared" si="1"/>
        <v>177.90000000000146</v>
      </c>
      <c r="F17" s="55">
        <v>8421191</v>
      </c>
      <c r="G17" s="54">
        <f t="shared" si="2"/>
        <v>5812</v>
      </c>
      <c r="H17" s="55">
        <v>14124668</v>
      </c>
      <c r="I17" s="54">
        <f t="shared" si="3"/>
        <v>10373</v>
      </c>
      <c r="J17" s="55">
        <v>6300698</v>
      </c>
      <c r="K17" s="54">
        <f t="shared" si="4"/>
        <v>3849</v>
      </c>
    </row>
    <row r="18" spans="1:29" ht="21" thickTop="1" thickBot="1" x14ac:dyDescent="0.35">
      <c r="A18" s="63">
        <v>43656</v>
      </c>
      <c r="B18" s="126">
        <v>2375</v>
      </c>
      <c r="C18" s="125">
        <f t="shared" ref="C18:C26" si="5">B18-B17</f>
        <v>0</v>
      </c>
      <c r="D18" s="61">
        <v>36051</v>
      </c>
      <c r="E18" s="54">
        <f t="shared" ref="E18:E26" si="6">D18-D17</f>
        <v>192</v>
      </c>
      <c r="F18" s="55">
        <v>8426094</v>
      </c>
      <c r="G18" s="54">
        <f t="shared" si="2"/>
        <v>4903</v>
      </c>
      <c r="H18" s="55">
        <v>14134765</v>
      </c>
      <c r="I18" s="54">
        <f t="shared" si="3"/>
        <v>10097</v>
      </c>
      <c r="J18" s="55">
        <v>6304464</v>
      </c>
      <c r="K18" s="54">
        <f t="shared" si="4"/>
        <v>3766</v>
      </c>
    </row>
    <row r="19" spans="1:29" ht="21" thickTop="1" thickBot="1" x14ac:dyDescent="0.35">
      <c r="A19" s="63">
        <v>43657</v>
      </c>
      <c r="B19" s="126">
        <v>2375</v>
      </c>
      <c r="C19" s="125">
        <f t="shared" si="5"/>
        <v>0</v>
      </c>
      <c r="D19" s="61">
        <v>36238</v>
      </c>
      <c r="E19" s="54">
        <f t="shared" si="6"/>
        <v>187</v>
      </c>
      <c r="F19" s="55">
        <v>8430878</v>
      </c>
      <c r="G19" s="54">
        <f t="shared" si="2"/>
        <v>4784</v>
      </c>
      <c r="H19" s="55">
        <v>14144111</v>
      </c>
      <c r="I19" s="54">
        <f t="shared" si="3"/>
        <v>9346</v>
      </c>
      <c r="J19" s="55">
        <v>6308347</v>
      </c>
      <c r="K19" s="54">
        <f t="shared" si="4"/>
        <v>3883</v>
      </c>
    </row>
    <row r="20" spans="1:29" ht="27" thickTop="1" thickBot="1" x14ac:dyDescent="0.4">
      <c r="A20" s="63">
        <v>43658</v>
      </c>
      <c r="B20" s="126">
        <v>2375</v>
      </c>
      <c r="C20" s="125">
        <f t="shared" si="5"/>
        <v>0</v>
      </c>
      <c r="D20" s="61">
        <v>36420</v>
      </c>
      <c r="E20" s="54">
        <f t="shared" si="6"/>
        <v>182</v>
      </c>
      <c r="F20" s="55">
        <v>8436099</v>
      </c>
      <c r="G20" s="54">
        <f t="shared" si="2"/>
        <v>5221</v>
      </c>
      <c r="H20" s="55">
        <v>14154211</v>
      </c>
      <c r="I20" s="54">
        <f t="shared" si="3"/>
        <v>10100</v>
      </c>
      <c r="J20" s="55">
        <v>6312102</v>
      </c>
      <c r="K20" s="54">
        <f t="shared" si="4"/>
        <v>3755</v>
      </c>
      <c r="L20" s="127" t="s">
        <v>18</v>
      </c>
      <c r="AC20" t="s">
        <v>87</v>
      </c>
    </row>
    <row r="21" spans="1:29" ht="21" thickTop="1" thickBot="1" x14ac:dyDescent="0.35">
      <c r="A21" s="63">
        <v>43659</v>
      </c>
      <c r="B21" s="126">
        <v>2375</v>
      </c>
      <c r="C21" s="125">
        <f t="shared" si="5"/>
        <v>0</v>
      </c>
      <c r="D21" s="61">
        <v>36607</v>
      </c>
      <c r="E21" s="54">
        <f t="shared" si="6"/>
        <v>187</v>
      </c>
      <c r="F21" s="55">
        <v>8441611</v>
      </c>
      <c r="G21" s="54">
        <f t="shared" si="2"/>
        <v>5512</v>
      </c>
      <c r="H21" s="55">
        <v>14164446</v>
      </c>
      <c r="I21" s="54">
        <f t="shared" si="3"/>
        <v>10235</v>
      </c>
      <c r="J21" s="55">
        <v>6315977</v>
      </c>
      <c r="K21" s="54">
        <f t="shared" si="4"/>
        <v>3875</v>
      </c>
    </row>
    <row r="22" spans="1:29" ht="21" thickTop="1" thickBot="1" x14ac:dyDescent="0.35">
      <c r="A22" s="63">
        <v>43660</v>
      </c>
      <c r="B22" s="126">
        <v>2375</v>
      </c>
      <c r="C22" s="125">
        <f t="shared" si="5"/>
        <v>0</v>
      </c>
      <c r="D22" s="61">
        <v>36771.300000000003</v>
      </c>
      <c r="E22" s="54">
        <f t="shared" si="6"/>
        <v>164.30000000000291</v>
      </c>
      <c r="F22" s="55">
        <v>8446169</v>
      </c>
      <c r="G22" s="54">
        <f t="shared" ref="G22:G27" si="7">F22-F21</f>
        <v>4558</v>
      </c>
      <c r="H22" s="55">
        <v>14175271</v>
      </c>
      <c r="I22" s="54">
        <f t="shared" ref="I22:I27" si="8">H22-H21</f>
        <v>10825</v>
      </c>
      <c r="J22" s="55">
        <v>6320657</v>
      </c>
      <c r="K22" s="54">
        <f t="shared" ref="K22:K27" si="9">J22-J21</f>
        <v>4680</v>
      </c>
    </row>
    <row r="23" spans="1:29" ht="21" thickTop="1" thickBot="1" x14ac:dyDescent="0.35">
      <c r="A23" s="63">
        <v>43661</v>
      </c>
      <c r="B23" s="126">
        <v>2375</v>
      </c>
      <c r="C23" s="125">
        <f t="shared" si="5"/>
        <v>0</v>
      </c>
      <c r="D23" s="61">
        <v>36905.1</v>
      </c>
      <c r="E23" s="54">
        <f t="shared" si="6"/>
        <v>133.79999999999563</v>
      </c>
      <c r="F23" s="55">
        <v>8451232</v>
      </c>
      <c r="G23" s="54">
        <f t="shared" si="7"/>
        <v>5063</v>
      </c>
      <c r="H23" s="55">
        <v>14184203</v>
      </c>
      <c r="I23" s="54">
        <f t="shared" si="8"/>
        <v>8932</v>
      </c>
      <c r="J23" s="55">
        <v>6324296</v>
      </c>
      <c r="K23" s="54">
        <f t="shared" si="9"/>
        <v>3639</v>
      </c>
    </row>
    <row r="24" spans="1:29" ht="21" thickTop="1" thickBot="1" x14ac:dyDescent="0.35">
      <c r="A24" s="63">
        <v>43662</v>
      </c>
      <c r="B24" s="126">
        <v>2375</v>
      </c>
      <c r="C24" s="125">
        <f t="shared" si="5"/>
        <v>0</v>
      </c>
      <c r="D24" s="61">
        <v>37115.699999999997</v>
      </c>
      <c r="E24" s="54">
        <f t="shared" si="6"/>
        <v>210.59999999999854</v>
      </c>
      <c r="F24" s="55">
        <v>8456543</v>
      </c>
      <c r="G24" s="54">
        <f t="shared" si="7"/>
        <v>5311</v>
      </c>
      <c r="H24" s="55">
        <v>14194385</v>
      </c>
      <c r="I24" s="54">
        <f t="shared" si="8"/>
        <v>10182</v>
      </c>
      <c r="J24" s="55">
        <v>6328123</v>
      </c>
      <c r="K24" s="54">
        <f t="shared" si="9"/>
        <v>3827</v>
      </c>
    </row>
    <row r="25" spans="1:29" ht="21" thickTop="1" thickBot="1" x14ac:dyDescent="0.35">
      <c r="A25" s="63">
        <v>43663</v>
      </c>
      <c r="B25" s="126">
        <v>2375</v>
      </c>
      <c r="C25" s="125">
        <f t="shared" si="5"/>
        <v>0</v>
      </c>
      <c r="D25" s="61">
        <v>37349.800000000003</v>
      </c>
      <c r="E25" s="54">
        <f t="shared" si="6"/>
        <v>234.10000000000582</v>
      </c>
      <c r="F25" s="55">
        <v>8461312</v>
      </c>
      <c r="G25" s="54">
        <f t="shared" si="7"/>
        <v>4769</v>
      </c>
      <c r="H25" s="55">
        <v>14203602</v>
      </c>
      <c r="I25" s="54">
        <f t="shared" si="8"/>
        <v>9217</v>
      </c>
      <c r="J25" s="55">
        <v>6331806</v>
      </c>
      <c r="K25" s="54">
        <f t="shared" si="9"/>
        <v>3683</v>
      </c>
    </row>
    <row r="26" spans="1:29" ht="21" thickTop="1" thickBot="1" x14ac:dyDescent="0.35">
      <c r="A26" s="63">
        <v>43664</v>
      </c>
      <c r="B26" s="126">
        <v>2375</v>
      </c>
      <c r="C26" s="125">
        <f t="shared" si="5"/>
        <v>0</v>
      </c>
      <c r="D26" s="61">
        <v>37536.199999999997</v>
      </c>
      <c r="E26" s="54">
        <f t="shared" si="6"/>
        <v>186.39999999999418</v>
      </c>
      <c r="F26" s="55">
        <v>8465876</v>
      </c>
      <c r="G26" s="54">
        <f t="shared" si="7"/>
        <v>4564</v>
      </c>
      <c r="H26" s="55">
        <v>14212393</v>
      </c>
      <c r="I26" s="54">
        <f t="shared" si="8"/>
        <v>8791</v>
      </c>
      <c r="J26" s="55">
        <v>6335361</v>
      </c>
      <c r="K26" s="54">
        <f t="shared" si="9"/>
        <v>3555</v>
      </c>
    </row>
    <row r="27" spans="1:29" ht="21" thickTop="1" thickBot="1" x14ac:dyDescent="0.35">
      <c r="A27" s="63">
        <v>43665</v>
      </c>
      <c r="B27" s="126">
        <v>2375</v>
      </c>
      <c r="C27" s="125">
        <f t="shared" ref="C27:C40" si="10">B27-B26</f>
        <v>0</v>
      </c>
      <c r="D27" s="61">
        <v>37708</v>
      </c>
      <c r="E27" s="54">
        <f t="shared" ref="E27:E40" si="11">D27-D26</f>
        <v>171.80000000000291</v>
      </c>
      <c r="F27" s="55">
        <v>8471110</v>
      </c>
      <c r="G27" s="54">
        <f t="shared" si="7"/>
        <v>5234</v>
      </c>
      <c r="H27" s="55">
        <v>14221560</v>
      </c>
      <c r="I27" s="54">
        <f t="shared" si="8"/>
        <v>9167</v>
      </c>
      <c r="J27" s="55">
        <v>6338998</v>
      </c>
      <c r="K27" s="54">
        <f t="shared" si="9"/>
        <v>3637</v>
      </c>
    </row>
    <row r="28" spans="1:29" ht="21" thickTop="1" thickBot="1" x14ac:dyDescent="0.35">
      <c r="A28" s="63">
        <v>43666</v>
      </c>
      <c r="B28" s="126">
        <v>2375</v>
      </c>
      <c r="C28" s="125">
        <f t="shared" si="10"/>
        <v>0</v>
      </c>
      <c r="D28" s="61">
        <v>37886</v>
      </c>
      <c r="E28" s="54">
        <f t="shared" si="11"/>
        <v>178</v>
      </c>
      <c r="F28" s="55">
        <v>8476027</v>
      </c>
      <c r="G28" s="54">
        <f t="shared" ref="G28:G40" si="12">F28-F27</f>
        <v>4917</v>
      </c>
      <c r="H28" s="55">
        <v>14231164</v>
      </c>
      <c r="I28" s="54">
        <f t="shared" ref="I28:I40" si="13">H28-H27</f>
        <v>9604</v>
      </c>
      <c r="J28" s="55">
        <v>6342783</v>
      </c>
      <c r="K28" s="54">
        <f t="shared" ref="K28:K40" si="14">J28-J27</f>
        <v>3785</v>
      </c>
    </row>
    <row r="29" spans="1:29" ht="21" thickTop="1" thickBot="1" x14ac:dyDescent="0.35">
      <c r="A29" s="63">
        <v>43667</v>
      </c>
      <c r="B29" s="126">
        <v>2375</v>
      </c>
      <c r="C29" s="125">
        <f t="shared" si="10"/>
        <v>0</v>
      </c>
      <c r="D29" s="61">
        <v>38041.199999999997</v>
      </c>
      <c r="E29" s="54">
        <f t="shared" si="11"/>
        <v>155.19999999999709</v>
      </c>
      <c r="F29" s="55">
        <v>8480613</v>
      </c>
      <c r="G29" s="54">
        <f t="shared" si="12"/>
        <v>4586</v>
      </c>
      <c r="H29" s="55">
        <v>14240167</v>
      </c>
      <c r="I29" s="54">
        <f t="shared" si="13"/>
        <v>9003</v>
      </c>
      <c r="J29" s="55">
        <v>6346484</v>
      </c>
      <c r="K29" s="54">
        <f t="shared" si="14"/>
        <v>3701</v>
      </c>
    </row>
    <row r="30" spans="1:29" ht="21" thickTop="1" thickBot="1" x14ac:dyDescent="0.35">
      <c r="A30" s="63">
        <v>43668</v>
      </c>
      <c r="B30" s="126">
        <v>2375</v>
      </c>
      <c r="C30" s="125">
        <f t="shared" si="10"/>
        <v>0</v>
      </c>
      <c r="D30" s="61">
        <v>38187.699999999997</v>
      </c>
      <c r="E30" s="54">
        <f t="shared" si="11"/>
        <v>146.5</v>
      </c>
      <c r="F30" s="55">
        <v>8485448</v>
      </c>
      <c r="G30" s="54">
        <f t="shared" si="12"/>
        <v>4835</v>
      </c>
      <c r="H30" s="55">
        <v>14249707</v>
      </c>
      <c r="I30" s="54">
        <f t="shared" si="13"/>
        <v>9540</v>
      </c>
      <c r="J30" s="55">
        <v>6349459</v>
      </c>
      <c r="K30" s="54">
        <f t="shared" si="14"/>
        <v>2975</v>
      </c>
    </row>
    <row r="31" spans="1:29" ht="21" thickTop="1" thickBot="1" x14ac:dyDescent="0.35">
      <c r="A31" s="63">
        <v>43669</v>
      </c>
      <c r="B31" s="126">
        <v>2375</v>
      </c>
      <c r="C31" s="125">
        <f t="shared" si="10"/>
        <v>0</v>
      </c>
      <c r="D31" s="61">
        <v>38363.4</v>
      </c>
      <c r="E31" s="54">
        <f t="shared" si="11"/>
        <v>175.70000000000437</v>
      </c>
      <c r="F31" s="55">
        <v>8490231</v>
      </c>
      <c r="G31" s="54">
        <f t="shared" si="12"/>
        <v>4783</v>
      </c>
      <c r="H31" s="55">
        <v>14260374</v>
      </c>
      <c r="I31" s="54">
        <f t="shared" si="13"/>
        <v>10667</v>
      </c>
      <c r="J31" s="55">
        <v>6354504</v>
      </c>
      <c r="K31" s="54">
        <f t="shared" si="14"/>
        <v>5045</v>
      </c>
    </row>
    <row r="32" spans="1:29" ht="21" thickTop="1" thickBot="1" x14ac:dyDescent="0.35">
      <c r="A32" s="63">
        <v>43670</v>
      </c>
      <c r="B32" s="126">
        <v>2375</v>
      </c>
      <c r="C32" s="125">
        <f t="shared" si="10"/>
        <v>0</v>
      </c>
      <c r="D32" s="61">
        <v>38552.300000000003</v>
      </c>
      <c r="E32" s="54">
        <f t="shared" si="11"/>
        <v>188.90000000000146</v>
      </c>
      <c r="F32" s="55">
        <v>8495319</v>
      </c>
      <c r="G32" s="54">
        <f t="shared" si="12"/>
        <v>5088</v>
      </c>
      <c r="H32" s="55">
        <v>14270563</v>
      </c>
      <c r="I32" s="54">
        <f t="shared" si="13"/>
        <v>10189</v>
      </c>
      <c r="J32" s="55">
        <v>6358604</v>
      </c>
      <c r="K32" s="54">
        <f t="shared" si="14"/>
        <v>4100</v>
      </c>
    </row>
    <row r="33" spans="1:11" ht="21" thickTop="1" thickBot="1" x14ac:dyDescent="0.35">
      <c r="A33" s="63">
        <v>43671</v>
      </c>
      <c r="B33" s="126">
        <v>2375</v>
      </c>
      <c r="C33" s="125">
        <f t="shared" si="10"/>
        <v>0</v>
      </c>
      <c r="D33" s="61">
        <v>38735.300000000003</v>
      </c>
      <c r="E33" s="54">
        <f t="shared" si="11"/>
        <v>183</v>
      </c>
      <c r="F33" s="55">
        <v>8499994</v>
      </c>
      <c r="G33" s="54">
        <f t="shared" si="12"/>
        <v>4675</v>
      </c>
      <c r="H33" s="55">
        <v>14280334</v>
      </c>
      <c r="I33" s="54">
        <f t="shared" si="13"/>
        <v>9771</v>
      </c>
      <c r="J33" s="55">
        <v>6362438</v>
      </c>
      <c r="K33" s="54">
        <f t="shared" si="14"/>
        <v>3834</v>
      </c>
    </row>
    <row r="34" spans="1:11" ht="21" thickTop="1" thickBot="1" x14ac:dyDescent="0.35">
      <c r="A34" s="63">
        <v>43672</v>
      </c>
      <c r="B34" s="126">
        <v>2375</v>
      </c>
      <c r="C34" s="125">
        <f t="shared" si="10"/>
        <v>0</v>
      </c>
      <c r="D34" s="61">
        <v>38936.9</v>
      </c>
      <c r="E34" s="54">
        <f t="shared" si="11"/>
        <v>201.59999999999854</v>
      </c>
      <c r="F34" s="55">
        <v>8504851</v>
      </c>
      <c r="G34" s="54">
        <f t="shared" si="12"/>
        <v>4857</v>
      </c>
      <c r="H34" s="55">
        <v>14290428</v>
      </c>
      <c r="I34" s="54">
        <f t="shared" si="13"/>
        <v>10094</v>
      </c>
      <c r="J34" s="55">
        <v>6366101</v>
      </c>
      <c r="K34" s="54">
        <f t="shared" si="14"/>
        <v>3663</v>
      </c>
    </row>
    <row r="35" spans="1:11" ht="21" thickTop="1" thickBot="1" x14ac:dyDescent="0.35">
      <c r="A35" s="63">
        <v>43673</v>
      </c>
      <c r="B35" s="126">
        <v>2375</v>
      </c>
      <c r="C35" s="125">
        <f t="shared" si="10"/>
        <v>0</v>
      </c>
      <c r="D35" s="61">
        <v>39137.1</v>
      </c>
      <c r="E35" s="54">
        <f t="shared" si="11"/>
        <v>200.19999999999709</v>
      </c>
      <c r="F35" s="55">
        <v>8509802</v>
      </c>
      <c r="G35" s="54">
        <f t="shared" si="12"/>
        <v>4951</v>
      </c>
      <c r="H35" s="55">
        <v>14300294</v>
      </c>
      <c r="I35" s="54">
        <f t="shared" si="13"/>
        <v>9866</v>
      </c>
      <c r="J35" s="55">
        <v>6369710</v>
      </c>
      <c r="K35" s="54">
        <f t="shared" si="14"/>
        <v>3609</v>
      </c>
    </row>
    <row r="36" spans="1:11" ht="21" thickTop="1" thickBot="1" x14ac:dyDescent="0.35">
      <c r="A36" s="63">
        <v>43674</v>
      </c>
      <c r="B36" s="126">
        <v>2375</v>
      </c>
      <c r="C36" s="125">
        <f t="shared" si="10"/>
        <v>0</v>
      </c>
      <c r="D36" s="61">
        <v>39295.199999999997</v>
      </c>
      <c r="E36" s="54">
        <f t="shared" si="11"/>
        <v>158.09999999999854</v>
      </c>
      <c r="F36" s="55">
        <v>8513847</v>
      </c>
      <c r="G36" s="54">
        <f t="shared" si="12"/>
        <v>4045</v>
      </c>
      <c r="H36" s="55">
        <v>14310036</v>
      </c>
      <c r="I36" s="54">
        <f t="shared" si="13"/>
        <v>9742</v>
      </c>
      <c r="J36" s="55">
        <v>6373317</v>
      </c>
      <c r="K36" s="54">
        <f t="shared" si="14"/>
        <v>3607</v>
      </c>
    </row>
    <row r="37" spans="1:11" ht="21" thickTop="1" thickBot="1" x14ac:dyDescent="0.35">
      <c r="A37" s="63">
        <v>43675</v>
      </c>
      <c r="B37" s="126">
        <v>2375</v>
      </c>
      <c r="C37" s="125">
        <f t="shared" si="10"/>
        <v>0</v>
      </c>
      <c r="D37" s="61">
        <v>39435.199999999997</v>
      </c>
      <c r="E37" s="54">
        <f t="shared" si="11"/>
        <v>140</v>
      </c>
      <c r="F37" s="55">
        <v>8518410</v>
      </c>
      <c r="G37" s="54">
        <f t="shared" si="12"/>
        <v>4563</v>
      </c>
      <c r="H37" s="55">
        <v>14319168</v>
      </c>
      <c r="I37" s="54">
        <f t="shared" si="13"/>
        <v>9132</v>
      </c>
      <c r="J37" s="55">
        <v>6376721</v>
      </c>
      <c r="K37" s="54">
        <f t="shared" si="14"/>
        <v>3404</v>
      </c>
    </row>
    <row r="38" spans="1:11" ht="21" thickTop="1" thickBot="1" x14ac:dyDescent="0.35">
      <c r="A38" s="63">
        <v>43676</v>
      </c>
      <c r="B38" s="126">
        <v>2375</v>
      </c>
      <c r="C38" s="125">
        <f t="shared" si="10"/>
        <v>0</v>
      </c>
      <c r="D38" s="61">
        <v>39620</v>
      </c>
      <c r="E38" s="54">
        <f t="shared" si="11"/>
        <v>184.80000000000291</v>
      </c>
      <c r="F38" s="55">
        <v>8524225</v>
      </c>
      <c r="G38" s="54">
        <f t="shared" si="12"/>
        <v>5815</v>
      </c>
      <c r="H38" s="55">
        <v>14328402</v>
      </c>
      <c r="I38" s="54">
        <f t="shared" si="13"/>
        <v>9234</v>
      </c>
      <c r="J38" s="55">
        <v>6380362</v>
      </c>
      <c r="K38" s="54">
        <f t="shared" si="14"/>
        <v>3641</v>
      </c>
    </row>
    <row r="39" spans="1:11" ht="21" thickTop="1" thickBot="1" x14ac:dyDescent="0.35">
      <c r="A39" s="63">
        <v>43677</v>
      </c>
      <c r="B39" s="126">
        <v>2375</v>
      </c>
      <c r="C39" s="125">
        <f t="shared" si="10"/>
        <v>0</v>
      </c>
      <c r="D39" s="61">
        <v>39781</v>
      </c>
      <c r="E39" s="54">
        <f t="shared" si="11"/>
        <v>161</v>
      </c>
      <c r="F39" s="55">
        <v>8529269</v>
      </c>
      <c r="G39" s="54">
        <f t="shared" si="12"/>
        <v>5044</v>
      </c>
      <c r="H39" s="55">
        <v>14338205</v>
      </c>
      <c r="I39" s="54">
        <f t="shared" si="13"/>
        <v>9803</v>
      </c>
      <c r="J39" s="55">
        <v>6384137</v>
      </c>
      <c r="K39" s="54">
        <f t="shared" si="14"/>
        <v>3775</v>
      </c>
    </row>
    <row r="40" spans="1:11" ht="21" thickTop="1" thickBot="1" x14ac:dyDescent="0.35">
      <c r="A40" s="63">
        <v>43678</v>
      </c>
      <c r="B40" s="126">
        <v>2375</v>
      </c>
      <c r="C40" s="125">
        <f t="shared" si="10"/>
        <v>0</v>
      </c>
      <c r="D40" s="61">
        <v>39961</v>
      </c>
      <c r="E40" s="54">
        <f t="shared" si="11"/>
        <v>180</v>
      </c>
      <c r="F40" s="55">
        <v>8533950</v>
      </c>
      <c r="G40" s="54">
        <f t="shared" si="12"/>
        <v>4681</v>
      </c>
      <c r="H40" s="55">
        <v>14348108</v>
      </c>
      <c r="I40" s="54">
        <f t="shared" si="13"/>
        <v>9903</v>
      </c>
      <c r="J40" s="55">
        <v>6387956</v>
      </c>
      <c r="K40" s="54">
        <f t="shared" si="14"/>
        <v>3819</v>
      </c>
    </row>
    <row r="41" spans="1:11" ht="21.75" thickTop="1" thickBot="1" x14ac:dyDescent="0.35">
      <c r="A41" s="53"/>
      <c r="B41" s="53"/>
      <c r="C41" s="53"/>
      <c r="D41" s="64"/>
      <c r="E41" s="155"/>
      <c r="F41" s="55"/>
      <c r="G41" s="156"/>
      <c r="H41" s="55"/>
      <c r="I41" s="54"/>
      <c r="J41" s="55"/>
      <c r="K41" s="54"/>
    </row>
    <row r="42" spans="1:11" ht="24" customHeight="1" thickTop="1" x14ac:dyDescent="0.3">
      <c r="A42" s="56"/>
      <c r="B42" s="56"/>
      <c r="C42" s="56"/>
    </row>
    <row r="43" spans="1:11" x14ac:dyDescent="0.25">
      <c r="A43" s="51"/>
      <c r="B43" s="51"/>
      <c r="C43" s="51"/>
    </row>
    <row r="44" spans="1:11" x14ac:dyDescent="0.25">
      <c r="A44" s="51"/>
      <c r="B44" s="51"/>
      <c r="C44" s="51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0">
    <cfRule type="cellIs" dxfId="2" priority="37" stopIfTrue="1" operator="lessThanOrEqual">
      <formula>0</formula>
    </cfRule>
  </conditionalFormatting>
  <conditionalFormatting sqref="E22:E40">
    <cfRule type="cellIs" dxfId="1" priority="22" stopIfTrue="1" operator="lessThanOrEqual">
      <formula>0</formula>
    </cfRule>
  </conditionalFormatting>
  <conditionalFormatting sqref="E9:E21">
    <cfRule type="cellIs" dxfId="0" priority="4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8.855468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84"/>
      <c r="B1" s="286"/>
      <c r="C1" s="353" t="s">
        <v>88</v>
      </c>
      <c r="D1" s="354"/>
      <c r="E1" s="354"/>
      <c r="F1" s="354"/>
      <c r="G1" s="354"/>
      <c r="H1" s="359" t="s">
        <v>89</v>
      </c>
      <c r="I1" s="360"/>
      <c r="J1" s="361"/>
    </row>
    <row r="2" spans="1:10" ht="16.5" customHeight="1" thickBot="1" x14ac:dyDescent="0.25">
      <c r="A2" s="287"/>
      <c r="B2" s="289"/>
      <c r="C2" s="355"/>
      <c r="D2" s="356"/>
      <c r="E2" s="356"/>
      <c r="F2" s="356"/>
      <c r="G2" s="356"/>
      <c r="H2" s="362"/>
      <c r="I2" s="363"/>
      <c r="J2" s="364"/>
    </row>
    <row r="3" spans="1:10" ht="15" customHeight="1" x14ac:dyDescent="0.2">
      <c r="A3" s="287"/>
      <c r="B3" s="289"/>
      <c r="C3" s="355"/>
      <c r="D3" s="356"/>
      <c r="E3" s="356"/>
      <c r="F3" s="356"/>
      <c r="G3" s="356"/>
      <c r="H3" s="365" t="s">
        <v>90</v>
      </c>
      <c r="I3" s="366"/>
      <c r="J3" s="367"/>
    </row>
    <row r="4" spans="1:10" ht="15.75" customHeight="1" thickBot="1" x14ac:dyDescent="0.25">
      <c r="A4" s="290"/>
      <c r="B4" s="292"/>
      <c r="C4" s="357"/>
      <c r="D4" s="358"/>
      <c r="E4" s="358"/>
      <c r="F4" s="358"/>
      <c r="G4" s="358"/>
      <c r="H4" s="368"/>
      <c r="I4" s="369"/>
      <c r="J4" s="370"/>
    </row>
    <row r="6" spans="1:10" ht="33" customHeight="1" thickBot="1" x14ac:dyDescent="0.25"/>
    <row r="7" spans="1:10" ht="36.75" thickTop="1" x14ac:dyDescent="0.2">
      <c r="A7" s="371" t="s">
        <v>91</v>
      </c>
      <c r="B7" s="371"/>
      <c r="C7" s="372" t="s">
        <v>92</v>
      </c>
      <c r="D7" s="373"/>
      <c r="E7" s="66" t="s">
        <v>93</v>
      </c>
      <c r="F7" s="66" t="s">
        <v>94</v>
      </c>
      <c r="G7" s="66" t="s">
        <v>95</v>
      </c>
      <c r="H7" s="66" t="s">
        <v>96</v>
      </c>
      <c r="I7" s="374" t="s">
        <v>97</v>
      </c>
      <c r="J7" s="375"/>
    </row>
    <row r="8" spans="1:10" x14ac:dyDescent="0.2">
      <c r="A8" s="341">
        <v>95670781</v>
      </c>
      <c r="B8" s="341"/>
      <c r="C8" s="346">
        <v>43644</v>
      </c>
      <c r="D8" s="347"/>
      <c r="E8" s="123">
        <v>43674</v>
      </c>
      <c r="F8" s="67" t="s">
        <v>98</v>
      </c>
      <c r="G8" s="68"/>
      <c r="H8" s="68"/>
      <c r="I8" s="348"/>
      <c r="J8" s="349"/>
    </row>
    <row r="10" spans="1:10" ht="23.25" customHeight="1" thickBot="1" x14ac:dyDescent="0.25"/>
    <row r="11" spans="1:10" ht="24.75" customHeight="1" thickTop="1" x14ac:dyDescent="0.2">
      <c r="A11" s="321" t="s">
        <v>99</v>
      </c>
      <c r="B11" s="321"/>
      <c r="C11" s="350" t="s">
        <v>100</v>
      </c>
      <c r="D11" s="351"/>
      <c r="E11" s="321" t="s">
        <v>101</v>
      </c>
      <c r="F11" s="321"/>
      <c r="G11" s="350" t="s">
        <v>102</v>
      </c>
      <c r="H11" s="351"/>
      <c r="I11" s="352" t="s">
        <v>103</v>
      </c>
      <c r="J11" s="352"/>
    </row>
    <row r="12" spans="1:10" x14ac:dyDescent="0.2">
      <c r="A12" s="341" t="s">
        <v>104</v>
      </c>
      <c r="B12" s="341"/>
      <c r="C12" s="341">
        <v>3750</v>
      </c>
      <c r="D12" s="341"/>
      <c r="E12" s="341">
        <v>1000</v>
      </c>
      <c r="F12" s="341"/>
      <c r="G12" s="342">
        <v>1340</v>
      </c>
      <c r="H12" s="342"/>
      <c r="I12" s="343"/>
      <c r="J12" s="343"/>
    </row>
    <row r="13" spans="1:10" x14ac:dyDescent="0.2">
      <c r="A13" s="344"/>
      <c r="B13" s="345"/>
      <c r="C13" s="345"/>
      <c r="D13" s="345"/>
      <c r="E13" s="345"/>
      <c r="F13" s="345"/>
      <c r="G13" s="345"/>
      <c r="H13" s="345"/>
      <c r="I13" s="345"/>
      <c r="J13" s="345"/>
    </row>
    <row r="15" spans="1:10" ht="13.5" thickBot="1" x14ac:dyDescent="0.25"/>
    <row r="16" spans="1:10" ht="26.25" thickTop="1" x14ac:dyDescent="0.2">
      <c r="A16" s="321" t="s">
        <v>105</v>
      </c>
      <c r="B16" s="321"/>
      <c r="C16" s="70" t="s">
        <v>106</v>
      </c>
      <c r="D16" s="71" t="s">
        <v>107</v>
      </c>
      <c r="E16" s="71" t="s">
        <v>79</v>
      </c>
      <c r="F16" s="71" t="s">
        <v>108</v>
      </c>
      <c r="G16" s="338" t="s">
        <v>109</v>
      </c>
      <c r="H16" s="338"/>
      <c r="I16" s="339" t="s">
        <v>110</v>
      </c>
      <c r="J16" s="340"/>
    </row>
    <row r="17" spans="1:10" x14ac:dyDescent="0.2">
      <c r="A17" s="330" t="s">
        <v>111</v>
      </c>
      <c r="B17" s="331"/>
      <c r="C17" s="73">
        <v>14310036</v>
      </c>
      <c r="D17" s="73">
        <v>14017857</v>
      </c>
      <c r="E17" s="74">
        <f>MIN(C17-D17)</f>
        <v>292179</v>
      </c>
      <c r="F17" s="74">
        <f>+E17</f>
        <v>292179</v>
      </c>
      <c r="G17" s="332"/>
      <c r="H17" s="333"/>
      <c r="I17" s="332">
        <f>+E17</f>
        <v>292179</v>
      </c>
      <c r="J17" s="333"/>
    </row>
    <row r="18" spans="1:10" x14ac:dyDescent="0.2">
      <c r="A18" s="330" t="s">
        <v>112</v>
      </c>
      <c r="B18" s="331"/>
      <c r="C18" s="73">
        <v>8511948</v>
      </c>
      <c r="D18" s="73">
        <v>8367617</v>
      </c>
      <c r="E18" s="74">
        <f>MIN(C18-D18)</f>
        <v>144331</v>
      </c>
      <c r="F18" s="74">
        <f>+E18</f>
        <v>144331</v>
      </c>
      <c r="G18" s="332"/>
      <c r="H18" s="333"/>
      <c r="I18" s="332">
        <f>+E18</f>
        <v>144331</v>
      </c>
      <c r="J18" s="333"/>
    </row>
    <row r="19" spans="1:10" x14ac:dyDescent="0.2">
      <c r="A19" s="330" t="s">
        <v>113</v>
      </c>
      <c r="B19" s="331"/>
      <c r="C19" s="73">
        <v>6373317</v>
      </c>
      <c r="D19" s="73">
        <v>6260526</v>
      </c>
      <c r="E19" s="74">
        <f>AVERAGE(C19-D19)</f>
        <v>112791</v>
      </c>
      <c r="F19" s="74">
        <f>+E19</f>
        <v>112791</v>
      </c>
      <c r="G19" s="332"/>
      <c r="H19" s="333"/>
      <c r="I19" s="332">
        <f>+E19</f>
        <v>112791</v>
      </c>
      <c r="J19" s="333"/>
    </row>
    <row r="20" spans="1:10" ht="15" x14ac:dyDescent="0.25">
      <c r="A20" s="334" t="s">
        <v>114</v>
      </c>
      <c r="B20" s="335"/>
      <c r="C20" s="75"/>
      <c r="D20" s="76"/>
      <c r="E20" s="75">
        <f>SUM(E17:E19)</f>
        <v>549301</v>
      </c>
      <c r="F20" s="77"/>
      <c r="G20" s="336"/>
      <c r="H20" s="337"/>
      <c r="I20" s="336"/>
      <c r="J20" s="337"/>
    </row>
    <row r="21" spans="1:10" x14ac:dyDescent="0.2">
      <c r="C21" s="119" t="s">
        <v>18</v>
      </c>
      <c r="D21" t="s">
        <v>115</v>
      </c>
      <c r="G21" s="313"/>
      <c r="H21" s="313"/>
    </row>
    <row r="22" spans="1:10" ht="13.5" thickBot="1" x14ac:dyDescent="0.25">
      <c r="G22" s="314"/>
      <c r="H22" s="314"/>
    </row>
    <row r="23" spans="1:10" ht="13.5" thickTop="1" x14ac:dyDescent="0.2">
      <c r="A23" s="315" t="s">
        <v>116</v>
      </c>
      <c r="B23" s="316"/>
      <c r="C23" s="317"/>
      <c r="D23" s="321" t="s">
        <v>117</v>
      </c>
      <c r="E23" s="321" t="s">
        <v>118</v>
      </c>
      <c r="F23" s="323" t="s">
        <v>119</v>
      </c>
      <c r="G23" s="325" t="s">
        <v>120</v>
      </c>
      <c r="H23" s="325"/>
      <c r="I23" s="326" t="s">
        <v>121</v>
      </c>
      <c r="J23" s="326"/>
    </row>
    <row r="24" spans="1:10" x14ac:dyDescent="0.2">
      <c r="A24" s="318"/>
      <c r="B24" s="319"/>
      <c r="C24" s="320"/>
      <c r="D24" s="322"/>
      <c r="E24" s="322"/>
      <c r="F24" s="324"/>
      <c r="G24" s="112" t="s">
        <v>122</v>
      </c>
      <c r="H24" s="78" t="s">
        <v>123</v>
      </c>
      <c r="I24" s="326"/>
      <c r="J24" s="326"/>
    </row>
    <row r="25" spans="1:10" ht="15" x14ac:dyDescent="0.25">
      <c r="A25" s="327" t="s">
        <v>124</v>
      </c>
      <c r="B25" s="328"/>
      <c r="C25" s="329"/>
      <c r="D25" s="74">
        <f>+E17</f>
        <v>292179</v>
      </c>
      <c r="E25" s="79">
        <v>0.95140000000000002</v>
      </c>
      <c r="F25" s="80">
        <f>PRODUCT(D25*E25)</f>
        <v>277979.10060000001</v>
      </c>
      <c r="G25" s="69">
        <v>14</v>
      </c>
      <c r="H25" s="72">
        <f>PRODUCT(0.14,F25)</f>
        <v>38917.074084000007</v>
      </c>
      <c r="I25" s="298">
        <f>SUM(H25,F25)</f>
        <v>316896.17468400003</v>
      </c>
      <c r="J25" s="299"/>
    </row>
    <row r="26" spans="1:10" ht="15" x14ac:dyDescent="0.25">
      <c r="A26" s="305" t="s">
        <v>125</v>
      </c>
      <c r="B26" s="306"/>
      <c r="C26" s="307"/>
      <c r="D26" s="74">
        <f>+E18</f>
        <v>144331</v>
      </c>
      <c r="E26" s="81">
        <v>0.69850000000000001</v>
      </c>
      <c r="F26" s="80">
        <f>PRODUCT(D26*E26)</f>
        <v>100815.2035</v>
      </c>
      <c r="G26">
        <v>14</v>
      </c>
      <c r="H26" s="74">
        <f>PRODUCT(0.14,F26)</f>
        <v>14114.128490000001</v>
      </c>
      <c r="I26" s="298">
        <f t="shared" ref="I26:I31" si="0">SUM(H26,F26)</f>
        <v>114929.33199000001</v>
      </c>
      <c r="J26" s="299"/>
    </row>
    <row r="27" spans="1:10" ht="15" x14ac:dyDescent="0.25">
      <c r="A27" s="305" t="s">
        <v>126</v>
      </c>
      <c r="B27" s="306"/>
      <c r="C27" s="307"/>
      <c r="D27" s="74">
        <f>+E19</f>
        <v>112791</v>
      </c>
      <c r="E27" s="81">
        <v>1.3304</v>
      </c>
      <c r="F27" s="80">
        <f>PRODUCT(D27*E27)</f>
        <v>150057.1464</v>
      </c>
      <c r="G27">
        <v>14</v>
      </c>
      <c r="H27" s="74">
        <f>PRODUCT(0.14,F27)</f>
        <v>21008.000496000001</v>
      </c>
      <c r="I27" s="298">
        <f>SUM(H27,F27)</f>
        <v>171065.14689599999</v>
      </c>
      <c r="J27" s="299"/>
    </row>
    <row r="28" spans="1:10" ht="15" x14ac:dyDescent="0.25">
      <c r="A28" s="305" t="s">
        <v>127</v>
      </c>
      <c r="B28" s="306"/>
      <c r="C28" s="307"/>
      <c r="D28" s="74">
        <v>1000</v>
      </c>
      <c r="E28" s="81">
        <v>43.88167</v>
      </c>
      <c r="F28" s="80">
        <f>PRODUCT(D28,E28)</f>
        <v>43881.67</v>
      </c>
      <c r="G28">
        <v>14</v>
      </c>
      <c r="H28" s="74">
        <f>PRODUCT(0.14,F28)</f>
        <v>6143.4338000000007</v>
      </c>
      <c r="I28" s="298">
        <f t="shared" si="0"/>
        <v>50025.103799999997</v>
      </c>
      <c r="J28" s="299"/>
    </row>
    <row r="29" spans="1:10" ht="15" x14ac:dyDescent="0.25">
      <c r="A29" s="308" t="s">
        <v>128</v>
      </c>
      <c r="B29" s="309"/>
      <c r="C29" s="310"/>
      <c r="D29" s="82">
        <f>G12-E12</f>
        <v>340</v>
      </c>
      <c r="E29" s="83">
        <f>E28*1.5</f>
        <v>65.822505000000007</v>
      </c>
      <c r="F29" s="84">
        <f>PRODUCT(D29,E29)</f>
        <v>22379.651700000002</v>
      </c>
      <c r="G29" s="85">
        <v>14</v>
      </c>
      <c r="H29" s="82">
        <f>PRODUCT(0.14,F29)</f>
        <v>3133.1512380000004</v>
      </c>
      <c r="I29" s="311">
        <f t="shared" si="0"/>
        <v>25512.802938000001</v>
      </c>
      <c r="J29" s="312"/>
    </row>
    <row r="30" spans="1:10" ht="15" x14ac:dyDescent="0.25">
      <c r="A30" s="305" t="s">
        <v>129</v>
      </c>
      <c r="B30" s="306"/>
      <c r="C30" s="307"/>
      <c r="D30" s="74"/>
      <c r="E30" s="86"/>
      <c r="F30" s="80">
        <v>841</v>
      </c>
      <c r="G30">
        <v>20</v>
      </c>
      <c r="H30" s="87">
        <f>PRODUCT(F30,0.2)</f>
        <v>168.20000000000002</v>
      </c>
      <c r="I30" s="298">
        <f>SUM(H30,F30)</f>
        <v>1009.2</v>
      </c>
      <c r="J30" s="299"/>
    </row>
    <row r="31" spans="1:10" ht="15.75" thickBot="1" x14ac:dyDescent="0.3">
      <c r="A31" s="295" t="s">
        <v>130</v>
      </c>
      <c r="B31" s="296"/>
      <c r="C31" s="297"/>
      <c r="D31" s="88"/>
      <c r="E31" s="89"/>
      <c r="F31" s="80">
        <v>1492</v>
      </c>
      <c r="G31" s="77">
        <v>7</v>
      </c>
      <c r="H31" s="90">
        <f>PRODUCT(F31,0.07)</f>
        <v>104.44000000000001</v>
      </c>
      <c r="I31" s="298">
        <f t="shared" si="0"/>
        <v>1596.44</v>
      </c>
      <c r="J31" s="299"/>
    </row>
    <row r="32" spans="1:10" ht="21" x14ac:dyDescent="0.2">
      <c r="A32" s="300" t="s">
        <v>131</v>
      </c>
      <c r="B32" s="301"/>
      <c r="C32" s="301"/>
      <c r="D32" s="301"/>
      <c r="E32" s="301"/>
      <c r="F32" s="91">
        <f>SUM(F25:F31)</f>
        <v>597445.77220000012</v>
      </c>
      <c r="G32" s="92"/>
      <c r="H32" s="93"/>
      <c r="I32" s="304">
        <f>SUM(I25:J31)</f>
        <v>681034.20030799997</v>
      </c>
      <c r="J32" s="304"/>
    </row>
    <row r="33" spans="1:10" ht="21.75" thickBot="1" x14ac:dyDescent="0.25">
      <c r="A33" s="302"/>
      <c r="B33" s="303"/>
      <c r="C33" s="303"/>
      <c r="D33" s="303"/>
      <c r="E33" s="303"/>
      <c r="F33" s="94"/>
      <c r="G33" s="95"/>
      <c r="H33" s="96"/>
      <c r="I33" s="304"/>
      <c r="J33" s="30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A27:C27"/>
    <mergeCell ref="I27:J27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20" sqref="C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8.855468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84"/>
      <c r="B1" s="286"/>
      <c r="C1" s="353" t="s">
        <v>132</v>
      </c>
      <c r="D1" s="354"/>
      <c r="E1" s="354"/>
      <c r="F1" s="354"/>
      <c r="G1" s="354"/>
      <c r="H1" s="359" t="s">
        <v>89</v>
      </c>
      <c r="I1" s="360"/>
      <c r="J1" s="361"/>
    </row>
    <row r="2" spans="1:10" ht="16.5" customHeight="1" thickBot="1" x14ac:dyDescent="0.25">
      <c r="A2" s="287"/>
      <c r="B2" s="289"/>
      <c r="C2" s="355"/>
      <c r="D2" s="356"/>
      <c r="E2" s="356"/>
      <c r="F2" s="356"/>
      <c r="G2" s="356"/>
      <c r="H2" s="362"/>
      <c r="I2" s="363"/>
      <c r="J2" s="364"/>
    </row>
    <row r="3" spans="1:10" ht="15" customHeight="1" x14ac:dyDescent="0.2">
      <c r="A3" s="287"/>
      <c r="B3" s="289"/>
      <c r="C3" s="355"/>
      <c r="D3" s="356"/>
      <c r="E3" s="356"/>
      <c r="F3" s="356"/>
      <c r="G3" s="356"/>
      <c r="H3" s="365" t="s">
        <v>90</v>
      </c>
      <c r="I3" s="366"/>
      <c r="J3" s="367"/>
    </row>
    <row r="4" spans="1:10" ht="15.75" customHeight="1" thickBot="1" x14ac:dyDescent="0.25">
      <c r="A4" s="290"/>
      <c r="B4" s="292"/>
      <c r="C4" s="357"/>
      <c r="D4" s="358"/>
      <c r="E4" s="358"/>
      <c r="F4" s="358"/>
      <c r="G4" s="358"/>
      <c r="H4" s="368"/>
      <c r="I4" s="369"/>
      <c r="J4" s="370"/>
    </row>
    <row r="6" spans="1:10" ht="33" customHeight="1" thickBot="1" x14ac:dyDescent="0.25"/>
    <row r="7" spans="1:10" ht="36.75" thickTop="1" x14ac:dyDescent="0.2">
      <c r="A7" s="371" t="s">
        <v>91</v>
      </c>
      <c r="B7" s="371"/>
      <c r="C7" s="372" t="s">
        <v>92</v>
      </c>
      <c r="D7" s="373"/>
      <c r="E7" s="66" t="s">
        <v>93</v>
      </c>
      <c r="F7" s="66" t="s">
        <v>94</v>
      </c>
      <c r="G7" s="66" t="s">
        <v>95</v>
      </c>
      <c r="H7" s="66" t="s">
        <v>96</v>
      </c>
      <c r="I7" s="374" t="s">
        <v>97</v>
      </c>
      <c r="J7" s="375"/>
    </row>
    <row r="8" spans="1:10" x14ac:dyDescent="0.2">
      <c r="A8" s="341">
        <v>95670781</v>
      </c>
      <c r="B8" s="341"/>
      <c r="C8" s="346">
        <v>43662</v>
      </c>
      <c r="D8" s="347"/>
      <c r="E8" s="123">
        <v>43663</v>
      </c>
      <c r="F8" s="67" t="s">
        <v>98</v>
      </c>
      <c r="G8" s="68"/>
      <c r="H8" s="68"/>
      <c r="I8" s="348"/>
      <c r="J8" s="349"/>
    </row>
    <row r="10" spans="1:10" ht="23.25" customHeight="1" thickBot="1" x14ac:dyDescent="0.25"/>
    <row r="11" spans="1:10" ht="24.75" customHeight="1" thickTop="1" x14ac:dyDescent="0.2">
      <c r="A11" s="321" t="s">
        <v>99</v>
      </c>
      <c r="B11" s="321"/>
      <c r="C11" s="350" t="s">
        <v>100</v>
      </c>
      <c r="D11" s="351"/>
      <c r="E11" s="321" t="s">
        <v>101</v>
      </c>
      <c r="F11" s="321"/>
      <c r="G11" s="350" t="s">
        <v>102</v>
      </c>
      <c r="H11" s="351"/>
      <c r="I11" s="352" t="s">
        <v>103</v>
      </c>
      <c r="J11" s="352"/>
    </row>
    <row r="12" spans="1:10" x14ac:dyDescent="0.2">
      <c r="A12" s="341" t="s">
        <v>104</v>
      </c>
      <c r="B12" s="341"/>
      <c r="C12" s="341">
        <v>3750</v>
      </c>
      <c r="D12" s="341"/>
      <c r="E12" s="341">
        <v>1000</v>
      </c>
      <c r="F12" s="341"/>
      <c r="G12" s="342">
        <v>1359</v>
      </c>
      <c r="H12" s="342"/>
      <c r="I12" s="343"/>
      <c r="J12" s="343"/>
    </row>
    <row r="13" spans="1:10" x14ac:dyDescent="0.2">
      <c r="A13" s="344"/>
      <c r="B13" s="345"/>
      <c r="C13" s="345"/>
      <c r="D13" s="345"/>
      <c r="E13" s="345"/>
      <c r="F13" s="345"/>
      <c r="G13" s="345"/>
      <c r="H13" s="345"/>
      <c r="I13" s="345"/>
      <c r="J13" s="345"/>
    </row>
    <row r="15" spans="1:10" ht="13.5" thickBot="1" x14ac:dyDescent="0.25"/>
    <row r="16" spans="1:10" ht="26.25" thickTop="1" x14ac:dyDescent="0.2">
      <c r="A16" s="321" t="s">
        <v>105</v>
      </c>
      <c r="B16" s="321"/>
      <c r="C16" s="70" t="s">
        <v>106</v>
      </c>
      <c r="D16" s="71" t="s">
        <v>107</v>
      </c>
      <c r="E16" s="71" t="s">
        <v>79</v>
      </c>
      <c r="F16" s="71" t="s">
        <v>108</v>
      </c>
      <c r="G16" s="338" t="s">
        <v>109</v>
      </c>
      <c r="H16" s="338"/>
      <c r="I16" s="339" t="s">
        <v>110</v>
      </c>
      <c r="J16" s="340"/>
    </row>
    <row r="17" spans="1:10" x14ac:dyDescent="0.2">
      <c r="A17" s="330" t="s">
        <v>111</v>
      </c>
      <c r="B17" s="331"/>
      <c r="C17" s="73">
        <v>14203602</v>
      </c>
      <c r="D17" s="73">
        <v>14194385</v>
      </c>
      <c r="E17" s="74">
        <f>MIN(C17-D17)</f>
        <v>9217</v>
      </c>
      <c r="F17" s="74">
        <f>+E17</f>
        <v>9217</v>
      </c>
      <c r="G17" s="332"/>
      <c r="H17" s="333"/>
      <c r="I17" s="332">
        <f>+E17</f>
        <v>9217</v>
      </c>
      <c r="J17" s="333"/>
    </row>
    <row r="18" spans="1:10" x14ac:dyDescent="0.2">
      <c r="A18" s="330" t="s">
        <v>112</v>
      </c>
      <c r="B18" s="331"/>
      <c r="C18" s="73">
        <v>8461312</v>
      </c>
      <c r="D18" s="73">
        <v>8456543</v>
      </c>
      <c r="E18" s="74">
        <f>MIN(C18-D18)</f>
        <v>4769</v>
      </c>
      <c r="F18" s="74">
        <f>+E18</f>
        <v>4769</v>
      </c>
      <c r="G18" s="332"/>
      <c r="H18" s="333"/>
      <c r="I18" s="332">
        <f>+E18</f>
        <v>4769</v>
      </c>
      <c r="J18" s="333"/>
    </row>
    <row r="19" spans="1:10" x14ac:dyDescent="0.2">
      <c r="A19" s="330" t="s">
        <v>113</v>
      </c>
      <c r="B19" s="331"/>
      <c r="C19" s="73">
        <v>6331806</v>
      </c>
      <c r="D19" s="73">
        <v>6328123</v>
      </c>
      <c r="E19" s="74">
        <f>AVERAGE(C19-D19)</f>
        <v>3683</v>
      </c>
      <c r="F19" s="74">
        <f>+E19</f>
        <v>3683</v>
      </c>
      <c r="G19" s="332"/>
      <c r="H19" s="333"/>
      <c r="I19" s="332">
        <f>+E19</f>
        <v>3683</v>
      </c>
      <c r="J19" s="333"/>
    </row>
    <row r="20" spans="1:10" ht="15" x14ac:dyDescent="0.25">
      <c r="A20" s="334" t="s">
        <v>114</v>
      </c>
      <c r="B20" s="335"/>
      <c r="C20" s="75"/>
      <c r="D20" s="76"/>
      <c r="E20" s="75">
        <f>SUM(E17:E19)</f>
        <v>17669</v>
      </c>
      <c r="F20" s="77"/>
      <c r="G20" s="336"/>
      <c r="H20" s="337"/>
      <c r="I20" s="336"/>
      <c r="J20" s="337"/>
    </row>
    <row r="21" spans="1:10" x14ac:dyDescent="0.2">
      <c r="C21" s="119" t="s">
        <v>18</v>
      </c>
      <c r="D21" t="s">
        <v>115</v>
      </c>
      <c r="G21" s="313"/>
      <c r="H21" s="313"/>
    </row>
    <row r="22" spans="1:10" ht="13.5" thickBot="1" x14ac:dyDescent="0.25">
      <c r="G22" s="314"/>
      <c r="H22" s="314"/>
    </row>
    <row r="23" spans="1:10" ht="13.5" thickTop="1" x14ac:dyDescent="0.2">
      <c r="A23" s="315" t="s">
        <v>116</v>
      </c>
      <c r="B23" s="316"/>
      <c r="C23" s="317"/>
      <c r="D23" s="321" t="s">
        <v>117</v>
      </c>
      <c r="E23" s="321" t="s">
        <v>118</v>
      </c>
      <c r="F23" s="323" t="s">
        <v>119</v>
      </c>
      <c r="G23" s="325" t="s">
        <v>120</v>
      </c>
      <c r="H23" s="325"/>
      <c r="I23" s="326" t="s">
        <v>121</v>
      </c>
      <c r="J23" s="326"/>
    </row>
    <row r="24" spans="1:10" x14ac:dyDescent="0.2">
      <c r="A24" s="318"/>
      <c r="B24" s="319"/>
      <c r="C24" s="320"/>
      <c r="D24" s="322"/>
      <c r="E24" s="322"/>
      <c r="F24" s="324"/>
      <c r="G24" s="112" t="s">
        <v>122</v>
      </c>
      <c r="H24" s="78" t="s">
        <v>123</v>
      </c>
      <c r="I24" s="326"/>
      <c r="J24" s="326"/>
    </row>
    <row r="25" spans="1:10" ht="15" x14ac:dyDescent="0.25">
      <c r="A25" s="327" t="s">
        <v>124</v>
      </c>
      <c r="B25" s="328"/>
      <c r="C25" s="329"/>
      <c r="D25" s="74">
        <f>+E17</f>
        <v>9217</v>
      </c>
      <c r="E25" s="79">
        <v>0.95140000000000002</v>
      </c>
      <c r="F25" s="80">
        <f>PRODUCT(D25*E25)</f>
        <v>8769.0537999999997</v>
      </c>
      <c r="G25" s="69">
        <v>14</v>
      </c>
      <c r="H25" s="72">
        <f>PRODUCT(0.14,F25)</f>
        <v>1227.6675320000002</v>
      </c>
      <c r="I25" s="298">
        <f>SUM(H25,F25)</f>
        <v>9996.7213319999992</v>
      </c>
      <c r="J25" s="299"/>
    </row>
    <row r="26" spans="1:10" ht="15" x14ac:dyDescent="0.25">
      <c r="A26" s="305" t="s">
        <v>125</v>
      </c>
      <c r="B26" s="306"/>
      <c r="C26" s="307"/>
      <c r="D26" s="74">
        <f>+E18</f>
        <v>4769</v>
      </c>
      <c r="E26" s="81">
        <v>0.69850000000000001</v>
      </c>
      <c r="F26" s="80">
        <f>PRODUCT(D26*E26)</f>
        <v>3331.1464999999998</v>
      </c>
      <c r="G26">
        <v>14</v>
      </c>
      <c r="H26" s="74">
        <f>PRODUCT(0.14,F26)</f>
        <v>466.36051000000003</v>
      </c>
      <c r="I26" s="298">
        <f t="shared" ref="I26:I31" si="0">SUM(H26,F26)</f>
        <v>3797.5070099999998</v>
      </c>
      <c r="J26" s="299"/>
    </row>
    <row r="27" spans="1:10" ht="15" x14ac:dyDescent="0.25">
      <c r="A27" s="305" t="s">
        <v>126</v>
      </c>
      <c r="B27" s="306"/>
      <c r="C27" s="307"/>
      <c r="D27" s="74">
        <f>+E19</f>
        <v>3683</v>
      </c>
      <c r="E27" s="81">
        <v>1.3304</v>
      </c>
      <c r="F27" s="80">
        <f>PRODUCT(D27*E27)</f>
        <v>4899.8631999999998</v>
      </c>
      <c r="G27">
        <v>14</v>
      </c>
      <c r="H27" s="74">
        <f>PRODUCT(0.14,F27)</f>
        <v>685.98084800000004</v>
      </c>
      <c r="I27" s="298">
        <f>SUM(H27,F27)</f>
        <v>5585.8440479999999</v>
      </c>
      <c r="J27" s="299"/>
    </row>
    <row r="28" spans="1:10" ht="15" x14ac:dyDescent="0.25">
      <c r="A28" s="305" t="s">
        <v>127</v>
      </c>
      <c r="B28" s="306"/>
      <c r="C28" s="307"/>
      <c r="D28" s="74">
        <v>1000</v>
      </c>
      <c r="E28" s="81">
        <v>43.88167</v>
      </c>
      <c r="F28" s="80">
        <f>PRODUCT(D28,E28)</f>
        <v>43881.67</v>
      </c>
      <c r="G28">
        <v>14</v>
      </c>
      <c r="H28" s="74">
        <f>PRODUCT(0.14,F28)</f>
        <v>6143.4338000000007</v>
      </c>
      <c r="I28" s="298">
        <f t="shared" si="0"/>
        <v>50025.103799999997</v>
      </c>
      <c r="J28" s="299"/>
    </row>
    <row r="29" spans="1:10" ht="15" x14ac:dyDescent="0.25">
      <c r="A29" s="308" t="s">
        <v>128</v>
      </c>
      <c r="B29" s="309"/>
      <c r="C29" s="310"/>
      <c r="D29" s="82">
        <f>G12-E12</f>
        <v>359</v>
      </c>
      <c r="E29" s="83">
        <v>48.972490000000001</v>
      </c>
      <c r="F29" s="84">
        <f>PRODUCT(D29,E29)</f>
        <v>17581.123909999998</v>
      </c>
      <c r="G29" s="85">
        <v>14</v>
      </c>
      <c r="H29" s="82">
        <f>PRODUCT(0.14,F29)</f>
        <v>2461.3573474</v>
      </c>
      <c r="I29" s="311">
        <f t="shared" si="0"/>
        <v>20042.481257399999</v>
      </c>
      <c r="J29" s="312"/>
    </row>
    <row r="30" spans="1:10" ht="15" x14ac:dyDescent="0.25">
      <c r="A30" s="305" t="s">
        <v>129</v>
      </c>
      <c r="B30" s="306"/>
      <c r="C30" s="307"/>
      <c r="D30" s="74"/>
      <c r="E30" s="86"/>
      <c r="F30" s="80">
        <v>841</v>
      </c>
      <c r="G30">
        <v>20</v>
      </c>
      <c r="H30" s="87">
        <f>PRODUCT(F30,0.2)</f>
        <v>168.20000000000002</v>
      </c>
      <c r="I30" s="298">
        <f>SUM(H30,F30)</f>
        <v>1009.2</v>
      </c>
      <c r="J30" s="299"/>
    </row>
    <row r="31" spans="1:10" ht="15.75" thickBot="1" x14ac:dyDescent="0.3">
      <c r="A31" s="295" t="s">
        <v>130</v>
      </c>
      <c r="B31" s="296"/>
      <c r="C31" s="297"/>
      <c r="D31" s="88"/>
      <c r="E31" s="89"/>
      <c r="F31" s="80">
        <v>1492</v>
      </c>
      <c r="G31" s="77">
        <v>7</v>
      </c>
      <c r="H31" s="90">
        <f>PRODUCT(F31,0.07)</f>
        <v>104.44000000000001</v>
      </c>
      <c r="I31" s="298">
        <f t="shared" si="0"/>
        <v>1596.44</v>
      </c>
      <c r="J31" s="299"/>
    </row>
    <row r="32" spans="1:10" ht="21" x14ac:dyDescent="0.2">
      <c r="A32" s="300" t="s">
        <v>131</v>
      </c>
      <c r="B32" s="301"/>
      <c r="C32" s="301"/>
      <c r="D32" s="301"/>
      <c r="E32" s="301"/>
      <c r="F32" s="91">
        <f>SUM(F25:F31)</f>
        <v>80795.857409999997</v>
      </c>
      <c r="G32" s="92"/>
      <c r="H32" s="93"/>
      <c r="I32" s="304">
        <f>SUM(I25:J31)</f>
        <v>92053.297447399993</v>
      </c>
      <c r="J32" s="304"/>
    </row>
    <row r="33" spans="1:10" ht="21.75" thickBot="1" x14ac:dyDescent="0.25">
      <c r="A33" s="302"/>
      <c r="B33" s="303"/>
      <c r="C33" s="303"/>
      <c r="D33" s="303"/>
      <c r="E33" s="303"/>
      <c r="F33" s="94"/>
      <c r="G33" s="95"/>
      <c r="H33" s="96"/>
      <c r="I33" s="304"/>
      <c r="J33" s="30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A18:B18"/>
    <mergeCell ref="G18:H18"/>
    <mergeCell ref="I18:J18"/>
    <mergeCell ref="A19:B19"/>
    <mergeCell ref="G19:H19"/>
    <mergeCell ref="I19:J19"/>
    <mergeCell ref="A13:J13"/>
    <mergeCell ref="A16:B16"/>
    <mergeCell ref="G16:H16"/>
    <mergeCell ref="I16:J16"/>
    <mergeCell ref="A17:B17"/>
    <mergeCell ref="G17:H17"/>
    <mergeCell ref="I17:J17"/>
    <mergeCell ref="A12:B12"/>
    <mergeCell ref="C12:D12"/>
    <mergeCell ref="E12:F12"/>
    <mergeCell ref="G12:H12"/>
    <mergeCell ref="I12:J12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9"/>
      <c r="B1" s="353" t="s">
        <v>133</v>
      </c>
      <c r="C1" s="354"/>
      <c r="D1" s="354"/>
      <c r="E1" s="354"/>
      <c r="F1" s="402" t="s">
        <v>89</v>
      </c>
      <c r="G1" s="403"/>
      <c r="H1" s="404"/>
    </row>
    <row r="2" spans="1:8" ht="15.75" customHeight="1" thickBot="1" x14ac:dyDescent="0.25">
      <c r="A2" s="400"/>
      <c r="B2" s="355"/>
      <c r="C2" s="356"/>
      <c r="D2" s="356"/>
      <c r="E2" s="356"/>
      <c r="F2" s="405"/>
      <c r="G2" s="406"/>
      <c r="H2" s="407"/>
    </row>
    <row r="3" spans="1:8" ht="15" customHeight="1" x14ac:dyDescent="0.2">
      <c r="A3" s="400"/>
      <c r="B3" s="355"/>
      <c r="C3" s="356"/>
      <c r="D3" s="356"/>
      <c r="E3" s="356"/>
      <c r="F3" s="402" t="s">
        <v>90</v>
      </c>
      <c r="G3" s="403"/>
      <c r="H3" s="404"/>
    </row>
    <row r="4" spans="1:8" ht="15.75" customHeight="1" thickBot="1" x14ac:dyDescent="0.25">
      <c r="A4" s="401"/>
      <c r="B4" s="357"/>
      <c r="C4" s="358"/>
      <c r="D4" s="358"/>
      <c r="E4" s="358"/>
      <c r="F4" s="408"/>
      <c r="G4" s="409"/>
      <c r="H4" s="410"/>
    </row>
    <row r="6" spans="1:8" ht="42.75" customHeight="1" x14ac:dyDescent="0.2"/>
    <row r="7" spans="1:8" ht="42.75" customHeight="1" x14ac:dyDescent="0.2">
      <c r="A7" s="100" t="s">
        <v>91</v>
      </c>
      <c r="B7" s="100" t="s">
        <v>134</v>
      </c>
      <c r="C7" s="100" t="s">
        <v>135</v>
      </c>
      <c r="D7" s="102" t="s">
        <v>92</v>
      </c>
      <c r="E7" s="100" t="s">
        <v>136</v>
      </c>
      <c r="F7" s="102" t="s">
        <v>93</v>
      </c>
      <c r="G7" s="102" t="s">
        <v>137</v>
      </c>
      <c r="H7" s="101" t="s">
        <v>94</v>
      </c>
    </row>
    <row r="8" spans="1:8" ht="15" x14ac:dyDescent="0.25">
      <c r="A8" s="121"/>
      <c r="B8" s="103" t="s">
        <v>138</v>
      </c>
      <c r="C8" s="104">
        <v>34451.800000000003</v>
      </c>
      <c r="D8" s="105">
        <v>43647</v>
      </c>
      <c r="E8" s="104">
        <v>39961</v>
      </c>
      <c r="F8" s="105">
        <v>43678</v>
      </c>
      <c r="G8" s="106">
        <f>E8-C8</f>
        <v>5509.1999999999971</v>
      </c>
      <c r="H8" s="107"/>
    </row>
    <row r="9" spans="1:8" ht="36" customHeight="1" x14ac:dyDescent="0.25">
      <c r="A9" s="108"/>
      <c r="B9" s="108"/>
      <c r="C9" s="108"/>
      <c r="D9" s="108"/>
      <c r="E9" s="108"/>
      <c r="F9" s="108"/>
      <c r="G9" s="108"/>
      <c r="H9" s="108"/>
    </row>
    <row r="10" spans="1:8" ht="15" x14ac:dyDescent="0.25">
      <c r="A10" s="109"/>
      <c r="B10" s="411" t="s">
        <v>117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 x14ac:dyDescent="0.25">
      <c r="A11" s="110" t="s">
        <v>141</v>
      </c>
      <c r="B11" s="391"/>
      <c r="C11" s="391"/>
      <c r="D11" s="391"/>
      <c r="E11" s="391"/>
      <c r="F11" s="391">
        <v>23</v>
      </c>
      <c r="G11" s="391"/>
      <c r="H11" s="391"/>
    </row>
    <row r="12" spans="1:8" ht="21" x14ac:dyDescent="0.35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 x14ac:dyDescent="0.25">
      <c r="A13" s="110" t="s">
        <v>143</v>
      </c>
      <c r="B13" s="391">
        <f>G8</f>
        <v>5509.1999999999971</v>
      </c>
      <c r="C13" s="391"/>
      <c r="D13" s="391">
        <v>8.7899999999999991</v>
      </c>
      <c r="E13" s="391"/>
      <c r="F13" s="398">
        <f>PRODUCT(D13,B13)</f>
        <v>48425.867999999973</v>
      </c>
      <c r="G13" s="398"/>
      <c r="H13" s="398"/>
    </row>
    <row r="14" spans="1:8" ht="45" customHeight="1" x14ac:dyDescent="0.2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 x14ac:dyDescent="0.2">
      <c r="A15" s="396"/>
      <c r="B15" s="396"/>
      <c r="C15" s="396"/>
      <c r="D15" s="396"/>
      <c r="E15" s="396"/>
      <c r="F15" s="396"/>
      <c r="G15" s="396"/>
      <c r="H15" s="396"/>
    </row>
    <row r="16" spans="1:8" ht="15" x14ac:dyDescent="0.25">
      <c r="A16" s="111" t="s">
        <v>145</v>
      </c>
      <c r="B16" s="391">
        <v>0</v>
      </c>
      <c r="C16" s="391"/>
      <c r="D16" s="391">
        <v>0</v>
      </c>
      <c r="E16" s="391"/>
      <c r="F16" s="391">
        <f>PRODUCT(D16,B16)</f>
        <v>0</v>
      </c>
      <c r="G16" s="391"/>
      <c r="H16" s="391"/>
    </row>
    <row r="17" spans="1:8" ht="15" x14ac:dyDescent="0.25">
      <c r="A17" s="111" t="s">
        <v>146</v>
      </c>
      <c r="B17" s="391">
        <v>0</v>
      </c>
      <c r="C17" s="391"/>
      <c r="D17" s="391">
        <v>0</v>
      </c>
      <c r="E17" s="391"/>
      <c r="F17" s="391">
        <f>PRODUCT(D17,B17)</f>
        <v>0</v>
      </c>
      <c r="G17" s="391"/>
      <c r="H17" s="391"/>
    </row>
    <row r="18" spans="1:8" ht="15" x14ac:dyDescent="0.25">
      <c r="A18" s="111" t="s">
        <v>147</v>
      </c>
      <c r="B18" s="391">
        <v>0</v>
      </c>
      <c r="C18" s="391"/>
      <c r="D18" s="391">
        <v>0</v>
      </c>
      <c r="E18" s="391"/>
      <c r="F18" s="391">
        <f>PRODUCT(D18,B18)</f>
        <v>0</v>
      </c>
      <c r="G18" s="391"/>
      <c r="H18" s="391"/>
    </row>
    <row r="19" spans="1:8" ht="15" x14ac:dyDescent="0.25">
      <c r="A19" s="111" t="s">
        <v>148</v>
      </c>
      <c r="B19" s="391">
        <f>G8</f>
        <v>5509.1999999999971</v>
      </c>
      <c r="C19" s="391"/>
      <c r="D19" s="391">
        <v>2.61</v>
      </c>
      <c r="E19" s="391"/>
      <c r="F19" s="391">
        <f>PRODUCT(D19,B19)</f>
        <v>14379.011999999992</v>
      </c>
      <c r="G19" s="391"/>
      <c r="H19" s="391"/>
    </row>
    <row r="20" spans="1:8" ht="18.75" x14ac:dyDescent="0.3">
      <c r="A20" s="387" t="s">
        <v>149</v>
      </c>
      <c r="B20" s="388"/>
      <c r="C20" s="388"/>
      <c r="D20" s="388"/>
      <c r="E20" s="389"/>
      <c r="F20" s="390">
        <f>SUM(F11+F13+F16+F17+F18+F19)</f>
        <v>62827.879999999961</v>
      </c>
      <c r="G20" s="390"/>
      <c r="H20" s="390"/>
    </row>
    <row r="21" spans="1:8" ht="15" x14ac:dyDescent="0.25">
      <c r="A21" s="376" t="s">
        <v>150</v>
      </c>
      <c r="B21" s="377"/>
      <c r="C21" s="377"/>
      <c r="D21" s="377"/>
      <c r="E21" s="378"/>
      <c r="F21" s="391">
        <f>PRODUCT(F20,0.07)</f>
        <v>4397.9515999999976</v>
      </c>
      <c r="G21" s="391"/>
      <c r="H21" s="391"/>
    </row>
    <row r="22" spans="1:8" ht="15" x14ac:dyDescent="0.25">
      <c r="A22" s="392" t="s">
        <v>151</v>
      </c>
      <c r="B22" s="393"/>
      <c r="C22" s="393"/>
      <c r="D22" s="393"/>
      <c r="E22" s="394"/>
      <c r="F22" s="391">
        <v>208.26</v>
      </c>
      <c r="G22" s="391"/>
      <c r="H22" s="391"/>
    </row>
    <row r="23" spans="1:8" ht="15.75" x14ac:dyDescent="0.25">
      <c r="A23" s="376" t="s">
        <v>152</v>
      </c>
      <c r="B23" s="377"/>
      <c r="C23" s="377"/>
      <c r="D23" s="377"/>
      <c r="E23" s="378"/>
      <c r="F23" s="379">
        <f>SUM(F21:H22)</f>
        <v>4606.2115999999978</v>
      </c>
      <c r="G23" s="379"/>
      <c r="H23" s="379"/>
    </row>
    <row r="24" spans="1:8" x14ac:dyDescent="0.2">
      <c r="A24" s="380" t="s">
        <v>153</v>
      </c>
      <c r="B24" s="381"/>
      <c r="C24" s="381"/>
      <c r="D24" s="381"/>
      <c r="E24" s="382"/>
      <c r="F24" s="386">
        <f>SUM(F20,F23)</f>
        <v>67434.091599999956</v>
      </c>
      <c r="G24" s="386"/>
      <c r="H24" s="386"/>
    </row>
    <row r="25" spans="1:8" x14ac:dyDescent="0.2">
      <c r="A25" s="383"/>
      <c r="B25" s="384"/>
      <c r="C25" s="384"/>
      <c r="D25" s="384"/>
      <c r="E25" s="385"/>
      <c r="F25" s="386"/>
      <c r="G25" s="386"/>
      <c r="H25" s="386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9"/>
      <c r="B1" s="353" t="s">
        <v>133</v>
      </c>
      <c r="C1" s="354"/>
      <c r="D1" s="354"/>
      <c r="E1" s="354"/>
      <c r="F1" s="402" t="s">
        <v>89</v>
      </c>
      <c r="G1" s="403"/>
      <c r="H1" s="404"/>
    </row>
    <row r="2" spans="1:8" ht="15.75" customHeight="1" thickBot="1" x14ac:dyDescent="0.25">
      <c r="A2" s="400"/>
      <c r="B2" s="355"/>
      <c r="C2" s="356"/>
      <c r="D2" s="356"/>
      <c r="E2" s="356"/>
      <c r="F2" s="405"/>
      <c r="G2" s="406"/>
      <c r="H2" s="407"/>
    </row>
    <row r="3" spans="1:8" ht="15" customHeight="1" x14ac:dyDescent="0.2">
      <c r="A3" s="400"/>
      <c r="B3" s="355"/>
      <c r="C3" s="356"/>
      <c r="D3" s="356"/>
      <c r="E3" s="356"/>
      <c r="F3" s="402" t="s">
        <v>90</v>
      </c>
      <c r="G3" s="403"/>
      <c r="H3" s="404"/>
    </row>
    <row r="4" spans="1:8" ht="15.75" customHeight="1" thickBot="1" x14ac:dyDescent="0.25">
      <c r="A4" s="401"/>
      <c r="B4" s="357"/>
      <c r="C4" s="358"/>
      <c r="D4" s="358"/>
      <c r="E4" s="358"/>
      <c r="F4" s="408"/>
      <c r="G4" s="409"/>
      <c r="H4" s="410"/>
    </row>
    <row r="6" spans="1:8" ht="42.75" customHeight="1" x14ac:dyDescent="0.2"/>
    <row r="7" spans="1:8" ht="42.75" customHeight="1" x14ac:dyDescent="0.2">
      <c r="A7" s="100" t="s">
        <v>91</v>
      </c>
      <c r="B7" s="100" t="s">
        <v>134</v>
      </c>
      <c r="C7" s="100" t="s">
        <v>135</v>
      </c>
      <c r="D7" s="102" t="s">
        <v>92</v>
      </c>
      <c r="E7" s="100" t="s">
        <v>136</v>
      </c>
      <c r="F7" s="102" t="s">
        <v>93</v>
      </c>
      <c r="G7" s="102" t="s">
        <v>137</v>
      </c>
      <c r="H7" s="101" t="s">
        <v>94</v>
      </c>
    </row>
    <row r="8" spans="1:8" ht="15" x14ac:dyDescent="0.25">
      <c r="A8" s="121"/>
      <c r="B8" s="103" t="s">
        <v>138</v>
      </c>
      <c r="C8" s="104">
        <v>36905.1</v>
      </c>
      <c r="D8" s="105">
        <v>43661</v>
      </c>
      <c r="E8" s="104">
        <v>37115.699999999997</v>
      </c>
      <c r="F8" s="105">
        <v>43662</v>
      </c>
      <c r="G8" s="106">
        <f>E8-C8</f>
        <v>210.59999999999854</v>
      </c>
      <c r="H8" s="107"/>
    </row>
    <row r="9" spans="1:8" ht="36" customHeight="1" x14ac:dyDescent="0.25">
      <c r="A9" s="108"/>
      <c r="B9" s="108"/>
      <c r="C9" s="108"/>
      <c r="D9" s="108"/>
      <c r="E9" s="108"/>
      <c r="F9" s="108"/>
      <c r="G9" s="108"/>
      <c r="H9" s="108"/>
    </row>
    <row r="10" spans="1:8" ht="15" x14ac:dyDescent="0.25">
      <c r="A10" s="109"/>
      <c r="B10" s="411" t="s">
        <v>117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 x14ac:dyDescent="0.25">
      <c r="A11" s="110" t="s">
        <v>141</v>
      </c>
      <c r="B11" s="391"/>
      <c r="C11" s="391"/>
      <c r="D11" s="391"/>
      <c r="E11" s="391"/>
      <c r="F11" s="391">
        <v>23</v>
      </c>
      <c r="G11" s="391"/>
      <c r="H11" s="391"/>
    </row>
    <row r="12" spans="1:8" ht="21" x14ac:dyDescent="0.35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 x14ac:dyDescent="0.25">
      <c r="A13" s="110" t="s">
        <v>143</v>
      </c>
      <c r="B13" s="391">
        <f>G8</f>
        <v>210.59999999999854</v>
      </c>
      <c r="C13" s="391"/>
      <c r="D13" s="391">
        <v>8.5</v>
      </c>
      <c r="E13" s="391"/>
      <c r="F13" s="398">
        <f>PRODUCT(D13,B13)</f>
        <v>1790.0999999999876</v>
      </c>
      <c r="G13" s="398"/>
      <c r="H13" s="398"/>
    </row>
    <row r="14" spans="1:8" ht="45" customHeight="1" x14ac:dyDescent="0.2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 x14ac:dyDescent="0.2">
      <c r="A15" s="396"/>
      <c r="B15" s="396"/>
      <c r="C15" s="396"/>
      <c r="D15" s="396"/>
      <c r="E15" s="396"/>
      <c r="F15" s="396"/>
      <c r="G15" s="396"/>
      <c r="H15" s="396"/>
    </row>
    <row r="16" spans="1:8" ht="15" x14ac:dyDescent="0.25">
      <c r="A16" s="111" t="s">
        <v>145</v>
      </c>
      <c r="B16" s="391">
        <v>0</v>
      </c>
      <c r="C16" s="391"/>
      <c r="D16" s="391">
        <v>0</v>
      </c>
      <c r="E16" s="391"/>
      <c r="F16" s="391">
        <f>PRODUCT(D16,B16)</f>
        <v>0</v>
      </c>
      <c r="G16" s="391"/>
      <c r="H16" s="391"/>
    </row>
    <row r="17" spans="1:8" ht="15" x14ac:dyDescent="0.25">
      <c r="A17" s="111" t="s">
        <v>146</v>
      </c>
      <c r="B17" s="391">
        <v>0</v>
      </c>
      <c r="C17" s="391"/>
      <c r="D17" s="391">
        <v>0</v>
      </c>
      <c r="E17" s="391"/>
      <c r="F17" s="391">
        <f>PRODUCT(D17,B17)</f>
        <v>0</v>
      </c>
      <c r="G17" s="391"/>
      <c r="H17" s="391"/>
    </row>
    <row r="18" spans="1:8" ht="15" x14ac:dyDescent="0.25">
      <c r="A18" s="111" t="s">
        <v>147</v>
      </c>
      <c r="B18" s="391">
        <v>0</v>
      </c>
      <c r="C18" s="391"/>
      <c r="D18" s="391">
        <v>0</v>
      </c>
      <c r="E18" s="391"/>
      <c r="F18" s="391">
        <f>PRODUCT(D18,B18)</f>
        <v>0</v>
      </c>
      <c r="G18" s="391"/>
      <c r="H18" s="391"/>
    </row>
    <row r="19" spans="1:8" ht="15" x14ac:dyDescent="0.25">
      <c r="A19" s="111" t="s">
        <v>148</v>
      </c>
      <c r="B19" s="391">
        <v>0</v>
      </c>
      <c r="C19" s="391"/>
      <c r="D19" s="415">
        <v>0</v>
      </c>
      <c r="E19" s="416"/>
      <c r="F19" s="415">
        <v>0</v>
      </c>
      <c r="G19" s="416"/>
      <c r="H19" s="121"/>
    </row>
    <row r="20" spans="1:8" ht="15" x14ac:dyDescent="0.25">
      <c r="A20" s="111" t="s">
        <v>154</v>
      </c>
      <c r="B20" s="391">
        <f>G8</f>
        <v>210.59999999999854</v>
      </c>
      <c r="C20" s="391"/>
      <c r="D20" s="391">
        <v>2.54</v>
      </c>
      <c r="E20" s="391"/>
      <c r="F20" s="391">
        <f>PRODUCT(D20,B20)</f>
        <v>534.92399999999634</v>
      </c>
      <c r="G20" s="391"/>
      <c r="H20" s="391"/>
    </row>
    <row r="21" spans="1:8" ht="18.75" x14ac:dyDescent="0.3">
      <c r="A21" s="387" t="s">
        <v>149</v>
      </c>
      <c r="B21" s="388"/>
      <c r="C21" s="388"/>
      <c r="D21" s="388"/>
      <c r="E21" s="389"/>
      <c r="F21" s="390">
        <f>SUM(F11+F13+F16+F17+F18+F20)</f>
        <v>2348.023999999984</v>
      </c>
      <c r="G21" s="390"/>
      <c r="H21" s="390"/>
    </row>
    <row r="22" spans="1:8" ht="15" x14ac:dyDescent="0.25">
      <c r="A22" s="376" t="s">
        <v>150</v>
      </c>
      <c r="B22" s="377"/>
      <c r="C22" s="377"/>
      <c r="D22" s="377"/>
      <c r="E22" s="378"/>
      <c r="F22" s="391">
        <f>PRODUCT(F21,0.07)</f>
        <v>164.3616799999989</v>
      </c>
      <c r="G22" s="391"/>
      <c r="H22" s="391"/>
    </row>
    <row r="23" spans="1:8" ht="15" x14ac:dyDescent="0.25">
      <c r="A23" s="392" t="s">
        <v>151</v>
      </c>
      <c r="B23" s="393"/>
      <c r="C23" s="393"/>
      <c r="D23" s="393"/>
      <c r="E23" s="394"/>
      <c r="F23" s="391">
        <v>208.26</v>
      </c>
      <c r="G23" s="391"/>
      <c r="H23" s="391"/>
    </row>
    <row r="24" spans="1:8" ht="15.75" x14ac:dyDescent="0.25">
      <c r="A24" s="376" t="s">
        <v>152</v>
      </c>
      <c r="B24" s="377"/>
      <c r="C24" s="377"/>
      <c r="D24" s="377"/>
      <c r="E24" s="378"/>
      <c r="F24" s="379">
        <f>SUM(F22:H23)</f>
        <v>372.62167999999889</v>
      </c>
      <c r="G24" s="379"/>
      <c r="H24" s="379"/>
    </row>
    <row r="25" spans="1:8" x14ac:dyDescent="0.2">
      <c r="A25" s="380" t="s">
        <v>153</v>
      </c>
      <c r="B25" s="381"/>
      <c r="C25" s="381"/>
      <c r="D25" s="381"/>
      <c r="E25" s="382"/>
      <c r="F25" s="386">
        <f>SUM(F21,F24)</f>
        <v>2720.6456799999828</v>
      </c>
      <c r="G25" s="386"/>
      <c r="H25" s="386"/>
    </row>
    <row r="26" spans="1:8" x14ac:dyDescent="0.2">
      <c r="A26" s="383"/>
      <c r="B26" s="384"/>
      <c r="C26" s="384"/>
      <c r="D26" s="384"/>
      <c r="E26" s="385"/>
      <c r="F26" s="386"/>
      <c r="G26" s="386"/>
      <c r="H26" s="386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9"/>
      <c r="B1" s="353" t="s">
        <v>155</v>
      </c>
      <c r="C1" s="354"/>
      <c r="D1" s="354"/>
      <c r="E1" s="354"/>
      <c r="F1" s="402" t="s">
        <v>89</v>
      </c>
      <c r="G1" s="403"/>
      <c r="H1" s="404"/>
    </row>
    <row r="2" spans="1:8" ht="15.75" customHeight="1" thickBot="1" x14ac:dyDescent="0.25">
      <c r="A2" s="400"/>
      <c r="B2" s="355"/>
      <c r="C2" s="356"/>
      <c r="D2" s="356"/>
      <c r="E2" s="356"/>
      <c r="F2" s="405"/>
      <c r="G2" s="406"/>
      <c r="H2" s="407"/>
    </row>
    <row r="3" spans="1:8" ht="15" customHeight="1" x14ac:dyDescent="0.2">
      <c r="A3" s="400"/>
      <c r="B3" s="355"/>
      <c r="C3" s="356"/>
      <c r="D3" s="356"/>
      <c r="E3" s="356"/>
      <c r="F3" s="402" t="s">
        <v>90</v>
      </c>
      <c r="G3" s="403"/>
      <c r="H3" s="404"/>
    </row>
    <row r="4" spans="1:8" ht="15.75" customHeight="1" thickBot="1" x14ac:dyDescent="0.25">
      <c r="A4" s="401"/>
      <c r="B4" s="357"/>
      <c r="C4" s="358"/>
      <c r="D4" s="358"/>
      <c r="E4" s="358"/>
      <c r="F4" s="408"/>
      <c r="G4" s="409"/>
      <c r="H4" s="410"/>
    </row>
    <row r="6" spans="1:8" ht="42.75" customHeight="1" x14ac:dyDescent="0.2"/>
    <row r="7" spans="1:8" ht="42.75" customHeight="1" x14ac:dyDescent="0.2">
      <c r="A7" s="100" t="s">
        <v>91</v>
      </c>
      <c r="B7" s="100" t="s">
        <v>134</v>
      </c>
      <c r="C7" s="100" t="s">
        <v>135</v>
      </c>
      <c r="D7" s="102" t="s">
        <v>92</v>
      </c>
      <c r="E7" s="100" t="s">
        <v>136</v>
      </c>
      <c r="F7" s="102" t="s">
        <v>93</v>
      </c>
      <c r="G7" s="102" t="s">
        <v>137</v>
      </c>
      <c r="H7" s="101" t="s">
        <v>94</v>
      </c>
    </row>
    <row r="8" spans="1:8" ht="15" x14ac:dyDescent="0.25">
      <c r="A8" s="121"/>
      <c r="B8" s="103" t="s">
        <v>138</v>
      </c>
      <c r="C8" s="104">
        <v>2375</v>
      </c>
      <c r="D8" s="105">
        <v>43647</v>
      </c>
      <c r="E8" s="104">
        <v>2375</v>
      </c>
      <c r="F8" s="105">
        <v>43678</v>
      </c>
      <c r="G8" s="106">
        <f>E8-C8</f>
        <v>0</v>
      </c>
      <c r="H8" s="107"/>
    </row>
    <row r="9" spans="1:8" ht="36" customHeight="1" x14ac:dyDescent="0.25">
      <c r="A9" s="108"/>
      <c r="B9" s="108"/>
      <c r="C9" s="108"/>
      <c r="D9" s="108"/>
      <c r="E9" s="108"/>
      <c r="F9" s="108"/>
      <c r="G9" s="108"/>
      <c r="H9" s="108"/>
    </row>
    <row r="10" spans="1:8" ht="15" x14ac:dyDescent="0.25">
      <c r="A10" s="109"/>
      <c r="B10" s="411" t="s">
        <v>117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 x14ac:dyDescent="0.25">
      <c r="A11" s="110" t="s">
        <v>141</v>
      </c>
      <c r="B11" s="391"/>
      <c r="C11" s="391"/>
      <c r="D11" s="391"/>
      <c r="E11" s="391"/>
      <c r="F11" s="391">
        <v>15</v>
      </c>
      <c r="G11" s="391"/>
      <c r="H11" s="391"/>
    </row>
    <row r="12" spans="1:8" ht="21" x14ac:dyDescent="0.35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 x14ac:dyDescent="0.25">
      <c r="A13" s="110" t="s">
        <v>156</v>
      </c>
      <c r="B13" s="391">
        <f>G8</f>
        <v>0</v>
      </c>
      <c r="C13" s="391"/>
      <c r="D13" s="391">
        <v>16.48</v>
      </c>
      <c r="E13" s="391"/>
      <c r="F13" s="398">
        <f>PRODUCT(D13,B13)</f>
        <v>0</v>
      </c>
      <c r="G13" s="398"/>
      <c r="H13" s="398"/>
    </row>
    <row r="14" spans="1:8" ht="15" x14ac:dyDescent="0.25">
      <c r="A14" s="110" t="s">
        <v>157</v>
      </c>
      <c r="B14" s="415"/>
      <c r="C14" s="416"/>
      <c r="D14" s="415"/>
      <c r="E14" s="416"/>
      <c r="F14" s="415"/>
      <c r="G14" s="416"/>
      <c r="H14" s="120"/>
    </row>
    <row r="15" spans="1:8" ht="15" x14ac:dyDescent="0.25">
      <c r="A15" s="110" t="s">
        <v>158</v>
      </c>
      <c r="B15" s="415"/>
      <c r="C15" s="416"/>
      <c r="D15" s="415"/>
      <c r="E15" s="416"/>
      <c r="F15" s="415"/>
      <c r="G15" s="416"/>
      <c r="H15" s="120"/>
    </row>
    <row r="16" spans="1:8" ht="15" x14ac:dyDescent="0.25">
      <c r="A16" s="110" t="s">
        <v>159</v>
      </c>
      <c r="B16" s="415"/>
      <c r="C16" s="416"/>
      <c r="D16" s="415"/>
      <c r="E16" s="416"/>
      <c r="F16" s="415"/>
      <c r="G16" s="416"/>
      <c r="H16" s="120"/>
    </row>
    <row r="17" spans="1:8" ht="15" x14ac:dyDescent="0.25">
      <c r="A17" s="110" t="s">
        <v>160</v>
      </c>
      <c r="B17" s="415"/>
      <c r="C17" s="416"/>
      <c r="D17" s="415"/>
      <c r="E17" s="416"/>
      <c r="F17" s="415"/>
      <c r="G17" s="416"/>
      <c r="H17" s="120"/>
    </row>
    <row r="18" spans="1:8" ht="45" customHeight="1" x14ac:dyDescent="0.2">
      <c r="A18" s="395" t="s">
        <v>144</v>
      </c>
      <c r="B18" s="395"/>
      <c r="C18" s="395"/>
      <c r="D18" s="395"/>
      <c r="E18" s="395"/>
      <c r="F18" s="395"/>
      <c r="G18" s="395"/>
      <c r="H18" s="395"/>
    </row>
    <row r="19" spans="1:8" x14ac:dyDescent="0.2">
      <c r="A19" s="396"/>
      <c r="B19" s="396"/>
      <c r="C19" s="396"/>
      <c r="D19" s="396"/>
      <c r="E19" s="396"/>
      <c r="F19" s="396"/>
      <c r="G19" s="396"/>
      <c r="H19" s="396"/>
    </row>
    <row r="20" spans="1:8" ht="15" x14ac:dyDescent="0.25">
      <c r="A20" s="111" t="s">
        <v>145</v>
      </c>
      <c r="B20" s="391">
        <v>0</v>
      </c>
      <c r="C20" s="391"/>
      <c r="D20" s="391">
        <v>0</v>
      </c>
      <c r="E20" s="391"/>
      <c r="F20" s="391">
        <f>PRODUCT(D20,B20)</f>
        <v>0</v>
      </c>
      <c r="G20" s="391"/>
      <c r="H20" s="391"/>
    </row>
    <row r="21" spans="1:8" ht="15" x14ac:dyDescent="0.25">
      <c r="A21" s="111" t="s">
        <v>146</v>
      </c>
      <c r="B21" s="391">
        <v>0</v>
      </c>
      <c r="C21" s="391"/>
      <c r="D21" s="391">
        <v>0</v>
      </c>
      <c r="E21" s="391"/>
      <c r="F21" s="391">
        <f>PRODUCT(D21,B21)</f>
        <v>0</v>
      </c>
      <c r="G21" s="391"/>
      <c r="H21" s="391"/>
    </row>
    <row r="22" spans="1:8" ht="15" x14ac:dyDescent="0.25">
      <c r="A22" s="111" t="s">
        <v>147</v>
      </c>
      <c r="B22" s="391">
        <v>0</v>
      </c>
      <c r="C22" s="391"/>
      <c r="D22" s="391">
        <v>0</v>
      </c>
      <c r="E22" s="391"/>
      <c r="F22" s="391">
        <f>PRODUCT(D22,B22)</f>
        <v>0</v>
      </c>
      <c r="G22" s="391"/>
      <c r="H22" s="391"/>
    </row>
    <row r="23" spans="1:8" ht="15" x14ac:dyDescent="0.25">
      <c r="A23" s="111" t="s">
        <v>148</v>
      </c>
      <c r="B23" s="391">
        <f>G8</f>
        <v>0</v>
      </c>
      <c r="C23" s="391"/>
      <c r="D23" s="391">
        <v>0</v>
      </c>
      <c r="E23" s="391"/>
      <c r="F23" s="391">
        <f>PRODUCT(D23,B23)</f>
        <v>0</v>
      </c>
      <c r="G23" s="391"/>
      <c r="H23" s="391"/>
    </row>
    <row r="24" spans="1:8" ht="15" x14ac:dyDescent="0.25">
      <c r="A24" s="111" t="s">
        <v>154</v>
      </c>
      <c r="B24" s="415">
        <v>0</v>
      </c>
      <c r="C24" s="416"/>
      <c r="D24" s="415">
        <v>2.54</v>
      </c>
      <c r="E24" s="416"/>
      <c r="F24" s="415">
        <f>B24*D24</f>
        <v>0</v>
      </c>
      <c r="G24" s="416"/>
      <c r="H24" s="121"/>
    </row>
    <row r="25" spans="1:8" ht="18.75" x14ac:dyDescent="0.3">
      <c r="A25" s="387" t="s">
        <v>149</v>
      </c>
      <c r="B25" s="388"/>
      <c r="C25" s="388"/>
      <c r="D25" s="388"/>
      <c r="E25" s="389"/>
      <c r="F25" s="417">
        <f>SUM(F11+F13+F20+F21+F22+F23)</f>
        <v>15</v>
      </c>
      <c r="G25" s="390"/>
      <c r="H25" s="390"/>
    </row>
    <row r="26" spans="1:8" ht="15" x14ac:dyDescent="0.25">
      <c r="A26" s="376" t="s">
        <v>150</v>
      </c>
      <c r="B26" s="377"/>
      <c r="C26" s="377"/>
      <c r="D26" s="377"/>
      <c r="E26" s="378"/>
      <c r="F26" s="391">
        <v>63.63</v>
      </c>
      <c r="G26" s="391"/>
      <c r="H26" s="391"/>
    </row>
    <row r="27" spans="1:8" ht="15" x14ac:dyDescent="0.25">
      <c r="A27" s="392" t="s">
        <v>151</v>
      </c>
      <c r="B27" s="393"/>
      <c r="C27" s="393"/>
      <c r="D27" s="393"/>
      <c r="E27" s="394"/>
      <c r="F27" s="391">
        <v>2.4300000000000002</v>
      </c>
      <c r="G27" s="391"/>
      <c r="H27" s="391"/>
    </row>
    <row r="28" spans="1:8" ht="15.75" x14ac:dyDescent="0.25">
      <c r="A28" s="376" t="s">
        <v>152</v>
      </c>
      <c r="B28" s="377"/>
      <c r="C28" s="377"/>
      <c r="D28" s="377"/>
      <c r="E28" s="378"/>
      <c r="F28" s="379">
        <f>SUM(F26:H27)</f>
        <v>66.06</v>
      </c>
      <c r="G28" s="379"/>
      <c r="H28" s="379"/>
    </row>
    <row r="29" spans="1:8" x14ac:dyDescent="0.2">
      <c r="A29" s="380" t="s">
        <v>153</v>
      </c>
      <c r="B29" s="381"/>
      <c r="C29" s="381"/>
      <c r="D29" s="381"/>
      <c r="E29" s="382"/>
      <c r="F29" s="386">
        <f>SUM(F25,F28)</f>
        <v>81.06</v>
      </c>
      <c r="G29" s="386"/>
      <c r="H29" s="386"/>
    </row>
    <row r="30" spans="1:8" x14ac:dyDescent="0.2">
      <c r="A30" s="383"/>
      <c r="B30" s="384"/>
      <c r="C30" s="384"/>
      <c r="D30" s="384"/>
      <c r="E30" s="385"/>
      <c r="F30" s="386"/>
      <c r="G30" s="386"/>
      <c r="H30" s="386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F23:H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27"/>
  <sheetViews>
    <sheetView topLeftCell="E1" zoomScaleNormal="100" workbookViewId="0">
      <selection activeCell="I20" sqref="I20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18" t="s">
        <v>161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7" spans="2:14" x14ac:dyDescent="0.2">
      <c r="C7" s="114" t="s">
        <v>162</v>
      </c>
      <c r="D7" s="114" t="s">
        <v>163</v>
      </c>
      <c r="E7" s="114" t="s">
        <v>164</v>
      </c>
      <c r="F7" s="114" t="s">
        <v>165</v>
      </c>
      <c r="G7" s="114" t="s">
        <v>166</v>
      </c>
      <c r="H7" s="114" t="s">
        <v>167</v>
      </c>
      <c r="I7" s="114" t="s">
        <v>168</v>
      </c>
      <c r="J7" s="114" t="s">
        <v>169</v>
      </c>
      <c r="K7" s="114" t="s">
        <v>170</v>
      </c>
      <c r="L7" s="114" t="s">
        <v>171</v>
      </c>
      <c r="M7" s="114" t="s">
        <v>172</v>
      </c>
      <c r="N7" s="114" t="s">
        <v>173</v>
      </c>
    </row>
    <row r="8" spans="2:14" ht="32.25" customHeight="1" x14ac:dyDescent="0.2">
      <c r="B8" s="115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13">
        <v>544520</v>
      </c>
      <c r="M8" s="113">
        <v>561765</v>
      </c>
      <c r="N8" s="113">
        <v>546771</v>
      </c>
    </row>
    <row r="9" spans="2:14" ht="33" customHeight="1" x14ac:dyDescent="0.2">
      <c r="B9" s="116" t="s">
        <v>175</v>
      </c>
      <c r="C9" s="113">
        <v>564170</v>
      </c>
      <c r="D9" s="113">
        <v>532072</v>
      </c>
      <c r="E9" s="113">
        <v>405239</v>
      </c>
      <c r="F9" s="113">
        <v>469130</v>
      </c>
      <c r="G9" s="113">
        <v>543877</v>
      </c>
      <c r="H9" s="113">
        <v>605744</v>
      </c>
      <c r="I9" s="113">
        <v>722083</v>
      </c>
      <c r="J9" s="113">
        <v>802210</v>
      </c>
      <c r="K9" s="113">
        <v>762933</v>
      </c>
      <c r="L9" s="113">
        <v>670848</v>
      </c>
      <c r="M9" s="113">
        <v>626451</v>
      </c>
      <c r="N9" s="113">
        <v>557392</v>
      </c>
    </row>
    <row r="10" spans="2:14" ht="33" customHeight="1" x14ac:dyDescent="0.2">
      <c r="B10" s="122" t="s">
        <v>176</v>
      </c>
      <c r="C10" s="113">
        <v>520977</v>
      </c>
      <c r="D10" s="113">
        <v>541271</v>
      </c>
      <c r="E10" s="113">
        <v>508392</v>
      </c>
      <c r="F10" s="113">
        <v>659200</v>
      </c>
      <c r="G10" s="113">
        <v>705703</v>
      </c>
      <c r="H10" s="113">
        <v>784214</v>
      </c>
      <c r="I10" s="113">
        <v>823726</v>
      </c>
      <c r="J10" s="113">
        <v>913736</v>
      </c>
      <c r="K10" s="113">
        <v>831734</v>
      </c>
      <c r="L10" s="113">
        <v>794243</v>
      </c>
      <c r="M10" s="113">
        <v>688127</v>
      </c>
      <c r="N10" s="113">
        <v>577067</v>
      </c>
    </row>
    <row r="11" spans="2:14" ht="29.25" customHeight="1" x14ac:dyDescent="0.2">
      <c r="B11" s="117" t="s">
        <v>177</v>
      </c>
      <c r="C11" s="113">
        <v>586355</v>
      </c>
      <c r="D11" s="113">
        <v>563735</v>
      </c>
      <c r="E11" s="113">
        <v>512313</v>
      </c>
      <c r="F11" s="113">
        <v>573440</v>
      </c>
      <c r="G11" s="113">
        <v>535115</v>
      </c>
      <c r="H11" s="113">
        <v>570139</v>
      </c>
      <c r="I11" s="113">
        <v>669302</v>
      </c>
      <c r="J11" s="113">
        <v>704714</v>
      </c>
      <c r="K11" s="113">
        <v>682717</v>
      </c>
      <c r="L11" s="113">
        <v>581239</v>
      </c>
      <c r="M11" s="113">
        <v>438561</v>
      </c>
      <c r="N11" s="113">
        <v>400672</v>
      </c>
    </row>
    <row r="12" spans="2:14" ht="33.75" customHeight="1" x14ac:dyDescent="0.2">
      <c r="B12" s="128" t="s">
        <v>178</v>
      </c>
      <c r="C12" s="113">
        <v>388363</v>
      </c>
      <c r="D12" s="113">
        <v>407737</v>
      </c>
      <c r="E12" s="113">
        <v>392102</v>
      </c>
      <c r="F12" s="113">
        <v>454554</v>
      </c>
      <c r="G12" s="113">
        <v>448580</v>
      </c>
      <c r="H12" s="113">
        <v>535391</v>
      </c>
      <c r="I12" s="113">
        <v>549301</v>
      </c>
      <c r="J12" s="113"/>
      <c r="K12" s="113"/>
      <c r="L12" s="113"/>
      <c r="M12" s="113"/>
      <c r="N12" s="113"/>
    </row>
    <row r="13" spans="2:14" ht="21" thickBot="1" x14ac:dyDescent="0.35">
      <c r="C13" s="421" t="s">
        <v>179</v>
      </c>
      <c r="D13" s="422"/>
      <c r="E13" s="422"/>
      <c r="F13" s="422"/>
      <c r="G13" s="422"/>
      <c r="H13" s="422"/>
      <c r="I13" s="422"/>
      <c r="J13" s="422"/>
      <c r="K13" s="422"/>
      <c r="L13" s="422"/>
      <c r="M13" s="422"/>
      <c r="N13" s="423"/>
    </row>
    <row r="15" spans="2:14" x14ac:dyDescent="0.2">
      <c r="C15" s="114" t="s">
        <v>162</v>
      </c>
      <c r="D15" s="114" t="s">
        <v>163</v>
      </c>
      <c r="E15" s="114" t="s">
        <v>164</v>
      </c>
      <c r="F15" s="114" t="s">
        <v>165</v>
      </c>
      <c r="G15" s="114" t="s">
        <v>166</v>
      </c>
      <c r="H15" s="114" t="s">
        <v>167</v>
      </c>
      <c r="I15" s="114" t="s">
        <v>168</v>
      </c>
      <c r="J15" s="114" t="s">
        <v>169</v>
      </c>
      <c r="K15" s="114" t="s">
        <v>170</v>
      </c>
      <c r="L15" s="114" t="s">
        <v>171</v>
      </c>
      <c r="M15" s="114" t="s">
        <v>172</v>
      </c>
      <c r="N15" s="114" t="s">
        <v>173</v>
      </c>
    </row>
    <row r="16" spans="2:14" ht="28.5" customHeight="1" x14ac:dyDescent="0.2">
      <c r="B16" s="115" t="s">
        <v>174</v>
      </c>
      <c r="C16" s="424"/>
      <c r="D16" s="425"/>
      <c r="E16" s="425"/>
      <c r="F16" s="425"/>
      <c r="G16" s="425"/>
      <c r="H16" s="425"/>
      <c r="I16" s="425"/>
      <c r="J16" s="425"/>
      <c r="K16" s="426"/>
      <c r="L16" s="113">
        <v>527344.76260000002</v>
      </c>
      <c r="M16" s="113">
        <v>542887.95270000002</v>
      </c>
      <c r="N16" s="113">
        <v>530789.10450000002</v>
      </c>
    </row>
    <row r="17" spans="2:14" ht="26.25" customHeight="1" x14ac:dyDescent="0.2">
      <c r="B17" s="116" t="s">
        <v>175</v>
      </c>
      <c r="C17" s="113">
        <v>577599.26069999998</v>
      </c>
      <c r="D17" s="113">
        <v>549500.304</v>
      </c>
      <c r="E17" s="113">
        <v>437038.73300000001</v>
      </c>
      <c r="F17" s="113">
        <v>498381.28909999994</v>
      </c>
      <c r="G17" s="113">
        <v>567710.58700000006</v>
      </c>
      <c r="H17" s="113">
        <v>626665.41229999997</v>
      </c>
      <c r="I17" s="113">
        <v>732996.54229999997</v>
      </c>
      <c r="J17" s="113">
        <v>807380.11509999994</v>
      </c>
      <c r="K17" s="113">
        <v>765103.69790000003</v>
      </c>
      <c r="L17" s="113">
        <v>674808.60869999998</v>
      </c>
      <c r="M17" s="113">
        <v>636029.23249999993</v>
      </c>
      <c r="N17" s="113">
        <v>575999.90890000004</v>
      </c>
    </row>
    <row r="18" spans="2:14" ht="28.5" customHeight="1" x14ac:dyDescent="0.2">
      <c r="B18" s="122" t="s">
        <v>176</v>
      </c>
      <c r="C18" s="113">
        <v>565777.06310000003</v>
      </c>
      <c r="D18" s="113">
        <v>589465.87030000007</v>
      </c>
      <c r="E18" s="113">
        <v>559348.96649999998</v>
      </c>
      <c r="F18" s="113">
        <v>706566.82740000007</v>
      </c>
      <c r="G18" s="113">
        <v>750048.77370000002</v>
      </c>
      <c r="H18" s="113">
        <v>823657.03619999997</v>
      </c>
      <c r="I18" s="113">
        <v>863911.20730000001</v>
      </c>
      <c r="J18" s="113">
        <v>948371.73810000008</v>
      </c>
      <c r="K18" s="113">
        <v>870086.49040000001</v>
      </c>
      <c r="L18" s="113">
        <v>828237.32940000005</v>
      </c>
      <c r="M18" s="113">
        <v>728226.36450000003</v>
      </c>
      <c r="N18" s="113">
        <v>620794.43210000009</v>
      </c>
    </row>
    <row r="19" spans="2:14" ht="30" customHeight="1" x14ac:dyDescent="0.2">
      <c r="B19" s="117" t="s">
        <v>177</v>
      </c>
      <c r="C19" s="113">
        <v>629018.45440000005</v>
      </c>
      <c r="D19" s="113">
        <v>609232.05440000002</v>
      </c>
      <c r="E19" s="113">
        <v>564099.54039999994</v>
      </c>
      <c r="F19" s="113">
        <v>625412.74040000001</v>
      </c>
      <c r="G19" s="113">
        <v>591310.6496</v>
      </c>
      <c r="H19" s="113">
        <v>627578.14100000006</v>
      </c>
      <c r="I19" s="113">
        <v>723790.51</v>
      </c>
      <c r="J19" s="113">
        <v>756208.25020000001</v>
      </c>
      <c r="K19" s="113">
        <v>734211.55240000004</v>
      </c>
      <c r="L19" s="113">
        <v>634725.01650000003</v>
      </c>
      <c r="M19" s="113">
        <v>492313.53600000002</v>
      </c>
      <c r="N19" s="113">
        <v>430486.08379999996</v>
      </c>
    </row>
    <row r="20" spans="2:14" ht="32.25" customHeight="1" x14ac:dyDescent="0.2">
      <c r="B20" s="128" t="s">
        <v>178</v>
      </c>
      <c r="C20" s="113">
        <v>417767.50199999998</v>
      </c>
      <c r="D20" s="113">
        <v>437511.45040000003</v>
      </c>
      <c r="E20" s="113">
        <v>422948.91399999999</v>
      </c>
      <c r="F20" s="113">
        <v>483026.4265</v>
      </c>
      <c r="G20" s="113">
        <v>494466.65997999994</v>
      </c>
      <c r="H20" s="113">
        <v>589026.66199500009</v>
      </c>
      <c r="I20" s="113">
        <v>597445.77220000012</v>
      </c>
      <c r="J20" s="73"/>
      <c r="K20" s="73"/>
      <c r="L20" s="73"/>
      <c r="M20" s="73"/>
      <c r="N20" s="73"/>
    </row>
    <row r="26" spans="2:14" ht="16.5" customHeight="1" x14ac:dyDescent="0.2"/>
    <row r="27" spans="2:14" ht="15.75" customHeight="1" x14ac:dyDescent="0.2"/>
  </sheetData>
  <mergeCells count="4">
    <mergeCell ref="C5:N5"/>
    <mergeCell ref="C13:N13"/>
    <mergeCell ref="C8:K8"/>
    <mergeCell ref="C16:K16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26"/>
  <sheetViews>
    <sheetView topLeftCell="D1" zoomScaleNormal="100" workbookViewId="0">
      <selection activeCell="I20" sqref="I20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18" t="s">
        <v>180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1" customHeight="1" x14ac:dyDescent="0.2"/>
    <row r="7" spans="2:14" x14ac:dyDescent="0.2">
      <c r="C7" s="114" t="s">
        <v>162</v>
      </c>
      <c r="D7" s="114" t="s">
        <v>163</v>
      </c>
      <c r="E7" s="114" t="s">
        <v>164</v>
      </c>
      <c r="F7" s="114" t="s">
        <v>165</v>
      </c>
      <c r="G7" s="114" t="s">
        <v>166</v>
      </c>
      <c r="H7" s="114" t="s">
        <v>167</v>
      </c>
      <c r="I7" s="114" t="s">
        <v>168</v>
      </c>
      <c r="J7" s="114" t="s">
        <v>169</v>
      </c>
      <c r="K7" s="114" t="s">
        <v>170</v>
      </c>
      <c r="L7" s="114" t="s">
        <v>171</v>
      </c>
      <c r="M7" s="114" t="s">
        <v>172</v>
      </c>
      <c r="N7" s="114" t="s">
        <v>173</v>
      </c>
    </row>
    <row r="8" spans="2:14" ht="33" customHeight="1" x14ac:dyDescent="0.2">
      <c r="B8" s="115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13"/>
      <c r="M8" s="113">
        <v>3298</v>
      </c>
      <c r="N8" s="113">
        <v>3866</v>
      </c>
    </row>
    <row r="9" spans="2:14" ht="39" customHeight="1" x14ac:dyDescent="0.2">
      <c r="B9" s="116" t="s">
        <v>175</v>
      </c>
      <c r="C9" s="113">
        <v>4094</v>
      </c>
      <c r="D9" s="113">
        <v>3691</v>
      </c>
      <c r="E9" s="113">
        <v>3917</v>
      </c>
      <c r="F9" s="113">
        <v>4785</v>
      </c>
      <c r="G9" s="113">
        <v>5213</v>
      </c>
      <c r="H9" s="113">
        <v>4103</v>
      </c>
      <c r="I9" s="113">
        <v>5622</v>
      </c>
      <c r="J9" s="113">
        <v>6568</v>
      </c>
      <c r="K9" s="113">
        <v>4813</v>
      </c>
      <c r="L9" s="113">
        <v>6088</v>
      </c>
      <c r="M9" s="113">
        <v>4819</v>
      </c>
      <c r="N9" s="113">
        <v>5252</v>
      </c>
    </row>
    <row r="10" spans="2:14" ht="36" customHeight="1" x14ac:dyDescent="0.2">
      <c r="B10" s="122" t="s">
        <v>176</v>
      </c>
      <c r="C10" s="113">
        <v>5132</v>
      </c>
      <c r="D10" s="113">
        <v>4589</v>
      </c>
      <c r="E10" s="113">
        <v>6190</v>
      </c>
      <c r="F10" s="113">
        <v>6170</v>
      </c>
      <c r="G10" s="113">
        <v>5980</v>
      </c>
      <c r="H10" s="113">
        <v>6097.8</v>
      </c>
      <c r="I10" s="113">
        <v>7050</v>
      </c>
      <c r="J10" s="113">
        <v>8050</v>
      </c>
      <c r="K10" s="113">
        <v>6678</v>
      </c>
      <c r="L10" s="113">
        <v>6859</v>
      </c>
      <c r="M10" s="113">
        <v>5960</v>
      </c>
      <c r="N10" s="113">
        <v>5210.0999999999985</v>
      </c>
    </row>
    <row r="11" spans="2:14" ht="36.75" customHeight="1" x14ac:dyDescent="0.2">
      <c r="B11" s="117" t="s">
        <v>177</v>
      </c>
      <c r="C11" s="113">
        <v>5598.9000000000015</v>
      </c>
      <c r="D11" s="113">
        <v>5297</v>
      </c>
      <c r="E11" s="113">
        <v>5857</v>
      </c>
      <c r="F11" s="113">
        <v>6284</v>
      </c>
      <c r="G11" s="113">
        <v>5500</v>
      </c>
      <c r="H11" s="113">
        <v>5583.8000000000029</v>
      </c>
      <c r="I11" s="113">
        <v>6266.8999999999942</v>
      </c>
      <c r="J11" s="113">
        <v>6178.3000000000029</v>
      </c>
      <c r="K11" s="113">
        <v>6144.5</v>
      </c>
      <c r="L11" s="113">
        <v>6117.5</v>
      </c>
      <c r="M11" s="113">
        <v>5023</v>
      </c>
      <c r="N11" s="113">
        <v>4767.8</v>
      </c>
    </row>
    <row r="12" spans="2:14" ht="33.75" customHeight="1" thickBot="1" x14ac:dyDescent="0.25">
      <c r="B12" s="128" t="s">
        <v>178</v>
      </c>
      <c r="C12" s="113">
        <v>5044.8</v>
      </c>
      <c r="D12" s="113">
        <v>5061</v>
      </c>
      <c r="E12" s="113">
        <v>5504</v>
      </c>
      <c r="F12" s="113">
        <v>5372.2999999999993</v>
      </c>
      <c r="G12" s="113">
        <v>4507.2999999999993</v>
      </c>
      <c r="H12" s="113">
        <v>5269.2000000000044</v>
      </c>
      <c r="I12" s="113">
        <v>5509.1999999999971</v>
      </c>
      <c r="J12" s="113"/>
      <c r="K12" s="113"/>
      <c r="L12" s="113"/>
      <c r="M12" s="113"/>
      <c r="N12" s="113"/>
    </row>
    <row r="13" spans="2:14" ht="21" thickBot="1" x14ac:dyDescent="0.35">
      <c r="C13" s="418" t="s">
        <v>181</v>
      </c>
      <c r="D13" s="427"/>
      <c r="E13" s="427"/>
      <c r="F13" s="427"/>
      <c r="G13" s="427"/>
      <c r="H13" s="427"/>
      <c r="I13" s="427"/>
      <c r="J13" s="427"/>
      <c r="K13" s="427"/>
      <c r="L13" s="427"/>
      <c r="M13" s="427"/>
      <c r="N13" s="428"/>
    </row>
    <row r="15" spans="2:14" ht="18" customHeight="1" x14ac:dyDescent="0.2">
      <c r="C15" s="114" t="s">
        <v>162</v>
      </c>
      <c r="D15" s="114" t="s">
        <v>163</v>
      </c>
      <c r="E15" s="114" t="s">
        <v>164</v>
      </c>
      <c r="F15" s="114" t="s">
        <v>165</v>
      </c>
      <c r="G15" s="114" t="s">
        <v>166</v>
      </c>
      <c r="H15" s="114" t="s">
        <v>167</v>
      </c>
      <c r="I15" s="114" t="s">
        <v>168</v>
      </c>
      <c r="J15" s="114" t="s">
        <v>169</v>
      </c>
      <c r="K15" s="114" t="s">
        <v>170</v>
      </c>
      <c r="L15" s="114" t="s">
        <v>171</v>
      </c>
      <c r="M15" s="114" t="s">
        <v>172</v>
      </c>
      <c r="N15" s="114" t="s">
        <v>173</v>
      </c>
    </row>
    <row r="16" spans="2:14" ht="30" customHeight="1" x14ac:dyDescent="0.2">
      <c r="B16" s="115" t="s">
        <v>174</v>
      </c>
      <c r="C16" s="424"/>
      <c r="D16" s="425"/>
      <c r="E16" s="425"/>
      <c r="F16" s="425"/>
      <c r="G16" s="425"/>
      <c r="H16" s="425"/>
      <c r="I16" s="425"/>
      <c r="J16" s="425"/>
      <c r="K16" s="426"/>
      <c r="L16" s="113"/>
      <c r="M16" s="113">
        <v>43165.84</v>
      </c>
      <c r="N16" s="113">
        <v>50595.28</v>
      </c>
    </row>
    <row r="17" spans="2:15" ht="31.5" customHeight="1" x14ac:dyDescent="0.2">
      <c r="B17" s="116" t="s">
        <v>175</v>
      </c>
      <c r="C17" s="113">
        <v>53565.520000000004</v>
      </c>
      <c r="D17" s="113">
        <v>48294.28</v>
      </c>
      <c r="E17" s="113">
        <v>51250.36</v>
      </c>
      <c r="F17" s="113">
        <v>62603.8</v>
      </c>
      <c r="G17" s="113">
        <v>68202.040000000008</v>
      </c>
      <c r="H17" s="113">
        <v>53683.240000000005</v>
      </c>
      <c r="I17" s="113">
        <v>73551.760000000009</v>
      </c>
      <c r="J17" s="113">
        <v>85925.440000000002</v>
      </c>
      <c r="K17" s="113">
        <v>57158.52</v>
      </c>
      <c r="L17" s="113">
        <v>67234.52</v>
      </c>
      <c r="M17" s="113">
        <v>53224.76</v>
      </c>
      <c r="N17" s="113">
        <v>58005.08</v>
      </c>
    </row>
    <row r="18" spans="2:15" ht="34.5" customHeight="1" x14ac:dyDescent="0.2">
      <c r="B18" s="122" t="s">
        <v>176</v>
      </c>
      <c r="C18" s="113">
        <v>56680.28</v>
      </c>
      <c r="D18" s="113">
        <v>50685.56</v>
      </c>
      <c r="E18" s="113">
        <v>68360.600000000006</v>
      </c>
      <c r="F18" s="113">
        <v>68139.8</v>
      </c>
      <c r="G18" s="113">
        <v>66042.2</v>
      </c>
      <c r="H18" s="113">
        <v>67342.712</v>
      </c>
      <c r="I18" s="113">
        <v>77855</v>
      </c>
      <c r="J18" s="113">
        <v>88895</v>
      </c>
      <c r="K18" s="113">
        <v>73748.12</v>
      </c>
      <c r="L18" s="113">
        <v>75746.36</v>
      </c>
      <c r="M18" s="113">
        <v>65821.399999999994</v>
      </c>
      <c r="N18" s="113">
        <v>57542.503999999986</v>
      </c>
    </row>
    <row r="19" spans="2:15" ht="36" customHeight="1" x14ac:dyDescent="0.2">
      <c r="B19" s="117" t="s">
        <v>177</v>
      </c>
      <c r="C19" s="113">
        <v>61834.856000000014</v>
      </c>
      <c r="D19" s="113">
        <v>58501.880000000005</v>
      </c>
      <c r="E19" s="113">
        <v>64684.28</v>
      </c>
      <c r="F19" s="113">
        <v>69398.36</v>
      </c>
      <c r="G19" s="113">
        <v>60743</v>
      </c>
      <c r="H19" s="113">
        <v>61668.152000000031</v>
      </c>
      <c r="I19" s="113">
        <v>69209.575999999943</v>
      </c>
      <c r="J19" s="113">
        <v>68231.43200000003</v>
      </c>
      <c r="K19" s="113">
        <v>67858.28</v>
      </c>
      <c r="L19" s="113">
        <v>67560.2</v>
      </c>
      <c r="M19" s="113">
        <v>55476.92</v>
      </c>
      <c r="N19" s="113">
        <v>52659.512000000002</v>
      </c>
    </row>
    <row r="20" spans="2:15" ht="32.25" customHeight="1" x14ac:dyDescent="0.2">
      <c r="B20" s="128" t="s">
        <v>178</v>
      </c>
      <c r="C20" s="113">
        <v>55717.592000000004</v>
      </c>
      <c r="D20" s="113">
        <v>57718.399999999994</v>
      </c>
      <c r="E20" s="113">
        <v>62768.599999999991</v>
      </c>
      <c r="F20" s="113">
        <v>61267.219999999987</v>
      </c>
      <c r="G20" s="113">
        <v>51406.219999999987</v>
      </c>
      <c r="H20" s="113">
        <v>60091.880000000041</v>
      </c>
      <c r="I20" s="113">
        <v>62827.879999999961</v>
      </c>
      <c r="J20" s="113"/>
      <c r="K20" s="113"/>
      <c r="L20" s="113"/>
      <c r="M20" s="113"/>
      <c r="N20" s="113"/>
    </row>
    <row r="25" spans="2:15" ht="16.5" customHeight="1" x14ac:dyDescent="0.2">
      <c r="O25" t="s">
        <v>18</v>
      </c>
    </row>
    <row r="26" spans="2:15" ht="15.75" customHeight="1" x14ac:dyDescent="0.2"/>
  </sheetData>
  <mergeCells count="4">
    <mergeCell ref="C5:N5"/>
    <mergeCell ref="C8:K8"/>
    <mergeCell ref="C13:N13"/>
    <mergeCell ref="C16:K16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26"/>
  <sheetViews>
    <sheetView topLeftCell="A7" zoomScaleNormal="100" workbookViewId="0">
      <selection activeCell="I20" sqref="I20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18" t="s">
        <v>182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6" spans="2:14" ht="23.25" customHeight="1" x14ac:dyDescent="0.2"/>
    <row r="7" spans="2:14" x14ac:dyDescent="0.2">
      <c r="C7" s="114" t="s">
        <v>162</v>
      </c>
      <c r="D7" s="114" t="s">
        <v>163</v>
      </c>
      <c r="E7" s="114" t="s">
        <v>164</v>
      </c>
      <c r="F7" s="114" t="s">
        <v>165</v>
      </c>
      <c r="G7" s="114" t="s">
        <v>166</v>
      </c>
      <c r="H7" s="114" t="s">
        <v>167</v>
      </c>
      <c r="I7" s="114" t="s">
        <v>168</v>
      </c>
      <c r="J7" s="114" t="s">
        <v>169</v>
      </c>
      <c r="K7" s="114" t="s">
        <v>170</v>
      </c>
      <c r="L7" s="114" t="s">
        <v>171</v>
      </c>
      <c r="M7" s="114" t="s">
        <v>172</v>
      </c>
      <c r="N7" s="114" t="s">
        <v>173</v>
      </c>
    </row>
    <row r="8" spans="2:14" ht="33.75" customHeight="1" x14ac:dyDescent="0.2">
      <c r="B8" s="115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13">
        <v>19365</v>
      </c>
      <c r="M8" s="113">
        <v>21235</v>
      </c>
      <c r="N8" s="113">
        <v>34053</v>
      </c>
    </row>
    <row r="9" spans="2:14" ht="35.25" customHeight="1" x14ac:dyDescent="0.2">
      <c r="B9" s="116" t="s">
        <v>175</v>
      </c>
      <c r="C9" s="113">
        <v>23598</v>
      </c>
      <c r="D9" s="113">
        <v>28302</v>
      </c>
      <c r="E9" s="113">
        <v>23000</v>
      </c>
      <c r="F9" s="113">
        <v>28601</v>
      </c>
      <c r="G9" s="113">
        <v>24612</v>
      </c>
      <c r="H9" s="113">
        <v>16695</v>
      </c>
      <c r="I9" s="113">
        <v>10756</v>
      </c>
      <c r="J9" s="113">
        <v>14749</v>
      </c>
      <c r="K9" s="113">
        <v>18297</v>
      </c>
      <c r="L9" s="113">
        <v>20801</v>
      </c>
      <c r="M9" s="113">
        <v>22927</v>
      </c>
      <c r="N9" s="113">
        <v>38265</v>
      </c>
    </row>
    <row r="10" spans="2:14" ht="32.25" customHeight="1" x14ac:dyDescent="0.2">
      <c r="B10" s="122" t="s">
        <v>176</v>
      </c>
      <c r="C10" s="113">
        <v>39843</v>
      </c>
      <c r="D10" s="113">
        <v>27644</v>
      </c>
      <c r="E10" s="113">
        <v>31207</v>
      </c>
      <c r="F10" s="113">
        <v>34231</v>
      </c>
      <c r="G10" s="113">
        <v>21149.420000000002</v>
      </c>
      <c r="H10" s="113">
        <v>19502</v>
      </c>
      <c r="I10" s="113">
        <v>22293</v>
      </c>
      <c r="J10" s="113">
        <v>21244</v>
      </c>
      <c r="K10" s="113">
        <v>20201</v>
      </c>
      <c r="L10" s="113">
        <v>21000</v>
      </c>
      <c r="M10" s="113">
        <v>30135</v>
      </c>
      <c r="N10" s="113">
        <v>28841</v>
      </c>
    </row>
    <row r="11" spans="2:14" ht="34.5" customHeight="1" x14ac:dyDescent="0.2">
      <c r="B11" s="117" t="s">
        <v>177</v>
      </c>
      <c r="C11" s="113">
        <v>33210.620000000003</v>
      </c>
      <c r="D11" s="113">
        <v>27328.669000000002</v>
      </c>
      <c r="E11" s="113">
        <v>22296.292000000001</v>
      </c>
      <c r="F11" s="113">
        <v>18205.006000000001</v>
      </c>
      <c r="G11" s="113">
        <v>16641.811000000002</v>
      </c>
      <c r="H11" s="113">
        <v>17087.758000000002</v>
      </c>
      <c r="I11" s="113">
        <v>13220.239000000001</v>
      </c>
      <c r="J11" s="113">
        <v>15457.909000000001</v>
      </c>
      <c r="K11" s="113">
        <v>10651.944000000001</v>
      </c>
      <c r="L11" s="113">
        <v>13951.846000000001</v>
      </c>
      <c r="M11" s="113">
        <v>24676.263000000003</v>
      </c>
      <c r="N11" s="113">
        <v>21781.575000000001</v>
      </c>
    </row>
    <row r="12" spans="2:14" ht="36.75" customHeight="1" thickBot="1" x14ac:dyDescent="0.25">
      <c r="B12" s="128" t="s">
        <v>178</v>
      </c>
      <c r="C12" s="113">
        <v>26669.535</v>
      </c>
      <c r="D12" s="113">
        <v>26601.294000000002</v>
      </c>
      <c r="E12" s="113">
        <v>23114.126</v>
      </c>
      <c r="F12" s="113">
        <v>20873.811000000002</v>
      </c>
      <c r="G12" s="113">
        <v>14596.168000000001</v>
      </c>
      <c r="H12" s="113">
        <v>10659.35</v>
      </c>
      <c r="I12" s="113">
        <v>18584.299000000003</v>
      </c>
      <c r="J12" s="113"/>
      <c r="K12" s="113"/>
      <c r="L12" s="113"/>
      <c r="M12" s="113"/>
      <c r="N12" s="113"/>
    </row>
    <row r="13" spans="2:14" ht="21" thickBot="1" x14ac:dyDescent="0.35">
      <c r="C13" s="418" t="s">
        <v>183</v>
      </c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420"/>
    </row>
    <row r="15" spans="2:14" ht="17.25" customHeight="1" x14ac:dyDescent="0.2">
      <c r="C15" s="114" t="s">
        <v>162</v>
      </c>
      <c r="D15" s="114" t="s">
        <v>163</v>
      </c>
      <c r="E15" s="114" t="s">
        <v>164</v>
      </c>
      <c r="F15" s="114" t="s">
        <v>165</v>
      </c>
      <c r="G15" s="114" t="s">
        <v>166</v>
      </c>
      <c r="H15" s="114" t="s">
        <v>167</v>
      </c>
      <c r="I15" s="114" t="s">
        <v>168</v>
      </c>
      <c r="J15" s="114" t="s">
        <v>169</v>
      </c>
      <c r="K15" s="114" t="s">
        <v>170</v>
      </c>
      <c r="L15" s="114" t="s">
        <v>171</v>
      </c>
      <c r="M15" s="114" t="s">
        <v>172</v>
      </c>
      <c r="N15" s="114" t="s">
        <v>173</v>
      </c>
    </row>
    <row r="16" spans="2:14" ht="30" customHeight="1" x14ac:dyDescent="0.2">
      <c r="B16" s="115" t="s">
        <v>174</v>
      </c>
      <c r="C16" s="424"/>
      <c r="D16" s="425"/>
      <c r="E16" s="425"/>
      <c r="F16" s="425"/>
      <c r="G16" s="425"/>
      <c r="H16" s="425"/>
      <c r="I16" s="425"/>
      <c r="J16" s="425"/>
      <c r="K16" s="426"/>
      <c r="L16" s="113">
        <v>222503.85</v>
      </c>
      <c r="M16" s="113">
        <v>248385.8</v>
      </c>
      <c r="N16" s="113">
        <v>412790.47</v>
      </c>
    </row>
    <row r="17" spans="2:14" ht="30" customHeight="1" x14ac:dyDescent="0.2">
      <c r="B17" s="116" t="s">
        <v>175</v>
      </c>
      <c r="C17" s="113">
        <v>281335.36</v>
      </c>
      <c r="D17" s="113">
        <v>329491.88</v>
      </c>
      <c r="E17" s="118">
        <v>263166</v>
      </c>
      <c r="F17" s="113">
        <v>334402.89</v>
      </c>
      <c r="G17" s="113">
        <v>287763.5</v>
      </c>
      <c r="H17" s="113">
        <v>200206.44</v>
      </c>
      <c r="I17" s="113">
        <v>128985.95</v>
      </c>
      <c r="J17" s="113">
        <v>174687.16</v>
      </c>
      <c r="K17" s="113">
        <v>221708.41</v>
      </c>
      <c r="L17" s="113">
        <v>257125.33</v>
      </c>
      <c r="M17" s="113">
        <v>290283.33</v>
      </c>
      <c r="N17" s="113">
        <v>491751.17</v>
      </c>
    </row>
    <row r="18" spans="2:14" ht="38.25" customHeight="1" x14ac:dyDescent="0.2">
      <c r="B18" s="122" t="s">
        <v>176</v>
      </c>
      <c r="C18" s="113">
        <v>534222.91</v>
      </c>
      <c r="D18" s="113">
        <v>397841.39</v>
      </c>
      <c r="E18" s="118">
        <v>463317.85</v>
      </c>
      <c r="F18" s="113">
        <v>473982.96</v>
      </c>
      <c r="G18" s="113">
        <v>288617.67497200001</v>
      </c>
      <c r="H18" s="113">
        <v>262138.08</v>
      </c>
      <c r="I18" s="113">
        <v>290959.32</v>
      </c>
      <c r="J18" s="113">
        <v>277268.19</v>
      </c>
      <c r="K18" s="113">
        <v>269109.64</v>
      </c>
      <c r="L18" s="113">
        <v>279753.59999999998</v>
      </c>
      <c r="M18" s="113">
        <v>411233.26</v>
      </c>
      <c r="N18" s="113">
        <v>393575.4632766</v>
      </c>
    </row>
    <row r="19" spans="2:14" ht="36" customHeight="1" x14ac:dyDescent="0.2">
      <c r="B19" s="117" t="s">
        <v>177</v>
      </c>
      <c r="C19" s="113">
        <v>433913.35561000003</v>
      </c>
      <c r="D19" s="113">
        <v>365261.32551950007</v>
      </c>
      <c r="E19" s="113">
        <v>291312.20312600001</v>
      </c>
      <c r="F19" s="113">
        <v>213834.17997540004</v>
      </c>
      <c r="G19" s="113">
        <v>197886.11041990001</v>
      </c>
      <c r="H19" s="113">
        <v>143537.16720000003</v>
      </c>
      <c r="I19" s="113">
        <v>111050.00760000001</v>
      </c>
      <c r="J19" s="113">
        <v>129846.43560000001</v>
      </c>
      <c r="K19" s="113">
        <v>97997.8848</v>
      </c>
      <c r="L19" s="113">
        <v>117195.50640000001</v>
      </c>
      <c r="M19" s="113">
        <v>207280.60920000004</v>
      </c>
      <c r="N19" s="113">
        <v>182965.23</v>
      </c>
    </row>
    <row r="20" spans="2:14" ht="36.75" customHeight="1" x14ac:dyDescent="0.2">
      <c r="B20" s="128" t="s">
        <v>178</v>
      </c>
      <c r="C20" s="113">
        <v>224024.09400000001</v>
      </c>
      <c r="D20" s="113">
        <v>223450.86960000003</v>
      </c>
      <c r="E20" s="113">
        <v>209182.84030000001</v>
      </c>
      <c r="F20" s="113">
        <v>188907.98955000003</v>
      </c>
      <c r="G20" s="113">
        <v>129176.0868</v>
      </c>
      <c r="H20" s="113">
        <v>94335.247499999998</v>
      </c>
      <c r="I20" s="113">
        <v>144957.53220000002</v>
      </c>
      <c r="J20" s="113"/>
      <c r="K20" s="113"/>
      <c r="L20" s="113"/>
      <c r="M20" s="113"/>
      <c r="N20" s="113"/>
    </row>
    <row r="25" spans="2:14" ht="16.5" customHeight="1" x14ac:dyDescent="0.2"/>
    <row r="26" spans="2:14" ht="15.75" customHeight="1" x14ac:dyDescent="0.2"/>
  </sheetData>
  <mergeCells count="4">
    <mergeCell ref="C5:N5"/>
    <mergeCell ref="C8:K8"/>
    <mergeCell ref="C13:N13"/>
    <mergeCell ref="C16:K16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185B7B-A093-4719-B15D-01409D1632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33799c-050f-4d59-acb6-f8e1ac289174"/>
    <ds:schemaRef ds:uri="1a260a97-1a1d-4976-a872-bec7d3026b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33851F-8448-4EB3-A2A7-023AC2E3B1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Suvi Gaz</vt:lpstr>
      <vt:lpstr>Suivi EAU-ELEC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2023-02-27T17:41:35Z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