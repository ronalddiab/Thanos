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V19" i="7"/>
  <c r="AW19" i="7" s="1"/>
  <c r="AP19" i="7"/>
  <c r="AO19" i="7"/>
  <c r="AL19" i="7"/>
  <c r="AK19" i="7"/>
  <c r="AH19" i="7"/>
  <c r="AG19" i="7"/>
  <c r="AC19" i="7"/>
  <c r="AB19" i="7"/>
  <c r="AQ19" i="7" s="1"/>
  <c r="AA19" i="7"/>
  <c r="Z19" i="7"/>
  <c r="Y19" i="7"/>
  <c r="X19" i="7"/>
  <c r="AM19" i="7" s="1"/>
  <c r="W19" i="7"/>
  <c r="V19" i="7"/>
  <c r="U19" i="7"/>
  <c r="T19" i="7"/>
  <c r="AI19" i="7" s="1"/>
  <c r="S19" i="7"/>
  <c r="R19" i="7"/>
  <c r="Q19" i="7"/>
  <c r="AV18" i="7"/>
  <c r="AW18" i="7" s="1"/>
  <c r="AR18" i="7"/>
  <c r="AQ18" i="7"/>
  <c r="AN18" i="7"/>
  <c r="AM18" i="7"/>
  <c r="AJ18" i="7"/>
  <c r="AI18" i="7"/>
  <c r="AF18" i="7"/>
  <c r="AC18" i="7"/>
  <c r="AB18" i="7"/>
  <c r="AA18" i="7"/>
  <c r="AP18" i="7" s="1"/>
  <c r="Z18" i="7"/>
  <c r="AO18" i="7" s="1"/>
  <c r="Y18" i="7"/>
  <c r="X18" i="7"/>
  <c r="W18" i="7"/>
  <c r="AL18" i="7" s="1"/>
  <c r="V18" i="7"/>
  <c r="AK18" i="7" s="1"/>
  <c r="U18" i="7"/>
  <c r="T18" i="7"/>
  <c r="S18" i="7"/>
  <c r="AH18" i="7" s="1"/>
  <c r="R18" i="7"/>
  <c r="AG18" i="7" s="1"/>
  <c r="Q18" i="7"/>
  <c r="AW17" i="7"/>
  <c r="AV17" i="7"/>
  <c r="AP17" i="7"/>
  <c r="AO17" i="7"/>
  <c r="AL17" i="7"/>
  <c r="AK17" i="7"/>
  <c r="AH17" i="7"/>
  <c r="AG17" i="7"/>
  <c r="AC17" i="7"/>
  <c r="AB17" i="7"/>
  <c r="AQ17" i="7" s="1"/>
  <c r="AA17" i="7"/>
  <c r="Z17" i="7"/>
  <c r="Y17" i="7"/>
  <c r="X17" i="7"/>
  <c r="AM17" i="7" s="1"/>
  <c r="W17" i="7"/>
  <c r="V17" i="7"/>
  <c r="U17" i="7"/>
  <c r="T17" i="7"/>
  <c r="AI17" i="7" s="1"/>
  <c r="S17" i="7"/>
  <c r="R17" i="7"/>
  <c r="Q17" i="7"/>
  <c r="AV16" i="7"/>
  <c r="AW16" i="7" s="1"/>
  <c r="AR16" i="7"/>
  <c r="AQ16" i="7"/>
  <c r="AN16" i="7"/>
  <c r="AM16" i="7"/>
  <c r="AJ16" i="7"/>
  <c r="AI16" i="7"/>
  <c r="AF16" i="7"/>
  <c r="AS16" i="7" s="1"/>
  <c r="AC16" i="7"/>
  <c r="AB16" i="7"/>
  <c r="AA16" i="7"/>
  <c r="AP16" i="7" s="1"/>
  <c r="Z16" i="7"/>
  <c r="AO16" i="7" s="1"/>
  <c r="Y16" i="7"/>
  <c r="X16" i="7"/>
  <c r="W16" i="7"/>
  <c r="AL16" i="7" s="1"/>
  <c r="V16" i="7"/>
  <c r="AK16" i="7" s="1"/>
  <c r="U16" i="7"/>
  <c r="T16" i="7"/>
  <c r="S16" i="7"/>
  <c r="AH16" i="7" s="1"/>
  <c r="R16" i="7"/>
  <c r="AG16" i="7" s="1"/>
  <c r="Q16" i="7"/>
  <c r="AV15" i="7"/>
  <c r="AW15" i="7" s="1"/>
  <c r="AP15" i="7"/>
  <c r="AO15" i="7"/>
  <c r="AL15" i="7"/>
  <c r="AK15" i="7"/>
  <c r="AH15" i="7"/>
  <c r="AG15" i="7"/>
  <c r="AC15" i="7"/>
  <c r="AB15" i="7"/>
  <c r="AQ15" i="7" s="1"/>
  <c r="AA15" i="7"/>
  <c r="Z15" i="7"/>
  <c r="Y15" i="7"/>
  <c r="X15" i="7"/>
  <c r="AM15" i="7" s="1"/>
  <c r="W15" i="7"/>
  <c r="V15" i="7"/>
  <c r="U15" i="7"/>
  <c r="T15" i="7"/>
  <c r="AI15" i="7" s="1"/>
  <c r="S15" i="7"/>
  <c r="R15" i="7"/>
  <c r="Q15" i="7"/>
  <c r="AW14" i="7"/>
  <c r="AV14" i="7"/>
  <c r="AR14" i="7"/>
  <c r="AQ14" i="7"/>
  <c r="AN14" i="7"/>
  <c r="AM14" i="7"/>
  <c r="AJ14" i="7"/>
  <c r="AI14" i="7"/>
  <c r="AF14" i="7"/>
  <c r="AC14" i="7"/>
  <c r="AB14" i="7"/>
  <c r="AA14" i="7"/>
  <c r="AP14" i="7" s="1"/>
  <c r="Z14" i="7"/>
  <c r="AO14" i="7" s="1"/>
  <c r="Y14" i="7"/>
  <c r="X14" i="7"/>
  <c r="W14" i="7"/>
  <c r="AL14" i="7" s="1"/>
  <c r="V14" i="7"/>
  <c r="AK14" i="7" s="1"/>
  <c r="U14" i="7"/>
  <c r="T14" i="7"/>
  <c r="S14" i="7"/>
  <c r="AH14" i="7" s="1"/>
  <c r="R14" i="7"/>
  <c r="AG14" i="7" s="1"/>
  <c r="Q14" i="7"/>
  <c r="AV13" i="7"/>
  <c r="AW13" i="7" s="1"/>
  <c r="AP13" i="7"/>
  <c r="AO13" i="7"/>
  <c r="AL13" i="7"/>
  <c r="AK13" i="7"/>
  <c r="AH13" i="7"/>
  <c r="AG13" i="7"/>
  <c r="AC13" i="7"/>
  <c r="AR13" i="7" s="1"/>
  <c r="AB13" i="7"/>
  <c r="AQ13" i="7" s="1"/>
  <c r="AA13" i="7"/>
  <c r="Z13" i="7"/>
  <c r="Y13" i="7"/>
  <c r="AN13" i="7" s="1"/>
  <c r="X13" i="7"/>
  <c r="AM13" i="7" s="1"/>
  <c r="W13" i="7"/>
  <c r="V13" i="7"/>
  <c r="U13" i="7"/>
  <c r="AJ13" i="7" s="1"/>
  <c r="T13" i="7"/>
  <c r="AI13" i="7" s="1"/>
  <c r="S13" i="7"/>
  <c r="R13" i="7"/>
  <c r="Q13" i="7"/>
  <c r="AV12" i="7"/>
  <c r="R7" i="9" s="1"/>
  <c r="G7" i="5" s="1"/>
  <c r="AR12" i="7"/>
  <c r="AQ12" i="7"/>
  <c r="AN12" i="7"/>
  <c r="AM12" i="7"/>
  <c r="AJ12" i="7"/>
  <c r="AI12" i="7"/>
  <c r="AF12" i="7"/>
  <c r="AC12" i="7"/>
  <c r="AB12" i="7"/>
  <c r="AA12" i="7"/>
  <c r="AP12" i="7" s="1"/>
  <c r="Z12" i="7"/>
  <c r="AO12" i="7" s="1"/>
  <c r="Y12" i="7"/>
  <c r="X12" i="7"/>
  <c r="W12" i="7"/>
  <c r="AL12" i="7" s="1"/>
  <c r="V12" i="7"/>
  <c r="AK12" i="7" s="1"/>
  <c r="U12" i="7"/>
  <c r="T12" i="7"/>
  <c r="S12" i="7"/>
  <c r="AH12" i="7" s="1"/>
  <c r="R12" i="7"/>
  <c r="AG12" i="7" s="1"/>
  <c r="Q12" i="7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G14" i="5" s="1"/>
  <c r="P14" i="9"/>
  <c r="O14" i="9"/>
  <c r="N14" i="9"/>
  <c r="L14" i="9"/>
  <c r="K14" i="9"/>
  <c r="J14" i="9"/>
  <c r="G14" i="9"/>
  <c r="F14" i="9"/>
  <c r="B14" i="9"/>
  <c r="S13" i="9"/>
  <c r="Q13" i="9"/>
  <c r="P13" i="9"/>
  <c r="N13" i="9"/>
  <c r="M13" i="9"/>
  <c r="L13" i="9"/>
  <c r="J13" i="9"/>
  <c r="I13" i="9"/>
  <c r="H13" i="9"/>
  <c r="F13" i="9"/>
  <c r="E13" i="9"/>
  <c r="B13" i="9"/>
  <c r="S12" i="9"/>
  <c r="R12" i="9"/>
  <c r="P12" i="9"/>
  <c r="O12" i="9"/>
  <c r="N12" i="9"/>
  <c r="L12" i="9"/>
  <c r="K12" i="9"/>
  <c r="J12" i="9"/>
  <c r="H12" i="9"/>
  <c r="G12" i="9"/>
  <c r="F12" i="9"/>
  <c r="B12" i="9"/>
  <c r="S11" i="9"/>
  <c r="R11" i="9"/>
  <c r="G11" i="5" s="1"/>
  <c r="Q11" i="9"/>
  <c r="P11" i="9"/>
  <c r="N11" i="9"/>
  <c r="M11" i="9"/>
  <c r="L11" i="9"/>
  <c r="J11" i="9"/>
  <c r="I11" i="9"/>
  <c r="H11" i="9"/>
  <c r="F11" i="9"/>
  <c r="E11" i="9"/>
  <c r="B11" i="9"/>
  <c r="S10" i="9"/>
  <c r="R10" i="9"/>
  <c r="G10" i="5" s="1"/>
  <c r="P10" i="9"/>
  <c r="O10" i="9"/>
  <c r="N10" i="9"/>
  <c r="L10" i="9"/>
  <c r="K10" i="9"/>
  <c r="J10" i="9"/>
  <c r="H10" i="9"/>
  <c r="G10" i="9"/>
  <c r="F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O8" i="9"/>
  <c r="N8" i="9"/>
  <c r="M8" i="9"/>
  <c r="K8" i="9"/>
  <c r="J8" i="9"/>
  <c r="I8" i="9"/>
  <c r="G8" i="9"/>
  <c r="F8" i="9"/>
  <c r="E8" i="9"/>
  <c r="B8" i="9"/>
  <c r="S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G6" i="5" s="1"/>
  <c r="Q6" i="9"/>
  <c r="O6" i="9"/>
  <c r="M6" i="9"/>
  <c r="J6" i="9"/>
  <c r="I6" i="9"/>
  <c r="G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G12" i="5"/>
  <c r="B12" i="5"/>
  <c r="I11" i="5"/>
  <c r="B11" i="5"/>
  <c r="I10" i="5"/>
  <c r="B10" i="5"/>
  <c r="I9" i="5"/>
  <c r="G9" i="5"/>
  <c r="E9" i="5"/>
  <c r="B9" i="5"/>
  <c r="I8" i="5"/>
  <c r="G8" i="5"/>
  <c r="B8" i="5"/>
  <c r="I7" i="5"/>
  <c r="E7" i="5"/>
  <c r="B7" i="5"/>
  <c r="I6" i="5"/>
  <c r="B6" i="5"/>
  <c r="I5" i="5"/>
  <c r="B5" i="5"/>
  <c r="I4" i="5"/>
  <c r="B4" i="5"/>
  <c r="I3" i="5"/>
  <c r="B3" i="5"/>
  <c r="I2" i="5"/>
  <c r="Q5" i="9" l="1"/>
  <c r="AO11" i="7"/>
  <c r="H5" i="9"/>
  <c r="AG11" i="7"/>
  <c r="Q4" i="9"/>
  <c r="AQ10" i="7"/>
  <c r="O4" i="9"/>
  <c r="M4" i="9"/>
  <c r="L5" i="9"/>
  <c r="AW9" i="7"/>
  <c r="AW38" i="7" s="1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E12" i="5" s="1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S12" i="7"/>
  <c r="AD14" i="7"/>
  <c r="AF19" i="7"/>
  <c r="AS19" i="7" s="1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W38" i="7"/>
  <c r="AK21" i="7"/>
  <c r="AS21" i="7" s="1"/>
  <c r="AD21" i="7"/>
  <c r="V38" i="7"/>
  <c r="E4" i="5" l="1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<sst xmlns="http://schemas.openxmlformats.org/spreadsheetml/2006/main" count="128" uniqueCount="49">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</sst>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L27" sqref="AL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44141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44142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44143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44144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44145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44146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44147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44148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44149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2000</v>
      </c>
      <c r="R38" s="30">
        <f t="shared" si="38"/>
        <v>59270</v>
      </c>
      <c r="S38" s="30">
        <f t="shared" si="38"/>
        <v>260</v>
      </c>
      <c r="T38" s="30">
        <f t="shared" si="38"/>
        <v>6020</v>
      </c>
      <c r="U38" s="30">
        <f t="shared" si="38"/>
        <v>17830</v>
      </c>
      <c r="V38" s="30">
        <f t="shared" si="38"/>
        <v>12968</v>
      </c>
      <c r="W38" s="30">
        <f t="shared" si="38"/>
        <v>9530</v>
      </c>
      <c r="X38" s="30">
        <f t="shared" si="38"/>
        <v>14680</v>
      </c>
      <c r="Y38" s="30">
        <f t="shared" si="38"/>
        <v>21430</v>
      </c>
      <c r="Z38" s="30">
        <f t="shared" si="38"/>
        <v>9940</v>
      </c>
      <c r="AA38" s="30">
        <f t="shared" si="38"/>
        <v>12700</v>
      </c>
      <c r="AB38" s="30">
        <f t="shared" si="38"/>
        <v>27690</v>
      </c>
      <c r="AC38" s="30">
        <f t="shared" si="38"/>
        <v>40190</v>
      </c>
      <c r="AD38" s="35">
        <f t="shared" si="38"/>
        <v>234508</v>
      </c>
      <c r="AF38" s="35">
        <f t="shared" ref="AF38:AS38" si="39">SUM(AF7:AF34)</f>
        <v>10</v>
      </c>
      <c r="AG38" s="35">
        <f t="shared" si="39"/>
        <v>296.35000000000002</v>
      </c>
      <c r="AH38" s="35">
        <f t="shared" si="39"/>
        <v>1.3</v>
      </c>
      <c r="AI38" s="35">
        <f t="shared" si="39"/>
        <v>30.1</v>
      </c>
      <c r="AJ38" s="35">
        <f t="shared" si="39"/>
        <v>89.15</v>
      </c>
      <c r="AK38" s="35">
        <f t="shared" si="39"/>
        <v>64.84</v>
      </c>
      <c r="AL38" s="35">
        <f t="shared" si="39"/>
        <v>47.650000000000006</v>
      </c>
      <c r="AM38" s="35">
        <f t="shared" si="39"/>
        <v>73.400000000000006</v>
      </c>
      <c r="AN38" s="35">
        <f t="shared" si="39"/>
        <v>107.15</v>
      </c>
      <c r="AO38" s="35">
        <f t="shared" si="39"/>
        <v>49.7</v>
      </c>
      <c r="AP38" s="35">
        <f t="shared" si="39"/>
        <v>63.5</v>
      </c>
      <c r="AQ38" s="35">
        <f t="shared" si="39"/>
        <v>138.44999999999999</v>
      </c>
      <c r="AR38" s="35">
        <f t="shared" si="39"/>
        <v>200.95000000000002</v>
      </c>
      <c r="AS38" s="35">
        <f t="shared" si="39"/>
        <v>1172.54</v>
      </c>
      <c r="AU38" s="48"/>
      <c r="AV38" s="35">
        <f>SUM(AV7:AV34)</f>
        <v>7558</v>
      </c>
      <c r="AW38" s="35">
        <f>SUM(AW7:AW34)</f>
        <v>7.3360000000000003</v>
      </c>
    </row>
    <row r="39" spans="1:49" x14ac:dyDescent="0.25">
      <c r="D39">
        <v>5.0000000000000001E-3</v>
      </c>
      <c r="AV39" s="36">
        <f>AV38*0.00378541*1000</f>
        <v>28610.128779999999</v>
      </c>
    </row>
    <row r="40" spans="1:49" x14ac:dyDescent="0.25">
      <c r="D40">
        <v>2E-3</v>
      </c>
      <c r="AV40">
        <f>AV39/31</f>
        <v>922.90737999999999</v>
      </c>
    </row>
    <row r="41" spans="1:49" x14ac:dyDescent="0.25">
      <c r="AV41">
        <f>AV38*0.00378541</f>
        <v>28.61012878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2020-11-05T06:23:02Z</dcterms:modified>
</cp:coreProperties>
</file>