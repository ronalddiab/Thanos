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4873B404-5262-4F73-8C05-43ED4ADCD0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2" i="12" l="1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2" i="1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I32" i="13"/>
  <c r="K22" i="6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K32" i="9"/>
  <c r="K34" i="6"/>
  <c r="H34" i="6"/>
  <c r="AN29" i="12"/>
  <c r="K32" i="6"/>
  <c r="H32" i="6"/>
  <c r="K33" i="6"/>
  <c r="AM26" i="12"/>
  <c r="K31" i="6"/>
  <c r="BB37" i="1"/>
  <c r="BB38" i="1" s="1"/>
  <c r="C32" i="9"/>
  <c r="U37" i="1"/>
  <c r="U38" i="1" s="1"/>
  <c r="K32" i="1"/>
  <c r="G28" i="12" s="1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C23" i="9"/>
  <c r="AG2" i="12"/>
  <c r="N4" i="12"/>
  <c r="AR37" i="1"/>
  <c r="AR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X23" i="2"/>
  <c r="Y23" i="2" s="1"/>
  <c r="BP21" i="9" s="1"/>
  <c r="BN21" i="9"/>
  <c r="Q23" i="2"/>
  <c r="X21" i="9" s="1"/>
  <c r="BM21" i="9"/>
  <c r="BS24" i="1"/>
  <c r="AC20" i="12"/>
  <c r="Q19" i="2"/>
  <c r="X17" i="9" s="1"/>
  <c r="BM17" i="9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S35" i="1"/>
  <c r="BX35" i="1" s="1"/>
  <c r="I37" i="4"/>
  <c r="I35" i="4"/>
  <c r="I38" i="4"/>
  <c r="BN6" i="9"/>
  <c r="Q8" i="2"/>
  <c r="X6" i="9" s="1"/>
  <c r="P6" i="9"/>
  <c r="X35" i="2"/>
  <c r="Q35" i="2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BN30" i="9"/>
  <c r="P30" i="9"/>
  <c r="BM30" i="9"/>
  <c r="X32" i="2"/>
  <c r="Q32" i="2"/>
  <c r="X30" i="9" s="1"/>
  <c r="X34" i="2"/>
  <c r="BM32" i="9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2" i="4"/>
  <c r="I14" i="4"/>
  <c r="I24" i="4"/>
  <c r="I13" i="4"/>
  <c r="I23" i="4"/>
  <c r="I25" i="4"/>
  <c r="J34" i="4"/>
  <c r="J35" i="4"/>
  <c r="I33" i="9"/>
  <c r="C39" i="2"/>
  <c r="I34" i="9" s="1"/>
  <c r="X36" i="2"/>
  <c r="P13" i="9"/>
  <c r="Q30" i="2"/>
  <c r="X28" i="9" s="1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BM19" i="9"/>
  <c r="P15" i="9"/>
  <c r="BM15" i="9"/>
  <c r="Q17" i="2"/>
  <c r="X15" i="9" s="1"/>
  <c r="BN15" i="9"/>
  <c r="X17" i="2"/>
  <c r="P7" i="9"/>
  <c r="X9" i="2"/>
  <c r="Q9" i="2"/>
  <c r="X7" i="9" s="1"/>
  <c r="BN7" i="9"/>
  <c r="BM7" i="9"/>
  <c r="H38" i="2"/>
  <c r="C27" i="7" s="1"/>
  <c r="X11" i="2"/>
  <c r="P9" i="9"/>
  <c r="Q11" i="2"/>
  <c r="X9" i="9" s="1"/>
  <c r="X14" i="2"/>
  <c r="P12" i="9"/>
  <c r="Q14" i="2"/>
  <c r="X12" i="9" s="1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 s="1"/>
  <c r="BO13" i="9"/>
  <c r="BS28" i="1"/>
  <c r="BU8" i="1"/>
  <c r="BZ9" i="1"/>
  <c r="BY9" i="1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BY36" i="1"/>
  <c r="BU30" i="1"/>
  <c r="BW8" i="1"/>
  <c r="BY30" i="1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Y33" i="2"/>
  <c r="BP31" i="9" s="1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W9" i="1"/>
  <c r="BY10" i="1"/>
  <c r="BU10" i="1"/>
  <c r="BU13" i="1"/>
  <c r="BW28" i="1"/>
  <c r="BU28" i="1"/>
  <c r="BU29" i="1"/>
  <c r="BU24" i="1"/>
  <c r="BW26" i="1"/>
  <c r="Z23" i="2"/>
  <c r="BQ21" i="9" s="1"/>
  <c r="BO21" i="9"/>
  <c r="BW7" i="1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BY17" i="1"/>
  <c r="BU20" i="1"/>
  <c r="BW20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U22" i="1"/>
  <c r="BW22" i="1"/>
  <c r="BU21" i="1"/>
  <c r="BW21" i="1"/>
  <c r="BU19" i="1"/>
  <c r="BW19" i="1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BY32" i="1"/>
  <c r="BZ32" i="1"/>
  <c r="BX34" i="1" l="1"/>
  <c r="BW14" i="1"/>
  <c r="BX14" i="1"/>
  <c r="BX28" i="1"/>
  <c r="BY28" i="1" s="1"/>
  <c r="BW25" i="1"/>
  <c r="BU25" i="1"/>
  <c r="BZ14" i="1"/>
  <c r="BZ8" i="1"/>
  <c r="BY8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<sst xmlns="http://schemas.openxmlformats.org/spreadsheetml/2006/main" count="888" uniqueCount="417">
  <si>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</si>
  <si>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</si>
  <si>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</si>
  <si>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</si>
  <si>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</si>
  <si>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</si>
  <si>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</si>
  <si>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</si>
  <si>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</si>
  <si>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</si>
  <si>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</si>
  <si>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</si>
  <si>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</si>
  <si>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</si>
  <si>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</si>
  <si>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</si>
  <si>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</si>
  <si>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</si>
  <si>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</si>
  <si>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</si>
  <si>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</si>
  <si>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</si>
  <si>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</si>
  <si>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</si>
  <si>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</si>
  <si>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</si>
  <si>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</si>
  <si>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</si>
  <si>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</si>
  <si>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</si>
  <si>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</si>
  <si>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</si>
  <si>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</si>
  <si>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</si>
  <si>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</si>
  <si>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</si>
  <si>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</si>
  <si>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</si>
  <si>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</si>
  <si>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</si>
  <si>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</si>
  <si>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</si>
  <si>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</si>
  <si>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</si>
  <si>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</si>
  <si>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</si>
  <si>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</si>
  <si>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</si>
  <si>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</si>
  <si>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</si>
  <si>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</si>
  <si>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June</t>
  </si>
  <si>
    <t>Gourmandise UP</t>
  </si>
  <si>
    <t>Power Taxes</t>
  </si>
  <si>
    <t>Max Demand</t>
  </si>
  <si>
    <t>Electricity UP</t>
  </si>
  <si>
    <t xml:space="preserve"> Chiller 5 Meter was miswired and was corrected on 21st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</si>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</sst>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E34" sqref="E34:L35"/>
    </sheetView>
  </sheetViews>
  <sheetFormatPr defaultColWidth="11.5703125" defaultRowHeight="12.75"/>
  <cols>
    <col min="1" max="1" width="24" style="731" bestFit="1" customWidth="1"/>
    <col min="2" max="3" width="11.5703125" style="732"/>
    <col min="4" max="4" width="13.42578125" style="732" customWidth="1"/>
    <col min="5" max="5" width="20.7109375" style="97" customWidth="1"/>
    <col min="6" max="6" width="20.140625" style="732" customWidth="1"/>
    <col min="7" max="7" width="18.28515625" style="97" customWidth="1"/>
    <col min="8" max="8" width="17.42578125" style="732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4" customFormat="1" ht="30">
      <c r="A1" s="749" t="s">
        <v>0</v>
      </c>
      <c r="B1" s="750" t="s">
        <v>1</v>
      </c>
      <c r="C1" s="750" t="s">
        <v>2</v>
      </c>
      <c r="D1" s="750" t="s">
        <v>3</v>
      </c>
      <c r="E1" s="745" t="s">
        <v>4</v>
      </c>
      <c r="F1" s="746" t="s">
        <v>5</v>
      </c>
      <c r="G1" s="745" t="s">
        <v>6</v>
      </c>
      <c r="H1" s="746" t="s">
        <v>7</v>
      </c>
      <c r="I1" s="745" t="s">
        <v>8</v>
      </c>
      <c r="J1" s="745" t="s">
        <v>9</v>
      </c>
      <c r="K1" s="745" t="s">
        <v>10</v>
      </c>
    </row>
    <row r="2" spans="1:12">
      <c r="A2" s="751" t="s">
        <v>11</v>
      </c>
      <c r="B2" s="752">
        <v>1</v>
      </c>
      <c r="C2" s="773">
        <v>6</v>
      </c>
      <c r="D2" s="753">
        <v>2021</v>
      </c>
      <c r="E2" s="803">
        <v>32736.34</v>
      </c>
      <c r="F2" s="747">
        <v>1.35</v>
      </c>
      <c r="G2" s="803">
        <f>1025.57+228.17</f>
        <v>1253.74</v>
      </c>
      <c r="H2" s="747">
        <v>3.89</v>
      </c>
      <c r="I2" s="803">
        <v>279.02</v>
      </c>
      <c r="J2" s="747">
        <v>10</v>
      </c>
      <c r="K2" s="748">
        <v>158</v>
      </c>
    </row>
    <row r="3" spans="1:12">
      <c r="A3" s="754" t="s">
        <v>11</v>
      </c>
      <c r="B3" s="732">
        <f>B2+1</f>
        <v>2</v>
      </c>
      <c r="C3" s="773">
        <v>6</v>
      </c>
      <c r="D3" s="753">
        <v>2021</v>
      </c>
      <c r="E3" s="803">
        <v>32736.34</v>
      </c>
      <c r="F3" s="747">
        <f>F2</f>
        <v>1.35</v>
      </c>
      <c r="G3" s="803">
        <f t="shared" ref="G3:G31" si="0">1025.57+228.17</f>
        <v>1253.74</v>
      </c>
      <c r="H3" s="747">
        <v>3.89</v>
      </c>
      <c r="I3" s="803">
        <v>279.02</v>
      </c>
      <c r="J3" s="747">
        <v>10</v>
      </c>
      <c r="K3" s="748">
        <v>158</v>
      </c>
    </row>
    <row r="4" spans="1:12">
      <c r="A4" s="754" t="s">
        <v>11</v>
      </c>
      <c r="B4" s="732">
        <f t="shared" ref="B4:B32" si="1">B3+1</f>
        <v>3</v>
      </c>
      <c r="C4" s="773">
        <v>6</v>
      </c>
      <c r="D4" s="753">
        <v>2021</v>
      </c>
      <c r="E4" s="803">
        <v>32736.34</v>
      </c>
      <c r="F4" s="747">
        <f t="shared" ref="F4:F32" si="2">F3</f>
        <v>1.35</v>
      </c>
      <c r="G4" s="803">
        <f t="shared" si="0"/>
        <v>1253.74</v>
      </c>
      <c r="H4" s="747">
        <v>3.89</v>
      </c>
      <c r="I4" s="803">
        <v>279.02</v>
      </c>
      <c r="J4" s="747">
        <v>10</v>
      </c>
      <c r="K4" s="748">
        <v>158</v>
      </c>
    </row>
    <row r="5" spans="1:12">
      <c r="A5" s="754" t="s">
        <v>11</v>
      </c>
      <c r="B5" s="732">
        <f t="shared" si="1"/>
        <v>4</v>
      </c>
      <c r="C5" s="773">
        <v>6</v>
      </c>
      <c r="D5" s="753">
        <v>2021</v>
      </c>
      <c r="E5" s="803">
        <v>32736.34</v>
      </c>
      <c r="F5" s="747">
        <f t="shared" si="2"/>
        <v>1.35</v>
      </c>
      <c r="G5" s="803">
        <f t="shared" si="0"/>
        <v>1253.74</v>
      </c>
      <c r="H5" s="747">
        <v>3.89</v>
      </c>
      <c r="I5" s="803">
        <v>279.02</v>
      </c>
      <c r="J5" s="747">
        <v>10</v>
      </c>
      <c r="K5" s="748">
        <v>158</v>
      </c>
    </row>
    <row r="6" spans="1:12">
      <c r="A6" s="754" t="s">
        <v>11</v>
      </c>
      <c r="B6" s="732">
        <f t="shared" si="1"/>
        <v>5</v>
      </c>
      <c r="C6" s="773">
        <v>6</v>
      </c>
      <c r="D6" s="753">
        <v>2021</v>
      </c>
      <c r="E6" s="803">
        <v>32736.34</v>
      </c>
      <c r="F6" s="747">
        <f t="shared" si="2"/>
        <v>1.35</v>
      </c>
      <c r="G6" s="803">
        <f t="shared" si="0"/>
        <v>1253.74</v>
      </c>
      <c r="H6" s="747">
        <v>3.89</v>
      </c>
      <c r="I6" s="803">
        <v>279.02</v>
      </c>
      <c r="J6" s="747">
        <v>10</v>
      </c>
      <c r="K6" s="748">
        <v>158</v>
      </c>
    </row>
    <row r="7" spans="1:12">
      <c r="A7" s="754" t="s">
        <v>11</v>
      </c>
      <c r="B7" s="732">
        <f t="shared" si="1"/>
        <v>6</v>
      </c>
      <c r="C7" s="773">
        <v>6</v>
      </c>
      <c r="D7" s="753">
        <v>2021</v>
      </c>
      <c r="E7" s="803">
        <v>32736.34</v>
      </c>
      <c r="F7" s="747">
        <f t="shared" si="2"/>
        <v>1.35</v>
      </c>
      <c r="G7" s="803">
        <f t="shared" si="0"/>
        <v>1253.74</v>
      </c>
      <c r="H7" s="747">
        <v>3.89</v>
      </c>
      <c r="I7" s="803">
        <v>279.02</v>
      </c>
      <c r="J7" s="747">
        <v>10</v>
      </c>
      <c r="K7" s="748">
        <v>158</v>
      </c>
    </row>
    <row r="8" spans="1:12">
      <c r="A8" s="754" t="s">
        <v>11</v>
      </c>
      <c r="B8" s="732">
        <f t="shared" si="1"/>
        <v>7</v>
      </c>
      <c r="C8" s="773">
        <v>6</v>
      </c>
      <c r="D8" s="753">
        <v>2021</v>
      </c>
      <c r="E8" s="803">
        <v>32736.34</v>
      </c>
      <c r="F8" s="747">
        <f t="shared" si="2"/>
        <v>1.35</v>
      </c>
      <c r="G8" s="803">
        <f t="shared" si="0"/>
        <v>1253.74</v>
      </c>
      <c r="H8" s="747">
        <v>3.89</v>
      </c>
      <c r="I8" s="803">
        <v>279.02</v>
      </c>
      <c r="J8" s="747">
        <v>10</v>
      </c>
      <c r="K8" s="748">
        <v>158</v>
      </c>
    </row>
    <row r="9" spans="1:12">
      <c r="A9" s="754" t="s">
        <v>11</v>
      </c>
      <c r="B9" s="732">
        <f t="shared" si="1"/>
        <v>8</v>
      </c>
      <c r="C9" s="773">
        <v>6</v>
      </c>
      <c r="D9" s="753">
        <v>2021</v>
      </c>
      <c r="E9" s="803">
        <v>32736.34</v>
      </c>
      <c r="F9" s="747">
        <f t="shared" si="2"/>
        <v>1.35</v>
      </c>
      <c r="G9" s="803">
        <f t="shared" si="0"/>
        <v>1253.74</v>
      </c>
      <c r="H9" s="747">
        <v>3.89</v>
      </c>
      <c r="I9" s="803">
        <v>279.02</v>
      </c>
      <c r="J9" s="747">
        <v>10</v>
      </c>
      <c r="K9" s="748">
        <v>158</v>
      </c>
    </row>
    <row r="10" spans="1:12">
      <c r="A10" s="754" t="s">
        <v>11</v>
      </c>
      <c r="B10" s="732">
        <f t="shared" si="1"/>
        <v>9</v>
      </c>
      <c r="C10" s="773">
        <v>6</v>
      </c>
      <c r="D10" s="753">
        <v>2021</v>
      </c>
      <c r="E10" s="803">
        <v>32736.34</v>
      </c>
      <c r="F10" s="747">
        <f t="shared" si="2"/>
        <v>1.35</v>
      </c>
      <c r="G10" s="803">
        <f t="shared" si="0"/>
        <v>1253.74</v>
      </c>
      <c r="H10" s="747">
        <v>3.89</v>
      </c>
      <c r="I10" s="803">
        <v>279.02</v>
      </c>
      <c r="J10" s="747">
        <v>10</v>
      </c>
      <c r="K10" s="748">
        <v>158</v>
      </c>
    </row>
    <row r="11" spans="1:12">
      <c r="A11" s="754" t="s">
        <v>11</v>
      </c>
      <c r="B11" s="732">
        <f t="shared" si="1"/>
        <v>10</v>
      </c>
      <c r="C11" s="773">
        <v>6</v>
      </c>
      <c r="D11" s="753">
        <v>2021</v>
      </c>
      <c r="E11" s="803">
        <v>32736.34</v>
      </c>
      <c r="F11" s="747">
        <f t="shared" si="2"/>
        <v>1.35</v>
      </c>
      <c r="G11" s="803">
        <f t="shared" si="0"/>
        <v>1253.74</v>
      </c>
      <c r="H11" s="747">
        <v>3.89</v>
      </c>
      <c r="I11" s="803">
        <v>279.02</v>
      </c>
      <c r="J11" s="747">
        <v>10</v>
      </c>
      <c r="K11" s="748">
        <v>158</v>
      </c>
    </row>
    <row r="12" spans="1:12">
      <c r="A12" s="754" t="s">
        <v>11</v>
      </c>
      <c r="B12" s="732">
        <f t="shared" si="1"/>
        <v>11</v>
      </c>
      <c r="C12" s="773">
        <v>6</v>
      </c>
      <c r="D12" s="753">
        <v>2021</v>
      </c>
      <c r="E12" s="803">
        <v>32736.34</v>
      </c>
      <c r="F12" s="747">
        <f t="shared" si="2"/>
        <v>1.35</v>
      </c>
      <c r="G12" s="803">
        <f t="shared" si="0"/>
        <v>1253.74</v>
      </c>
      <c r="H12" s="747">
        <v>3.89</v>
      </c>
      <c r="I12" s="803">
        <v>279.02</v>
      </c>
      <c r="J12" s="747">
        <v>10</v>
      </c>
      <c r="K12" s="748">
        <v>158</v>
      </c>
      <c r="L12" s="735" t="s">
        <v>12</v>
      </c>
    </row>
    <row r="13" spans="1:12">
      <c r="A13" s="754" t="s">
        <v>11</v>
      </c>
      <c r="B13" s="732">
        <f t="shared" si="1"/>
        <v>12</v>
      </c>
      <c r="C13" s="773">
        <v>6</v>
      </c>
      <c r="D13" s="753">
        <v>2021</v>
      </c>
      <c r="E13" s="803">
        <v>32736.34</v>
      </c>
      <c r="F13" s="747">
        <f t="shared" si="2"/>
        <v>1.35</v>
      </c>
      <c r="G13" s="803">
        <f t="shared" si="0"/>
        <v>1253.74</v>
      </c>
      <c r="H13" s="747">
        <v>3.89</v>
      </c>
      <c r="I13" s="803">
        <v>279.02</v>
      </c>
      <c r="J13" s="747">
        <v>10</v>
      </c>
      <c r="K13" s="748">
        <v>158</v>
      </c>
      <c r="L13" s="735" t="s">
        <v>13</v>
      </c>
    </row>
    <row r="14" spans="1:12">
      <c r="A14" s="754" t="s">
        <v>11</v>
      </c>
      <c r="B14" s="732">
        <f t="shared" si="1"/>
        <v>13</v>
      </c>
      <c r="C14" s="773">
        <v>6</v>
      </c>
      <c r="D14" s="753">
        <v>2021</v>
      </c>
      <c r="E14" s="803">
        <v>32736.34</v>
      </c>
      <c r="F14" s="747">
        <f t="shared" si="2"/>
        <v>1.35</v>
      </c>
      <c r="G14" s="803">
        <f t="shared" si="0"/>
        <v>1253.74</v>
      </c>
      <c r="H14" s="747">
        <v>3.89</v>
      </c>
      <c r="I14" s="803">
        <v>279.02</v>
      </c>
      <c r="J14" s="747">
        <v>10</v>
      </c>
      <c r="K14" s="748">
        <v>158</v>
      </c>
    </row>
    <row r="15" spans="1:12">
      <c r="A15" s="754" t="s">
        <v>11</v>
      </c>
      <c r="B15" s="732">
        <f t="shared" si="1"/>
        <v>14</v>
      </c>
      <c r="C15" s="773">
        <v>6</v>
      </c>
      <c r="D15" s="753">
        <v>2021</v>
      </c>
      <c r="E15" s="803">
        <v>32736.34</v>
      </c>
      <c r="F15" s="747">
        <f t="shared" si="2"/>
        <v>1.35</v>
      </c>
      <c r="G15" s="803">
        <f t="shared" si="0"/>
        <v>1253.74</v>
      </c>
      <c r="H15" s="747">
        <v>3.89</v>
      </c>
      <c r="I15" s="803">
        <v>279.02</v>
      </c>
      <c r="J15" s="747">
        <v>10</v>
      </c>
      <c r="K15" s="748">
        <v>158</v>
      </c>
    </row>
    <row r="16" spans="1:12">
      <c r="A16" s="754" t="s">
        <v>11</v>
      </c>
      <c r="B16" s="732">
        <f t="shared" si="1"/>
        <v>15</v>
      </c>
      <c r="C16" s="773">
        <v>6</v>
      </c>
      <c r="D16" s="753">
        <v>2021</v>
      </c>
      <c r="E16" s="803">
        <v>32736.34</v>
      </c>
      <c r="F16" s="747">
        <f t="shared" si="2"/>
        <v>1.35</v>
      </c>
      <c r="G16" s="803">
        <f t="shared" si="0"/>
        <v>1253.74</v>
      </c>
      <c r="H16" s="747">
        <v>3.89</v>
      </c>
      <c r="I16" s="803">
        <v>279.02</v>
      </c>
      <c r="J16" s="747">
        <v>10</v>
      </c>
      <c r="K16" s="748">
        <v>158</v>
      </c>
    </row>
    <row r="17" spans="1:11">
      <c r="A17" s="754" t="s">
        <v>11</v>
      </c>
      <c r="B17" s="732">
        <f t="shared" si="1"/>
        <v>16</v>
      </c>
      <c r="C17" s="773">
        <v>6</v>
      </c>
      <c r="D17" s="753">
        <v>2021</v>
      </c>
      <c r="E17" s="803">
        <v>32736.34</v>
      </c>
      <c r="F17" s="747">
        <f t="shared" si="2"/>
        <v>1.35</v>
      </c>
      <c r="G17" s="803">
        <f t="shared" si="0"/>
        <v>1253.74</v>
      </c>
      <c r="H17" s="747">
        <v>3.89</v>
      </c>
      <c r="I17" s="803">
        <v>279.02</v>
      </c>
      <c r="J17" s="747">
        <v>10</v>
      </c>
      <c r="K17" s="748">
        <v>158</v>
      </c>
    </row>
    <row r="18" spans="1:11">
      <c r="A18" s="754" t="s">
        <v>11</v>
      </c>
      <c r="B18" s="732">
        <f t="shared" si="1"/>
        <v>17</v>
      </c>
      <c r="C18" s="773">
        <v>6</v>
      </c>
      <c r="D18" s="753">
        <v>2021</v>
      </c>
      <c r="E18" s="803">
        <v>32736.34</v>
      </c>
      <c r="F18" s="747">
        <f t="shared" si="2"/>
        <v>1.35</v>
      </c>
      <c r="G18" s="803">
        <f t="shared" si="0"/>
        <v>1253.74</v>
      </c>
      <c r="H18" s="747">
        <v>3.89</v>
      </c>
      <c r="I18" s="803">
        <v>279.02</v>
      </c>
      <c r="J18" s="747">
        <v>10</v>
      </c>
      <c r="K18" s="748">
        <v>158</v>
      </c>
    </row>
    <row r="19" spans="1:11">
      <c r="A19" s="754" t="s">
        <v>11</v>
      </c>
      <c r="B19" s="732">
        <f t="shared" si="1"/>
        <v>18</v>
      </c>
      <c r="C19" s="773">
        <v>6</v>
      </c>
      <c r="D19" s="753">
        <v>2021</v>
      </c>
      <c r="E19" s="803">
        <v>32736.34</v>
      </c>
      <c r="F19" s="747">
        <f t="shared" si="2"/>
        <v>1.35</v>
      </c>
      <c r="G19" s="803">
        <f t="shared" si="0"/>
        <v>1253.74</v>
      </c>
      <c r="H19" s="747">
        <v>3.89</v>
      </c>
      <c r="I19" s="803">
        <v>279.02</v>
      </c>
      <c r="J19" s="747">
        <v>10</v>
      </c>
      <c r="K19" s="748">
        <v>158</v>
      </c>
    </row>
    <row r="20" spans="1:11">
      <c r="A20" s="754" t="s">
        <v>11</v>
      </c>
      <c r="B20" s="732">
        <f t="shared" si="1"/>
        <v>19</v>
      </c>
      <c r="C20" s="773">
        <v>6</v>
      </c>
      <c r="D20" s="753">
        <v>2021</v>
      </c>
      <c r="E20" s="803">
        <v>32736.34</v>
      </c>
      <c r="F20" s="747">
        <f t="shared" si="2"/>
        <v>1.35</v>
      </c>
      <c r="G20" s="803">
        <f t="shared" si="0"/>
        <v>1253.74</v>
      </c>
      <c r="H20" s="747">
        <v>3.89</v>
      </c>
      <c r="I20" s="803">
        <v>279.02</v>
      </c>
      <c r="J20" s="747">
        <v>10</v>
      </c>
      <c r="K20" s="748">
        <v>158</v>
      </c>
    </row>
    <row r="21" spans="1:11">
      <c r="A21" s="754" t="s">
        <v>11</v>
      </c>
      <c r="B21" s="732">
        <f t="shared" si="1"/>
        <v>20</v>
      </c>
      <c r="C21" s="773">
        <v>6</v>
      </c>
      <c r="D21" s="753">
        <v>2021</v>
      </c>
      <c r="E21" s="803">
        <v>32736.34</v>
      </c>
      <c r="F21" s="747">
        <f t="shared" si="2"/>
        <v>1.35</v>
      </c>
      <c r="G21" s="803">
        <f t="shared" si="0"/>
        <v>1253.74</v>
      </c>
      <c r="H21" s="747">
        <v>3.89</v>
      </c>
      <c r="I21" s="803">
        <v>279.02</v>
      </c>
      <c r="J21" s="747">
        <v>10</v>
      </c>
      <c r="K21" s="748">
        <v>158</v>
      </c>
    </row>
    <row r="22" spans="1:11">
      <c r="A22" s="754" t="s">
        <v>11</v>
      </c>
      <c r="B22" s="732">
        <f t="shared" si="1"/>
        <v>21</v>
      </c>
      <c r="C22" s="773">
        <v>6</v>
      </c>
      <c r="D22" s="753">
        <v>2021</v>
      </c>
      <c r="E22" s="803">
        <v>32736.34</v>
      </c>
      <c r="F22" s="747">
        <f t="shared" si="2"/>
        <v>1.35</v>
      </c>
      <c r="G22" s="803">
        <f t="shared" si="0"/>
        <v>1253.74</v>
      </c>
      <c r="H22" s="747">
        <v>3.89</v>
      </c>
      <c r="I22" s="803">
        <v>279.02</v>
      </c>
      <c r="J22" s="747">
        <v>10</v>
      </c>
      <c r="K22" s="748">
        <v>158</v>
      </c>
    </row>
    <row r="23" spans="1:11">
      <c r="A23" s="754" t="s">
        <v>11</v>
      </c>
      <c r="B23" s="732">
        <f t="shared" si="1"/>
        <v>22</v>
      </c>
      <c r="C23" s="773">
        <v>6</v>
      </c>
      <c r="D23" s="753">
        <v>2021</v>
      </c>
      <c r="E23" s="803">
        <v>32736.34</v>
      </c>
      <c r="F23" s="747">
        <f t="shared" si="2"/>
        <v>1.35</v>
      </c>
      <c r="G23" s="803">
        <f t="shared" si="0"/>
        <v>1253.74</v>
      </c>
      <c r="H23" s="747">
        <v>3.89</v>
      </c>
      <c r="I23" s="803">
        <v>279.02</v>
      </c>
      <c r="J23" s="747">
        <v>10</v>
      </c>
      <c r="K23" s="748">
        <v>150</v>
      </c>
    </row>
    <row r="24" spans="1:11">
      <c r="A24" s="754" t="s">
        <v>11</v>
      </c>
      <c r="B24" s="732">
        <f t="shared" si="1"/>
        <v>23</v>
      </c>
      <c r="C24" s="773">
        <v>6</v>
      </c>
      <c r="D24" s="753">
        <v>2021</v>
      </c>
      <c r="E24" s="803">
        <v>32736.34</v>
      </c>
      <c r="F24" s="747">
        <f t="shared" si="2"/>
        <v>1.35</v>
      </c>
      <c r="G24" s="803">
        <f t="shared" si="0"/>
        <v>1253.74</v>
      </c>
      <c r="H24" s="747">
        <v>3.89</v>
      </c>
      <c r="I24" s="803">
        <v>279.02</v>
      </c>
      <c r="J24" s="747">
        <v>10</v>
      </c>
      <c r="K24" s="748">
        <v>150</v>
      </c>
    </row>
    <row r="25" spans="1:11">
      <c r="A25" s="754" t="s">
        <v>11</v>
      </c>
      <c r="B25" s="732">
        <f t="shared" si="1"/>
        <v>24</v>
      </c>
      <c r="C25" s="773">
        <v>6</v>
      </c>
      <c r="D25" s="753">
        <v>2021</v>
      </c>
      <c r="E25" s="803">
        <v>32736.34</v>
      </c>
      <c r="F25" s="747">
        <f t="shared" si="2"/>
        <v>1.35</v>
      </c>
      <c r="G25" s="803">
        <f t="shared" si="0"/>
        <v>1253.74</v>
      </c>
      <c r="H25" s="747">
        <v>3.89</v>
      </c>
      <c r="I25" s="803">
        <v>279.02</v>
      </c>
      <c r="J25" s="747">
        <v>10</v>
      </c>
      <c r="K25" s="748">
        <v>160</v>
      </c>
    </row>
    <row r="26" spans="1:11">
      <c r="A26" s="754" t="s">
        <v>11</v>
      </c>
      <c r="B26" s="732">
        <f>B25+1</f>
        <v>25</v>
      </c>
      <c r="C26" s="773">
        <v>6</v>
      </c>
      <c r="D26" s="753">
        <v>2021</v>
      </c>
      <c r="E26" s="803">
        <v>32736.34</v>
      </c>
      <c r="F26" s="747">
        <f t="shared" si="2"/>
        <v>1.35</v>
      </c>
      <c r="G26" s="803">
        <f t="shared" si="0"/>
        <v>1253.74</v>
      </c>
      <c r="H26" s="747">
        <v>3.89</v>
      </c>
      <c r="I26" s="803">
        <v>279.02</v>
      </c>
      <c r="J26" s="747">
        <v>10</v>
      </c>
      <c r="K26" s="748">
        <v>161</v>
      </c>
    </row>
    <row r="27" spans="1:11">
      <c r="A27" s="754" t="s">
        <v>11</v>
      </c>
      <c r="B27" s="732">
        <f t="shared" si="1"/>
        <v>26</v>
      </c>
      <c r="C27" s="773">
        <v>6</v>
      </c>
      <c r="D27" s="753">
        <v>2021</v>
      </c>
      <c r="E27" s="803">
        <v>32736.34</v>
      </c>
      <c r="F27" s="747">
        <f t="shared" si="2"/>
        <v>1.35</v>
      </c>
      <c r="G27" s="803">
        <f t="shared" si="0"/>
        <v>1253.74</v>
      </c>
      <c r="H27" s="747">
        <v>3.89</v>
      </c>
      <c r="I27" s="803">
        <v>279.02</v>
      </c>
      <c r="J27" s="747">
        <v>10</v>
      </c>
      <c r="K27" s="748">
        <v>158</v>
      </c>
    </row>
    <row r="28" spans="1:11">
      <c r="A28" s="754" t="s">
        <v>11</v>
      </c>
      <c r="B28" s="732">
        <f t="shared" si="1"/>
        <v>27</v>
      </c>
      <c r="C28" s="773">
        <v>6</v>
      </c>
      <c r="D28" s="753">
        <v>2021</v>
      </c>
      <c r="E28" s="803">
        <v>32736.34</v>
      </c>
      <c r="F28" s="747">
        <f t="shared" si="2"/>
        <v>1.35</v>
      </c>
      <c r="G28" s="803">
        <f t="shared" si="0"/>
        <v>1253.74</v>
      </c>
      <c r="H28" s="747">
        <v>3.89</v>
      </c>
      <c r="I28" s="803">
        <v>279.02</v>
      </c>
      <c r="J28" s="747">
        <v>10</v>
      </c>
      <c r="K28" s="748">
        <v>158</v>
      </c>
    </row>
    <row r="29" spans="1:11">
      <c r="A29" s="754" t="s">
        <v>11</v>
      </c>
      <c r="B29" s="732">
        <f t="shared" si="1"/>
        <v>28</v>
      </c>
      <c r="C29" s="773">
        <v>6</v>
      </c>
      <c r="D29" s="753">
        <v>2021</v>
      </c>
      <c r="E29" s="803">
        <v>32736.34</v>
      </c>
      <c r="F29" s="747">
        <f t="shared" si="2"/>
        <v>1.35</v>
      </c>
      <c r="G29" s="803">
        <f t="shared" si="0"/>
        <v>1253.74</v>
      </c>
      <c r="H29" s="747">
        <v>3.89</v>
      </c>
      <c r="I29" s="803">
        <v>279.02</v>
      </c>
      <c r="J29" s="747">
        <v>10</v>
      </c>
      <c r="K29" s="748">
        <v>158</v>
      </c>
    </row>
    <row r="30" spans="1:11">
      <c r="A30" s="754" t="s">
        <v>11</v>
      </c>
      <c r="B30" s="732">
        <f t="shared" si="1"/>
        <v>29</v>
      </c>
      <c r="C30" s="773">
        <v>6</v>
      </c>
      <c r="D30" s="753">
        <v>2021</v>
      </c>
      <c r="E30" s="803">
        <v>32736.34</v>
      </c>
      <c r="F30" s="747">
        <f t="shared" si="2"/>
        <v>1.35</v>
      </c>
      <c r="G30" s="803">
        <f t="shared" si="0"/>
        <v>1253.74</v>
      </c>
      <c r="H30" s="747">
        <v>3.89</v>
      </c>
      <c r="I30" s="803">
        <v>279.02</v>
      </c>
      <c r="J30" s="747">
        <v>10</v>
      </c>
      <c r="K30" s="748">
        <v>158</v>
      </c>
    </row>
    <row r="31" spans="1:11">
      <c r="A31" s="754" t="s">
        <v>11</v>
      </c>
      <c r="B31" s="732">
        <f t="shared" si="1"/>
        <v>30</v>
      </c>
      <c r="C31" s="773">
        <v>6</v>
      </c>
      <c r="D31" s="753">
        <v>2021</v>
      </c>
      <c r="E31" s="803">
        <v>32736.34</v>
      </c>
      <c r="F31" s="747">
        <f t="shared" si="2"/>
        <v>1.35</v>
      </c>
      <c r="G31" s="803">
        <f t="shared" si="0"/>
        <v>1253.74</v>
      </c>
      <c r="H31" s="747">
        <v>3.89</v>
      </c>
      <c r="I31" s="803">
        <v>279.02</v>
      </c>
      <c r="J31" s="747">
        <v>10</v>
      </c>
      <c r="K31" s="748">
        <v>158</v>
      </c>
    </row>
    <row r="32" spans="1:11">
      <c r="A32" s="755" t="s">
        <v>11</v>
      </c>
      <c r="B32" s="756">
        <f t="shared" si="1"/>
        <v>31</v>
      </c>
      <c r="C32" s="773">
        <v>6</v>
      </c>
      <c r="D32" s="753">
        <v>2021</v>
      </c>
      <c r="E32" s="803">
        <f>Elect!BS36</f>
        <v>0</v>
      </c>
      <c r="F32" s="747">
        <f t="shared" si="2"/>
        <v>1.35</v>
      </c>
      <c r="G32" s="803">
        <f>Gas!K37</f>
        <v>0</v>
      </c>
      <c r="H32" s="747">
        <v>3.89</v>
      </c>
      <c r="I32" s="803">
        <f>Water!H37</f>
        <v>0</v>
      </c>
      <c r="J32" s="747">
        <v>10</v>
      </c>
      <c r="K32" s="748">
        <f>Elect!BT36</f>
        <v>0</v>
      </c>
    </row>
    <row r="34" spans="5:11">
      <c r="E34" s="804"/>
      <c r="G34" s="804"/>
      <c r="I34" s="804"/>
      <c r="K34" s="804"/>
    </row>
  </sheetData>
  <sheetProtection algorithmName="SHA-512" hashValue="uHPK0ilweIuqJU8TSnUmLTM6iqAwdiFJTO0Ja1/oxcGnWI/kvnEY3SUWIPbz4RZg15I4Zcz9vSq/nVWJVpd02A==" saltValue="nU2FTJMNAMY415IDdt/fV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M1" workbookViewId="0">
      <selection activeCell="AP2" sqref="AP2:AP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3" t="s">
        <v>0</v>
      </c>
      <c r="B1" s="744" t="s">
        <v>1</v>
      </c>
      <c r="C1" s="744" t="s">
        <v>2</v>
      </c>
      <c r="D1" s="744" t="s">
        <v>3</v>
      </c>
      <c r="E1" s="805" t="s">
        <v>14</v>
      </c>
      <c r="F1" s="739" t="s">
        <v>15</v>
      </c>
      <c r="G1" s="740" t="s">
        <v>16</v>
      </c>
      <c r="H1" s="739" t="s">
        <v>17</v>
      </c>
      <c r="I1" s="739" t="s">
        <v>18</v>
      </c>
      <c r="J1" s="739" t="s">
        <v>19</v>
      </c>
      <c r="K1" s="733" t="s">
        <v>20</v>
      </c>
      <c r="L1" s="733" t="s">
        <v>21</v>
      </c>
      <c r="M1" s="757" t="s">
        <v>22</v>
      </c>
      <c r="N1" s="757" t="s">
        <v>23</v>
      </c>
      <c r="O1" s="757" t="s">
        <v>24</v>
      </c>
      <c r="P1" s="757" t="s">
        <v>25</v>
      </c>
      <c r="Q1" s="757" t="s">
        <v>26</v>
      </c>
      <c r="R1" s="757" t="s">
        <v>27</v>
      </c>
      <c r="S1" s="787" t="s">
        <v>28</v>
      </c>
      <c r="T1" s="757" t="s">
        <v>29</v>
      </c>
      <c r="U1" s="757" t="s">
        <v>30</v>
      </c>
      <c r="V1" s="757" t="s">
        <v>31</v>
      </c>
      <c r="W1" s="787" t="s">
        <v>32</v>
      </c>
      <c r="X1" s="757" t="s">
        <v>33</v>
      </c>
      <c r="Y1" s="787" t="s">
        <v>34</v>
      </c>
      <c r="Z1" s="757" t="s">
        <v>35</v>
      </c>
      <c r="AA1" s="787" t="s">
        <v>36</v>
      </c>
      <c r="AB1" s="757" t="s">
        <v>37</v>
      </c>
      <c r="AC1" s="757" t="s">
        <v>38</v>
      </c>
      <c r="AD1" s="787" t="s">
        <v>39</v>
      </c>
      <c r="AE1" s="757" t="s">
        <v>40</v>
      </c>
      <c r="AF1" s="757" t="s">
        <v>41</v>
      </c>
      <c r="AG1" s="757" t="s">
        <v>42</v>
      </c>
      <c r="AH1" s="805" t="s">
        <v>43</v>
      </c>
      <c r="AI1" s="757" t="s">
        <v>44</v>
      </c>
      <c r="AJ1" s="757" t="s">
        <v>45</v>
      </c>
      <c r="AK1" s="757" t="s">
        <v>46</v>
      </c>
      <c r="AL1" s="805" t="s">
        <v>47</v>
      </c>
      <c r="AM1" s="757" t="s">
        <v>48</v>
      </c>
      <c r="AN1" s="757" t="s">
        <v>49</v>
      </c>
      <c r="AO1" s="757" t="s">
        <v>50</v>
      </c>
      <c r="AP1" s="745" t="s">
        <v>10</v>
      </c>
    </row>
    <row r="2" spans="1:42" ht="19.5" customHeight="1">
      <c r="A2" s="751" t="s">
        <v>11</v>
      </c>
      <c r="B2" s="752">
        <v>1</v>
      </c>
      <c r="C2" s="773">
        <v>6</v>
      </c>
      <c r="D2" s="753">
        <v>2021</v>
      </c>
      <c r="E2" s="806"/>
      <c r="F2" s="741">
        <f>Elect!J6</f>
        <v>4739</v>
      </c>
      <c r="G2" s="741">
        <f>Elect!K6</f>
        <v>3106</v>
      </c>
      <c r="H2" s="741">
        <f>Elect!Q6</f>
        <v>510</v>
      </c>
      <c r="I2" s="741">
        <f>Elect!S6</f>
        <v>168</v>
      </c>
      <c r="J2" s="741">
        <f>Elect!U6</f>
        <v>300</v>
      </c>
      <c r="K2" s="741">
        <f>Elect!W6</f>
        <v>2728.44</v>
      </c>
      <c r="L2" s="741">
        <f>Elect!Y6</f>
        <v>0</v>
      </c>
      <c r="M2" s="741">
        <f>Elect!AA6</f>
        <v>2163.9900000000002</v>
      </c>
      <c r="N2" s="741">
        <f>Elect!AC6</f>
        <v>2095.62</v>
      </c>
      <c r="O2" s="741">
        <f>Elect!AE6</f>
        <v>0</v>
      </c>
      <c r="P2" s="741">
        <f>Elect!AG6</f>
        <v>1886.27</v>
      </c>
      <c r="Q2" s="741">
        <f>Elect!AI6</f>
        <v>1136.8500000000001</v>
      </c>
      <c r="R2" s="741">
        <f>Elect!AK6</f>
        <v>3993.02</v>
      </c>
      <c r="S2" s="741">
        <f>Elect!AM6</f>
        <v>179.67000000000002</v>
      </c>
      <c r="T2" s="741">
        <f>Elect!AP6</f>
        <v>206.66249999999999</v>
      </c>
      <c r="U2" s="741">
        <f>Elect!AR6</f>
        <v>247</v>
      </c>
      <c r="V2" s="741">
        <f>Elect!AT6</f>
        <v>151</v>
      </c>
      <c r="W2" s="741">
        <f>Elect!AV6</f>
        <v>72</v>
      </c>
      <c r="X2" s="741">
        <f>Elect!AX6</f>
        <v>1175</v>
      </c>
      <c r="Y2" s="741">
        <f>Elect!AZ6</f>
        <v>79</v>
      </c>
      <c r="Z2" s="741">
        <f>Elect!BB6</f>
        <v>5068</v>
      </c>
      <c r="AA2" s="741">
        <f>Elect!BD6</f>
        <v>153</v>
      </c>
      <c r="AB2" s="741">
        <f>Elect!BF6</f>
        <v>89</v>
      </c>
      <c r="AC2" s="741">
        <f>Elect!BH6</f>
        <v>7923.9499999999989</v>
      </c>
      <c r="AD2" s="741">
        <f>Elect!BL6</f>
        <v>386</v>
      </c>
      <c r="AE2" s="741">
        <f>Elect!BN6</f>
        <v>1441</v>
      </c>
      <c r="AF2" s="741">
        <f>Elect!BP6</f>
        <v>128</v>
      </c>
      <c r="AG2" s="741">
        <f>Elect!BR6</f>
        <v>226</v>
      </c>
      <c r="AH2" s="806"/>
      <c r="AI2" s="741">
        <f>Water!C7</f>
        <v>203</v>
      </c>
      <c r="AJ2" s="741">
        <f>Water!E7</f>
        <v>0</v>
      </c>
      <c r="AK2" s="741">
        <f>Water!G7</f>
        <v>10.44</v>
      </c>
      <c r="AL2" s="806"/>
      <c r="AM2" s="741">
        <f>Gas!C7</f>
        <v>941.28000000000009</v>
      </c>
      <c r="AN2" s="741">
        <f>Gas!E7</f>
        <v>186.89999999999998</v>
      </c>
      <c r="AO2" s="741">
        <f>Gas!G7</f>
        <v>76</v>
      </c>
      <c r="AP2" s="748">
        <v>158</v>
      </c>
    </row>
    <row r="3" spans="1:42" ht="12.75" customHeight="1">
      <c r="A3" s="754" t="s">
        <v>11</v>
      </c>
      <c r="B3" s="732">
        <f>B2+1</f>
        <v>2</v>
      </c>
      <c r="C3" s="773">
        <v>6</v>
      </c>
      <c r="D3" s="753">
        <v>2021</v>
      </c>
      <c r="E3" s="806"/>
      <c r="F3" s="741">
        <f>Elect!J7</f>
        <v>4842</v>
      </c>
      <c r="G3" s="741">
        <f>Elect!K7</f>
        <v>2936</v>
      </c>
      <c r="H3" s="741">
        <f>Elect!Q7</f>
        <v>480</v>
      </c>
      <c r="I3" s="741">
        <f>Elect!S7</f>
        <v>139</v>
      </c>
      <c r="J3" s="741">
        <f>Elect!U7</f>
        <v>263</v>
      </c>
      <c r="K3" s="741">
        <f>Elect!W7</f>
        <v>2643.6400000000003</v>
      </c>
      <c r="L3" s="741">
        <f>Elect!Y7</f>
        <v>2155.5100000000002</v>
      </c>
      <c r="M3" s="741">
        <f>Elect!AA7</f>
        <v>0</v>
      </c>
      <c r="N3" s="741">
        <f>Elect!AC7</f>
        <v>168.54000000000002</v>
      </c>
      <c r="O3" s="741">
        <f>Elect!AE7</f>
        <v>0</v>
      </c>
      <c r="P3" s="741">
        <f>Elect!AG7</f>
        <v>1419.3400000000001</v>
      </c>
      <c r="Q3" s="741">
        <f>Elect!AI7</f>
        <v>1122.01</v>
      </c>
      <c r="R3" s="741">
        <f>Elect!AK7</f>
        <v>3796.3900000000003</v>
      </c>
      <c r="S3" s="741">
        <f>Elect!AM7</f>
        <v>171.19</v>
      </c>
      <c r="T3" s="741">
        <f>Elect!AP7</f>
        <v>270.22500000000002</v>
      </c>
      <c r="U3" s="741">
        <f>Elect!AR7</f>
        <v>311</v>
      </c>
      <c r="V3" s="741">
        <f>Elect!AT7</f>
        <v>162</v>
      </c>
      <c r="W3" s="741">
        <f>Elect!AV7</f>
        <v>47</v>
      </c>
      <c r="X3" s="741">
        <f>Elect!AX7</f>
        <v>1109</v>
      </c>
      <c r="Y3" s="741">
        <f>Elect!AZ7</f>
        <v>70</v>
      </c>
      <c r="Z3" s="741">
        <f>Elect!BB7</f>
        <v>4673</v>
      </c>
      <c r="AA3" s="741">
        <f>Elect!BD7</f>
        <v>135</v>
      </c>
      <c r="AB3" s="741">
        <f>Elect!BF7</f>
        <v>50</v>
      </c>
      <c r="AC3" s="741">
        <f>Elect!BH7</f>
        <v>5696.4000000000005</v>
      </c>
      <c r="AD3" s="741">
        <f>Elect!BL7</f>
        <v>265</v>
      </c>
      <c r="AE3" s="741">
        <f>Elect!BN7</f>
        <v>1456</v>
      </c>
      <c r="AF3" s="741">
        <f>Elect!BP7</f>
        <v>112</v>
      </c>
      <c r="AG3" s="741">
        <f>Elect!BR7</f>
        <v>212</v>
      </c>
      <c r="AH3" s="806"/>
      <c r="AI3" s="741">
        <f>Water!C8</f>
        <v>226.2</v>
      </c>
      <c r="AJ3" s="741">
        <f>Water!E8</f>
        <v>0</v>
      </c>
      <c r="AK3" s="741">
        <f>Water!G8</f>
        <v>32.479999999999997</v>
      </c>
      <c r="AL3" s="806"/>
      <c r="AM3" s="741">
        <f>Gas!C8</f>
        <v>1069.54</v>
      </c>
      <c r="AN3" s="741">
        <f>Gas!E8</f>
        <v>148.39999999999998</v>
      </c>
      <c r="AO3" s="741">
        <f>Gas!G8</f>
        <v>80</v>
      </c>
      <c r="AP3" s="748">
        <v>158</v>
      </c>
    </row>
    <row r="4" spans="1:42" ht="12.75" customHeight="1">
      <c r="A4" s="754" t="s">
        <v>11</v>
      </c>
      <c r="B4" s="732">
        <f t="shared" ref="B4:B31" si="0">B3+1</f>
        <v>3</v>
      </c>
      <c r="C4" s="773">
        <v>6</v>
      </c>
      <c r="D4" s="753">
        <v>2021</v>
      </c>
      <c r="E4" s="806"/>
      <c r="F4" s="741">
        <f>Elect!J8</f>
        <v>4825</v>
      </c>
      <c r="G4" s="741">
        <f>Elect!K8</f>
        <v>3117</v>
      </c>
      <c r="H4" s="741">
        <f>Elect!Q8</f>
        <v>570</v>
      </c>
      <c r="I4" s="741">
        <f>Elect!S8</f>
        <v>148</v>
      </c>
      <c r="J4" s="741">
        <f>Elect!U8</f>
        <v>268</v>
      </c>
      <c r="K4" s="741">
        <f>Elect!W8</f>
        <v>2406.2000000000003</v>
      </c>
      <c r="L4" s="741">
        <f>Elect!Y8</f>
        <v>2371.2200000000003</v>
      </c>
      <c r="M4" s="741">
        <f>Elect!AA8</f>
        <v>0</v>
      </c>
      <c r="N4" s="741">
        <f>Elect!AC8</f>
        <v>0</v>
      </c>
      <c r="O4" s="741">
        <f>Elect!AE8</f>
        <v>0</v>
      </c>
      <c r="P4" s="741">
        <f>Elect!AG8</f>
        <v>1513.68</v>
      </c>
      <c r="Q4" s="741">
        <f>Elect!AI8</f>
        <v>1094.98</v>
      </c>
      <c r="R4" s="741">
        <f>Elect!AK8</f>
        <v>3894.44</v>
      </c>
      <c r="S4" s="741">
        <f>Elect!AM8</f>
        <v>183.91</v>
      </c>
      <c r="T4" s="741">
        <f>Elect!AP8</f>
        <v>239.625</v>
      </c>
      <c r="U4" s="741">
        <f>Elect!AR8</f>
        <v>386</v>
      </c>
      <c r="V4" s="741">
        <f>Elect!AT8</f>
        <v>165</v>
      </c>
      <c r="W4" s="741">
        <f>Elect!AV8</f>
        <v>50</v>
      </c>
      <c r="X4" s="741">
        <f>Elect!AX8</f>
        <v>1047</v>
      </c>
      <c r="Y4" s="741">
        <f>Elect!AZ8</f>
        <v>74</v>
      </c>
      <c r="Z4" s="741">
        <f>Elect!BB8</f>
        <v>4762</v>
      </c>
      <c r="AA4" s="741">
        <f>Elect!BD8</f>
        <v>155</v>
      </c>
      <c r="AB4" s="741">
        <f>Elect!BF8</f>
        <v>157</v>
      </c>
      <c r="AC4" s="741">
        <f>Elect!BH8</f>
        <v>5829.05</v>
      </c>
      <c r="AD4" s="741">
        <f>Elect!BL8</f>
        <v>280</v>
      </c>
      <c r="AE4" s="741">
        <f>Elect!BN8</f>
        <v>1514</v>
      </c>
      <c r="AF4" s="741">
        <f>Elect!BP8</f>
        <v>117</v>
      </c>
      <c r="AG4" s="741">
        <f>Elect!BR8</f>
        <v>223</v>
      </c>
      <c r="AH4" s="806"/>
      <c r="AI4" s="741">
        <f>Water!C9</f>
        <v>237.79999999999998</v>
      </c>
      <c r="AJ4" s="741">
        <f>Water!E9</f>
        <v>0</v>
      </c>
      <c r="AK4" s="741">
        <f>Water!G9</f>
        <v>20.299999999999997</v>
      </c>
      <c r="AL4" s="806"/>
      <c r="AM4" s="741">
        <f>Gas!C9</f>
        <v>1028.2</v>
      </c>
      <c r="AN4" s="741">
        <f>Gas!E9</f>
        <v>141.39999999999998</v>
      </c>
      <c r="AO4" s="741">
        <f>Gas!G9</f>
        <v>88</v>
      </c>
      <c r="AP4" s="748">
        <v>158</v>
      </c>
    </row>
    <row r="5" spans="1:42" ht="12.75" customHeight="1">
      <c r="A5" s="754" t="s">
        <v>11</v>
      </c>
      <c r="B5" s="732">
        <f t="shared" si="0"/>
        <v>4</v>
      </c>
      <c r="C5" s="773">
        <v>6</v>
      </c>
      <c r="D5" s="753">
        <v>2021</v>
      </c>
      <c r="E5" s="806"/>
      <c r="F5" s="741">
        <f>Elect!J9</f>
        <v>4408</v>
      </c>
      <c r="G5" s="741">
        <f>Elect!K9</f>
        <v>2704</v>
      </c>
      <c r="H5" s="741">
        <f>Elect!Q9</f>
        <v>450</v>
      </c>
      <c r="I5" s="741">
        <f>Elect!S9</f>
        <v>128</v>
      </c>
      <c r="J5" s="741">
        <f>Elect!U9</f>
        <v>241</v>
      </c>
      <c r="K5" s="741">
        <f>Elect!W9</f>
        <v>2819.07</v>
      </c>
      <c r="L5" s="741">
        <f>Elect!Y9</f>
        <v>1028.73</v>
      </c>
      <c r="M5" s="741">
        <f>Elect!AA9</f>
        <v>0</v>
      </c>
      <c r="N5" s="741">
        <f>Elect!AC9</f>
        <v>0</v>
      </c>
      <c r="O5" s="741">
        <f>Elect!AE9</f>
        <v>0</v>
      </c>
      <c r="P5" s="741">
        <f>Elect!AG9</f>
        <v>1275.18</v>
      </c>
      <c r="Q5" s="741">
        <f>Elect!AI9</f>
        <v>780.16000000000008</v>
      </c>
      <c r="R5" s="741">
        <f>Elect!AK9</f>
        <v>2910.76</v>
      </c>
      <c r="S5" s="741">
        <f>Elect!AM9</f>
        <v>157.94</v>
      </c>
      <c r="T5" s="741">
        <f>Elect!AP9</f>
        <v>230.85</v>
      </c>
      <c r="U5" s="741">
        <f>Elect!AR9</f>
        <v>322</v>
      </c>
      <c r="V5" s="741">
        <f>Elect!AT9</f>
        <v>144</v>
      </c>
      <c r="W5" s="741">
        <f>Elect!AV9</f>
        <v>23</v>
      </c>
      <c r="X5" s="741">
        <f>Elect!AX9</f>
        <v>726</v>
      </c>
      <c r="Y5" s="741">
        <f>Elect!AZ9</f>
        <v>64</v>
      </c>
      <c r="Z5" s="741">
        <f>Elect!BB9</f>
        <v>3881</v>
      </c>
      <c r="AA5" s="741">
        <f>Elect!BD9</f>
        <v>147</v>
      </c>
      <c r="AB5" s="741">
        <f>Elect!BF9</f>
        <v>61</v>
      </c>
      <c r="AC5" s="741">
        <f>Elect!BH9</f>
        <v>5196.6000000000004</v>
      </c>
      <c r="AD5" s="741">
        <f>Elect!BL9</f>
        <v>248</v>
      </c>
      <c r="AE5" s="741">
        <f>Elect!BN9</f>
        <v>1307</v>
      </c>
      <c r="AF5" s="741">
        <f>Elect!BP9</f>
        <v>105</v>
      </c>
      <c r="AG5" s="741">
        <f>Elect!BR9</f>
        <v>198</v>
      </c>
      <c r="AH5" s="806"/>
      <c r="AI5" s="741">
        <f>Water!C10</f>
        <v>313.2</v>
      </c>
      <c r="AJ5" s="741">
        <f>Water!E10</f>
        <v>0</v>
      </c>
      <c r="AK5" s="741">
        <f>Water!G10</f>
        <v>23.779999999999998</v>
      </c>
      <c r="AL5" s="806"/>
      <c r="AM5" s="741">
        <f>Gas!C10</f>
        <v>850.12</v>
      </c>
      <c r="AN5" s="741">
        <f>Gas!E10</f>
        <v>284.2</v>
      </c>
      <c r="AO5" s="741">
        <f>Gas!G10</f>
        <v>96</v>
      </c>
      <c r="AP5" s="748">
        <v>158</v>
      </c>
    </row>
    <row r="6" spans="1:42" ht="12.75" customHeight="1">
      <c r="A6" s="754" t="s">
        <v>11</v>
      </c>
      <c r="B6" s="732">
        <f t="shared" si="0"/>
        <v>5</v>
      </c>
      <c r="C6" s="773">
        <v>6</v>
      </c>
      <c r="D6" s="753">
        <v>2021</v>
      </c>
      <c r="E6" s="806"/>
      <c r="F6" s="741">
        <f>Elect!J10</f>
        <v>4951</v>
      </c>
      <c r="G6" s="741">
        <f>Elect!K10</f>
        <v>3044</v>
      </c>
      <c r="H6" s="741">
        <f>Elect!Q10</f>
        <v>510</v>
      </c>
      <c r="I6" s="741">
        <f>Elect!S10</f>
        <v>140</v>
      </c>
      <c r="J6" s="741">
        <f>Elect!U10</f>
        <v>265</v>
      </c>
      <c r="K6" s="741">
        <f>Elect!W10</f>
        <v>2545.06</v>
      </c>
      <c r="L6" s="741">
        <f>Elect!Y10</f>
        <v>1586.2900000000002</v>
      </c>
      <c r="M6" s="741">
        <f>Elect!AA10</f>
        <v>0</v>
      </c>
      <c r="N6" s="741">
        <f>Elect!AC10</f>
        <v>0</v>
      </c>
      <c r="O6" s="741">
        <f>Elect!AE10</f>
        <v>0</v>
      </c>
      <c r="P6" s="741">
        <f>Elect!AG10</f>
        <v>1370.0500000000002</v>
      </c>
      <c r="Q6" s="741">
        <f>Elect!AI10</f>
        <v>917.96</v>
      </c>
      <c r="R6" s="741">
        <f>Elect!AK10</f>
        <v>3371.3300000000004</v>
      </c>
      <c r="S6" s="741">
        <f>Elect!AM10</f>
        <v>166.95000000000002</v>
      </c>
      <c r="T6" s="741">
        <f>Elect!AP10</f>
        <v>210.9375</v>
      </c>
      <c r="U6" s="741">
        <f>Elect!AR10</f>
        <v>304</v>
      </c>
      <c r="V6" s="741">
        <f>Elect!AT10</f>
        <v>142</v>
      </c>
      <c r="W6" s="741">
        <f>Elect!AV10</f>
        <v>32</v>
      </c>
      <c r="X6" s="741">
        <f>Elect!AX10</f>
        <v>740</v>
      </c>
      <c r="Y6" s="741">
        <f>Elect!AZ10</f>
        <v>73</v>
      </c>
      <c r="Z6" s="741">
        <f>Elect!BB10</f>
        <v>4564</v>
      </c>
      <c r="AA6" s="741">
        <f>Elect!BD10</f>
        <v>162</v>
      </c>
      <c r="AB6" s="741">
        <f>Elect!BF10</f>
        <v>108</v>
      </c>
      <c r="AC6" s="741">
        <f>Elect!BH10</f>
        <v>5511.5999999999995</v>
      </c>
      <c r="AD6" s="741">
        <f>Elect!BL10</f>
        <v>213</v>
      </c>
      <c r="AE6" s="741">
        <f>Elect!BN10</f>
        <v>1368</v>
      </c>
      <c r="AF6" s="741">
        <f>Elect!BP10</f>
        <v>104</v>
      </c>
      <c r="AG6" s="741">
        <f>Elect!BR10</f>
        <v>210</v>
      </c>
      <c r="AH6" s="806"/>
      <c r="AI6" s="741">
        <f>Water!C11</f>
        <v>249.39999999999998</v>
      </c>
      <c r="AJ6" s="741">
        <f>Water!E11</f>
        <v>0</v>
      </c>
      <c r="AK6" s="741">
        <f>Water!G11</f>
        <v>27.259999999999998</v>
      </c>
      <c r="AL6" s="806"/>
      <c r="AM6" s="741">
        <f>Gas!C11</f>
        <v>1089.68</v>
      </c>
      <c r="AN6" s="741">
        <f>Gas!E11</f>
        <v>298.89999999999998</v>
      </c>
      <c r="AO6" s="741">
        <f>Gas!G11</f>
        <v>101</v>
      </c>
      <c r="AP6" s="748">
        <v>158</v>
      </c>
    </row>
    <row r="7" spans="1:42" ht="12.75" customHeight="1">
      <c r="A7" s="754" t="s">
        <v>11</v>
      </c>
      <c r="B7" s="732">
        <f t="shared" si="0"/>
        <v>6</v>
      </c>
      <c r="C7" s="773">
        <v>6</v>
      </c>
      <c r="D7" s="753">
        <v>2021</v>
      </c>
      <c r="E7" s="806"/>
      <c r="F7" s="741">
        <f>Elect!J11</f>
        <v>5148</v>
      </c>
      <c r="G7" s="741">
        <f>Elect!K11</f>
        <v>3203</v>
      </c>
      <c r="H7" s="741">
        <f>Elect!Q11</f>
        <v>600</v>
      </c>
      <c r="I7" s="741">
        <f>Elect!S11</f>
        <v>140</v>
      </c>
      <c r="J7" s="741">
        <f>Elect!U11</f>
        <v>263</v>
      </c>
      <c r="K7" s="741">
        <f>Elect!W11</f>
        <v>2509.5500000000002</v>
      </c>
      <c r="L7" s="741">
        <f>Elect!Y11</f>
        <v>0</v>
      </c>
      <c r="M7" s="741">
        <f>Elect!AA11</f>
        <v>2450.7200000000003</v>
      </c>
      <c r="N7" s="741">
        <f>Elect!AC11</f>
        <v>0</v>
      </c>
      <c r="O7" s="741">
        <f>Elect!AE11</f>
        <v>0</v>
      </c>
      <c r="P7" s="741">
        <f>Elect!AG11</f>
        <v>1335.6000000000001</v>
      </c>
      <c r="Q7" s="741">
        <f>Elect!AI11</f>
        <v>1023.96</v>
      </c>
      <c r="R7" s="741">
        <f>Elect!AK11</f>
        <v>3574.8500000000004</v>
      </c>
      <c r="S7" s="741">
        <f>Elect!AM11</f>
        <v>166.42000000000002</v>
      </c>
      <c r="T7" s="741">
        <f>Elect!AP11</f>
        <v>205.98750000000001</v>
      </c>
      <c r="U7" s="741">
        <f>Elect!AR11</f>
        <v>293</v>
      </c>
      <c r="V7" s="741">
        <f>Elect!AT11</f>
        <v>137</v>
      </c>
      <c r="W7" s="741">
        <f>Elect!AV11</f>
        <v>46</v>
      </c>
      <c r="X7" s="741">
        <f>Elect!AX11</f>
        <v>750</v>
      </c>
      <c r="Y7" s="741">
        <f>Elect!AZ11</f>
        <v>72</v>
      </c>
      <c r="Z7" s="741">
        <f>Elect!BB11</f>
        <v>4275</v>
      </c>
      <c r="AA7" s="741">
        <f>Elect!BD11</f>
        <v>165</v>
      </c>
      <c r="AB7" s="741">
        <f>Elect!BF11</f>
        <v>123</v>
      </c>
      <c r="AC7" s="741">
        <f>Elect!BH11</f>
        <v>5192.6000000000004</v>
      </c>
      <c r="AD7" s="741">
        <f>Elect!BL11</f>
        <v>0</v>
      </c>
      <c r="AE7" s="741">
        <f>Elect!BN11</f>
        <v>1300</v>
      </c>
      <c r="AF7" s="741">
        <f>Elect!BP11</f>
        <v>112</v>
      </c>
      <c r="AG7" s="741">
        <f>Elect!BR11</f>
        <v>209</v>
      </c>
      <c r="AH7" s="806"/>
      <c r="AI7" s="741">
        <f>Water!C12</f>
        <v>208.79999999999998</v>
      </c>
      <c r="AJ7" s="741">
        <f>Water!E12</f>
        <v>0</v>
      </c>
      <c r="AK7" s="741">
        <f>Water!G12</f>
        <v>23.779999999999998</v>
      </c>
      <c r="AL7" s="806"/>
      <c r="AM7" s="741">
        <f>Gas!C12</f>
        <v>1062.1200000000001</v>
      </c>
      <c r="AN7" s="741">
        <f>Gas!E12</f>
        <v>308</v>
      </c>
      <c r="AO7" s="741">
        <f>Gas!G12</f>
        <v>106</v>
      </c>
      <c r="AP7" s="748">
        <v>158</v>
      </c>
    </row>
    <row r="8" spans="1:42" ht="12.75" customHeight="1">
      <c r="A8" s="754" t="s">
        <v>11</v>
      </c>
      <c r="B8" s="732">
        <f t="shared" si="0"/>
        <v>7</v>
      </c>
      <c r="C8" s="773">
        <v>6</v>
      </c>
      <c r="D8" s="753">
        <v>2021</v>
      </c>
      <c r="E8" s="806"/>
      <c r="F8" s="741">
        <f>Elect!J12</f>
        <v>5028</v>
      </c>
      <c r="G8" s="741">
        <f>Elect!K12</f>
        <v>3083</v>
      </c>
      <c r="H8" s="741">
        <f>Elect!Q12</f>
        <v>360</v>
      </c>
      <c r="I8" s="741">
        <f>Elect!S12</f>
        <v>138</v>
      </c>
      <c r="J8" s="741">
        <f>Elect!U12</f>
        <v>261</v>
      </c>
      <c r="K8" s="741">
        <f>Elect!W12</f>
        <v>2559.9</v>
      </c>
      <c r="L8" s="741">
        <f>Elect!Y12</f>
        <v>0</v>
      </c>
      <c r="M8" s="741">
        <f>Elect!AA12</f>
        <v>151.05000000000001</v>
      </c>
      <c r="N8" s="741">
        <f>Elect!AC12</f>
        <v>2162.9300000000003</v>
      </c>
      <c r="O8" s="741">
        <f>Elect!AE12</f>
        <v>0</v>
      </c>
      <c r="P8" s="741">
        <f>Elect!AG12</f>
        <v>1499.3700000000001</v>
      </c>
      <c r="Q8" s="741">
        <f>Elect!AI12</f>
        <v>849.06000000000006</v>
      </c>
      <c r="R8" s="741">
        <f>Elect!AK12</f>
        <v>3567.4300000000003</v>
      </c>
      <c r="S8" s="741">
        <f>Elect!AM12</f>
        <v>166.95000000000002</v>
      </c>
      <c r="T8" s="741">
        <f>Elect!AP12</f>
        <v>236.13750000000002</v>
      </c>
      <c r="U8" s="741">
        <f>Elect!AR12</f>
        <v>295</v>
      </c>
      <c r="V8" s="741">
        <f>Elect!AT12</f>
        <v>147</v>
      </c>
      <c r="W8" s="741">
        <f>Elect!AV12</f>
        <v>52</v>
      </c>
      <c r="X8" s="741">
        <f>Elect!AX12</f>
        <v>768</v>
      </c>
      <c r="Y8" s="741">
        <f>Elect!AZ12</f>
        <v>72</v>
      </c>
      <c r="Z8" s="741">
        <f>Elect!BB12</f>
        <v>4332</v>
      </c>
      <c r="AA8" s="741">
        <f>Elect!BD12</f>
        <v>165</v>
      </c>
      <c r="AB8" s="741">
        <f>Elect!BF12</f>
        <v>139</v>
      </c>
      <c r="AC8" s="741">
        <f>Elect!BH12</f>
        <v>5686.0999999999995</v>
      </c>
      <c r="AD8" s="741">
        <f>Elect!BL12</f>
        <v>209</v>
      </c>
      <c r="AE8" s="741">
        <f>Elect!BN12</f>
        <v>1408</v>
      </c>
      <c r="AF8" s="741">
        <f>Elect!BP12</f>
        <v>114</v>
      </c>
      <c r="AG8" s="741">
        <f>Elect!BR12</f>
        <v>211</v>
      </c>
      <c r="AH8" s="806"/>
      <c r="AI8" s="741">
        <f>Water!C13</f>
        <v>197.2</v>
      </c>
      <c r="AJ8" s="741">
        <f>Water!E13</f>
        <v>0</v>
      </c>
      <c r="AK8" s="741">
        <f>Water!G13</f>
        <v>45.239999999999995</v>
      </c>
      <c r="AL8" s="806"/>
      <c r="AM8" s="741">
        <f>Gas!C13</f>
        <v>930.68000000000006</v>
      </c>
      <c r="AN8" s="741">
        <f>Gas!E13</f>
        <v>235.89999999999998</v>
      </c>
      <c r="AO8" s="741">
        <f>Gas!G13</f>
        <v>93</v>
      </c>
      <c r="AP8" s="748">
        <v>158</v>
      </c>
    </row>
    <row r="9" spans="1:42" ht="12.75" customHeight="1">
      <c r="A9" s="754" t="s">
        <v>11</v>
      </c>
      <c r="B9" s="732">
        <f t="shared" si="0"/>
        <v>8</v>
      </c>
      <c r="C9" s="773">
        <v>6</v>
      </c>
      <c r="D9" s="753">
        <v>2021</v>
      </c>
      <c r="E9" s="806"/>
      <c r="F9" s="741">
        <f>Elect!J13</f>
        <v>5556</v>
      </c>
      <c r="G9" s="741">
        <f>Elect!K13</f>
        <v>3452</v>
      </c>
      <c r="H9" s="741">
        <f>Elect!Q13</f>
        <v>510</v>
      </c>
      <c r="I9" s="741">
        <f>Elect!S13</f>
        <v>148</v>
      </c>
      <c r="J9" s="741">
        <f>Elect!U13</f>
        <v>282</v>
      </c>
      <c r="K9" s="741">
        <f>Elect!W13</f>
        <v>2915.53</v>
      </c>
      <c r="L9" s="741">
        <f>Elect!Y13</f>
        <v>2408.85</v>
      </c>
      <c r="M9" s="741">
        <f>Elect!AA13</f>
        <v>0</v>
      </c>
      <c r="N9" s="741">
        <f>Elect!AC13</f>
        <v>0</v>
      </c>
      <c r="O9" s="741">
        <f>Elect!AE13</f>
        <v>0</v>
      </c>
      <c r="P9" s="741">
        <f>Elect!AG13</f>
        <v>681.05000000000007</v>
      </c>
      <c r="Q9" s="741">
        <f>Elect!AI13</f>
        <v>921.1400000000001</v>
      </c>
      <c r="R9" s="741">
        <f>Elect!AK13</f>
        <v>3879.07</v>
      </c>
      <c r="S9" s="741">
        <f>Elect!AM13</f>
        <v>175.96</v>
      </c>
      <c r="T9" s="741">
        <f>Elect!AP13</f>
        <v>271.46250000000003</v>
      </c>
      <c r="U9" s="741">
        <f>Elect!AR13</f>
        <v>283</v>
      </c>
      <c r="V9" s="741">
        <f>Elect!AT13</f>
        <v>149</v>
      </c>
      <c r="W9" s="741">
        <f>Elect!AV13</f>
        <v>52</v>
      </c>
      <c r="X9" s="741">
        <f>Elect!AX13</f>
        <v>846</v>
      </c>
      <c r="Y9" s="741">
        <f>Elect!AZ13</f>
        <v>77</v>
      </c>
      <c r="Z9" s="741">
        <f>Elect!BB13</f>
        <v>4532</v>
      </c>
      <c r="AA9" s="741">
        <f>Elect!BD13</f>
        <v>179</v>
      </c>
      <c r="AB9" s="741">
        <f>Elect!BF13</f>
        <v>34</v>
      </c>
      <c r="AC9" s="741">
        <f>Elect!BH13</f>
        <v>5772.4</v>
      </c>
      <c r="AD9" s="741">
        <f>Elect!BL13</f>
        <v>117</v>
      </c>
      <c r="AE9" s="741">
        <f>Elect!BN13</f>
        <v>1394</v>
      </c>
      <c r="AF9" s="741">
        <f>Elect!BP13</f>
        <v>114</v>
      </c>
      <c r="AG9" s="741">
        <f>Elect!BR13</f>
        <v>222</v>
      </c>
      <c r="AH9" s="806"/>
      <c r="AI9" s="741">
        <f>Water!C14</f>
        <v>208.79999999999998</v>
      </c>
      <c r="AJ9" s="741">
        <f>Water!E14</f>
        <v>0</v>
      </c>
      <c r="AK9" s="741">
        <f>Water!G14</f>
        <v>37.119999999999997</v>
      </c>
      <c r="AL9" s="806"/>
      <c r="AM9" s="741">
        <f>Gas!C14</f>
        <v>382.66</v>
      </c>
      <c r="AN9" s="741">
        <f>Gas!E14</f>
        <v>261.09999999999997</v>
      </c>
      <c r="AO9" s="741">
        <f>Gas!G14</f>
        <v>91</v>
      </c>
      <c r="AP9" s="748">
        <v>158</v>
      </c>
    </row>
    <row r="10" spans="1:42" ht="12.75" customHeight="1">
      <c r="A10" s="754" t="s">
        <v>11</v>
      </c>
      <c r="B10" s="732">
        <f t="shared" si="0"/>
        <v>9</v>
      </c>
      <c r="C10" s="773">
        <v>6</v>
      </c>
      <c r="D10" s="753">
        <v>2021</v>
      </c>
      <c r="E10" s="806"/>
      <c r="F10" s="741">
        <f>Elect!J14</f>
        <v>4703</v>
      </c>
      <c r="G10" s="741">
        <f>Elect!K14</f>
        <v>3078</v>
      </c>
      <c r="H10" s="741">
        <f>Elect!Q14</f>
        <v>630</v>
      </c>
      <c r="I10" s="741">
        <f>Elect!S14</f>
        <v>131</v>
      </c>
      <c r="J10" s="741">
        <f>Elect!U14</f>
        <v>253</v>
      </c>
      <c r="K10" s="741">
        <f>Elect!W14</f>
        <v>3164.63</v>
      </c>
      <c r="L10" s="741">
        <f>Elect!Y14</f>
        <v>0</v>
      </c>
      <c r="M10" s="741">
        <f>Elect!AA14</f>
        <v>1683.8100000000002</v>
      </c>
      <c r="N10" s="741">
        <f>Elect!AC14</f>
        <v>0</v>
      </c>
      <c r="O10" s="741">
        <f>Elect!AE14</f>
        <v>0</v>
      </c>
      <c r="P10" s="741">
        <f>Elect!AG14</f>
        <v>10.600000000000001</v>
      </c>
      <c r="Q10" s="741">
        <f>Elect!AI14</f>
        <v>958.7700000000001</v>
      </c>
      <c r="R10" s="741">
        <f>Elect!AK14</f>
        <v>3440.76</v>
      </c>
      <c r="S10" s="741">
        <f>Elect!AM14</f>
        <v>166.42000000000002</v>
      </c>
      <c r="T10" s="741">
        <f>Elect!AP14</f>
        <v>213.63750000000002</v>
      </c>
      <c r="U10" s="741">
        <f>Elect!AR14</f>
        <v>275</v>
      </c>
      <c r="V10" s="741">
        <f>Elect!AT14</f>
        <v>127</v>
      </c>
      <c r="W10" s="741">
        <f>Elect!AV14</f>
        <v>56</v>
      </c>
      <c r="X10" s="741">
        <f>Elect!AX14</f>
        <v>836</v>
      </c>
      <c r="Y10" s="741">
        <f>Elect!AZ14</f>
        <v>69</v>
      </c>
      <c r="Z10" s="741">
        <f>Elect!BB14</f>
        <v>4203</v>
      </c>
      <c r="AA10" s="741">
        <f>Elect!BD14</f>
        <v>161</v>
      </c>
      <c r="AB10" s="741">
        <f>Elect!BF14</f>
        <v>121</v>
      </c>
      <c r="AC10" s="741">
        <f>Elect!BH14</f>
        <v>5080.8500000000004</v>
      </c>
      <c r="AD10" s="741">
        <f>Elect!BL14</f>
        <v>2</v>
      </c>
      <c r="AE10" s="741">
        <f>Elect!BN14</f>
        <v>1291</v>
      </c>
      <c r="AF10" s="741">
        <f>Elect!BP14</f>
        <v>96</v>
      </c>
      <c r="AG10" s="741">
        <f>Elect!BR14</f>
        <v>202</v>
      </c>
      <c r="AH10" s="806"/>
      <c r="AI10" s="741">
        <f>Water!C15</f>
        <v>201.0666666668636</v>
      </c>
      <c r="AJ10" s="741">
        <f>Water!E15</f>
        <v>0</v>
      </c>
      <c r="AK10" s="741">
        <f>Water!G15</f>
        <v>42.533333333313635</v>
      </c>
      <c r="AL10" s="806"/>
      <c r="AM10" s="741">
        <f>Gas!C15</f>
        <v>1322.88</v>
      </c>
      <c r="AN10" s="741">
        <f>Gas!E15</f>
        <v>182</v>
      </c>
      <c r="AO10" s="741">
        <f>Gas!G15</f>
        <v>18</v>
      </c>
      <c r="AP10" s="748">
        <v>158</v>
      </c>
    </row>
    <row r="11" spans="1:42" ht="12.75" customHeight="1">
      <c r="A11" s="754" t="s">
        <v>11</v>
      </c>
      <c r="B11" s="732">
        <f t="shared" si="0"/>
        <v>10</v>
      </c>
      <c r="C11" s="773">
        <v>6</v>
      </c>
      <c r="D11" s="753">
        <v>2021</v>
      </c>
      <c r="E11" s="806"/>
      <c r="F11" s="741">
        <f>Elect!J15</f>
        <v>4927</v>
      </c>
      <c r="G11" s="741">
        <f>Elect!K15</f>
        <v>3158</v>
      </c>
      <c r="H11" s="741">
        <f>Elect!Q15</f>
        <v>570</v>
      </c>
      <c r="I11" s="741">
        <f>Elect!S15</f>
        <v>140</v>
      </c>
      <c r="J11" s="741">
        <f>Elect!U15</f>
        <v>268</v>
      </c>
      <c r="K11" s="741">
        <f>Elect!W15</f>
        <v>3035.31</v>
      </c>
      <c r="L11" s="741">
        <f>Elect!Y15</f>
        <v>0</v>
      </c>
      <c r="M11" s="741">
        <f>Elect!AA15</f>
        <v>3027.36</v>
      </c>
      <c r="N11" s="741">
        <f>Elect!AC15</f>
        <v>0</v>
      </c>
      <c r="O11" s="741">
        <f>Elect!AE15</f>
        <v>9.5400000000000009</v>
      </c>
      <c r="P11" s="741">
        <f>Elect!AG15</f>
        <v>11.13</v>
      </c>
      <c r="Q11" s="741">
        <f>Elect!AI15</f>
        <v>1131.02</v>
      </c>
      <c r="R11" s="741">
        <f>Elect!AK15</f>
        <v>3911.9300000000003</v>
      </c>
      <c r="S11" s="741">
        <f>Elect!AM15</f>
        <v>171.72</v>
      </c>
      <c r="T11" s="741">
        <f>Elect!AP15</f>
        <v>192.6</v>
      </c>
      <c r="U11" s="741">
        <f>Elect!AR15</f>
        <v>276</v>
      </c>
      <c r="V11" s="741">
        <f>Elect!AT15</f>
        <v>173</v>
      </c>
      <c r="W11" s="741">
        <f>Elect!AV15</f>
        <v>66</v>
      </c>
      <c r="X11" s="741">
        <f>Elect!AX15</f>
        <v>862</v>
      </c>
      <c r="Y11" s="741">
        <f>Elect!AZ15</f>
        <v>74</v>
      </c>
      <c r="Z11" s="741">
        <f>Elect!BB15</f>
        <v>4135</v>
      </c>
      <c r="AA11" s="741">
        <f>Elect!BD15</f>
        <v>170</v>
      </c>
      <c r="AB11" s="741">
        <f>Elect!BF15</f>
        <v>100</v>
      </c>
      <c r="AC11" s="741">
        <f>Elect!BH15</f>
        <v>6305.9000000000005</v>
      </c>
      <c r="AD11" s="741">
        <f>Elect!BL15</f>
        <v>251</v>
      </c>
      <c r="AE11" s="741">
        <f>Elect!BN15</f>
        <v>1446</v>
      </c>
      <c r="AF11" s="741">
        <f>Elect!BP15</f>
        <v>112</v>
      </c>
      <c r="AG11" s="741">
        <f>Elect!BR15</f>
        <v>220</v>
      </c>
      <c r="AH11" s="806"/>
      <c r="AI11" s="741">
        <f>Water!C16</f>
        <v>291.93333333313637</v>
      </c>
      <c r="AJ11" s="741">
        <f>Water!E16</f>
        <v>0</v>
      </c>
      <c r="AK11" s="741">
        <f>Water!G16</f>
        <v>0</v>
      </c>
      <c r="AL11" s="806"/>
      <c r="AM11" s="741">
        <f>Gas!C16</f>
        <v>519.4</v>
      </c>
      <c r="AN11" s="741">
        <f>Gas!E16</f>
        <v>304.5</v>
      </c>
      <c r="AO11" s="741">
        <f>Gas!G16</f>
        <v>61</v>
      </c>
      <c r="AP11" s="748">
        <v>158</v>
      </c>
    </row>
    <row r="12" spans="1:42" ht="12.75" customHeight="1">
      <c r="A12" s="754" t="s">
        <v>11</v>
      </c>
      <c r="B12" s="732">
        <f t="shared" si="0"/>
        <v>11</v>
      </c>
      <c r="C12" s="773">
        <v>6</v>
      </c>
      <c r="D12" s="753">
        <v>2021</v>
      </c>
      <c r="E12" s="806"/>
      <c r="F12" s="741">
        <f>Elect!J16</f>
        <v>5329</v>
      </c>
      <c r="G12" s="741">
        <f>Elect!K16</f>
        <v>3142</v>
      </c>
      <c r="H12" s="741">
        <f>Elect!Q16</f>
        <v>540</v>
      </c>
      <c r="I12" s="741">
        <f>Elect!S16</f>
        <v>141</v>
      </c>
      <c r="J12" s="741">
        <f>Elect!U16</f>
        <v>269</v>
      </c>
      <c r="K12" s="741">
        <f>Elect!W16</f>
        <v>2849.81</v>
      </c>
      <c r="L12" s="741">
        <f>Elect!Y16</f>
        <v>0</v>
      </c>
      <c r="M12" s="741">
        <f>Elect!AA16</f>
        <v>2613.96</v>
      </c>
      <c r="N12" s="741">
        <f>Elect!AC16</f>
        <v>0</v>
      </c>
      <c r="O12" s="741">
        <f>Elect!AE16</f>
        <v>4.24</v>
      </c>
      <c r="P12" s="741">
        <f>Elect!AG16</f>
        <v>11.13</v>
      </c>
      <c r="Q12" s="741">
        <f>Elect!AI16</f>
        <v>965.13</v>
      </c>
      <c r="R12" s="741">
        <f>Elect!AK16</f>
        <v>3505.9500000000003</v>
      </c>
      <c r="S12" s="741">
        <f>Elect!AM16</f>
        <v>158.47</v>
      </c>
      <c r="T12" s="741">
        <f>Elect!AP16</f>
        <v>212.0625</v>
      </c>
      <c r="U12" s="741">
        <f>Elect!AR16</f>
        <v>304</v>
      </c>
      <c r="V12" s="741">
        <f>Elect!AT16</f>
        <v>178</v>
      </c>
      <c r="W12" s="741">
        <f>Elect!AV16</f>
        <v>53</v>
      </c>
      <c r="X12" s="741">
        <f>Elect!AX16</f>
        <v>801</v>
      </c>
      <c r="Y12" s="741">
        <f>Elect!AZ16</f>
        <v>74</v>
      </c>
      <c r="Z12" s="741">
        <f>Elect!BB16</f>
        <v>4562</v>
      </c>
      <c r="AA12" s="741">
        <f>Elect!BD16</f>
        <v>171</v>
      </c>
      <c r="AB12" s="741">
        <f>Elect!BF16</f>
        <v>125</v>
      </c>
      <c r="AC12" s="741">
        <f>Elect!BH16</f>
        <v>5843.65</v>
      </c>
      <c r="AD12" s="741">
        <f>Elect!BL16</f>
        <v>256</v>
      </c>
      <c r="AE12" s="741">
        <f>Elect!BN16</f>
        <v>1325</v>
      </c>
      <c r="AF12" s="741">
        <f>Elect!BP16</f>
        <v>98</v>
      </c>
      <c r="AG12" s="741">
        <f>Elect!BR16</f>
        <v>203</v>
      </c>
      <c r="AH12" s="806"/>
      <c r="AI12" s="741">
        <f>Water!C17</f>
        <v>179.79999999999998</v>
      </c>
      <c r="AJ12" s="741">
        <f>Water!E17</f>
        <v>0</v>
      </c>
      <c r="AK12" s="741">
        <f>Water!G17</f>
        <v>0</v>
      </c>
      <c r="AL12" s="806"/>
      <c r="AM12" s="741">
        <f>Gas!C17</f>
        <v>1094.98</v>
      </c>
      <c r="AN12" s="741">
        <f>Gas!E17</f>
        <v>279.29999999999995</v>
      </c>
      <c r="AO12" s="741">
        <f>Gas!G17</f>
        <v>75</v>
      </c>
      <c r="AP12" s="748">
        <v>158</v>
      </c>
    </row>
    <row r="13" spans="1:42" ht="12.75" customHeight="1">
      <c r="A13" s="754" t="s">
        <v>11</v>
      </c>
      <c r="B13" s="732">
        <f t="shared" si="0"/>
        <v>12</v>
      </c>
      <c r="C13" s="773">
        <v>6</v>
      </c>
      <c r="D13" s="753">
        <v>2021</v>
      </c>
      <c r="E13" s="806"/>
      <c r="F13" s="741">
        <f>Elect!J17</f>
        <v>5210</v>
      </c>
      <c r="G13" s="741">
        <f>Elect!K17</f>
        <v>3334</v>
      </c>
      <c r="H13" s="741">
        <f>Elect!Q17</f>
        <v>540</v>
      </c>
      <c r="I13" s="741">
        <f>Elect!S17</f>
        <v>141</v>
      </c>
      <c r="J13" s="741">
        <f>Elect!U17</f>
        <v>275</v>
      </c>
      <c r="K13" s="741">
        <f>Elect!W17</f>
        <v>3205.44</v>
      </c>
      <c r="L13" s="741">
        <f>Elect!Y17</f>
        <v>2405.1400000000003</v>
      </c>
      <c r="M13" s="741">
        <f>Elect!AA17</f>
        <v>35.510000000000005</v>
      </c>
      <c r="N13" s="741">
        <f>Elect!AC17</f>
        <v>0</v>
      </c>
      <c r="O13" s="741">
        <f>Elect!AE17</f>
        <v>8.48</v>
      </c>
      <c r="P13" s="741">
        <f>Elect!AG17</f>
        <v>11.13</v>
      </c>
      <c r="Q13" s="741">
        <f>Elect!AI17</f>
        <v>1041.98</v>
      </c>
      <c r="R13" s="741">
        <f>Elect!AK17</f>
        <v>3879.07</v>
      </c>
      <c r="S13" s="741">
        <f>Elect!AM17</f>
        <v>172.78</v>
      </c>
      <c r="T13" s="741">
        <f>Elect!AP17</f>
        <v>201.6</v>
      </c>
      <c r="U13" s="741">
        <f>Elect!AR17</f>
        <v>244</v>
      </c>
      <c r="V13" s="741">
        <f>Elect!AT17</f>
        <v>153</v>
      </c>
      <c r="W13" s="741">
        <f>Elect!AV17</f>
        <v>59</v>
      </c>
      <c r="X13" s="741">
        <f>Elect!AX17</f>
        <v>856</v>
      </c>
      <c r="Y13" s="741">
        <f>Elect!AZ17</f>
        <v>75</v>
      </c>
      <c r="Z13" s="741">
        <f>Elect!BB17</f>
        <v>4891</v>
      </c>
      <c r="AA13" s="741">
        <f>Elect!BD17</f>
        <v>179</v>
      </c>
      <c r="AB13" s="741">
        <f>Elect!BF17</f>
        <v>114</v>
      </c>
      <c r="AC13" s="741">
        <f>Elect!BH17</f>
        <v>6214.2</v>
      </c>
      <c r="AD13" s="741">
        <f>Elect!BL17</f>
        <v>270</v>
      </c>
      <c r="AE13" s="741">
        <f>Elect!BN17</f>
        <v>1401</v>
      </c>
      <c r="AF13" s="741">
        <f>Elect!BP17</f>
        <v>103</v>
      </c>
      <c r="AG13" s="741">
        <f>Elect!BR17</f>
        <v>212</v>
      </c>
      <c r="AH13" s="806"/>
      <c r="AI13" s="741">
        <f>Water!C18</f>
        <v>336.4</v>
      </c>
      <c r="AJ13" s="741">
        <f>Water!E18</f>
        <v>0</v>
      </c>
      <c r="AK13" s="741">
        <f>Water!G18</f>
        <v>0</v>
      </c>
      <c r="AL13" s="806"/>
      <c r="AM13" s="741">
        <f>Gas!C18</f>
        <v>1193.5600000000002</v>
      </c>
      <c r="AN13" s="741">
        <f>Gas!E18</f>
        <v>212.79999999999998</v>
      </c>
      <c r="AO13" s="741">
        <f>Gas!G18</f>
        <v>64</v>
      </c>
      <c r="AP13" s="748">
        <v>158</v>
      </c>
    </row>
    <row r="14" spans="1:42" ht="12.75" customHeight="1">
      <c r="A14" s="754" t="s">
        <v>11</v>
      </c>
      <c r="B14" s="732">
        <f t="shared" si="0"/>
        <v>13</v>
      </c>
      <c r="C14" s="773">
        <v>6</v>
      </c>
      <c r="D14" s="753">
        <v>2021</v>
      </c>
      <c r="E14" s="806"/>
      <c r="F14" s="741">
        <f>Elect!J18</f>
        <v>5191</v>
      </c>
      <c r="G14" s="741">
        <f>Elect!K18</f>
        <v>3314</v>
      </c>
      <c r="H14" s="741">
        <f>Elect!Q18</f>
        <v>630</v>
      </c>
      <c r="I14" s="741">
        <f>Elect!S18</f>
        <v>137</v>
      </c>
      <c r="J14" s="741">
        <f>Elect!U18</f>
        <v>267</v>
      </c>
      <c r="K14" s="741">
        <f>Elect!W18</f>
        <v>3123.29</v>
      </c>
      <c r="L14" s="741">
        <f>Elect!Y18</f>
        <v>2871.54</v>
      </c>
      <c r="M14" s="741">
        <f>Elect!AA18</f>
        <v>0</v>
      </c>
      <c r="N14" s="741">
        <f>Elect!AC18</f>
        <v>0</v>
      </c>
      <c r="O14" s="741">
        <f>Elect!AE18</f>
        <v>5.83</v>
      </c>
      <c r="P14" s="741">
        <f>Elect!AG18</f>
        <v>19.61</v>
      </c>
      <c r="Q14" s="741">
        <f>Elect!AI18</f>
        <v>1076.96</v>
      </c>
      <c r="R14" s="741">
        <f>Elect!AK18</f>
        <v>3978.1800000000003</v>
      </c>
      <c r="S14" s="741">
        <f>Elect!AM18</f>
        <v>169.60000000000002</v>
      </c>
      <c r="T14" s="741">
        <f>Elect!AP18</f>
        <v>203.4</v>
      </c>
      <c r="U14" s="741">
        <f>Elect!AR18</f>
        <v>281</v>
      </c>
      <c r="V14" s="741">
        <f>Elect!AT18</f>
        <v>151</v>
      </c>
      <c r="W14" s="741">
        <f>Elect!AV18</f>
        <v>60</v>
      </c>
      <c r="X14" s="741">
        <f>Elect!AX18</f>
        <v>849</v>
      </c>
      <c r="Y14" s="741">
        <f>Elect!AZ18</f>
        <v>74</v>
      </c>
      <c r="Z14" s="741">
        <f>Elect!BB18</f>
        <v>4662</v>
      </c>
      <c r="AA14" s="741">
        <f>Elect!BD18</f>
        <v>171</v>
      </c>
      <c r="AB14" s="741">
        <f>Elect!BF18</f>
        <v>119</v>
      </c>
      <c r="AC14" s="741">
        <f>Elect!BH18</f>
        <v>5828.3</v>
      </c>
      <c r="AD14" s="741">
        <f>Elect!BL18</f>
        <v>253</v>
      </c>
      <c r="AE14" s="741">
        <f>Elect!BN18</f>
        <v>1340</v>
      </c>
      <c r="AF14" s="741">
        <f>Elect!BP18</f>
        <v>106</v>
      </c>
      <c r="AG14" s="741">
        <f>Elect!BR18</f>
        <v>204</v>
      </c>
      <c r="AH14" s="806"/>
      <c r="AI14" s="741">
        <f>Water!C19</f>
        <v>168.2</v>
      </c>
      <c r="AJ14" s="741">
        <f>Water!E19</f>
        <v>0</v>
      </c>
      <c r="AK14" s="741">
        <f>Water!G19</f>
        <v>0</v>
      </c>
      <c r="AL14" s="806"/>
      <c r="AM14" s="741">
        <f>Gas!C19</f>
        <v>776.98</v>
      </c>
      <c r="AN14" s="741">
        <f>Gas!E19</f>
        <v>179.2</v>
      </c>
      <c r="AO14" s="741">
        <f>Gas!G19</f>
        <v>63</v>
      </c>
      <c r="AP14" s="748">
        <v>158</v>
      </c>
    </row>
    <row r="15" spans="1:42" ht="12.75" customHeight="1">
      <c r="A15" s="754" t="s">
        <v>11</v>
      </c>
      <c r="B15" s="732">
        <f t="shared" si="0"/>
        <v>14</v>
      </c>
      <c r="C15" s="773">
        <v>6</v>
      </c>
      <c r="D15" s="753">
        <v>2021</v>
      </c>
      <c r="E15" s="806"/>
      <c r="F15" s="741">
        <f>Elect!J19</f>
        <v>4993</v>
      </c>
      <c r="G15" s="741">
        <f>Elect!K19</f>
        <v>3278</v>
      </c>
      <c r="H15" s="741">
        <f>Elect!Q19</f>
        <v>540</v>
      </c>
      <c r="I15" s="741">
        <f>Elect!S19</f>
        <v>136</v>
      </c>
      <c r="J15" s="741">
        <f>Elect!U19</f>
        <v>258</v>
      </c>
      <c r="K15" s="741">
        <f>Elect!W19</f>
        <v>2396.13</v>
      </c>
      <c r="L15" s="741">
        <f>Elect!Y19</f>
        <v>3561.6000000000004</v>
      </c>
      <c r="M15" s="741">
        <f>Elect!AA19</f>
        <v>0</v>
      </c>
      <c r="N15" s="741">
        <f>Elect!AC19</f>
        <v>0</v>
      </c>
      <c r="O15" s="741">
        <f>Elect!AE19</f>
        <v>10.07</v>
      </c>
      <c r="P15" s="741">
        <f>Elect!AG19</f>
        <v>10.600000000000001</v>
      </c>
      <c r="Q15" s="741">
        <f>Elect!AI19</f>
        <v>1069.01</v>
      </c>
      <c r="R15" s="741">
        <f>Elect!AK19</f>
        <v>4024.82</v>
      </c>
      <c r="S15" s="741">
        <f>Elect!AM19</f>
        <v>164.83</v>
      </c>
      <c r="T15" s="741">
        <f>Elect!AP19</f>
        <v>210.48750000000001</v>
      </c>
      <c r="U15" s="741">
        <f>Elect!AR19</f>
        <v>285</v>
      </c>
      <c r="V15" s="741">
        <f>Elect!AT19</f>
        <v>166</v>
      </c>
      <c r="W15" s="741">
        <f>Elect!AV19</f>
        <v>48</v>
      </c>
      <c r="X15" s="741">
        <f>Elect!AX19</f>
        <v>828</v>
      </c>
      <c r="Y15" s="741">
        <f>Elect!AZ19</f>
        <v>73</v>
      </c>
      <c r="Z15" s="741">
        <f>Elect!BB19</f>
        <v>4325</v>
      </c>
      <c r="AA15" s="741">
        <f>Elect!BD19</f>
        <v>156</v>
      </c>
      <c r="AB15" s="741">
        <f>Elect!BF19</f>
        <v>106</v>
      </c>
      <c r="AC15" s="741">
        <f>Elect!BH19</f>
        <v>5826.05</v>
      </c>
      <c r="AD15" s="741">
        <f>Elect!BL19</f>
        <v>261</v>
      </c>
      <c r="AE15" s="741">
        <f>Elect!BN19</f>
        <v>1381</v>
      </c>
      <c r="AF15" s="741">
        <f>Elect!BP19</f>
        <v>110</v>
      </c>
      <c r="AG15" s="741">
        <f>Elect!BR19</f>
        <v>207</v>
      </c>
      <c r="AH15" s="806"/>
      <c r="AI15" s="741">
        <f>Water!C20</f>
        <v>231.99999999999997</v>
      </c>
      <c r="AJ15" s="741">
        <f>Water!E20</f>
        <v>0</v>
      </c>
      <c r="AK15" s="741">
        <f>Water!G20</f>
        <v>0</v>
      </c>
      <c r="AL15" s="806"/>
      <c r="AM15" s="741">
        <f>Gas!C20</f>
        <v>1009.12</v>
      </c>
      <c r="AN15" s="741">
        <f>Gas!E20</f>
        <v>203.7</v>
      </c>
      <c r="AO15" s="741">
        <f>Gas!G20</f>
        <v>161</v>
      </c>
      <c r="AP15" s="748">
        <v>158</v>
      </c>
    </row>
    <row r="16" spans="1:42" ht="12.75" customHeight="1">
      <c r="A16" s="754" t="s">
        <v>11</v>
      </c>
      <c r="B16" s="732">
        <f t="shared" si="0"/>
        <v>15</v>
      </c>
      <c r="C16" s="773">
        <v>6</v>
      </c>
      <c r="D16" s="753">
        <v>2021</v>
      </c>
      <c r="E16" s="806"/>
      <c r="F16" s="741">
        <f>Elect!J20</f>
        <v>5550</v>
      </c>
      <c r="G16" s="741">
        <f>Elect!K20</f>
        <v>3319</v>
      </c>
      <c r="H16" s="741">
        <f>Elect!Q20</f>
        <v>540</v>
      </c>
      <c r="I16" s="741">
        <f>Elect!S20</f>
        <v>140</v>
      </c>
      <c r="J16" s="741">
        <f>Elect!U20</f>
        <v>265</v>
      </c>
      <c r="K16" s="741">
        <f>Elect!W20</f>
        <v>2934.61</v>
      </c>
      <c r="L16" s="741">
        <f>Elect!Y20</f>
        <v>2498.9500000000003</v>
      </c>
      <c r="M16" s="741">
        <f>Elect!AA20</f>
        <v>0</v>
      </c>
      <c r="N16" s="741">
        <f>Elect!AC20</f>
        <v>0</v>
      </c>
      <c r="O16" s="741">
        <f>Elect!AE20</f>
        <v>8.48</v>
      </c>
      <c r="P16" s="741">
        <f>Elect!AG20</f>
        <v>10.600000000000001</v>
      </c>
      <c r="Q16" s="741">
        <f>Elect!AI20</f>
        <v>997.46</v>
      </c>
      <c r="R16" s="741">
        <f>Elect!AK20</f>
        <v>3534.57</v>
      </c>
      <c r="S16" s="741">
        <f>Elect!AM20</f>
        <v>160.06</v>
      </c>
      <c r="T16" s="741">
        <f>Elect!AP20</f>
        <v>211.83750000000001</v>
      </c>
      <c r="U16" s="741">
        <f>Elect!AR20</f>
        <v>280</v>
      </c>
      <c r="V16" s="741">
        <f>Elect!AT20</f>
        <v>145</v>
      </c>
      <c r="W16" s="741">
        <f>Elect!AV20</f>
        <v>49</v>
      </c>
      <c r="X16" s="741">
        <f>Elect!AX20</f>
        <v>807</v>
      </c>
      <c r="Y16" s="741">
        <f>Elect!AZ20</f>
        <v>75</v>
      </c>
      <c r="Z16" s="741">
        <f>Elect!BB20</f>
        <v>4345</v>
      </c>
      <c r="AA16" s="741">
        <f>Elect!BD20</f>
        <v>171</v>
      </c>
      <c r="AB16" s="741">
        <f>Elect!BF20</f>
        <v>87</v>
      </c>
      <c r="AC16" s="741">
        <f>Elect!BH20</f>
        <v>6114.8499999999995</v>
      </c>
      <c r="AD16" s="741">
        <f>Elect!BL20</f>
        <v>264</v>
      </c>
      <c r="AE16" s="741">
        <f>Elect!BN20</f>
        <v>1358</v>
      </c>
      <c r="AF16" s="741">
        <f>Elect!BP20</f>
        <v>109</v>
      </c>
      <c r="AG16" s="741">
        <f>Elect!BR20</f>
        <v>208</v>
      </c>
      <c r="AH16" s="806"/>
      <c r="AI16" s="741">
        <f>Water!C21</f>
        <v>255.2</v>
      </c>
      <c r="AJ16" s="741">
        <f>Water!E21</f>
        <v>0</v>
      </c>
      <c r="AK16" s="741">
        <f>Water!G21</f>
        <v>0</v>
      </c>
      <c r="AL16" s="806"/>
      <c r="AM16" s="741">
        <f>Gas!C21</f>
        <v>854.36</v>
      </c>
      <c r="AN16" s="741">
        <f>Gas!E21</f>
        <v>343.7</v>
      </c>
      <c r="AO16" s="741">
        <f>Gas!G21</f>
        <v>35</v>
      </c>
      <c r="AP16" s="748">
        <v>158</v>
      </c>
    </row>
    <row r="17" spans="1:42" ht="12.75" customHeight="1">
      <c r="A17" s="754" t="s">
        <v>11</v>
      </c>
      <c r="B17" s="732">
        <f t="shared" si="0"/>
        <v>16</v>
      </c>
      <c r="C17" s="773">
        <v>6</v>
      </c>
      <c r="D17" s="753">
        <v>2021</v>
      </c>
      <c r="E17" s="806"/>
      <c r="F17" s="741">
        <f>Elect!J21</f>
        <v>5610</v>
      </c>
      <c r="G17" s="741">
        <f>Elect!K21</f>
        <v>3495</v>
      </c>
      <c r="H17" s="741">
        <f>Elect!Q21</f>
        <v>600</v>
      </c>
      <c r="I17" s="741">
        <f>Elect!S21</f>
        <v>138</v>
      </c>
      <c r="J17" s="741">
        <f>Elect!U21</f>
        <v>259</v>
      </c>
      <c r="K17" s="741">
        <f>Elect!W21</f>
        <v>2864.65</v>
      </c>
      <c r="L17" s="741">
        <f>Elect!Y21</f>
        <v>2680.7400000000002</v>
      </c>
      <c r="M17" s="741">
        <f>Elect!AA21</f>
        <v>0</v>
      </c>
      <c r="N17" s="741">
        <f>Elect!AC21</f>
        <v>0</v>
      </c>
      <c r="O17" s="741">
        <f>Elect!AE21</f>
        <v>0</v>
      </c>
      <c r="P17" s="741">
        <f>Elect!AG21</f>
        <v>1052.05</v>
      </c>
      <c r="Q17" s="741">
        <f>Elect!AI21</f>
        <v>1011.7700000000001</v>
      </c>
      <c r="R17" s="741">
        <f>Elect!AK21</f>
        <v>3744.98</v>
      </c>
      <c r="S17" s="741">
        <f>Elect!AM21</f>
        <v>161.65</v>
      </c>
      <c r="T17" s="741">
        <f>Elect!AP21</f>
        <v>196.3125</v>
      </c>
      <c r="U17" s="741">
        <f>Elect!AR21</f>
        <v>235</v>
      </c>
      <c r="V17" s="741">
        <f>Elect!AT21</f>
        <v>139</v>
      </c>
      <c r="W17" s="741">
        <f>Elect!AV21</f>
        <v>51</v>
      </c>
      <c r="X17" s="741">
        <f>Elect!AX21</f>
        <v>844</v>
      </c>
      <c r="Y17" s="741">
        <f>Elect!AZ21</f>
        <v>73</v>
      </c>
      <c r="Z17" s="741">
        <f>Elect!BB21</f>
        <v>4480</v>
      </c>
      <c r="AA17" s="741">
        <f>Elect!BD21</f>
        <v>154</v>
      </c>
      <c r="AB17" s="741">
        <f>Elect!BF21</f>
        <v>112</v>
      </c>
      <c r="AC17" s="741">
        <f>Elect!BH21</f>
        <v>5880.5</v>
      </c>
      <c r="AD17" s="741">
        <f>Elect!BL21</f>
        <v>259</v>
      </c>
      <c r="AE17" s="741">
        <f>Elect!BN21</f>
        <v>1343</v>
      </c>
      <c r="AF17" s="741">
        <f>Elect!BP21</f>
        <v>107</v>
      </c>
      <c r="AG17" s="741">
        <f>Elect!BR21</f>
        <v>204</v>
      </c>
      <c r="AH17" s="806"/>
      <c r="AI17" s="741">
        <f>Water!C22</f>
        <v>243.6</v>
      </c>
      <c r="AJ17" s="741">
        <f>Water!E22</f>
        <v>0</v>
      </c>
      <c r="AK17" s="741">
        <f>Water!G22</f>
        <v>0</v>
      </c>
      <c r="AL17" s="806"/>
      <c r="AM17" s="741">
        <f>Gas!C22</f>
        <v>929.62</v>
      </c>
      <c r="AN17" s="741">
        <f>Gas!E22</f>
        <v>139.29999999999998</v>
      </c>
      <c r="AO17" s="741">
        <f>Gas!G22</f>
        <v>80</v>
      </c>
      <c r="AP17" s="748">
        <v>158</v>
      </c>
    </row>
    <row r="18" spans="1:42" ht="12.75" customHeight="1">
      <c r="A18" s="754" t="s">
        <v>11</v>
      </c>
      <c r="B18" s="732">
        <f t="shared" si="0"/>
        <v>17</v>
      </c>
      <c r="C18" s="773">
        <v>6</v>
      </c>
      <c r="D18" s="753">
        <v>2021</v>
      </c>
      <c r="E18" s="806"/>
      <c r="F18" s="741">
        <f>Elect!J22</f>
        <v>5264</v>
      </c>
      <c r="G18" s="741">
        <f>Elect!K22</f>
        <v>3447</v>
      </c>
      <c r="H18" s="741">
        <f>Elect!Q22</f>
        <v>540</v>
      </c>
      <c r="I18" s="741">
        <f>Elect!S22</f>
        <v>138</v>
      </c>
      <c r="J18" s="741">
        <f>Elect!U22</f>
        <v>258</v>
      </c>
      <c r="K18" s="741">
        <f>Elect!W22</f>
        <v>2851.4</v>
      </c>
      <c r="L18" s="741">
        <f>Elect!Y22</f>
        <v>1560.3200000000002</v>
      </c>
      <c r="M18" s="741">
        <f>Elect!AA22</f>
        <v>1074.31</v>
      </c>
      <c r="N18" s="741">
        <f>Elect!AC22</f>
        <v>0</v>
      </c>
      <c r="O18" s="741">
        <f>Elect!AE22</f>
        <v>0</v>
      </c>
      <c r="P18" s="741">
        <f>Elect!AG22</f>
        <v>1547.0700000000002</v>
      </c>
      <c r="Q18" s="741">
        <f>Elect!AI22</f>
        <v>816.2</v>
      </c>
      <c r="R18" s="741">
        <f>Elect!AK22</f>
        <v>3655.94</v>
      </c>
      <c r="S18" s="741">
        <f>Elect!AM22</f>
        <v>170.13</v>
      </c>
      <c r="T18" s="741">
        <f>Elect!AP22</f>
        <v>186.97499999999999</v>
      </c>
      <c r="U18" s="741">
        <f>Elect!AR22</f>
        <v>245</v>
      </c>
      <c r="V18" s="741">
        <f>Elect!AT22</f>
        <v>145</v>
      </c>
      <c r="W18" s="741">
        <f>Elect!AV22</f>
        <v>48</v>
      </c>
      <c r="X18" s="741">
        <f>Elect!AX22</f>
        <v>832</v>
      </c>
      <c r="Y18" s="741">
        <f>Elect!AZ22</f>
        <v>68</v>
      </c>
      <c r="Z18" s="741">
        <f>Elect!BB22</f>
        <v>4817</v>
      </c>
      <c r="AA18" s="741">
        <f>Elect!BD22</f>
        <v>147</v>
      </c>
      <c r="AB18" s="741">
        <f>Elect!BF22</f>
        <v>67</v>
      </c>
      <c r="AC18" s="741">
        <f>Elect!BH22</f>
        <v>5645.9000000000005</v>
      </c>
      <c r="AD18" s="741">
        <f>Elect!BL22</f>
        <v>126</v>
      </c>
      <c r="AE18" s="741">
        <f>Elect!BN22</f>
        <v>1252</v>
      </c>
      <c r="AF18" s="741">
        <f>Elect!BP22</f>
        <v>106</v>
      </c>
      <c r="AG18" s="741">
        <f>Elect!BR22</f>
        <v>208</v>
      </c>
      <c r="AH18" s="806"/>
      <c r="AI18" s="741">
        <f>Water!C23</f>
        <v>226.2</v>
      </c>
      <c r="AJ18" s="741">
        <f>Water!E23</f>
        <v>0</v>
      </c>
      <c r="AK18" s="741">
        <f>Water!G23</f>
        <v>0</v>
      </c>
      <c r="AL18" s="806"/>
      <c r="AM18" s="741">
        <f>Gas!C23</f>
        <v>1018.6600000000001</v>
      </c>
      <c r="AN18" s="741">
        <f>Gas!E23</f>
        <v>280.7</v>
      </c>
      <c r="AO18" s="741">
        <f>Gas!G23</f>
        <v>155</v>
      </c>
      <c r="AP18" s="748">
        <v>158</v>
      </c>
    </row>
    <row r="19" spans="1:42" ht="12.75" customHeight="1">
      <c r="A19" s="754" t="s">
        <v>11</v>
      </c>
      <c r="B19" s="732">
        <f t="shared" si="0"/>
        <v>18</v>
      </c>
      <c r="C19" s="773">
        <v>6</v>
      </c>
      <c r="D19" s="753">
        <v>2021</v>
      </c>
      <c r="E19" s="806"/>
      <c r="F19" s="741">
        <f>Elect!J23</f>
        <v>5278</v>
      </c>
      <c r="G19" s="741">
        <f>Elect!K23</f>
        <v>3193</v>
      </c>
      <c r="H19" s="741">
        <f>Elect!Q23</f>
        <v>600</v>
      </c>
      <c r="I19" s="741">
        <f>Elect!S23</f>
        <v>141</v>
      </c>
      <c r="J19" s="741">
        <f>Elect!U23</f>
        <v>271</v>
      </c>
      <c r="K19" s="741">
        <f>Elect!W23</f>
        <v>2873.13</v>
      </c>
      <c r="L19" s="741">
        <f>Elect!Y23</f>
        <v>0</v>
      </c>
      <c r="M19" s="741">
        <f>Elect!AA23</f>
        <v>2121.06</v>
      </c>
      <c r="N19" s="741">
        <f>Elect!AC23</f>
        <v>0</v>
      </c>
      <c r="O19" s="741">
        <f>Elect!AE23</f>
        <v>0</v>
      </c>
      <c r="P19" s="741">
        <f>Elect!AG23</f>
        <v>1520.5700000000002</v>
      </c>
      <c r="Q19" s="741">
        <f>Elect!AI23</f>
        <v>907.36</v>
      </c>
      <c r="R19" s="741">
        <f>Elect!AK23</f>
        <v>3323.1000000000004</v>
      </c>
      <c r="S19" s="741">
        <f>Elect!AM23</f>
        <v>163.77000000000001</v>
      </c>
      <c r="T19" s="741">
        <f>Elect!AP23</f>
        <v>187.08750000000001</v>
      </c>
      <c r="U19" s="741">
        <f>Elect!AR23</f>
        <v>199</v>
      </c>
      <c r="V19" s="741">
        <f>Elect!AT23</f>
        <v>154</v>
      </c>
      <c r="W19" s="741">
        <f>Elect!AV23</f>
        <v>37</v>
      </c>
      <c r="X19" s="741">
        <f>Elect!AX23</f>
        <v>771</v>
      </c>
      <c r="Y19" s="741">
        <f>Elect!AZ23</f>
        <v>74</v>
      </c>
      <c r="Z19" s="741">
        <f>Elect!BB23</f>
        <v>4491</v>
      </c>
      <c r="AA19" s="741">
        <f>Elect!BD23</f>
        <v>174</v>
      </c>
      <c r="AB19" s="741">
        <f>Elect!BF23</f>
        <v>50</v>
      </c>
      <c r="AC19" s="741">
        <f>Elect!BH23</f>
        <v>5733.5499999999993</v>
      </c>
      <c r="AD19" s="741">
        <f>Elect!BL23</f>
        <v>2</v>
      </c>
      <c r="AE19" s="741">
        <f>Elect!BN23</f>
        <v>1318</v>
      </c>
      <c r="AF19" s="741">
        <f>Elect!BP23</f>
        <v>103</v>
      </c>
      <c r="AG19" s="741">
        <f>Elect!BR23</f>
        <v>215</v>
      </c>
      <c r="AH19" s="806"/>
      <c r="AI19" s="741">
        <f>Water!C24</f>
        <v>237.79999999999998</v>
      </c>
      <c r="AJ19" s="741">
        <f>Water!E24</f>
        <v>0</v>
      </c>
      <c r="AK19" s="741">
        <f>Water!G24</f>
        <v>0</v>
      </c>
      <c r="AL19" s="806"/>
      <c r="AM19" s="741">
        <f>Gas!C24</f>
        <v>955.06000000000006</v>
      </c>
      <c r="AN19" s="741">
        <f>Gas!E24</f>
        <v>230.29999999999998</v>
      </c>
      <c r="AO19" s="741">
        <f>Gas!G24</f>
        <v>72</v>
      </c>
      <c r="AP19" s="748">
        <v>158</v>
      </c>
    </row>
    <row r="20" spans="1:42" ht="12.75" customHeight="1">
      <c r="A20" s="754" t="s">
        <v>11</v>
      </c>
      <c r="B20" s="732">
        <f t="shared" si="0"/>
        <v>19</v>
      </c>
      <c r="C20" s="773">
        <v>6</v>
      </c>
      <c r="D20" s="753">
        <v>2021</v>
      </c>
      <c r="E20" s="806"/>
      <c r="F20" s="741">
        <f>Elect!J24</f>
        <v>5250</v>
      </c>
      <c r="G20" s="741">
        <f>Elect!K24</f>
        <v>3177</v>
      </c>
      <c r="H20" s="741">
        <f>Elect!Q24</f>
        <v>510</v>
      </c>
      <c r="I20" s="741">
        <f>Elect!S24</f>
        <v>138</v>
      </c>
      <c r="J20" s="741">
        <f>Elect!U24</f>
        <v>268</v>
      </c>
      <c r="K20" s="741">
        <f>Elect!W24</f>
        <v>2734.27</v>
      </c>
      <c r="L20" s="741">
        <f>Elect!Y24</f>
        <v>2161.34</v>
      </c>
      <c r="M20" s="741">
        <f>Elect!AA24</f>
        <v>0</v>
      </c>
      <c r="N20" s="741">
        <f>Elect!AC24</f>
        <v>0</v>
      </c>
      <c r="O20" s="741">
        <f>Elect!AE24</f>
        <v>0</v>
      </c>
      <c r="P20" s="741">
        <f>Elect!AG24</f>
        <v>804.54000000000008</v>
      </c>
      <c r="Q20" s="741">
        <f>Elect!AI24</f>
        <v>900.47</v>
      </c>
      <c r="R20" s="741">
        <f>Elect!AK24</f>
        <v>3218.69</v>
      </c>
      <c r="S20" s="741">
        <f>Elect!AM24</f>
        <v>162.71</v>
      </c>
      <c r="T20" s="741">
        <f>Elect!AP24</f>
        <v>183.71250000000001</v>
      </c>
      <c r="U20" s="741">
        <f>Elect!AR24</f>
        <v>323</v>
      </c>
      <c r="V20" s="741">
        <f>Elect!AT24</f>
        <v>151</v>
      </c>
      <c r="W20" s="741">
        <f>Elect!AV24</f>
        <v>36</v>
      </c>
      <c r="X20" s="741">
        <f>Elect!AX24</f>
        <v>765</v>
      </c>
      <c r="Y20" s="741">
        <f>Elect!AZ24</f>
        <v>50</v>
      </c>
      <c r="Z20" s="741">
        <f>Elect!BB24</f>
        <v>4553</v>
      </c>
      <c r="AA20" s="741">
        <f>Elect!BD24</f>
        <v>185</v>
      </c>
      <c r="AB20" s="741">
        <f>Elect!BF24</f>
        <v>112</v>
      </c>
      <c r="AC20" s="741">
        <f>Elect!BH24</f>
        <v>5443.75</v>
      </c>
      <c r="AD20" s="741">
        <f>Elect!BL24</f>
        <v>3</v>
      </c>
      <c r="AE20" s="741">
        <f>Elect!BN24</f>
        <v>1405</v>
      </c>
      <c r="AF20" s="741">
        <f>Elect!BP24</f>
        <v>100</v>
      </c>
      <c r="AG20" s="741">
        <f>Elect!BR24</f>
        <v>209</v>
      </c>
      <c r="AH20" s="806"/>
      <c r="AI20" s="741">
        <f>Water!C25</f>
        <v>237.79999999999998</v>
      </c>
      <c r="AJ20" s="741">
        <f>Water!E25</f>
        <v>0</v>
      </c>
      <c r="AK20" s="741">
        <f>Water!G25</f>
        <v>0</v>
      </c>
      <c r="AL20" s="806"/>
      <c r="AM20" s="741">
        <f>Gas!C25</f>
        <v>922.2</v>
      </c>
      <c r="AN20" s="741">
        <f>Gas!E25</f>
        <v>237.29999999999998</v>
      </c>
      <c r="AO20" s="741">
        <f>Gas!G25</f>
        <v>73</v>
      </c>
      <c r="AP20" s="748">
        <v>158</v>
      </c>
    </row>
    <row r="21" spans="1:42" ht="12.75" customHeight="1">
      <c r="A21" s="754" t="s">
        <v>11</v>
      </c>
      <c r="B21" s="732">
        <f t="shared" si="0"/>
        <v>20</v>
      </c>
      <c r="C21" s="773">
        <v>6</v>
      </c>
      <c r="D21" s="753">
        <v>2021</v>
      </c>
      <c r="E21" s="806"/>
      <c r="F21" s="741">
        <f>Elect!J25</f>
        <v>5189</v>
      </c>
      <c r="G21" s="741">
        <f>Elect!K25</f>
        <v>3408</v>
      </c>
      <c r="H21" s="741">
        <f>Elect!Q25</f>
        <v>540</v>
      </c>
      <c r="I21" s="741">
        <f>Elect!S25</f>
        <v>136</v>
      </c>
      <c r="J21" s="741">
        <f>Elect!U25</f>
        <v>299</v>
      </c>
      <c r="K21" s="741">
        <f>Elect!W25</f>
        <v>2755.4700000000003</v>
      </c>
      <c r="L21" s="741">
        <f>Elect!Y25</f>
        <v>2524.3900000000003</v>
      </c>
      <c r="M21" s="741">
        <f>Elect!AA25</f>
        <v>0</v>
      </c>
      <c r="N21" s="741">
        <f>Elect!AC25</f>
        <v>0</v>
      </c>
      <c r="O21" s="741">
        <f>Elect!AE25</f>
        <v>0</v>
      </c>
      <c r="P21" s="741">
        <f>Elect!AG25</f>
        <v>977.32</v>
      </c>
      <c r="Q21" s="741">
        <f>Elect!AI25</f>
        <v>934.92000000000007</v>
      </c>
      <c r="R21" s="741">
        <f>Elect!AK25</f>
        <v>3582.27</v>
      </c>
      <c r="S21" s="741">
        <f>Elect!AM25</f>
        <v>171.19</v>
      </c>
      <c r="T21" s="741">
        <f>Elect!AP25</f>
        <v>208.57500000000002</v>
      </c>
      <c r="U21" s="741">
        <f>Elect!AR25</f>
        <v>256</v>
      </c>
      <c r="V21" s="741">
        <f>Elect!AT25</f>
        <v>165</v>
      </c>
      <c r="W21" s="741">
        <f>Elect!AV25</f>
        <v>47</v>
      </c>
      <c r="X21" s="741">
        <f>Elect!AX25</f>
        <v>841</v>
      </c>
      <c r="Y21" s="741">
        <f>Elect!AZ25</f>
        <v>75</v>
      </c>
      <c r="Z21" s="741">
        <f>Elect!BB25</f>
        <v>4675</v>
      </c>
      <c r="AA21" s="741">
        <f>Elect!BD25</f>
        <v>183</v>
      </c>
      <c r="AB21" s="741">
        <f>Elect!BF25</f>
        <v>55</v>
      </c>
      <c r="AC21" s="741">
        <f>Elect!BH25</f>
        <v>5439</v>
      </c>
      <c r="AD21" s="741">
        <f>Elect!BL25</f>
        <v>1</v>
      </c>
      <c r="AE21" s="741">
        <f>Elect!BN25</f>
        <v>1431</v>
      </c>
      <c r="AF21" s="741">
        <f>Elect!BP25</f>
        <v>109</v>
      </c>
      <c r="AG21" s="741">
        <f>Elect!BR25</f>
        <v>208</v>
      </c>
      <c r="AH21" s="806"/>
      <c r="AI21" s="741">
        <f>Water!C26</f>
        <v>237.79999999999998</v>
      </c>
      <c r="AJ21" s="741">
        <f>Water!E26</f>
        <v>0</v>
      </c>
      <c r="AK21" s="741">
        <f>Water!G26</f>
        <v>0</v>
      </c>
      <c r="AL21" s="806"/>
      <c r="AM21" s="741">
        <f>Gas!C26</f>
        <v>985.80000000000007</v>
      </c>
      <c r="AN21" s="741">
        <f>Gas!E26</f>
        <v>244.29999999999998</v>
      </c>
      <c r="AO21" s="741">
        <f>Gas!G26</f>
        <v>92</v>
      </c>
      <c r="AP21" s="748">
        <v>158</v>
      </c>
    </row>
    <row r="22" spans="1:42" ht="12.75" customHeight="1">
      <c r="A22" s="754" t="s">
        <v>11</v>
      </c>
      <c r="B22" s="732">
        <f t="shared" si="0"/>
        <v>21</v>
      </c>
      <c r="C22" s="773">
        <v>6</v>
      </c>
      <c r="D22" s="753">
        <v>2021</v>
      </c>
      <c r="E22" s="806"/>
      <c r="F22" s="741">
        <f>Elect!J26</f>
        <v>5486</v>
      </c>
      <c r="G22" s="741">
        <f>Elect!K26</f>
        <v>4033</v>
      </c>
      <c r="H22" s="741">
        <f>Elect!Q26</f>
        <v>570</v>
      </c>
      <c r="I22" s="741">
        <f>Elect!S26</f>
        <v>161</v>
      </c>
      <c r="J22" s="741">
        <f>Elect!U26</f>
        <v>291</v>
      </c>
      <c r="K22" s="741">
        <f>Elect!W26</f>
        <v>3507.54</v>
      </c>
      <c r="L22" s="741">
        <f>Elect!Y26</f>
        <v>3131.2400000000002</v>
      </c>
      <c r="M22" s="741">
        <f>Elect!AA26</f>
        <v>0</v>
      </c>
      <c r="N22" s="741">
        <f>Elect!AC26</f>
        <v>0</v>
      </c>
      <c r="O22" s="741">
        <f>Elect!AE26</f>
        <v>582.47</v>
      </c>
      <c r="P22" s="741">
        <f>Elect!AG26</f>
        <v>1154.3400000000001</v>
      </c>
      <c r="Q22" s="741">
        <f>Elect!AI26</f>
        <v>1320.23</v>
      </c>
      <c r="R22" s="741">
        <f>Elect!AK26</f>
        <v>4541.5700000000006</v>
      </c>
      <c r="S22" s="741">
        <f>Elect!AM26</f>
        <v>208.82000000000002</v>
      </c>
      <c r="T22" s="741">
        <f>Elect!AP26</f>
        <v>220.16249999999999</v>
      </c>
      <c r="U22" s="741">
        <f>Elect!AR26</f>
        <v>286</v>
      </c>
      <c r="V22" s="741">
        <f>Elect!AT26</f>
        <v>174</v>
      </c>
      <c r="W22" s="741">
        <f>Elect!AV26</f>
        <v>54</v>
      </c>
      <c r="X22" s="741">
        <f>Elect!AX26</f>
        <v>1059</v>
      </c>
      <c r="Y22" s="741">
        <f>Elect!AZ26</f>
        <v>87</v>
      </c>
      <c r="Z22" s="741">
        <f>Elect!BB26</f>
        <v>4669</v>
      </c>
      <c r="AA22" s="741">
        <f>Elect!BD26</f>
        <v>180</v>
      </c>
      <c r="AB22" s="741">
        <f>Elect!BF26</f>
        <v>162</v>
      </c>
      <c r="AC22" s="741">
        <f>Elect!BH26</f>
        <v>5901.2999999999993</v>
      </c>
      <c r="AD22" s="741">
        <f>Elect!BL26</f>
        <v>29</v>
      </c>
      <c r="AE22" s="741">
        <f>Elect!BN26</f>
        <v>1438</v>
      </c>
      <c r="AF22" s="741">
        <f>Elect!BP26</f>
        <v>108</v>
      </c>
      <c r="AG22" s="741">
        <f>Elect!BR26</f>
        <v>219</v>
      </c>
      <c r="AH22" s="806"/>
      <c r="AI22" s="741">
        <f>Water!C27</f>
        <v>231.99999999999997</v>
      </c>
      <c r="AJ22" s="741">
        <f>Water!E27</f>
        <v>0</v>
      </c>
      <c r="AK22" s="741">
        <f>Water!G27</f>
        <v>0</v>
      </c>
      <c r="AL22" s="806"/>
      <c r="AM22" s="741">
        <f>Gas!C27</f>
        <v>1035.6200000000001</v>
      </c>
      <c r="AN22" s="741">
        <f>Gas!E27</f>
        <v>203</v>
      </c>
      <c r="AO22" s="741">
        <f>Gas!G27</f>
        <v>96</v>
      </c>
      <c r="AP22" s="748">
        <v>158</v>
      </c>
    </row>
    <row r="23" spans="1:42" ht="12.75" customHeight="1">
      <c r="A23" s="754" t="s">
        <v>11</v>
      </c>
      <c r="B23" s="732">
        <f t="shared" si="0"/>
        <v>22</v>
      </c>
      <c r="C23" s="773">
        <v>6</v>
      </c>
      <c r="D23" s="753">
        <v>2021</v>
      </c>
      <c r="E23" s="806"/>
      <c r="F23" s="741">
        <f>Elect!J27</f>
        <v>6482</v>
      </c>
      <c r="G23" s="741">
        <f>Elect!K27</f>
        <v>3258</v>
      </c>
      <c r="H23" s="741">
        <f>Elect!Q27</f>
        <v>510</v>
      </c>
      <c r="I23" s="741">
        <f>Elect!S27</f>
        <v>150</v>
      </c>
      <c r="J23" s="741">
        <f>Elect!U27</f>
        <v>296</v>
      </c>
      <c r="K23" s="741">
        <f>Elect!W27</f>
        <v>2736.3900000000003</v>
      </c>
      <c r="L23" s="741">
        <f>Elect!Y27</f>
        <v>3288.1200000000003</v>
      </c>
      <c r="M23" s="741">
        <f>Elect!AA27</f>
        <v>0</v>
      </c>
      <c r="N23" s="741">
        <f>Elect!AC27</f>
        <v>0</v>
      </c>
      <c r="O23" s="741">
        <f>Elect!AE27</f>
        <v>13.25</v>
      </c>
      <c r="P23" s="741">
        <f>Elect!AG27</f>
        <v>1750.5900000000001</v>
      </c>
      <c r="Q23" s="741">
        <f>Elect!AI27</f>
        <v>1113</v>
      </c>
      <c r="R23" s="741">
        <f>Elect!AK27</f>
        <v>3659.65</v>
      </c>
      <c r="S23" s="741">
        <f>Elect!AM27</f>
        <v>168.01000000000002</v>
      </c>
      <c r="T23" s="741">
        <f>Elect!AP27</f>
        <v>208.35</v>
      </c>
      <c r="U23" s="741">
        <f>Elect!AR27</f>
        <v>278</v>
      </c>
      <c r="V23" s="741">
        <f>Elect!AT27</f>
        <v>168</v>
      </c>
      <c r="W23" s="741">
        <f>Elect!AV27</f>
        <v>58</v>
      </c>
      <c r="X23" s="741">
        <f>Elect!AX27</f>
        <v>906</v>
      </c>
      <c r="Y23" s="741">
        <f>Elect!AZ27</f>
        <v>82</v>
      </c>
      <c r="Z23" s="741">
        <f>Elect!BB27</f>
        <v>4901</v>
      </c>
      <c r="AA23" s="741">
        <f>Elect!BD27</f>
        <v>233</v>
      </c>
      <c r="AB23" s="741">
        <f>Elect!BF27</f>
        <v>151</v>
      </c>
      <c r="AC23" s="741">
        <f>Elect!BH27</f>
        <v>6576.5</v>
      </c>
      <c r="AD23" s="741">
        <f>Elect!BL27</f>
        <v>32</v>
      </c>
      <c r="AE23" s="741">
        <f>Elect!BN27</f>
        <v>1512</v>
      </c>
      <c r="AF23" s="741">
        <f>Elect!BP27</f>
        <v>118</v>
      </c>
      <c r="AG23" s="741">
        <f>Elect!BR27</f>
        <v>252</v>
      </c>
      <c r="AH23" s="806"/>
      <c r="AI23" s="741">
        <f>Water!C28</f>
        <v>110.19999999999999</v>
      </c>
      <c r="AJ23" s="741">
        <f>Water!E28</f>
        <v>0</v>
      </c>
      <c r="AK23" s="741">
        <f>Water!G28</f>
        <v>436.15999999999997</v>
      </c>
      <c r="AL23" s="806"/>
      <c r="AM23" s="741">
        <f>Gas!C28</f>
        <v>1027.1400000000001</v>
      </c>
      <c r="AN23" s="741">
        <f>Gas!E28</f>
        <v>191.1</v>
      </c>
      <c r="AO23" s="741">
        <f>Gas!G28</f>
        <v>84</v>
      </c>
      <c r="AP23" s="748">
        <v>150</v>
      </c>
    </row>
    <row r="24" spans="1:42" ht="12.75" customHeight="1">
      <c r="A24" s="754" t="s">
        <v>11</v>
      </c>
      <c r="B24" s="732">
        <f t="shared" si="0"/>
        <v>23</v>
      </c>
      <c r="C24" s="773">
        <v>6</v>
      </c>
      <c r="D24" s="753">
        <v>2021</v>
      </c>
      <c r="E24" s="806"/>
      <c r="F24" s="741">
        <f>Elect!J28</f>
        <v>4017</v>
      </c>
      <c r="G24" s="741">
        <f>Elect!K28</f>
        <v>3252</v>
      </c>
      <c r="H24" s="741">
        <f>Elect!Q28</f>
        <v>510</v>
      </c>
      <c r="I24" s="741">
        <f>Elect!S28</f>
        <v>106</v>
      </c>
      <c r="J24" s="741">
        <f>Elect!U28</f>
        <v>207</v>
      </c>
      <c r="K24" s="741">
        <f>Elect!W28</f>
        <v>2759.71</v>
      </c>
      <c r="L24" s="741">
        <f>Elect!Y28</f>
        <v>3733.8500000000004</v>
      </c>
      <c r="M24" s="741">
        <f>Elect!AA28</f>
        <v>0</v>
      </c>
      <c r="N24" s="741">
        <f>Elect!AC28</f>
        <v>0</v>
      </c>
      <c r="O24" s="741">
        <f>Elect!AE28</f>
        <v>11.13</v>
      </c>
      <c r="P24" s="741">
        <f>Elect!AG28</f>
        <v>1660.49</v>
      </c>
      <c r="Q24" s="741">
        <f>Elect!AI28</f>
        <v>1185.0800000000002</v>
      </c>
      <c r="R24" s="741">
        <f>Elect!AK28</f>
        <v>3966.52</v>
      </c>
      <c r="S24" s="741">
        <f>Elect!AM28</f>
        <v>168.54000000000002</v>
      </c>
      <c r="T24" s="741">
        <f>Elect!AP28</f>
        <v>188.88750000000002</v>
      </c>
      <c r="U24" s="741">
        <f>Elect!AR28</f>
        <v>203</v>
      </c>
      <c r="V24" s="741">
        <f>Elect!AT28</f>
        <v>145</v>
      </c>
      <c r="W24" s="741">
        <f>Elect!AV28</f>
        <v>47</v>
      </c>
      <c r="X24" s="741">
        <f>Elect!AX28</f>
        <v>918</v>
      </c>
      <c r="Y24" s="741">
        <f>Elect!AZ28</f>
        <v>58</v>
      </c>
      <c r="Z24" s="741">
        <f>Elect!BB28</f>
        <v>4119</v>
      </c>
      <c r="AA24" s="741">
        <f>Elect!BD28</f>
        <v>146</v>
      </c>
      <c r="AB24" s="741">
        <f>Elect!BF28</f>
        <v>108</v>
      </c>
      <c r="AC24" s="741">
        <f>Elect!BH28</f>
        <v>5143.0999999999995</v>
      </c>
      <c r="AD24" s="741">
        <f>Elect!BL28</f>
        <v>47</v>
      </c>
      <c r="AE24" s="741">
        <f>Elect!BN28</f>
        <v>619</v>
      </c>
      <c r="AF24" s="741">
        <f>Elect!BP28</f>
        <v>43</v>
      </c>
      <c r="AG24" s="741">
        <f>Elect!BR28</f>
        <v>89</v>
      </c>
      <c r="AH24" s="806"/>
      <c r="AI24" s="741">
        <f>Water!C29</f>
        <v>203</v>
      </c>
      <c r="AJ24" s="741">
        <f>Water!E29</f>
        <v>0</v>
      </c>
      <c r="AK24" s="741">
        <f>Water!G29</f>
        <v>101.5</v>
      </c>
      <c r="AL24" s="806"/>
      <c r="AM24" s="741">
        <f>Gas!C29</f>
        <v>1054.7</v>
      </c>
      <c r="AN24" s="741">
        <f>Gas!E29</f>
        <v>215.6</v>
      </c>
      <c r="AO24" s="741">
        <f>Gas!G29</f>
        <v>76</v>
      </c>
      <c r="AP24" s="748">
        <v>150</v>
      </c>
    </row>
    <row r="25" spans="1:42" ht="12.75" customHeight="1">
      <c r="A25" s="754" t="s">
        <v>11</v>
      </c>
      <c r="B25" s="732">
        <f t="shared" si="0"/>
        <v>24</v>
      </c>
      <c r="C25" s="773">
        <v>6</v>
      </c>
      <c r="D25" s="753">
        <v>2021</v>
      </c>
      <c r="E25" s="806"/>
      <c r="F25" s="741">
        <f>Elect!J29</f>
        <v>6195</v>
      </c>
      <c r="G25" s="741">
        <f>Elect!K29</f>
        <v>2695</v>
      </c>
      <c r="H25" s="741">
        <f>Elect!Q29</f>
        <v>540</v>
      </c>
      <c r="I25" s="741">
        <f>Elect!S29</f>
        <v>137</v>
      </c>
      <c r="J25" s="741">
        <f>Elect!U29</f>
        <v>275</v>
      </c>
      <c r="K25" s="741">
        <f>Elect!W29</f>
        <v>2531.2800000000002</v>
      </c>
      <c r="L25" s="741">
        <f>Elect!Y29</f>
        <v>3112.1600000000003</v>
      </c>
      <c r="M25" s="741">
        <f>Elect!AA29</f>
        <v>0</v>
      </c>
      <c r="N25" s="741">
        <f>Elect!AC29</f>
        <v>0</v>
      </c>
      <c r="O25" s="741">
        <f>Elect!AE29</f>
        <v>545.37</v>
      </c>
      <c r="P25" s="741">
        <f>Elect!AG29</f>
        <v>863.37</v>
      </c>
      <c r="Q25" s="741">
        <f>Elect!AI29</f>
        <v>931.21</v>
      </c>
      <c r="R25" s="741">
        <f>Elect!AK29</f>
        <v>3191.13</v>
      </c>
      <c r="S25" s="741">
        <f>Elect!AM29</f>
        <v>136.21</v>
      </c>
      <c r="T25" s="741">
        <f>Elect!AP29</f>
        <v>193.5</v>
      </c>
      <c r="U25" s="741">
        <f>Elect!AR29</f>
        <v>245</v>
      </c>
      <c r="V25" s="741">
        <f>Elect!AT29</f>
        <v>161</v>
      </c>
      <c r="W25" s="741">
        <f>Elect!AV29</f>
        <v>49</v>
      </c>
      <c r="X25" s="741">
        <f>Elect!AX29</f>
        <v>761</v>
      </c>
      <c r="Y25" s="741">
        <f>Elect!AZ29</f>
        <v>77</v>
      </c>
      <c r="Z25" s="741">
        <f>Elect!BB29</f>
        <v>5128</v>
      </c>
      <c r="AA25" s="741">
        <f>Elect!BD29</f>
        <v>178</v>
      </c>
      <c r="AB25" s="741">
        <f>Elect!BF29</f>
        <v>90</v>
      </c>
      <c r="AC25" s="741">
        <f>Elect!BH29</f>
        <v>5706.8499999999995</v>
      </c>
      <c r="AD25" s="741">
        <f>Elect!BL29</f>
        <v>58</v>
      </c>
      <c r="AE25" s="741">
        <f>Elect!BN29</f>
        <v>1404</v>
      </c>
      <c r="AF25" s="741">
        <f>Elect!BP29</f>
        <v>103</v>
      </c>
      <c r="AG25" s="741">
        <f>Elect!BR29</f>
        <v>201</v>
      </c>
      <c r="AH25" s="806"/>
      <c r="AI25" s="741">
        <f>Water!C30</f>
        <v>214.6</v>
      </c>
      <c r="AJ25" s="741">
        <f>Water!E30</f>
        <v>0</v>
      </c>
      <c r="AK25" s="741">
        <f>Water!G30</f>
        <v>112.52</v>
      </c>
      <c r="AL25" s="806"/>
      <c r="AM25" s="741">
        <f>Gas!C30</f>
        <v>1035.6200000000001</v>
      </c>
      <c r="AN25" s="741">
        <f>Gas!E30</f>
        <v>198.79999999999998</v>
      </c>
      <c r="AO25" s="741">
        <f>Gas!G30</f>
        <v>81</v>
      </c>
      <c r="AP25" s="748">
        <v>160</v>
      </c>
    </row>
    <row r="26" spans="1:42" ht="12.75" customHeight="1">
      <c r="A26" s="754" t="s">
        <v>11</v>
      </c>
      <c r="B26" s="732">
        <f>B25+1</f>
        <v>25</v>
      </c>
      <c r="C26" s="773">
        <v>6</v>
      </c>
      <c r="D26" s="753">
        <v>2021</v>
      </c>
      <c r="E26" s="806"/>
      <c r="F26" s="741">
        <f>Elect!J30</f>
        <v>4983</v>
      </c>
      <c r="G26" s="741">
        <f>Elect!K30</f>
        <v>3182</v>
      </c>
      <c r="H26" s="741">
        <f>Elect!Q30</f>
        <v>660</v>
      </c>
      <c r="I26" s="741">
        <f>Elect!S30</f>
        <v>138</v>
      </c>
      <c r="J26" s="741">
        <f>Elect!U30</f>
        <v>271</v>
      </c>
      <c r="K26" s="741">
        <f>Elect!W30</f>
        <v>2722.08</v>
      </c>
      <c r="L26" s="741">
        <f>Elect!Y30</f>
        <v>3869.53</v>
      </c>
      <c r="M26" s="741">
        <f>Elect!AA30</f>
        <v>0</v>
      </c>
      <c r="N26" s="741">
        <f>Elect!AC30</f>
        <v>0</v>
      </c>
      <c r="O26" s="741">
        <f>Elect!AE30</f>
        <v>11.66</v>
      </c>
      <c r="P26" s="741">
        <f>Elect!AG30</f>
        <v>1504.67</v>
      </c>
      <c r="Q26" s="741">
        <f>Elect!AI30</f>
        <v>1147.98</v>
      </c>
      <c r="R26" s="741">
        <f>Elect!AK30</f>
        <v>3684.03</v>
      </c>
      <c r="S26" s="741">
        <f>Elect!AM30</f>
        <v>164.83</v>
      </c>
      <c r="T26" s="741">
        <f>Elect!AP30</f>
        <v>185.625</v>
      </c>
      <c r="U26" s="741">
        <f>Elect!AR30</f>
        <v>314</v>
      </c>
      <c r="V26" s="741">
        <f>Elect!AT30</f>
        <v>157</v>
      </c>
      <c r="W26" s="741">
        <f>Elect!AV30</f>
        <v>33</v>
      </c>
      <c r="X26" s="741">
        <f>Elect!AX30</f>
        <v>882</v>
      </c>
      <c r="Y26" s="741">
        <f>Elect!AZ30</f>
        <v>76</v>
      </c>
      <c r="Z26" s="741">
        <f>Elect!BB30</f>
        <v>4456</v>
      </c>
      <c r="AA26" s="741">
        <f>Elect!BD30</f>
        <v>189</v>
      </c>
      <c r="AB26" s="741">
        <f>Elect!BF30</f>
        <v>107</v>
      </c>
      <c r="AC26" s="741">
        <f>Elect!BH30</f>
        <v>5710.25</v>
      </c>
      <c r="AD26" s="741">
        <f>Elect!BL30</f>
        <v>59</v>
      </c>
      <c r="AE26" s="741">
        <f>Elect!BN30</f>
        <v>1396</v>
      </c>
      <c r="AF26" s="741">
        <f>Elect!BP30</f>
        <v>99</v>
      </c>
      <c r="AG26" s="741">
        <f>Elect!BR30</f>
        <v>203</v>
      </c>
      <c r="AH26" s="806"/>
      <c r="AI26" s="741">
        <f>Water!C31</f>
        <v>208.79999999999998</v>
      </c>
      <c r="AJ26" s="741">
        <f>Water!E31</f>
        <v>0</v>
      </c>
      <c r="AK26" s="741">
        <f>Water!G31</f>
        <v>0</v>
      </c>
      <c r="AL26" s="806"/>
      <c r="AM26" s="741">
        <f>Gas!C31</f>
        <v>1040.92</v>
      </c>
      <c r="AN26" s="741">
        <f>Gas!E31</f>
        <v>203.7</v>
      </c>
      <c r="AO26" s="741">
        <f>Gas!G31</f>
        <v>80</v>
      </c>
      <c r="AP26" s="748">
        <v>161</v>
      </c>
    </row>
    <row r="27" spans="1:42" ht="12.75" customHeight="1">
      <c r="A27" s="754" t="s">
        <v>11</v>
      </c>
      <c r="B27" s="732">
        <f t="shared" si="0"/>
        <v>26</v>
      </c>
      <c r="C27" s="773">
        <v>6</v>
      </c>
      <c r="D27" s="753">
        <v>2021</v>
      </c>
      <c r="E27" s="806"/>
      <c r="F27" s="741">
        <f>Elect!J31</f>
        <v>5138</v>
      </c>
      <c r="G27" s="741">
        <f>Elect!K31</f>
        <v>3989</v>
      </c>
      <c r="H27" s="741">
        <f>Elect!Q31</f>
        <v>660</v>
      </c>
      <c r="I27" s="741">
        <f>Elect!S31</f>
        <v>150</v>
      </c>
      <c r="J27" s="741">
        <f>Elect!U31</f>
        <v>291</v>
      </c>
      <c r="K27" s="741">
        <f>Elect!W31</f>
        <v>3463.55</v>
      </c>
      <c r="L27" s="741">
        <f>Elect!Y31</f>
        <v>3980.3</v>
      </c>
      <c r="M27" s="741">
        <f>Elect!AA31</f>
        <v>0</v>
      </c>
      <c r="N27" s="741">
        <f>Elect!AC31</f>
        <v>0</v>
      </c>
      <c r="O27" s="741">
        <f>Elect!AE31</f>
        <v>12.190000000000001</v>
      </c>
      <c r="P27" s="741">
        <f>Elect!AG31</f>
        <v>1677.45</v>
      </c>
      <c r="Q27" s="741">
        <f>Elect!AI31</f>
        <v>1509.44</v>
      </c>
      <c r="R27" s="741">
        <f>Elect!AK31</f>
        <v>4974.05</v>
      </c>
      <c r="S27" s="741">
        <f>Elect!AM31</f>
        <v>214.12</v>
      </c>
      <c r="T27" s="741">
        <f>Elect!AP31</f>
        <v>196.08750000000001</v>
      </c>
      <c r="U27" s="741">
        <f>Elect!AR31</f>
        <v>181</v>
      </c>
      <c r="V27" s="741">
        <f>Elect!AT31</f>
        <v>152</v>
      </c>
      <c r="W27" s="741">
        <f>Elect!AV31</f>
        <v>41</v>
      </c>
      <c r="X27" s="741">
        <f>Elect!AX31</f>
        <v>1100</v>
      </c>
      <c r="Y27" s="741">
        <f>Elect!AZ31</f>
        <v>83</v>
      </c>
      <c r="Z27" s="741">
        <f>Elect!BB31</f>
        <v>4466</v>
      </c>
      <c r="AA27" s="741">
        <f>Elect!BD31</f>
        <v>183</v>
      </c>
      <c r="AB27" s="741">
        <f>Elect!BF31</f>
        <v>92</v>
      </c>
      <c r="AC27" s="741">
        <f>Elect!BH31</f>
        <v>5842.9</v>
      </c>
      <c r="AD27" s="741">
        <f>Elect!BL31</f>
        <v>59</v>
      </c>
      <c r="AE27" s="741">
        <f>Elect!BN31</f>
        <v>1418</v>
      </c>
      <c r="AF27" s="741">
        <f>Elect!BP31</f>
        <v>100</v>
      </c>
      <c r="AG27" s="741">
        <f>Elect!BR31</f>
        <v>205</v>
      </c>
      <c r="AH27" s="806"/>
      <c r="AI27" s="741">
        <f>Water!C32</f>
        <v>307.39999999999998</v>
      </c>
      <c r="AJ27" s="741">
        <f>Water!E32</f>
        <v>0</v>
      </c>
      <c r="AK27" s="741">
        <f>Water!G32</f>
        <v>71.339999999999989</v>
      </c>
      <c r="AL27" s="806"/>
      <c r="AM27" s="741">
        <f>Gas!C32</f>
        <v>1249.74</v>
      </c>
      <c r="AN27" s="741">
        <f>Gas!E32</f>
        <v>329</v>
      </c>
      <c r="AO27" s="741">
        <f>Gas!G32</f>
        <v>89</v>
      </c>
      <c r="AP27" s="748">
        <v>158</v>
      </c>
    </row>
    <row r="28" spans="1:42" ht="12.75" customHeight="1">
      <c r="A28" s="754" t="s">
        <v>11</v>
      </c>
      <c r="B28" s="732">
        <f t="shared" si="0"/>
        <v>27</v>
      </c>
      <c r="C28" s="773">
        <v>6</v>
      </c>
      <c r="D28" s="753">
        <v>2021</v>
      </c>
      <c r="E28" s="806"/>
      <c r="F28" s="741">
        <f>Elect!J32</f>
        <v>5745</v>
      </c>
      <c r="G28" s="741">
        <f>Elect!K32</f>
        <v>3153</v>
      </c>
      <c r="H28" s="741">
        <f>Elect!Q32</f>
        <v>570</v>
      </c>
      <c r="I28" s="741">
        <f>Elect!S32</f>
        <v>132</v>
      </c>
      <c r="J28" s="741">
        <f>Elect!U32</f>
        <v>295</v>
      </c>
      <c r="K28" s="741">
        <f>Elect!W32</f>
        <v>2761.83</v>
      </c>
      <c r="L28" s="741">
        <f>Elect!Y32</f>
        <v>3726.4300000000003</v>
      </c>
      <c r="M28" s="741">
        <f>Elect!AA32</f>
        <v>407.04</v>
      </c>
      <c r="N28" s="741">
        <f>Elect!AC32</f>
        <v>20.14</v>
      </c>
      <c r="O28" s="741">
        <f>Elect!AE32</f>
        <v>352.45000000000005</v>
      </c>
      <c r="P28" s="741">
        <f>Elect!AG32</f>
        <v>1697.5900000000001</v>
      </c>
      <c r="Q28" s="741">
        <f>Elect!AI32</f>
        <v>1094.45</v>
      </c>
      <c r="R28" s="741">
        <f>Elect!AK32</f>
        <v>3985.6000000000004</v>
      </c>
      <c r="S28" s="741">
        <f>Elect!AM32</f>
        <v>157.94</v>
      </c>
      <c r="T28" s="741">
        <f>Elect!AP32</f>
        <v>199.57500000000002</v>
      </c>
      <c r="U28" s="741">
        <f>Elect!AR32</f>
        <v>264</v>
      </c>
      <c r="V28" s="741">
        <f>Elect!AT32</f>
        <v>173</v>
      </c>
      <c r="W28" s="741">
        <f>Elect!AV32</f>
        <v>57</v>
      </c>
      <c r="X28" s="741">
        <f>Elect!AX32</f>
        <v>808</v>
      </c>
      <c r="Y28" s="741">
        <f>Elect!AZ32</f>
        <v>73</v>
      </c>
      <c r="Z28" s="741">
        <f>Elect!BB32</f>
        <v>5379</v>
      </c>
      <c r="AA28" s="741">
        <f>Elect!BD32</f>
        <v>197</v>
      </c>
      <c r="AB28" s="741">
        <f>Elect!BF32</f>
        <v>95</v>
      </c>
      <c r="AC28" s="741">
        <f>Elect!BH32</f>
        <v>6144.45</v>
      </c>
      <c r="AD28" s="741">
        <f>Elect!BL32</f>
        <v>6</v>
      </c>
      <c r="AE28" s="741">
        <f>Elect!BN32</f>
        <v>1455</v>
      </c>
      <c r="AF28" s="741">
        <f>Elect!BP32</f>
        <v>104</v>
      </c>
      <c r="AG28" s="741">
        <f>Elect!BR32</f>
        <v>222</v>
      </c>
      <c r="AH28" s="806"/>
      <c r="AI28" s="741">
        <f>Water!C33</f>
        <v>237.79999999999998</v>
      </c>
      <c r="AJ28" s="741">
        <f>Water!E33</f>
        <v>17.399999999999999</v>
      </c>
      <c r="AK28" s="741">
        <f>Water!G33</f>
        <v>0</v>
      </c>
      <c r="AL28" s="806"/>
      <c r="AM28" s="741">
        <f>Gas!C33</f>
        <v>733.52</v>
      </c>
      <c r="AN28" s="741">
        <f>Gas!E33</f>
        <v>215.6</v>
      </c>
      <c r="AO28" s="741">
        <f>Gas!G33</f>
        <v>51</v>
      </c>
      <c r="AP28" s="748">
        <v>158</v>
      </c>
    </row>
    <row r="29" spans="1:42" ht="12.75" customHeight="1">
      <c r="A29" s="754" t="s">
        <v>11</v>
      </c>
      <c r="B29" s="732">
        <f t="shared" si="0"/>
        <v>28</v>
      </c>
      <c r="C29" s="773">
        <v>6</v>
      </c>
      <c r="D29" s="753">
        <v>2021</v>
      </c>
      <c r="E29" s="806"/>
      <c r="F29" s="741">
        <f>Elect!J33</f>
        <v>6399</v>
      </c>
      <c r="G29" s="741">
        <f>Elect!K33</f>
        <v>3598</v>
      </c>
      <c r="H29" s="741">
        <f>Elect!Q33</f>
        <v>540</v>
      </c>
      <c r="I29" s="741">
        <f>Elect!S33</f>
        <v>162</v>
      </c>
      <c r="J29" s="741">
        <f>Elect!U33</f>
        <v>292</v>
      </c>
      <c r="K29" s="741">
        <f>Elect!W33</f>
        <v>3418.5</v>
      </c>
      <c r="L29" s="741">
        <f>Elect!Y33</f>
        <v>2196.3200000000002</v>
      </c>
      <c r="M29" s="741">
        <f>Elect!AA33</f>
        <v>3212.86</v>
      </c>
      <c r="N29" s="741">
        <f>Elect!AC33</f>
        <v>28.09</v>
      </c>
      <c r="O29" s="741">
        <f>Elect!AE33</f>
        <v>954.53000000000009</v>
      </c>
      <c r="P29" s="741">
        <f>Elect!AG33</f>
        <v>1176.6000000000001</v>
      </c>
      <c r="Q29" s="741">
        <f>Elect!AI33</f>
        <v>1257.1600000000001</v>
      </c>
      <c r="R29" s="741">
        <f>Elect!AK33</f>
        <v>4796.5</v>
      </c>
      <c r="S29" s="741">
        <f>Elect!AM33</f>
        <v>182.85000000000002</v>
      </c>
      <c r="T29" s="741">
        <f>Elect!AP33</f>
        <v>204.07500000000002</v>
      </c>
      <c r="U29" s="741">
        <f>Elect!AR33</f>
        <v>290</v>
      </c>
      <c r="V29" s="741">
        <f>Elect!AT33</f>
        <v>164</v>
      </c>
      <c r="W29" s="741">
        <f>Elect!AV33</f>
        <v>69</v>
      </c>
      <c r="X29" s="741">
        <f>Elect!AX33</f>
        <v>930</v>
      </c>
      <c r="Y29" s="741">
        <f>Elect!AZ33</f>
        <v>59</v>
      </c>
      <c r="Z29" s="741">
        <f>Elect!BB33</f>
        <v>4618</v>
      </c>
      <c r="AA29" s="741">
        <f>Elect!BD33</f>
        <v>215</v>
      </c>
      <c r="AB29" s="741">
        <f>Elect!BF33</f>
        <v>28</v>
      </c>
      <c r="AC29" s="741">
        <f>Elect!BH33</f>
        <v>6651.0999999999995</v>
      </c>
      <c r="AD29" s="741">
        <f>Elect!BL33</f>
        <v>68</v>
      </c>
      <c r="AE29" s="741">
        <f>Elect!BN33</f>
        <v>1589</v>
      </c>
      <c r="AF29" s="741">
        <f>Elect!BP33</f>
        <v>113</v>
      </c>
      <c r="AG29" s="741">
        <f>Elect!BR33</f>
        <v>239</v>
      </c>
      <c r="AH29" s="806"/>
      <c r="AI29" s="741">
        <f>Water!C34</f>
        <v>255.2</v>
      </c>
      <c r="AJ29" s="741">
        <f>Water!E34</f>
        <v>0</v>
      </c>
      <c r="AK29" s="741">
        <f>Water!G34</f>
        <v>0</v>
      </c>
      <c r="AL29" s="806"/>
      <c r="AM29" s="741">
        <f>Gas!C34</f>
        <v>765.32</v>
      </c>
      <c r="AN29" s="741">
        <f>Gas!E34</f>
        <v>218.39999999999998</v>
      </c>
      <c r="AO29" s="741">
        <f>Gas!G34</f>
        <v>56</v>
      </c>
      <c r="AP29" s="748">
        <v>158</v>
      </c>
    </row>
    <row r="30" spans="1:42" ht="12.75" customHeight="1">
      <c r="A30" s="754" t="s">
        <v>11</v>
      </c>
      <c r="B30" s="732">
        <f t="shared" si="0"/>
        <v>29</v>
      </c>
      <c r="C30" s="773">
        <v>6</v>
      </c>
      <c r="D30" s="753">
        <v>2021</v>
      </c>
      <c r="E30" s="806"/>
      <c r="F30" s="741">
        <f>Elect!J34</f>
        <v>4231</v>
      </c>
      <c r="G30" s="741">
        <f>Elect!K34</f>
        <v>3411</v>
      </c>
      <c r="H30" s="741">
        <f>Elect!Q34</f>
        <v>630</v>
      </c>
      <c r="I30" s="741">
        <f>Elect!S34</f>
        <v>141</v>
      </c>
      <c r="J30" s="741">
        <f>Elect!U34</f>
        <v>277</v>
      </c>
      <c r="K30" s="741">
        <f>Elect!W34</f>
        <v>3525.5600000000004</v>
      </c>
      <c r="L30" s="741">
        <f>Elect!Y34</f>
        <v>1209.46</v>
      </c>
      <c r="M30" s="741">
        <f>Elect!AA34</f>
        <v>3929.9500000000003</v>
      </c>
      <c r="N30" s="741">
        <f>Elect!AC34</f>
        <v>46.11</v>
      </c>
      <c r="O30" s="741">
        <f>Elect!AE34</f>
        <v>1680.1000000000001</v>
      </c>
      <c r="P30" s="741">
        <f>Elect!AG34</f>
        <v>184.97</v>
      </c>
      <c r="Q30" s="741">
        <f>Elect!AI34</f>
        <v>1203.1000000000001</v>
      </c>
      <c r="R30" s="741">
        <f>Elect!AK34</f>
        <v>4409.0700000000006</v>
      </c>
      <c r="S30" s="741">
        <f>Elect!AM34</f>
        <v>170.66</v>
      </c>
      <c r="T30" s="741">
        <f>Elect!AP34</f>
        <v>188.88750000000002</v>
      </c>
      <c r="U30" s="741">
        <f>Elect!AR34</f>
        <v>242</v>
      </c>
      <c r="V30" s="741">
        <f>Elect!AT34</f>
        <v>163</v>
      </c>
      <c r="W30" s="741">
        <f>Elect!AV34</f>
        <v>60</v>
      </c>
      <c r="X30" s="741">
        <f>Elect!AX34</f>
        <v>929</v>
      </c>
      <c r="Y30" s="741">
        <f>Elect!AZ34</f>
        <v>18</v>
      </c>
      <c r="Z30" s="741">
        <f>Elect!BB34</f>
        <v>5574</v>
      </c>
      <c r="AA30" s="741">
        <f>Elect!BD34</f>
        <v>190</v>
      </c>
      <c r="AB30" s="741">
        <f>Elect!BF34</f>
        <v>111</v>
      </c>
      <c r="AC30" s="741">
        <f>Elect!BH34</f>
        <v>5867.1</v>
      </c>
      <c r="AD30" s="741">
        <f>Elect!BL34</f>
        <v>59</v>
      </c>
      <c r="AE30" s="741">
        <f>Elect!BN34</f>
        <v>1550</v>
      </c>
      <c r="AF30" s="741">
        <f>Elect!BP34</f>
        <v>92</v>
      </c>
      <c r="AG30" s="741">
        <f>Elect!BR34</f>
        <v>208</v>
      </c>
      <c r="AH30" s="806"/>
      <c r="AI30" s="741">
        <f>Water!C35</f>
        <v>231.99999999999997</v>
      </c>
      <c r="AJ30" s="741">
        <f>Water!E35</f>
        <v>5.8</v>
      </c>
      <c r="AK30" s="741">
        <f>Water!G35</f>
        <v>0.57999999999999996</v>
      </c>
      <c r="AL30" s="806"/>
      <c r="AM30" s="741">
        <f>Gas!C35</f>
        <v>701.72</v>
      </c>
      <c r="AN30" s="741">
        <f>Gas!E35</f>
        <v>205.79999999999998</v>
      </c>
      <c r="AO30" s="741">
        <f>Gas!G35</f>
        <v>42</v>
      </c>
      <c r="AP30" s="748">
        <v>158</v>
      </c>
    </row>
    <row r="31" spans="1:42" ht="12.75" customHeight="1">
      <c r="A31" s="754" t="s">
        <v>11</v>
      </c>
      <c r="B31" s="732">
        <f t="shared" si="0"/>
        <v>30</v>
      </c>
      <c r="C31" s="773">
        <v>6</v>
      </c>
      <c r="D31" s="753">
        <v>2021</v>
      </c>
      <c r="E31" s="806"/>
      <c r="F31" s="741">
        <f>Elect!J35</f>
        <v>5721</v>
      </c>
      <c r="G31" s="741">
        <f>Elect!K35</f>
        <v>3425</v>
      </c>
      <c r="H31" s="741">
        <f>Elect!Q35</f>
        <v>540</v>
      </c>
      <c r="I31" s="741">
        <f>Elect!S35</f>
        <v>147</v>
      </c>
      <c r="J31" s="741">
        <f>Elect!U35</f>
        <v>293</v>
      </c>
      <c r="K31" s="741">
        <f>Elect!W35</f>
        <v>3454.01</v>
      </c>
      <c r="L31" s="741">
        <f>Elect!Y35</f>
        <v>1867.19</v>
      </c>
      <c r="M31" s="741">
        <f>Elect!AA35</f>
        <v>3451.8900000000003</v>
      </c>
      <c r="N31" s="741">
        <f>Elect!AC35</f>
        <v>33.92</v>
      </c>
      <c r="O31" s="741">
        <f>Elect!AE35</f>
        <v>1196.21</v>
      </c>
      <c r="P31" s="741">
        <f>Elect!AG35</f>
        <v>1436.8300000000002</v>
      </c>
      <c r="Q31" s="741">
        <f>Elect!AI35</f>
        <v>1291.0800000000002</v>
      </c>
      <c r="R31" s="741">
        <f>Elect!AK35</f>
        <v>4313.1400000000003</v>
      </c>
      <c r="S31" s="741">
        <f>Elect!AM35</f>
        <v>184.97</v>
      </c>
      <c r="T31" s="741">
        <f>Elect!AP35</f>
        <v>197.4375</v>
      </c>
      <c r="U31" s="741">
        <f>Elect!AR35</f>
        <v>243</v>
      </c>
      <c r="V31" s="741">
        <f>Elect!AT35</f>
        <v>160</v>
      </c>
      <c r="W31" s="741">
        <f>Elect!AV35</f>
        <v>53</v>
      </c>
      <c r="X31" s="741">
        <f>Elect!AX35</f>
        <v>937</v>
      </c>
      <c r="Y31" s="741">
        <f>Elect!AZ35</f>
        <v>66</v>
      </c>
      <c r="Z31" s="741">
        <f>Elect!BB35</f>
        <v>4746</v>
      </c>
      <c r="AA31" s="741">
        <f>Elect!BD35</f>
        <v>192</v>
      </c>
      <c r="AB31" s="741">
        <f>Elect!BF35</f>
        <v>83</v>
      </c>
      <c r="AC31" s="741">
        <f>Elect!BH35</f>
        <v>5949.9500000000007</v>
      </c>
      <c r="AD31" s="741">
        <f>Elect!BL35</f>
        <v>59</v>
      </c>
      <c r="AE31" s="741">
        <f>Elect!BN35</f>
        <v>1522</v>
      </c>
      <c r="AF31" s="741">
        <f>Elect!BP35</f>
        <v>107</v>
      </c>
      <c r="AG31" s="741">
        <f>Elect!BR35</f>
        <v>230</v>
      </c>
      <c r="AH31" s="806"/>
      <c r="AI31" s="741">
        <f>Water!C36</f>
        <v>284.2</v>
      </c>
      <c r="AJ31" s="741">
        <f>Water!E36</f>
        <v>0</v>
      </c>
      <c r="AK31" s="741">
        <f>Water!G36</f>
        <v>0</v>
      </c>
      <c r="AL31" s="806"/>
      <c r="AM31" s="741">
        <f>Gas!C36</f>
        <v>831.04000000000008</v>
      </c>
      <c r="AN31" s="741">
        <f>Gas!E36</f>
        <v>162.39999999999998</v>
      </c>
      <c r="AO31" s="741">
        <f>Gas!G36</f>
        <v>65</v>
      </c>
      <c r="AP31" s="748">
        <v>158</v>
      </c>
    </row>
    <row r="32" spans="1:42" ht="12.75" customHeight="1">
      <c r="A32" s="755" t="s">
        <v>11</v>
      </c>
      <c r="B32" s="756">
        <f>B31+1</f>
        <v>31</v>
      </c>
      <c r="C32" s="773">
        <v>6</v>
      </c>
      <c r="D32" s="753">
        <v>2021</v>
      </c>
      <c r="E32" s="807"/>
      <c r="F32" s="741">
        <f>Elect!J36</f>
        <v>0</v>
      </c>
      <c r="G32" s="741">
        <f>Elect!K36</f>
        <v>0</v>
      </c>
      <c r="H32" s="741">
        <f>Elect!Q36</f>
        <v>0</v>
      </c>
      <c r="I32" s="741">
        <f>Elect!S36</f>
        <v>0</v>
      </c>
      <c r="J32" s="741">
        <f>Elect!U36</f>
        <v>0</v>
      </c>
      <c r="K32" s="741">
        <f>Elect!W36</f>
        <v>0</v>
      </c>
      <c r="L32" s="741">
        <f>Elect!Y36</f>
        <v>0</v>
      </c>
      <c r="M32" s="741">
        <f>Elect!AA36</f>
        <v>0</v>
      </c>
      <c r="N32" s="741">
        <f>Elect!AC36</f>
        <v>0</v>
      </c>
      <c r="O32" s="741">
        <f>Elect!AE36</f>
        <v>0</v>
      </c>
      <c r="P32" s="741">
        <f>Elect!AG36</f>
        <v>0</v>
      </c>
      <c r="Q32" s="741">
        <f>Elect!AI36</f>
        <v>0</v>
      </c>
      <c r="R32" s="741">
        <f>Elect!AK36</f>
        <v>0</v>
      </c>
      <c r="S32" s="741">
        <f>Elect!AM36</f>
        <v>0</v>
      </c>
      <c r="T32" s="741">
        <f>Elect!AP36</f>
        <v>0</v>
      </c>
      <c r="U32" s="741">
        <f>Elect!AR36</f>
        <v>0</v>
      </c>
      <c r="V32" s="741">
        <f>Elect!AT36</f>
        <v>0</v>
      </c>
      <c r="W32" s="741">
        <f>Elect!AV36</f>
        <v>0</v>
      </c>
      <c r="X32" s="741">
        <f>Elect!AX36</f>
        <v>0</v>
      </c>
      <c r="Y32" s="741">
        <f>Elect!AZ36</f>
        <v>0</v>
      </c>
      <c r="Z32" s="741">
        <f>Elect!BB36</f>
        <v>0</v>
      </c>
      <c r="AA32" s="741">
        <f>Elect!BD36</f>
        <v>0</v>
      </c>
      <c r="AB32" s="741">
        <f>Elect!BF36</f>
        <v>0</v>
      </c>
      <c r="AC32" s="741">
        <f>Elect!BH36</f>
        <v>0</v>
      </c>
      <c r="AD32" s="741">
        <f>Elect!BL36</f>
        <v>0</v>
      </c>
      <c r="AE32" s="741">
        <f>Elect!BN36</f>
        <v>0</v>
      </c>
      <c r="AF32" s="741">
        <f>Elect!BP36</f>
        <v>0</v>
      </c>
      <c r="AG32" s="741">
        <f>Elect!BR36</f>
        <v>0</v>
      </c>
      <c r="AH32" s="807"/>
      <c r="AI32" s="741">
        <f>Water!C37</f>
        <v>0</v>
      </c>
      <c r="AJ32" s="741">
        <f>Water!E37</f>
        <v>0</v>
      </c>
      <c r="AK32" s="741">
        <f>Water!G37</f>
        <v>0</v>
      </c>
      <c r="AL32" s="807"/>
      <c r="AM32" s="741">
        <f>Gas!C37</f>
        <v>0</v>
      </c>
      <c r="AN32" s="741">
        <f>Gas!E37</f>
        <v>0</v>
      </c>
      <c r="AO32" s="741">
        <f>Gas!G37</f>
        <v>0</v>
      </c>
      <c r="AP32" s="748">
        <f>Elect!CY36</f>
        <v>0</v>
      </c>
    </row>
    <row r="33" spans="39:41">
      <c r="AM33" s="738"/>
      <c r="AN33" s="738"/>
      <c r="AO33" s="738"/>
    </row>
  </sheetData>
  <sheetProtection algorithmName="SHA-512" hashValue="tglF6OyyMqQTsq7YUoQVxZjZatqNu2bpG8NRvVIB4HHKD88bxya54OI7m+96KqKAZAVDlBwjFggqxU6WnpW7+Q==" saltValue="0VEDTS59vDBCP3FQEUqyjA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G30" activePane="bottomRight" state="frozen"/>
      <selection pane="topRight" activeCell="I1" sqref="I1"/>
      <selection pane="bottomLeft" activeCell="A5" sqref="A5"/>
      <selection pane="bottomRight" activeCell="BJ25" sqref="BJ25:BJ35"/>
    </sheetView>
  </sheetViews>
  <sheetFormatPr defaultColWidth="10.7109375" defaultRowHeight="30.75" customHeight="1"/>
  <cols>
    <col min="1" max="1" width="26.140625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08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0" t="s">
        <v>14</v>
      </c>
      <c r="N1" s="810"/>
      <c r="O1" s="810"/>
      <c r="Q1" s="810"/>
      <c r="R1" s="530"/>
      <c r="S1" s="530"/>
      <c r="T1" s="530"/>
      <c r="U1" s="530"/>
      <c r="V1" s="792"/>
      <c r="W1" s="792"/>
      <c r="X1" s="792"/>
      <c r="Y1" s="792"/>
      <c r="Z1" s="792"/>
      <c r="AA1" s="792"/>
      <c r="AB1" s="792"/>
      <c r="AC1" s="792"/>
      <c r="AD1" s="792"/>
      <c r="AE1" s="792"/>
      <c r="AF1" s="792"/>
      <c r="AG1" s="792"/>
      <c r="AH1" s="792"/>
      <c r="AI1" s="792"/>
      <c r="AJ1" s="792"/>
      <c r="AK1" s="792"/>
      <c r="AL1" s="792"/>
      <c r="AM1" s="792"/>
      <c r="AN1" s="792"/>
      <c r="AO1" s="792"/>
      <c r="AP1" s="792"/>
      <c r="AQ1" s="792"/>
      <c r="AR1" s="792"/>
      <c r="AS1" s="792"/>
      <c r="AT1" s="792"/>
      <c r="AU1" s="792"/>
      <c r="AV1" s="792"/>
      <c r="AW1" s="792"/>
      <c r="AX1" s="792"/>
      <c r="AY1" s="792"/>
      <c r="AZ1" s="792"/>
      <c r="BA1" s="792"/>
      <c r="BB1" s="792"/>
      <c r="BC1" s="792"/>
      <c r="BD1" s="792"/>
      <c r="BE1" s="792"/>
      <c r="BF1" s="792"/>
      <c r="BG1" s="792"/>
      <c r="BH1" s="792"/>
      <c r="BI1" s="792"/>
      <c r="BJ1" s="792"/>
      <c r="BK1" s="530"/>
      <c r="BL1" s="530"/>
      <c r="BM1" s="792"/>
      <c r="BN1" s="792"/>
      <c r="BO1" s="528"/>
      <c r="BP1" s="832" t="s">
        <v>52</v>
      </c>
      <c r="BQ1" s="833"/>
      <c r="BR1" s="565">
        <v>1.6</v>
      </c>
      <c r="BS1" s="562" t="s">
        <v>53</v>
      </c>
      <c r="BT1" s="563"/>
      <c r="BU1" s="834" t="s">
        <v>54</v>
      </c>
      <c r="BV1" s="835"/>
      <c r="BW1" s="565">
        <v>500</v>
      </c>
      <c r="BX1" s="832" t="s">
        <v>55</v>
      </c>
      <c r="BY1" s="833"/>
      <c r="BZ1" s="565">
        <v>1.1499999999999999</v>
      </c>
    </row>
    <row r="2" spans="1:78" ht="28.5" customHeight="1" thickBot="1">
      <c r="A2" s="809"/>
      <c r="B2" s="114"/>
      <c r="C2" s="28"/>
      <c r="D2" s="28"/>
      <c r="E2" s="189"/>
      <c r="F2" s="189"/>
      <c r="I2" s="190"/>
      <c r="M2" s="811"/>
      <c r="N2" s="811"/>
      <c r="O2" s="811"/>
      <c r="Q2" s="811"/>
      <c r="R2" s="531"/>
      <c r="S2" s="531"/>
      <c r="T2" s="531"/>
      <c r="U2" s="531"/>
      <c r="V2" s="793"/>
      <c r="W2" s="793"/>
      <c r="X2" s="793"/>
      <c r="Y2" s="793"/>
      <c r="Z2" s="793"/>
      <c r="AA2" s="793"/>
      <c r="AB2" s="793"/>
      <c r="AC2" s="793"/>
      <c r="AD2" s="793" t="s">
        <v>56</v>
      </c>
      <c r="AE2" s="793"/>
      <c r="AF2" s="793"/>
      <c r="AG2" s="793"/>
      <c r="AH2" s="793"/>
      <c r="AI2" s="793"/>
      <c r="AJ2" s="793"/>
      <c r="AK2" s="793"/>
      <c r="AL2" s="793"/>
      <c r="AM2" s="793"/>
      <c r="AN2" s="793"/>
      <c r="AO2" s="793"/>
      <c r="AP2" s="793"/>
      <c r="AQ2" s="793"/>
      <c r="AR2" s="793"/>
      <c r="AS2" s="793"/>
      <c r="AT2" s="793"/>
      <c r="AU2" s="793"/>
      <c r="AV2" s="793"/>
      <c r="AW2" s="793"/>
      <c r="AX2" s="793"/>
      <c r="AY2" s="793"/>
      <c r="AZ2" s="793"/>
      <c r="BA2" s="793"/>
      <c r="BB2" s="793"/>
      <c r="BC2" s="793"/>
      <c r="BD2" s="793"/>
      <c r="BE2" s="793"/>
      <c r="BF2" s="793"/>
      <c r="BG2" s="793"/>
      <c r="BH2" s="793"/>
      <c r="BI2" s="793"/>
      <c r="BJ2" s="788"/>
      <c r="BK2" s="531"/>
      <c r="BL2" s="531"/>
      <c r="BM2" s="793"/>
      <c r="BN2" s="793"/>
      <c r="BO2" s="527"/>
      <c r="BP2" s="832"/>
      <c r="BQ2" s="833"/>
      <c r="BR2" s="565"/>
      <c r="BS2" s="567" t="s">
        <v>57</v>
      </c>
      <c r="BT2" s="568"/>
      <c r="BU2" s="834" t="s">
        <v>58</v>
      </c>
      <c r="BV2" s="835"/>
      <c r="BW2" s="569"/>
      <c r="BX2" s="832" t="s">
        <v>59</v>
      </c>
      <c r="BY2" s="833"/>
      <c r="BZ2" s="565">
        <v>30</v>
      </c>
    </row>
    <row r="3" spans="1:78" s="205" customFormat="1" ht="37.5" customHeight="1">
      <c r="A3" s="817" t="s">
        <v>60</v>
      </c>
      <c r="B3" s="819" t="s">
        <v>61</v>
      </c>
      <c r="C3" s="820"/>
      <c r="D3" s="812" t="s">
        <v>62</v>
      </c>
      <c r="E3" s="812"/>
      <c r="F3" s="812" t="s">
        <v>63</v>
      </c>
      <c r="G3" s="812"/>
      <c r="H3" s="813" t="s">
        <v>64</v>
      </c>
      <c r="I3" s="570" t="s">
        <v>65</v>
      </c>
      <c r="J3" s="536"/>
      <c r="K3" s="790"/>
      <c r="L3" s="812"/>
      <c r="M3" s="812"/>
      <c r="N3" s="812"/>
      <c r="O3" s="812"/>
      <c r="P3" s="812"/>
      <c r="Q3" s="812"/>
      <c r="R3" s="823" t="s">
        <v>66</v>
      </c>
      <c r="S3" s="823"/>
      <c r="T3" s="823"/>
      <c r="U3" s="824"/>
      <c r="V3" s="825" t="s">
        <v>67</v>
      </c>
      <c r="W3" s="826"/>
      <c r="X3" s="826"/>
      <c r="Y3" s="826"/>
      <c r="Z3" s="826"/>
      <c r="AA3" s="826"/>
      <c r="AB3" s="826"/>
      <c r="AC3" s="826"/>
      <c r="AD3" s="826"/>
      <c r="AE3" s="826"/>
      <c r="AF3" s="826"/>
      <c r="AG3" s="826"/>
      <c r="AH3" s="826"/>
      <c r="AI3" s="826"/>
      <c r="AJ3" s="826"/>
      <c r="AK3" s="826"/>
      <c r="AL3" s="826"/>
      <c r="AM3" s="826"/>
      <c r="AN3" s="827"/>
      <c r="AO3" s="831" t="s">
        <v>68</v>
      </c>
      <c r="AP3" s="823"/>
      <c r="AQ3" s="823"/>
      <c r="AR3" s="823"/>
      <c r="AS3" s="823"/>
      <c r="AT3" s="823"/>
      <c r="AU3" s="823"/>
      <c r="AV3" s="823"/>
      <c r="AW3" s="823"/>
      <c r="AX3" s="823"/>
      <c r="AY3" s="823"/>
      <c r="AZ3" s="823"/>
      <c r="BA3" s="823"/>
      <c r="BB3" s="823"/>
      <c r="BC3" s="823"/>
      <c r="BD3" s="823"/>
      <c r="BE3" s="823"/>
      <c r="BF3" s="823"/>
      <c r="BG3" s="823"/>
      <c r="BH3" s="823"/>
      <c r="BI3" s="823"/>
      <c r="BJ3" s="824"/>
      <c r="BK3" s="828" t="s">
        <v>69</v>
      </c>
      <c r="BL3" s="829"/>
      <c r="BM3" s="829"/>
      <c r="BN3" s="829"/>
      <c r="BO3" s="829"/>
      <c r="BP3" s="829"/>
      <c r="BQ3" s="829"/>
      <c r="BR3" s="830"/>
      <c r="BS3" s="821" t="s">
        <v>70</v>
      </c>
      <c r="BT3" s="791" t="s">
        <v>71</v>
      </c>
      <c r="BU3" s="791" t="s">
        <v>72</v>
      </c>
      <c r="BV3" s="791" t="s">
        <v>71</v>
      </c>
      <c r="BW3" s="791" t="s">
        <v>72</v>
      </c>
      <c r="BX3" s="812" t="s">
        <v>73</v>
      </c>
      <c r="BY3" s="571" t="s">
        <v>74</v>
      </c>
      <c r="BZ3" s="572" t="s">
        <v>74</v>
      </c>
    </row>
    <row r="4" spans="1:78" s="205" customFormat="1" ht="55.5" customHeight="1" thickBot="1">
      <c r="A4" s="818"/>
      <c r="B4" s="573" t="s">
        <v>75</v>
      </c>
      <c r="C4" s="574" t="s">
        <v>76</v>
      </c>
      <c r="D4" s="537" t="s">
        <v>75</v>
      </c>
      <c r="E4" s="574" t="s">
        <v>77</v>
      </c>
      <c r="F4" s="537" t="s">
        <v>78</v>
      </c>
      <c r="G4" s="574" t="s">
        <v>79</v>
      </c>
      <c r="H4" s="814"/>
      <c r="I4" s="575" t="s">
        <v>80</v>
      </c>
      <c r="J4" s="537" t="s">
        <v>81</v>
      </c>
      <c r="K4" s="537" t="s">
        <v>82</v>
      </c>
      <c r="L4" s="789" t="s">
        <v>83</v>
      </c>
      <c r="M4" s="537" t="s">
        <v>81</v>
      </c>
      <c r="N4" s="537" t="s">
        <v>84</v>
      </c>
      <c r="O4" s="537" t="s">
        <v>81</v>
      </c>
      <c r="P4" s="576" t="s">
        <v>85</v>
      </c>
      <c r="Q4" s="789" t="s">
        <v>86</v>
      </c>
      <c r="R4" s="688" t="s">
        <v>87</v>
      </c>
      <c r="S4" s="537" t="s">
        <v>81</v>
      </c>
      <c r="T4" s="688" t="s">
        <v>88</v>
      </c>
      <c r="U4" s="537" t="s">
        <v>81</v>
      </c>
      <c r="V4" s="548" t="s">
        <v>89</v>
      </c>
      <c r="W4" s="789" t="s">
        <v>90</v>
      </c>
      <c r="X4" s="548" t="s">
        <v>91</v>
      </c>
      <c r="Y4" s="789" t="s">
        <v>90</v>
      </c>
      <c r="Z4" s="716" t="s">
        <v>92</v>
      </c>
      <c r="AA4" s="789" t="s">
        <v>90</v>
      </c>
      <c r="AB4" s="548" t="s">
        <v>93</v>
      </c>
      <c r="AC4" s="789" t="s">
        <v>90</v>
      </c>
      <c r="AD4" s="548" t="s">
        <v>94</v>
      </c>
      <c r="AE4" s="789" t="s">
        <v>90</v>
      </c>
      <c r="AF4" s="548" t="s">
        <v>95</v>
      </c>
      <c r="AG4" s="789" t="s">
        <v>90</v>
      </c>
      <c r="AH4" s="548" t="s">
        <v>96</v>
      </c>
      <c r="AI4" s="789" t="s">
        <v>90</v>
      </c>
      <c r="AJ4" s="548" t="s">
        <v>97</v>
      </c>
      <c r="AK4" s="789" t="s">
        <v>90</v>
      </c>
      <c r="AL4" s="688" t="s">
        <v>98</v>
      </c>
      <c r="AM4" s="789" t="s">
        <v>90</v>
      </c>
      <c r="AN4" s="576" t="s">
        <v>99</v>
      </c>
      <c r="AO4" s="789" t="s">
        <v>100</v>
      </c>
      <c r="AP4" s="537" t="s">
        <v>81</v>
      </c>
      <c r="AQ4" s="789" t="s">
        <v>101</v>
      </c>
      <c r="AR4" s="537" t="s">
        <v>81</v>
      </c>
      <c r="AS4" s="789" t="s">
        <v>102</v>
      </c>
      <c r="AT4" s="537" t="s">
        <v>81</v>
      </c>
      <c r="AU4" s="789" t="s">
        <v>103</v>
      </c>
      <c r="AV4" s="537" t="s">
        <v>81</v>
      </c>
      <c r="AW4" s="537" t="s">
        <v>104</v>
      </c>
      <c r="AX4" s="537" t="s">
        <v>81</v>
      </c>
      <c r="AY4" s="789" t="s">
        <v>105</v>
      </c>
      <c r="AZ4" s="537" t="s">
        <v>81</v>
      </c>
      <c r="BA4" s="537" t="s">
        <v>106</v>
      </c>
      <c r="BB4" s="537" t="s">
        <v>81</v>
      </c>
      <c r="BC4" s="789" t="s">
        <v>107</v>
      </c>
      <c r="BD4" s="537" t="s">
        <v>81</v>
      </c>
      <c r="BE4" s="537" t="s">
        <v>108</v>
      </c>
      <c r="BF4" s="537" t="s">
        <v>81</v>
      </c>
      <c r="BG4" s="537" t="s">
        <v>109</v>
      </c>
      <c r="BH4" s="537" t="s">
        <v>81</v>
      </c>
      <c r="BI4" s="576" t="s">
        <v>110</v>
      </c>
      <c r="BJ4" s="576" t="s">
        <v>111</v>
      </c>
      <c r="BK4" s="789" t="s">
        <v>112</v>
      </c>
      <c r="BL4" s="537" t="s">
        <v>81</v>
      </c>
      <c r="BM4" s="537" t="s">
        <v>113</v>
      </c>
      <c r="BN4" s="537" t="s">
        <v>81</v>
      </c>
      <c r="BO4" s="537" t="s">
        <v>114</v>
      </c>
      <c r="BP4" s="537" t="s">
        <v>81</v>
      </c>
      <c r="BQ4" s="537" t="s">
        <v>115</v>
      </c>
      <c r="BR4" s="537" t="s">
        <v>81</v>
      </c>
      <c r="BS4" s="822"/>
      <c r="BT4" s="537" t="s">
        <v>116</v>
      </c>
      <c r="BU4" s="537" t="s">
        <v>117</v>
      </c>
      <c r="BV4" s="537" t="s">
        <v>118</v>
      </c>
      <c r="BW4" s="537" t="s">
        <v>118</v>
      </c>
      <c r="BX4" s="815"/>
      <c r="BY4" s="577" t="s">
        <v>119</v>
      </c>
      <c r="BZ4" s="578" t="s">
        <v>120</v>
      </c>
    </row>
    <row r="5" spans="1:78" s="385" customFormat="1" ht="39" customHeight="1">
      <c r="A5" s="525" t="s">
        <v>121</v>
      </c>
      <c r="B5" s="431"/>
      <c r="C5" s="432"/>
      <c r="D5" s="432"/>
      <c r="E5" s="432"/>
      <c r="F5" s="432"/>
      <c r="G5" s="432"/>
      <c r="H5" s="433"/>
      <c r="I5" s="771">
        <v>22590286</v>
      </c>
      <c r="J5" s="638">
        <f>IF(I5&gt;=I4,I5-I4,0)</f>
        <v>0</v>
      </c>
      <c r="K5" s="638">
        <f t="shared" ref="K5:K36" si="0">M5+O5</f>
        <v>0</v>
      </c>
      <c r="L5" s="771">
        <v>164375</v>
      </c>
      <c r="M5" s="638">
        <f t="shared" ref="M5:M36" si="1">IF(L5&gt;=L4,L5-L4,0)</f>
        <v>0</v>
      </c>
      <c r="N5" s="771">
        <v>181359</v>
      </c>
      <c r="O5" s="638">
        <f t="shared" ref="O5:O36" si="2">IF(N5&gt;=N4,N5-N4,0)</f>
        <v>0</v>
      </c>
      <c r="P5" s="771">
        <v>217068</v>
      </c>
      <c r="Q5" s="638">
        <f t="shared" ref="Q5:Q18" si="3">IF(P5&gt;=P4,P5-P4,0)*30</f>
        <v>0</v>
      </c>
      <c r="R5" s="770">
        <v>148148</v>
      </c>
      <c r="S5" s="638">
        <f t="shared" ref="S5:S20" si="4">IF(R5&gt;=R4,R5-R4,0)</f>
        <v>0</v>
      </c>
      <c r="T5" s="770">
        <v>268811</v>
      </c>
      <c r="U5" s="638">
        <f t="shared" ref="U5:U28" si="5">IF(T5&gt;=T4,T5-T4,0)</f>
        <v>0</v>
      </c>
      <c r="V5" s="770">
        <v>740296</v>
      </c>
      <c r="W5" s="638">
        <f t="shared" ref="W5:W36" si="6">IF(V5&gt;=V4,V5-V4,0)*0.53</f>
        <v>0</v>
      </c>
      <c r="X5" s="771">
        <v>434694</v>
      </c>
      <c r="Y5" s="638">
        <f t="shared" ref="Y5:Y36" si="7">IF(X5&gt;=X4,X5-X4,0)*0.53</f>
        <v>0</v>
      </c>
      <c r="Z5" s="774">
        <v>690715</v>
      </c>
      <c r="AA5" s="638">
        <f t="shared" ref="AA5:AA36" si="8">IF(Z5&gt;=Z4,Z5-Z4,0)*0.53</f>
        <v>0</v>
      </c>
      <c r="AB5" s="770">
        <v>324857</v>
      </c>
      <c r="AC5" s="638">
        <f>IF(AB5&gt;=AB4,AB5-AB4,0)*0.53</f>
        <v>0</v>
      </c>
      <c r="AD5" s="770">
        <v>421367.4</v>
      </c>
      <c r="AE5" s="638">
        <f>IF(AD5&gt;=AD4,AD5-AD4,0)*0.53</f>
        <v>0</v>
      </c>
      <c r="AF5" s="770">
        <v>745569</v>
      </c>
      <c r="AG5" s="638">
        <f t="shared" ref="AG5:AG12" si="9">IF(AF5&gt;=AF4,AF5-AF4,0)*0.53</f>
        <v>0</v>
      </c>
      <c r="AH5" s="771">
        <v>648195</v>
      </c>
      <c r="AI5" s="638">
        <f t="shared" ref="AI5:AI36" si="10">IF(AH5&gt;=AH4,AH5-AH4,0)*0.53</f>
        <v>0</v>
      </c>
      <c r="AJ5" s="770">
        <v>277404</v>
      </c>
      <c r="AK5" s="638">
        <f t="shared" ref="AK5:AK12" si="11">IF(AJ5&gt;=AJ4,AJ5-AJ4,0)*0.53</f>
        <v>0</v>
      </c>
      <c r="AL5" s="770">
        <v>417958</v>
      </c>
      <c r="AM5" s="638">
        <f t="shared" ref="AM5:AM36" si="12">IF(AL5&gt;=AL4,AL5-AL4,0)*0.53</f>
        <v>0</v>
      </c>
      <c r="AN5" s="638">
        <f>W5+Y5+AA5+AC5+AE5+AG5+AI5+AK5+AM5</f>
        <v>0</v>
      </c>
      <c r="AO5" s="770">
        <v>7315006</v>
      </c>
      <c r="AP5" s="638">
        <f>IF(AO5&gt;=AO4,AO5-AO4,0)*0.1125</f>
        <v>0</v>
      </c>
      <c r="AQ5" s="770">
        <v>611191</v>
      </c>
      <c r="AR5" s="638">
        <f t="shared" ref="AR5:AR36" si="13">IF(AQ5&gt;=AQ4,AQ5-AQ4,0)</f>
        <v>0</v>
      </c>
      <c r="AS5" s="770">
        <v>927541</v>
      </c>
      <c r="AT5" s="638">
        <f>IF(AS5&gt;=AS4,AS5-AS4,0)</f>
        <v>0</v>
      </c>
      <c r="AU5" s="770">
        <v>798914</v>
      </c>
      <c r="AV5" s="638">
        <f t="shared" ref="AV5:AV36" si="14">IF(AU5&gt;=AU4,AU5-AU4,0)</f>
        <v>0</v>
      </c>
      <c r="AW5" s="770">
        <v>2406790</v>
      </c>
      <c r="AX5" s="638">
        <f t="shared" ref="AX5:AX36" si="15">IF(AW5&gt;=AW4,AW5-AW4,0)</f>
        <v>0</v>
      </c>
      <c r="AY5" s="770">
        <v>215052</v>
      </c>
      <c r="AZ5" s="638">
        <f t="shared" ref="AZ5:AZ18" si="16">IF(AY5&gt;=AY4,AY5-AY4,0)</f>
        <v>0</v>
      </c>
      <c r="BA5" s="770">
        <v>18119598</v>
      </c>
      <c r="BB5" s="638">
        <f t="shared" ref="BB5:BF36" si="17">IF(BA5&gt;=BA4,BA5-BA4,0)</f>
        <v>0</v>
      </c>
      <c r="BC5" s="770">
        <v>512642</v>
      </c>
      <c r="BD5" s="638">
        <f t="shared" si="17"/>
        <v>0</v>
      </c>
      <c r="BE5" s="770">
        <v>9263</v>
      </c>
      <c r="BF5" s="638">
        <f t="shared" si="17"/>
        <v>0</v>
      </c>
      <c r="BG5" s="771">
        <v>22567804</v>
      </c>
      <c r="BH5" s="638">
        <f>IF(BG5&gt;=BG4,BG5-BG4,0)-(0.45*BN5)-(0.45*BP5)-BR5</f>
        <v>0</v>
      </c>
      <c r="BI5" s="638">
        <f>AP5+AR5+AT5+AV5+AX5+AZ5+BB5+BD5+BF5+BH5</f>
        <v>0</v>
      </c>
      <c r="BJ5" s="638">
        <f>BI5+AN5</f>
        <v>0</v>
      </c>
      <c r="BK5" s="771">
        <v>1389277</v>
      </c>
      <c r="BL5" s="638">
        <f t="shared" ref="BL5:BL36" si="18">IF(BK5&gt;=BK4,BK5-BK4,0)</f>
        <v>0</v>
      </c>
      <c r="BM5" s="771">
        <v>3618486</v>
      </c>
      <c r="BN5" s="638">
        <f t="shared" ref="BN5:BN36" si="19">IF(BM5&gt;=BM4,BM5-BM4,0)</f>
        <v>0</v>
      </c>
      <c r="BO5" s="770">
        <v>385840</v>
      </c>
      <c r="BP5" s="638">
        <f t="shared" ref="BP5:BP36" si="20">IF(BO5&gt;=BO4,BO5-BO4,0)</f>
        <v>0</v>
      </c>
      <c r="BQ5" s="770">
        <v>476466</v>
      </c>
      <c r="BR5" s="638">
        <f t="shared" ref="BR5:BR11" si="21">IF(BQ5&gt;=BQ4,BQ5-BQ4,0)</f>
        <v>0</v>
      </c>
      <c r="BS5" s="770"/>
      <c r="BT5" s="713"/>
      <c r="BU5" s="434"/>
      <c r="BV5" s="711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1">
        <v>22595025</v>
      </c>
      <c r="J6" s="638">
        <f t="shared" ref="J6:J36" si="22">IF(I6&gt;=I5,I6-I5,0)</f>
        <v>4739</v>
      </c>
      <c r="K6" s="638">
        <f t="shared" si="0"/>
        <v>3106</v>
      </c>
      <c r="L6" s="771">
        <v>165884</v>
      </c>
      <c r="M6" s="638">
        <f t="shared" si="1"/>
        <v>1509</v>
      </c>
      <c r="N6" s="771">
        <v>182956</v>
      </c>
      <c r="O6" s="638">
        <f>IF(N6&gt;=N5,N6-N5,0)</f>
        <v>1597</v>
      </c>
      <c r="P6" s="771">
        <v>217085</v>
      </c>
      <c r="Q6" s="638">
        <f t="shared" si="3"/>
        <v>510</v>
      </c>
      <c r="R6" s="770">
        <v>148316</v>
      </c>
      <c r="S6" s="638">
        <f t="shared" si="4"/>
        <v>168</v>
      </c>
      <c r="T6" s="770">
        <v>269111</v>
      </c>
      <c r="U6" s="638">
        <f t="shared" si="5"/>
        <v>300</v>
      </c>
      <c r="V6" s="770">
        <v>745444</v>
      </c>
      <c r="W6" s="638">
        <f t="shared" si="6"/>
        <v>2728.44</v>
      </c>
      <c r="X6" s="771">
        <v>434694</v>
      </c>
      <c r="Y6" s="638">
        <f t="shared" si="7"/>
        <v>0</v>
      </c>
      <c r="Z6" s="770">
        <v>694798</v>
      </c>
      <c r="AA6" s="638">
        <f t="shared" si="8"/>
        <v>2163.9900000000002</v>
      </c>
      <c r="AB6" s="770">
        <v>328811</v>
      </c>
      <c r="AC6" s="638">
        <f>IF(AB6&gt;=AB5,AB6-AB5,0)*0.53</f>
        <v>2095.62</v>
      </c>
      <c r="AD6" s="770">
        <v>421367.4</v>
      </c>
      <c r="AE6" s="638">
        <f t="shared" ref="AE6:AE36" si="23">IF(AD6&gt;=AD5,AD6-AD5,0)*0.53</f>
        <v>0</v>
      </c>
      <c r="AF6" s="770">
        <v>749128</v>
      </c>
      <c r="AG6" s="638">
        <f t="shared" si="9"/>
        <v>1886.27</v>
      </c>
      <c r="AH6" s="770">
        <v>650340</v>
      </c>
      <c r="AI6" s="638">
        <f t="shared" si="10"/>
        <v>1136.8500000000001</v>
      </c>
      <c r="AJ6" s="770">
        <v>284938</v>
      </c>
      <c r="AK6" s="638">
        <f t="shared" si="11"/>
        <v>3993.02</v>
      </c>
      <c r="AL6" s="770">
        <v>418297</v>
      </c>
      <c r="AM6" s="638">
        <f t="shared" si="12"/>
        <v>179.67000000000002</v>
      </c>
      <c r="AN6" s="638">
        <f t="shared" ref="AN6:AN36" si="24">W6+Y6+AA6+AC6+AE6+AG6+AI6+AK6+AM6</f>
        <v>14183.86</v>
      </c>
      <c r="AO6" s="770">
        <v>7316843</v>
      </c>
      <c r="AP6" s="638">
        <f t="shared" ref="AP6:AP36" si="25">IF(AO6&gt;=AO5,AO6-AO5,0)*0.1125</f>
        <v>206.66249999999999</v>
      </c>
      <c r="AQ6" s="771">
        <v>611438</v>
      </c>
      <c r="AR6" s="638">
        <f t="shared" si="13"/>
        <v>247</v>
      </c>
      <c r="AS6" s="770">
        <v>927692</v>
      </c>
      <c r="AT6" s="638">
        <f t="shared" ref="AT6:AT34" si="26">IF(AS6&gt;=AS5,AS6-AS5,0)</f>
        <v>151</v>
      </c>
      <c r="AU6" s="771">
        <v>798986</v>
      </c>
      <c r="AV6" s="638">
        <f t="shared" si="14"/>
        <v>72</v>
      </c>
      <c r="AW6" s="770">
        <v>2407965</v>
      </c>
      <c r="AX6" s="638">
        <f t="shared" si="15"/>
        <v>1175</v>
      </c>
      <c r="AY6" s="770">
        <v>215131</v>
      </c>
      <c r="AZ6" s="638">
        <f t="shared" si="16"/>
        <v>79</v>
      </c>
      <c r="BA6" s="771">
        <v>18124666</v>
      </c>
      <c r="BB6" s="638">
        <f t="shared" si="17"/>
        <v>5068</v>
      </c>
      <c r="BC6" s="770">
        <v>512795</v>
      </c>
      <c r="BD6" s="638">
        <f t="shared" si="17"/>
        <v>153</v>
      </c>
      <c r="BE6" s="770">
        <v>9352</v>
      </c>
      <c r="BF6" s="638">
        <f t="shared" si="17"/>
        <v>89</v>
      </c>
      <c r="BG6" s="771">
        <v>22576660</v>
      </c>
      <c r="BH6" s="638">
        <f t="shared" ref="BH6:BH36" si="27">IF(BG6&gt;=BG5,BG6-BG5,0)-(0.45*BN6)-(0.45*BP6)-BR6</f>
        <v>7923.9499999999989</v>
      </c>
      <c r="BI6" s="638">
        <f t="shared" ref="BI6:BI36" si="28">AP6+AR6+AT6+AV6+AX6+AZ6+BB6+BD6+BF6+BH6</f>
        <v>15164.612499999999</v>
      </c>
      <c r="BJ6" s="638">
        <f t="shared" ref="BJ6:BJ36" si="29">BI6+AN6</f>
        <v>29348.4725</v>
      </c>
      <c r="BK6" s="771">
        <v>1389663</v>
      </c>
      <c r="BL6" s="638">
        <f t="shared" si="18"/>
        <v>386</v>
      </c>
      <c r="BM6" s="771">
        <v>3619927</v>
      </c>
      <c r="BN6" s="638">
        <f t="shared" si="19"/>
        <v>1441</v>
      </c>
      <c r="BO6" s="771">
        <v>385968</v>
      </c>
      <c r="BP6" s="638">
        <f t="shared" si="20"/>
        <v>128</v>
      </c>
      <c r="BQ6" s="771">
        <v>476692</v>
      </c>
      <c r="BR6" s="638">
        <f t="shared" si="21"/>
        <v>226</v>
      </c>
      <c r="BS6" s="694">
        <f t="shared" ref="BS6:BS36" si="30">J6+Q6+AN6+BI6</f>
        <v>34597.472500000003</v>
      </c>
      <c r="BT6" s="695">
        <v>94</v>
      </c>
      <c r="BU6" s="694" t="e">
        <f t="shared" ref="BU6:BU12" si="31">IF(BS6&gt;0,BS6/BT5,0)</f>
        <v>#DIV/0!</v>
      </c>
      <c r="BV6" s="695"/>
      <c r="BW6" s="694" t="e">
        <f t="shared" ref="BW6:BW36" si="32">IF(BS6&gt;0,BS6/BV6,0)</f>
        <v>#DIV/0!</v>
      </c>
      <c r="BX6" s="694">
        <f>((BS6-Q6)*$BZ$1)+(Q6*$BR$1)</f>
        <v>40016.593375000004</v>
      </c>
      <c r="BY6" s="694" t="e">
        <f t="shared" ref="BY6:BY15" si="33">IF(BX6&gt;0,BX6/BT5,0)</f>
        <v>#DIV/0!</v>
      </c>
      <c r="BZ6" s="696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1">
        <v>22599867</v>
      </c>
      <c r="J7" s="638">
        <f t="shared" si="22"/>
        <v>4842</v>
      </c>
      <c r="K7" s="638">
        <f t="shared" si="0"/>
        <v>2936</v>
      </c>
      <c r="L7" s="771">
        <v>167264</v>
      </c>
      <c r="M7" s="638">
        <f>IF(L7&gt;=L6,L7-L6,0)</f>
        <v>1380</v>
      </c>
      <c r="N7" s="771">
        <v>184512</v>
      </c>
      <c r="O7" s="638">
        <f>IF(N7&gt;=N6,N7-N6,0)</f>
        <v>1556</v>
      </c>
      <c r="P7" s="771">
        <v>217101</v>
      </c>
      <c r="Q7" s="638">
        <f t="shared" si="3"/>
        <v>480</v>
      </c>
      <c r="R7" s="770">
        <v>148455</v>
      </c>
      <c r="S7" s="638">
        <f t="shared" si="4"/>
        <v>139</v>
      </c>
      <c r="T7" s="770">
        <v>269374</v>
      </c>
      <c r="U7" s="638">
        <f t="shared" si="5"/>
        <v>263</v>
      </c>
      <c r="V7" s="770">
        <v>750432</v>
      </c>
      <c r="W7" s="638">
        <f t="shared" si="6"/>
        <v>2643.6400000000003</v>
      </c>
      <c r="X7" s="771">
        <v>438761</v>
      </c>
      <c r="Y7" s="638">
        <f t="shared" si="7"/>
        <v>2155.5100000000002</v>
      </c>
      <c r="Z7" s="770">
        <v>694798</v>
      </c>
      <c r="AA7" s="638">
        <f t="shared" si="8"/>
        <v>0</v>
      </c>
      <c r="AB7" s="770">
        <v>329129</v>
      </c>
      <c r="AC7" s="638">
        <f t="shared" ref="AC7:AC36" si="34">IF(AB7&gt;=AB6,AB7-AB6,0)*0.53</f>
        <v>168.54000000000002</v>
      </c>
      <c r="AD7" s="770">
        <v>421367.4</v>
      </c>
      <c r="AE7" s="638">
        <f t="shared" si="23"/>
        <v>0</v>
      </c>
      <c r="AF7" s="770">
        <v>751806</v>
      </c>
      <c r="AG7" s="638">
        <f t="shared" si="9"/>
        <v>1419.3400000000001</v>
      </c>
      <c r="AH7" s="771">
        <v>652457</v>
      </c>
      <c r="AI7" s="638">
        <f t="shared" si="10"/>
        <v>1122.01</v>
      </c>
      <c r="AJ7" s="771">
        <v>292101</v>
      </c>
      <c r="AK7" s="638">
        <f t="shared" si="11"/>
        <v>3796.3900000000003</v>
      </c>
      <c r="AL7" s="770">
        <v>418620</v>
      </c>
      <c r="AM7" s="638">
        <f t="shared" si="12"/>
        <v>171.19</v>
      </c>
      <c r="AN7" s="638">
        <f t="shared" si="24"/>
        <v>11476.62</v>
      </c>
      <c r="AO7" s="770">
        <v>7319245</v>
      </c>
      <c r="AP7" s="638">
        <f t="shared" si="25"/>
        <v>270.22500000000002</v>
      </c>
      <c r="AQ7" s="770">
        <v>611749</v>
      </c>
      <c r="AR7" s="638">
        <f t="shared" si="13"/>
        <v>311</v>
      </c>
      <c r="AS7" s="770">
        <v>927854</v>
      </c>
      <c r="AT7" s="638">
        <f t="shared" si="26"/>
        <v>162</v>
      </c>
      <c r="AU7" s="712">
        <v>799033</v>
      </c>
      <c r="AV7" s="638">
        <f t="shared" si="14"/>
        <v>47</v>
      </c>
      <c r="AW7" s="771">
        <v>2409074</v>
      </c>
      <c r="AX7" s="638">
        <f t="shared" si="15"/>
        <v>1109</v>
      </c>
      <c r="AY7" s="770">
        <v>215201</v>
      </c>
      <c r="AZ7" s="638">
        <f t="shared" si="16"/>
        <v>70</v>
      </c>
      <c r="BA7" s="771">
        <v>18129339</v>
      </c>
      <c r="BB7" s="638">
        <f t="shared" si="17"/>
        <v>4673</v>
      </c>
      <c r="BC7" s="770">
        <v>512930</v>
      </c>
      <c r="BD7" s="638">
        <f t="shared" si="17"/>
        <v>135</v>
      </c>
      <c r="BE7" s="770">
        <v>9402</v>
      </c>
      <c r="BF7" s="638">
        <f t="shared" si="17"/>
        <v>50</v>
      </c>
      <c r="BG7" s="771">
        <v>22583274</v>
      </c>
      <c r="BH7" s="638">
        <f t="shared" si="27"/>
        <v>5696.4000000000005</v>
      </c>
      <c r="BI7" s="638">
        <f t="shared" si="28"/>
        <v>12523.625</v>
      </c>
      <c r="BJ7" s="638">
        <f t="shared" si="29"/>
        <v>24000.245000000003</v>
      </c>
      <c r="BK7" s="771">
        <v>1389928</v>
      </c>
      <c r="BL7" s="638">
        <f t="shared" si="18"/>
        <v>265</v>
      </c>
      <c r="BM7" s="771">
        <v>3621383</v>
      </c>
      <c r="BN7" s="638">
        <f t="shared" si="19"/>
        <v>1456</v>
      </c>
      <c r="BO7" s="771">
        <v>386080</v>
      </c>
      <c r="BP7" s="638">
        <f t="shared" si="20"/>
        <v>112</v>
      </c>
      <c r="BQ7" s="770">
        <v>476904</v>
      </c>
      <c r="BR7" s="638">
        <f t="shared" si="21"/>
        <v>212</v>
      </c>
      <c r="BS7" s="694">
        <f t="shared" si="30"/>
        <v>29322.245000000003</v>
      </c>
      <c r="BT7" s="695">
        <v>125</v>
      </c>
      <c r="BU7" s="694">
        <f t="shared" si="31"/>
        <v>311.93877659574468</v>
      </c>
      <c r="BV7" s="695"/>
      <c r="BW7" s="694" t="e">
        <f t="shared" si="32"/>
        <v>#DIV/0!</v>
      </c>
      <c r="BX7" s="694">
        <f t="shared" ref="BX7:BX36" si="35">((BS7-Q7)*$BZ$1)+(Q7*$BR$1)</f>
        <v>33936.581749999998</v>
      </c>
      <c r="BY7" s="694">
        <f t="shared" si="33"/>
        <v>361.02746542553189</v>
      </c>
      <c r="BZ7" s="696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1">
        <v>22604692</v>
      </c>
      <c r="J8" s="638">
        <f t="shared" si="22"/>
        <v>4825</v>
      </c>
      <c r="K8" s="638">
        <f t="shared" si="0"/>
        <v>3117</v>
      </c>
      <c r="L8" s="771">
        <v>168812</v>
      </c>
      <c r="M8" s="638">
        <f>IF(L8&gt;=L7,L8-L7,0)</f>
        <v>1548</v>
      </c>
      <c r="N8" s="771">
        <v>186081</v>
      </c>
      <c r="O8" s="638">
        <f t="shared" ref="O8:O11" si="40">IF(N8&gt;=N7,N8-N7,0)</f>
        <v>1569</v>
      </c>
      <c r="P8" s="771">
        <v>217120</v>
      </c>
      <c r="Q8" s="638">
        <f t="shared" si="3"/>
        <v>570</v>
      </c>
      <c r="R8" s="770">
        <v>148603</v>
      </c>
      <c r="S8" s="638">
        <f t="shared" si="4"/>
        <v>148</v>
      </c>
      <c r="T8" s="770">
        <v>269642</v>
      </c>
      <c r="U8" s="638">
        <f t="shared" si="5"/>
        <v>268</v>
      </c>
      <c r="V8" s="770">
        <v>754972</v>
      </c>
      <c r="W8" s="638">
        <f t="shared" si="6"/>
        <v>2406.2000000000003</v>
      </c>
      <c r="X8" s="771">
        <v>443235</v>
      </c>
      <c r="Y8" s="638">
        <f t="shared" si="7"/>
        <v>2371.2200000000003</v>
      </c>
      <c r="Z8" s="771">
        <v>694798</v>
      </c>
      <c r="AA8" s="638">
        <f t="shared" si="8"/>
        <v>0</v>
      </c>
      <c r="AB8" s="770">
        <v>329129</v>
      </c>
      <c r="AC8" s="638">
        <f t="shared" si="34"/>
        <v>0</v>
      </c>
      <c r="AD8" s="770">
        <v>421367.4</v>
      </c>
      <c r="AE8" s="638">
        <f t="shared" si="23"/>
        <v>0</v>
      </c>
      <c r="AF8" s="770">
        <v>754662</v>
      </c>
      <c r="AG8" s="638">
        <f t="shared" si="9"/>
        <v>1513.68</v>
      </c>
      <c r="AH8" s="770">
        <v>654523</v>
      </c>
      <c r="AI8" s="638">
        <f t="shared" si="10"/>
        <v>1094.98</v>
      </c>
      <c r="AJ8" s="770">
        <v>299449</v>
      </c>
      <c r="AK8" s="638">
        <f t="shared" si="11"/>
        <v>3894.44</v>
      </c>
      <c r="AL8" s="770">
        <v>418967</v>
      </c>
      <c r="AM8" s="638">
        <f t="shared" si="12"/>
        <v>183.91</v>
      </c>
      <c r="AN8" s="638">
        <f t="shared" si="24"/>
        <v>11464.43</v>
      </c>
      <c r="AO8" s="770">
        <v>7321375</v>
      </c>
      <c r="AP8" s="638">
        <f t="shared" si="25"/>
        <v>239.625</v>
      </c>
      <c r="AQ8" s="771">
        <v>612135</v>
      </c>
      <c r="AR8" s="638">
        <f t="shared" si="13"/>
        <v>386</v>
      </c>
      <c r="AS8" s="771">
        <v>928019</v>
      </c>
      <c r="AT8" s="638">
        <f t="shared" si="26"/>
        <v>165</v>
      </c>
      <c r="AU8" s="712">
        <v>799083</v>
      </c>
      <c r="AV8" s="638">
        <f>IF(AU8&gt;=AU7,AU8-AU7,0)</f>
        <v>50</v>
      </c>
      <c r="AW8" s="771">
        <v>2410121</v>
      </c>
      <c r="AX8" s="638">
        <f t="shared" si="15"/>
        <v>1047</v>
      </c>
      <c r="AY8" s="770">
        <v>215275</v>
      </c>
      <c r="AZ8" s="638">
        <f t="shared" si="16"/>
        <v>74</v>
      </c>
      <c r="BA8" s="770">
        <v>18134101</v>
      </c>
      <c r="BB8" s="638">
        <f t="shared" si="17"/>
        <v>4762</v>
      </c>
      <c r="BC8" s="770">
        <v>513085</v>
      </c>
      <c r="BD8" s="638">
        <f t="shared" si="17"/>
        <v>155</v>
      </c>
      <c r="BE8" s="770">
        <v>9559</v>
      </c>
      <c r="BF8" s="638">
        <f t="shared" si="17"/>
        <v>157</v>
      </c>
      <c r="BG8" s="771">
        <v>22590060</v>
      </c>
      <c r="BH8" s="638">
        <f t="shared" si="27"/>
        <v>5829.05</v>
      </c>
      <c r="BI8" s="638">
        <f t="shared" si="28"/>
        <v>12864.674999999999</v>
      </c>
      <c r="BJ8" s="638">
        <f t="shared" si="29"/>
        <v>24329.105</v>
      </c>
      <c r="BK8" s="771">
        <v>1390208</v>
      </c>
      <c r="BL8" s="638">
        <f t="shared" si="18"/>
        <v>280</v>
      </c>
      <c r="BM8" s="770">
        <v>3622897</v>
      </c>
      <c r="BN8" s="638">
        <f t="shared" si="19"/>
        <v>1514</v>
      </c>
      <c r="BO8" s="770">
        <v>386197</v>
      </c>
      <c r="BP8" s="638">
        <f t="shared" si="20"/>
        <v>117</v>
      </c>
      <c r="BQ8" s="770">
        <v>477127</v>
      </c>
      <c r="BR8" s="638">
        <f t="shared" si="21"/>
        <v>223</v>
      </c>
      <c r="BS8" s="694">
        <f t="shared" si="30"/>
        <v>29724.105</v>
      </c>
      <c r="BT8" s="695">
        <v>135</v>
      </c>
      <c r="BU8" s="694">
        <f t="shared" si="31"/>
        <v>237.79283999999998</v>
      </c>
      <c r="BV8" s="695"/>
      <c r="BW8" s="694" t="e">
        <f t="shared" si="32"/>
        <v>#DIV/0!</v>
      </c>
      <c r="BX8" s="694">
        <f t="shared" si="35"/>
        <v>34439.22075</v>
      </c>
      <c r="BY8" s="694">
        <f t="shared" si="33"/>
        <v>275.51376599999998</v>
      </c>
      <c r="BZ8" s="696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1">
        <v>22609100</v>
      </c>
      <c r="J9" s="638">
        <f>IF(I9&gt;=I8,I9-I8,0)</f>
        <v>4408</v>
      </c>
      <c r="K9" s="638">
        <f t="shared" si="0"/>
        <v>2704</v>
      </c>
      <c r="L9" s="771">
        <v>170292</v>
      </c>
      <c r="M9" s="638">
        <f>IF(L9&gt;=L8,L9-L8,0)</f>
        <v>1480</v>
      </c>
      <c r="N9" s="771">
        <v>187305</v>
      </c>
      <c r="O9" s="638">
        <f t="shared" si="40"/>
        <v>1224</v>
      </c>
      <c r="P9" s="771">
        <v>217135</v>
      </c>
      <c r="Q9" s="638">
        <f t="shared" si="3"/>
        <v>450</v>
      </c>
      <c r="R9" s="770">
        <v>148731</v>
      </c>
      <c r="S9" s="638">
        <f t="shared" si="4"/>
        <v>128</v>
      </c>
      <c r="T9" s="770">
        <v>269883</v>
      </c>
      <c r="U9" s="638">
        <f t="shared" si="5"/>
        <v>241</v>
      </c>
      <c r="V9" s="770">
        <v>760291</v>
      </c>
      <c r="W9" s="638">
        <f t="shared" si="6"/>
        <v>2819.07</v>
      </c>
      <c r="X9" s="771">
        <v>445176</v>
      </c>
      <c r="Y9" s="638">
        <f t="shared" si="7"/>
        <v>1028.73</v>
      </c>
      <c r="Z9" s="771">
        <v>694798</v>
      </c>
      <c r="AA9" s="638">
        <f t="shared" si="8"/>
        <v>0</v>
      </c>
      <c r="AB9" s="770">
        <v>329129</v>
      </c>
      <c r="AC9" s="638">
        <f t="shared" si="34"/>
        <v>0</v>
      </c>
      <c r="AD9" s="770">
        <v>421367.4</v>
      </c>
      <c r="AE9" s="638">
        <f t="shared" si="23"/>
        <v>0</v>
      </c>
      <c r="AF9" s="770">
        <v>757068</v>
      </c>
      <c r="AG9" s="638">
        <f t="shared" si="9"/>
        <v>1275.18</v>
      </c>
      <c r="AH9" s="771">
        <v>655995</v>
      </c>
      <c r="AI9" s="638">
        <f t="shared" si="10"/>
        <v>780.16000000000008</v>
      </c>
      <c r="AJ9" s="771">
        <v>304941</v>
      </c>
      <c r="AK9" s="638">
        <f t="shared" si="11"/>
        <v>2910.76</v>
      </c>
      <c r="AL9" s="770">
        <v>419265</v>
      </c>
      <c r="AM9" s="638">
        <f t="shared" si="12"/>
        <v>157.94</v>
      </c>
      <c r="AN9" s="638">
        <f t="shared" si="24"/>
        <v>8971.840000000002</v>
      </c>
      <c r="AO9" s="770">
        <v>7323427</v>
      </c>
      <c r="AP9" s="638">
        <f t="shared" si="25"/>
        <v>230.85</v>
      </c>
      <c r="AQ9" s="770">
        <v>612457</v>
      </c>
      <c r="AR9" s="638">
        <f t="shared" si="13"/>
        <v>322</v>
      </c>
      <c r="AS9" s="771">
        <v>928163</v>
      </c>
      <c r="AT9" s="638">
        <f t="shared" si="26"/>
        <v>144</v>
      </c>
      <c r="AU9" s="712">
        <v>799106</v>
      </c>
      <c r="AV9" s="638">
        <f>IF(AU9&gt;=AU8,AU9-AU8,0)</f>
        <v>23</v>
      </c>
      <c r="AW9" s="771">
        <v>2410847</v>
      </c>
      <c r="AX9" s="638">
        <f t="shared" si="15"/>
        <v>726</v>
      </c>
      <c r="AY9" s="770">
        <v>215339</v>
      </c>
      <c r="AZ9" s="638">
        <f t="shared" si="16"/>
        <v>64</v>
      </c>
      <c r="BA9" s="771">
        <v>18137982</v>
      </c>
      <c r="BB9" s="638">
        <f t="shared" si="17"/>
        <v>3881</v>
      </c>
      <c r="BC9" s="770">
        <v>513232</v>
      </c>
      <c r="BD9" s="638">
        <f t="shared" si="17"/>
        <v>147</v>
      </c>
      <c r="BE9" s="770">
        <v>9620</v>
      </c>
      <c r="BF9" s="638">
        <f t="shared" si="17"/>
        <v>61</v>
      </c>
      <c r="BG9" s="771">
        <v>22596090</v>
      </c>
      <c r="BH9" s="638">
        <f t="shared" si="27"/>
        <v>5196.6000000000004</v>
      </c>
      <c r="BI9" s="638">
        <f t="shared" si="28"/>
        <v>10795.45</v>
      </c>
      <c r="BJ9" s="638">
        <f t="shared" si="29"/>
        <v>19767.29</v>
      </c>
      <c r="BK9" s="771">
        <v>1390456</v>
      </c>
      <c r="BL9" s="638">
        <f t="shared" si="18"/>
        <v>248</v>
      </c>
      <c r="BM9" s="771">
        <v>3624204</v>
      </c>
      <c r="BN9" s="638">
        <f t="shared" si="19"/>
        <v>1307</v>
      </c>
      <c r="BO9" s="771">
        <v>386302</v>
      </c>
      <c r="BP9" s="638">
        <f t="shared" si="20"/>
        <v>105</v>
      </c>
      <c r="BQ9" s="770">
        <v>477325</v>
      </c>
      <c r="BR9" s="638">
        <f t="shared" si="21"/>
        <v>198</v>
      </c>
      <c r="BS9" s="694">
        <f t="shared" si="30"/>
        <v>24625.29</v>
      </c>
      <c r="BT9" s="695">
        <v>171</v>
      </c>
      <c r="BU9" s="694">
        <f t="shared" si="31"/>
        <v>182.40955555555556</v>
      </c>
      <c r="BV9" s="695"/>
      <c r="BW9" s="694" t="e">
        <f t="shared" si="32"/>
        <v>#DIV/0!</v>
      </c>
      <c r="BX9" s="694">
        <f t="shared" si="35"/>
        <v>28521.583500000001</v>
      </c>
      <c r="BY9" s="694">
        <f t="shared" si="33"/>
        <v>211.27098888888889</v>
      </c>
      <c r="BZ9" s="696" t="e">
        <f t="shared" si="36"/>
        <v>#DIV/0!</v>
      </c>
    </row>
    <row r="10" spans="1:78" s="457" customFormat="1" ht="33.75" customHeight="1">
      <c r="A10" s="430">
        <v>5</v>
      </c>
      <c r="B10" s="455"/>
      <c r="C10" s="770">
        <f t="shared" si="37"/>
        <v>0</v>
      </c>
      <c r="D10" s="770"/>
      <c r="E10" s="770">
        <f t="shared" si="38"/>
        <v>0</v>
      </c>
      <c r="F10" s="770"/>
      <c r="G10" s="770">
        <f t="shared" si="39"/>
        <v>0</v>
      </c>
      <c r="H10" s="456">
        <v>58</v>
      </c>
      <c r="I10" s="771">
        <v>22614051</v>
      </c>
      <c r="J10" s="638">
        <f>IF(I10&gt;=I9,I10-I9,0)</f>
        <v>4951</v>
      </c>
      <c r="K10" s="638">
        <f t="shared" si="0"/>
        <v>3044</v>
      </c>
      <c r="L10" s="771">
        <v>171920</v>
      </c>
      <c r="M10" s="638">
        <f>IF(L10&gt;=L9,L10-L9,0)</f>
        <v>1628</v>
      </c>
      <c r="N10" s="770">
        <v>188721</v>
      </c>
      <c r="O10" s="638">
        <f t="shared" si="40"/>
        <v>1416</v>
      </c>
      <c r="P10" s="771">
        <v>217152</v>
      </c>
      <c r="Q10" s="638">
        <f t="shared" si="3"/>
        <v>510</v>
      </c>
      <c r="R10" s="770">
        <v>148871</v>
      </c>
      <c r="S10" s="638">
        <f t="shared" si="4"/>
        <v>140</v>
      </c>
      <c r="T10" s="770">
        <v>270148</v>
      </c>
      <c r="U10" s="638">
        <f t="shared" si="5"/>
        <v>265</v>
      </c>
      <c r="V10" s="770">
        <v>765093</v>
      </c>
      <c r="W10" s="638">
        <f t="shared" si="6"/>
        <v>2545.06</v>
      </c>
      <c r="X10" s="771">
        <v>448169</v>
      </c>
      <c r="Y10" s="638">
        <f t="shared" si="7"/>
        <v>1586.2900000000002</v>
      </c>
      <c r="Z10" s="771">
        <v>694798</v>
      </c>
      <c r="AA10" s="638">
        <f t="shared" si="8"/>
        <v>0</v>
      </c>
      <c r="AB10" s="770">
        <v>329129</v>
      </c>
      <c r="AC10" s="638">
        <f t="shared" si="34"/>
        <v>0</v>
      </c>
      <c r="AD10" s="770">
        <v>421367.4</v>
      </c>
      <c r="AE10" s="638">
        <f t="shared" si="23"/>
        <v>0</v>
      </c>
      <c r="AF10" s="770">
        <v>759653</v>
      </c>
      <c r="AG10" s="638">
        <f t="shared" si="9"/>
        <v>1370.0500000000002</v>
      </c>
      <c r="AH10" s="770">
        <v>657727</v>
      </c>
      <c r="AI10" s="638">
        <f t="shared" si="10"/>
        <v>917.96</v>
      </c>
      <c r="AJ10" s="770">
        <v>311302</v>
      </c>
      <c r="AK10" s="638">
        <f t="shared" si="11"/>
        <v>3371.3300000000004</v>
      </c>
      <c r="AL10" s="770">
        <v>419580</v>
      </c>
      <c r="AM10" s="638">
        <f t="shared" si="12"/>
        <v>166.95000000000002</v>
      </c>
      <c r="AN10" s="638">
        <f t="shared" si="24"/>
        <v>9957.6400000000012</v>
      </c>
      <c r="AO10" s="770">
        <v>7325302</v>
      </c>
      <c r="AP10" s="638">
        <f t="shared" si="25"/>
        <v>210.9375</v>
      </c>
      <c r="AQ10" s="770">
        <v>612761</v>
      </c>
      <c r="AR10" s="638">
        <f t="shared" si="13"/>
        <v>304</v>
      </c>
      <c r="AS10" s="770">
        <v>928305</v>
      </c>
      <c r="AT10" s="638">
        <f t="shared" si="26"/>
        <v>142</v>
      </c>
      <c r="AU10" s="770">
        <v>799138</v>
      </c>
      <c r="AV10" s="638">
        <f>IF(AU10&gt;=AU9,AU10-AU9,0)</f>
        <v>32</v>
      </c>
      <c r="AW10" s="770">
        <v>2411587</v>
      </c>
      <c r="AX10" s="638">
        <f t="shared" si="15"/>
        <v>740</v>
      </c>
      <c r="AY10" s="771">
        <v>215412</v>
      </c>
      <c r="AZ10" s="638">
        <f t="shared" si="16"/>
        <v>73</v>
      </c>
      <c r="BA10" s="770">
        <v>18142546</v>
      </c>
      <c r="BB10" s="638">
        <f t="shared" si="17"/>
        <v>4564</v>
      </c>
      <c r="BC10" s="770">
        <v>513394</v>
      </c>
      <c r="BD10" s="638">
        <f t="shared" si="17"/>
        <v>162</v>
      </c>
      <c r="BE10" s="770">
        <v>9728</v>
      </c>
      <c r="BF10" s="638">
        <f t="shared" si="17"/>
        <v>108</v>
      </c>
      <c r="BG10" s="771">
        <v>22602474</v>
      </c>
      <c r="BH10" s="638">
        <f t="shared" si="27"/>
        <v>5511.5999999999995</v>
      </c>
      <c r="BI10" s="638">
        <f t="shared" si="28"/>
        <v>11847.537499999999</v>
      </c>
      <c r="BJ10" s="638">
        <f t="shared" si="29"/>
        <v>21805.177499999998</v>
      </c>
      <c r="BK10" s="771">
        <v>1390669</v>
      </c>
      <c r="BL10" s="638">
        <f t="shared" si="18"/>
        <v>213</v>
      </c>
      <c r="BM10" s="771">
        <v>3625572</v>
      </c>
      <c r="BN10" s="638">
        <f t="shared" si="19"/>
        <v>1368</v>
      </c>
      <c r="BO10" s="709">
        <v>386406</v>
      </c>
      <c r="BP10" s="638">
        <f t="shared" si="20"/>
        <v>104</v>
      </c>
      <c r="BQ10" s="770">
        <v>477535</v>
      </c>
      <c r="BR10" s="638">
        <f t="shared" si="21"/>
        <v>210</v>
      </c>
      <c r="BS10" s="694">
        <f t="shared" si="30"/>
        <v>27266.177499999998</v>
      </c>
      <c r="BT10" s="695">
        <v>160</v>
      </c>
      <c r="BU10" s="694">
        <f t="shared" si="31"/>
        <v>159.4513304093567</v>
      </c>
      <c r="BV10" s="695"/>
      <c r="BW10" s="694" t="e">
        <f t="shared" si="32"/>
        <v>#DIV/0!</v>
      </c>
      <c r="BX10" s="694">
        <f t="shared" si="35"/>
        <v>31585.604124999994</v>
      </c>
      <c r="BY10" s="694">
        <f t="shared" si="33"/>
        <v>184.7111352339181</v>
      </c>
      <c r="BZ10" s="696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1">
        <v>22619199</v>
      </c>
      <c r="J11" s="638">
        <f>IF(I11&gt;=I10,I11-I10,0)</f>
        <v>5148</v>
      </c>
      <c r="K11" s="638">
        <f t="shared" si="0"/>
        <v>3203</v>
      </c>
      <c r="L11" s="770">
        <v>173548</v>
      </c>
      <c r="M11" s="638">
        <f>IF(L11&gt;=L10,L11-L10,0)</f>
        <v>1628</v>
      </c>
      <c r="N11" s="770">
        <v>190296</v>
      </c>
      <c r="O11" s="638">
        <f t="shared" si="40"/>
        <v>1575</v>
      </c>
      <c r="P11" s="771">
        <v>217172</v>
      </c>
      <c r="Q11" s="638">
        <f t="shared" si="3"/>
        <v>600</v>
      </c>
      <c r="R11" s="770">
        <v>149011</v>
      </c>
      <c r="S11" s="638">
        <f t="shared" si="4"/>
        <v>140</v>
      </c>
      <c r="T11" s="770">
        <v>270411</v>
      </c>
      <c r="U11" s="638">
        <f t="shared" si="5"/>
        <v>263</v>
      </c>
      <c r="V11" s="770">
        <v>769828</v>
      </c>
      <c r="W11" s="638">
        <f t="shared" si="6"/>
        <v>2509.5500000000002</v>
      </c>
      <c r="X11" s="771">
        <v>448169</v>
      </c>
      <c r="Y11" s="638">
        <f t="shared" si="7"/>
        <v>0</v>
      </c>
      <c r="Z11" s="774">
        <v>699422</v>
      </c>
      <c r="AA11" s="638">
        <f t="shared" si="8"/>
        <v>2450.7200000000003</v>
      </c>
      <c r="AB11" s="770">
        <v>329129</v>
      </c>
      <c r="AC11" s="638">
        <f>IF(AB11&gt;=AB10,AB11-AB10,0)*0.53</f>
        <v>0</v>
      </c>
      <c r="AD11" s="770">
        <v>421367.4</v>
      </c>
      <c r="AE11" s="638">
        <f t="shared" si="23"/>
        <v>0</v>
      </c>
      <c r="AF11" s="770">
        <v>762173</v>
      </c>
      <c r="AG11" s="638">
        <f t="shared" si="9"/>
        <v>1335.6000000000001</v>
      </c>
      <c r="AH11" s="770">
        <v>659659</v>
      </c>
      <c r="AI11" s="638">
        <f t="shared" si="10"/>
        <v>1023.96</v>
      </c>
      <c r="AJ11" s="770">
        <v>318047</v>
      </c>
      <c r="AK11" s="638">
        <f t="shared" si="11"/>
        <v>3574.8500000000004</v>
      </c>
      <c r="AL11" s="770">
        <v>419894</v>
      </c>
      <c r="AM11" s="638">
        <f t="shared" si="12"/>
        <v>166.42000000000002</v>
      </c>
      <c r="AN11" s="638">
        <f t="shared" si="24"/>
        <v>11061.1</v>
      </c>
      <c r="AO11" s="709">
        <v>7327133</v>
      </c>
      <c r="AP11" s="638">
        <f t="shared" si="25"/>
        <v>205.98750000000001</v>
      </c>
      <c r="AQ11" s="770">
        <v>613054</v>
      </c>
      <c r="AR11" s="638">
        <f t="shared" si="13"/>
        <v>293</v>
      </c>
      <c r="AS11" s="771">
        <v>928442</v>
      </c>
      <c r="AT11" s="638">
        <f t="shared" si="26"/>
        <v>137</v>
      </c>
      <c r="AU11" s="771">
        <v>799184</v>
      </c>
      <c r="AV11" s="638">
        <f t="shared" si="14"/>
        <v>46</v>
      </c>
      <c r="AW11" s="770">
        <v>2412337</v>
      </c>
      <c r="AX11" s="638">
        <f t="shared" si="15"/>
        <v>750</v>
      </c>
      <c r="AY11" s="771">
        <v>215484</v>
      </c>
      <c r="AZ11" s="638">
        <f t="shared" si="16"/>
        <v>72</v>
      </c>
      <c r="BA11" s="771">
        <v>18146821</v>
      </c>
      <c r="BB11" s="638">
        <f t="shared" si="17"/>
        <v>4275</v>
      </c>
      <c r="BC11" s="770">
        <v>513559</v>
      </c>
      <c r="BD11" s="638">
        <f t="shared" si="17"/>
        <v>165</v>
      </c>
      <c r="BE11" s="770">
        <v>9851</v>
      </c>
      <c r="BF11" s="638">
        <f t="shared" si="17"/>
        <v>123</v>
      </c>
      <c r="BG11" s="771">
        <v>22608511</v>
      </c>
      <c r="BH11" s="638">
        <f t="shared" si="27"/>
        <v>5192.6000000000004</v>
      </c>
      <c r="BI11" s="638">
        <f t="shared" si="28"/>
        <v>11259.587500000001</v>
      </c>
      <c r="BJ11" s="638">
        <f t="shared" si="29"/>
        <v>22320.6875</v>
      </c>
      <c r="BK11" s="771">
        <v>1390669</v>
      </c>
      <c r="BL11" s="638">
        <f t="shared" si="18"/>
        <v>0</v>
      </c>
      <c r="BM11" s="771">
        <v>3626872</v>
      </c>
      <c r="BN11" s="638">
        <f t="shared" si="19"/>
        <v>1300</v>
      </c>
      <c r="BO11" s="770">
        <v>386518</v>
      </c>
      <c r="BP11" s="638">
        <f t="shared" si="20"/>
        <v>112</v>
      </c>
      <c r="BQ11" s="771">
        <v>477744</v>
      </c>
      <c r="BR11" s="638">
        <f t="shared" si="21"/>
        <v>209</v>
      </c>
      <c r="BS11" s="694">
        <f t="shared" si="30"/>
        <v>28068.6875</v>
      </c>
      <c r="BT11" s="695">
        <v>152</v>
      </c>
      <c r="BU11" s="694">
        <f t="shared" si="31"/>
        <v>175.42929687500001</v>
      </c>
      <c r="BV11" s="695"/>
      <c r="BW11" s="694" t="e">
        <f t="shared" si="32"/>
        <v>#DIV/0!</v>
      </c>
      <c r="BX11" s="694">
        <f t="shared" si="35"/>
        <v>32548.990624999999</v>
      </c>
      <c r="BY11" s="694">
        <f t="shared" si="33"/>
        <v>203.43119140624998</v>
      </c>
      <c r="BZ11" s="696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1">
        <v>22624227</v>
      </c>
      <c r="J12" s="638">
        <f>IF(I12&gt;=I11,I12-I11,0)</f>
        <v>5028</v>
      </c>
      <c r="K12" s="638">
        <f t="shared" si="0"/>
        <v>3083</v>
      </c>
      <c r="L12" s="771">
        <v>175216</v>
      </c>
      <c r="M12" s="638">
        <f t="shared" si="1"/>
        <v>1668</v>
      </c>
      <c r="N12" s="771">
        <v>191711</v>
      </c>
      <c r="O12" s="638">
        <f>IF(N12&gt;=N11,N12-N11,0)</f>
        <v>1415</v>
      </c>
      <c r="P12" s="771">
        <v>217184</v>
      </c>
      <c r="Q12" s="638">
        <f t="shared" si="3"/>
        <v>360</v>
      </c>
      <c r="R12" s="770">
        <v>149149</v>
      </c>
      <c r="S12" s="638">
        <f t="shared" si="4"/>
        <v>138</v>
      </c>
      <c r="T12" s="770">
        <v>270672</v>
      </c>
      <c r="U12" s="638">
        <f t="shared" si="5"/>
        <v>261</v>
      </c>
      <c r="V12" s="770">
        <v>774658</v>
      </c>
      <c r="W12" s="638">
        <f t="shared" si="6"/>
        <v>2559.9</v>
      </c>
      <c r="X12" s="771">
        <v>448169</v>
      </c>
      <c r="Y12" s="638">
        <f t="shared" si="7"/>
        <v>0</v>
      </c>
      <c r="Z12" s="770">
        <v>699707</v>
      </c>
      <c r="AA12" s="638">
        <f t="shared" si="8"/>
        <v>151.05000000000001</v>
      </c>
      <c r="AB12" s="770">
        <v>333210</v>
      </c>
      <c r="AC12" s="638">
        <f t="shared" si="34"/>
        <v>2162.9300000000003</v>
      </c>
      <c r="AD12" s="770">
        <v>421367.4</v>
      </c>
      <c r="AE12" s="638">
        <f t="shared" si="23"/>
        <v>0</v>
      </c>
      <c r="AF12" s="770">
        <v>765002</v>
      </c>
      <c r="AG12" s="638">
        <f t="shared" si="9"/>
        <v>1499.3700000000001</v>
      </c>
      <c r="AH12" s="770">
        <v>661261</v>
      </c>
      <c r="AI12" s="638">
        <f t="shared" si="10"/>
        <v>849.06000000000006</v>
      </c>
      <c r="AJ12" s="770">
        <v>324778</v>
      </c>
      <c r="AK12" s="638">
        <f t="shared" si="11"/>
        <v>3567.4300000000003</v>
      </c>
      <c r="AL12" s="770">
        <v>420209</v>
      </c>
      <c r="AM12" s="638">
        <f t="shared" si="12"/>
        <v>166.95000000000002</v>
      </c>
      <c r="AN12" s="638">
        <f t="shared" si="24"/>
        <v>10956.690000000002</v>
      </c>
      <c r="AO12" s="770">
        <v>7329232</v>
      </c>
      <c r="AP12" s="638">
        <f t="shared" si="25"/>
        <v>236.13750000000002</v>
      </c>
      <c r="AQ12" s="771">
        <v>613349</v>
      </c>
      <c r="AR12" s="638">
        <f t="shared" si="13"/>
        <v>295</v>
      </c>
      <c r="AS12" s="770">
        <v>928589</v>
      </c>
      <c r="AT12" s="638">
        <f t="shared" si="26"/>
        <v>147</v>
      </c>
      <c r="AU12" s="712">
        <v>799236</v>
      </c>
      <c r="AV12" s="638">
        <f t="shared" si="14"/>
        <v>52</v>
      </c>
      <c r="AW12" s="771">
        <v>2413105</v>
      </c>
      <c r="AX12" s="638">
        <f t="shared" si="15"/>
        <v>768</v>
      </c>
      <c r="AY12" s="770">
        <v>215556</v>
      </c>
      <c r="AZ12" s="638">
        <f t="shared" si="16"/>
        <v>72</v>
      </c>
      <c r="BA12" s="771">
        <v>18151153</v>
      </c>
      <c r="BB12" s="638">
        <f t="shared" si="17"/>
        <v>4332</v>
      </c>
      <c r="BC12" s="770">
        <v>513724</v>
      </c>
      <c r="BD12" s="638">
        <f t="shared" si="17"/>
        <v>165</v>
      </c>
      <c r="BE12" s="770">
        <v>9990</v>
      </c>
      <c r="BF12" s="638">
        <f t="shared" si="17"/>
        <v>139</v>
      </c>
      <c r="BG12" s="771">
        <v>22615093</v>
      </c>
      <c r="BH12" s="638">
        <f t="shared" si="27"/>
        <v>5686.0999999999995</v>
      </c>
      <c r="BI12" s="638">
        <f t="shared" si="28"/>
        <v>11892.237499999999</v>
      </c>
      <c r="BJ12" s="638">
        <f t="shared" si="29"/>
        <v>22848.927500000002</v>
      </c>
      <c r="BK12" s="771">
        <v>1390878</v>
      </c>
      <c r="BL12" s="638">
        <f t="shared" si="18"/>
        <v>209</v>
      </c>
      <c r="BM12" s="771">
        <v>3628280</v>
      </c>
      <c r="BN12" s="638">
        <f t="shared" si="19"/>
        <v>1408</v>
      </c>
      <c r="BO12" s="771">
        <v>386632</v>
      </c>
      <c r="BP12" s="638">
        <f t="shared" si="20"/>
        <v>114</v>
      </c>
      <c r="BQ12" s="770">
        <v>477955</v>
      </c>
      <c r="BR12" s="638">
        <f t="shared" ref="BR12:BR36" si="41">IF(BQ12&gt;=BQ11,BQ12-BQ11,0)</f>
        <v>211</v>
      </c>
      <c r="BS12" s="694">
        <f t="shared" si="30"/>
        <v>28236.927500000002</v>
      </c>
      <c r="BT12" s="695">
        <v>161</v>
      </c>
      <c r="BU12" s="694">
        <f t="shared" si="31"/>
        <v>185.76925986842107</v>
      </c>
      <c r="BV12" s="695"/>
      <c r="BW12" s="694" t="e">
        <f t="shared" si="32"/>
        <v>#DIV/0!</v>
      </c>
      <c r="BX12" s="694">
        <f t="shared" si="35"/>
        <v>32634.466625000001</v>
      </c>
      <c r="BY12" s="694">
        <f t="shared" si="33"/>
        <v>214.70043832236843</v>
      </c>
      <c r="BZ12" s="696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1">
        <v>22629783</v>
      </c>
      <c r="J13" s="638">
        <f t="shared" si="22"/>
        <v>5556</v>
      </c>
      <c r="K13" s="638">
        <f t="shared" si="0"/>
        <v>3452</v>
      </c>
      <c r="L13" s="771">
        <v>177062</v>
      </c>
      <c r="M13" s="638">
        <f t="shared" si="1"/>
        <v>1846</v>
      </c>
      <c r="N13" s="771">
        <v>193317</v>
      </c>
      <c r="O13" s="638">
        <f>IF(N13&gt;=N12,N13-N12,0)</f>
        <v>1606</v>
      </c>
      <c r="P13" s="771">
        <v>217201</v>
      </c>
      <c r="Q13" s="638">
        <f t="shared" si="3"/>
        <v>510</v>
      </c>
      <c r="R13" s="770">
        <v>149297</v>
      </c>
      <c r="S13" s="638">
        <f t="shared" si="4"/>
        <v>148</v>
      </c>
      <c r="T13" s="770">
        <v>270954</v>
      </c>
      <c r="U13" s="638">
        <f t="shared" si="5"/>
        <v>282</v>
      </c>
      <c r="V13" s="770">
        <v>780159</v>
      </c>
      <c r="W13" s="638">
        <f t="shared" si="6"/>
        <v>2915.53</v>
      </c>
      <c r="X13" s="771">
        <v>452714</v>
      </c>
      <c r="Y13" s="638">
        <f t="shared" si="7"/>
        <v>2408.85</v>
      </c>
      <c r="Z13" s="770">
        <v>699707</v>
      </c>
      <c r="AA13" s="638">
        <f t="shared" si="8"/>
        <v>0</v>
      </c>
      <c r="AB13" s="770">
        <v>333210</v>
      </c>
      <c r="AC13" s="638">
        <f t="shared" si="34"/>
        <v>0</v>
      </c>
      <c r="AD13" s="770">
        <v>421367.4</v>
      </c>
      <c r="AE13" s="638">
        <f t="shared" si="23"/>
        <v>0</v>
      </c>
      <c r="AF13" s="770">
        <v>766287</v>
      </c>
      <c r="AG13" s="638">
        <f t="shared" ref="AG13:AG36" si="42">IF(AF13&gt;=AF12,AF13-AF12,0)*0.53</f>
        <v>681.05000000000007</v>
      </c>
      <c r="AH13" s="771">
        <v>662999</v>
      </c>
      <c r="AI13" s="638">
        <f t="shared" si="10"/>
        <v>921.1400000000001</v>
      </c>
      <c r="AJ13" s="771">
        <v>332097</v>
      </c>
      <c r="AK13" s="638">
        <f t="shared" ref="AK13" si="43">IF(AJ13&gt;=AJ12,AJ13-AJ12,0)*0.53</f>
        <v>3879.07</v>
      </c>
      <c r="AL13" s="770">
        <v>420541</v>
      </c>
      <c r="AM13" s="638">
        <f t="shared" si="12"/>
        <v>175.96</v>
      </c>
      <c r="AN13" s="638">
        <f t="shared" si="24"/>
        <v>10981.6</v>
      </c>
      <c r="AO13" s="770">
        <v>7331645</v>
      </c>
      <c r="AP13" s="638">
        <f t="shared" si="25"/>
        <v>271.46250000000003</v>
      </c>
      <c r="AQ13" s="770">
        <v>613632</v>
      </c>
      <c r="AR13" s="638">
        <f t="shared" si="13"/>
        <v>283</v>
      </c>
      <c r="AS13" s="771">
        <v>928738</v>
      </c>
      <c r="AT13" s="638">
        <f t="shared" si="26"/>
        <v>149</v>
      </c>
      <c r="AU13" s="771">
        <v>799288</v>
      </c>
      <c r="AV13" s="638">
        <f t="shared" si="14"/>
        <v>52</v>
      </c>
      <c r="AW13" s="771">
        <v>2413951</v>
      </c>
      <c r="AX13" s="638">
        <f t="shared" si="15"/>
        <v>846</v>
      </c>
      <c r="AY13" s="771">
        <v>215633</v>
      </c>
      <c r="AZ13" s="638">
        <f t="shared" si="16"/>
        <v>77</v>
      </c>
      <c r="BA13" s="771">
        <v>18155685</v>
      </c>
      <c r="BB13" s="638">
        <f t="shared" si="17"/>
        <v>4532</v>
      </c>
      <c r="BC13" s="770">
        <v>513903</v>
      </c>
      <c r="BD13" s="638">
        <f t="shared" si="17"/>
        <v>179</v>
      </c>
      <c r="BE13" s="770">
        <v>10024</v>
      </c>
      <c r="BF13" s="638">
        <f t="shared" si="17"/>
        <v>34</v>
      </c>
      <c r="BG13" s="771">
        <v>22621766</v>
      </c>
      <c r="BH13" s="638">
        <f t="shared" si="27"/>
        <v>5772.4</v>
      </c>
      <c r="BI13" s="638">
        <f t="shared" si="28"/>
        <v>12195.862499999999</v>
      </c>
      <c r="BJ13" s="638">
        <f t="shared" si="29"/>
        <v>23177.462500000001</v>
      </c>
      <c r="BK13" s="771">
        <v>1390995</v>
      </c>
      <c r="BL13" s="638">
        <f t="shared" si="18"/>
        <v>117</v>
      </c>
      <c r="BM13" s="771">
        <v>3629674</v>
      </c>
      <c r="BN13" s="638">
        <f t="shared" si="19"/>
        <v>1394</v>
      </c>
      <c r="BO13" s="771">
        <v>386746</v>
      </c>
      <c r="BP13" s="638">
        <f t="shared" si="20"/>
        <v>114</v>
      </c>
      <c r="BQ13" s="771">
        <v>478177</v>
      </c>
      <c r="BR13" s="638">
        <f t="shared" si="41"/>
        <v>222</v>
      </c>
      <c r="BS13" s="694">
        <f t="shared" si="30"/>
        <v>29243.462499999998</v>
      </c>
      <c r="BT13" s="695">
        <v>91</v>
      </c>
      <c r="BU13" s="694">
        <f t="shared" ref="BU13:BU19" si="44">IF(BS13&gt;0,BS13/BT12,0)</f>
        <v>181.63641304347826</v>
      </c>
      <c r="BV13" s="695"/>
      <c r="BW13" s="694" t="e">
        <f t="shared" si="32"/>
        <v>#DIV/0!</v>
      </c>
      <c r="BX13" s="694">
        <f t="shared" si="35"/>
        <v>33859.481874999998</v>
      </c>
      <c r="BY13" s="694">
        <f t="shared" si="33"/>
        <v>210.3073408385093</v>
      </c>
      <c r="BZ13" s="696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1">
        <v>22634486</v>
      </c>
      <c r="J14" s="638">
        <f t="shared" si="22"/>
        <v>4703</v>
      </c>
      <c r="K14" s="638">
        <f t="shared" si="0"/>
        <v>3078</v>
      </c>
      <c r="L14" s="771">
        <v>178713</v>
      </c>
      <c r="M14" s="638">
        <f>IF(L14&gt;=L13,L14-L13,0)</f>
        <v>1651</v>
      </c>
      <c r="N14" s="771">
        <v>194744</v>
      </c>
      <c r="O14" s="638">
        <f t="shared" si="2"/>
        <v>1427</v>
      </c>
      <c r="P14" s="771">
        <v>217222</v>
      </c>
      <c r="Q14" s="638">
        <f t="shared" si="3"/>
        <v>630</v>
      </c>
      <c r="R14" s="770">
        <v>149428</v>
      </c>
      <c r="S14" s="638">
        <f t="shared" si="4"/>
        <v>131</v>
      </c>
      <c r="T14" s="770">
        <v>271207</v>
      </c>
      <c r="U14" s="638">
        <f t="shared" si="5"/>
        <v>253</v>
      </c>
      <c r="V14" s="770">
        <v>786130</v>
      </c>
      <c r="W14" s="638">
        <f t="shared" si="6"/>
        <v>3164.63</v>
      </c>
      <c r="X14" s="771">
        <v>452714</v>
      </c>
      <c r="Y14" s="638">
        <f t="shared" si="7"/>
        <v>0</v>
      </c>
      <c r="Z14" s="771">
        <v>702884</v>
      </c>
      <c r="AA14" s="638">
        <f t="shared" si="8"/>
        <v>1683.8100000000002</v>
      </c>
      <c r="AB14" s="770">
        <v>333210</v>
      </c>
      <c r="AC14" s="638">
        <f t="shared" si="34"/>
        <v>0</v>
      </c>
      <c r="AD14" s="770">
        <v>366331</v>
      </c>
      <c r="AE14" s="638">
        <f t="shared" si="23"/>
        <v>0</v>
      </c>
      <c r="AF14" s="770">
        <v>766307</v>
      </c>
      <c r="AG14" s="638">
        <f t="shared" si="42"/>
        <v>10.600000000000001</v>
      </c>
      <c r="AH14" s="770">
        <v>664808</v>
      </c>
      <c r="AI14" s="638">
        <f t="shared" si="10"/>
        <v>958.7700000000001</v>
      </c>
      <c r="AJ14" s="770">
        <v>338589</v>
      </c>
      <c r="AK14" s="638">
        <f t="shared" ref="AK14:AK36" si="45">IF(AJ14&gt;=AJ13,AJ14-AJ13,0)*0.53</f>
        <v>3440.76</v>
      </c>
      <c r="AL14" s="770">
        <v>420855</v>
      </c>
      <c r="AM14" s="638">
        <f t="shared" si="12"/>
        <v>166.42000000000002</v>
      </c>
      <c r="AN14" s="638">
        <f t="shared" si="24"/>
        <v>9424.9900000000016</v>
      </c>
      <c r="AO14" s="770">
        <v>7333544</v>
      </c>
      <c r="AP14" s="638">
        <f t="shared" si="25"/>
        <v>213.63750000000002</v>
      </c>
      <c r="AQ14" s="771">
        <v>613907</v>
      </c>
      <c r="AR14" s="638">
        <f t="shared" si="13"/>
        <v>275</v>
      </c>
      <c r="AS14" s="771">
        <v>928865</v>
      </c>
      <c r="AT14" s="638">
        <f t="shared" si="26"/>
        <v>127</v>
      </c>
      <c r="AU14" s="771">
        <v>799344</v>
      </c>
      <c r="AV14" s="638">
        <f t="shared" si="14"/>
        <v>56</v>
      </c>
      <c r="AW14" s="770">
        <v>2414787</v>
      </c>
      <c r="AX14" s="638">
        <f t="shared" si="15"/>
        <v>836</v>
      </c>
      <c r="AY14" s="771">
        <v>215702</v>
      </c>
      <c r="AZ14" s="638">
        <f t="shared" si="16"/>
        <v>69</v>
      </c>
      <c r="BA14" s="771">
        <v>18159888</v>
      </c>
      <c r="BB14" s="638">
        <f t="shared" si="17"/>
        <v>4203</v>
      </c>
      <c r="BC14" s="770">
        <v>514064</v>
      </c>
      <c r="BD14" s="638">
        <f t="shared" si="17"/>
        <v>161</v>
      </c>
      <c r="BE14" s="770">
        <v>10145</v>
      </c>
      <c r="BF14" s="638">
        <f t="shared" si="17"/>
        <v>121</v>
      </c>
      <c r="BG14" s="771">
        <v>22627673</v>
      </c>
      <c r="BH14" s="638">
        <f t="shared" si="27"/>
        <v>5080.8500000000004</v>
      </c>
      <c r="BI14" s="638">
        <f t="shared" si="28"/>
        <v>11142.487499999999</v>
      </c>
      <c r="BJ14" s="638">
        <f t="shared" si="29"/>
        <v>20567.477500000001</v>
      </c>
      <c r="BK14" s="771">
        <v>1390997</v>
      </c>
      <c r="BL14" s="638">
        <f t="shared" si="18"/>
        <v>2</v>
      </c>
      <c r="BM14" s="771">
        <v>3630965</v>
      </c>
      <c r="BN14" s="638">
        <f t="shared" si="19"/>
        <v>1291</v>
      </c>
      <c r="BO14" s="771">
        <v>386842</v>
      </c>
      <c r="BP14" s="638">
        <f t="shared" si="20"/>
        <v>96</v>
      </c>
      <c r="BQ14" s="771">
        <v>478379</v>
      </c>
      <c r="BR14" s="638">
        <f t="shared" si="41"/>
        <v>202</v>
      </c>
      <c r="BS14" s="694">
        <f t="shared" si="30"/>
        <v>25900.477500000001</v>
      </c>
      <c r="BT14" s="695">
        <v>156</v>
      </c>
      <c r="BU14" s="694">
        <f t="shared" si="44"/>
        <v>284.62063186813185</v>
      </c>
      <c r="BV14" s="695"/>
      <c r="BW14" s="694" t="e">
        <f t="shared" si="32"/>
        <v>#DIV/0!</v>
      </c>
      <c r="BX14" s="694">
        <f t="shared" si="35"/>
        <v>30069.049124999998</v>
      </c>
      <c r="BY14" s="694">
        <f t="shared" si="33"/>
        <v>330.42911126373622</v>
      </c>
      <c r="BZ14" s="696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1">
        <v>22639413</v>
      </c>
      <c r="J15" s="638">
        <f t="shared" si="22"/>
        <v>4927</v>
      </c>
      <c r="K15" s="638">
        <f t="shared" si="0"/>
        <v>3158</v>
      </c>
      <c r="L15" s="771">
        <v>180405</v>
      </c>
      <c r="M15" s="638">
        <f>IF(L15&gt;=L14,L15-L14,0)</f>
        <v>1692</v>
      </c>
      <c r="N15" s="771">
        <v>196210</v>
      </c>
      <c r="O15" s="638">
        <f t="shared" si="2"/>
        <v>1466</v>
      </c>
      <c r="P15" s="771">
        <v>217241</v>
      </c>
      <c r="Q15" s="638">
        <f t="shared" si="3"/>
        <v>570</v>
      </c>
      <c r="R15" s="770">
        <v>149568</v>
      </c>
      <c r="S15" s="638">
        <f t="shared" si="4"/>
        <v>140</v>
      </c>
      <c r="T15" s="770">
        <v>271475</v>
      </c>
      <c r="U15" s="638">
        <f t="shared" si="5"/>
        <v>268</v>
      </c>
      <c r="V15" s="770">
        <v>791857</v>
      </c>
      <c r="W15" s="638">
        <f t="shared" si="6"/>
        <v>3035.31</v>
      </c>
      <c r="X15" s="771">
        <v>452714</v>
      </c>
      <c r="Y15" s="638">
        <f t="shared" si="7"/>
        <v>0</v>
      </c>
      <c r="Z15" s="771">
        <v>708596</v>
      </c>
      <c r="AA15" s="638">
        <f t="shared" si="8"/>
        <v>3027.36</v>
      </c>
      <c r="AB15" s="770">
        <v>333210</v>
      </c>
      <c r="AC15" s="638">
        <f t="shared" si="34"/>
        <v>0</v>
      </c>
      <c r="AD15" s="770">
        <v>366349</v>
      </c>
      <c r="AE15" s="638">
        <f t="shared" si="23"/>
        <v>9.5400000000000009</v>
      </c>
      <c r="AF15" s="770">
        <v>766328</v>
      </c>
      <c r="AG15" s="638">
        <f t="shared" si="42"/>
        <v>11.13</v>
      </c>
      <c r="AH15" s="771">
        <v>666942</v>
      </c>
      <c r="AI15" s="638">
        <f t="shared" si="10"/>
        <v>1131.02</v>
      </c>
      <c r="AJ15" s="771">
        <v>345970</v>
      </c>
      <c r="AK15" s="638">
        <f t="shared" si="45"/>
        <v>3911.9300000000003</v>
      </c>
      <c r="AL15" s="770">
        <v>421179</v>
      </c>
      <c r="AM15" s="638">
        <f t="shared" si="12"/>
        <v>171.72</v>
      </c>
      <c r="AN15" s="638">
        <f t="shared" si="24"/>
        <v>11298.01</v>
      </c>
      <c r="AO15" s="770">
        <v>7335256</v>
      </c>
      <c r="AP15" s="638">
        <f t="shared" si="25"/>
        <v>192.6</v>
      </c>
      <c r="AQ15" s="770">
        <v>614183</v>
      </c>
      <c r="AR15" s="638">
        <f t="shared" si="13"/>
        <v>276</v>
      </c>
      <c r="AS15" s="771">
        <v>929038</v>
      </c>
      <c r="AT15" s="638">
        <f t="shared" si="26"/>
        <v>173</v>
      </c>
      <c r="AU15" s="770">
        <v>799410</v>
      </c>
      <c r="AV15" s="638">
        <f t="shared" si="14"/>
        <v>66</v>
      </c>
      <c r="AW15" s="771">
        <v>2415649</v>
      </c>
      <c r="AX15" s="638">
        <f t="shared" si="15"/>
        <v>862</v>
      </c>
      <c r="AY15" s="771">
        <v>215776</v>
      </c>
      <c r="AZ15" s="638">
        <f t="shared" si="16"/>
        <v>74</v>
      </c>
      <c r="BA15" s="771">
        <v>18164023</v>
      </c>
      <c r="BB15" s="638">
        <f t="shared" si="17"/>
        <v>4135</v>
      </c>
      <c r="BC15" s="770">
        <v>514234</v>
      </c>
      <c r="BD15" s="638">
        <f t="shared" si="17"/>
        <v>170</v>
      </c>
      <c r="BE15" s="770">
        <v>10245</v>
      </c>
      <c r="BF15" s="638">
        <f t="shared" si="17"/>
        <v>100</v>
      </c>
      <c r="BG15" s="771">
        <v>22634900</v>
      </c>
      <c r="BH15" s="638">
        <f t="shared" si="27"/>
        <v>6305.9000000000005</v>
      </c>
      <c r="BI15" s="638">
        <f t="shared" si="28"/>
        <v>12354.5</v>
      </c>
      <c r="BJ15" s="638">
        <f t="shared" si="29"/>
        <v>23652.510000000002</v>
      </c>
      <c r="BK15" s="771">
        <v>1391248</v>
      </c>
      <c r="BL15" s="638">
        <f t="shared" si="18"/>
        <v>251</v>
      </c>
      <c r="BM15" s="771">
        <v>3632411</v>
      </c>
      <c r="BN15" s="638">
        <f t="shared" si="19"/>
        <v>1446</v>
      </c>
      <c r="BO15" s="771">
        <v>386954</v>
      </c>
      <c r="BP15" s="638">
        <f t="shared" si="20"/>
        <v>112</v>
      </c>
      <c r="BQ15" s="771">
        <v>478599</v>
      </c>
      <c r="BR15" s="638">
        <f t="shared" si="41"/>
        <v>220</v>
      </c>
      <c r="BS15" s="694">
        <f t="shared" si="30"/>
        <v>29149.510000000002</v>
      </c>
      <c r="BT15" s="695">
        <v>154</v>
      </c>
      <c r="BU15" s="694">
        <f t="shared" si="44"/>
        <v>186.85583333333335</v>
      </c>
      <c r="BV15" s="695"/>
      <c r="BW15" s="694" t="e">
        <f t="shared" si="32"/>
        <v>#DIV/0!</v>
      </c>
      <c r="BX15" s="694">
        <f t="shared" si="35"/>
        <v>33778.436500000003</v>
      </c>
      <c r="BY15" s="694">
        <f t="shared" si="33"/>
        <v>216.52843910256414</v>
      </c>
      <c r="BZ15" s="696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1">
        <v>22644742</v>
      </c>
      <c r="J16" s="638">
        <f t="shared" si="22"/>
        <v>5329</v>
      </c>
      <c r="K16" s="638">
        <f t="shared" si="0"/>
        <v>3142</v>
      </c>
      <c r="L16" s="771">
        <v>182097</v>
      </c>
      <c r="M16" s="638">
        <f>IF(L16&gt;=L15,L16-L15,0)</f>
        <v>1692</v>
      </c>
      <c r="N16" s="770">
        <v>197660</v>
      </c>
      <c r="O16" s="638">
        <f t="shared" si="2"/>
        <v>1450</v>
      </c>
      <c r="P16" s="771">
        <v>217259</v>
      </c>
      <c r="Q16" s="638">
        <f t="shared" si="3"/>
        <v>540</v>
      </c>
      <c r="R16" s="770">
        <v>149709</v>
      </c>
      <c r="S16" s="638">
        <f t="shared" si="4"/>
        <v>141</v>
      </c>
      <c r="T16" s="770">
        <v>271744</v>
      </c>
      <c r="U16" s="638">
        <f t="shared" si="5"/>
        <v>269</v>
      </c>
      <c r="V16" s="770">
        <v>797234</v>
      </c>
      <c r="W16" s="638">
        <f t="shared" si="6"/>
        <v>2849.81</v>
      </c>
      <c r="X16" s="771">
        <v>452714</v>
      </c>
      <c r="Y16" s="638">
        <f t="shared" si="7"/>
        <v>0</v>
      </c>
      <c r="Z16" s="771">
        <v>713528</v>
      </c>
      <c r="AA16" s="638">
        <f t="shared" si="8"/>
        <v>2613.96</v>
      </c>
      <c r="AB16" s="770">
        <v>333210</v>
      </c>
      <c r="AC16" s="638">
        <f t="shared" si="34"/>
        <v>0</v>
      </c>
      <c r="AD16" s="770">
        <v>366357</v>
      </c>
      <c r="AE16" s="638">
        <f t="shared" si="23"/>
        <v>4.24</v>
      </c>
      <c r="AF16" s="770">
        <v>766349</v>
      </c>
      <c r="AG16" s="638">
        <f t="shared" si="42"/>
        <v>11.13</v>
      </c>
      <c r="AH16" s="770">
        <v>668763</v>
      </c>
      <c r="AI16" s="638">
        <f t="shared" si="10"/>
        <v>965.13</v>
      </c>
      <c r="AJ16" s="770">
        <v>352585</v>
      </c>
      <c r="AK16" s="638">
        <f t="shared" si="45"/>
        <v>3505.9500000000003</v>
      </c>
      <c r="AL16" s="770">
        <v>421478</v>
      </c>
      <c r="AM16" s="638">
        <f t="shared" si="12"/>
        <v>158.47</v>
      </c>
      <c r="AN16" s="638">
        <f t="shared" si="24"/>
        <v>10108.69</v>
      </c>
      <c r="AO16" s="770">
        <v>7337141</v>
      </c>
      <c r="AP16" s="638">
        <f t="shared" si="25"/>
        <v>212.0625</v>
      </c>
      <c r="AQ16" s="770">
        <v>614487</v>
      </c>
      <c r="AR16" s="638">
        <f t="shared" si="13"/>
        <v>304</v>
      </c>
      <c r="AS16" s="770">
        <v>929216</v>
      </c>
      <c r="AT16" s="638">
        <f t="shared" si="26"/>
        <v>178</v>
      </c>
      <c r="AU16" s="770">
        <v>799463</v>
      </c>
      <c r="AV16" s="638">
        <f t="shared" si="14"/>
        <v>53</v>
      </c>
      <c r="AW16" s="770">
        <v>2416450</v>
      </c>
      <c r="AX16" s="638">
        <f t="shared" si="15"/>
        <v>801</v>
      </c>
      <c r="AY16" s="770">
        <v>215850</v>
      </c>
      <c r="AZ16" s="638">
        <f t="shared" si="16"/>
        <v>74</v>
      </c>
      <c r="BA16" s="770">
        <v>18168585</v>
      </c>
      <c r="BB16" s="638">
        <f t="shared" si="17"/>
        <v>4562</v>
      </c>
      <c r="BC16" s="770">
        <v>514405</v>
      </c>
      <c r="BD16" s="638">
        <f t="shared" si="17"/>
        <v>171</v>
      </c>
      <c r="BE16" s="770">
        <v>10370</v>
      </c>
      <c r="BF16" s="638">
        <f t="shared" si="17"/>
        <v>125</v>
      </c>
      <c r="BG16" s="771">
        <v>22641587</v>
      </c>
      <c r="BH16" s="638">
        <f t="shared" si="27"/>
        <v>5843.65</v>
      </c>
      <c r="BI16" s="638">
        <f t="shared" si="28"/>
        <v>12323.7125</v>
      </c>
      <c r="BJ16" s="638">
        <f t="shared" si="29"/>
        <v>22432.4025</v>
      </c>
      <c r="BK16" s="771">
        <v>1391504</v>
      </c>
      <c r="BL16" s="638">
        <f t="shared" si="18"/>
        <v>256</v>
      </c>
      <c r="BM16" s="771">
        <v>3633736</v>
      </c>
      <c r="BN16" s="638">
        <f t="shared" si="19"/>
        <v>1325</v>
      </c>
      <c r="BO16" s="770">
        <v>387052</v>
      </c>
      <c r="BP16" s="638">
        <f t="shared" si="20"/>
        <v>98</v>
      </c>
      <c r="BQ16" s="770">
        <v>478802</v>
      </c>
      <c r="BR16" s="638">
        <f t="shared" si="41"/>
        <v>203</v>
      </c>
      <c r="BS16" s="694">
        <f t="shared" si="30"/>
        <v>28301.4025</v>
      </c>
      <c r="BT16" s="695">
        <v>164</v>
      </c>
      <c r="BU16" s="694">
        <f t="shared" si="44"/>
        <v>183.77534090909091</v>
      </c>
      <c r="BV16" s="695"/>
      <c r="BW16" s="694" t="e">
        <f t="shared" si="32"/>
        <v>#DIV/0!</v>
      </c>
      <c r="BX16" s="694">
        <f t="shared" si="35"/>
        <v>32789.612874999999</v>
      </c>
      <c r="BY16" s="694">
        <f>IF(BX16&gt;0,BX16/BT15,0)</f>
        <v>212.9195641233766</v>
      </c>
      <c r="BZ16" s="696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1">
        <v>22649952</v>
      </c>
      <c r="J17" s="638">
        <f t="shared" si="22"/>
        <v>5210</v>
      </c>
      <c r="K17" s="638">
        <f t="shared" si="0"/>
        <v>3334</v>
      </c>
      <c r="L17" s="770">
        <v>183888</v>
      </c>
      <c r="M17" s="638">
        <f>IF(L17&gt;=L16,L17-L16,0)</f>
        <v>1791</v>
      </c>
      <c r="N17" s="770">
        <v>199203</v>
      </c>
      <c r="O17" s="638">
        <f t="shared" si="2"/>
        <v>1543</v>
      </c>
      <c r="P17" s="771">
        <v>217277</v>
      </c>
      <c r="Q17" s="638">
        <f t="shared" si="3"/>
        <v>540</v>
      </c>
      <c r="R17" s="770">
        <v>149850</v>
      </c>
      <c r="S17" s="638">
        <f t="shared" si="4"/>
        <v>141</v>
      </c>
      <c r="T17" s="770">
        <v>272019</v>
      </c>
      <c r="U17" s="638">
        <f t="shared" si="5"/>
        <v>275</v>
      </c>
      <c r="V17" s="770">
        <v>803282</v>
      </c>
      <c r="W17" s="638">
        <f t="shared" si="6"/>
        <v>3205.44</v>
      </c>
      <c r="X17" s="771">
        <v>457252</v>
      </c>
      <c r="Y17" s="638">
        <f t="shared" si="7"/>
        <v>2405.1400000000003</v>
      </c>
      <c r="Z17" s="774">
        <v>713595</v>
      </c>
      <c r="AA17" s="638">
        <f t="shared" si="8"/>
        <v>35.510000000000005</v>
      </c>
      <c r="AB17" s="770">
        <v>333210</v>
      </c>
      <c r="AC17" s="638">
        <f t="shared" si="34"/>
        <v>0</v>
      </c>
      <c r="AD17" s="770">
        <v>366373</v>
      </c>
      <c r="AE17" s="638">
        <f t="shared" si="23"/>
        <v>8.48</v>
      </c>
      <c r="AF17" s="770">
        <v>766370</v>
      </c>
      <c r="AG17" s="638">
        <f t="shared" si="42"/>
        <v>11.13</v>
      </c>
      <c r="AH17" s="770">
        <v>670729</v>
      </c>
      <c r="AI17" s="638">
        <f t="shared" si="10"/>
        <v>1041.98</v>
      </c>
      <c r="AJ17" s="770">
        <v>359904</v>
      </c>
      <c r="AK17" s="638">
        <f t="shared" si="45"/>
        <v>3879.07</v>
      </c>
      <c r="AL17" s="770">
        <v>421804</v>
      </c>
      <c r="AM17" s="638">
        <f t="shared" si="12"/>
        <v>172.78</v>
      </c>
      <c r="AN17" s="638">
        <f t="shared" si="24"/>
        <v>10759.53</v>
      </c>
      <c r="AO17" s="709">
        <v>7338933</v>
      </c>
      <c r="AP17" s="638">
        <f t="shared" si="25"/>
        <v>201.6</v>
      </c>
      <c r="AQ17" s="770">
        <v>614731</v>
      </c>
      <c r="AR17" s="638">
        <f t="shared" si="13"/>
        <v>244</v>
      </c>
      <c r="AS17" s="770">
        <v>929369</v>
      </c>
      <c r="AT17" s="638">
        <f t="shared" si="26"/>
        <v>153</v>
      </c>
      <c r="AU17" s="770">
        <v>799522</v>
      </c>
      <c r="AV17" s="638">
        <f t="shared" si="14"/>
        <v>59</v>
      </c>
      <c r="AW17" s="770">
        <v>2417306</v>
      </c>
      <c r="AX17" s="638">
        <f t="shared" si="15"/>
        <v>856</v>
      </c>
      <c r="AY17" s="770">
        <v>215925</v>
      </c>
      <c r="AZ17" s="638">
        <f t="shared" si="16"/>
        <v>75</v>
      </c>
      <c r="BA17" s="770">
        <v>18173476</v>
      </c>
      <c r="BB17" s="638">
        <f t="shared" si="17"/>
        <v>4891</v>
      </c>
      <c r="BC17" s="770">
        <v>514584</v>
      </c>
      <c r="BD17" s="638">
        <f t="shared" si="17"/>
        <v>179</v>
      </c>
      <c r="BE17" s="770">
        <v>10484</v>
      </c>
      <c r="BF17" s="638">
        <f t="shared" si="17"/>
        <v>114</v>
      </c>
      <c r="BG17" s="771">
        <v>22648690</v>
      </c>
      <c r="BH17" s="638">
        <f t="shared" si="27"/>
        <v>6214.2</v>
      </c>
      <c r="BI17" s="638">
        <f t="shared" si="28"/>
        <v>12986.8</v>
      </c>
      <c r="BJ17" s="638">
        <f t="shared" si="29"/>
        <v>23746.33</v>
      </c>
      <c r="BK17" s="771">
        <v>1391774</v>
      </c>
      <c r="BL17" s="638">
        <f t="shared" si="18"/>
        <v>270</v>
      </c>
      <c r="BM17" s="770">
        <v>3635137</v>
      </c>
      <c r="BN17" s="638">
        <f t="shared" si="19"/>
        <v>1401</v>
      </c>
      <c r="BO17" s="709">
        <v>387155</v>
      </c>
      <c r="BP17" s="638">
        <f t="shared" si="20"/>
        <v>103</v>
      </c>
      <c r="BQ17" s="770">
        <v>479014</v>
      </c>
      <c r="BR17" s="638">
        <f t="shared" si="41"/>
        <v>212</v>
      </c>
      <c r="BS17" s="694">
        <f t="shared" si="30"/>
        <v>29496.329999999998</v>
      </c>
      <c r="BT17" s="695">
        <v>147</v>
      </c>
      <c r="BU17" s="694">
        <f t="shared" si="44"/>
        <v>179.85567073170731</v>
      </c>
      <c r="BV17" s="695"/>
      <c r="BW17" s="694" t="e">
        <f t="shared" si="32"/>
        <v>#DIV/0!</v>
      </c>
      <c r="BX17" s="694">
        <f t="shared" si="35"/>
        <v>34163.779499999997</v>
      </c>
      <c r="BY17" s="694">
        <f>IF(BX17&gt;0,BX17/BT16,0)</f>
        <v>208.31572865853656</v>
      </c>
      <c r="BZ17" s="696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1">
        <v>22655143</v>
      </c>
      <c r="J18" s="638">
        <f t="shared" si="22"/>
        <v>5191</v>
      </c>
      <c r="K18" s="638">
        <f t="shared" si="0"/>
        <v>3314</v>
      </c>
      <c r="L18" s="771">
        <v>185662</v>
      </c>
      <c r="M18" s="638">
        <f>IF(L18&gt;=L17,L18-L17,0)</f>
        <v>1774</v>
      </c>
      <c r="N18" s="771">
        <v>200743</v>
      </c>
      <c r="O18" s="638">
        <f t="shared" si="2"/>
        <v>1540</v>
      </c>
      <c r="P18" s="771">
        <v>217298</v>
      </c>
      <c r="Q18" s="638">
        <f t="shared" si="3"/>
        <v>630</v>
      </c>
      <c r="R18" s="770">
        <v>149987</v>
      </c>
      <c r="S18" s="638">
        <f t="shared" si="4"/>
        <v>137</v>
      </c>
      <c r="T18" s="770">
        <v>272286</v>
      </c>
      <c r="U18" s="638">
        <f t="shared" si="5"/>
        <v>267</v>
      </c>
      <c r="V18" s="770">
        <v>809175</v>
      </c>
      <c r="W18" s="638">
        <f t="shared" si="6"/>
        <v>3123.29</v>
      </c>
      <c r="X18" s="771">
        <v>462670</v>
      </c>
      <c r="Y18" s="638">
        <f t="shared" si="7"/>
        <v>2871.54</v>
      </c>
      <c r="Z18" s="770">
        <v>713595</v>
      </c>
      <c r="AA18" s="638">
        <f t="shared" si="8"/>
        <v>0</v>
      </c>
      <c r="AB18" s="770">
        <v>333210</v>
      </c>
      <c r="AC18" s="638">
        <f t="shared" si="34"/>
        <v>0</v>
      </c>
      <c r="AD18" s="770">
        <v>366384</v>
      </c>
      <c r="AE18" s="638">
        <f t="shared" si="23"/>
        <v>5.83</v>
      </c>
      <c r="AF18" s="770">
        <v>766407</v>
      </c>
      <c r="AG18" s="638">
        <f t="shared" si="42"/>
        <v>19.61</v>
      </c>
      <c r="AH18" s="770">
        <v>672761</v>
      </c>
      <c r="AI18" s="638">
        <f t="shared" si="10"/>
        <v>1076.96</v>
      </c>
      <c r="AJ18" s="770">
        <v>367410</v>
      </c>
      <c r="AK18" s="638">
        <f t="shared" si="45"/>
        <v>3978.1800000000003</v>
      </c>
      <c r="AL18" s="770">
        <v>422124</v>
      </c>
      <c r="AM18" s="638">
        <f t="shared" si="12"/>
        <v>169.60000000000002</v>
      </c>
      <c r="AN18" s="638">
        <f t="shared" si="24"/>
        <v>11245.01</v>
      </c>
      <c r="AO18" s="770">
        <v>7340741</v>
      </c>
      <c r="AP18" s="638">
        <f t="shared" si="25"/>
        <v>203.4</v>
      </c>
      <c r="AQ18" s="771">
        <v>615012</v>
      </c>
      <c r="AR18" s="638">
        <f t="shared" si="13"/>
        <v>281</v>
      </c>
      <c r="AS18" s="771">
        <v>929520</v>
      </c>
      <c r="AT18" s="638">
        <f t="shared" si="26"/>
        <v>151</v>
      </c>
      <c r="AU18" s="771">
        <v>799582</v>
      </c>
      <c r="AV18" s="638">
        <f t="shared" si="14"/>
        <v>60</v>
      </c>
      <c r="AW18" s="771">
        <v>2418155</v>
      </c>
      <c r="AX18" s="638">
        <f t="shared" si="15"/>
        <v>849</v>
      </c>
      <c r="AY18" s="770">
        <v>215999</v>
      </c>
      <c r="AZ18" s="638">
        <f t="shared" si="16"/>
        <v>74</v>
      </c>
      <c r="BA18" s="770">
        <v>18178138</v>
      </c>
      <c r="BB18" s="638">
        <f t="shared" si="17"/>
        <v>4662</v>
      </c>
      <c r="BC18" s="770">
        <v>514755</v>
      </c>
      <c r="BD18" s="638">
        <f t="shared" si="17"/>
        <v>171</v>
      </c>
      <c r="BE18" s="770">
        <v>10603</v>
      </c>
      <c r="BF18" s="638">
        <f t="shared" si="17"/>
        <v>119</v>
      </c>
      <c r="BG18" s="771">
        <v>22655373</v>
      </c>
      <c r="BH18" s="638">
        <f t="shared" si="27"/>
        <v>5828.3</v>
      </c>
      <c r="BI18" s="638">
        <f t="shared" si="28"/>
        <v>12398.7</v>
      </c>
      <c r="BJ18" s="638">
        <f t="shared" si="29"/>
        <v>23643.71</v>
      </c>
      <c r="BK18" s="771">
        <v>1392027</v>
      </c>
      <c r="BL18" s="638">
        <f t="shared" si="18"/>
        <v>253</v>
      </c>
      <c r="BM18" s="770">
        <v>3636477</v>
      </c>
      <c r="BN18" s="638">
        <f t="shared" si="19"/>
        <v>1340</v>
      </c>
      <c r="BO18" s="770">
        <v>387261</v>
      </c>
      <c r="BP18" s="638">
        <f t="shared" si="20"/>
        <v>106</v>
      </c>
      <c r="BQ18" s="770">
        <v>479218</v>
      </c>
      <c r="BR18" s="638">
        <f t="shared" si="41"/>
        <v>204</v>
      </c>
      <c r="BS18" s="694">
        <f t="shared" si="30"/>
        <v>29464.710000000003</v>
      </c>
      <c r="BT18" s="695">
        <v>131</v>
      </c>
      <c r="BU18" s="694">
        <f t="shared" si="44"/>
        <v>200.44020408163269</v>
      </c>
      <c r="BV18" s="695"/>
      <c r="BW18" s="694" t="e">
        <f t="shared" si="32"/>
        <v>#DIV/0!</v>
      </c>
      <c r="BX18" s="694">
        <f t="shared" si="35"/>
        <v>34167.916499999999</v>
      </c>
      <c r="BY18" s="694">
        <f>IF(BX18&gt;0,BX18/BT17,0)</f>
        <v>232.43480612244898</v>
      </c>
      <c r="BZ18" s="696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1">
        <v>22660136</v>
      </c>
      <c r="J19" s="638">
        <f t="shared" si="22"/>
        <v>4993</v>
      </c>
      <c r="K19" s="638">
        <f t="shared" si="0"/>
        <v>3278</v>
      </c>
      <c r="L19" s="771">
        <v>187336</v>
      </c>
      <c r="M19" s="638">
        <f t="shared" si="1"/>
        <v>1674</v>
      </c>
      <c r="N19" s="771">
        <v>202347</v>
      </c>
      <c r="O19" s="638">
        <f t="shared" si="2"/>
        <v>1604</v>
      </c>
      <c r="P19" s="771">
        <v>217316</v>
      </c>
      <c r="Q19" s="638">
        <f t="shared" ref="Q19:Q36" si="46">IF(P19&gt;=P18,P19-P18,0)*30</f>
        <v>540</v>
      </c>
      <c r="R19" s="770">
        <v>150123</v>
      </c>
      <c r="S19" s="638">
        <f t="shared" si="4"/>
        <v>136</v>
      </c>
      <c r="T19" s="770">
        <v>272544</v>
      </c>
      <c r="U19" s="638">
        <f t="shared" si="5"/>
        <v>258</v>
      </c>
      <c r="V19" s="770">
        <v>813696</v>
      </c>
      <c r="W19" s="638">
        <f t="shared" si="6"/>
        <v>2396.13</v>
      </c>
      <c r="X19" s="771">
        <v>469390</v>
      </c>
      <c r="Y19" s="638">
        <f t="shared" si="7"/>
        <v>3561.6000000000004</v>
      </c>
      <c r="Z19" s="770">
        <v>713595</v>
      </c>
      <c r="AA19" s="638">
        <f t="shared" si="8"/>
        <v>0</v>
      </c>
      <c r="AB19" s="770">
        <v>333210</v>
      </c>
      <c r="AC19" s="638">
        <f t="shared" si="34"/>
        <v>0</v>
      </c>
      <c r="AD19" s="770">
        <v>366403</v>
      </c>
      <c r="AE19" s="638">
        <f t="shared" si="23"/>
        <v>10.07</v>
      </c>
      <c r="AF19" s="770">
        <v>766427</v>
      </c>
      <c r="AG19" s="638">
        <f t="shared" si="42"/>
        <v>10.600000000000001</v>
      </c>
      <c r="AH19" s="771">
        <v>674778</v>
      </c>
      <c r="AI19" s="638">
        <f t="shared" si="10"/>
        <v>1069.01</v>
      </c>
      <c r="AJ19" s="771">
        <v>375004</v>
      </c>
      <c r="AK19" s="638">
        <f t="shared" si="45"/>
        <v>4024.82</v>
      </c>
      <c r="AL19" s="770">
        <v>422435</v>
      </c>
      <c r="AM19" s="638">
        <f t="shared" si="12"/>
        <v>164.83</v>
      </c>
      <c r="AN19" s="638">
        <f t="shared" si="24"/>
        <v>11237.060000000001</v>
      </c>
      <c r="AO19" s="770">
        <v>7342612</v>
      </c>
      <c r="AP19" s="638">
        <f t="shared" si="25"/>
        <v>210.48750000000001</v>
      </c>
      <c r="AQ19" s="770">
        <v>615297</v>
      </c>
      <c r="AR19" s="638">
        <f t="shared" si="13"/>
        <v>285</v>
      </c>
      <c r="AS19" s="771">
        <v>929686</v>
      </c>
      <c r="AT19" s="638">
        <f t="shared" si="26"/>
        <v>166</v>
      </c>
      <c r="AU19" s="770">
        <v>799630</v>
      </c>
      <c r="AV19" s="638">
        <f t="shared" si="14"/>
        <v>48</v>
      </c>
      <c r="AW19" s="771">
        <v>2418983</v>
      </c>
      <c r="AX19" s="638">
        <f t="shared" si="15"/>
        <v>828</v>
      </c>
      <c r="AY19" s="770">
        <v>216072</v>
      </c>
      <c r="AZ19" s="638">
        <f t="shared" ref="AZ19:AZ36" si="47">IF(AY19&gt;=AY18,AY19-AY18,0)</f>
        <v>73</v>
      </c>
      <c r="BA19" s="771">
        <v>18182463</v>
      </c>
      <c r="BB19" s="638">
        <f t="shared" si="17"/>
        <v>4325</v>
      </c>
      <c r="BC19" s="770">
        <v>514911</v>
      </c>
      <c r="BD19" s="638">
        <f t="shared" si="17"/>
        <v>156</v>
      </c>
      <c r="BE19" s="770">
        <v>10709</v>
      </c>
      <c r="BF19" s="638">
        <f t="shared" si="17"/>
        <v>106</v>
      </c>
      <c r="BG19" s="771">
        <v>22662077</v>
      </c>
      <c r="BH19" s="638">
        <f t="shared" si="27"/>
        <v>5826.05</v>
      </c>
      <c r="BI19" s="638">
        <f t="shared" si="28"/>
        <v>12023.5375</v>
      </c>
      <c r="BJ19" s="638">
        <f t="shared" si="29"/>
        <v>23260.597500000003</v>
      </c>
      <c r="BK19" s="771">
        <v>1392288</v>
      </c>
      <c r="BL19" s="638">
        <f t="shared" si="18"/>
        <v>261</v>
      </c>
      <c r="BM19" s="770">
        <v>3637858</v>
      </c>
      <c r="BN19" s="638">
        <f t="shared" si="19"/>
        <v>1381</v>
      </c>
      <c r="BO19" s="709">
        <v>387371</v>
      </c>
      <c r="BP19" s="638">
        <f t="shared" si="20"/>
        <v>110</v>
      </c>
      <c r="BQ19" s="771">
        <v>479425</v>
      </c>
      <c r="BR19" s="638">
        <f t="shared" si="41"/>
        <v>207</v>
      </c>
      <c r="BS19" s="694">
        <f t="shared" si="30"/>
        <v>28793.597500000003</v>
      </c>
      <c r="BT19" s="695">
        <v>146</v>
      </c>
      <c r="BU19" s="694">
        <f t="shared" si="44"/>
        <v>219.79845419847331</v>
      </c>
      <c r="BV19" s="695"/>
      <c r="BW19" s="694" t="e">
        <f t="shared" si="32"/>
        <v>#DIV/0!</v>
      </c>
      <c r="BX19" s="694">
        <f t="shared" si="35"/>
        <v>33355.637125000001</v>
      </c>
      <c r="BY19" s="694">
        <f>IF(BX19&gt;0,BX19/BT18,0)</f>
        <v>254.62318416030536</v>
      </c>
      <c r="BZ19" s="696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1">
        <v>22665686</v>
      </c>
      <c r="J20" s="638">
        <f t="shared" si="22"/>
        <v>5550</v>
      </c>
      <c r="K20" s="638">
        <f t="shared" si="0"/>
        <v>3319</v>
      </c>
      <c r="L20" s="771">
        <v>189007</v>
      </c>
      <c r="M20" s="638">
        <f t="shared" si="1"/>
        <v>1671</v>
      </c>
      <c r="N20" s="771">
        <v>203995</v>
      </c>
      <c r="O20" s="638">
        <f t="shared" si="2"/>
        <v>1648</v>
      </c>
      <c r="P20" s="771">
        <v>217334</v>
      </c>
      <c r="Q20" s="638">
        <f t="shared" si="46"/>
        <v>540</v>
      </c>
      <c r="R20" s="770">
        <v>150263</v>
      </c>
      <c r="S20" s="638">
        <f t="shared" si="4"/>
        <v>140</v>
      </c>
      <c r="T20" s="770">
        <v>272809</v>
      </c>
      <c r="U20" s="638">
        <f t="shared" si="5"/>
        <v>265</v>
      </c>
      <c r="V20" s="770">
        <v>819233</v>
      </c>
      <c r="W20" s="638">
        <f t="shared" si="6"/>
        <v>2934.61</v>
      </c>
      <c r="X20" s="771">
        <v>474105</v>
      </c>
      <c r="Y20" s="638">
        <f t="shared" si="7"/>
        <v>2498.9500000000003</v>
      </c>
      <c r="Z20" s="771">
        <v>713595</v>
      </c>
      <c r="AA20" s="638">
        <f t="shared" si="8"/>
        <v>0</v>
      </c>
      <c r="AB20" s="770">
        <v>333210</v>
      </c>
      <c r="AC20" s="638">
        <f t="shared" si="34"/>
        <v>0</v>
      </c>
      <c r="AD20" s="770">
        <v>366419</v>
      </c>
      <c r="AE20" s="638">
        <f t="shared" si="23"/>
        <v>8.48</v>
      </c>
      <c r="AF20" s="770">
        <v>766447</v>
      </c>
      <c r="AG20" s="638">
        <f t="shared" si="42"/>
        <v>10.600000000000001</v>
      </c>
      <c r="AH20" s="770">
        <v>676660</v>
      </c>
      <c r="AI20" s="638">
        <f t="shared" si="10"/>
        <v>997.46</v>
      </c>
      <c r="AJ20" s="770">
        <v>381673</v>
      </c>
      <c r="AK20" s="638">
        <f t="shared" si="45"/>
        <v>3534.57</v>
      </c>
      <c r="AL20" s="770">
        <v>422737</v>
      </c>
      <c r="AM20" s="638">
        <f t="shared" si="12"/>
        <v>160.06</v>
      </c>
      <c r="AN20" s="638">
        <f t="shared" si="24"/>
        <v>10144.73</v>
      </c>
      <c r="AO20" s="770">
        <v>7344495</v>
      </c>
      <c r="AP20" s="638">
        <f t="shared" si="25"/>
        <v>211.83750000000001</v>
      </c>
      <c r="AQ20" s="771">
        <v>615577</v>
      </c>
      <c r="AR20" s="638">
        <f t="shared" si="13"/>
        <v>280</v>
      </c>
      <c r="AS20" s="770">
        <v>929831</v>
      </c>
      <c r="AT20" s="638">
        <f t="shared" si="26"/>
        <v>145</v>
      </c>
      <c r="AU20" s="770">
        <v>799679</v>
      </c>
      <c r="AV20" s="638">
        <f t="shared" si="14"/>
        <v>49</v>
      </c>
      <c r="AW20" s="770">
        <v>2419790</v>
      </c>
      <c r="AX20" s="638">
        <f t="shared" si="15"/>
        <v>807</v>
      </c>
      <c r="AY20" s="770">
        <v>216147</v>
      </c>
      <c r="AZ20" s="638">
        <f t="shared" si="47"/>
        <v>75</v>
      </c>
      <c r="BA20" s="770">
        <v>18186808</v>
      </c>
      <c r="BB20" s="638">
        <f t="shared" si="17"/>
        <v>4345</v>
      </c>
      <c r="BC20" s="770">
        <v>515082</v>
      </c>
      <c r="BD20" s="638">
        <f t="shared" si="17"/>
        <v>171</v>
      </c>
      <c r="BE20" s="770">
        <v>10796</v>
      </c>
      <c r="BF20" s="638">
        <f t="shared" si="17"/>
        <v>87</v>
      </c>
      <c r="BG20" s="771">
        <v>22669060</v>
      </c>
      <c r="BH20" s="638">
        <f t="shared" si="27"/>
        <v>6114.8499999999995</v>
      </c>
      <c r="BI20" s="638">
        <f t="shared" si="28"/>
        <v>12285.6875</v>
      </c>
      <c r="BJ20" s="638">
        <f t="shared" si="29"/>
        <v>22430.4175</v>
      </c>
      <c r="BK20" s="771">
        <v>1392552</v>
      </c>
      <c r="BL20" s="638">
        <f t="shared" si="18"/>
        <v>264</v>
      </c>
      <c r="BM20" s="770">
        <v>3639216</v>
      </c>
      <c r="BN20" s="638">
        <f t="shared" si="19"/>
        <v>1358</v>
      </c>
      <c r="BO20" s="770">
        <v>387480</v>
      </c>
      <c r="BP20" s="638">
        <f t="shared" si="20"/>
        <v>109</v>
      </c>
      <c r="BQ20" s="770">
        <v>479633</v>
      </c>
      <c r="BR20" s="638">
        <f t="shared" si="41"/>
        <v>208</v>
      </c>
      <c r="BS20" s="694">
        <f t="shared" si="30"/>
        <v>28520.4175</v>
      </c>
      <c r="BT20" s="695">
        <v>147</v>
      </c>
      <c r="BU20" s="694">
        <f t="shared" ref="BU20:BU36" si="48">IF(BS20&gt;0,BS20/BT20,0)</f>
        <v>194.0164455782313</v>
      </c>
      <c r="BV20" s="695"/>
      <c r="BW20" s="694" t="e">
        <f t="shared" si="32"/>
        <v>#DIV/0!</v>
      </c>
      <c r="BX20" s="694">
        <f t="shared" si="35"/>
        <v>33041.480125000002</v>
      </c>
      <c r="BY20" s="694">
        <f t="shared" ref="BY20:BY36" si="49">IF(BX20&gt;0,BX20/BT20,0)</f>
        <v>224.77197363945581</v>
      </c>
      <c r="BZ20" s="696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1">
        <v>22671296</v>
      </c>
      <c r="J21" s="638">
        <f t="shared" si="22"/>
        <v>5610</v>
      </c>
      <c r="K21" s="638">
        <f t="shared" si="0"/>
        <v>3495</v>
      </c>
      <c r="L21" s="771">
        <v>190818</v>
      </c>
      <c r="M21" s="638">
        <f t="shared" si="1"/>
        <v>1811</v>
      </c>
      <c r="N21" s="771">
        <v>205679</v>
      </c>
      <c r="O21" s="638">
        <f t="shared" si="2"/>
        <v>1684</v>
      </c>
      <c r="P21" s="771">
        <v>217354</v>
      </c>
      <c r="Q21" s="638">
        <f t="shared" si="46"/>
        <v>600</v>
      </c>
      <c r="R21" s="770">
        <v>150401</v>
      </c>
      <c r="S21" s="638">
        <f t="shared" ref="S21:S36" si="50">IF(R21&gt;=R20,R21-R20,0)</f>
        <v>138</v>
      </c>
      <c r="T21" s="770">
        <v>273068</v>
      </c>
      <c r="U21" s="638">
        <f t="shared" si="5"/>
        <v>259</v>
      </c>
      <c r="V21" s="770">
        <v>824638</v>
      </c>
      <c r="W21" s="638">
        <f t="shared" si="6"/>
        <v>2864.65</v>
      </c>
      <c r="X21" s="771">
        <v>479163</v>
      </c>
      <c r="Y21" s="638">
        <f t="shared" si="7"/>
        <v>2680.7400000000002</v>
      </c>
      <c r="Z21" s="771">
        <v>713595</v>
      </c>
      <c r="AA21" s="638">
        <f t="shared" si="8"/>
        <v>0</v>
      </c>
      <c r="AB21" s="770">
        <v>333210</v>
      </c>
      <c r="AC21" s="638">
        <f t="shared" si="34"/>
        <v>0</v>
      </c>
      <c r="AD21" s="770">
        <v>364960</v>
      </c>
      <c r="AE21" s="638">
        <f t="shared" si="23"/>
        <v>0</v>
      </c>
      <c r="AF21" s="770">
        <v>768432</v>
      </c>
      <c r="AG21" s="638">
        <f t="shared" si="42"/>
        <v>1052.05</v>
      </c>
      <c r="AH21" s="771">
        <v>678569</v>
      </c>
      <c r="AI21" s="638">
        <f t="shared" si="10"/>
        <v>1011.7700000000001</v>
      </c>
      <c r="AJ21" s="771">
        <v>388739</v>
      </c>
      <c r="AK21" s="638">
        <f t="shared" si="45"/>
        <v>3744.98</v>
      </c>
      <c r="AL21" s="770">
        <v>423042</v>
      </c>
      <c r="AM21" s="638">
        <f t="shared" si="12"/>
        <v>161.65</v>
      </c>
      <c r="AN21" s="638">
        <f t="shared" si="24"/>
        <v>11515.84</v>
      </c>
      <c r="AO21" s="770">
        <v>7346240</v>
      </c>
      <c r="AP21" s="638">
        <f t="shared" si="25"/>
        <v>196.3125</v>
      </c>
      <c r="AQ21" s="770">
        <v>615812</v>
      </c>
      <c r="AR21" s="638">
        <f t="shared" si="13"/>
        <v>235</v>
      </c>
      <c r="AS21" s="770">
        <v>929970</v>
      </c>
      <c r="AT21" s="638">
        <f t="shared" si="26"/>
        <v>139</v>
      </c>
      <c r="AU21" s="770">
        <v>799730</v>
      </c>
      <c r="AV21" s="638">
        <f t="shared" si="14"/>
        <v>51</v>
      </c>
      <c r="AW21" s="770">
        <v>2420634</v>
      </c>
      <c r="AX21" s="638">
        <f t="shared" si="15"/>
        <v>844</v>
      </c>
      <c r="AY21" s="771">
        <v>216220</v>
      </c>
      <c r="AZ21" s="638">
        <f t="shared" si="47"/>
        <v>73</v>
      </c>
      <c r="BA21" s="771">
        <v>18191288</v>
      </c>
      <c r="BB21" s="638">
        <f t="shared" si="17"/>
        <v>4480</v>
      </c>
      <c r="BC21" s="770">
        <v>515236</v>
      </c>
      <c r="BD21" s="638">
        <f t="shared" si="17"/>
        <v>154</v>
      </c>
      <c r="BE21" s="770">
        <v>10908</v>
      </c>
      <c r="BF21" s="638">
        <f t="shared" si="17"/>
        <v>112</v>
      </c>
      <c r="BG21" s="771">
        <v>22675797</v>
      </c>
      <c r="BH21" s="638">
        <f t="shared" si="27"/>
        <v>5880.5</v>
      </c>
      <c r="BI21" s="638">
        <f t="shared" si="28"/>
        <v>12164.8125</v>
      </c>
      <c r="BJ21" s="638">
        <f t="shared" si="29"/>
        <v>23680.6525</v>
      </c>
      <c r="BK21" s="771">
        <v>1392811</v>
      </c>
      <c r="BL21" s="638">
        <f t="shared" si="18"/>
        <v>259</v>
      </c>
      <c r="BM21" s="770">
        <v>3640559</v>
      </c>
      <c r="BN21" s="638">
        <f t="shared" si="19"/>
        <v>1343</v>
      </c>
      <c r="BO21" s="770">
        <v>387587</v>
      </c>
      <c r="BP21" s="638">
        <f t="shared" si="20"/>
        <v>107</v>
      </c>
      <c r="BQ21" s="770">
        <v>479837</v>
      </c>
      <c r="BR21" s="638">
        <f t="shared" si="41"/>
        <v>204</v>
      </c>
      <c r="BS21" s="694">
        <f t="shared" si="30"/>
        <v>29890.6525</v>
      </c>
      <c r="BT21" s="695">
        <v>160</v>
      </c>
      <c r="BU21" s="694">
        <f t="shared" si="48"/>
        <v>186.81657812500001</v>
      </c>
      <c r="BV21" s="695"/>
      <c r="BW21" s="694" t="e">
        <f t="shared" si="32"/>
        <v>#DIV/0!</v>
      </c>
      <c r="BX21" s="694">
        <f t="shared" si="35"/>
        <v>34644.250374999996</v>
      </c>
      <c r="BY21" s="694">
        <f t="shared" si="49"/>
        <v>216.52656484374998</v>
      </c>
      <c r="BZ21" s="696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1">
        <v>22676560</v>
      </c>
      <c r="J22" s="638">
        <f t="shared" ref="J22:J31" si="51">IF(I22&gt;=I21,I22-I21,0)</f>
        <v>5264</v>
      </c>
      <c r="K22" s="638">
        <f t="shared" si="0"/>
        <v>3447</v>
      </c>
      <c r="L22" s="771">
        <v>192680</v>
      </c>
      <c r="M22" s="638">
        <f t="shared" si="1"/>
        <v>1862</v>
      </c>
      <c r="N22" s="770">
        <v>207264</v>
      </c>
      <c r="O22" s="638">
        <f t="shared" si="2"/>
        <v>1585</v>
      </c>
      <c r="P22" s="771">
        <v>217372</v>
      </c>
      <c r="Q22" s="638">
        <f t="shared" si="46"/>
        <v>540</v>
      </c>
      <c r="R22" s="770">
        <v>150539</v>
      </c>
      <c r="S22" s="638">
        <f t="shared" si="50"/>
        <v>138</v>
      </c>
      <c r="T22" s="770">
        <v>273326</v>
      </c>
      <c r="U22" s="638">
        <f t="shared" si="5"/>
        <v>258</v>
      </c>
      <c r="V22" s="770">
        <v>830018</v>
      </c>
      <c r="W22" s="638">
        <f t="shared" si="6"/>
        <v>2851.4</v>
      </c>
      <c r="X22" s="771">
        <v>482107</v>
      </c>
      <c r="Y22" s="638">
        <f t="shared" si="7"/>
        <v>1560.3200000000002</v>
      </c>
      <c r="Z22" s="771">
        <v>715622</v>
      </c>
      <c r="AA22" s="638">
        <f t="shared" si="8"/>
        <v>1074.31</v>
      </c>
      <c r="AB22" s="770">
        <v>333210</v>
      </c>
      <c r="AC22" s="638">
        <f t="shared" si="34"/>
        <v>0</v>
      </c>
      <c r="AD22" s="770">
        <v>364937</v>
      </c>
      <c r="AE22" s="638">
        <f t="shared" si="23"/>
        <v>0</v>
      </c>
      <c r="AF22" s="770">
        <v>771351</v>
      </c>
      <c r="AG22" s="638">
        <f t="shared" si="42"/>
        <v>1547.0700000000002</v>
      </c>
      <c r="AH22" s="770">
        <v>680109</v>
      </c>
      <c r="AI22" s="638">
        <f t="shared" si="10"/>
        <v>816.2</v>
      </c>
      <c r="AJ22" s="770">
        <v>395637</v>
      </c>
      <c r="AK22" s="638">
        <f t="shared" si="45"/>
        <v>3655.94</v>
      </c>
      <c r="AL22" s="770">
        <v>423363</v>
      </c>
      <c r="AM22" s="638">
        <f t="shared" si="12"/>
        <v>170.13</v>
      </c>
      <c r="AN22" s="638">
        <f t="shared" si="24"/>
        <v>11675.369999999999</v>
      </c>
      <c r="AO22" s="770">
        <v>7347902</v>
      </c>
      <c r="AP22" s="638">
        <f t="shared" si="25"/>
        <v>186.97499999999999</v>
      </c>
      <c r="AQ22" s="770">
        <v>616057</v>
      </c>
      <c r="AR22" s="638">
        <f t="shared" si="13"/>
        <v>245</v>
      </c>
      <c r="AS22" s="770">
        <v>930115</v>
      </c>
      <c r="AT22" s="638">
        <f t="shared" si="26"/>
        <v>145</v>
      </c>
      <c r="AU22" s="770">
        <v>799778</v>
      </c>
      <c r="AV22" s="638">
        <f t="shared" si="14"/>
        <v>48</v>
      </c>
      <c r="AW22" s="771">
        <v>2421466</v>
      </c>
      <c r="AX22" s="638">
        <f t="shared" si="15"/>
        <v>832</v>
      </c>
      <c r="AY22" s="771">
        <v>216288</v>
      </c>
      <c r="AZ22" s="638">
        <f t="shared" si="47"/>
        <v>68</v>
      </c>
      <c r="BA22" s="770">
        <v>18196105</v>
      </c>
      <c r="BB22" s="638">
        <f t="shared" si="17"/>
        <v>4817</v>
      </c>
      <c r="BC22" s="770">
        <v>515383</v>
      </c>
      <c r="BD22" s="638">
        <f t="shared" si="17"/>
        <v>147</v>
      </c>
      <c r="BE22" s="770">
        <v>10975</v>
      </c>
      <c r="BF22" s="638">
        <f t="shared" si="17"/>
        <v>67</v>
      </c>
      <c r="BG22" s="771">
        <v>22682262</v>
      </c>
      <c r="BH22" s="638">
        <f t="shared" si="27"/>
        <v>5645.9000000000005</v>
      </c>
      <c r="BI22" s="638">
        <f t="shared" si="28"/>
        <v>12201.875</v>
      </c>
      <c r="BJ22" s="638">
        <f t="shared" si="29"/>
        <v>23877.244999999999</v>
      </c>
      <c r="BK22" s="771">
        <v>1392937</v>
      </c>
      <c r="BL22" s="638">
        <f t="shared" si="18"/>
        <v>126</v>
      </c>
      <c r="BM22" s="770">
        <v>3641811</v>
      </c>
      <c r="BN22" s="638">
        <f t="shared" si="19"/>
        <v>1252</v>
      </c>
      <c r="BO22" s="770">
        <v>387693</v>
      </c>
      <c r="BP22" s="638">
        <f t="shared" si="20"/>
        <v>106</v>
      </c>
      <c r="BQ22" s="770">
        <v>480045</v>
      </c>
      <c r="BR22" s="638">
        <f t="shared" si="41"/>
        <v>208</v>
      </c>
      <c r="BS22" s="694">
        <f t="shared" si="30"/>
        <v>29681.244999999999</v>
      </c>
      <c r="BT22" s="695">
        <v>168</v>
      </c>
      <c r="BU22" s="694">
        <f t="shared" si="48"/>
        <v>176.67407738095238</v>
      </c>
      <c r="BV22" s="695"/>
      <c r="BW22" s="694" t="e">
        <f t="shared" si="32"/>
        <v>#DIV/0!</v>
      </c>
      <c r="BX22" s="694">
        <f t="shared" si="35"/>
        <v>34376.431749999996</v>
      </c>
      <c r="BY22" s="694">
        <f t="shared" si="49"/>
        <v>204.6216175595238</v>
      </c>
      <c r="BZ22" s="696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1">
        <v>22681838</v>
      </c>
      <c r="J23" s="638">
        <f t="shared" si="51"/>
        <v>5278</v>
      </c>
      <c r="K23" s="638">
        <f t="shared" si="0"/>
        <v>3193</v>
      </c>
      <c r="L23" s="770">
        <v>194427</v>
      </c>
      <c r="M23" s="638">
        <f t="shared" si="1"/>
        <v>1747</v>
      </c>
      <c r="N23" s="770">
        <v>208710</v>
      </c>
      <c r="O23" s="638">
        <f t="shared" si="2"/>
        <v>1446</v>
      </c>
      <c r="P23" s="771">
        <v>217392</v>
      </c>
      <c r="Q23" s="638">
        <f t="shared" si="46"/>
        <v>600</v>
      </c>
      <c r="R23" s="770">
        <v>150680</v>
      </c>
      <c r="S23" s="638">
        <f t="shared" si="50"/>
        <v>141</v>
      </c>
      <c r="T23" s="770">
        <v>273597</v>
      </c>
      <c r="U23" s="638">
        <f t="shared" si="5"/>
        <v>271</v>
      </c>
      <c r="V23" s="770">
        <v>835439</v>
      </c>
      <c r="W23" s="638">
        <f t="shared" si="6"/>
        <v>2873.13</v>
      </c>
      <c r="X23" s="771">
        <v>482107</v>
      </c>
      <c r="Y23" s="638">
        <f t="shared" si="7"/>
        <v>0</v>
      </c>
      <c r="Z23" s="774">
        <v>719624</v>
      </c>
      <c r="AA23" s="638">
        <f t="shared" si="8"/>
        <v>2121.06</v>
      </c>
      <c r="AB23" s="770">
        <v>333210</v>
      </c>
      <c r="AC23" s="638">
        <f t="shared" si="34"/>
        <v>0</v>
      </c>
      <c r="AD23" s="770">
        <v>364914</v>
      </c>
      <c r="AE23" s="638">
        <f t="shared" si="23"/>
        <v>0</v>
      </c>
      <c r="AF23" s="770">
        <v>774220</v>
      </c>
      <c r="AG23" s="638">
        <f t="shared" si="42"/>
        <v>1520.5700000000002</v>
      </c>
      <c r="AH23" s="770">
        <v>681821</v>
      </c>
      <c r="AI23" s="638">
        <f t="shared" si="10"/>
        <v>907.36</v>
      </c>
      <c r="AJ23" s="770">
        <v>401907</v>
      </c>
      <c r="AK23" s="638">
        <f t="shared" si="45"/>
        <v>3323.1000000000004</v>
      </c>
      <c r="AL23" s="770">
        <v>423672</v>
      </c>
      <c r="AM23" s="638">
        <f t="shared" si="12"/>
        <v>163.77000000000001</v>
      </c>
      <c r="AN23" s="638">
        <f t="shared" si="24"/>
        <v>10908.990000000002</v>
      </c>
      <c r="AO23" s="709">
        <v>7349565</v>
      </c>
      <c r="AP23" s="638">
        <f t="shared" si="25"/>
        <v>187.08750000000001</v>
      </c>
      <c r="AQ23" s="770">
        <v>616256</v>
      </c>
      <c r="AR23" s="638">
        <f t="shared" si="13"/>
        <v>199</v>
      </c>
      <c r="AS23" s="770">
        <v>930269</v>
      </c>
      <c r="AT23" s="638">
        <f t="shared" si="26"/>
        <v>154</v>
      </c>
      <c r="AU23" s="770">
        <v>799815</v>
      </c>
      <c r="AV23" s="638">
        <f t="shared" si="14"/>
        <v>37</v>
      </c>
      <c r="AW23" s="770">
        <v>2422237</v>
      </c>
      <c r="AX23" s="638">
        <f t="shared" si="15"/>
        <v>771</v>
      </c>
      <c r="AY23" s="771">
        <v>216362</v>
      </c>
      <c r="AZ23" s="638">
        <f t="shared" si="47"/>
        <v>74</v>
      </c>
      <c r="BA23" s="771">
        <v>18200596</v>
      </c>
      <c r="BB23" s="638">
        <f t="shared" si="17"/>
        <v>4491</v>
      </c>
      <c r="BC23" s="770">
        <v>515557</v>
      </c>
      <c r="BD23" s="638">
        <f t="shared" si="17"/>
        <v>174</v>
      </c>
      <c r="BE23" s="770">
        <v>11025</v>
      </c>
      <c r="BF23" s="638">
        <f t="shared" si="17"/>
        <v>50</v>
      </c>
      <c r="BG23" s="771">
        <v>22688850</v>
      </c>
      <c r="BH23" s="638">
        <f t="shared" si="27"/>
        <v>5733.5499999999993</v>
      </c>
      <c r="BI23" s="638">
        <f t="shared" si="28"/>
        <v>11870.637499999999</v>
      </c>
      <c r="BJ23" s="638">
        <f t="shared" si="29"/>
        <v>22779.627500000002</v>
      </c>
      <c r="BK23" s="771">
        <v>1392939</v>
      </c>
      <c r="BL23" s="638">
        <f t="shared" si="18"/>
        <v>2</v>
      </c>
      <c r="BM23" s="770">
        <v>3643129</v>
      </c>
      <c r="BN23" s="638">
        <f t="shared" si="19"/>
        <v>1318</v>
      </c>
      <c r="BO23" s="770">
        <v>387796</v>
      </c>
      <c r="BP23" s="638">
        <f t="shared" si="20"/>
        <v>103</v>
      </c>
      <c r="BQ23" s="771">
        <v>480260</v>
      </c>
      <c r="BR23" s="638">
        <f t="shared" si="41"/>
        <v>215</v>
      </c>
      <c r="BS23" s="694">
        <f t="shared" si="30"/>
        <v>28657.627500000002</v>
      </c>
      <c r="BT23" s="695">
        <v>177</v>
      </c>
      <c r="BU23" s="694">
        <f t="shared" si="48"/>
        <v>161.90750000000003</v>
      </c>
      <c r="BV23" s="695"/>
      <c r="BW23" s="694" t="e">
        <f t="shared" si="32"/>
        <v>#DIV/0!</v>
      </c>
      <c r="BX23" s="694">
        <f t="shared" si="35"/>
        <v>33226.271625000001</v>
      </c>
      <c r="BY23" s="694">
        <f t="shared" si="49"/>
        <v>187.71904872881356</v>
      </c>
      <c r="BZ23" s="696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1">
        <v>22687088</v>
      </c>
      <c r="J24" s="638">
        <f t="shared" si="51"/>
        <v>5250</v>
      </c>
      <c r="K24" s="638">
        <f t="shared" si="0"/>
        <v>3177</v>
      </c>
      <c r="L24" s="771">
        <v>196152</v>
      </c>
      <c r="M24" s="638">
        <f t="shared" si="1"/>
        <v>1725</v>
      </c>
      <c r="N24" s="771">
        <v>210162</v>
      </c>
      <c r="O24" s="638">
        <f t="shared" si="2"/>
        <v>1452</v>
      </c>
      <c r="P24" s="771">
        <v>217409</v>
      </c>
      <c r="Q24" s="638">
        <f>IF(P24&gt;=P23,P24-P23,0)*30</f>
        <v>510</v>
      </c>
      <c r="R24" s="770">
        <v>150818</v>
      </c>
      <c r="S24" s="638">
        <f t="shared" si="50"/>
        <v>138</v>
      </c>
      <c r="T24" s="770">
        <v>273865</v>
      </c>
      <c r="U24" s="638">
        <f t="shared" si="5"/>
        <v>268</v>
      </c>
      <c r="V24" s="770">
        <v>840598</v>
      </c>
      <c r="W24" s="638">
        <f t="shared" si="6"/>
        <v>2734.27</v>
      </c>
      <c r="X24" s="771">
        <v>486185</v>
      </c>
      <c r="Y24" s="638">
        <f t="shared" si="7"/>
        <v>2161.34</v>
      </c>
      <c r="Z24" s="770">
        <v>719624</v>
      </c>
      <c r="AA24" s="638">
        <f t="shared" si="8"/>
        <v>0</v>
      </c>
      <c r="AB24" s="770">
        <v>333210</v>
      </c>
      <c r="AC24" s="638">
        <f t="shared" si="34"/>
        <v>0</v>
      </c>
      <c r="AD24" s="770">
        <v>364893</v>
      </c>
      <c r="AE24" s="638">
        <f t="shared" si="23"/>
        <v>0</v>
      </c>
      <c r="AF24" s="770">
        <v>775738</v>
      </c>
      <c r="AG24" s="638">
        <f t="shared" si="42"/>
        <v>804.54000000000008</v>
      </c>
      <c r="AH24" s="770">
        <v>683520</v>
      </c>
      <c r="AI24" s="638">
        <f t="shared" si="10"/>
        <v>900.47</v>
      </c>
      <c r="AJ24" s="770">
        <v>407980</v>
      </c>
      <c r="AK24" s="638">
        <f t="shared" si="45"/>
        <v>3218.69</v>
      </c>
      <c r="AL24" s="770">
        <v>423979</v>
      </c>
      <c r="AM24" s="638">
        <f t="shared" si="12"/>
        <v>162.71</v>
      </c>
      <c r="AN24" s="638">
        <f t="shared" si="24"/>
        <v>9982.02</v>
      </c>
      <c r="AO24" s="770">
        <v>7351198</v>
      </c>
      <c r="AP24" s="638">
        <f t="shared" si="25"/>
        <v>183.71250000000001</v>
      </c>
      <c r="AQ24" s="771">
        <v>616579</v>
      </c>
      <c r="AR24" s="638">
        <f t="shared" si="13"/>
        <v>323</v>
      </c>
      <c r="AS24" s="771">
        <v>930420</v>
      </c>
      <c r="AT24" s="638">
        <f t="shared" si="26"/>
        <v>151</v>
      </c>
      <c r="AU24" s="770">
        <v>799851</v>
      </c>
      <c r="AV24" s="638">
        <f t="shared" si="14"/>
        <v>36</v>
      </c>
      <c r="AW24" s="770">
        <v>2423002</v>
      </c>
      <c r="AX24" s="638">
        <f t="shared" si="15"/>
        <v>765</v>
      </c>
      <c r="AY24" s="771">
        <v>216412</v>
      </c>
      <c r="AZ24" s="638">
        <f t="shared" si="47"/>
        <v>50</v>
      </c>
      <c r="BA24" s="770">
        <v>18205149</v>
      </c>
      <c r="BB24" s="638">
        <f t="shared" si="17"/>
        <v>4553</v>
      </c>
      <c r="BC24" s="770">
        <v>515742</v>
      </c>
      <c r="BD24" s="638">
        <f t="shared" si="17"/>
        <v>185</v>
      </c>
      <c r="BE24" s="770">
        <v>11137</v>
      </c>
      <c r="BF24" s="638">
        <f t="shared" si="17"/>
        <v>112</v>
      </c>
      <c r="BG24" s="771">
        <v>22695180</v>
      </c>
      <c r="BH24" s="638">
        <f t="shared" si="27"/>
        <v>5443.75</v>
      </c>
      <c r="BI24" s="638">
        <f t="shared" si="28"/>
        <v>11802.4625</v>
      </c>
      <c r="BJ24" s="638">
        <f t="shared" si="29"/>
        <v>21784.482499999998</v>
      </c>
      <c r="BK24" s="771">
        <v>1392942</v>
      </c>
      <c r="BL24" s="638">
        <f t="shared" si="18"/>
        <v>3</v>
      </c>
      <c r="BM24" s="771">
        <v>3644534</v>
      </c>
      <c r="BN24" s="638">
        <f t="shared" si="19"/>
        <v>1405</v>
      </c>
      <c r="BO24" s="770">
        <v>387896</v>
      </c>
      <c r="BP24" s="638">
        <f t="shared" si="20"/>
        <v>100</v>
      </c>
      <c r="BQ24" s="771">
        <v>480469</v>
      </c>
      <c r="BR24" s="638">
        <f t="shared" si="41"/>
        <v>209</v>
      </c>
      <c r="BS24" s="694">
        <f t="shared" si="30"/>
        <v>27544.482499999998</v>
      </c>
      <c r="BT24" s="695">
        <v>163</v>
      </c>
      <c r="BU24" s="694">
        <f t="shared" si="48"/>
        <v>168.98455521472391</v>
      </c>
      <c r="BV24" s="695"/>
      <c r="BW24" s="694" t="e">
        <f t="shared" si="32"/>
        <v>#DIV/0!</v>
      </c>
      <c r="BX24" s="694">
        <f t="shared" si="35"/>
        <v>31905.654874999997</v>
      </c>
      <c r="BY24" s="694">
        <f t="shared" si="49"/>
        <v>195.7402139570552</v>
      </c>
      <c r="BZ24" s="696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1">
        <v>22692277</v>
      </c>
      <c r="J25" s="638">
        <f t="shared" si="51"/>
        <v>5189</v>
      </c>
      <c r="K25" s="638">
        <f t="shared" si="0"/>
        <v>3408</v>
      </c>
      <c r="L25" s="771">
        <v>197983</v>
      </c>
      <c r="M25" s="638">
        <f t="shared" si="1"/>
        <v>1831</v>
      </c>
      <c r="N25" s="771">
        <v>211739</v>
      </c>
      <c r="O25" s="638">
        <f t="shared" si="2"/>
        <v>1577</v>
      </c>
      <c r="P25" s="771">
        <v>217427</v>
      </c>
      <c r="Q25" s="638">
        <f t="shared" si="46"/>
        <v>540</v>
      </c>
      <c r="R25" s="770">
        <v>150954</v>
      </c>
      <c r="S25" s="638">
        <f t="shared" si="50"/>
        <v>136</v>
      </c>
      <c r="T25" s="770">
        <v>274164</v>
      </c>
      <c r="U25" s="638">
        <f t="shared" si="5"/>
        <v>299</v>
      </c>
      <c r="V25" s="770">
        <v>845797</v>
      </c>
      <c r="W25" s="638">
        <f t="shared" si="6"/>
        <v>2755.4700000000003</v>
      </c>
      <c r="X25" s="771">
        <v>490948</v>
      </c>
      <c r="Y25" s="638">
        <f t="shared" si="7"/>
        <v>2524.3900000000003</v>
      </c>
      <c r="Z25" s="770">
        <v>719624</v>
      </c>
      <c r="AA25" s="638">
        <f t="shared" si="8"/>
        <v>0</v>
      </c>
      <c r="AB25" s="770">
        <v>333210</v>
      </c>
      <c r="AC25" s="638">
        <f t="shared" si="34"/>
        <v>0</v>
      </c>
      <c r="AD25" s="770">
        <v>364877</v>
      </c>
      <c r="AE25" s="638">
        <f t="shared" si="23"/>
        <v>0</v>
      </c>
      <c r="AF25" s="770">
        <v>777582</v>
      </c>
      <c r="AG25" s="638">
        <f t="shared" si="42"/>
        <v>977.32</v>
      </c>
      <c r="AH25" s="771">
        <v>685284</v>
      </c>
      <c r="AI25" s="638">
        <f t="shared" si="10"/>
        <v>934.92000000000007</v>
      </c>
      <c r="AJ25" s="771">
        <v>414739</v>
      </c>
      <c r="AK25" s="638">
        <f t="shared" si="45"/>
        <v>3582.27</v>
      </c>
      <c r="AL25" s="770">
        <v>424302</v>
      </c>
      <c r="AM25" s="638">
        <f t="shared" si="12"/>
        <v>171.19</v>
      </c>
      <c r="AN25" s="638">
        <f t="shared" si="24"/>
        <v>10945.560000000001</v>
      </c>
      <c r="AO25" s="770">
        <v>7353052</v>
      </c>
      <c r="AP25" s="638">
        <f t="shared" si="25"/>
        <v>208.57500000000002</v>
      </c>
      <c r="AQ25" s="770">
        <v>616835</v>
      </c>
      <c r="AR25" s="638">
        <f>IF(AQ25&gt;=AQ24,AQ25-AQ24,0)</f>
        <v>256</v>
      </c>
      <c r="AS25" s="771">
        <v>930585</v>
      </c>
      <c r="AT25" s="638">
        <f t="shared" si="26"/>
        <v>165</v>
      </c>
      <c r="AU25" s="770">
        <v>799898</v>
      </c>
      <c r="AV25" s="638">
        <f t="shared" si="14"/>
        <v>47</v>
      </c>
      <c r="AW25" s="770">
        <v>2423843</v>
      </c>
      <c r="AX25" s="638">
        <f t="shared" si="15"/>
        <v>841</v>
      </c>
      <c r="AY25" s="771">
        <v>216487</v>
      </c>
      <c r="AZ25" s="638">
        <f t="shared" si="47"/>
        <v>75</v>
      </c>
      <c r="BA25" s="770">
        <v>18209824</v>
      </c>
      <c r="BB25" s="638">
        <f t="shared" si="17"/>
        <v>4675</v>
      </c>
      <c r="BC25" s="770">
        <v>515925</v>
      </c>
      <c r="BD25" s="638">
        <f t="shared" si="17"/>
        <v>183</v>
      </c>
      <c r="BE25" s="770">
        <v>11192</v>
      </c>
      <c r="BF25" s="638">
        <f t="shared" si="17"/>
        <v>55</v>
      </c>
      <c r="BG25" s="771">
        <v>22701520</v>
      </c>
      <c r="BH25" s="638">
        <f t="shared" si="27"/>
        <v>5439</v>
      </c>
      <c r="BI25" s="638">
        <f t="shared" si="28"/>
        <v>11944.575000000001</v>
      </c>
      <c r="BJ25" s="638">
        <f t="shared" si="29"/>
        <v>22890.135000000002</v>
      </c>
      <c r="BK25" s="771">
        <v>1392943</v>
      </c>
      <c r="BL25" s="638">
        <f t="shared" si="18"/>
        <v>1</v>
      </c>
      <c r="BM25" s="771">
        <v>3645965</v>
      </c>
      <c r="BN25" s="638">
        <f t="shared" si="19"/>
        <v>1431</v>
      </c>
      <c r="BO25" s="709">
        <v>388005</v>
      </c>
      <c r="BP25" s="638">
        <f t="shared" si="20"/>
        <v>109</v>
      </c>
      <c r="BQ25" s="770">
        <v>480677</v>
      </c>
      <c r="BR25" s="638">
        <f t="shared" si="41"/>
        <v>208</v>
      </c>
      <c r="BS25" s="694">
        <f t="shared" si="30"/>
        <v>28619.135000000002</v>
      </c>
      <c r="BT25" s="695">
        <v>165</v>
      </c>
      <c r="BU25" s="694">
        <f t="shared" si="48"/>
        <v>173.44930303030304</v>
      </c>
      <c r="BV25" s="695"/>
      <c r="BW25" s="694" t="e">
        <f t="shared" si="32"/>
        <v>#DIV/0!</v>
      </c>
      <c r="BX25" s="694">
        <f t="shared" si="35"/>
        <v>33155.005250000002</v>
      </c>
      <c r="BY25" s="694">
        <f t="shared" si="49"/>
        <v>200.93942575757578</v>
      </c>
      <c r="BZ25" s="696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1">
        <v>22697763</v>
      </c>
      <c r="J26" s="638">
        <f t="shared" si="51"/>
        <v>5486</v>
      </c>
      <c r="K26" s="638">
        <f t="shared" si="0"/>
        <v>4033</v>
      </c>
      <c r="L26" s="771">
        <v>200145</v>
      </c>
      <c r="M26" s="638">
        <f t="shared" si="1"/>
        <v>2162</v>
      </c>
      <c r="N26" s="771">
        <v>213610</v>
      </c>
      <c r="O26" s="638">
        <f t="shared" si="2"/>
        <v>1871</v>
      </c>
      <c r="P26" s="771">
        <v>217446</v>
      </c>
      <c r="Q26" s="638">
        <f t="shared" si="46"/>
        <v>570</v>
      </c>
      <c r="R26" s="770">
        <v>151115</v>
      </c>
      <c r="S26" s="638">
        <f t="shared" si="50"/>
        <v>161</v>
      </c>
      <c r="T26" s="770">
        <v>274455</v>
      </c>
      <c r="U26" s="638">
        <f t="shared" si="5"/>
        <v>291</v>
      </c>
      <c r="V26" s="770">
        <v>852415</v>
      </c>
      <c r="W26" s="638">
        <f t="shared" si="6"/>
        <v>3507.54</v>
      </c>
      <c r="X26" s="771">
        <v>496856</v>
      </c>
      <c r="Y26" s="638">
        <f t="shared" si="7"/>
        <v>3131.2400000000002</v>
      </c>
      <c r="Z26" s="771">
        <v>719624</v>
      </c>
      <c r="AA26" s="638">
        <f t="shared" si="8"/>
        <v>0</v>
      </c>
      <c r="AB26" s="770">
        <v>333210</v>
      </c>
      <c r="AC26" s="638">
        <f t="shared" si="34"/>
        <v>0</v>
      </c>
      <c r="AD26" s="770">
        <v>365976</v>
      </c>
      <c r="AE26" s="638">
        <f t="shared" si="23"/>
        <v>582.47</v>
      </c>
      <c r="AF26" s="770">
        <v>779760</v>
      </c>
      <c r="AG26" s="638">
        <f t="shared" si="42"/>
        <v>1154.3400000000001</v>
      </c>
      <c r="AH26" s="770">
        <v>687775</v>
      </c>
      <c r="AI26" s="638">
        <f t="shared" si="10"/>
        <v>1320.23</v>
      </c>
      <c r="AJ26" s="770">
        <v>423308</v>
      </c>
      <c r="AK26" s="638">
        <f t="shared" si="45"/>
        <v>4541.5700000000006</v>
      </c>
      <c r="AL26" s="770">
        <v>424696</v>
      </c>
      <c r="AM26" s="638">
        <f t="shared" si="12"/>
        <v>208.82000000000002</v>
      </c>
      <c r="AN26" s="638">
        <f t="shared" si="24"/>
        <v>14446.21</v>
      </c>
      <c r="AO26" s="770">
        <v>7355009</v>
      </c>
      <c r="AP26" s="638">
        <f t="shared" si="25"/>
        <v>220.16249999999999</v>
      </c>
      <c r="AQ26" s="771">
        <v>617121</v>
      </c>
      <c r="AR26" s="638">
        <f>IF(AQ26&gt;=AQ25,AQ26-AQ25,0)</f>
        <v>286</v>
      </c>
      <c r="AS26" s="771">
        <v>930759</v>
      </c>
      <c r="AT26" s="638">
        <f t="shared" si="26"/>
        <v>174</v>
      </c>
      <c r="AU26" s="770">
        <v>799952</v>
      </c>
      <c r="AV26" s="638">
        <f t="shared" si="14"/>
        <v>54</v>
      </c>
      <c r="AW26" s="770">
        <v>2424902</v>
      </c>
      <c r="AX26" s="638">
        <f t="shared" si="15"/>
        <v>1059</v>
      </c>
      <c r="AY26" s="771">
        <v>216574</v>
      </c>
      <c r="AZ26" s="638">
        <f t="shared" si="47"/>
        <v>87</v>
      </c>
      <c r="BA26" s="770">
        <v>18214493</v>
      </c>
      <c r="BB26" s="638">
        <f t="shared" si="17"/>
        <v>4669</v>
      </c>
      <c r="BC26" s="770">
        <v>516105</v>
      </c>
      <c r="BD26" s="638">
        <f t="shared" si="17"/>
        <v>180</v>
      </c>
      <c r="BE26" s="770">
        <v>11354</v>
      </c>
      <c r="BF26" s="638">
        <f t="shared" si="17"/>
        <v>162</v>
      </c>
      <c r="BG26" s="771">
        <v>22708336</v>
      </c>
      <c r="BH26" s="638">
        <f t="shared" si="27"/>
        <v>5901.2999999999993</v>
      </c>
      <c r="BI26" s="638">
        <f t="shared" si="28"/>
        <v>12792.4625</v>
      </c>
      <c r="BJ26" s="638">
        <f t="shared" si="29"/>
        <v>27238.672500000001</v>
      </c>
      <c r="BK26" s="771">
        <v>1392972</v>
      </c>
      <c r="BL26" s="638">
        <f t="shared" si="18"/>
        <v>29</v>
      </c>
      <c r="BM26" s="770">
        <v>3647403</v>
      </c>
      <c r="BN26" s="638">
        <f t="shared" si="19"/>
        <v>1438</v>
      </c>
      <c r="BO26" s="770">
        <v>388113</v>
      </c>
      <c r="BP26" s="638">
        <f t="shared" si="20"/>
        <v>108</v>
      </c>
      <c r="BQ26" s="770">
        <v>480896</v>
      </c>
      <c r="BR26" s="638">
        <f t="shared" si="41"/>
        <v>219</v>
      </c>
      <c r="BS26" s="694">
        <f t="shared" si="30"/>
        <v>33294.672500000001</v>
      </c>
      <c r="BT26" s="695">
        <v>173</v>
      </c>
      <c r="BU26" s="694">
        <f t="shared" si="48"/>
        <v>192.45475433526011</v>
      </c>
      <c r="BV26" s="695"/>
      <c r="BW26" s="694" t="e">
        <f t="shared" si="32"/>
        <v>#DIV/0!</v>
      </c>
      <c r="BX26" s="694">
        <f t="shared" si="35"/>
        <v>38545.373374999996</v>
      </c>
      <c r="BY26" s="694">
        <f t="shared" si="49"/>
        <v>222.80562644508669</v>
      </c>
      <c r="BZ26" s="696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1">
        <v>22704245</v>
      </c>
      <c r="J27" s="638">
        <f t="shared" si="51"/>
        <v>6482</v>
      </c>
      <c r="K27" s="638">
        <f t="shared" si="0"/>
        <v>3258</v>
      </c>
      <c r="L27" s="771">
        <v>201871</v>
      </c>
      <c r="M27" s="638">
        <f t="shared" si="1"/>
        <v>1726</v>
      </c>
      <c r="N27" s="771">
        <v>215142</v>
      </c>
      <c r="O27" s="638">
        <f t="shared" si="2"/>
        <v>1532</v>
      </c>
      <c r="P27" s="771">
        <v>217463</v>
      </c>
      <c r="Q27" s="638">
        <f>IF(P27&gt;=P26,P27-P26,0)*30</f>
        <v>510</v>
      </c>
      <c r="R27" s="770">
        <v>151265</v>
      </c>
      <c r="S27" s="638">
        <f t="shared" si="50"/>
        <v>150</v>
      </c>
      <c r="T27" s="770">
        <v>274751</v>
      </c>
      <c r="U27" s="638">
        <f t="shared" si="5"/>
        <v>296</v>
      </c>
      <c r="V27" s="770">
        <v>857578</v>
      </c>
      <c r="W27" s="638">
        <f t="shared" si="6"/>
        <v>2736.3900000000003</v>
      </c>
      <c r="X27" s="771">
        <v>503060</v>
      </c>
      <c r="Y27" s="638">
        <f t="shared" si="7"/>
        <v>3288.1200000000003</v>
      </c>
      <c r="Z27" s="771">
        <v>719624</v>
      </c>
      <c r="AA27" s="638">
        <f t="shared" si="8"/>
        <v>0</v>
      </c>
      <c r="AB27" s="770">
        <v>333210</v>
      </c>
      <c r="AC27" s="638">
        <f t="shared" si="34"/>
        <v>0</v>
      </c>
      <c r="AD27" s="770">
        <v>366001</v>
      </c>
      <c r="AE27" s="638">
        <f t="shared" si="23"/>
        <v>13.25</v>
      </c>
      <c r="AF27" s="770">
        <v>783063</v>
      </c>
      <c r="AG27" s="638">
        <f t="shared" si="42"/>
        <v>1750.5900000000001</v>
      </c>
      <c r="AH27" s="771">
        <v>689875</v>
      </c>
      <c r="AI27" s="638">
        <f t="shared" si="10"/>
        <v>1113</v>
      </c>
      <c r="AJ27" s="771">
        <v>430213</v>
      </c>
      <c r="AK27" s="638">
        <f t="shared" si="45"/>
        <v>3659.65</v>
      </c>
      <c r="AL27" s="770">
        <v>425013</v>
      </c>
      <c r="AM27" s="638">
        <f t="shared" si="12"/>
        <v>168.01000000000002</v>
      </c>
      <c r="AN27" s="638">
        <f t="shared" si="24"/>
        <v>12729.01</v>
      </c>
      <c r="AO27" s="770">
        <v>7356861</v>
      </c>
      <c r="AP27" s="638">
        <f t="shared" si="25"/>
        <v>208.35</v>
      </c>
      <c r="AQ27" s="770">
        <v>617399</v>
      </c>
      <c r="AR27" s="638">
        <f>IF(AQ27&gt;=AQ26,AQ27-AQ26,0)</f>
        <v>278</v>
      </c>
      <c r="AS27" s="770">
        <v>930927</v>
      </c>
      <c r="AT27" s="638">
        <f t="shared" si="26"/>
        <v>168</v>
      </c>
      <c r="AU27" s="770">
        <v>800010</v>
      </c>
      <c r="AV27" s="638">
        <f t="shared" si="14"/>
        <v>58</v>
      </c>
      <c r="AW27" s="770">
        <v>2425808</v>
      </c>
      <c r="AX27" s="638">
        <f t="shared" si="15"/>
        <v>906</v>
      </c>
      <c r="AY27" s="771">
        <v>216656</v>
      </c>
      <c r="AZ27" s="638">
        <f t="shared" si="47"/>
        <v>82</v>
      </c>
      <c r="BA27" s="770">
        <v>18219394</v>
      </c>
      <c r="BB27" s="638">
        <f t="shared" si="17"/>
        <v>4901</v>
      </c>
      <c r="BC27" s="770">
        <v>516338</v>
      </c>
      <c r="BD27" s="638">
        <f t="shared" si="17"/>
        <v>233</v>
      </c>
      <c r="BE27" s="770">
        <v>11505</v>
      </c>
      <c r="BF27" s="638">
        <f t="shared" si="17"/>
        <v>151</v>
      </c>
      <c r="BG27" s="771">
        <v>22715898</v>
      </c>
      <c r="BH27" s="638">
        <f t="shared" si="27"/>
        <v>6576.5</v>
      </c>
      <c r="BI27" s="638">
        <f t="shared" si="28"/>
        <v>13561.85</v>
      </c>
      <c r="BJ27" s="638">
        <f t="shared" si="29"/>
        <v>26290.86</v>
      </c>
      <c r="BK27" s="771">
        <v>1393004</v>
      </c>
      <c r="BL27" s="638">
        <f t="shared" si="18"/>
        <v>32</v>
      </c>
      <c r="BM27" s="770">
        <v>3648915</v>
      </c>
      <c r="BN27" s="638">
        <f t="shared" si="19"/>
        <v>1512</v>
      </c>
      <c r="BO27" s="770">
        <v>388231</v>
      </c>
      <c r="BP27" s="638">
        <f t="shared" si="20"/>
        <v>118</v>
      </c>
      <c r="BQ27" s="770">
        <v>481148</v>
      </c>
      <c r="BR27" s="638">
        <f t="shared" si="41"/>
        <v>252</v>
      </c>
      <c r="BS27" s="694">
        <f t="shared" si="30"/>
        <v>33282.86</v>
      </c>
      <c r="BT27" s="695">
        <v>187</v>
      </c>
      <c r="BU27" s="694">
        <f t="shared" si="48"/>
        <v>177.98320855614975</v>
      </c>
      <c r="BV27" s="695"/>
      <c r="BW27" s="694" t="e">
        <f t="shared" si="32"/>
        <v>#DIV/0!</v>
      </c>
      <c r="BX27" s="694">
        <f t="shared" si="35"/>
        <v>38504.788999999997</v>
      </c>
      <c r="BY27" s="694">
        <f t="shared" si="49"/>
        <v>205.9079625668449</v>
      </c>
      <c r="BZ27" s="696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1">
        <v>22708262</v>
      </c>
      <c r="J28" s="638">
        <f t="shared" si="51"/>
        <v>4017</v>
      </c>
      <c r="K28" s="638">
        <f t="shared" si="0"/>
        <v>3252</v>
      </c>
      <c r="L28" s="771">
        <v>203592</v>
      </c>
      <c r="M28" s="638">
        <f t="shared" si="1"/>
        <v>1721</v>
      </c>
      <c r="N28" s="770">
        <v>216673</v>
      </c>
      <c r="O28" s="638">
        <f t="shared" si="2"/>
        <v>1531</v>
      </c>
      <c r="P28" s="771">
        <v>217480</v>
      </c>
      <c r="Q28" s="638">
        <f t="shared" si="46"/>
        <v>510</v>
      </c>
      <c r="R28" s="770">
        <v>151371</v>
      </c>
      <c r="S28" s="638">
        <f t="shared" si="50"/>
        <v>106</v>
      </c>
      <c r="T28" s="770">
        <v>274958</v>
      </c>
      <c r="U28" s="638">
        <f t="shared" si="5"/>
        <v>207</v>
      </c>
      <c r="V28" s="770">
        <v>862785</v>
      </c>
      <c r="W28" s="638">
        <f t="shared" si="6"/>
        <v>2759.71</v>
      </c>
      <c r="X28" s="771">
        <v>510105</v>
      </c>
      <c r="Y28" s="638">
        <f t="shared" si="7"/>
        <v>3733.8500000000004</v>
      </c>
      <c r="Z28" s="771">
        <v>719624</v>
      </c>
      <c r="AA28" s="638">
        <f t="shared" si="8"/>
        <v>0</v>
      </c>
      <c r="AB28" s="770">
        <v>333210</v>
      </c>
      <c r="AC28" s="638">
        <f t="shared" si="34"/>
        <v>0</v>
      </c>
      <c r="AD28" s="770">
        <v>366022</v>
      </c>
      <c r="AE28" s="638">
        <f t="shared" si="23"/>
        <v>11.13</v>
      </c>
      <c r="AF28" s="770">
        <v>786196</v>
      </c>
      <c r="AG28" s="638">
        <f t="shared" si="42"/>
        <v>1660.49</v>
      </c>
      <c r="AH28" s="770">
        <v>692111</v>
      </c>
      <c r="AI28" s="638">
        <f t="shared" si="10"/>
        <v>1185.0800000000002</v>
      </c>
      <c r="AJ28" s="770">
        <v>437697</v>
      </c>
      <c r="AK28" s="638">
        <f t="shared" si="45"/>
        <v>3966.52</v>
      </c>
      <c r="AL28" s="770">
        <v>425331</v>
      </c>
      <c r="AM28" s="638">
        <f t="shared" si="12"/>
        <v>168.54000000000002</v>
      </c>
      <c r="AN28" s="638">
        <f t="shared" si="24"/>
        <v>13485.320000000002</v>
      </c>
      <c r="AO28" s="770">
        <v>7358540</v>
      </c>
      <c r="AP28" s="638">
        <f t="shared" si="25"/>
        <v>188.88750000000002</v>
      </c>
      <c r="AQ28" s="770">
        <v>617602</v>
      </c>
      <c r="AR28" s="638">
        <f>IF(AQ28&gt;=AQ27,AQ28-AQ27,0)</f>
        <v>203</v>
      </c>
      <c r="AS28" s="771">
        <v>931072</v>
      </c>
      <c r="AT28" s="638">
        <f t="shared" si="26"/>
        <v>145</v>
      </c>
      <c r="AU28" s="770">
        <v>800057</v>
      </c>
      <c r="AV28" s="638">
        <f t="shared" si="14"/>
        <v>47</v>
      </c>
      <c r="AW28" s="770">
        <v>2426726</v>
      </c>
      <c r="AX28" s="638">
        <f t="shared" si="15"/>
        <v>918</v>
      </c>
      <c r="AY28" s="770">
        <v>216714</v>
      </c>
      <c r="AZ28" s="638">
        <f t="shared" si="47"/>
        <v>58</v>
      </c>
      <c r="BA28" s="770">
        <v>18223513</v>
      </c>
      <c r="BB28" s="638">
        <f t="shared" si="17"/>
        <v>4119</v>
      </c>
      <c r="BC28" s="770">
        <v>516484</v>
      </c>
      <c r="BD28" s="638">
        <f t="shared" si="17"/>
        <v>146</v>
      </c>
      <c r="BE28" s="770">
        <v>11613</v>
      </c>
      <c r="BF28" s="638">
        <f t="shared" si="17"/>
        <v>108</v>
      </c>
      <c r="BG28" s="770">
        <v>22721428</v>
      </c>
      <c r="BH28" s="638">
        <f t="shared" si="27"/>
        <v>5143.0999999999995</v>
      </c>
      <c r="BI28" s="638">
        <f t="shared" si="28"/>
        <v>11075.987499999999</v>
      </c>
      <c r="BJ28" s="638">
        <f t="shared" si="29"/>
        <v>24561.307500000003</v>
      </c>
      <c r="BK28" s="771">
        <v>1393051</v>
      </c>
      <c r="BL28" s="638">
        <f t="shared" si="18"/>
        <v>47</v>
      </c>
      <c r="BM28" s="770">
        <v>3649534</v>
      </c>
      <c r="BN28" s="638">
        <f t="shared" si="19"/>
        <v>619</v>
      </c>
      <c r="BO28" s="770">
        <v>388274</v>
      </c>
      <c r="BP28" s="638">
        <f t="shared" si="20"/>
        <v>43</v>
      </c>
      <c r="BQ28" s="770">
        <v>481237</v>
      </c>
      <c r="BR28" s="638">
        <f t="shared" si="41"/>
        <v>89</v>
      </c>
      <c r="BS28" s="694">
        <f t="shared" si="30"/>
        <v>29088.307499999999</v>
      </c>
      <c r="BT28" s="695">
        <v>194</v>
      </c>
      <c r="BU28" s="694">
        <f t="shared" si="48"/>
        <v>149.9397293814433</v>
      </c>
      <c r="BV28" s="695"/>
      <c r="BW28" s="694" t="e">
        <f t="shared" si="32"/>
        <v>#DIV/0!</v>
      </c>
      <c r="BX28" s="694">
        <f t="shared" si="35"/>
        <v>33681.053624999993</v>
      </c>
      <c r="BY28" s="694">
        <f t="shared" si="49"/>
        <v>173.61367847938141</v>
      </c>
      <c r="BZ28" s="696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1">
        <v>22714457</v>
      </c>
      <c r="J29" s="638">
        <f t="shared" si="51"/>
        <v>6195</v>
      </c>
      <c r="K29" s="638">
        <f t="shared" si="0"/>
        <v>2695</v>
      </c>
      <c r="L29" s="770">
        <v>205003</v>
      </c>
      <c r="M29" s="638">
        <f t="shared" si="1"/>
        <v>1411</v>
      </c>
      <c r="N29" s="770">
        <v>217957</v>
      </c>
      <c r="O29" s="638">
        <f t="shared" si="2"/>
        <v>1284</v>
      </c>
      <c r="P29" s="771">
        <v>217498</v>
      </c>
      <c r="Q29" s="638">
        <f t="shared" si="46"/>
        <v>540</v>
      </c>
      <c r="R29" s="770">
        <v>151508</v>
      </c>
      <c r="S29" s="638">
        <f>IF(R29&gt;=R28,R29-R28,0)</f>
        <v>137</v>
      </c>
      <c r="T29" s="770">
        <v>275233</v>
      </c>
      <c r="U29" s="638">
        <f t="shared" ref="U29:U36" si="52">IF(T29&gt;=T28,T29-T28,0)</f>
        <v>275</v>
      </c>
      <c r="V29" s="770">
        <v>867561</v>
      </c>
      <c r="W29" s="638">
        <f t="shared" si="6"/>
        <v>2531.2800000000002</v>
      </c>
      <c r="X29" s="771">
        <v>515977</v>
      </c>
      <c r="Y29" s="638">
        <f t="shared" si="7"/>
        <v>3112.1600000000003</v>
      </c>
      <c r="Z29" s="774">
        <v>719624</v>
      </c>
      <c r="AA29" s="638">
        <f t="shared" si="8"/>
        <v>0</v>
      </c>
      <c r="AB29" s="770">
        <v>333210</v>
      </c>
      <c r="AC29" s="638">
        <f t="shared" si="34"/>
        <v>0</v>
      </c>
      <c r="AD29" s="770">
        <v>367051</v>
      </c>
      <c r="AE29" s="638">
        <f t="shared" si="23"/>
        <v>545.37</v>
      </c>
      <c r="AF29" s="770">
        <v>787825</v>
      </c>
      <c r="AG29" s="638">
        <f t="shared" si="42"/>
        <v>863.37</v>
      </c>
      <c r="AH29" s="770">
        <v>693868</v>
      </c>
      <c r="AI29" s="638">
        <f t="shared" si="10"/>
        <v>931.21</v>
      </c>
      <c r="AJ29" s="770">
        <v>443718</v>
      </c>
      <c r="AK29" s="638">
        <f t="shared" si="45"/>
        <v>3191.13</v>
      </c>
      <c r="AL29" s="770">
        <v>425588</v>
      </c>
      <c r="AM29" s="638">
        <f t="shared" si="12"/>
        <v>136.21</v>
      </c>
      <c r="AN29" s="638">
        <f t="shared" si="24"/>
        <v>11310.73</v>
      </c>
      <c r="AO29" s="709">
        <v>7360260</v>
      </c>
      <c r="AP29" s="638">
        <f t="shared" si="25"/>
        <v>193.5</v>
      </c>
      <c r="AQ29" s="770">
        <v>617847</v>
      </c>
      <c r="AR29" s="638">
        <f t="shared" si="13"/>
        <v>245</v>
      </c>
      <c r="AS29" s="770">
        <v>931233</v>
      </c>
      <c r="AT29" s="638">
        <f t="shared" si="26"/>
        <v>161</v>
      </c>
      <c r="AU29" s="770">
        <v>800106</v>
      </c>
      <c r="AV29" s="638">
        <f t="shared" si="14"/>
        <v>49</v>
      </c>
      <c r="AW29" s="770">
        <v>2427487</v>
      </c>
      <c r="AX29" s="638">
        <f t="shared" si="15"/>
        <v>761</v>
      </c>
      <c r="AY29" s="770">
        <v>216791</v>
      </c>
      <c r="AZ29" s="638">
        <f t="shared" si="47"/>
        <v>77</v>
      </c>
      <c r="BA29" s="770">
        <v>18228641</v>
      </c>
      <c r="BB29" s="638">
        <f t="shared" si="17"/>
        <v>5128</v>
      </c>
      <c r="BC29" s="770">
        <v>516662</v>
      </c>
      <c r="BD29" s="638">
        <f t="shared" si="17"/>
        <v>178</v>
      </c>
      <c r="BE29" s="770">
        <v>11703</v>
      </c>
      <c r="BF29" s="638">
        <f t="shared" si="17"/>
        <v>90</v>
      </c>
      <c r="BG29" s="771">
        <v>22728014</v>
      </c>
      <c r="BH29" s="638">
        <f t="shared" si="27"/>
        <v>5706.8499999999995</v>
      </c>
      <c r="BI29" s="638">
        <f t="shared" si="28"/>
        <v>12589.349999999999</v>
      </c>
      <c r="BJ29" s="638">
        <f t="shared" si="29"/>
        <v>23900.079999999998</v>
      </c>
      <c r="BK29" s="771">
        <v>1393109</v>
      </c>
      <c r="BL29" s="638">
        <f t="shared" si="18"/>
        <v>58</v>
      </c>
      <c r="BM29" s="770">
        <v>3650938</v>
      </c>
      <c r="BN29" s="638">
        <f t="shared" si="19"/>
        <v>1404</v>
      </c>
      <c r="BO29" s="770">
        <v>388377</v>
      </c>
      <c r="BP29" s="638">
        <f t="shared" si="20"/>
        <v>103</v>
      </c>
      <c r="BQ29" s="771">
        <v>481438</v>
      </c>
      <c r="BR29" s="638">
        <f t="shared" si="41"/>
        <v>201</v>
      </c>
      <c r="BS29" s="694">
        <f t="shared" si="30"/>
        <v>30635.079999999998</v>
      </c>
      <c r="BT29" s="695">
        <v>191</v>
      </c>
      <c r="BU29" s="694">
        <f t="shared" si="48"/>
        <v>160.39308900523559</v>
      </c>
      <c r="BV29" s="695"/>
      <c r="BW29" s="694" t="e">
        <f t="shared" si="32"/>
        <v>#DIV/0!</v>
      </c>
      <c r="BX29" s="694">
        <f t="shared" si="35"/>
        <v>35473.341999999997</v>
      </c>
      <c r="BY29" s="694">
        <f t="shared" si="49"/>
        <v>185.72430366492145</v>
      </c>
      <c r="BZ29" s="696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1">
        <v>22719440</v>
      </c>
      <c r="J30" s="638">
        <f t="shared" si="51"/>
        <v>4983</v>
      </c>
      <c r="K30" s="638">
        <f t="shared" si="0"/>
        <v>3182</v>
      </c>
      <c r="L30" s="771">
        <v>206724</v>
      </c>
      <c r="M30" s="638">
        <f t="shared" si="1"/>
        <v>1721</v>
      </c>
      <c r="N30" s="771">
        <v>219418</v>
      </c>
      <c r="O30" s="638">
        <f t="shared" si="2"/>
        <v>1461</v>
      </c>
      <c r="P30" s="771">
        <v>217520</v>
      </c>
      <c r="Q30" s="638">
        <f t="shared" si="46"/>
        <v>660</v>
      </c>
      <c r="R30" s="770">
        <v>151646</v>
      </c>
      <c r="S30" s="638">
        <f>IF(R30&gt;=R29,R30-R29,0)</f>
        <v>138</v>
      </c>
      <c r="T30" s="770">
        <v>275504</v>
      </c>
      <c r="U30" s="638">
        <f t="shared" si="52"/>
        <v>271</v>
      </c>
      <c r="V30" s="770">
        <v>872697</v>
      </c>
      <c r="W30" s="638">
        <f t="shared" si="6"/>
        <v>2722.08</v>
      </c>
      <c r="X30" s="771">
        <v>523278</v>
      </c>
      <c r="Y30" s="638">
        <f t="shared" si="7"/>
        <v>3869.53</v>
      </c>
      <c r="Z30" s="770">
        <v>719624</v>
      </c>
      <c r="AA30" s="638">
        <f t="shared" si="8"/>
        <v>0</v>
      </c>
      <c r="AB30" s="770">
        <v>333210</v>
      </c>
      <c r="AC30" s="638">
        <f t="shared" si="34"/>
        <v>0</v>
      </c>
      <c r="AD30" s="770">
        <v>367073</v>
      </c>
      <c r="AE30" s="638">
        <f t="shared" si="23"/>
        <v>11.66</v>
      </c>
      <c r="AF30" s="770">
        <v>790664</v>
      </c>
      <c r="AG30" s="638">
        <f t="shared" si="42"/>
        <v>1504.67</v>
      </c>
      <c r="AH30" s="770">
        <v>696034</v>
      </c>
      <c r="AI30" s="638">
        <f t="shared" si="10"/>
        <v>1147.98</v>
      </c>
      <c r="AJ30" s="770">
        <v>450669</v>
      </c>
      <c r="AK30" s="638">
        <f t="shared" si="45"/>
        <v>3684.03</v>
      </c>
      <c r="AL30" s="770">
        <v>425899</v>
      </c>
      <c r="AM30" s="638">
        <f t="shared" si="12"/>
        <v>164.83</v>
      </c>
      <c r="AN30" s="638">
        <f t="shared" si="24"/>
        <v>13104.78</v>
      </c>
      <c r="AO30" s="770">
        <v>7361910</v>
      </c>
      <c r="AP30" s="638">
        <f t="shared" si="25"/>
        <v>185.625</v>
      </c>
      <c r="AQ30" s="771">
        <v>618161</v>
      </c>
      <c r="AR30" s="638">
        <f t="shared" si="13"/>
        <v>314</v>
      </c>
      <c r="AS30" s="770">
        <v>931390</v>
      </c>
      <c r="AT30" s="638">
        <f t="shared" si="26"/>
        <v>157</v>
      </c>
      <c r="AU30" s="770">
        <v>800139</v>
      </c>
      <c r="AV30" s="638">
        <f t="shared" si="14"/>
        <v>33</v>
      </c>
      <c r="AW30" s="770">
        <v>2428369</v>
      </c>
      <c r="AX30" s="638">
        <f t="shared" si="15"/>
        <v>882</v>
      </c>
      <c r="AY30" s="770">
        <v>216867</v>
      </c>
      <c r="AZ30" s="638">
        <f t="shared" si="47"/>
        <v>76</v>
      </c>
      <c r="BA30" s="770">
        <v>18233097</v>
      </c>
      <c r="BB30" s="638">
        <f t="shared" si="17"/>
        <v>4456</v>
      </c>
      <c r="BC30" s="770">
        <v>516851</v>
      </c>
      <c r="BD30" s="638">
        <f t="shared" si="17"/>
        <v>189</v>
      </c>
      <c r="BE30" s="770">
        <v>11810</v>
      </c>
      <c r="BF30" s="638">
        <f t="shared" si="17"/>
        <v>107</v>
      </c>
      <c r="BG30" s="771">
        <v>22734600</v>
      </c>
      <c r="BH30" s="638">
        <f t="shared" si="27"/>
        <v>5710.25</v>
      </c>
      <c r="BI30" s="638">
        <f t="shared" si="28"/>
        <v>12109.875</v>
      </c>
      <c r="BJ30" s="638">
        <f t="shared" si="29"/>
        <v>25214.654999999999</v>
      </c>
      <c r="BK30" s="771">
        <v>1393168</v>
      </c>
      <c r="BL30" s="638">
        <f t="shared" si="18"/>
        <v>59</v>
      </c>
      <c r="BM30" s="770">
        <v>3652334</v>
      </c>
      <c r="BN30" s="638">
        <f t="shared" si="19"/>
        <v>1396</v>
      </c>
      <c r="BO30" s="770">
        <v>388476</v>
      </c>
      <c r="BP30" s="638">
        <f t="shared" si="20"/>
        <v>99</v>
      </c>
      <c r="BQ30" s="770">
        <v>481641</v>
      </c>
      <c r="BR30" s="638">
        <f t="shared" si="41"/>
        <v>203</v>
      </c>
      <c r="BS30" s="694">
        <f t="shared" si="30"/>
        <v>30857.654999999999</v>
      </c>
      <c r="BT30" s="695">
        <v>194</v>
      </c>
      <c r="BU30" s="694">
        <f t="shared" si="48"/>
        <v>159.06007731958763</v>
      </c>
      <c r="BV30" s="695"/>
      <c r="BW30" s="694" t="e">
        <f t="shared" si="32"/>
        <v>#DIV/0!</v>
      </c>
      <c r="BX30" s="694">
        <f t="shared" si="35"/>
        <v>35783.303249999997</v>
      </c>
      <c r="BY30" s="694">
        <f t="shared" si="49"/>
        <v>184.45001675257731</v>
      </c>
      <c r="BZ30" s="696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1">
        <v>22724578</v>
      </c>
      <c r="J31" s="638">
        <f t="shared" si="51"/>
        <v>5138</v>
      </c>
      <c r="K31" s="638">
        <f t="shared" si="0"/>
        <v>3989</v>
      </c>
      <c r="L31" s="771">
        <v>208930</v>
      </c>
      <c r="M31" s="638">
        <f t="shared" si="1"/>
        <v>2206</v>
      </c>
      <c r="N31" s="771">
        <v>221201</v>
      </c>
      <c r="O31" s="638">
        <f t="shared" si="2"/>
        <v>1783</v>
      </c>
      <c r="P31" s="771">
        <v>217542</v>
      </c>
      <c r="Q31" s="638">
        <f t="shared" si="46"/>
        <v>660</v>
      </c>
      <c r="R31" s="770">
        <v>151796</v>
      </c>
      <c r="S31" s="638">
        <f t="shared" si="50"/>
        <v>150</v>
      </c>
      <c r="T31" s="770">
        <v>275795</v>
      </c>
      <c r="U31" s="638">
        <f t="shared" si="52"/>
        <v>291</v>
      </c>
      <c r="V31" s="770">
        <v>879232</v>
      </c>
      <c r="W31" s="638">
        <f t="shared" si="6"/>
        <v>3463.55</v>
      </c>
      <c r="X31" s="771">
        <v>530788</v>
      </c>
      <c r="Y31" s="638">
        <f t="shared" si="7"/>
        <v>3980.3</v>
      </c>
      <c r="Z31" s="770">
        <v>719624</v>
      </c>
      <c r="AA31" s="638">
        <f t="shared" si="8"/>
        <v>0</v>
      </c>
      <c r="AB31" s="770">
        <v>333210</v>
      </c>
      <c r="AC31" s="638">
        <f t="shared" si="34"/>
        <v>0</v>
      </c>
      <c r="AD31" s="770">
        <v>367096</v>
      </c>
      <c r="AE31" s="638">
        <f t="shared" si="23"/>
        <v>12.190000000000001</v>
      </c>
      <c r="AF31" s="770">
        <v>793829</v>
      </c>
      <c r="AG31" s="638">
        <f t="shared" si="42"/>
        <v>1677.45</v>
      </c>
      <c r="AH31" s="771">
        <v>698882</v>
      </c>
      <c r="AI31" s="638">
        <f t="shared" si="10"/>
        <v>1509.44</v>
      </c>
      <c r="AJ31" s="771">
        <v>460054</v>
      </c>
      <c r="AK31" s="638">
        <f t="shared" si="45"/>
        <v>4974.05</v>
      </c>
      <c r="AL31" s="770">
        <v>426303</v>
      </c>
      <c r="AM31" s="638">
        <f t="shared" si="12"/>
        <v>214.12</v>
      </c>
      <c r="AN31" s="638">
        <f t="shared" si="24"/>
        <v>15831.1</v>
      </c>
      <c r="AO31" s="770">
        <v>7363653</v>
      </c>
      <c r="AP31" s="638">
        <f t="shared" si="25"/>
        <v>196.08750000000001</v>
      </c>
      <c r="AQ31" s="770">
        <v>618342</v>
      </c>
      <c r="AR31" s="638">
        <f t="shared" si="13"/>
        <v>181</v>
      </c>
      <c r="AS31" s="770">
        <v>931542</v>
      </c>
      <c r="AT31" s="638">
        <f t="shared" si="26"/>
        <v>152</v>
      </c>
      <c r="AU31" s="770">
        <v>800180</v>
      </c>
      <c r="AV31" s="638">
        <f t="shared" si="14"/>
        <v>41</v>
      </c>
      <c r="AW31" s="770">
        <v>2429469</v>
      </c>
      <c r="AX31" s="638">
        <f t="shared" si="15"/>
        <v>1100</v>
      </c>
      <c r="AY31" s="771">
        <v>216950</v>
      </c>
      <c r="AZ31" s="638">
        <f t="shared" si="47"/>
        <v>83</v>
      </c>
      <c r="BA31" s="770">
        <v>18237563</v>
      </c>
      <c r="BB31" s="638">
        <f t="shared" si="17"/>
        <v>4466</v>
      </c>
      <c r="BC31" s="770">
        <v>517034</v>
      </c>
      <c r="BD31" s="638">
        <f t="shared" si="17"/>
        <v>183</v>
      </c>
      <c r="BE31" s="770">
        <v>11902</v>
      </c>
      <c r="BF31" s="638">
        <f t="shared" si="17"/>
        <v>92</v>
      </c>
      <c r="BG31" s="770">
        <v>22741331</v>
      </c>
      <c r="BH31" s="638">
        <f t="shared" si="27"/>
        <v>5842.9</v>
      </c>
      <c r="BI31" s="638">
        <f t="shared" si="28"/>
        <v>12336.987499999999</v>
      </c>
      <c r="BJ31" s="638">
        <f t="shared" si="29"/>
        <v>28168.087500000001</v>
      </c>
      <c r="BK31" s="771">
        <v>1393227</v>
      </c>
      <c r="BL31" s="638">
        <f t="shared" si="18"/>
        <v>59</v>
      </c>
      <c r="BM31" s="771">
        <v>3653752</v>
      </c>
      <c r="BN31" s="638">
        <f t="shared" si="19"/>
        <v>1418</v>
      </c>
      <c r="BO31" s="709">
        <v>388576</v>
      </c>
      <c r="BP31" s="638">
        <f t="shared" si="20"/>
        <v>100</v>
      </c>
      <c r="BQ31" s="770">
        <v>481846</v>
      </c>
      <c r="BR31" s="638">
        <f t="shared" si="41"/>
        <v>205</v>
      </c>
      <c r="BS31" s="694">
        <f t="shared" si="30"/>
        <v>33966.087499999994</v>
      </c>
      <c r="BT31" s="695">
        <v>191</v>
      </c>
      <c r="BU31" s="694">
        <f t="shared" si="48"/>
        <v>177.83291884816751</v>
      </c>
      <c r="BV31" s="695"/>
      <c r="BW31" s="694" t="e">
        <f t="shared" si="32"/>
        <v>#DIV/0!</v>
      </c>
      <c r="BX31" s="694">
        <f t="shared" si="35"/>
        <v>39358.000624999993</v>
      </c>
      <c r="BY31" s="694">
        <f t="shared" si="49"/>
        <v>206.06283049738215</v>
      </c>
      <c r="BZ31" s="696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1">
        <v>22730323</v>
      </c>
      <c r="J32" s="638">
        <f t="shared" si="22"/>
        <v>5745</v>
      </c>
      <c r="K32" s="638">
        <f t="shared" si="0"/>
        <v>3153</v>
      </c>
      <c r="L32" s="771">
        <v>210604</v>
      </c>
      <c r="M32" s="638">
        <f t="shared" si="1"/>
        <v>1674</v>
      </c>
      <c r="N32" s="771">
        <v>222680</v>
      </c>
      <c r="O32" s="638">
        <f t="shared" si="2"/>
        <v>1479</v>
      </c>
      <c r="P32" s="771">
        <v>217561</v>
      </c>
      <c r="Q32" s="638">
        <f t="shared" si="46"/>
        <v>570</v>
      </c>
      <c r="R32" s="770">
        <v>151928</v>
      </c>
      <c r="S32" s="638">
        <f t="shared" si="50"/>
        <v>132</v>
      </c>
      <c r="T32" s="770">
        <v>276090</v>
      </c>
      <c r="U32" s="638">
        <f t="shared" si="52"/>
        <v>295</v>
      </c>
      <c r="V32" s="770">
        <v>884443</v>
      </c>
      <c r="W32" s="638">
        <f t="shared" si="6"/>
        <v>2761.83</v>
      </c>
      <c r="X32" s="771">
        <v>537819</v>
      </c>
      <c r="Y32" s="638">
        <f t="shared" si="7"/>
        <v>3726.4300000000003</v>
      </c>
      <c r="Z32" s="771">
        <v>720392</v>
      </c>
      <c r="AA32" s="638">
        <f t="shared" si="8"/>
        <v>407.04</v>
      </c>
      <c r="AB32" s="770">
        <v>333248</v>
      </c>
      <c r="AC32" s="638">
        <f t="shared" si="34"/>
        <v>20.14</v>
      </c>
      <c r="AD32" s="770">
        <v>367761</v>
      </c>
      <c r="AE32" s="638">
        <f t="shared" si="23"/>
        <v>352.45000000000005</v>
      </c>
      <c r="AF32" s="770">
        <v>797032</v>
      </c>
      <c r="AG32" s="638">
        <f t="shared" si="42"/>
        <v>1697.5900000000001</v>
      </c>
      <c r="AH32" s="770">
        <v>700947</v>
      </c>
      <c r="AI32" s="638">
        <f t="shared" si="10"/>
        <v>1094.45</v>
      </c>
      <c r="AJ32" s="770">
        <v>467574</v>
      </c>
      <c r="AK32" s="638">
        <f t="shared" si="45"/>
        <v>3985.6000000000004</v>
      </c>
      <c r="AL32" s="770">
        <v>426601</v>
      </c>
      <c r="AM32" s="638">
        <f t="shared" si="12"/>
        <v>157.94</v>
      </c>
      <c r="AN32" s="638">
        <f t="shared" si="24"/>
        <v>14203.470000000001</v>
      </c>
      <c r="AO32" s="770">
        <v>7365427</v>
      </c>
      <c r="AP32" s="638">
        <f t="shared" si="25"/>
        <v>199.57500000000002</v>
      </c>
      <c r="AQ32" s="771">
        <v>618606</v>
      </c>
      <c r="AR32" s="638">
        <f t="shared" si="13"/>
        <v>264</v>
      </c>
      <c r="AS32" s="770">
        <v>931715</v>
      </c>
      <c r="AT32" s="638">
        <f t="shared" si="26"/>
        <v>173</v>
      </c>
      <c r="AU32" s="770">
        <v>800237</v>
      </c>
      <c r="AV32" s="638">
        <f t="shared" si="14"/>
        <v>57</v>
      </c>
      <c r="AW32" s="770">
        <v>2430277</v>
      </c>
      <c r="AX32" s="638">
        <f t="shared" si="15"/>
        <v>808</v>
      </c>
      <c r="AY32" s="771">
        <v>217023</v>
      </c>
      <c r="AZ32" s="638">
        <f t="shared" si="47"/>
        <v>73</v>
      </c>
      <c r="BA32" s="770">
        <v>18242942</v>
      </c>
      <c r="BB32" s="638">
        <f t="shared" si="17"/>
        <v>5379</v>
      </c>
      <c r="BC32" s="770">
        <v>517231</v>
      </c>
      <c r="BD32" s="638">
        <f t="shared" si="17"/>
        <v>197</v>
      </c>
      <c r="BE32" s="770">
        <v>11997</v>
      </c>
      <c r="BF32" s="638">
        <f t="shared" si="17"/>
        <v>95</v>
      </c>
      <c r="BG32" s="771">
        <v>22748399</v>
      </c>
      <c r="BH32" s="638">
        <f t="shared" si="27"/>
        <v>6144.45</v>
      </c>
      <c r="BI32" s="638">
        <f t="shared" si="28"/>
        <v>13390.025</v>
      </c>
      <c r="BJ32" s="638">
        <f t="shared" si="29"/>
        <v>27593.495000000003</v>
      </c>
      <c r="BK32" s="771">
        <v>1393233</v>
      </c>
      <c r="BL32" s="638">
        <f t="shared" si="18"/>
        <v>6</v>
      </c>
      <c r="BM32" s="771">
        <v>3655207</v>
      </c>
      <c r="BN32" s="638">
        <f t="shared" si="19"/>
        <v>1455</v>
      </c>
      <c r="BO32" s="709">
        <v>388680</v>
      </c>
      <c r="BP32" s="638">
        <f t="shared" si="20"/>
        <v>104</v>
      </c>
      <c r="BQ32" s="770">
        <v>482068</v>
      </c>
      <c r="BR32" s="638">
        <f t="shared" si="41"/>
        <v>222</v>
      </c>
      <c r="BS32" s="694">
        <f t="shared" si="30"/>
        <v>33908.495000000003</v>
      </c>
      <c r="BT32" s="695">
        <v>191</v>
      </c>
      <c r="BU32" s="694">
        <f t="shared" si="48"/>
        <v>177.531387434555</v>
      </c>
      <c r="BV32" s="697"/>
      <c r="BW32" s="694" t="e">
        <f t="shared" si="32"/>
        <v>#DIV/0!</v>
      </c>
      <c r="BX32" s="694">
        <f t="shared" si="35"/>
        <v>39251.269249999998</v>
      </c>
      <c r="BY32" s="694">
        <f t="shared" si="49"/>
        <v>205.50402748691099</v>
      </c>
      <c r="BZ32" s="696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1">
        <v>22736722</v>
      </c>
      <c r="J33" s="638">
        <f t="shared" si="22"/>
        <v>6399</v>
      </c>
      <c r="K33" s="638">
        <f t="shared" si="0"/>
        <v>3598</v>
      </c>
      <c r="L33" s="771">
        <v>212508</v>
      </c>
      <c r="M33" s="638">
        <f t="shared" si="1"/>
        <v>1904</v>
      </c>
      <c r="N33" s="771">
        <v>224374</v>
      </c>
      <c r="O33" s="638">
        <f t="shared" si="2"/>
        <v>1694</v>
      </c>
      <c r="P33" s="771">
        <v>217579</v>
      </c>
      <c r="Q33" s="638">
        <f t="shared" si="46"/>
        <v>540</v>
      </c>
      <c r="R33" s="770">
        <v>152090</v>
      </c>
      <c r="S33" s="638">
        <f t="shared" si="50"/>
        <v>162</v>
      </c>
      <c r="T33" s="770">
        <v>276382</v>
      </c>
      <c r="U33" s="638">
        <f t="shared" si="52"/>
        <v>292</v>
      </c>
      <c r="V33" s="770">
        <v>890893</v>
      </c>
      <c r="W33" s="638">
        <f t="shared" si="6"/>
        <v>3418.5</v>
      </c>
      <c r="X33" s="771">
        <v>541963</v>
      </c>
      <c r="Y33" s="638">
        <f t="shared" si="7"/>
        <v>2196.3200000000002</v>
      </c>
      <c r="Z33" s="771">
        <v>726454</v>
      </c>
      <c r="AA33" s="638">
        <f t="shared" si="8"/>
        <v>3212.86</v>
      </c>
      <c r="AB33" s="770">
        <v>333301</v>
      </c>
      <c r="AC33" s="638">
        <f t="shared" si="34"/>
        <v>28.09</v>
      </c>
      <c r="AD33" s="770">
        <v>369562</v>
      </c>
      <c r="AE33" s="638">
        <f t="shared" si="23"/>
        <v>954.53000000000009</v>
      </c>
      <c r="AF33" s="770">
        <v>799252</v>
      </c>
      <c r="AG33" s="638">
        <f t="shared" si="42"/>
        <v>1176.6000000000001</v>
      </c>
      <c r="AH33" s="770">
        <v>703319</v>
      </c>
      <c r="AI33" s="638">
        <f t="shared" si="10"/>
        <v>1257.1600000000001</v>
      </c>
      <c r="AJ33" s="771">
        <v>476624</v>
      </c>
      <c r="AK33" s="638">
        <f t="shared" si="45"/>
        <v>4796.5</v>
      </c>
      <c r="AL33" s="770">
        <v>426946</v>
      </c>
      <c r="AM33" s="638">
        <f t="shared" si="12"/>
        <v>182.85000000000002</v>
      </c>
      <c r="AN33" s="638">
        <f t="shared" si="24"/>
        <v>17223.41</v>
      </c>
      <c r="AO33" s="770">
        <v>7367241</v>
      </c>
      <c r="AP33" s="638">
        <f t="shared" si="25"/>
        <v>204.07500000000002</v>
      </c>
      <c r="AQ33" s="770">
        <v>618896</v>
      </c>
      <c r="AR33" s="638">
        <f t="shared" si="13"/>
        <v>290</v>
      </c>
      <c r="AS33" s="770">
        <v>931879</v>
      </c>
      <c r="AT33" s="638">
        <f t="shared" si="26"/>
        <v>164</v>
      </c>
      <c r="AU33" s="770">
        <v>800306</v>
      </c>
      <c r="AV33" s="638">
        <f t="shared" si="14"/>
        <v>69</v>
      </c>
      <c r="AW33" s="771">
        <v>2431207</v>
      </c>
      <c r="AX33" s="638">
        <f t="shared" si="15"/>
        <v>930</v>
      </c>
      <c r="AY33" s="771">
        <v>217082</v>
      </c>
      <c r="AZ33" s="638">
        <f t="shared" si="47"/>
        <v>59</v>
      </c>
      <c r="BA33" s="770">
        <v>18247560</v>
      </c>
      <c r="BB33" s="638">
        <f t="shared" si="17"/>
        <v>4618</v>
      </c>
      <c r="BC33" s="770">
        <v>517446</v>
      </c>
      <c r="BD33" s="638">
        <f t="shared" si="17"/>
        <v>215</v>
      </c>
      <c r="BE33" s="770">
        <v>12025</v>
      </c>
      <c r="BF33" s="638">
        <f t="shared" si="17"/>
        <v>28</v>
      </c>
      <c r="BG33" s="771">
        <v>22756055</v>
      </c>
      <c r="BH33" s="638">
        <f t="shared" si="27"/>
        <v>6651.0999999999995</v>
      </c>
      <c r="BI33" s="638">
        <f t="shared" si="28"/>
        <v>13228.174999999999</v>
      </c>
      <c r="BJ33" s="638">
        <f t="shared" si="29"/>
        <v>30451.584999999999</v>
      </c>
      <c r="BK33" s="771">
        <v>1393301</v>
      </c>
      <c r="BL33" s="638">
        <f t="shared" si="18"/>
        <v>68</v>
      </c>
      <c r="BM33" s="770">
        <v>3656796</v>
      </c>
      <c r="BN33" s="638">
        <f t="shared" si="19"/>
        <v>1589</v>
      </c>
      <c r="BO33" s="770">
        <v>388793</v>
      </c>
      <c r="BP33" s="638">
        <f t="shared" si="20"/>
        <v>113</v>
      </c>
      <c r="BQ33" s="770">
        <v>482307</v>
      </c>
      <c r="BR33" s="638">
        <f t="shared" si="41"/>
        <v>239</v>
      </c>
      <c r="BS33" s="694">
        <f t="shared" si="30"/>
        <v>37390.584999999999</v>
      </c>
      <c r="BT33" s="695">
        <v>176</v>
      </c>
      <c r="BU33" s="694">
        <f t="shared" si="48"/>
        <v>212.44650568181817</v>
      </c>
      <c r="BV33" s="695"/>
      <c r="BW33" s="694" t="e">
        <f t="shared" si="32"/>
        <v>#DIV/0!</v>
      </c>
      <c r="BX33" s="694">
        <f t="shared" si="35"/>
        <v>43242.172749999998</v>
      </c>
      <c r="BY33" s="694">
        <f t="shared" si="49"/>
        <v>245.69416335227271</v>
      </c>
      <c r="BZ33" s="696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1">
        <v>22740953</v>
      </c>
      <c r="J34" s="638">
        <f t="shared" si="22"/>
        <v>4231</v>
      </c>
      <c r="K34" s="638">
        <f t="shared" si="0"/>
        <v>3411</v>
      </c>
      <c r="L34" s="771">
        <v>214335</v>
      </c>
      <c r="M34" s="638">
        <f t="shared" si="1"/>
        <v>1827</v>
      </c>
      <c r="N34" s="770">
        <v>225958</v>
      </c>
      <c r="O34" s="638">
        <f t="shared" si="2"/>
        <v>1584</v>
      </c>
      <c r="P34" s="771">
        <v>217600</v>
      </c>
      <c r="Q34" s="638">
        <f t="shared" si="46"/>
        <v>630</v>
      </c>
      <c r="R34" s="770">
        <v>152231</v>
      </c>
      <c r="S34" s="638">
        <f t="shared" si="50"/>
        <v>141</v>
      </c>
      <c r="T34" s="770">
        <v>276659</v>
      </c>
      <c r="U34" s="638">
        <f t="shared" si="52"/>
        <v>277</v>
      </c>
      <c r="V34" s="770">
        <v>897545</v>
      </c>
      <c r="W34" s="638">
        <f t="shared" si="6"/>
        <v>3525.5600000000004</v>
      </c>
      <c r="X34" s="771">
        <v>544245</v>
      </c>
      <c r="Y34" s="638">
        <f t="shared" si="7"/>
        <v>1209.46</v>
      </c>
      <c r="Z34" s="771">
        <v>733869</v>
      </c>
      <c r="AA34" s="638">
        <f t="shared" si="8"/>
        <v>3929.9500000000003</v>
      </c>
      <c r="AB34" s="770">
        <v>333388</v>
      </c>
      <c r="AC34" s="638">
        <f t="shared" si="34"/>
        <v>46.11</v>
      </c>
      <c r="AD34" s="770">
        <v>372732</v>
      </c>
      <c r="AE34" s="638">
        <f t="shared" si="23"/>
        <v>1680.1000000000001</v>
      </c>
      <c r="AF34" s="770">
        <v>799601</v>
      </c>
      <c r="AG34" s="638">
        <f t="shared" si="42"/>
        <v>184.97</v>
      </c>
      <c r="AH34" s="770">
        <v>705589</v>
      </c>
      <c r="AI34" s="638">
        <f t="shared" si="10"/>
        <v>1203.1000000000001</v>
      </c>
      <c r="AJ34" s="770">
        <v>484943</v>
      </c>
      <c r="AK34" s="638">
        <f t="shared" si="45"/>
        <v>4409.0700000000006</v>
      </c>
      <c r="AL34" s="770">
        <v>427268</v>
      </c>
      <c r="AM34" s="638">
        <f t="shared" si="12"/>
        <v>170.66</v>
      </c>
      <c r="AN34" s="638">
        <f t="shared" si="24"/>
        <v>16358.980000000003</v>
      </c>
      <c r="AO34" s="770">
        <v>7368920</v>
      </c>
      <c r="AP34" s="638">
        <f t="shared" si="25"/>
        <v>188.88750000000002</v>
      </c>
      <c r="AQ34" s="770">
        <v>619138</v>
      </c>
      <c r="AR34" s="638">
        <f t="shared" si="13"/>
        <v>242</v>
      </c>
      <c r="AS34" s="770">
        <v>932042</v>
      </c>
      <c r="AT34" s="638">
        <f t="shared" si="26"/>
        <v>163</v>
      </c>
      <c r="AU34" s="770">
        <v>800366</v>
      </c>
      <c r="AV34" s="638">
        <f t="shared" si="14"/>
        <v>60</v>
      </c>
      <c r="AW34" s="770">
        <v>2432136</v>
      </c>
      <c r="AX34" s="638">
        <f t="shared" si="15"/>
        <v>929</v>
      </c>
      <c r="AY34" s="771">
        <v>217100</v>
      </c>
      <c r="AZ34" s="638">
        <f t="shared" si="47"/>
        <v>18</v>
      </c>
      <c r="BA34" s="771">
        <v>18253134</v>
      </c>
      <c r="BB34" s="638">
        <f t="shared" si="17"/>
        <v>5574</v>
      </c>
      <c r="BC34" s="770">
        <v>517636</v>
      </c>
      <c r="BD34" s="638">
        <f t="shared" si="17"/>
        <v>190</v>
      </c>
      <c r="BE34" s="770">
        <v>12136</v>
      </c>
      <c r="BF34" s="638">
        <f t="shared" si="17"/>
        <v>111</v>
      </c>
      <c r="BG34" s="771">
        <v>22762869</v>
      </c>
      <c r="BH34" s="638">
        <f t="shared" si="27"/>
        <v>5867.1</v>
      </c>
      <c r="BI34" s="638">
        <f t="shared" si="28"/>
        <v>13342.987499999999</v>
      </c>
      <c r="BJ34" s="638">
        <f t="shared" si="29"/>
        <v>29701.967500000002</v>
      </c>
      <c r="BK34" s="771">
        <v>1393360</v>
      </c>
      <c r="BL34" s="638">
        <f t="shared" si="18"/>
        <v>59</v>
      </c>
      <c r="BM34" s="770">
        <v>3658346</v>
      </c>
      <c r="BN34" s="638">
        <f t="shared" si="19"/>
        <v>1550</v>
      </c>
      <c r="BO34" s="770">
        <v>388885</v>
      </c>
      <c r="BP34" s="638">
        <f t="shared" si="20"/>
        <v>92</v>
      </c>
      <c r="BQ34" s="771">
        <v>482515</v>
      </c>
      <c r="BR34" s="638">
        <f t="shared" si="41"/>
        <v>208</v>
      </c>
      <c r="BS34" s="694">
        <f t="shared" si="30"/>
        <v>34562.967499999999</v>
      </c>
      <c r="BT34" s="695">
        <v>175</v>
      </c>
      <c r="BU34" s="694">
        <f t="shared" si="48"/>
        <v>197.50267142857143</v>
      </c>
      <c r="BV34" s="695"/>
      <c r="BW34" s="694" t="e">
        <f t="shared" si="32"/>
        <v>#DIV/0!</v>
      </c>
      <c r="BX34" s="694">
        <f t="shared" si="35"/>
        <v>40030.912624999997</v>
      </c>
      <c r="BY34" s="694">
        <f t="shared" si="49"/>
        <v>228.74807214285713</v>
      </c>
      <c r="BZ34" s="696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1">
        <v>22746674</v>
      </c>
      <c r="J35" s="638">
        <f t="shared" si="22"/>
        <v>5721</v>
      </c>
      <c r="K35" s="638">
        <f t="shared" si="0"/>
        <v>3425</v>
      </c>
      <c r="L35" s="771">
        <v>216116</v>
      </c>
      <c r="M35" s="638">
        <f t="shared" si="1"/>
        <v>1781</v>
      </c>
      <c r="N35" s="771">
        <v>227602</v>
      </c>
      <c r="O35" s="638">
        <f t="shared" si="2"/>
        <v>1644</v>
      </c>
      <c r="P35" s="771">
        <v>217618</v>
      </c>
      <c r="Q35" s="638">
        <f t="shared" si="46"/>
        <v>540</v>
      </c>
      <c r="R35" s="770">
        <v>152378</v>
      </c>
      <c r="S35" s="638">
        <f t="shared" si="50"/>
        <v>147</v>
      </c>
      <c r="T35" s="770">
        <v>276952</v>
      </c>
      <c r="U35" s="638">
        <f t="shared" si="52"/>
        <v>293</v>
      </c>
      <c r="V35" s="770">
        <v>904062</v>
      </c>
      <c r="W35" s="638">
        <f t="shared" si="6"/>
        <v>3454.01</v>
      </c>
      <c r="X35" s="771">
        <v>547768</v>
      </c>
      <c r="Y35" s="638">
        <f t="shared" si="7"/>
        <v>1867.19</v>
      </c>
      <c r="Z35" s="771">
        <v>740382</v>
      </c>
      <c r="AA35" s="638">
        <f t="shared" si="8"/>
        <v>3451.8900000000003</v>
      </c>
      <c r="AB35" s="770">
        <v>333452</v>
      </c>
      <c r="AC35" s="638">
        <f t="shared" si="34"/>
        <v>33.92</v>
      </c>
      <c r="AD35" s="770">
        <v>374989</v>
      </c>
      <c r="AE35" s="638">
        <f t="shared" si="23"/>
        <v>1196.21</v>
      </c>
      <c r="AF35" s="770">
        <v>802312</v>
      </c>
      <c r="AG35" s="638">
        <f t="shared" si="42"/>
        <v>1436.8300000000002</v>
      </c>
      <c r="AH35" s="770">
        <v>708025</v>
      </c>
      <c r="AI35" s="638">
        <f t="shared" si="10"/>
        <v>1291.0800000000002</v>
      </c>
      <c r="AJ35" s="770">
        <v>493081</v>
      </c>
      <c r="AK35" s="638">
        <f t="shared" si="45"/>
        <v>4313.1400000000003</v>
      </c>
      <c r="AL35" s="770">
        <v>427617</v>
      </c>
      <c r="AM35" s="638">
        <f t="shared" si="12"/>
        <v>184.97</v>
      </c>
      <c r="AN35" s="638">
        <f t="shared" si="24"/>
        <v>17229.240000000002</v>
      </c>
      <c r="AO35" s="709">
        <v>7370675</v>
      </c>
      <c r="AP35" s="638">
        <f t="shared" si="25"/>
        <v>197.4375</v>
      </c>
      <c r="AQ35" s="771">
        <v>619381</v>
      </c>
      <c r="AR35" s="638">
        <f t="shared" si="13"/>
        <v>243</v>
      </c>
      <c r="AS35" s="770">
        <v>932202</v>
      </c>
      <c r="AT35" s="638">
        <f>IF(AS35&gt;=AS34,AS35-AS34,0)</f>
        <v>160</v>
      </c>
      <c r="AU35" s="770">
        <v>800419</v>
      </c>
      <c r="AV35" s="638">
        <f t="shared" si="14"/>
        <v>53</v>
      </c>
      <c r="AW35" s="770">
        <v>2433073</v>
      </c>
      <c r="AX35" s="638">
        <f t="shared" si="15"/>
        <v>937</v>
      </c>
      <c r="AY35" s="771">
        <v>217166</v>
      </c>
      <c r="AZ35" s="638">
        <f t="shared" si="47"/>
        <v>66</v>
      </c>
      <c r="BA35" s="770">
        <v>18257880</v>
      </c>
      <c r="BB35" s="638">
        <f t="shared" si="17"/>
        <v>4746</v>
      </c>
      <c r="BC35" s="770">
        <v>517828</v>
      </c>
      <c r="BD35" s="638">
        <f t="shared" si="17"/>
        <v>192</v>
      </c>
      <c r="BE35" s="770">
        <v>12219</v>
      </c>
      <c r="BF35" s="638">
        <f t="shared" si="17"/>
        <v>83</v>
      </c>
      <c r="BG35" s="771">
        <v>22769782</v>
      </c>
      <c r="BH35" s="638">
        <f t="shared" si="27"/>
        <v>5949.9500000000007</v>
      </c>
      <c r="BI35" s="638">
        <f t="shared" si="28"/>
        <v>12627.387500000001</v>
      </c>
      <c r="BJ35" s="638">
        <f t="shared" si="29"/>
        <v>29856.627500000002</v>
      </c>
      <c r="BK35" s="771">
        <v>1393419</v>
      </c>
      <c r="BL35" s="638">
        <f t="shared" si="18"/>
        <v>59</v>
      </c>
      <c r="BM35" s="771">
        <v>3659868</v>
      </c>
      <c r="BN35" s="638">
        <f t="shared" si="19"/>
        <v>1522</v>
      </c>
      <c r="BO35" s="770">
        <v>388992</v>
      </c>
      <c r="BP35" s="638">
        <f t="shared" si="20"/>
        <v>107</v>
      </c>
      <c r="BQ35" s="770">
        <v>482745</v>
      </c>
      <c r="BR35" s="638">
        <f t="shared" si="41"/>
        <v>230</v>
      </c>
      <c r="BS35" s="694">
        <f t="shared" si="30"/>
        <v>36117.627500000002</v>
      </c>
      <c r="BT35" s="695">
        <v>175</v>
      </c>
      <c r="BU35" s="694">
        <f t="shared" si="48"/>
        <v>206.38644285714287</v>
      </c>
      <c r="BV35" s="695"/>
      <c r="BW35" s="694" t="e">
        <f t="shared" si="32"/>
        <v>#DIV/0!</v>
      </c>
      <c r="BX35" s="694">
        <f t="shared" si="35"/>
        <v>41778.271625000001</v>
      </c>
      <c r="BY35" s="694">
        <f t="shared" si="49"/>
        <v>238.73298071428573</v>
      </c>
      <c r="BZ35" s="696" t="e">
        <f t="shared" si="36"/>
        <v>#DIV/0!</v>
      </c>
    </row>
    <row r="36" spans="1:78" ht="33.75" customHeight="1">
      <c r="A36" s="111">
        <v>31</v>
      </c>
      <c r="B36" s="720"/>
      <c r="C36" s="721"/>
      <c r="D36" s="721"/>
      <c r="E36" s="721"/>
      <c r="F36" s="721"/>
      <c r="G36" s="721"/>
      <c r="H36" s="722"/>
      <c r="I36" s="771">
        <v>22746674</v>
      </c>
      <c r="J36" s="638">
        <f t="shared" si="22"/>
        <v>0</v>
      </c>
      <c r="K36" s="638">
        <f t="shared" si="0"/>
        <v>0</v>
      </c>
      <c r="L36" s="771">
        <v>216116</v>
      </c>
      <c r="M36" s="638">
        <f t="shared" si="1"/>
        <v>0</v>
      </c>
      <c r="N36" s="771">
        <v>227602</v>
      </c>
      <c r="O36" s="638">
        <f t="shared" si="2"/>
        <v>0</v>
      </c>
      <c r="P36" s="771">
        <v>217618</v>
      </c>
      <c r="Q36" s="638">
        <f t="shared" si="46"/>
        <v>0</v>
      </c>
      <c r="R36" s="770">
        <v>152378</v>
      </c>
      <c r="S36" s="638">
        <f t="shared" si="50"/>
        <v>0</v>
      </c>
      <c r="T36" s="770">
        <v>276952</v>
      </c>
      <c r="U36" s="638">
        <f t="shared" si="52"/>
        <v>0</v>
      </c>
      <c r="V36" s="770">
        <v>904062</v>
      </c>
      <c r="W36" s="638">
        <f t="shared" si="6"/>
        <v>0</v>
      </c>
      <c r="X36" s="771">
        <v>547768</v>
      </c>
      <c r="Y36" s="638">
        <f t="shared" si="7"/>
        <v>0</v>
      </c>
      <c r="Z36" s="771">
        <v>740382</v>
      </c>
      <c r="AA36" s="638">
        <f t="shared" si="8"/>
        <v>0</v>
      </c>
      <c r="AB36" s="770">
        <v>333452</v>
      </c>
      <c r="AC36" s="638">
        <f t="shared" si="34"/>
        <v>0</v>
      </c>
      <c r="AD36" s="770">
        <v>374989</v>
      </c>
      <c r="AE36" s="638">
        <f t="shared" si="23"/>
        <v>0</v>
      </c>
      <c r="AF36" s="770">
        <v>802312</v>
      </c>
      <c r="AG36" s="638">
        <f t="shared" si="42"/>
        <v>0</v>
      </c>
      <c r="AH36" s="770">
        <v>708025</v>
      </c>
      <c r="AI36" s="638">
        <f t="shared" si="10"/>
        <v>0</v>
      </c>
      <c r="AJ36" s="770">
        <v>493081</v>
      </c>
      <c r="AK36" s="638">
        <f t="shared" si="45"/>
        <v>0</v>
      </c>
      <c r="AL36" s="770">
        <v>427617</v>
      </c>
      <c r="AM36" s="638">
        <f t="shared" si="12"/>
        <v>0</v>
      </c>
      <c r="AN36" s="638">
        <f t="shared" si="24"/>
        <v>0</v>
      </c>
      <c r="AO36" s="709">
        <v>7370675</v>
      </c>
      <c r="AP36" s="638">
        <f t="shared" si="25"/>
        <v>0</v>
      </c>
      <c r="AQ36" s="771">
        <v>619381</v>
      </c>
      <c r="AR36" s="638">
        <f t="shared" si="13"/>
        <v>0</v>
      </c>
      <c r="AS36" s="770">
        <v>932202</v>
      </c>
      <c r="AT36" s="638">
        <f>IF(AS36&gt;=AS35,AS36-AS35,0)</f>
        <v>0</v>
      </c>
      <c r="AU36" s="770">
        <v>800419</v>
      </c>
      <c r="AV36" s="638">
        <f t="shared" si="14"/>
        <v>0</v>
      </c>
      <c r="AW36" s="770">
        <v>2433073</v>
      </c>
      <c r="AX36" s="638">
        <f t="shared" si="15"/>
        <v>0</v>
      </c>
      <c r="AY36" s="771">
        <v>217166</v>
      </c>
      <c r="AZ36" s="638">
        <f t="shared" si="47"/>
        <v>0</v>
      </c>
      <c r="BA36" s="770">
        <v>18257880</v>
      </c>
      <c r="BB36" s="638">
        <f t="shared" si="17"/>
        <v>0</v>
      </c>
      <c r="BC36" s="770">
        <v>517828</v>
      </c>
      <c r="BD36" s="638">
        <f t="shared" si="17"/>
        <v>0</v>
      </c>
      <c r="BE36" s="770">
        <v>12219</v>
      </c>
      <c r="BF36" s="638">
        <f t="shared" si="17"/>
        <v>0</v>
      </c>
      <c r="BG36" s="771">
        <v>22769782</v>
      </c>
      <c r="BH36" s="638">
        <f t="shared" si="27"/>
        <v>0</v>
      </c>
      <c r="BI36" s="638">
        <f t="shared" si="28"/>
        <v>0</v>
      </c>
      <c r="BJ36" s="638">
        <f t="shared" si="29"/>
        <v>0</v>
      </c>
      <c r="BK36" s="771">
        <v>1393419</v>
      </c>
      <c r="BL36" s="638">
        <f t="shared" si="18"/>
        <v>0</v>
      </c>
      <c r="BM36" s="771">
        <v>3659868</v>
      </c>
      <c r="BN36" s="638">
        <f t="shared" si="19"/>
        <v>0</v>
      </c>
      <c r="BO36" s="770">
        <v>388992</v>
      </c>
      <c r="BP36" s="638">
        <f t="shared" si="20"/>
        <v>0</v>
      </c>
      <c r="BQ36" s="770">
        <v>482745</v>
      </c>
      <c r="BR36" s="638">
        <f t="shared" si="41"/>
        <v>0</v>
      </c>
      <c r="BS36" s="694">
        <f t="shared" si="30"/>
        <v>0</v>
      </c>
      <c r="BT36" s="695"/>
      <c r="BU36" s="694">
        <f t="shared" si="48"/>
        <v>0</v>
      </c>
      <c r="BV36" s="723"/>
      <c r="BW36" s="694">
        <f t="shared" si="32"/>
        <v>0</v>
      </c>
      <c r="BX36" s="694">
        <f t="shared" si="35"/>
        <v>0</v>
      </c>
      <c r="BY36" s="694">
        <f t="shared" si="49"/>
        <v>0</v>
      </c>
      <c r="BZ36" s="696">
        <f t="shared" si="36"/>
        <v>0</v>
      </c>
    </row>
    <row r="37" spans="1:78" s="3" customFormat="1" ht="36.75" customHeight="1" thickBot="1">
      <c r="A37" s="541" t="s">
        <v>122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8"/>
      <c r="J37" s="714">
        <f>SUM(J6:J36)</f>
        <v>156388</v>
      </c>
      <c r="K37" s="714">
        <f>SUM(K6:K36)</f>
        <v>97984</v>
      </c>
      <c r="L37" s="698"/>
      <c r="M37" s="552">
        <f>SUM(M6:M36)</f>
        <v>51741</v>
      </c>
      <c r="N37" s="698"/>
      <c r="O37" s="552">
        <f>SUM(O6:O36)</f>
        <v>46243</v>
      </c>
      <c r="P37" s="698"/>
      <c r="Q37" s="552">
        <f>SUM(Q6:Q36)</f>
        <v>16500</v>
      </c>
      <c r="R37" s="718"/>
      <c r="S37" s="552">
        <f>SUM(S6:S36)</f>
        <v>4230</v>
      </c>
      <c r="T37" s="718"/>
      <c r="U37" s="552">
        <f>SUM(U6:U36)</f>
        <v>8141</v>
      </c>
      <c r="V37" s="698"/>
      <c r="W37" s="552">
        <f>SUM(W6:W36)</f>
        <v>86795.98</v>
      </c>
      <c r="X37" s="770"/>
      <c r="Y37" s="552">
        <f>SUM(Y5:Y36)</f>
        <v>59929.220000000016</v>
      </c>
      <c r="Z37" s="715"/>
      <c r="AA37" s="714">
        <f>SUM(AA6:AA36)</f>
        <v>26323.510000000002</v>
      </c>
      <c r="AB37" s="698"/>
      <c r="AC37" s="552">
        <f>SUM(AC6:AC36)</f>
        <v>4555.3500000000004</v>
      </c>
      <c r="AD37" s="786"/>
      <c r="AE37" s="714">
        <f>SUM(AE6:AE36)</f>
        <v>5406.0000000000009</v>
      </c>
      <c r="AF37" s="786"/>
      <c r="AG37" s="714">
        <f>SUM(AG6:AG36)</f>
        <v>30073.79</v>
      </c>
      <c r="AH37" s="699"/>
      <c r="AI37" s="552">
        <f>SUM(AI6:AI36)</f>
        <v>31709.900000000005</v>
      </c>
      <c r="AJ37" s="699"/>
      <c r="AK37" s="552">
        <f>SUM(AK6:AK36)</f>
        <v>114308.81000000004</v>
      </c>
      <c r="AL37" s="714"/>
      <c r="AM37" s="552">
        <f>SUM(AM6:AM36)</f>
        <v>5119.2700000000013</v>
      </c>
      <c r="AN37" s="714">
        <f>SUM(AN6:AN36)</f>
        <v>364221.8299999999</v>
      </c>
      <c r="AO37" s="775"/>
      <c r="AP37" s="552">
        <f>SUM(AP6:AP36)</f>
        <v>6262.7624999999998</v>
      </c>
      <c r="AQ37" s="699"/>
      <c r="AR37" s="552">
        <f>SUM(AR6:AR36)</f>
        <v>8190</v>
      </c>
      <c r="AS37" s="699"/>
      <c r="AT37" s="552">
        <f>SUM(AT6:AT36)</f>
        <v>4661</v>
      </c>
      <c r="AU37" s="699"/>
      <c r="AV37" s="552">
        <f>SUM(AV6:AV36)</f>
        <v>1505</v>
      </c>
      <c r="AW37" s="699"/>
      <c r="AX37" s="552">
        <f>SUM(AX6:AX36)</f>
        <v>26283</v>
      </c>
      <c r="AY37" s="699"/>
      <c r="AZ37" s="552">
        <f>SUM(AZ6:AZ36)</f>
        <v>2114</v>
      </c>
      <c r="BA37" s="699"/>
      <c r="BB37" s="552">
        <f>SUM(BB6:BB36)</f>
        <v>138282</v>
      </c>
      <c r="BC37" s="786"/>
      <c r="BD37" s="552">
        <f>SUM(BD6:BD36)</f>
        <v>5186</v>
      </c>
      <c r="BE37" s="786"/>
      <c r="BF37" s="552">
        <f>SUM(BF6:BF36)</f>
        <v>2956</v>
      </c>
      <c r="BG37" s="699"/>
      <c r="BH37" s="714">
        <f>SUM(BH6:BH36)</f>
        <v>175658.70000000004</v>
      </c>
      <c r="BI37" s="714">
        <f>SUM(BI6:BI36)</f>
        <v>371098.46249999997</v>
      </c>
      <c r="BJ37" s="714">
        <f>SUM(BJ6:BJ36)</f>
        <v>735320.29249999998</v>
      </c>
      <c r="BK37" s="698"/>
      <c r="BL37" s="552">
        <f>SUM(BL6:BL36)</f>
        <v>4142</v>
      </c>
      <c r="BM37" s="699"/>
      <c r="BN37" s="552">
        <f>SUM(BN6:BN36)</f>
        <v>41382</v>
      </c>
      <c r="BO37" s="699"/>
      <c r="BP37" s="552">
        <f>SUM(BP6:BP36)</f>
        <v>3152</v>
      </c>
      <c r="BQ37" s="699"/>
      <c r="BR37" s="552">
        <f>SUM(BR6:BR36)</f>
        <v>6279</v>
      </c>
      <c r="BS37" s="552">
        <f>SUM(BS6:BS36)</f>
        <v>908208.29249999998</v>
      </c>
      <c r="BT37" s="700">
        <f>SUM(BT6:BT36)</f>
        <v>4814</v>
      </c>
      <c r="BU37" s="701">
        <f>IF(BS37&gt;0,BS37/BT37,0)</f>
        <v>188.65980317823016</v>
      </c>
      <c r="BV37" s="700">
        <f>SUM(BV6:BV35)</f>
        <v>0</v>
      </c>
      <c r="BW37" s="701" t="e">
        <f>IF(BS37&gt;0,BS37/BV37,0)</f>
        <v>#DIV/0!</v>
      </c>
      <c r="BX37" s="544">
        <f>SUM(BX6:BX35)</f>
        <v>1051864.5363749999</v>
      </c>
      <c r="BY37" s="701">
        <f>IF(BX37&gt;0,BX37/BT37,0)</f>
        <v>218.50115005712505</v>
      </c>
      <c r="BZ37" s="702" t="e">
        <f>IF(BX37&gt;0,BX37/BV37,0)</f>
        <v>#DIV/0!</v>
      </c>
    </row>
    <row r="38" spans="1:78" s="3" customFormat="1" ht="36.75" customHeight="1" thickBot="1">
      <c r="A38" s="545" t="s">
        <v>123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3"/>
      <c r="J38" s="703">
        <f>J37/J39</f>
        <v>5212.9333333333334</v>
      </c>
      <c r="K38" s="703">
        <f>K37/J39</f>
        <v>3266.1333333333332</v>
      </c>
      <c r="L38" s="704"/>
      <c r="M38" s="703">
        <f>M37/J39</f>
        <v>1724.7</v>
      </c>
      <c r="N38" s="704"/>
      <c r="O38" s="703">
        <f>O37/J39</f>
        <v>1541.4333333333334</v>
      </c>
      <c r="P38" s="704"/>
      <c r="Q38" s="703">
        <f>Q37/J39</f>
        <v>550</v>
      </c>
      <c r="R38" s="719"/>
      <c r="S38" s="703">
        <f>S37/J39</f>
        <v>141</v>
      </c>
      <c r="T38" s="719"/>
      <c r="U38" s="703">
        <f>U37/J39</f>
        <v>271.36666666666667</v>
      </c>
      <c r="V38" s="704"/>
      <c r="W38" s="703">
        <f>W37/J39</f>
        <v>2893.199333333333</v>
      </c>
      <c r="X38" s="704"/>
      <c r="Y38" s="703">
        <f>Y37/J39</f>
        <v>1997.6406666666671</v>
      </c>
      <c r="Z38" s="705"/>
      <c r="AA38" s="703">
        <f>AA37/J39</f>
        <v>877.45033333333345</v>
      </c>
      <c r="AB38" s="704"/>
      <c r="AC38" s="703">
        <f>AC37/J39</f>
        <v>151.845</v>
      </c>
      <c r="AD38" s="785"/>
      <c r="AE38" s="703">
        <f>AE37/J39</f>
        <v>180.20000000000002</v>
      </c>
      <c r="AF38" s="785"/>
      <c r="AG38" s="703">
        <f>AG37/J39</f>
        <v>1002.4596666666667</v>
      </c>
      <c r="AH38" s="706"/>
      <c r="AI38" s="703">
        <f>AI37/J39</f>
        <v>1056.9966666666669</v>
      </c>
      <c r="AJ38" s="706"/>
      <c r="AK38" s="703">
        <f>AK37/J39</f>
        <v>3810.2936666666678</v>
      </c>
      <c r="AL38" s="703"/>
      <c r="AM38" s="703">
        <f>AM37/J39</f>
        <v>170.64233333333337</v>
      </c>
      <c r="AN38" s="703">
        <f>AN37/J39</f>
        <v>12140.727666666664</v>
      </c>
      <c r="AO38" s="706"/>
      <c r="AP38" s="703">
        <f>AP37/J39</f>
        <v>208.75874999999999</v>
      </c>
      <c r="AQ38" s="706"/>
      <c r="AR38" s="703">
        <f>AR37/J39</f>
        <v>273</v>
      </c>
      <c r="AS38" s="706"/>
      <c r="AT38" s="703">
        <f>AT37/J39</f>
        <v>155.36666666666667</v>
      </c>
      <c r="AU38" s="706"/>
      <c r="AV38" s="703">
        <f>AV37/J39</f>
        <v>50.166666666666664</v>
      </c>
      <c r="AW38" s="706"/>
      <c r="AX38" s="703">
        <f>AX37/J39</f>
        <v>876.1</v>
      </c>
      <c r="AY38" s="706"/>
      <c r="AZ38" s="703">
        <f>AZ37/J39</f>
        <v>70.466666666666669</v>
      </c>
      <c r="BA38" s="706"/>
      <c r="BB38" s="703">
        <f>BB37/J39</f>
        <v>4609.3999999999996</v>
      </c>
      <c r="BC38" s="785"/>
      <c r="BD38" s="703">
        <f>BD37/J39</f>
        <v>172.86666666666667</v>
      </c>
      <c r="BE38" s="785"/>
      <c r="BF38" s="703">
        <f>BF37/J39</f>
        <v>98.533333333333331</v>
      </c>
      <c r="BG38" s="706"/>
      <c r="BH38" s="703">
        <f>BH37/J39</f>
        <v>5855.2900000000018</v>
      </c>
      <c r="BI38" s="703"/>
      <c r="BJ38" s="703"/>
      <c r="BK38" s="704"/>
      <c r="BL38" s="703">
        <f>BL37/J39</f>
        <v>138.06666666666666</v>
      </c>
      <c r="BM38" s="706"/>
      <c r="BN38" s="703">
        <f>BN37/J39</f>
        <v>1379.4</v>
      </c>
      <c r="BO38" s="706"/>
      <c r="BP38" s="703">
        <f>BP37/J39</f>
        <v>105.06666666666666</v>
      </c>
      <c r="BQ38" s="706"/>
      <c r="BR38" s="703">
        <f>BR37/J39</f>
        <v>209.3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7" t="e">
        <f>BX38/BV38</f>
        <v>#DIV/0!</v>
      </c>
    </row>
    <row r="39" spans="1:78" s="205" customFormat="1" ht="30.75" customHeight="1" thickBot="1">
      <c r="A39" s="556" t="s">
        <v>124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125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6"/>
      <c r="B45" s="816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4" activePane="bottomRight" state="frozen"/>
      <selection pane="topRight" activeCell="D22" sqref="D22"/>
      <selection pane="bottomLeft" activeCell="D22" sqref="D22"/>
      <selection pane="bottomRight" activeCell="F36" sqref="F36:F3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36" t="str">
        <f>Elect!A1</f>
        <v>June</v>
      </c>
      <c r="E1" s="810" t="s">
        <v>47</v>
      </c>
      <c r="H1" s="564" t="s">
        <v>126</v>
      </c>
      <c r="I1" s="669"/>
      <c r="J1" s="565">
        <v>3.9</v>
      </c>
    </row>
    <row r="2" spans="1:13" ht="23.25" customHeight="1">
      <c r="A2" s="836"/>
      <c r="C2" s="27"/>
      <c r="E2" s="810"/>
      <c r="G2" s="27"/>
      <c r="H2" s="27"/>
      <c r="I2" s="27"/>
      <c r="K2" s="529"/>
      <c r="L2" s="528"/>
      <c r="M2" s="385"/>
    </row>
    <row r="3" spans="1:13" ht="21" customHeight="1" thickBot="1">
      <c r="A3" s="837"/>
      <c r="B3" s="27"/>
      <c r="C3" s="27"/>
      <c r="D3" s="27"/>
      <c r="E3" s="811"/>
      <c r="F3" s="27"/>
      <c r="G3" s="27"/>
      <c r="H3" s="27"/>
      <c r="I3" s="27"/>
    </row>
    <row r="4" spans="1:13" ht="53.25" customHeight="1">
      <c r="A4" s="662" t="s">
        <v>127</v>
      </c>
      <c r="B4" s="838" t="s">
        <v>128</v>
      </c>
      <c r="C4" s="839"/>
      <c r="D4" s="838" t="s">
        <v>129</v>
      </c>
      <c r="E4" s="839"/>
      <c r="F4" s="838" t="s">
        <v>130</v>
      </c>
      <c r="G4" s="839"/>
      <c r="H4" s="534" t="s">
        <v>131</v>
      </c>
      <c r="I4" s="534" t="s">
        <v>132</v>
      </c>
      <c r="J4" s="533" t="s">
        <v>133</v>
      </c>
      <c r="K4" s="736" t="s">
        <v>134</v>
      </c>
      <c r="L4" s="23"/>
      <c r="M4" s="23"/>
    </row>
    <row r="5" spans="1:13" ht="26.25" customHeight="1" thickBot="1">
      <c r="A5" s="663"/>
      <c r="B5" s="137" t="s">
        <v>135</v>
      </c>
      <c r="C5" s="138" t="s">
        <v>136</v>
      </c>
      <c r="D5" s="137" t="s">
        <v>135</v>
      </c>
      <c r="E5" s="138" t="s">
        <v>136</v>
      </c>
      <c r="F5" s="137" t="s">
        <v>135</v>
      </c>
      <c r="G5" s="138" t="s">
        <v>136</v>
      </c>
      <c r="H5" s="25" t="s">
        <v>137</v>
      </c>
      <c r="I5" s="25" t="s">
        <v>137</v>
      </c>
      <c r="J5" s="25" t="s">
        <v>137</v>
      </c>
      <c r="K5" s="138" t="s">
        <v>136</v>
      </c>
      <c r="L5" s="23"/>
      <c r="M5" s="23"/>
    </row>
    <row r="6" spans="1:13" s="3" customFormat="1" ht="41.25" customHeight="1">
      <c r="A6" s="664"/>
      <c r="B6" s="765">
        <v>8085324</v>
      </c>
      <c r="C6" s="638">
        <f t="shared" ref="C6:C14" si="0">IF(B6&gt;=B5,B6-B5,0)*1.06</f>
        <v>0</v>
      </c>
      <c r="D6" s="772">
        <v>363833</v>
      </c>
      <c r="E6" s="638">
        <f>IF(D6&gt;=D5,D6-D5,0)*0.7</f>
        <v>0</v>
      </c>
      <c r="F6" s="772">
        <v>578465</v>
      </c>
      <c r="G6" s="638">
        <f t="shared" ref="G6:G17" si="1">IF(F6&gt;=F5,F6-F5,0)</f>
        <v>0</v>
      </c>
      <c r="H6" s="429"/>
      <c r="I6" s="429"/>
      <c r="J6" s="429"/>
      <c r="K6" s="694">
        <f>C6+E6</f>
        <v>0</v>
      </c>
    </row>
    <row r="7" spans="1:13" s="3" customFormat="1" ht="41.25" customHeight="1">
      <c r="A7" s="664">
        <v>1</v>
      </c>
      <c r="B7" s="765">
        <v>8086212</v>
      </c>
      <c r="C7" s="638">
        <f t="shared" si="0"/>
        <v>941.28000000000009</v>
      </c>
      <c r="D7" s="772">
        <v>364100</v>
      </c>
      <c r="E7" s="638">
        <f t="shared" ref="E7:E30" si="2">IF(D7&gt;=D6,D7-D6,0)*0.7</f>
        <v>186.89999999999998</v>
      </c>
      <c r="F7" s="772">
        <v>578541</v>
      </c>
      <c r="G7" s="638">
        <f t="shared" si="1"/>
        <v>76</v>
      </c>
      <c r="H7" s="638">
        <f>(E7*0.55)*1.61</f>
        <v>165.49995000000001</v>
      </c>
      <c r="I7" s="638">
        <f>C7*J1</f>
        <v>3670.9920000000002</v>
      </c>
      <c r="J7" s="638">
        <f>G7*J1</f>
        <v>296.39999999999998</v>
      </c>
      <c r="K7" s="694">
        <f t="shared" ref="K7:K37" si="3">C7+E7</f>
        <v>1128.18</v>
      </c>
    </row>
    <row r="8" spans="1:13" s="3" customFormat="1" ht="41.25" customHeight="1">
      <c r="A8" s="664">
        <v>2</v>
      </c>
      <c r="B8" s="765">
        <v>8087221</v>
      </c>
      <c r="C8" s="638">
        <f t="shared" si="0"/>
        <v>1069.54</v>
      </c>
      <c r="D8" s="772">
        <v>364312</v>
      </c>
      <c r="E8" s="638">
        <f t="shared" si="2"/>
        <v>148.39999999999998</v>
      </c>
      <c r="F8" s="772">
        <v>578621</v>
      </c>
      <c r="G8" s="638">
        <f t="shared" si="1"/>
        <v>80</v>
      </c>
      <c r="H8" s="638">
        <f t="shared" ref="H8:H37" si="4">(E8*0.55)*1.61</f>
        <v>131.40819999999999</v>
      </c>
      <c r="I8" s="638">
        <f>C8*J1</f>
        <v>4171.2060000000001</v>
      </c>
      <c r="J8" s="638">
        <f>G8*J1</f>
        <v>312</v>
      </c>
      <c r="K8" s="694">
        <f t="shared" si="3"/>
        <v>1217.94</v>
      </c>
    </row>
    <row r="9" spans="1:13" s="3" customFormat="1" ht="41.25" customHeight="1">
      <c r="A9" s="664">
        <v>3</v>
      </c>
      <c r="B9" s="765">
        <v>8088191</v>
      </c>
      <c r="C9" s="638">
        <f t="shared" si="0"/>
        <v>1028.2</v>
      </c>
      <c r="D9" s="772">
        <v>364514</v>
      </c>
      <c r="E9" s="638">
        <f t="shared" si="2"/>
        <v>141.39999999999998</v>
      </c>
      <c r="F9" s="772">
        <v>578709</v>
      </c>
      <c r="G9" s="638">
        <f t="shared" si="1"/>
        <v>88</v>
      </c>
      <c r="H9" s="638">
        <f>(E9*0.55)*1.61</f>
        <v>125.2097</v>
      </c>
      <c r="I9" s="638">
        <f>C9*J1</f>
        <v>4009.98</v>
      </c>
      <c r="J9" s="638">
        <f>G9*J1</f>
        <v>343.2</v>
      </c>
      <c r="K9" s="694">
        <f>C9+E9</f>
        <v>1169.5999999999999</v>
      </c>
    </row>
    <row r="10" spans="1:13" s="3" customFormat="1" ht="41.25" customHeight="1">
      <c r="A10" s="664">
        <v>4</v>
      </c>
      <c r="B10" s="765">
        <v>8088993</v>
      </c>
      <c r="C10" s="638">
        <f t="shared" si="0"/>
        <v>850.12</v>
      </c>
      <c r="D10" s="772">
        <v>364920</v>
      </c>
      <c r="E10" s="638">
        <f t="shared" si="2"/>
        <v>284.2</v>
      </c>
      <c r="F10" s="772">
        <v>578805</v>
      </c>
      <c r="G10" s="638">
        <f t="shared" si="1"/>
        <v>96</v>
      </c>
      <c r="H10" s="638">
        <f>(E10*0.55)*1.61</f>
        <v>251.65910000000002</v>
      </c>
      <c r="I10" s="638">
        <f>C10*J1</f>
        <v>3315.4679999999998</v>
      </c>
      <c r="J10" s="638">
        <f>G10*J1</f>
        <v>374.4</v>
      </c>
      <c r="K10" s="694">
        <f t="shared" si="3"/>
        <v>1134.32</v>
      </c>
    </row>
    <row r="11" spans="1:13" s="3" customFormat="1" ht="41.25" customHeight="1">
      <c r="A11" s="664">
        <v>5</v>
      </c>
      <c r="B11" s="765">
        <v>8090021</v>
      </c>
      <c r="C11" s="638">
        <f t="shared" si="0"/>
        <v>1089.68</v>
      </c>
      <c r="D11" s="772">
        <v>365347</v>
      </c>
      <c r="E11" s="638">
        <f t="shared" si="2"/>
        <v>298.89999999999998</v>
      </c>
      <c r="F11" s="772">
        <v>578906</v>
      </c>
      <c r="G11" s="638">
        <f t="shared" si="1"/>
        <v>101</v>
      </c>
      <c r="H11" s="638">
        <f t="shared" si="4"/>
        <v>264.67595000000006</v>
      </c>
      <c r="I11" s="638">
        <f>C11*J1</f>
        <v>4249.7520000000004</v>
      </c>
      <c r="J11" s="638">
        <f>G11*J1</f>
        <v>393.9</v>
      </c>
      <c r="K11" s="694">
        <f t="shared" si="3"/>
        <v>1388.58</v>
      </c>
    </row>
    <row r="12" spans="1:13" s="3" customFormat="1" ht="41.25" customHeight="1">
      <c r="A12" s="664">
        <v>6</v>
      </c>
      <c r="B12" s="765">
        <v>8091023</v>
      </c>
      <c r="C12" s="638">
        <f t="shared" si="0"/>
        <v>1062.1200000000001</v>
      </c>
      <c r="D12" s="772">
        <v>365787</v>
      </c>
      <c r="E12" s="638">
        <f t="shared" si="2"/>
        <v>308</v>
      </c>
      <c r="F12" s="772">
        <v>579012</v>
      </c>
      <c r="G12" s="638">
        <f t="shared" si="1"/>
        <v>106</v>
      </c>
      <c r="H12" s="638">
        <f t="shared" si="4"/>
        <v>272.73400000000004</v>
      </c>
      <c r="I12" s="638">
        <f>C12*J1</f>
        <v>4142.268</v>
      </c>
      <c r="J12" s="638">
        <f>G12*J1</f>
        <v>413.4</v>
      </c>
      <c r="K12" s="694">
        <f t="shared" si="3"/>
        <v>1370.1200000000001</v>
      </c>
    </row>
    <row r="13" spans="1:13" s="3" customFormat="1" ht="41.25" customHeight="1">
      <c r="A13" s="664">
        <v>7</v>
      </c>
      <c r="B13" s="765">
        <v>8091901</v>
      </c>
      <c r="C13" s="638">
        <f t="shared" si="0"/>
        <v>930.68000000000006</v>
      </c>
      <c r="D13" s="772">
        <v>366124</v>
      </c>
      <c r="E13" s="638">
        <f t="shared" si="2"/>
        <v>235.89999999999998</v>
      </c>
      <c r="F13" s="772">
        <v>579105</v>
      </c>
      <c r="G13" s="638">
        <f t="shared" si="1"/>
        <v>93</v>
      </c>
      <c r="H13" s="638">
        <f t="shared" si="4"/>
        <v>208.88945000000001</v>
      </c>
      <c r="I13" s="638">
        <f>C13*J1</f>
        <v>3629.652</v>
      </c>
      <c r="J13" s="638">
        <f>G13*J1</f>
        <v>362.7</v>
      </c>
      <c r="K13" s="694">
        <f t="shared" si="3"/>
        <v>1166.58</v>
      </c>
    </row>
    <row r="14" spans="1:13" s="3" customFormat="1" ht="41.25" customHeight="1">
      <c r="A14" s="664">
        <v>8</v>
      </c>
      <c r="B14" s="765">
        <v>8092262</v>
      </c>
      <c r="C14" s="638">
        <f t="shared" si="0"/>
        <v>382.66</v>
      </c>
      <c r="D14" s="772">
        <v>366497</v>
      </c>
      <c r="E14" s="638">
        <f t="shared" si="2"/>
        <v>261.09999999999997</v>
      </c>
      <c r="F14" s="772">
        <v>579196</v>
      </c>
      <c r="G14" s="638">
        <f t="shared" si="1"/>
        <v>91</v>
      </c>
      <c r="H14" s="638">
        <f t="shared" si="4"/>
        <v>231.20405</v>
      </c>
      <c r="I14" s="638">
        <f>C14*J1</f>
        <v>1492.374</v>
      </c>
      <c r="J14" s="638">
        <f>G14*J1</f>
        <v>354.9</v>
      </c>
      <c r="K14" s="694">
        <f t="shared" si="3"/>
        <v>643.76</v>
      </c>
    </row>
    <row r="15" spans="1:13" s="3" customFormat="1" ht="41.25" customHeight="1">
      <c r="A15" s="664">
        <v>9</v>
      </c>
      <c r="B15" s="765">
        <v>8093510</v>
      </c>
      <c r="C15" s="638">
        <f t="shared" ref="C15:C32" si="5">IF(B15&gt;=B14,B15-B14,0)*1.06</f>
        <v>1322.88</v>
      </c>
      <c r="D15" s="772">
        <v>366757</v>
      </c>
      <c r="E15" s="638">
        <f t="shared" si="2"/>
        <v>182</v>
      </c>
      <c r="F15" s="772">
        <v>579214</v>
      </c>
      <c r="G15" s="638">
        <f t="shared" si="1"/>
        <v>18</v>
      </c>
      <c r="H15" s="638">
        <f t="shared" si="4"/>
        <v>161.16100000000003</v>
      </c>
      <c r="I15" s="638">
        <f>C15*J1</f>
        <v>5159.232</v>
      </c>
      <c r="J15" s="638">
        <f>G15*J1</f>
        <v>70.2</v>
      </c>
      <c r="K15" s="694">
        <f t="shared" si="3"/>
        <v>1504.88</v>
      </c>
    </row>
    <row r="16" spans="1:13" s="3" customFormat="1" ht="41.25" customHeight="1">
      <c r="A16" s="664">
        <v>10</v>
      </c>
      <c r="B16" s="765">
        <v>8094000</v>
      </c>
      <c r="C16" s="638">
        <f t="shared" si="5"/>
        <v>519.4</v>
      </c>
      <c r="D16" s="772">
        <v>367192</v>
      </c>
      <c r="E16" s="638">
        <f t="shared" si="2"/>
        <v>304.5</v>
      </c>
      <c r="F16" s="772">
        <v>579275</v>
      </c>
      <c r="G16" s="638">
        <f t="shared" si="1"/>
        <v>61</v>
      </c>
      <c r="H16" s="638">
        <f t="shared" si="4"/>
        <v>269.63475000000005</v>
      </c>
      <c r="I16" s="638">
        <f>C16*J1</f>
        <v>2025.6599999999999</v>
      </c>
      <c r="J16" s="638">
        <f>G16*J1</f>
        <v>237.9</v>
      </c>
      <c r="K16" s="694">
        <f t="shared" si="3"/>
        <v>823.9</v>
      </c>
    </row>
    <row r="17" spans="1:11" s="3" customFormat="1" ht="41.25" customHeight="1">
      <c r="A17" s="664">
        <v>11</v>
      </c>
      <c r="B17" s="765">
        <v>8095033</v>
      </c>
      <c r="C17" s="638">
        <f t="shared" si="5"/>
        <v>1094.98</v>
      </c>
      <c r="D17" s="772">
        <v>367591</v>
      </c>
      <c r="E17" s="638">
        <f t="shared" si="2"/>
        <v>279.29999999999995</v>
      </c>
      <c r="F17" s="772">
        <v>579350</v>
      </c>
      <c r="G17" s="638">
        <f t="shared" si="1"/>
        <v>75</v>
      </c>
      <c r="H17" s="638">
        <f t="shared" si="4"/>
        <v>247.32014999999998</v>
      </c>
      <c r="I17" s="638">
        <f>C17*J1</f>
        <v>4270.4219999999996</v>
      </c>
      <c r="J17" s="638">
        <f>G17*J1</f>
        <v>292.5</v>
      </c>
      <c r="K17" s="694">
        <f t="shared" si="3"/>
        <v>1374.28</v>
      </c>
    </row>
    <row r="18" spans="1:11" s="3" customFormat="1" ht="41.25" customHeight="1">
      <c r="A18" s="664">
        <v>12</v>
      </c>
      <c r="B18" s="765">
        <v>8096159</v>
      </c>
      <c r="C18" s="638">
        <f t="shared" si="5"/>
        <v>1193.5600000000002</v>
      </c>
      <c r="D18" s="772">
        <v>367895</v>
      </c>
      <c r="E18" s="638">
        <f t="shared" si="2"/>
        <v>212.79999999999998</v>
      </c>
      <c r="F18" s="772">
        <v>579414</v>
      </c>
      <c r="G18" s="638">
        <f t="shared" ref="G18:G37" si="6">IF(F18&gt;=F17,F18-F17,0)</f>
        <v>64</v>
      </c>
      <c r="H18" s="638">
        <f t="shared" si="4"/>
        <v>188.43440000000001</v>
      </c>
      <c r="I18" s="638">
        <f>C18*J1</f>
        <v>4654.8840000000009</v>
      </c>
      <c r="J18" s="638">
        <f>G18*J1</f>
        <v>249.6</v>
      </c>
      <c r="K18" s="694">
        <f t="shared" si="3"/>
        <v>1406.3600000000001</v>
      </c>
    </row>
    <row r="19" spans="1:11" s="3" customFormat="1" ht="41.25" customHeight="1">
      <c r="A19" s="664">
        <v>13</v>
      </c>
      <c r="B19" s="765">
        <v>8096892</v>
      </c>
      <c r="C19" s="638">
        <f>IF(B19&gt;=B18,B19-B18,0)*1.06</f>
        <v>776.98</v>
      </c>
      <c r="D19" s="772">
        <v>368151</v>
      </c>
      <c r="E19" s="638">
        <f>IF(D19&gt;=D18,D19-D18,0)*0.7</f>
        <v>179.2</v>
      </c>
      <c r="F19" s="772">
        <v>579477</v>
      </c>
      <c r="G19" s="638">
        <f t="shared" si="6"/>
        <v>63</v>
      </c>
      <c r="H19" s="638">
        <f t="shared" si="4"/>
        <v>158.6816</v>
      </c>
      <c r="I19" s="638">
        <f>C19*J1</f>
        <v>3030.2220000000002</v>
      </c>
      <c r="J19" s="638">
        <f>G19*J1</f>
        <v>245.7</v>
      </c>
      <c r="K19" s="694">
        <f t="shared" si="3"/>
        <v>956.18000000000006</v>
      </c>
    </row>
    <row r="20" spans="1:11" s="3" customFormat="1" ht="41.25" customHeight="1">
      <c r="A20" s="664">
        <v>14</v>
      </c>
      <c r="B20" s="765">
        <v>8097844</v>
      </c>
      <c r="C20" s="638">
        <f>IF(B20&gt;=B19,B20-B19,0)*1.06</f>
        <v>1009.12</v>
      </c>
      <c r="D20" s="772">
        <v>368442</v>
      </c>
      <c r="E20" s="638">
        <f>IF(D20&gt;=D19,D20-D19,0)*0.7</f>
        <v>203.7</v>
      </c>
      <c r="F20" s="772">
        <v>579638</v>
      </c>
      <c r="G20" s="638">
        <f t="shared" si="6"/>
        <v>161</v>
      </c>
      <c r="H20" s="638">
        <f t="shared" si="4"/>
        <v>180.37635</v>
      </c>
      <c r="I20" s="638">
        <f>C20*J1</f>
        <v>3935.5679999999998</v>
      </c>
      <c r="J20" s="638">
        <f>G20*J1</f>
        <v>627.9</v>
      </c>
      <c r="K20" s="694">
        <f t="shared" si="3"/>
        <v>1212.82</v>
      </c>
    </row>
    <row r="21" spans="1:11" s="3" customFormat="1" ht="41.25" customHeight="1">
      <c r="A21" s="664">
        <v>15</v>
      </c>
      <c r="B21" s="765">
        <v>8098650</v>
      </c>
      <c r="C21" s="638">
        <f>IF(B21&gt;=B20,B21-B20,0)*1.06</f>
        <v>854.36</v>
      </c>
      <c r="D21" s="772">
        <v>368933</v>
      </c>
      <c r="E21" s="638">
        <f>IF(D21&gt;=D20,D21-D20,0)*0.7</f>
        <v>343.7</v>
      </c>
      <c r="F21" s="772">
        <v>579673</v>
      </c>
      <c r="G21" s="638">
        <f t="shared" ref="G21:G27" si="7">IF(F21&gt;=F20,F21-F20,0)</f>
        <v>35</v>
      </c>
      <c r="H21" s="638">
        <f t="shared" si="4"/>
        <v>304.34635000000003</v>
      </c>
      <c r="I21" s="638">
        <f>C21*J1</f>
        <v>3332.0039999999999</v>
      </c>
      <c r="J21" s="638">
        <f>G21*J1</f>
        <v>136.5</v>
      </c>
      <c r="K21" s="694">
        <f t="shared" si="3"/>
        <v>1198.06</v>
      </c>
    </row>
    <row r="22" spans="1:11" s="3" customFormat="1" ht="41.25" customHeight="1">
      <c r="A22" s="664">
        <v>16</v>
      </c>
      <c r="B22" s="765">
        <v>8099527</v>
      </c>
      <c r="C22" s="638">
        <f t="shared" si="5"/>
        <v>929.62</v>
      </c>
      <c r="D22" s="772">
        <v>369132</v>
      </c>
      <c r="E22" s="638">
        <f t="shared" si="2"/>
        <v>139.29999999999998</v>
      </c>
      <c r="F22" s="772">
        <v>579753</v>
      </c>
      <c r="G22" s="638">
        <f t="shared" si="7"/>
        <v>80</v>
      </c>
      <c r="H22" s="638">
        <f t="shared" si="4"/>
        <v>123.35015</v>
      </c>
      <c r="I22" s="638">
        <f>C22*J1</f>
        <v>3625.518</v>
      </c>
      <c r="J22" s="638">
        <f>G22*J1</f>
        <v>312</v>
      </c>
      <c r="K22" s="694">
        <f t="shared" si="3"/>
        <v>1068.92</v>
      </c>
    </row>
    <row r="23" spans="1:11" s="3" customFormat="1" ht="41.25" customHeight="1">
      <c r="A23" s="664">
        <v>17</v>
      </c>
      <c r="B23" s="765">
        <v>8100488</v>
      </c>
      <c r="C23" s="638">
        <f t="shared" si="5"/>
        <v>1018.6600000000001</v>
      </c>
      <c r="D23" s="772">
        <v>369533</v>
      </c>
      <c r="E23" s="638">
        <f t="shared" si="2"/>
        <v>280.7</v>
      </c>
      <c r="F23" s="772">
        <v>579908</v>
      </c>
      <c r="G23" s="638">
        <f t="shared" si="7"/>
        <v>155</v>
      </c>
      <c r="H23" s="638">
        <f t="shared" si="4"/>
        <v>248.55985000000004</v>
      </c>
      <c r="I23" s="638">
        <f>C23*J1</f>
        <v>3972.7740000000003</v>
      </c>
      <c r="J23" s="638">
        <f>G23*J1</f>
        <v>604.5</v>
      </c>
      <c r="K23" s="694">
        <f t="shared" si="3"/>
        <v>1299.3600000000001</v>
      </c>
    </row>
    <row r="24" spans="1:11" s="3" customFormat="1" ht="41.25" customHeight="1">
      <c r="A24" s="664">
        <v>18</v>
      </c>
      <c r="B24" s="765">
        <v>8101389</v>
      </c>
      <c r="C24" s="638">
        <f t="shared" si="5"/>
        <v>955.06000000000006</v>
      </c>
      <c r="D24" s="772">
        <v>369862</v>
      </c>
      <c r="E24" s="638">
        <f t="shared" si="2"/>
        <v>230.29999999999998</v>
      </c>
      <c r="F24" s="772">
        <v>579980</v>
      </c>
      <c r="G24" s="638">
        <f t="shared" si="7"/>
        <v>72</v>
      </c>
      <c r="H24" s="638">
        <f t="shared" si="4"/>
        <v>203.93065000000001</v>
      </c>
      <c r="I24" s="638">
        <f>C24*J1</f>
        <v>3724.7339999999999</v>
      </c>
      <c r="J24" s="638">
        <f>G24*J1</f>
        <v>280.8</v>
      </c>
      <c r="K24" s="694">
        <f t="shared" si="3"/>
        <v>1185.3600000000001</v>
      </c>
    </row>
    <row r="25" spans="1:11" s="3" customFormat="1" ht="41.25" customHeight="1">
      <c r="A25" s="664">
        <v>19</v>
      </c>
      <c r="B25" s="765">
        <v>8102259</v>
      </c>
      <c r="C25" s="638">
        <f t="shared" si="5"/>
        <v>922.2</v>
      </c>
      <c r="D25" s="772">
        <v>370201</v>
      </c>
      <c r="E25" s="638">
        <f t="shared" si="2"/>
        <v>237.29999999999998</v>
      </c>
      <c r="F25" s="772">
        <v>580053</v>
      </c>
      <c r="G25" s="638">
        <f t="shared" si="7"/>
        <v>73</v>
      </c>
      <c r="H25" s="638">
        <f t="shared" si="4"/>
        <v>210.12915000000004</v>
      </c>
      <c r="I25" s="638">
        <f>C25*J1</f>
        <v>3596.58</v>
      </c>
      <c r="J25" s="638">
        <f>G25*J1</f>
        <v>284.7</v>
      </c>
      <c r="K25" s="694">
        <f t="shared" si="3"/>
        <v>1159.5</v>
      </c>
    </row>
    <row r="26" spans="1:11" s="3" customFormat="1" ht="41.25" customHeight="1">
      <c r="A26" s="664">
        <v>20</v>
      </c>
      <c r="B26" s="765">
        <v>8103189</v>
      </c>
      <c r="C26" s="638">
        <f t="shared" si="5"/>
        <v>985.80000000000007</v>
      </c>
      <c r="D26" s="772">
        <v>370550</v>
      </c>
      <c r="E26" s="638">
        <f t="shared" si="2"/>
        <v>244.29999999999998</v>
      </c>
      <c r="F26" s="772">
        <v>580145</v>
      </c>
      <c r="G26" s="638">
        <f t="shared" si="7"/>
        <v>92</v>
      </c>
      <c r="H26" s="638">
        <f t="shared" si="4"/>
        <v>216.32765000000003</v>
      </c>
      <c r="I26" s="638">
        <f>C26*J1</f>
        <v>3844.6200000000003</v>
      </c>
      <c r="J26" s="638">
        <f>G26*J1</f>
        <v>358.8</v>
      </c>
      <c r="K26" s="694">
        <f t="shared" si="3"/>
        <v>1230.1000000000001</v>
      </c>
    </row>
    <row r="27" spans="1:11" s="3" customFormat="1" ht="41.25" customHeight="1">
      <c r="A27" s="664">
        <v>21</v>
      </c>
      <c r="B27" s="765">
        <v>8104166</v>
      </c>
      <c r="C27" s="638">
        <f t="shared" si="5"/>
        <v>1035.6200000000001</v>
      </c>
      <c r="D27" s="772">
        <v>370840</v>
      </c>
      <c r="E27" s="638">
        <f t="shared" si="2"/>
        <v>203</v>
      </c>
      <c r="F27" s="772">
        <v>580241</v>
      </c>
      <c r="G27" s="638">
        <f t="shared" si="7"/>
        <v>96</v>
      </c>
      <c r="H27" s="638">
        <f t="shared" si="4"/>
        <v>179.75650000000002</v>
      </c>
      <c r="I27" s="638">
        <f>C27*J1</f>
        <v>4038.9180000000006</v>
      </c>
      <c r="J27" s="638">
        <f>G27*J1</f>
        <v>374.4</v>
      </c>
      <c r="K27" s="694">
        <f t="shared" si="3"/>
        <v>1238.6200000000001</v>
      </c>
    </row>
    <row r="28" spans="1:11" s="3" customFormat="1" ht="41.25" customHeight="1">
      <c r="A28" s="664">
        <v>22</v>
      </c>
      <c r="B28" s="765">
        <v>8105135</v>
      </c>
      <c r="C28" s="638">
        <f>IF(B28&gt;=B27,B28-B27,0)*1.06</f>
        <v>1027.1400000000001</v>
      </c>
      <c r="D28" s="772">
        <v>371113</v>
      </c>
      <c r="E28" s="638">
        <f t="shared" si="2"/>
        <v>191.1</v>
      </c>
      <c r="F28" s="772">
        <v>580325</v>
      </c>
      <c r="G28" s="638">
        <f t="shared" si="6"/>
        <v>84</v>
      </c>
      <c r="H28" s="638">
        <f>(E28*0.55)*1.61</f>
        <v>169.21905000000001</v>
      </c>
      <c r="I28" s="638">
        <f>C28*J1</f>
        <v>4005.8460000000005</v>
      </c>
      <c r="J28" s="638">
        <f>G28*J1</f>
        <v>327.59999999999997</v>
      </c>
      <c r="K28" s="694"/>
    </row>
    <row r="29" spans="1:11" s="3" customFormat="1" ht="41.25" customHeight="1">
      <c r="A29" s="664">
        <v>23</v>
      </c>
      <c r="B29" s="765">
        <v>8106130</v>
      </c>
      <c r="C29" s="638">
        <f>IF(B29&gt;=B28,B29-B28,0)*1.06</f>
        <v>1054.7</v>
      </c>
      <c r="D29" s="772">
        <v>371421</v>
      </c>
      <c r="E29" s="638">
        <f t="shared" si="2"/>
        <v>215.6</v>
      </c>
      <c r="F29" s="772">
        <v>580401</v>
      </c>
      <c r="G29" s="638">
        <f t="shared" si="6"/>
        <v>76</v>
      </c>
      <c r="H29" s="638">
        <f>(E29*0.55)*1.61</f>
        <v>190.91380000000004</v>
      </c>
      <c r="I29" s="638">
        <f>C29*J1</f>
        <v>4113.33</v>
      </c>
      <c r="J29" s="638">
        <f>G29*J1</f>
        <v>296.39999999999998</v>
      </c>
      <c r="K29" s="694">
        <f t="shared" si="3"/>
        <v>1270.3</v>
      </c>
    </row>
    <row r="30" spans="1:11" s="3" customFormat="1" ht="41.25" customHeight="1">
      <c r="A30" s="664">
        <v>24</v>
      </c>
      <c r="B30" s="765">
        <v>8107107</v>
      </c>
      <c r="C30" s="638">
        <f>IF(B30&gt;=B29,B30-B29,0)*1.06</f>
        <v>1035.6200000000001</v>
      </c>
      <c r="D30" s="772">
        <v>371705</v>
      </c>
      <c r="E30" s="638">
        <f t="shared" si="2"/>
        <v>198.79999999999998</v>
      </c>
      <c r="F30" s="772">
        <v>580482</v>
      </c>
      <c r="G30" s="638">
        <f t="shared" si="6"/>
        <v>81</v>
      </c>
      <c r="H30" s="638">
        <f>(E30*0.55)*1.61</f>
        <v>176.03740000000002</v>
      </c>
      <c r="I30" s="638">
        <f>C30*J1</f>
        <v>4038.9180000000006</v>
      </c>
      <c r="J30" s="638">
        <f>G30*J1</f>
        <v>315.89999999999998</v>
      </c>
      <c r="K30" s="694">
        <f t="shared" si="3"/>
        <v>1234.42</v>
      </c>
    </row>
    <row r="31" spans="1:11" s="3" customFormat="1" ht="41.25" customHeight="1">
      <c r="A31" s="664">
        <v>25</v>
      </c>
      <c r="B31" s="765">
        <v>8108089</v>
      </c>
      <c r="C31" s="638">
        <f>IF(B31&gt;=B30,B31-B30,0)*1.06</f>
        <v>1040.92</v>
      </c>
      <c r="D31" s="772">
        <v>371996</v>
      </c>
      <c r="E31" s="638">
        <f t="shared" ref="E31:E37" si="8">IF(D31&gt;=D30,D31-D30,0)*0.7</f>
        <v>203.7</v>
      </c>
      <c r="F31" s="772">
        <v>580562</v>
      </c>
      <c r="G31" s="638">
        <f t="shared" si="6"/>
        <v>80</v>
      </c>
      <c r="H31" s="638">
        <f t="shared" si="4"/>
        <v>180.37635</v>
      </c>
      <c r="I31" s="638">
        <f>C31*J3</f>
        <v>0</v>
      </c>
      <c r="J31" s="638">
        <f>G31*J1</f>
        <v>312</v>
      </c>
      <c r="K31" s="694">
        <f t="shared" si="3"/>
        <v>1244.6200000000001</v>
      </c>
    </row>
    <row r="32" spans="1:11" s="3" customFormat="1" ht="41.25" customHeight="1">
      <c r="A32" s="664">
        <v>26</v>
      </c>
      <c r="B32" s="765">
        <v>8109268</v>
      </c>
      <c r="C32" s="638">
        <f t="shared" si="5"/>
        <v>1249.74</v>
      </c>
      <c r="D32" s="772">
        <v>372466</v>
      </c>
      <c r="E32" s="638">
        <f t="shared" si="8"/>
        <v>329</v>
      </c>
      <c r="F32" s="772">
        <v>580651</v>
      </c>
      <c r="G32" s="638">
        <f t="shared" si="6"/>
        <v>89</v>
      </c>
      <c r="H32" s="638">
        <f t="shared" si="4"/>
        <v>291.32950000000005</v>
      </c>
      <c r="I32" s="638">
        <f>C32*J1</f>
        <v>4873.9859999999999</v>
      </c>
      <c r="J32" s="638">
        <f>G32*J1</f>
        <v>347.09999999999997</v>
      </c>
      <c r="K32" s="694">
        <f t="shared" si="3"/>
        <v>1578.74</v>
      </c>
    </row>
    <row r="33" spans="1:13" s="205" customFormat="1" ht="41.25" customHeight="1">
      <c r="A33" s="665">
        <v>27</v>
      </c>
      <c r="B33" s="765">
        <v>8109960</v>
      </c>
      <c r="C33" s="638">
        <f>IF(B33&gt;=B32,B33-B32,0)*1.06</f>
        <v>733.52</v>
      </c>
      <c r="D33" s="772">
        <v>372774</v>
      </c>
      <c r="E33" s="638">
        <f t="shared" si="8"/>
        <v>215.6</v>
      </c>
      <c r="F33" s="772">
        <v>580702</v>
      </c>
      <c r="G33" s="638">
        <f t="shared" si="6"/>
        <v>51</v>
      </c>
      <c r="H33" s="638">
        <f t="shared" si="4"/>
        <v>190.91380000000004</v>
      </c>
      <c r="I33" s="638">
        <f>C33*J1</f>
        <v>2860.7280000000001</v>
      </c>
      <c r="J33" s="638">
        <f>G33*J1</f>
        <v>198.9</v>
      </c>
      <c r="K33" s="694">
        <f t="shared" si="3"/>
        <v>949.12</v>
      </c>
    </row>
    <row r="34" spans="1:13" s="205" customFormat="1" ht="41.25" customHeight="1">
      <c r="A34" s="665">
        <v>28</v>
      </c>
      <c r="B34" s="765">
        <v>8110682</v>
      </c>
      <c r="C34" s="638">
        <f>IF(B34&gt;=B33,B34-B33,0)*1.06</f>
        <v>765.32</v>
      </c>
      <c r="D34" s="772">
        <v>373086</v>
      </c>
      <c r="E34" s="638">
        <f t="shared" si="8"/>
        <v>218.39999999999998</v>
      </c>
      <c r="F34" s="772">
        <v>580758</v>
      </c>
      <c r="G34" s="638">
        <f t="shared" si="6"/>
        <v>56</v>
      </c>
      <c r="H34" s="638">
        <f t="shared" si="4"/>
        <v>193.39320000000001</v>
      </c>
      <c r="I34" s="638">
        <f>C34*J1</f>
        <v>2984.748</v>
      </c>
      <c r="J34" s="638">
        <f>G34*J1</f>
        <v>218.4</v>
      </c>
      <c r="K34" s="694">
        <f t="shared" si="3"/>
        <v>983.72</v>
      </c>
    </row>
    <row r="35" spans="1:13" s="205" customFormat="1" ht="41.25" customHeight="1">
      <c r="A35" s="664">
        <v>29</v>
      </c>
      <c r="B35" s="765">
        <v>8111344</v>
      </c>
      <c r="C35" s="638">
        <f>IF(B35&gt;=B34,B35-B34,0)*1.06</f>
        <v>701.72</v>
      </c>
      <c r="D35" s="772">
        <v>373380</v>
      </c>
      <c r="E35" s="638">
        <f t="shared" si="8"/>
        <v>205.79999999999998</v>
      </c>
      <c r="F35" s="772">
        <v>580800</v>
      </c>
      <c r="G35" s="638">
        <f t="shared" si="6"/>
        <v>42</v>
      </c>
      <c r="H35" s="638">
        <f t="shared" si="4"/>
        <v>182.23590000000002</v>
      </c>
      <c r="I35" s="638">
        <f>C35*J1</f>
        <v>2736.7080000000001</v>
      </c>
      <c r="J35" s="638">
        <f>G35*J1</f>
        <v>163.79999999999998</v>
      </c>
      <c r="K35" s="694">
        <f t="shared" si="3"/>
        <v>907.52</v>
      </c>
    </row>
    <row r="36" spans="1:13" s="205" customFormat="1" ht="41.25" customHeight="1">
      <c r="A36" s="665">
        <v>30</v>
      </c>
      <c r="B36" s="765">
        <v>8112128</v>
      </c>
      <c r="C36" s="638">
        <f>IF(B36&gt;=B35,B36-B35,0)*1.06</f>
        <v>831.04000000000008</v>
      </c>
      <c r="D36" s="772">
        <v>373612</v>
      </c>
      <c r="E36" s="638">
        <f t="shared" si="8"/>
        <v>162.39999999999998</v>
      </c>
      <c r="F36" s="772">
        <v>580865</v>
      </c>
      <c r="G36" s="638">
        <f t="shared" si="6"/>
        <v>65</v>
      </c>
      <c r="H36" s="638">
        <f t="shared" si="4"/>
        <v>143.80519999999999</v>
      </c>
      <c r="I36" s="638">
        <f>C36*J1</f>
        <v>3241.056</v>
      </c>
      <c r="J36" s="638">
        <f>G36*J1</f>
        <v>253.5</v>
      </c>
      <c r="K36" s="694">
        <f t="shared" si="3"/>
        <v>993.44</v>
      </c>
    </row>
    <row r="37" spans="1:13" s="205" customFormat="1" ht="41.25" customHeight="1" thickBot="1">
      <c r="A37" s="665">
        <v>31</v>
      </c>
      <c r="B37" s="765">
        <v>8112128</v>
      </c>
      <c r="C37" s="638">
        <f>IF(B37&gt;=B36,B37-B36,0)*1.06</f>
        <v>0</v>
      </c>
      <c r="D37" s="772">
        <v>373612</v>
      </c>
      <c r="E37" s="638">
        <f t="shared" si="8"/>
        <v>0</v>
      </c>
      <c r="F37" s="772">
        <v>580865</v>
      </c>
      <c r="G37" s="638">
        <f t="shared" si="6"/>
        <v>0</v>
      </c>
      <c r="H37" s="638">
        <f t="shared" si="4"/>
        <v>0</v>
      </c>
      <c r="I37" s="638">
        <f>C37*J1</f>
        <v>0</v>
      </c>
      <c r="J37" s="638">
        <f>G37*J1</f>
        <v>0</v>
      </c>
      <c r="K37" s="694">
        <f t="shared" si="3"/>
        <v>0</v>
      </c>
    </row>
    <row r="38" spans="1:13" s="205" customFormat="1" ht="41.25" customHeight="1">
      <c r="A38" s="666" t="s">
        <v>122</v>
      </c>
      <c r="B38" s="689"/>
      <c r="C38" s="690">
        <f>SUM(C7:C37)</f>
        <v>28412.240000000005</v>
      </c>
      <c r="D38" s="689"/>
      <c r="E38" s="690">
        <f>SUM(E7:E37)</f>
        <v>6845.3</v>
      </c>
      <c r="F38" s="689"/>
      <c r="G38" s="690">
        <f>SUM(G7:G37)</f>
        <v>2400</v>
      </c>
      <c r="H38" s="691">
        <f>SUM(H6:H37)</f>
        <v>6061.5131500000016</v>
      </c>
      <c r="I38" s="691">
        <f>SUM(I6:I37)</f>
        <v>106748.14800000003</v>
      </c>
      <c r="J38" s="691">
        <f>SUM(J6:J37)</f>
        <v>9359.9999999999982</v>
      </c>
      <c r="K38" s="737">
        <f>SUM(K6:K37)</f>
        <v>34039.300000000003</v>
      </c>
    </row>
    <row r="39" spans="1:13" s="205" customFormat="1" ht="41.25" customHeight="1" thickBot="1">
      <c r="A39" s="667" t="s">
        <v>138</v>
      </c>
      <c r="B39" s="692"/>
      <c r="C39" s="693">
        <f>C38/A42</f>
        <v>947.07466666666687</v>
      </c>
      <c r="D39" s="692"/>
      <c r="E39" s="693">
        <f>E38/A42</f>
        <v>228.17666666666668</v>
      </c>
      <c r="F39" s="692"/>
      <c r="G39" s="693">
        <f>G38/A42</f>
        <v>80</v>
      </c>
      <c r="H39" s="693">
        <f>H38/A42</f>
        <v>202.05043833333337</v>
      </c>
      <c r="I39" s="693">
        <f>I38/A42</f>
        <v>3558.2716000000009</v>
      </c>
      <c r="J39" s="693">
        <f>J38/A42</f>
        <v>311.99999999999994</v>
      </c>
    </row>
    <row r="40" spans="1:13" s="205" customFormat="1" ht="28.5" customHeight="1">
      <c r="A40" s="668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124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30" activePane="bottomRight" state="frozen"/>
      <selection pane="topRight" activeCell="G39" sqref="G39"/>
      <selection pane="bottomLeft" activeCell="G39" sqref="G39"/>
      <selection pane="bottomRight" activeCell="F36" sqref="F36:F3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7" t="str">
        <f>Elect!A1</f>
        <v>June</v>
      </c>
      <c r="B1" s="579"/>
      <c r="C1" s="580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581"/>
      <c r="P1" s="869"/>
      <c r="Q1" s="869"/>
      <c r="R1" s="869"/>
      <c r="S1" s="2"/>
      <c r="T1" s="582" t="s">
        <v>139</v>
      </c>
      <c r="U1" s="566"/>
      <c r="V1" s="565">
        <v>4</v>
      </c>
      <c r="W1" s="564" t="s">
        <v>140</v>
      </c>
      <c r="X1" s="583"/>
      <c r="Y1" s="584"/>
      <c r="Z1" s="566"/>
    </row>
    <row r="2" spans="1:26" ht="39.75" customHeight="1" thickBot="1">
      <c r="A2" s="868"/>
      <c r="B2" s="586"/>
      <c r="C2" s="580"/>
      <c r="O2" s="581"/>
      <c r="P2" s="870"/>
      <c r="Q2" s="870"/>
      <c r="R2" s="870"/>
    </row>
    <row r="3" spans="1:26" s="3" customFormat="1" ht="42" customHeight="1" thickBot="1">
      <c r="A3" s="862" t="s">
        <v>1</v>
      </c>
      <c r="B3" s="587"/>
      <c r="C3" s="588"/>
      <c r="D3" s="588"/>
      <c r="E3" s="589" t="s">
        <v>141</v>
      </c>
      <c r="F3" s="588"/>
      <c r="G3" s="588"/>
      <c r="H3" s="590"/>
      <c r="I3" s="856" t="s">
        <v>142</v>
      </c>
      <c r="J3" s="857"/>
      <c r="K3" s="857"/>
      <c r="L3" s="857"/>
      <c r="M3" s="858"/>
      <c r="N3" s="847" t="s">
        <v>143</v>
      </c>
      <c r="O3" s="848"/>
      <c r="P3" s="865" t="s">
        <v>144</v>
      </c>
      <c r="Q3" s="865"/>
      <c r="R3" s="865" t="s">
        <v>145</v>
      </c>
      <c r="S3" s="865"/>
      <c r="T3" s="840" t="s">
        <v>146</v>
      </c>
      <c r="U3" s="843" t="s">
        <v>147</v>
      </c>
      <c r="V3" s="843" t="s">
        <v>148</v>
      </c>
      <c r="W3" s="843" t="s">
        <v>149</v>
      </c>
      <c r="X3" s="873" t="s">
        <v>150</v>
      </c>
      <c r="Y3" s="591" t="s">
        <v>74</v>
      </c>
      <c r="Z3" s="592" t="s">
        <v>74</v>
      </c>
    </row>
    <row r="4" spans="1:26" s="3" customFormat="1" ht="45" customHeight="1" thickBot="1">
      <c r="A4" s="863"/>
      <c r="B4" s="850" t="s">
        <v>151</v>
      </c>
      <c r="C4" s="851"/>
      <c r="D4" s="852" t="s">
        <v>152</v>
      </c>
      <c r="E4" s="853"/>
      <c r="F4" s="852" t="s">
        <v>153</v>
      </c>
      <c r="G4" s="853"/>
      <c r="H4" s="849" t="s">
        <v>154</v>
      </c>
      <c r="I4" s="854" t="s">
        <v>155</v>
      </c>
      <c r="J4" s="855"/>
      <c r="K4" s="854" t="s">
        <v>156</v>
      </c>
      <c r="L4" s="855"/>
      <c r="M4" s="795"/>
      <c r="N4" s="849" t="s">
        <v>157</v>
      </c>
      <c r="O4" s="849" t="s">
        <v>158</v>
      </c>
      <c r="P4" s="844" t="s">
        <v>159</v>
      </c>
      <c r="Q4" s="844" t="s">
        <v>160</v>
      </c>
      <c r="R4" s="844" t="s">
        <v>159</v>
      </c>
      <c r="S4" s="844" t="s">
        <v>160</v>
      </c>
      <c r="T4" s="841"/>
      <c r="U4" s="844"/>
      <c r="V4" s="844"/>
      <c r="W4" s="844"/>
      <c r="X4" s="874"/>
      <c r="Y4" s="871" t="s">
        <v>119</v>
      </c>
      <c r="Z4" s="859" t="s">
        <v>120</v>
      </c>
    </row>
    <row r="5" spans="1:26" s="3" customFormat="1" ht="48.75" customHeight="1" thickBot="1">
      <c r="A5" s="864"/>
      <c r="B5" s="593" t="s">
        <v>161</v>
      </c>
      <c r="C5" s="794" t="s">
        <v>162</v>
      </c>
      <c r="D5" s="594" t="s">
        <v>161</v>
      </c>
      <c r="E5" s="794" t="s">
        <v>162</v>
      </c>
      <c r="F5" s="594" t="s">
        <v>161</v>
      </c>
      <c r="G5" s="794" t="s">
        <v>162</v>
      </c>
      <c r="H5" s="866"/>
      <c r="I5" s="728" t="s">
        <v>161</v>
      </c>
      <c r="J5" s="729"/>
      <c r="K5" s="728" t="s">
        <v>161</v>
      </c>
      <c r="L5" s="729"/>
      <c r="M5" s="727"/>
      <c r="N5" s="845"/>
      <c r="O5" s="845"/>
      <c r="P5" s="845"/>
      <c r="Q5" s="845"/>
      <c r="R5" s="845"/>
      <c r="S5" s="845"/>
      <c r="T5" s="842"/>
      <c r="U5" s="845"/>
      <c r="V5" s="845"/>
      <c r="W5" s="845"/>
      <c r="X5" s="875"/>
      <c r="Y5" s="872"/>
      <c r="Z5" s="860"/>
    </row>
    <row r="6" spans="1:26" s="3" customFormat="1" ht="36.75" customHeight="1">
      <c r="A6" s="595"/>
      <c r="B6" s="769">
        <v>77615</v>
      </c>
      <c r="C6" s="638">
        <f t="shared" ref="C6:C21" si="0">IF(B6&gt;=B5,B6-B5,0)*10*0.58</f>
        <v>0</v>
      </c>
      <c r="D6" s="772">
        <v>155358</v>
      </c>
      <c r="E6" s="638">
        <f>IF(D6&gt;=D5,D6-D5,0)*10*0.58</f>
        <v>0</v>
      </c>
      <c r="F6" s="768">
        <v>18883</v>
      </c>
      <c r="G6" s="638">
        <f>IF(F6&gt;=F5,F6-F5,0)*0.58</f>
        <v>0</v>
      </c>
      <c r="H6" s="710"/>
      <c r="I6" s="768">
        <v>220</v>
      </c>
      <c r="J6" s="726"/>
      <c r="K6" s="768">
        <v>3211</v>
      </c>
      <c r="L6" s="726"/>
      <c r="M6" s="726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9">
        <v>77650</v>
      </c>
      <c r="C7" s="638">
        <f t="shared" si="0"/>
        <v>203</v>
      </c>
      <c r="D7" s="772">
        <v>155358</v>
      </c>
      <c r="E7" s="638">
        <f t="shared" ref="E7:E15" si="1">IF(D7&gt;=D6,D7-D6,0)*10*0.58</f>
        <v>0</v>
      </c>
      <c r="F7" s="768">
        <v>18901</v>
      </c>
      <c r="G7" s="638">
        <f t="shared" ref="G7:G14" si="2">IF(F7&gt;=F6,F7-F6,0)*0.58</f>
        <v>10.44</v>
      </c>
      <c r="H7" s="638">
        <f>C7+E7+G7</f>
        <v>213.44</v>
      </c>
      <c r="I7" s="768"/>
      <c r="J7" s="638"/>
      <c r="K7" s="768"/>
      <c r="L7" s="638"/>
      <c r="M7" s="638"/>
      <c r="N7" s="109"/>
      <c r="O7" s="535">
        <f>IF(N7&gt;=N6,N7-N6,0)</f>
        <v>0</v>
      </c>
      <c r="P7" s="109"/>
      <c r="Q7" s="436">
        <f>(H7-O7)*0.58</f>
        <v>123.79519999999999</v>
      </c>
      <c r="R7" s="109"/>
      <c r="S7" s="436">
        <f>IF(R7-R6&gt;0,R7-R6,0)</f>
        <v>0</v>
      </c>
      <c r="T7" s="708">
        <f>Elect!BT6</f>
        <v>94</v>
      </c>
      <c r="U7" s="604">
        <f>H7/T7</f>
        <v>2.2706382978723405</v>
      </c>
      <c r="V7" s="708">
        <f>Elect!BV6</f>
        <v>0</v>
      </c>
      <c r="W7" s="604" t="e">
        <f>H7/V7</f>
        <v>#DIV/0!</v>
      </c>
      <c r="X7" s="429">
        <f>H7*V1</f>
        <v>853.76</v>
      </c>
      <c r="Y7" s="604">
        <f>IF(X7&gt;0,X7/T7,0)</f>
        <v>9.082553191489362</v>
      </c>
      <c r="Z7" s="607">
        <v>0</v>
      </c>
    </row>
    <row r="8" spans="1:26" s="3" customFormat="1" ht="36.75" customHeight="1">
      <c r="A8" s="595">
        <v>2</v>
      </c>
      <c r="B8" s="769">
        <v>77689</v>
      </c>
      <c r="C8" s="638">
        <f t="shared" si="0"/>
        <v>226.2</v>
      </c>
      <c r="D8" s="772">
        <v>155358</v>
      </c>
      <c r="E8" s="638">
        <f t="shared" si="1"/>
        <v>0</v>
      </c>
      <c r="F8" s="768">
        <v>18957</v>
      </c>
      <c r="G8" s="638">
        <f t="shared" si="2"/>
        <v>32.479999999999997</v>
      </c>
      <c r="H8" s="638">
        <f t="shared" ref="H8:H37" si="3">C8+E8+G8</f>
        <v>258.68</v>
      </c>
      <c r="I8" s="768"/>
      <c r="J8" s="638"/>
      <c r="K8" s="768"/>
      <c r="L8" s="638"/>
      <c r="M8" s="638"/>
      <c r="N8" s="109"/>
      <c r="O8" s="535">
        <f t="shared" ref="O8:O37" si="4">IF(N8&gt;=N7,N8-N7,0)</f>
        <v>0</v>
      </c>
      <c r="P8" s="109"/>
      <c r="Q8" s="436">
        <f t="shared" ref="Q8:Q37" si="5">(H8-O8)*0.58</f>
        <v>150.03440000000001</v>
      </c>
      <c r="R8" s="109"/>
      <c r="S8" s="436">
        <f t="shared" ref="S8:S37" si="6">IF(R8-R7&gt;0,R8-R7,0)</f>
        <v>0</v>
      </c>
      <c r="T8" s="708">
        <f>Elect!BT7</f>
        <v>125</v>
      </c>
      <c r="U8" s="604">
        <f t="shared" ref="U8:U37" si="7">H8/T8</f>
        <v>2.0694400000000002</v>
      </c>
      <c r="V8" s="708">
        <f>Elect!BV7</f>
        <v>0</v>
      </c>
      <c r="W8" s="604" t="e">
        <f t="shared" ref="W8:W37" si="8">H8/V8</f>
        <v>#DIV/0!</v>
      </c>
      <c r="X8" s="429">
        <f>H8*V1</f>
        <v>1034.72</v>
      </c>
      <c r="Y8" s="604">
        <f>IF(X8&gt;0,X8/T8,0)</f>
        <v>8.2777600000000007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9">
        <v>77730</v>
      </c>
      <c r="C9" s="638">
        <f t="shared" si="0"/>
        <v>237.79999999999998</v>
      </c>
      <c r="D9" s="772">
        <v>155358</v>
      </c>
      <c r="E9" s="638">
        <f t="shared" si="1"/>
        <v>0</v>
      </c>
      <c r="F9" s="768">
        <v>18992</v>
      </c>
      <c r="G9" s="638">
        <f t="shared" si="2"/>
        <v>20.299999999999997</v>
      </c>
      <c r="H9" s="638">
        <f t="shared" si="3"/>
        <v>258.09999999999997</v>
      </c>
      <c r="I9" s="768"/>
      <c r="J9" s="638"/>
      <c r="K9" s="768"/>
      <c r="L9" s="638"/>
      <c r="M9" s="638"/>
      <c r="N9" s="109"/>
      <c r="O9" s="535">
        <f t="shared" si="4"/>
        <v>0</v>
      </c>
      <c r="P9" s="109"/>
      <c r="Q9" s="436">
        <f t="shared" si="5"/>
        <v>149.69799999999998</v>
      </c>
      <c r="R9" s="109"/>
      <c r="S9" s="436">
        <f t="shared" si="6"/>
        <v>0</v>
      </c>
      <c r="T9" s="708">
        <f>Elect!BT8</f>
        <v>135</v>
      </c>
      <c r="U9" s="604">
        <f t="shared" si="7"/>
        <v>1.9118518518518517</v>
      </c>
      <c r="V9" s="708">
        <f>Elect!BV8</f>
        <v>0</v>
      </c>
      <c r="W9" s="604" t="e">
        <f t="shared" si="8"/>
        <v>#DIV/0!</v>
      </c>
      <c r="X9" s="429">
        <f>H9*V1</f>
        <v>1032.3999999999999</v>
      </c>
      <c r="Y9" s="604">
        <f t="shared" ref="Y9:Y37" si="9">IF(X9&gt;0,X9/T9,0)</f>
        <v>7.6474074074074068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9">
        <v>77784</v>
      </c>
      <c r="C10" s="638">
        <f t="shared" si="0"/>
        <v>313.2</v>
      </c>
      <c r="D10" s="772">
        <v>155358</v>
      </c>
      <c r="E10" s="638">
        <f t="shared" si="1"/>
        <v>0</v>
      </c>
      <c r="F10" s="768">
        <v>19033</v>
      </c>
      <c r="G10" s="638">
        <f t="shared" si="2"/>
        <v>23.779999999999998</v>
      </c>
      <c r="H10" s="638">
        <f t="shared" si="3"/>
        <v>336.97999999999996</v>
      </c>
      <c r="I10" s="768"/>
      <c r="J10" s="638"/>
      <c r="K10" s="768"/>
      <c r="L10" s="638"/>
      <c r="M10" s="638"/>
      <c r="N10" s="109"/>
      <c r="O10" s="535">
        <f t="shared" si="4"/>
        <v>0</v>
      </c>
      <c r="P10" s="109"/>
      <c r="Q10" s="436">
        <f t="shared" si="5"/>
        <v>195.44839999999996</v>
      </c>
      <c r="R10" s="109"/>
      <c r="S10" s="436">
        <f t="shared" si="6"/>
        <v>0</v>
      </c>
      <c r="T10" s="708">
        <f>Elect!BT9</f>
        <v>171</v>
      </c>
      <c r="U10" s="604">
        <f t="shared" si="7"/>
        <v>1.970643274853801</v>
      </c>
      <c r="V10" s="708">
        <f>Elect!BV9</f>
        <v>0</v>
      </c>
      <c r="W10" s="604" t="e">
        <f t="shared" si="8"/>
        <v>#DIV/0!</v>
      </c>
      <c r="X10" s="429">
        <f>H10*V1</f>
        <v>1347.9199999999998</v>
      </c>
      <c r="Y10" s="604">
        <f t="shared" si="9"/>
        <v>7.8825730994152039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9">
        <v>77827</v>
      </c>
      <c r="C11" s="638">
        <f t="shared" si="0"/>
        <v>249.39999999999998</v>
      </c>
      <c r="D11" s="772">
        <v>155358</v>
      </c>
      <c r="E11" s="638">
        <f t="shared" si="1"/>
        <v>0</v>
      </c>
      <c r="F11" s="768">
        <v>19080</v>
      </c>
      <c r="G11" s="638">
        <f t="shared" si="2"/>
        <v>27.259999999999998</v>
      </c>
      <c r="H11" s="638">
        <f>C11+E11+G11</f>
        <v>276.65999999999997</v>
      </c>
      <c r="I11" s="768"/>
      <c r="J11" s="638"/>
      <c r="K11" s="768"/>
      <c r="L11" s="638"/>
      <c r="M11" s="638"/>
      <c r="N11" s="109"/>
      <c r="O11" s="535">
        <f t="shared" si="4"/>
        <v>0</v>
      </c>
      <c r="P11" s="109"/>
      <c r="Q11" s="436">
        <f t="shared" si="5"/>
        <v>160.46279999999996</v>
      </c>
      <c r="R11" s="109"/>
      <c r="S11" s="436">
        <f t="shared" si="6"/>
        <v>0</v>
      </c>
      <c r="T11" s="708">
        <f>Elect!BT10</f>
        <v>160</v>
      </c>
      <c r="U11" s="604">
        <f t="shared" si="7"/>
        <v>1.7291249999999998</v>
      </c>
      <c r="V11" s="708">
        <f>Elect!BV10</f>
        <v>0</v>
      </c>
      <c r="W11" s="604" t="e">
        <f t="shared" si="8"/>
        <v>#DIV/0!</v>
      </c>
      <c r="X11" s="429">
        <f>H11*V1</f>
        <v>1106.6399999999999</v>
      </c>
      <c r="Y11" s="604">
        <f t="shared" si="9"/>
        <v>6.9164999999999992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9">
        <v>77863</v>
      </c>
      <c r="C12" s="638">
        <f t="shared" si="0"/>
        <v>208.79999999999998</v>
      </c>
      <c r="D12" s="772">
        <v>155358</v>
      </c>
      <c r="E12" s="638">
        <f t="shared" si="1"/>
        <v>0</v>
      </c>
      <c r="F12" s="768">
        <v>19121</v>
      </c>
      <c r="G12" s="638">
        <f t="shared" si="2"/>
        <v>23.779999999999998</v>
      </c>
      <c r="H12" s="638">
        <f t="shared" si="3"/>
        <v>232.57999999999998</v>
      </c>
      <c r="I12" s="768"/>
      <c r="J12" s="638"/>
      <c r="K12" s="768"/>
      <c r="L12" s="638"/>
      <c r="M12" s="638"/>
      <c r="N12" s="109"/>
      <c r="O12" s="535">
        <f t="shared" si="4"/>
        <v>0</v>
      </c>
      <c r="P12" s="109"/>
      <c r="Q12" s="436">
        <f t="shared" si="5"/>
        <v>134.89639999999997</v>
      </c>
      <c r="R12" s="109"/>
      <c r="S12" s="436">
        <f t="shared" si="6"/>
        <v>0</v>
      </c>
      <c r="T12" s="708">
        <f>Elect!BT11</f>
        <v>152</v>
      </c>
      <c r="U12" s="604">
        <f t="shared" si="7"/>
        <v>1.5301315789473684</v>
      </c>
      <c r="V12" s="708">
        <f>Elect!BV11</f>
        <v>0</v>
      </c>
      <c r="W12" s="604" t="e">
        <f t="shared" si="8"/>
        <v>#DIV/0!</v>
      </c>
      <c r="X12" s="429">
        <f>H12*V1</f>
        <v>930.31999999999994</v>
      </c>
      <c r="Y12" s="604">
        <f t="shared" si="9"/>
        <v>6.1205263157894736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9">
        <v>77897</v>
      </c>
      <c r="C13" s="638">
        <f t="shared" si="0"/>
        <v>197.2</v>
      </c>
      <c r="D13" s="772">
        <v>155358</v>
      </c>
      <c r="E13" s="638">
        <f t="shared" si="1"/>
        <v>0</v>
      </c>
      <c r="F13" s="768">
        <v>19199</v>
      </c>
      <c r="G13" s="638">
        <f t="shared" si="2"/>
        <v>45.239999999999995</v>
      </c>
      <c r="H13" s="638">
        <f>C13+E13+G13</f>
        <v>242.44</v>
      </c>
      <c r="I13" s="768"/>
      <c r="J13" s="638"/>
      <c r="K13" s="768"/>
      <c r="L13" s="638"/>
      <c r="M13" s="638"/>
      <c r="N13" s="109"/>
      <c r="O13" s="535">
        <f t="shared" si="4"/>
        <v>0</v>
      </c>
      <c r="P13" s="109"/>
      <c r="Q13" s="436">
        <f t="shared" si="5"/>
        <v>140.61519999999999</v>
      </c>
      <c r="R13" s="109"/>
      <c r="S13" s="436">
        <f t="shared" si="6"/>
        <v>0</v>
      </c>
      <c r="T13" s="708">
        <f>Elect!BT12</f>
        <v>161</v>
      </c>
      <c r="U13" s="604">
        <f t="shared" si="7"/>
        <v>1.5058385093167701</v>
      </c>
      <c r="V13" s="708">
        <f>Elect!BV12</f>
        <v>0</v>
      </c>
      <c r="W13" s="604" t="e">
        <f t="shared" si="8"/>
        <v>#DIV/0!</v>
      </c>
      <c r="X13" s="429">
        <f>H13*V1</f>
        <v>969.76</v>
      </c>
      <c r="Y13" s="604">
        <f t="shared" si="9"/>
        <v>6.0233540372670804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9">
        <v>77933</v>
      </c>
      <c r="C14" s="638">
        <f t="shared" si="0"/>
        <v>208.79999999999998</v>
      </c>
      <c r="D14" s="772">
        <v>155358</v>
      </c>
      <c r="E14" s="638">
        <f t="shared" si="1"/>
        <v>0</v>
      </c>
      <c r="F14" s="768">
        <v>19263</v>
      </c>
      <c r="G14" s="638">
        <f t="shared" si="2"/>
        <v>37.119999999999997</v>
      </c>
      <c r="H14" s="638">
        <f t="shared" si="3"/>
        <v>245.92</v>
      </c>
      <c r="I14" s="768"/>
      <c r="J14" s="638"/>
      <c r="K14" s="768"/>
      <c r="L14" s="638"/>
      <c r="M14" s="638"/>
      <c r="N14" s="109"/>
      <c r="O14" s="535">
        <f t="shared" si="4"/>
        <v>0</v>
      </c>
      <c r="P14" s="109"/>
      <c r="Q14" s="436">
        <f t="shared" si="5"/>
        <v>142.63359999999997</v>
      </c>
      <c r="R14" s="109"/>
      <c r="S14" s="436">
        <f t="shared" si="6"/>
        <v>0</v>
      </c>
      <c r="T14" s="708">
        <f>Elect!BT13</f>
        <v>91</v>
      </c>
      <c r="U14" s="604">
        <f t="shared" si="7"/>
        <v>2.7024175824175822</v>
      </c>
      <c r="V14" s="708">
        <f>Elect!BV13</f>
        <v>0</v>
      </c>
      <c r="W14" s="604" t="e">
        <f t="shared" si="8"/>
        <v>#DIV/0!</v>
      </c>
      <c r="X14" s="429">
        <f>H14*V1</f>
        <v>983.68</v>
      </c>
      <c r="Y14" s="604">
        <f t="shared" si="9"/>
        <v>10.809670329670329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9">
        <v>77967.666666666701</v>
      </c>
      <c r="C15" s="638">
        <f t="shared" si="0"/>
        <v>201.0666666668636</v>
      </c>
      <c r="D15" s="772">
        <v>155358</v>
      </c>
      <c r="E15" s="638">
        <f t="shared" si="1"/>
        <v>0</v>
      </c>
      <c r="F15" s="768">
        <v>19336.333333333299</v>
      </c>
      <c r="G15" s="638">
        <f t="shared" ref="G15:G37" si="11">IF(F15&gt;=F14,F15-F14,0)*0.58</f>
        <v>42.533333333313635</v>
      </c>
      <c r="H15" s="638">
        <f t="shared" si="3"/>
        <v>243.60000000017723</v>
      </c>
      <c r="I15" s="768"/>
      <c r="J15" s="638"/>
      <c r="K15" s="768"/>
      <c r="L15" s="638"/>
      <c r="M15" s="638"/>
      <c r="N15" s="109"/>
      <c r="O15" s="535">
        <f t="shared" si="4"/>
        <v>0</v>
      </c>
      <c r="P15" s="109"/>
      <c r="Q15" s="436">
        <f t="shared" si="5"/>
        <v>141.28800000010278</v>
      </c>
      <c r="R15" s="109"/>
      <c r="S15" s="436">
        <f t="shared" si="6"/>
        <v>0</v>
      </c>
      <c r="T15" s="708">
        <f>Elect!BT14</f>
        <v>156</v>
      </c>
      <c r="U15" s="604">
        <f t="shared" si="7"/>
        <v>1.5615384615395977</v>
      </c>
      <c r="V15" s="708">
        <f>Elect!BV14</f>
        <v>0</v>
      </c>
      <c r="W15" s="604" t="e">
        <f t="shared" si="8"/>
        <v>#DIV/0!</v>
      </c>
      <c r="X15" s="429">
        <f>H15*V1</f>
        <v>974.40000000070893</v>
      </c>
      <c r="Y15" s="604">
        <f t="shared" si="9"/>
        <v>6.246153846158391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9">
        <v>78018</v>
      </c>
      <c r="C16" s="638">
        <f t="shared" si="0"/>
        <v>291.93333333313637</v>
      </c>
      <c r="D16" s="772">
        <v>155358</v>
      </c>
      <c r="E16" s="638">
        <f t="shared" ref="E16:E28" si="12">IF(D16&gt;=D15,D16-D15,0)*10*0.58</f>
        <v>0</v>
      </c>
      <c r="F16" s="768">
        <v>19263</v>
      </c>
      <c r="G16" s="638">
        <f t="shared" si="11"/>
        <v>0</v>
      </c>
      <c r="H16" s="638">
        <f t="shared" si="3"/>
        <v>291.93333333313637</v>
      </c>
      <c r="I16" s="768"/>
      <c r="J16" s="638"/>
      <c r="K16" s="768"/>
      <c r="L16" s="638"/>
      <c r="M16" s="638"/>
      <c r="N16" s="109"/>
      <c r="O16" s="535">
        <f t="shared" si="4"/>
        <v>0</v>
      </c>
      <c r="P16" s="109"/>
      <c r="Q16" s="436">
        <f t="shared" si="5"/>
        <v>169.32133333321909</v>
      </c>
      <c r="R16" s="109"/>
      <c r="S16" s="436">
        <f t="shared" si="6"/>
        <v>0</v>
      </c>
      <c r="T16" s="708">
        <f>Elect!BT15</f>
        <v>154</v>
      </c>
      <c r="U16" s="604">
        <f t="shared" si="7"/>
        <v>1.8956709956697166</v>
      </c>
      <c r="V16" s="708">
        <f>Elect!BV15</f>
        <v>0</v>
      </c>
      <c r="W16" s="604" t="e">
        <f t="shared" si="8"/>
        <v>#DIV/0!</v>
      </c>
      <c r="X16" s="429">
        <f>H16*V1</f>
        <v>1167.7333333325455</v>
      </c>
      <c r="Y16" s="604">
        <f t="shared" si="9"/>
        <v>7.5826839826788666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9">
        <v>78049</v>
      </c>
      <c r="C17" s="638">
        <f t="shared" si="0"/>
        <v>179.79999999999998</v>
      </c>
      <c r="D17" s="772">
        <v>155358</v>
      </c>
      <c r="E17" s="638">
        <f t="shared" si="12"/>
        <v>0</v>
      </c>
      <c r="F17" s="768">
        <v>19263</v>
      </c>
      <c r="G17" s="638">
        <f t="shared" si="11"/>
        <v>0</v>
      </c>
      <c r="H17" s="638">
        <f t="shared" si="3"/>
        <v>179.79999999999998</v>
      </c>
      <c r="I17" s="768"/>
      <c r="J17" s="638"/>
      <c r="K17" s="768"/>
      <c r="L17" s="638"/>
      <c r="M17" s="638"/>
      <c r="N17" s="109"/>
      <c r="O17" s="535">
        <f t="shared" si="4"/>
        <v>0</v>
      </c>
      <c r="P17" s="109"/>
      <c r="Q17" s="436">
        <f t="shared" si="5"/>
        <v>104.28399999999998</v>
      </c>
      <c r="R17" s="109"/>
      <c r="S17" s="436">
        <f t="shared" si="6"/>
        <v>0</v>
      </c>
      <c r="T17" s="708">
        <f>Elect!BT16</f>
        <v>164</v>
      </c>
      <c r="U17" s="604">
        <f t="shared" si="7"/>
        <v>1.096341463414634</v>
      </c>
      <c r="V17" s="708">
        <f>Elect!BV16</f>
        <v>0</v>
      </c>
      <c r="W17" s="604" t="e">
        <f t="shared" si="8"/>
        <v>#DIV/0!</v>
      </c>
      <c r="X17" s="429">
        <f>H17*V1</f>
        <v>719.19999999999993</v>
      </c>
      <c r="Y17" s="604">
        <f t="shared" si="9"/>
        <v>4.385365853658536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9">
        <v>78107</v>
      </c>
      <c r="C18" s="638">
        <f t="shared" si="0"/>
        <v>336.4</v>
      </c>
      <c r="D18" s="772">
        <v>155358</v>
      </c>
      <c r="E18" s="638">
        <f t="shared" si="12"/>
        <v>0</v>
      </c>
      <c r="F18" s="768">
        <v>19263</v>
      </c>
      <c r="G18" s="638">
        <f t="shared" si="11"/>
        <v>0</v>
      </c>
      <c r="H18" s="638">
        <f t="shared" si="3"/>
        <v>336.4</v>
      </c>
      <c r="I18" s="768"/>
      <c r="J18" s="638"/>
      <c r="K18" s="768"/>
      <c r="L18" s="638"/>
      <c r="M18" s="638"/>
      <c r="N18" s="109"/>
      <c r="O18" s="535">
        <f t="shared" si="4"/>
        <v>0</v>
      </c>
      <c r="P18" s="109"/>
      <c r="Q18" s="436">
        <f t="shared" si="5"/>
        <v>195.11199999999997</v>
      </c>
      <c r="R18" s="109"/>
      <c r="S18" s="436">
        <f t="shared" si="6"/>
        <v>0</v>
      </c>
      <c r="T18" s="708">
        <f>Elect!BT17</f>
        <v>147</v>
      </c>
      <c r="U18" s="604">
        <f t="shared" si="7"/>
        <v>2.2884353741496599</v>
      </c>
      <c r="V18" s="708">
        <f>Elect!BV17</f>
        <v>0</v>
      </c>
      <c r="W18" s="604" t="e">
        <f t="shared" si="8"/>
        <v>#DIV/0!</v>
      </c>
      <c r="X18" s="429">
        <f>H18*V1</f>
        <v>1345.6</v>
      </c>
      <c r="Y18" s="604">
        <f t="shared" si="9"/>
        <v>9.1537414965986397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9">
        <v>78136</v>
      </c>
      <c r="C19" s="638">
        <f t="shared" si="0"/>
        <v>168.2</v>
      </c>
      <c r="D19" s="772">
        <v>155358</v>
      </c>
      <c r="E19" s="638">
        <f t="shared" si="12"/>
        <v>0</v>
      </c>
      <c r="F19" s="768">
        <v>19263</v>
      </c>
      <c r="G19" s="638">
        <f t="shared" si="11"/>
        <v>0</v>
      </c>
      <c r="H19" s="638">
        <f t="shared" si="3"/>
        <v>168.2</v>
      </c>
      <c r="I19" s="768"/>
      <c r="J19" s="638"/>
      <c r="K19" s="768"/>
      <c r="L19" s="638"/>
      <c r="M19" s="638"/>
      <c r="N19" s="109"/>
      <c r="O19" s="535">
        <f t="shared" si="4"/>
        <v>0</v>
      </c>
      <c r="P19" s="109"/>
      <c r="Q19" s="436">
        <f t="shared" si="5"/>
        <v>97.555999999999983</v>
      </c>
      <c r="R19" s="109"/>
      <c r="S19" s="436">
        <f t="shared" si="6"/>
        <v>0</v>
      </c>
      <c r="T19" s="708">
        <f>Elect!BT18</f>
        <v>131</v>
      </c>
      <c r="U19" s="604">
        <f t="shared" si="7"/>
        <v>1.2839694656488549</v>
      </c>
      <c r="V19" s="708">
        <f>Elect!BV18</f>
        <v>0</v>
      </c>
      <c r="W19" s="604" t="e">
        <f t="shared" si="8"/>
        <v>#DIV/0!</v>
      </c>
      <c r="X19" s="429">
        <f>H19*V1</f>
        <v>672.8</v>
      </c>
      <c r="Y19" s="604">
        <f t="shared" si="9"/>
        <v>5.1358778625954198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9">
        <v>78176</v>
      </c>
      <c r="C20" s="638">
        <f t="shared" si="0"/>
        <v>231.99999999999997</v>
      </c>
      <c r="D20" s="772">
        <v>155358</v>
      </c>
      <c r="E20" s="638">
        <f t="shared" si="12"/>
        <v>0</v>
      </c>
      <c r="F20" s="768">
        <v>19263</v>
      </c>
      <c r="G20" s="638">
        <f t="shared" si="11"/>
        <v>0</v>
      </c>
      <c r="H20" s="638">
        <f t="shared" si="3"/>
        <v>231.99999999999997</v>
      </c>
      <c r="I20" s="768"/>
      <c r="J20" s="638"/>
      <c r="K20" s="768"/>
      <c r="L20" s="638"/>
      <c r="M20" s="638"/>
      <c r="N20" s="109"/>
      <c r="O20" s="535">
        <f t="shared" si="4"/>
        <v>0</v>
      </c>
      <c r="P20" s="109"/>
      <c r="Q20" s="436">
        <f t="shared" si="5"/>
        <v>134.55999999999997</v>
      </c>
      <c r="R20" s="109"/>
      <c r="S20" s="436">
        <f t="shared" si="6"/>
        <v>0</v>
      </c>
      <c r="T20" s="708">
        <f>Elect!BT19</f>
        <v>146</v>
      </c>
      <c r="U20" s="604">
        <f t="shared" si="7"/>
        <v>1.5890410958904109</v>
      </c>
      <c r="V20" s="708">
        <f>Elect!BV19</f>
        <v>0</v>
      </c>
      <c r="W20" s="604" t="e">
        <f t="shared" si="8"/>
        <v>#DIV/0!</v>
      </c>
      <c r="X20" s="429">
        <f>H20*V1</f>
        <v>927.99999999999989</v>
      </c>
      <c r="Y20" s="604">
        <f t="shared" si="9"/>
        <v>6.3561643835616435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9">
        <v>78220</v>
      </c>
      <c r="C21" s="638">
        <f t="shared" si="0"/>
        <v>255.2</v>
      </c>
      <c r="D21" s="772">
        <v>155358</v>
      </c>
      <c r="E21" s="638">
        <f t="shared" si="12"/>
        <v>0</v>
      </c>
      <c r="F21" s="768">
        <v>19263</v>
      </c>
      <c r="G21" s="638">
        <f t="shared" si="11"/>
        <v>0</v>
      </c>
      <c r="H21" s="638">
        <f t="shared" si="3"/>
        <v>255.2</v>
      </c>
      <c r="I21" s="768"/>
      <c r="J21" s="638"/>
      <c r="K21" s="768"/>
      <c r="L21" s="638"/>
      <c r="M21" s="638"/>
      <c r="N21" s="109"/>
      <c r="O21" s="535">
        <f t="shared" si="4"/>
        <v>0</v>
      </c>
      <c r="P21" s="109"/>
      <c r="Q21" s="436">
        <f t="shared" si="5"/>
        <v>148.01599999999999</v>
      </c>
      <c r="R21" s="109"/>
      <c r="S21" s="436">
        <f t="shared" si="6"/>
        <v>0</v>
      </c>
      <c r="T21" s="708">
        <f>Elect!BT20</f>
        <v>147</v>
      </c>
      <c r="U21" s="604">
        <f t="shared" si="7"/>
        <v>1.7360544217687075</v>
      </c>
      <c r="V21" s="708">
        <f>Elect!BV20</f>
        <v>0</v>
      </c>
      <c r="W21" s="604" t="e">
        <f t="shared" si="8"/>
        <v>#DIV/0!</v>
      </c>
      <c r="X21" s="429">
        <f>H21*V1</f>
        <v>1020.8</v>
      </c>
      <c r="Y21" s="604">
        <f t="shared" si="9"/>
        <v>6.94421768707483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9">
        <v>78262</v>
      </c>
      <c r="C22" s="638">
        <f t="shared" ref="C22:C35" si="13">IF(B22&gt;=B21,B22-B21,0)*10*0.58</f>
        <v>243.6</v>
      </c>
      <c r="D22" s="772">
        <v>155358</v>
      </c>
      <c r="E22" s="638">
        <f t="shared" si="12"/>
        <v>0</v>
      </c>
      <c r="F22" s="768">
        <v>19263</v>
      </c>
      <c r="G22" s="638">
        <f t="shared" ref="G22:G35" si="14">IF(F22&gt;=F21,F22-F21,0)*0.58</f>
        <v>0</v>
      </c>
      <c r="H22" s="638">
        <f t="shared" si="3"/>
        <v>243.6</v>
      </c>
      <c r="I22" s="768"/>
      <c r="J22" s="638"/>
      <c r="K22" s="768"/>
      <c r="L22" s="638"/>
      <c r="M22" s="638"/>
      <c r="N22" s="109"/>
      <c r="O22" s="535">
        <f t="shared" si="4"/>
        <v>0</v>
      </c>
      <c r="P22" s="109"/>
      <c r="Q22" s="436">
        <f t="shared" si="5"/>
        <v>141.28799999999998</v>
      </c>
      <c r="R22" s="109"/>
      <c r="S22" s="436">
        <f t="shared" si="6"/>
        <v>0</v>
      </c>
      <c r="T22" s="708">
        <f>Elect!BT21</f>
        <v>160</v>
      </c>
      <c r="U22" s="604">
        <f t="shared" si="7"/>
        <v>1.5225</v>
      </c>
      <c r="V22" s="708">
        <f>Elect!BV21</f>
        <v>0</v>
      </c>
      <c r="W22" s="604" t="e">
        <f t="shared" si="8"/>
        <v>#DIV/0!</v>
      </c>
      <c r="X22" s="429">
        <f>H22*V1</f>
        <v>974.4</v>
      </c>
      <c r="Y22" s="604">
        <f t="shared" si="9"/>
        <v>6.09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9">
        <v>78301</v>
      </c>
      <c r="C23" s="638">
        <f t="shared" si="13"/>
        <v>226.2</v>
      </c>
      <c r="D23" s="772">
        <v>155358</v>
      </c>
      <c r="E23" s="638">
        <f t="shared" si="12"/>
        <v>0</v>
      </c>
      <c r="F23" s="768">
        <v>19263</v>
      </c>
      <c r="G23" s="638">
        <f t="shared" si="14"/>
        <v>0</v>
      </c>
      <c r="H23" s="638">
        <f t="shared" si="3"/>
        <v>226.2</v>
      </c>
      <c r="I23" s="768"/>
      <c r="J23" s="638"/>
      <c r="K23" s="768"/>
      <c r="L23" s="638"/>
      <c r="M23" s="638"/>
      <c r="N23" s="109"/>
      <c r="O23" s="535">
        <f t="shared" si="4"/>
        <v>0</v>
      </c>
      <c r="P23" s="109"/>
      <c r="Q23" s="436">
        <f t="shared" si="5"/>
        <v>131.196</v>
      </c>
      <c r="R23" s="109"/>
      <c r="S23" s="436">
        <f t="shared" si="6"/>
        <v>0</v>
      </c>
      <c r="T23" s="708">
        <f>Elect!BT22</f>
        <v>168</v>
      </c>
      <c r="U23" s="604">
        <f t="shared" si="7"/>
        <v>1.3464285714285713</v>
      </c>
      <c r="V23" s="708">
        <f>Elect!BV22</f>
        <v>0</v>
      </c>
      <c r="W23" s="604" t="e">
        <f t="shared" si="8"/>
        <v>#DIV/0!</v>
      </c>
      <c r="X23" s="429">
        <f>H23*V1</f>
        <v>904.8</v>
      </c>
      <c r="Y23" s="604">
        <f t="shared" si="9"/>
        <v>5.3857142857142852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9">
        <v>78342</v>
      </c>
      <c r="C24" s="638">
        <f t="shared" si="13"/>
        <v>237.79999999999998</v>
      </c>
      <c r="D24" s="772">
        <v>155358</v>
      </c>
      <c r="E24" s="638">
        <f t="shared" si="12"/>
        <v>0</v>
      </c>
      <c r="F24" s="768">
        <v>19263</v>
      </c>
      <c r="G24" s="638">
        <f t="shared" si="14"/>
        <v>0</v>
      </c>
      <c r="H24" s="638">
        <f t="shared" si="3"/>
        <v>237.79999999999998</v>
      </c>
      <c r="I24" s="768"/>
      <c r="J24" s="638"/>
      <c r="K24" s="768"/>
      <c r="L24" s="638"/>
      <c r="M24" s="638"/>
      <c r="N24" s="109"/>
      <c r="O24" s="535">
        <f t="shared" si="4"/>
        <v>0</v>
      </c>
      <c r="P24" s="109"/>
      <c r="Q24" s="436">
        <f t="shared" si="5"/>
        <v>137.92399999999998</v>
      </c>
      <c r="R24" s="109"/>
      <c r="S24" s="436">
        <f t="shared" si="6"/>
        <v>0</v>
      </c>
      <c r="T24" s="708">
        <f>Elect!BT23</f>
        <v>177</v>
      </c>
      <c r="U24" s="604">
        <f t="shared" si="7"/>
        <v>1.343502824858757</v>
      </c>
      <c r="V24" s="708">
        <f>Elect!BV23</f>
        <v>0</v>
      </c>
      <c r="W24" s="604" t="e">
        <f t="shared" si="8"/>
        <v>#DIV/0!</v>
      </c>
      <c r="X24" s="429">
        <f>H24*V1</f>
        <v>951.19999999999993</v>
      </c>
      <c r="Y24" s="604">
        <f t="shared" si="9"/>
        <v>5.3740112994350282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9">
        <v>78383</v>
      </c>
      <c r="C25" s="638">
        <f t="shared" si="13"/>
        <v>237.79999999999998</v>
      </c>
      <c r="D25" s="772">
        <v>155358</v>
      </c>
      <c r="E25" s="638">
        <f t="shared" si="12"/>
        <v>0</v>
      </c>
      <c r="F25" s="768">
        <v>19263</v>
      </c>
      <c r="G25" s="638">
        <f t="shared" si="14"/>
        <v>0</v>
      </c>
      <c r="H25" s="638">
        <f t="shared" si="3"/>
        <v>237.79999999999998</v>
      </c>
      <c r="I25" s="768"/>
      <c r="J25" s="638"/>
      <c r="K25" s="768"/>
      <c r="L25" s="638"/>
      <c r="M25" s="638"/>
      <c r="N25" s="109"/>
      <c r="O25" s="535">
        <f t="shared" si="4"/>
        <v>0</v>
      </c>
      <c r="P25" s="109"/>
      <c r="Q25" s="436">
        <f t="shared" si="5"/>
        <v>137.92399999999998</v>
      </c>
      <c r="R25" s="109"/>
      <c r="S25" s="436">
        <f t="shared" si="6"/>
        <v>0</v>
      </c>
      <c r="T25" s="708">
        <f>Elect!BT24</f>
        <v>163</v>
      </c>
      <c r="U25" s="604">
        <f t="shared" si="7"/>
        <v>1.4588957055214722</v>
      </c>
      <c r="V25" s="708">
        <f>Elect!BV24</f>
        <v>0</v>
      </c>
      <c r="W25" s="604" t="e">
        <f t="shared" si="8"/>
        <v>#DIV/0!</v>
      </c>
      <c r="X25" s="429">
        <f>H25*V1</f>
        <v>951.19999999999993</v>
      </c>
      <c r="Y25" s="604">
        <f t="shared" si="9"/>
        <v>5.8355828220858887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9">
        <v>78424</v>
      </c>
      <c r="C26" s="638">
        <f t="shared" si="13"/>
        <v>237.79999999999998</v>
      </c>
      <c r="D26" s="772">
        <v>155358</v>
      </c>
      <c r="E26" s="638">
        <f t="shared" si="12"/>
        <v>0</v>
      </c>
      <c r="F26" s="768">
        <v>19263</v>
      </c>
      <c r="G26" s="638">
        <f t="shared" si="14"/>
        <v>0</v>
      </c>
      <c r="H26" s="638">
        <f t="shared" si="3"/>
        <v>237.79999999999998</v>
      </c>
      <c r="I26" s="768"/>
      <c r="J26" s="638"/>
      <c r="K26" s="768"/>
      <c r="L26" s="638"/>
      <c r="M26" s="638"/>
      <c r="N26" s="109"/>
      <c r="O26" s="535">
        <f t="shared" si="4"/>
        <v>0</v>
      </c>
      <c r="P26" s="109"/>
      <c r="Q26" s="436">
        <f t="shared" si="5"/>
        <v>137.92399999999998</v>
      </c>
      <c r="R26" s="109"/>
      <c r="S26" s="436">
        <f t="shared" si="6"/>
        <v>0</v>
      </c>
      <c r="T26" s="708">
        <f>Elect!BT25</f>
        <v>165</v>
      </c>
      <c r="U26" s="604">
        <f t="shared" si="7"/>
        <v>1.4412121212121212</v>
      </c>
      <c r="V26" s="708">
        <f>Elect!BV25</f>
        <v>0</v>
      </c>
      <c r="W26" s="604" t="e">
        <f t="shared" si="8"/>
        <v>#DIV/0!</v>
      </c>
      <c r="X26" s="429">
        <f>H26*V1</f>
        <v>951.19999999999993</v>
      </c>
      <c r="Y26" s="604">
        <f t="shared" si="9"/>
        <v>5.7648484848484847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9">
        <v>78464</v>
      </c>
      <c r="C27" s="638">
        <f t="shared" si="13"/>
        <v>231.99999999999997</v>
      </c>
      <c r="D27" s="772">
        <v>155358</v>
      </c>
      <c r="E27" s="638">
        <f t="shared" si="12"/>
        <v>0</v>
      </c>
      <c r="F27" s="768">
        <v>19263</v>
      </c>
      <c r="G27" s="638">
        <f t="shared" si="14"/>
        <v>0</v>
      </c>
      <c r="H27" s="638">
        <f t="shared" si="3"/>
        <v>231.99999999999997</v>
      </c>
      <c r="I27" s="768"/>
      <c r="J27" s="638"/>
      <c r="K27" s="768"/>
      <c r="L27" s="638"/>
      <c r="M27" s="638"/>
      <c r="N27" s="109"/>
      <c r="O27" s="535">
        <f t="shared" si="4"/>
        <v>0</v>
      </c>
      <c r="P27" s="109"/>
      <c r="Q27" s="436">
        <f t="shared" si="5"/>
        <v>134.55999999999997</v>
      </c>
      <c r="R27" s="109"/>
      <c r="S27" s="436">
        <f t="shared" si="6"/>
        <v>0</v>
      </c>
      <c r="T27" s="708">
        <f>Elect!BT26</f>
        <v>173</v>
      </c>
      <c r="U27" s="604">
        <f t="shared" si="7"/>
        <v>1.3410404624277454</v>
      </c>
      <c r="V27" s="708">
        <f>Elect!BV26</f>
        <v>0</v>
      </c>
      <c r="W27" s="604" t="e">
        <f t="shared" si="8"/>
        <v>#DIV/0!</v>
      </c>
      <c r="X27" s="429">
        <f>H27*V1</f>
        <v>927.99999999999989</v>
      </c>
      <c r="Y27" s="604">
        <f t="shared" si="9"/>
        <v>5.3641618497109818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9">
        <v>78483</v>
      </c>
      <c r="C28" s="638">
        <f t="shared" si="13"/>
        <v>110.19999999999999</v>
      </c>
      <c r="D28" s="772">
        <v>155358</v>
      </c>
      <c r="E28" s="638">
        <f t="shared" si="12"/>
        <v>0</v>
      </c>
      <c r="F28" s="768">
        <v>20015</v>
      </c>
      <c r="G28" s="638">
        <f t="shared" si="14"/>
        <v>436.15999999999997</v>
      </c>
      <c r="H28" s="638">
        <f t="shared" si="3"/>
        <v>546.3599999999999</v>
      </c>
      <c r="I28" s="768"/>
      <c r="J28" s="638"/>
      <c r="K28" s="768"/>
      <c r="L28" s="638"/>
      <c r="M28" s="638"/>
      <c r="N28" s="109"/>
      <c r="O28" s="535">
        <f t="shared" si="4"/>
        <v>0</v>
      </c>
      <c r="P28" s="109"/>
      <c r="Q28" s="436">
        <f t="shared" si="5"/>
        <v>316.88879999999995</v>
      </c>
      <c r="R28" s="109"/>
      <c r="S28" s="436">
        <f t="shared" si="6"/>
        <v>0</v>
      </c>
      <c r="T28" s="708">
        <f>Elect!BT27</f>
        <v>187</v>
      </c>
      <c r="U28" s="604">
        <f t="shared" si="7"/>
        <v>2.9217112299465233</v>
      </c>
      <c r="V28" s="708">
        <f>Elect!BV27</f>
        <v>0</v>
      </c>
      <c r="W28" s="604" t="e">
        <f t="shared" si="8"/>
        <v>#DIV/0!</v>
      </c>
      <c r="X28" s="429">
        <f>H28*V1</f>
        <v>2185.4399999999996</v>
      </c>
      <c r="Y28" s="604">
        <f t="shared" si="9"/>
        <v>11.686844919786093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9">
        <v>78518</v>
      </c>
      <c r="C29" s="638">
        <f t="shared" si="13"/>
        <v>203</v>
      </c>
      <c r="D29" s="772">
        <v>155358</v>
      </c>
      <c r="E29" s="638">
        <f t="shared" ref="E29:E30" si="15">IF(D29&gt;=D28,D29-D28,0)*10*0.58</f>
        <v>0</v>
      </c>
      <c r="F29" s="768">
        <v>20190</v>
      </c>
      <c r="G29" s="638">
        <f t="shared" si="14"/>
        <v>101.5</v>
      </c>
      <c r="H29" s="638">
        <f t="shared" si="3"/>
        <v>304.5</v>
      </c>
      <c r="I29" s="768"/>
      <c r="J29" s="638"/>
      <c r="K29" s="768"/>
      <c r="L29" s="638"/>
      <c r="M29" s="638"/>
      <c r="N29" s="109"/>
      <c r="O29" s="535">
        <f t="shared" si="4"/>
        <v>0</v>
      </c>
      <c r="P29" s="109"/>
      <c r="Q29" s="436">
        <f t="shared" si="5"/>
        <v>176.60999999999999</v>
      </c>
      <c r="R29" s="458"/>
      <c r="S29" s="436">
        <f t="shared" si="6"/>
        <v>0</v>
      </c>
      <c r="T29" s="708">
        <f>Elect!BT28</f>
        <v>194</v>
      </c>
      <c r="U29" s="604">
        <f t="shared" si="7"/>
        <v>1.5695876288659794</v>
      </c>
      <c r="V29" s="708">
        <f>Elect!BV28</f>
        <v>0</v>
      </c>
      <c r="W29" s="604" t="e">
        <f t="shared" si="8"/>
        <v>#DIV/0!</v>
      </c>
      <c r="X29" s="429">
        <f>H29*V1</f>
        <v>1218</v>
      </c>
      <c r="Y29" s="604">
        <f t="shared" si="9"/>
        <v>6.2783505154639174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9">
        <v>78555</v>
      </c>
      <c r="C30" s="638">
        <f t="shared" si="13"/>
        <v>214.6</v>
      </c>
      <c r="D30" s="772">
        <v>155358</v>
      </c>
      <c r="E30" s="638">
        <f t="shared" si="15"/>
        <v>0</v>
      </c>
      <c r="F30" s="768">
        <v>20384</v>
      </c>
      <c r="G30" s="638">
        <f t="shared" si="14"/>
        <v>112.52</v>
      </c>
      <c r="H30" s="638">
        <f t="shared" si="3"/>
        <v>327.12</v>
      </c>
      <c r="I30" s="768"/>
      <c r="J30" s="638"/>
      <c r="K30" s="768"/>
      <c r="L30" s="638"/>
      <c r="M30" s="638"/>
      <c r="N30" s="109"/>
      <c r="O30" s="535">
        <f t="shared" si="4"/>
        <v>0</v>
      </c>
      <c r="P30" s="109"/>
      <c r="Q30" s="436">
        <f t="shared" si="5"/>
        <v>189.72959999999998</v>
      </c>
      <c r="R30" s="458"/>
      <c r="S30" s="436">
        <f t="shared" si="6"/>
        <v>0</v>
      </c>
      <c r="T30" s="708">
        <f>Elect!BT29</f>
        <v>191</v>
      </c>
      <c r="U30" s="604">
        <f t="shared" si="7"/>
        <v>1.7126701570680629</v>
      </c>
      <c r="V30" s="708">
        <f>Elect!BV29</f>
        <v>0</v>
      </c>
      <c r="W30" s="604" t="e">
        <f t="shared" si="8"/>
        <v>#DIV/0!</v>
      </c>
      <c r="X30" s="429">
        <f>H30*V1</f>
        <v>1308.48</v>
      </c>
      <c r="Y30" s="604">
        <f t="shared" si="9"/>
        <v>6.8506806282722517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9">
        <v>78591</v>
      </c>
      <c r="C31" s="638">
        <f t="shared" si="13"/>
        <v>208.79999999999998</v>
      </c>
      <c r="D31" s="772">
        <v>155358</v>
      </c>
      <c r="E31" s="638">
        <f t="shared" ref="E31:E37" si="16">IF(D31&gt;=D30,D31-D30,0)*10*0.58</f>
        <v>0</v>
      </c>
      <c r="F31" s="768">
        <v>20384</v>
      </c>
      <c r="G31" s="638">
        <f t="shared" si="14"/>
        <v>0</v>
      </c>
      <c r="H31" s="638">
        <f t="shared" si="3"/>
        <v>208.79999999999998</v>
      </c>
      <c r="I31" s="768"/>
      <c r="J31" s="638"/>
      <c r="K31" s="768"/>
      <c r="L31" s="638"/>
      <c r="M31" s="638"/>
      <c r="N31" s="109"/>
      <c r="O31" s="535">
        <f t="shared" si="4"/>
        <v>0</v>
      </c>
      <c r="P31" s="109"/>
      <c r="Q31" s="436">
        <f t="shared" si="5"/>
        <v>121.10399999999998</v>
      </c>
      <c r="R31" s="458"/>
      <c r="S31" s="436">
        <f t="shared" si="6"/>
        <v>0</v>
      </c>
      <c r="T31" s="708">
        <f>Elect!BT30</f>
        <v>194</v>
      </c>
      <c r="U31" s="604">
        <f t="shared" si="7"/>
        <v>1.0762886597938144</v>
      </c>
      <c r="V31" s="708">
        <f>Elect!BV30</f>
        <v>0</v>
      </c>
      <c r="W31" s="604" t="e">
        <f t="shared" si="8"/>
        <v>#DIV/0!</v>
      </c>
      <c r="X31" s="429">
        <f>H31*V1</f>
        <v>835.19999999999993</v>
      </c>
      <c r="Y31" s="604">
        <f t="shared" si="9"/>
        <v>4.3051546391752575</v>
      </c>
      <c r="Z31" s="607" t="e">
        <f t="shared" ref="Z31:Z37" si="17">IF(X31&gt;0,X31/V31,0)</f>
        <v>#DIV/0!</v>
      </c>
    </row>
    <row r="32" spans="1:26" s="3" customFormat="1" ht="36.75" customHeight="1">
      <c r="A32" s="595">
        <v>26</v>
      </c>
      <c r="B32" s="769">
        <v>78644</v>
      </c>
      <c r="C32" s="638">
        <f t="shared" si="13"/>
        <v>307.39999999999998</v>
      </c>
      <c r="D32" s="772">
        <v>155358</v>
      </c>
      <c r="E32" s="638">
        <f t="shared" si="16"/>
        <v>0</v>
      </c>
      <c r="F32" s="768">
        <v>20507</v>
      </c>
      <c r="G32" s="638">
        <f t="shared" si="14"/>
        <v>71.339999999999989</v>
      </c>
      <c r="H32" s="638">
        <f t="shared" si="3"/>
        <v>378.73999999999995</v>
      </c>
      <c r="I32" s="768"/>
      <c r="J32" s="638"/>
      <c r="K32" s="768"/>
      <c r="L32" s="638"/>
      <c r="M32" s="638"/>
      <c r="N32" s="109"/>
      <c r="O32" s="535">
        <f t="shared" si="4"/>
        <v>0</v>
      </c>
      <c r="P32" s="109"/>
      <c r="Q32" s="436">
        <f t="shared" si="5"/>
        <v>219.66919999999996</v>
      </c>
      <c r="R32" s="458"/>
      <c r="S32" s="436">
        <f t="shared" si="6"/>
        <v>0</v>
      </c>
      <c r="T32" s="708">
        <f>Elect!BT31</f>
        <v>191</v>
      </c>
      <c r="U32" s="604">
        <f t="shared" si="7"/>
        <v>1.9829319371727747</v>
      </c>
      <c r="V32" s="708">
        <f>Elect!BV31</f>
        <v>0</v>
      </c>
      <c r="W32" s="604" t="e">
        <f t="shared" si="8"/>
        <v>#DIV/0!</v>
      </c>
      <c r="X32" s="429">
        <f>H32*V1</f>
        <v>1514.9599999999998</v>
      </c>
      <c r="Y32" s="604">
        <f t="shared" si="9"/>
        <v>7.9317277486910989</v>
      </c>
      <c r="Z32" s="607" t="e">
        <f t="shared" si="17"/>
        <v>#DIV/0!</v>
      </c>
    </row>
    <row r="33" spans="1:26" s="3" customFormat="1" ht="36.75" customHeight="1">
      <c r="A33" s="596">
        <v>27</v>
      </c>
      <c r="B33" s="769">
        <v>78685</v>
      </c>
      <c r="C33" s="638">
        <f t="shared" si="13"/>
        <v>237.79999999999998</v>
      </c>
      <c r="D33" s="772">
        <v>155361</v>
      </c>
      <c r="E33" s="638">
        <f t="shared" si="16"/>
        <v>17.399999999999999</v>
      </c>
      <c r="F33" s="768">
        <v>20507</v>
      </c>
      <c r="G33" s="638">
        <f t="shared" si="14"/>
        <v>0</v>
      </c>
      <c r="H33" s="638">
        <f t="shared" si="3"/>
        <v>255.2</v>
      </c>
      <c r="I33" s="768"/>
      <c r="J33" s="638"/>
      <c r="K33" s="768"/>
      <c r="L33" s="638"/>
      <c r="M33" s="638"/>
      <c r="N33" s="109"/>
      <c r="O33" s="535">
        <f t="shared" si="4"/>
        <v>0</v>
      </c>
      <c r="P33" s="109"/>
      <c r="Q33" s="436">
        <f t="shared" si="5"/>
        <v>148.01599999999999</v>
      </c>
      <c r="R33" s="458"/>
      <c r="S33" s="436">
        <f t="shared" si="6"/>
        <v>0</v>
      </c>
      <c r="T33" s="708">
        <f>Elect!BT32</f>
        <v>191</v>
      </c>
      <c r="U33" s="604">
        <f t="shared" si="7"/>
        <v>1.3361256544502618</v>
      </c>
      <c r="V33" s="708">
        <f>Elect!BV32</f>
        <v>0</v>
      </c>
      <c r="W33" s="604" t="e">
        <f t="shared" si="8"/>
        <v>#DIV/0!</v>
      </c>
      <c r="X33" s="429">
        <f>H33*V1</f>
        <v>1020.8</v>
      </c>
      <c r="Y33" s="604">
        <f t="shared" si="9"/>
        <v>5.3445026178010471</v>
      </c>
      <c r="Z33" s="607" t="e">
        <f t="shared" si="17"/>
        <v>#DIV/0!</v>
      </c>
    </row>
    <row r="34" spans="1:26" s="3" customFormat="1" ht="36.75" customHeight="1">
      <c r="A34" s="595">
        <v>28</v>
      </c>
      <c r="B34" s="769">
        <v>78729</v>
      </c>
      <c r="C34" s="638">
        <f t="shared" si="13"/>
        <v>255.2</v>
      </c>
      <c r="D34" s="772">
        <v>155361</v>
      </c>
      <c r="E34" s="638">
        <f t="shared" si="16"/>
        <v>0</v>
      </c>
      <c r="F34" s="768">
        <v>20507</v>
      </c>
      <c r="G34" s="638">
        <f t="shared" si="14"/>
        <v>0</v>
      </c>
      <c r="H34" s="638">
        <f t="shared" si="3"/>
        <v>255.2</v>
      </c>
      <c r="I34" s="768"/>
      <c r="J34" s="638"/>
      <c r="K34" s="768"/>
      <c r="L34" s="638"/>
      <c r="M34" s="638"/>
      <c r="N34" s="109"/>
      <c r="O34" s="535">
        <f t="shared" si="4"/>
        <v>0</v>
      </c>
      <c r="P34" s="109"/>
      <c r="Q34" s="436">
        <f t="shared" si="5"/>
        <v>148.01599999999999</v>
      </c>
      <c r="R34" s="458"/>
      <c r="S34" s="436">
        <f t="shared" si="6"/>
        <v>0</v>
      </c>
      <c r="T34" s="708">
        <f>Elect!BT33</f>
        <v>176</v>
      </c>
      <c r="U34" s="604">
        <f t="shared" si="7"/>
        <v>1.45</v>
      </c>
      <c r="V34" s="708">
        <f>Elect!BV33</f>
        <v>0</v>
      </c>
      <c r="W34" s="604" t="e">
        <f t="shared" si="8"/>
        <v>#DIV/0!</v>
      </c>
      <c r="X34" s="429">
        <f>H34*V1</f>
        <v>1020.8</v>
      </c>
      <c r="Y34" s="604">
        <f t="shared" si="9"/>
        <v>5.8</v>
      </c>
      <c r="Z34" s="607" t="e">
        <f t="shared" si="17"/>
        <v>#DIV/0!</v>
      </c>
    </row>
    <row r="35" spans="1:26" s="3" customFormat="1" ht="36.75" customHeight="1">
      <c r="A35" s="595">
        <v>29</v>
      </c>
      <c r="B35" s="769">
        <v>78769</v>
      </c>
      <c r="C35" s="638">
        <f t="shared" si="13"/>
        <v>231.99999999999997</v>
      </c>
      <c r="D35" s="772">
        <v>155362</v>
      </c>
      <c r="E35" s="638">
        <f t="shared" si="16"/>
        <v>5.8</v>
      </c>
      <c r="F35" s="768">
        <v>20508</v>
      </c>
      <c r="G35" s="638">
        <f t="shared" si="14"/>
        <v>0.57999999999999996</v>
      </c>
      <c r="H35" s="638">
        <f t="shared" si="3"/>
        <v>238.38</v>
      </c>
      <c r="I35" s="768"/>
      <c r="J35" s="638"/>
      <c r="K35" s="768"/>
      <c r="L35" s="638"/>
      <c r="M35" s="638"/>
      <c r="N35" s="109"/>
      <c r="O35" s="535">
        <f t="shared" si="4"/>
        <v>0</v>
      </c>
      <c r="P35" s="526"/>
      <c r="Q35" s="436">
        <f t="shared" si="5"/>
        <v>138.26039999999998</v>
      </c>
      <c r="R35" s="458"/>
      <c r="S35" s="436">
        <f t="shared" si="6"/>
        <v>0</v>
      </c>
      <c r="T35" s="708">
        <f>Elect!BT34</f>
        <v>175</v>
      </c>
      <c r="U35" s="604">
        <f t="shared" si="7"/>
        <v>1.3621714285714286</v>
      </c>
      <c r="V35" s="708">
        <f>Elect!BV34</f>
        <v>0</v>
      </c>
      <c r="W35" s="604" t="e">
        <f t="shared" si="8"/>
        <v>#DIV/0!</v>
      </c>
      <c r="X35" s="429">
        <f>H35*V1</f>
        <v>953.52</v>
      </c>
      <c r="Y35" s="604">
        <f t="shared" si="9"/>
        <v>5.4486857142857144</v>
      </c>
      <c r="Z35" s="607" t="e">
        <f t="shared" si="17"/>
        <v>#DIV/0!</v>
      </c>
    </row>
    <row r="36" spans="1:26" s="3" customFormat="1" ht="36.75" customHeight="1">
      <c r="A36" s="596">
        <v>30</v>
      </c>
      <c r="B36" s="769">
        <v>78818</v>
      </c>
      <c r="C36" s="638">
        <f t="shared" ref="C36:C37" si="18">IF(B36&gt;=B35,B36-B35,0)*10*0.58</f>
        <v>284.2</v>
      </c>
      <c r="D36" s="772">
        <v>155362</v>
      </c>
      <c r="E36" s="638">
        <f t="shared" si="16"/>
        <v>0</v>
      </c>
      <c r="F36" s="768">
        <v>20508</v>
      </c>
      <c r="G36" s="638">
        <f t="shared" si="11"/>
        <v>0</v>
      </c>
      <c r="H36" s="638">
        <f t="shared" si="3"/>
        <v>284.2</v>
      </c>
      <c r="I36" s="768"/>
      <c r="J36" s="638"/>
      <c r="K36" s="768"/>
      <c r="L36" s="638"/>
      <c r="M36" s="638"/>
      <c r="N36" s="109"/>
      <c r="O36" s="535">
        <f t="shared" si="4"/>
        <v>0</v>
      </c>
      <c r="P36" s="526"/>
      <c r="Q36" s="436">
        <f t="shared" si="5"/>
        <v>164.83599999999998</v>
      </c>
      <c r="R36" s="458"/>
      <c r="S36" s="436">
        <f t="shared" si="6"/>
        <v>0</v>
      </c>
      <c r="T36" s="708">
        <f>Elect!BT35</f>
        <v>175</v>
      </c>
      <c r="U36" s="604">
        <f t="shared" si="7"/>
        <v>1.6239999999999999</v>
      </c>
      <c r="V36" s="708">
        <f>Elect!BV35</f>
        <v>0</v>
      </c>
      <c r="W36" s="604" t="e">
        <f t="shared" si="8"/>
        <v>#DIV/0!</v>
      </c>
      <c r="X36" s="429">
        <f>H36*V1</f>
        <v>1136.8</v>
      </c>
      <c r="Y36" s="604">
        <f t="shared" si="9"/>
        <v>6.4959999999999996</v>
      </c>
      <c r="Z36" s="607" t="e">
        <f t="shared" si="17"/>
        <v>#DIV/0!</v>
      </c>
    </row>
    <row r="37" spans="1:26" s="3" customFormat="1" ht="36.75" customHeight="1" thickBot="1">
      <c r="A37" s="595">
        <v>31</v>
      </c>
      <c r="B37" s="769">
        <v>78818</v>
      </c>
      <c r="C37" s="638">
        <f t="shared" si="18"/>
        <v>0</v>
      </c>
      <c r="D37" s="772">
        <v>155362</v>
      </c>
      <c r="E37" s="638">
        <f t="shared" si="16"/>
        <v>0</v>
      </c>
      <c r="F37" s="768">
        <v>20508</v>
      </c>
      <c r="G37" s="638">
        <f t="shared" si="11"/>
        <v>0</v>
      </c>
      <c r="H37" s="638">
        <f t="shared" si="3"/>
        <v>0</v>
      </c>
      <c r="I37" s="768">
        <v>224</v>
      </c>
      <c r="J37" s="725"/>
      <c r="K37" s="768">
        <v>3322</v>
      </c>
      <c r="L37" s="725"/>
      <c r="M37" s="725"/>
      <c r="N37" s="526"/>
      <c r="O37" s="535">
        <f t="shared" si="4"/>
        <v>0</v>
      </c>
      <c r="P37" s="526"/>
      <c r="Q37" s="436">
        <f t="shared" si="5"/>
        <v>0</v>
      </c>
      <c r="R37" s="724"/>
      <c r="S37" s="436">
        <f t="shared" si="6"/>
        <v>0</v>
      </c>
      <c r="T37" s="708">
        <f>Elect!BT36</f>
        <v>0</v>
      </c>
      <c r="U37" s="604" t="e">
        <f t="shared" si="7"/>
        <v>#DIV/0!</v>
      </c>
      <c r="V37" s="708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7"/>
        <v>0</v>
      </c>
    </row>
    <row r="38" spans="1:26" s="3" customFormat="1" ht="36.75" customHeight="1" thickBot="1">
      <c r="A38" s="541" t="s">
        <v>122</v>
      </c>
      <c r="B38" s="769"/>
      <c r="C38" s="730">
        <f>SUM(C7:C37)</f>
        <v>6977.4</v>
      </c>
      <c r="D38" s="538"/>
      <c r="E38" s="730">
        <f>SUM(E7:E37)</f>
        <v>23.2</v>
      </c>
      <c r="F38" s="538"/>
      <c r="G38" s="730">
        <f>SUM(G7:G37)</f>
        <v>985.03333333331364</v>
      </c>
      <c r="H38" s="730">
        <f>SUM(H7:H37)</f>
        <v>7985.6333333333132</v>
      </c>
      <c r="I38" s="730">
        <f>I37-I6</f>
        <v>4</v>
      </c>
      <c r="J38" s="542"/>
      <c r="K38" s="730">
        <f>K37-K6</f>
        <v>111</v>
      </c>
      <c r="L38" s="542"/>
      <c r="M38" s="542"/>
      <c r="N38" s="538"/>
      <c r="O38" s="542">
        <f>SUM(O7:O36)</f>
        <v>0</v>
      </c>
      <c r="P38" s="538"/>
      <c r="Q38" s="542">
        <f>SUM(Q7:Q34)</f>
        <v>4328.5709333333207</v>
      </c>
      <c r="R38" s="538"/>
      <c r="S38" s="542">
        <f>SUM(S7:S34)</f>
        <v>0</v>
      </c>
      <c r="T38" s="543">
        <f>SUM(T7:T36)</f>
        <v>4814</v>
      </c>
      <c r="U38" s="605">
        <f>IF(H38&gt;0,H38/T38,0)</f>
        <v>1.6588353413654577</v>
      </c>
      <c r="V38" s="661">
        <f>SUM(V7:V36)</f>
        <v>0</v>
      </c>
      <c r="W38" s="605" t="e">
        <f>IF(H38&gt;0,H38/V38,0)</f>
        <v>#DIV/0!</v>
      </c>
      <c r="X38" s="608">
        <f>SUM(X7:X36)</f>
        <v>31942.533333333253</v>
      </c>
      <c r="Y38" s="605">
        <f t="shared" ref="Y38:Y44" si="19">IF(X38&gt;0,X38/T38,0)</f>
        <v>6.635341365461831</v>
      </c>
      <c r="Z38" s="609" t="e">
        <f t="shared" ref="Z38:Z44" si="20">IF(X38&gt;0,X38/V38,0)</f>
        <v>#DIV/0!</v>
      </c>
    </row>
    <row r="39" spans="1:26" s="3" customFormat="1" ht="36.75" customHeight="1" thickBot="1">
      <c r="A39" s="545" t="s">
        <v>123</v>
      </c>
      <c r="B39" s="769"/>
      <c r="C39" s="547">
        <f>C38/B48</f>
        <v>232.57999999999998</v>
      </c>
      <c r="D39" s="539"/>
      <c r="E39" s="547">
        <f>E38/B48</f>
        <v>0.77333333333333332</v>
      </c>
      <c r="F39" s="539"/>
      <c r="G39" s="547">
        <f>G38/B48</f>
        <v>32.83444444444379</v>
      </c>
      <c r="H39" s="547">
        <f>H38/B48</f>
        <v>266.18777777777711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144.28569777777736</v>
      </c>
      <c r="R39" s="539"/>
      <c r="S39" s="547" t="e">
        <f>S38/C48</f>
        <v>#DIV/0!</v>
      </c>
      <c r="T39" s="548">
        <f>T38/B48</f>
        <v>160.46666666666667</v>
      </c>
      <c r="U39" s="606">
        <f>IF(H39&gt;0,H39/T39,0)</f>
        <v>1.6588353413654577</v>
      </c>
      <c r="V39" s="621">
        <f>V38/B48</f>
        <v>0</v>
      </c>
      <c r="W39" s="605" t="e">
        <f>IF(H39&gt;0,H39/V39,0)</f>
        <v>#DIV/0!</v>
      </c>
      <c r="X39" s="610">
        <f>X38/B48</f>
        <v>1064.7511111111085</v>
      </c>
      <c r="Y39" s="606">
        <f t="shared" si="19"/>
        <v>6.635341365461831</v>
      </c>
      <c r="Z39" s="611" t="e">
        <f t="shared" si="20"/>
        <v>#DIV/0!</v>
      </c>
    </row>
    <row r="40" spans="1:26" s="3" customFormat="1" ht="36.75" customHeight="1">
      <c r="A40" s="597" t="s">
        <v>163</v>
      </c>
      <c r="B40" s="612"/>
      <c r="C40" s="613"/>
      <c r="D40" s="613"/>
      <c r="E40" s="614"/>
      <c r="F40" s="613"/>
      <c r="G40" s="614"/>
      <c r="H40" s="614"/>
      <c r="I40" s="614"/>
      <c r="J40" s="614"/>
      <c r="K40" s="614"/>
      <c r="L40" s="614"/>
      <c r="M40" s="614"/>
      <c r="N40" s="538"/>
      <c r="O40" s="614"/>
      <c r="P40" s="538"/>
      <c r="Q40" s="614"/>
      <c r="R40" s="613"/>
      <c r="S40" s="613"/>
      <c r="T40" s="615">
        <f>YTD!Q2341</f>
        <v>0</v>
      </c>
      <c r="U40" s="616" t="e">
        <f>IF(#REF!&gt;0,#REF!/T40,0)</f>
        <v>#REF!</v>
      </c>
      <c r="V40" s="617">
        <f>YTD!Q2342</f>
        <v>0</v>
      </c>
      <c r="W40" s="605" t="e">
        <f>IF(#REF!&gt;0,#REF!/V40,0)</f>
        <v>#REF!</v>
      </c>
      <c r="X40" s="618">
        <f>YTD!Q2346</f>
        <v>0</v>
      </c>
      <c r="Y40" s="605">
        <f t="shared" si="19"/>
        <v>0</v>
      </c>
      <c r="Z40" s="609">
        <f t="shared" si="20"/>
        <v>0</v>
      </c>
    </row>
    <row r="41" spans="1:26" s="3" customFormat="1" ht="36.75" customHeight="1" thickBot="1">
      <c r="A41" s="598" t="s">
        <v>164</v>
      </c>
      <c r="B41" s="619"/>
      <c r="C41" s="620"/>
      <c r="D41" s="620"/>
      <c r="E41" s="539"/>
      <c r="F41" s="620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20"/>
      <c r="S41" s="620"/>
      <c r="T41" s="548" t="e">
        <f>T42*C48</f>
        <v>#VALUE!</v>
      </c>
      <c r="U41" s="606" t="e">
        <f>IF(#REF!&gt;0,#REF!/T41,0)</f>
        <v>#REF!</v>
      </c>
      <c r="V41" s="621" t="e">
        <f>V42*C48</f>
        <v>#VALUE!</v>
      </c>
      <c r="W41" s="606" t="e">
        <f>IF(#REF!&gt;0,#REF!/V41,0)</f>
        <v>#REF!</v>
      </c>
      <c r="X41" s="622" t="e">
        <f>#REF!*5.62</f>
        <v>#REF!</v>
      </c>
      <c r="Y41" s="606" t="e">
        <f t="shared" si="19"/>
        <v>#REF!</v>
      </c>
      <c r="Z41" s="611" t="e">
        <f t="shared" si="20"/>
        <v>#REF!</v>
      </c>
    </row>
    <row r="42" spans="1:26" s="630" customFormat="1" ht="42.75" customHeight="1" thickBot="1">
      <c r="A42" s="599" t="s">
        <v>165</v>
      </c>
      <c r="B42" s="623"/>
      <c r="C42" s="623"/>
      <c r="D42" s="624"/>
      <c r="E42" s="623"/>
      <c r="F42" s="624"/>
      <c r="G42" s="623"/>
      <c r="H42" s="623"/>
      <c r="I42" s="623"/>
      <c r="J42" s="623"/>
      <c r="K42" s="623"/>
      <c r="L42" s="623"/>
      <c r="M42" s="623"/>
      <c r="N42" s="624"/>
      <c r="O42" s="623"/>
      <c r="P42" s="624"/>
      <c r="Q42" s="623"/>
      <c r="R42" s="625"/>
      <c r="S42" s="623"/>
      <c r="T42" s="626" t="e">
        <f>T40/$A$48</f>
        <v>#VALUE!</v>
      </c>
      <c r="U42" s="626"/>
      <c r="V42" s="626" t="e">
        <f>V40/$A$48</f>
        <v>#VALUE!</v>
      </c>
      <c r="W42" s="627"/>
      <c r="X42" s="628"/>
      <c r="Y42" s="623"/>
      <c r="Z42" s="629"/>
    </row>
    <row r="43" spans="1:26" ht="36" customHeight="1">
      <c r="A43" s="600" t="s">
        <v>166</v>
      </c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2">
        <f>YTD!Q2358</f>
        <v>0</v>
      </c>
      <c r="U43" s="632"/>
      <c r="V43" s="633">
        <f>YTD!Q2359</f>
        <v>0</v>
      </c>
      <c r="W43" s="632"/>
      <c r="X43" s="634">
        <f>YTD!Q2363</f>
        <v>0</v>
      </c>
      <c r="Y43" s="635">
        <f t="shared" si="19"/>
        <v>0</v>
      </c>
      <c r="Z43" s="635">
        <f t="shared" si="20"/>
        <v>0</v>
      </c>
    </row>
    <row r="44" spans="1:26" ht="36" customHeight="1">
      <c r="A44" s="601" t="s">
        <v>167</v>
      </c>
      <c r="B44" s="636"/>
      <c r="C44" s="637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6"/>
      <c r="P44" s="636"/>
      <c r="Q44" s="636"/>
      <c r="R44" s="636"/>
      <c r="S44" s="636"/>
      <c r="T44" s="638" t="e">
        <f>T43/A48*C48</f>
        <v>#VALUE!</v>
      </c>
      <c r="U44" s="638"/>
      <c r="V44" s="638" t="e">
        <f>V43/A48*C48</f>
        <v>#VALUE!</v>
      </c>
      <c r="W44" s="638"/>
      <c r="X44" s="639" t="e">
        <f>X43/A48*C48</f>
        <v>#VALUE!</v>
      </c>
      <c r="Y44" s="554" t="e">
        <f t="shared" si="19"/>
        <v>#VALUE!</v>
      </c>
      <c r="Z44" s="554" t="e">
        <f t="shared" si="20"/>
        <v>#VALUE!</v>
      </c>
    </row>
    <row r="45" spans="1:26" ht="36" customHeight="1" thickBot="1">
      <c r="A45" s="602" t="s">
        <v>168</v>
      </c>
      <c r="B45" s="640"/>
      <c r="C45" s="641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2" t="e">
        <f>T43/A48</f>
        <v>#VALUE!</v>
      </c>
      <c r="U45" s="642"/>
      <c r="V45" s="642" t="e">
        <f>V44/A48*C48</f>
        <v>#VALUE!</v>
      </c>
      <c r="W45" s="642"/>
      <c r="X45" s="643" t="e">
        <f>X43/A48</f>
        <v>#VALUE!</v>
      </c>
      <c r="Y45" s="644"/>
      <c r="Z45" s="644"/>
    </row>
    <row r="46" spans="1:26" ht="23.25" customHeight="1">
      <c r="A46" s="541" t="s">
        <v>169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5"/>
      <c r="U46" s="645">
        <f>Consp!BH33</f>
        <v>1.151467863064469</v>
      </c>
      <c r="V46" s="646"/>
      <c r="W46" s="645">
        <f>Consp!BI33</f>
        <v>0.57929342492639846</v>
      </c>
      <c r="X46" s="647">
        <f>Consp!BJ33</f>
        <v>140121.30040437225</v>
      </c>
      <c r="Y46" s="645">
        <f>Consp!BK33</f>
        <v>6.8331854288682461</v>
      </c>
      <c r="Z46" s="648">
        <f>Consp!BL33</f>
        <v>3.4377159078599666</v>
      </c>
    </row>
    <row r="47" spans="1:26" ht="23.25" customHeight="1" thickBot="1">
      <c r="A47" s="545" t="s">
        <v>170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9"/>
      <c r="U47" s="649">
        <f>Consp!BH34</f>
        <v>1.1761372019916823</v>
      </c>
      <c r="V47" s="650"/>
      <c r="W47" s="649">
        <f>Consp!BI34</f>
        <v>0.60007376616126884</v>
      </c>
      <c r="X47" s="651">
        <f>Consp!BJ34</f>
        <v>5004.3321572990089</v>
      </c>
      <c r="Y47" s="649">
        <f>Consp!BK34</f>
        <v>6.8331854288682452</v>
      </c>
      <c r="Z47" s="652">
        <f>Consp!BL34</f>
        <v>3.4377159078599666</v>
      </c>
    </row>
    <row r="48" spans="1:26" ht="23.25" customHeight="1">
      <c r="A48" s="23" t="s">
        <v>124</v>
      </c>
      <c r="B48" s="106">
        <f>COUNTIF(B7:B36,"&gt;0")</f>
        <v>30</v>
      </c>
      <c r="C48" s="106"/>
      <c r="D48" s="653"/>
      <c r="E48" s="653"/>
      <c r="F48" s="653"/>
      <c r="G48" s="653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4"/>
    </row>
    <row r="49" spans="1:24" s="658" customFormat="1" ht="23.25" customHeight="1">
      <c r="A49" s="603"/>
      <c r="B49" s="655"/>
      <c r="C49" s="656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6"/>
      <c r="X49" s="659"/>
    </row>
    <row r="50" spans="1:24" ht="23.25" customHeight="1">
      <c r="A50" s="2"/>
      <c r="S50" s="660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6" t="s">
        <v>141</v>
      </c>
      <c r="B136" s="846"/>
      <c r="C136" s="846"/>
      <c r="D136" s="846"/>
      <c r="E136" s="846"/>
      <c r="F136" s="846"/>
      <c r="G136" s="846"/>
      <c r="H136" s="846"/>
      <c r="I136" s="846"/>
      <c r="J136" s="846"/>
      <c r="K136" s="846"/>
      <c r="L136" s="846"/>
      <c r="M136" s="846"/>
      <c r="N136" s="846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76" t="str">
        <f>Elect!A1</f>
        <v>June</v>
      </c>
      <c r="B1" s="168"/>
      <c r="C1" s="168"/>
      <c r="H1" s="139"/>
      <c r="I1" s="140"/>
      <c r="J1" s="141"/>
      <c r="K1" s="141"/>
      <c r="L1" s="878" t="s">
        <v>171</v>
      </c>
      <c r="M1" s="878"/>
      <c r="N1" s="878"/>
      <c r="P1" s="879" t="str">
        <f>Elect!A1</f>
        <v>June</v>
      </c>
      <c r="Q1" s="879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77"/>
      <c r="B2" s="880" t="s">
        <v>172</v>
      </c>
      <c r="C2" s="881"/>
      <c r="D2" s="881"/>
      <c r="E2" s="881"/>
      <c r="F2" s="881"/>
      <c r="G2" s="882"/>
      <c r="H2" s="880" t="s">
        <v>141</v>
      </c>
      <c r="I2" s="881"/>
      <c r="J2" s="881"/>
      <c r="K2" s="881"/>
      <c r="L2" s="881"/>
      <c r="M2" s="881"/>
      <c r="N2" s="881"/>
      <c r="O2" s="881"/>
      <c r="P2" s="882"/>
      <c r="Q2" s="147"/>
      <c r="R2" s="799"/>
      <c r="S2" s="148"/>
      <c r="T2" s="149"/>
      <c r="U2" s="150" t="s">
        <v>173</v>
      </c>
      <c r="V2" s="149"/>
      <c r="W2" s="149"/>
      <c r="X2" s="149"/>
      <c r="Y2" s="149"/>
      <c r="Z2" s="797"/>
      <c r="AA2" s="796"/>
      <c r="AB2" s="151"/>
      <c r="AC2" s="169" t="s">
        <v>174</v>
      </c>
      <c r="AD2" s="800"/>
      <c r="AE2" s="798"/>
      <c r="AF2" s="152"/>
      <c r="AG2" s="909" t="s">
        <v>47</v>
      </c>
      <c r="AH2" s="910"/>
      <c r="AI2" s="910"/>
      <c r="AJ2" s="354" t="s">
        <v>175</v>
      </c>
      <c r="AK2" s="913" t="s">
        <v>176</v>
      </c>
      <c r="AL2" s="915" t="s">
        <v>177</v>
      </c>
      <c r="AM2" s="915" t="s">
        <v>178</v>
      </c>
      <c r="AN2" s="907" t="s">
        <v>179</v>
      </c>
      <c r="AO2" s="897" t="s">
        <v>180</v>
      </c>
      <c r="AP2" s="899" t="s">
        <v>181</v>
      </c>
      <c r="AQ2" s="901" t="s">
        <v>182</v>
      </c>
      <c r="AR2" s="903" t="s">
        <v>183</v>
      </c>
      <c r="AS2" s="905" t="s">
        <v>181</v>
      </c>
      <c r="AT2" s="895" t="s">
        <v>184</v>
      </c>
      <c r="AU2" s="896"/>
      <c r="AV2" s="880" t="s">
        <v>185</v>
      </c>
      <c r="AW2" s="881"/>
      <c r="AX2" s="172"/>
      <c r="AY2" s="173"/>
      <c r="AZ2" s="174" t="s">
        <v>186</v>
      </c>
      <c r="BA2" s="174"/>
      <c r="BB2" s="175"/>
      <c r="BC2" s="155"/>
      <c r="BD2" s="153"/>
      <c r="BE2" s="799" t="s">
        <v>187</v>
      </c>
      <c r="BF2" s="799"/>
      <c r="BG2" s="154"/>
      <c r="BH2" s="174"/>
      <c r="BI2" s="174"/>
      <c r="BJ2" s="174" t="s">
        <v>188</v>
      </c>
      <c r="BK2" s="174"/>
      <c r="BL2" s="175"/>
      <c r="BM2" s="799"/>
      <c r="BN2" s="799"/>
      <c r="BO2" s="799" t="s">
        <v>189</v>
      </c>
      <c r="BP2" s="799"/>
      <c r="BQ2" s="154"/>
    </row>
    <row r="3" spans="1:69" ht="174.75" customHeight="1" thickBot="1">
      <c r="A3" s="156" t="s">
        <v>60</v>
      </c>
      <c r="B3" s="883" t="s">
        <v>190</v>
      </c>
      <c r="C3" s="884"/>
      <c r="D3" s="885" t="s">
        <v>62</v>
      </c>
      <c r="E3" s="886"/>
      <c r="F3" s="887" t="s">
        <v>63</v>
      </c>
      <c r="G3" s="888"/>
      <c r="H3" s="887" t="s">
        <v>191</v>
      </c>
      <c r="I3" s="888"/>
      <c r="J3" s="889" t="s">
        <v>192</v>
      </c>
      <c r="K3" s="890"/>
      <c r="L3" s="891" t="s">
        <v>193</v>
      </c>
      <c r="M3" s="892"/>
      <c r="N3" s="152" t="s">
        <v>194</v>
      </c>
      <c r="O3" s="893" t="s">
        <v>154</v>
      </c>
      <c r="P3" s="894"/>
      <c r="Q3" s="893" t="s">
        <v>195</v>
      </c>
      <c r="R3" s="894"/>
      <c r="S3" s="911" t="s">
        <v>196</v>
      </c>
      <c r="T3" s="912"/>
      <c r="U3" s="911" t="s">
        <v>197</v>
      </c>
      <c r="V3" s="912"/>
      <c r="W3" s="917" t="s">
        <v>198</v>
      </c>
      <c r="X3" s="918"/>
      <c r="Y3" s="911" t="s">
        <v>199</v>
      </c>
      <c r="Z3" s="912"/>
      <c r="AA3" s="917" t="s">
        <v>200</v>
      </c>
      <c r="AB3" s="918"/>
      <c r="AC3" s="911" t="s">
        <v>201</v>
      </c>
      <c r="AD3" s="912"/>
      <c r="AE3" s="157" t="s">
        <v>202</v>
      </c>
      <c r="AF3" s="386" t="s">
        <v>203</v>
      </c>
      <c r="AG3" s="181" t="s">
        <v>204</v>
      </c>
      <c r="AH3" s="158" t="s">
        <v>205</v>
      </c>
      <c r="AI3" s="159" t="s">
        <v>160</v>
      </c>
      <c r="AJ3" s="355">
        <v>0</v>
      </c>
      <c r="AK3" s="914"/>
      <c r="AL3" s="916"/>
      <c r="AM3" s="916"/>
      <c r="AN3" s="908"/>
      <c r="AO3" s="898"/>
      <c r="AP3" s="900"/>
      <c r="AQ3" s="902"/>
      <c r="AR3" s="904"/>
      <c r="AS3" s="906"/>
      <c r="AT3" s="161" t="s">
        <v>206</v>
      </c>
      <c r="AU3" s="161" t="s">
        <v>207</v>
      </c>
      <c r="AV3" s="160" t="s">
        <v>146</v>
      </c>
      <c r="AW3" s="162" t="s">
        <v>148</v>
      </c>
      <c r="AX3" s="176" t="s">
        <v>147</v>
      </c>
      <c r="AY3" s="177" t="s">
        <v>149</v>
      </c>
      <c r="AZ3" s="356" t="s">
        <v>150</v>
      </c>
      <c r="BA3" s="178" t="s">
        <v>208</v>
      </c>
      <c r="BB3" s="179" t="s">
        <v>209</v>
      </c>
      <c r="BC3" s="387" t="s">
        <v>147</v>
      </c>
      <c r="BD3" s="388" t="s">
        <v>149</v>
      </c>
      <c r="BE3" s="357" t="s">
        <v>150</v>
      </c>
      <c r="BF3" s="164" t="s">
        <v>208</v>
      </c>
      <c r="BG3" s="165" t="s">
        <v>209</v>
      </c>
      <c r="BH3" s="177" t="s">
        <v>147</v>
      </c>
      <c r="BI3" s="177" t="s">
        <v>149</v>
      </c>
      <c r="BJ3" s="356" t="s">
        <v>150</v>
      </c>
      <c r="BK3" s="178" t="s">
        <v>208</v>
      </c>
      <c r="BL3" s="179" t="s">
        <v>209</v>
      </c>
      <c r="BM3" s="163" t="s">
        <v>147</v>
      </c>
      <c r="BN3" s="163" t="s">
        <v>149</v>
      </c>
      <c r="BO3" s="357" t="s">
        <v>150</v>
      </c>
      <c r="BP3" s="164" t="s">
        <v>208</v>
      </c>
      <c r="BQ3" s="165" t="s">
        <v>209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4739</v>
      </c>
      <c r="D5" s="461">
        <v>0</v>
      </c>
      <c r="E5" s="460">
        <f>Elect!M6</f>
        <v>1509</v>
      </c>
      <c r="F5" s="461">
        <v>20</v>
      </c>
      <c r="G5" s="460">
        <f>Elect!O6</f>
        <v>1597</v>
      </c>
      <c r="H5" s="461">
        <v>800</v>
      </c>
      <c r="I5" s="460">
        <f>Water!C7</f>
        <v>203</v>
      </c>
      <c r="J5" s="461">
        <v>0</v>
      </c>
      <c r="K5" s="460">
        <f>Water!E7</f>
        <v>0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213.44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123.79519999999999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941.28000000000009</v>
      </c>
      <c r="AI5" s="465" t="e">
        <f>Gas!#REF!</f>
        <v>#REF!</v>
      </c>
      <c r="AJ5" s="466">
        <f>Gas!J7</f>
        <v>296.39999999999998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226</v>
      </c>
      <c r="AU5" s="460">
        <f>Elect!BP6</f>
        <v>128</v>
      </c>
      <c r="AV5" s="460" t="e">
        <f>Elect!#REF!</f>
        <v>#REF!</v>
      </c>
      <c r="AW5" s="460">
        <f>Elect!BR6</f>
        <v>226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2.2706382978723405</v>
      </c>
      <c r="BN5" s="477" t="e">
        <f>Water!W7</f>
        <v>#DIV/0!</v>
      </c>
      <c r="BO5" s="472">
        <f>Water!X7</f>
        <v>853.76</v>
      </c>
      <c r="BP5" s="477">
        <f>Water!Y7</f>
        <v>9.082553191489362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4842</v>
      </c>
      <c r="D6" s="461">
        <v>0</v>
      </c>
      <c r="E6" s="460">
        <f>Elect!M7</f>
        <v>1380</v>
      </c>
      <c r="F6" s="461">
        <v>20</v>
      </c>
      <c r="G6" s="460">
        <f>Elect!O7</f>
        <v>1556</v>
      </c>
      <c r="H6" s="461">
        <v>936</v>
      </c>
      <c r="I6" s="460">
        <f>Water!C8</f>
        <v>226.2</v>
      </c>
      <c r="J6" s="461">
        <v>0</v>
      </c>
      <c r="K6" s="460">
        <f>Water!E8</f>
        <v>0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258.68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150.03440000000001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8086212</v>
      </c>
      <c r="AH6" s="464">
        <f>Gas!C8</f>
        <v>1069.54</v>
      </c>
      <c r="AI6" s="465" t="e">
        <f>Gas!#REF!</f>
        <v>#REF!</v>
      </c>
      <c r="AJ6" s="466">
        <f>Gas!J8</f>
        <v>312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212</v>
      </c>
      <c r="AU6" s="460">
        <f>Elect!BP7</f>
        <v>112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476904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2.0694400000000002</v>
      </c>
      <c r="BN6" s="477" t="e">
        <f>Water!W8</f>
        <v>#DIV/0!</v>
      </c>
      <c r="BO6" s="472">
        <f>Water!X8</f>
        <v>1034.72</v>
      </c>
      <c r="BP6" s="477">
        <f>Water!Y8</f>
        <v>8.2777600000000007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4825</v>
      </c>
      <c r="D7" s="461">
        <v>0</v>
      </c>
      <c r="E7" s="460">
        <f>Elect!M8</f>
        <v>1548</v>
      </c>
      <c r="F7" s="461">
        <v>20</v>
      </c>
      <c r="G7" s="460">
        <f>Elect!O8</f>
        <v>1569</v>
      </c>
      <c r="H7" s="461">
        <v>685</v>
      </c>
      <c r="I7" s="460">
        <f>Water!C9</f>
        <v>237.79999999999998</v>
      </c>
      <c r="J7" s="461">
        <v>0</v>
      </c>
      <c r="K7" s="460">
        <f>Water!E9</f>
        <v>0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258.09999999999997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149.69799999999998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8088191</v>
      </c>
      <c r="AH7" s="464">
        <f>Gas!C9</f>
        <v>1028.2</v>
      </c>
      <c r="AI7" s="465" t="e">
        <f>Gas!#REF!</f>
        <v>#REF!</v>
      </c>
      <c r="AJ7" s="466">
        <f>Gas!J9</f>
        <v>343.2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223</v>
      </c>
      <c r="AU7" s="460">
        <f>Elect!BP8</f>
        <v>117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477127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1.9118518518518517</v>
      </c>
      <c r="BN7" s="477" t="e">
        <f>Water!W9</f>
        <v>#DIV/0!</v>
      </c>
      <c r="BO7" s="472">
        <f>Water!X9</f>
        <v>1032.3999999999999</v>
      </c>
      <c r="BP7" s="477">
        <f>Water!Y9</f>
        <v>7.6474074074074068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4408</v>
      </c>
      <c r="D8" s="461">
        <v>0</v>
      </c>
      <c r="E8" s="460">
        <f>Elect!M9</f>
        <v>1480</v>
      </c>
      <c r="F8" s="461">
        <v>20</v>
      </c>
      <c r="G8" s="460">
        <f>Elect!O9</f>
        <v>1224</v>
      </c>
      <c r="H8" s="461">
        <v>786</v>
      </c>
      <c r="I8" s="460">
        <f>Water!C10</f>
        <v>313.2</v>
      </c>
      <c r="J8" s="461">
        <v>0</v>
      </c>
      <c r="K8" s="460">
        <f>Water!E10</f>
        <v>0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336.97999999999996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195.44839999999996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8088993</v>
      </c>
      <c r="AH8" s="464">
        <f>Gas!C10</f>
        <v>850.12</v>
      </c>
      <c r="AI8" s="465" t="e">
        <f>Gas!#REF!</f>
        <v>#REF!</v>
      </c>
      <c r="AJ8" s="466">
        <f>Gas!J10</f>
        <v>374.4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198</v>
      </c>
      <c r="AU8" s="460">
        <f>Elect!BP9</f>
        <v>105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477325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1.970643274853801</v>
      </c>
      <c r="BN8" s="477" t="e">
        <f>Water!W10</f>
        <v>#DIV/0!</v>
      </c>
      <c r="BO8" s="472">
        <f>Water!X10</f>
        <v>1347.9199999999998</v>
      </c>
      <c r="BP8" s="477">
        <f>Water!Y10</f>
        <v>7.8825730994152039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4951</v>
      </c>
      <c r="D9" s="461">
        <v>0</v>
      </c>
      <c r="E9" s="460">
        <f>Elect!M10</f>
        <v>1628</v>
      </c>
      <c r="F9" s="461">
        <v>20</v>
      </c>
      <c r="G9" s="460">
        <f>Elect!O10</f>
        <v>1416</v>
      </c>
      <c r="H9" s="461">
        <v>789</v>
      </c>
      <c r="I9" s="460">
        <f>Water!C11</f>
        <v>249.39999999999998</v>
      </c>
      <c r="J9" s="461">
        <v>0</v>
      </c>
      <c r="K9" s="460">
        <f>Water!E11</f>
        <v>0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276.65999999999997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160.46279999999996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8090021</v>
      </c>
      <c r="AH9" s="464">
        <f>Gas!C11</f>
        <v>1089.68</v>
      </c>
      <c r="AI9" s="465" t="e">
        <f>Gas!#REF!</f>
        <v>#REF!</v>
      </c>
      <c r="AJ9" s="466">
        <f>Gas!J11</f>
        <v>393.9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210</v>
      </c>
      <c r="AU9" s="460">
        <f>Elect!BP10</f>
        <v>104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477535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1.7291249999999998</v>
      </c>
      <c r="BN9" s="477" t="e">
        <f>Water!W11</f>
        <v>#DIV/0!</v>
      </c>
      <c r="BO9" s="472">
        <f>Water!X11</f>
        <v>1106.6399999999999</v>
      </c>
      <c r="BP9" s="477">
        <f>Water!Y11</f>
        <v>6.9164999999999992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5148</v>
      </c>
      <c r="D10" s="461">
        <v>0</v>
      </c>
      <c r="E10" s="460">
        <f>Elect!M11</f>
        <v>1628</v>
      </c>
      <c r="F10" s="461">
        <v>20</v>
      </c>
      <c r="G10" s="460">
        <f>Elect!O11</f>
        <v>1575</v>
      </c>
      <c r="H10" s="461">
        <v>805</v>
      </c>
      <c r="I10" s="460">
        <f>Water!C12</f>
        <v>208.79999999999998</v>
      </c>
      <c r="J10" s="461">
        <v>0</v>
      </c>
      <c r="K10" s="460">
        <f>Water!E12</f>
        <v>0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232.57999999999998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134.89639999999997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8091023</v>
      </c>
      <c r="AH10" s="464">
        <f>Gas!C12</f>
        <v>1062.1200000000001</v>
      </c>
      <c r="AI10" s="465" t="e">
        <f>Gas!#REF!</f>
        <v>#REF!</v>
      </c>
      <c r="AJ10" s="466">
        <f>Gas!J12</f>
        <v>413.4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209</v>
      </c>
      <c r="AU10" s="460">
        <f>Elect!BP11</f>
        <v>112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477744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1.5301315789473684</v>
      </c>
      <c r="BN10" s="477" t="e">
        <f>Water!W12</f>
        <v>#DIV/0!</v>
      </c>
      <c r="BO10" s="472">
        <f>Water!X12</f>
        <v>930.31999999999994</v>
      </c>
      <c r="BP10" s="477">
        <f>Water!Y12</f>
        <v>6.1205263157894736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5028</v>
      </c>
      <c r="D11" s="461">
        <v>0</v>
      </c>
      <c r="E11" s="460">
        <f>Elect!M12</f>
        <v>1668</v>
      </c>
      <c r="F11" s="461">
        <v>20</v>
      </c>
      <c r="G11" s="460">
        <f>Elect!O12</f>
        <v>1415</v>
      </c>
      <c r="H11" s="461">
        <v>871</v>
      </c>
      <c r="I11" s="460">
        <f>Water!C13</f>
        <v>197.2</v>
      </c>
      <c r="J11" s="461">
        <v>0</v>
      </c>
      <c r="K11" s="460">
        <f>Water!E13</f>
        <v>0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242.44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140.61519999999999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8091901</v>
      </c>
      <c r="AH11" s="464">
        <f>Gas!C13</f>
        <v>930.68000000000006</v>
      </c>
      <c r="AI11" s="465" t="e">
        <f>Gas!#REF!</f>
        <v>#REF!</v>
      </c>
      <c r="AJ11" s="466">
        <f>Gas!J13</f>
        <v>362.7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211</v>
      </c>
      <c r="AU11" s="460">
        <f>Elect!BP12</f>
        <v>114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477955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1.5058385093167701</v>
      </c>
      <c r="BN11" s="477" t="e">
        <f>Water!W13</f>
        <v>#DIV/0!</v>
      </c>
      <c r="BO11" s="472">
        <f>Water!X13</f>
        <v>969.76</v>
      </c>
      <c r="BP11" s="477">
        <f>Water!Y13</f>
        <v>6.0233540372670804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5556</v>
      </c>
      <c r="D12" s="461">
        <v>0</v>
      </c>
      <c r="E12" s="460">
        <f>Elect!M13</f>
        <v>1846</v>
      </c>
      <c r="F12" s="461">
        <v>20</v>
      </c>
      <c r="G12" s="460">
        <f>Elect!O13</f>
        <v>1606</v>
      </c>
      <c r="H12" s="461">
        <v>963</v>
      </c>
      <c r="I12" s="460">
        <f>Water!C14</f>
        <v>208.79999999999998</v>
      </c>
      <c r="J12" s="461">
        <v>0</v>
      </c>
      <c r="K12" s="460">
        <f>Water!E14</f>
        <v>0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245.92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142.63359999999997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8092262</v>
      </c>
      <c r="AH12" s="464">
        <f>Gas!C14</f>
        <v>382.66</v>
      </c>
      <c r="AI12" s="465" t="e">
        <f>Gas!#REF!</f>
        <v>#REF!</v>
      </c>
      <c r="AJ12" s="466">
        <f>Gas!J14</f>
        <v>354.9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222</v>
      </c>
      <c r="AU12" s="460">
        <f>Elect!BP13</f>
        <v>114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478177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2.7024175824175822</v>
      </c>
      <c r="BN12" s="477" t="e">
        <f>Water!W14</f>
        <v>#DIV/0!</v>
      </c>
      <c r="BO12" s="472">
        <f>Water!X14</f>
        <v>983.68</v>
      </c>
      <c r="BP12" s="477">
        <f>Water!Y14</f>
        <v>10.809670329670329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4703</v>
      </c>
      <c r="D13" s="461">
        <v>0</v>
      </c>
      <c r="E13" s="460">
        <f>Elect!M14</f>
        <v>1651</v>
      </c>
      <c r="F13" s="461">
        <v>20</v>
      </c>
      <c r="G13" s="460">
        <f>Elect!O14</f>
        <v>1427</v>
      </c>
      <c r="H13" s="461">
        <v>790</v>
      </c>
      <c r="I13" s="460">
        <f>Water!C15</f>
        <v>201.0666666668636</v>
      </c>
      <c r="J13" s="461">
        <v>0</v>
      </c>
      <c r="K13" s="460">
        <f>Water!E15</f>
        <v>0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243.60000000017723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141.28800000010278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8093510</v>
      </c>
      <c r="AH13" s="464">
        <f>Gas!C15</f>
        <v>1322.88</v>
      </c>
      <c r="AI13" s="465" t="e">
        <f>Gas!#REF!</f>
        <v>#REF!</v>
      </c>
      <c r="AJ13" s="466">
        <f>Gas!J15</f>
        <v>70.2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202</v>
      </c>
      <c r="AU13" s="460">
        <f>Elect!BP14</f>
        <v>96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478379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1.5615384615395977</v>
      </c>
      <c r="BN13" s="477" t="e">
        <f>Water!W15</f>
        <v>#DIV/0!</v>
      </c>
      <c r="BO13" s="472">
        <f>Water!X15</f>
        <v>974.40000000070893</v>
      </c>
      <c r="BP13" s="477">
        <f>Water!Y15</f>
        <v>6.246153846158391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4927</v>
      </c>
      <c r="D14" s="461">
        <v>0</v>
      </c>
      <c r="E14" s="460">
        <f>Elect!M15</f>
        <v>1692</v>
      </c>
      <c r="F14" s="461">
        <v>20</v>
      </c>
      <c r="G14" s="460">
        <f>Elect!O15</f>
        <v>1466</v>
      </c>
      <c r="H14" s="461">
        <v>792</v>
      </c>
      <c r="I14" s="460">
        <f>Water!C16</f>
        <v>291.93333333313637</v>
      </c>
      <c r="J14" s="461">
        <v>0</v>
      </c>
      <c r="K14" s="460">
        <f>Water!E16</f>
        <v>0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291.93333333313637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169.32133333321909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8094000</v>
      </c>
      <c r="AH14" s="464">
        <f>Gas!C16</f>
        <v>519.4</v>
      </c>
      <c r="AI14" s="465" t="e">
        <f>Gas!#REF!</f>
        <v>#REF!</v>
      </c>
      <c r="AJ14" s="466">
        <f>Gas!J16</f>
        <v>237.9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220</v>
      </c>
      <c r="AU14" s="460">
        <f>Elect!BP15</f>
        <v>112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478599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1.8956709956697166</v>
      </c>
      <c r="BN14" s="477" t="e">
        <f>Water!W16</f>
        <v>#DIV/0!</v>
      </c>
      <c r="BO14" s="472">
        <f>Water!X16</f>
        <v>1167.7333333325455</v>
      </c>
      <c r="BP14" s="477">
        <f>Water!Y16</f>
        <v>7.5826839826788666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5329</v>
      </c>
      <c r="D15" s="461">
        <v>0</v>
      </c>
      <c r="E15" s="460">
        <f>Elect!M16</f>
        <v>1692</v>
      </c>
      <c r="F15" s="461">
        <v>20</v>
      </c>
      <c r="G15" s="460">
        <f>Elect!O16</f>
        <v>1450</v>
      </c>
      <c r="H15" s="461">
        <v>817</v>
      </c>
      <c r="I15" s="460">
        <f>Water!C17</f>
        <v>179.79999999999998</v>
      </c>
      <c r="J15" s="461">
        <v>0</v>
      </c>
      <c r="K15" s="460">
        <f>Water!E17</f>
        <v>0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179.79999999999998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104.28399999999998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1094.98</v>
      </c>
      <c r="AI15" s="465" t="e">
        <f>Gas!#REF!</f>
        <v>#REF!</v>
      </c>
      <c r="AJ15" s="466">
        <f>Gas!J17</f>
        <v>292.5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203</v>
      </c>
      <c r="AU15" s="460">
        <f>Elect!BP16</f>
        <v>98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478802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1.096341463414634</v>
      </c>
      <c r="BN15" s="477" t="e">
        <f>Water!W17</f>
        <v>#DIV/0!</v>
      </c>
      <c r="BO15" s="472">
        <f>Water!X17</f>
        <v>719.19999999999993</v>
      </c>
      <c r="BP15" s="477">
        <f>Water!Y17</f>
        <v>4.385365853658536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5210</v>
      </c>
      <c r="D16" s="461">
        <v>0</v>
      </c>
      <c r="E16" s="460">
        <f>Elect!M17</f>
        <v>1791</v>
      </c>
      <c r="F16" s="461">
        <v>20</v>
      </c>
      <c r="G16" s="460">
        <f>Elect!O17</f>
        <v>1543</v>
      </c>
      <c r="H16" s="461">
        <v>907</v>
      </c>
      <c r="I16" s="460">
        <f>Water!C18</f>
        <v>336.4</v>
      </c>
      <c r="J16" s="461">
        <v>0</v>
      </c>
      <c r="K16" s="460">
        <f>Water!E18</f>
        <v>0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336.4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195.11199999999997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8096159</v>
      </c>
      <c r="AH16" s="464">
        <f>Gas!C18</f>
        <v>1193.5600000000002</v>
      </c>
      <c r="AI16" s="465" t="e">
        <f>Gas!#REF!</f>
        <v>#REF!</v>
      </c>
      <c r="AJ16" s="466">
        <f>Gas!J18</f>
        <v>249.6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212</v>
      </c>
      <c r="AU16" s="460">
        <f>Elect!BP17</f>
        <v>103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479014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2.2884353741496599</v>
      </c>
      <c r="BN16" s="477" t="e">
        <f>Water!W18</f>
        <v>#DIV/0!</v>
      </c>
      <c r="BO16" s="472">
        <f>Water!X18</f>
        <v>1345.6</v>
      </c>
      <c r="BP16" s="477">
        <f>Water!Y18</f>
        <v>9.1537414965986397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5191</v>
      </c>
      <c r="D17" s="461">
        <v>0</v>
      </c>
      <c r="E17" s="460">
        <f>Elect!M18</f>
        <v>1774</v>
      </c>
      <c r="F17" s="461">
        <v>20</v>
      </c>
      <c r="G17" s="460">
        <f>Elect!O18</f>
        <v>1540</v>
      </c>
      <c r="H17" s="461">
        <v>812</v>
      </c>
      <c r="I17" s="460">
        <f>Water!C19</f>
        <v>168.2</v>
      </c>
      <c r="J17" s="461">
        <v>0</v>
      </c>
      <c r="K17" s="460">
        <f>Water!E19</f>
        <v>0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168.2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97.555999999999983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8096892</v>
      </c>
      <c r="AH17" s="464">
        <f>Gas!C19</f>
        <v>776.98</v>
      </c>
      <c r="AI17" s="465" t="e">
        <f>Gas!#REF!</f>
        <v>#REF!</v>
      </c>
      <c r="AJ17" s="466">
        <f>Gas!J19</f>
        <v>245.7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204</v>
      </c>
      <c r="AU17" s="460">
        <f>Elect!BP18</f>
        <v>106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479218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1.2839694656488549</v>
      </c>
      <c r="BN17" s="477" t="e">
        <f>Water!W19</f>
        <v>#DIV/0!</v>
      </c>
      <c r="BO17" s="472">
        <f>Water!X19</f>
        <v>672.8</v>
      </c>
      <c r="BP17" s="477">
        <f>Water!Y19</f>
        <v>5.1358778625954198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4993</v>
      </c>
      <c r="D18" s="461">
        <v>0</v>
      </c>
      <c r="E18" s="460">
        <f>Elect!M19</f>
        <v>1674</v>
      </c>
      <c r="F18" s="461">
        <v>30</v>
      </c>
      <c r="G18" s="460">
        <f>Elect!O19</f>
        <v>1604</v>
      </c>
      <c r="H18" s="461">
        <v>810</v>
      </c>
      <c r="I18" s="460">
        <f>Water!C20</f>
        <v>231.99999999999997</v>
      </c>
      <c r="J18" s="461">
        <v>0</v>
      </c>
      <c r="K18" s="460">
        <f>Water!E20</f>
        <v>0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231.99999999999997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134.55999999999997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8097844</v>
      </c>
      <c r="AH18" s="464">
        <f>Gas!C20</f>
        <v>1009.12</v>
      </c>
      <c r="AI18" s="465" t="e">
        <f>Gas!#REF!</f>
        <v>#REF!</v>
      </c>
      <c r="AJ18" s="466">
        <f>Gas!J20</f>
        <v>627.9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207</v>
      </c>
      <c r="AU18" s="460">
        <f>Elect!BP19</f>
        <v>110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476692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1.5890410958904109</v>
      </c>
      <c r="BN18" s="477" t="e">
        <f>Water!W20</f>
        <v>#DIV/0!</v>
      </c>
      <c r="BO18" s="472">
        <f>Water!X20</f>
        <v>927.99999999999989</v>
      </c>
      <c r="BP18" s="477">
        <f>Water!Y20</f>
        <v>6.3561643835616435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5550</v>
      </c>
      <c r="D19" s="461">
        <v>0</v>
      </c>
      <c r="E19" s="460">
        <f>Elect!M20</f>
        <v>1671</v>
      </c>
      <c r="F19" s="461">
        <v>20</v>
      </c>
      <c r="G19" s="460">
        <f>Elect!O20</f>
        <v>1648</v>
      </c>
      <c r="H19" s="461">
        <v>841</v>
      </c>
      <c r="I19" s="460">
        <f>Water!C21</f>
        <v>255.2</v>
      </c>
      <c r="J19" s="461">
        <v>0</v>
      </c>
      <c r="K19" s="460">
        <f>Water!E21</f>
        <v>0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255.2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148.01599999999999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8098650</v>
      </c>
      <c r="AH19" s="464">
        <f>Gas!C21</f>
        <v>854.36</v>
      </c>
      <c r="AI19" s="465" t="e">
        <f>Gas!#REF!</f>
        <v>#REF!</v>
      </c>
      <c r="AJ19" s="466">
        <f>Gas!J21</f>
        <v>136.5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208</v>
      </c>
      <c r="AU19" s="460">
        <f>Elect!BP20</f>
        <v>109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479633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1.7360544217687075</v>
      </c>
      <c r="BN19" s="477" t="e">
        <f>Water!W21</f>
        <v>#DIV/0!</v>
      </c>
      <c r="BO19" s="472">
        <f>Water!X21</f>
        <v>1020.8</v>
      </c>
      <c r="BP19" s="477">
        <f>Water!Y21</f>
        <v>6.94421768707483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5610</v>
      </c>
      <c r="D20" s="461">
        <v>0</v>
      </c>
      <c r="E20" s="460">
        <f>Elect!M21</f>
        <v>1811</v>
      </c>
      <c r="F20" s="461">
        <v>20</v>
      </c>
      <c r="G20" s="460">
        <f>Elect!O21</f>
        <v>1684</v>
      </c>
      <c r="H20" s="461">
        <v>932</v>
      </c>
      <c r="I20" s="460">
        <f>Water!C22</f>
        <v>243.6</v>
      </c>
      <c r="J20" s="461">
        <v>0</v>
      </c>
      <c r="K20" s="460">
        <f>Water!E22</f>
        <v>0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243.6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141.28799999999998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8099527</v>
      </c>
      <c r="AH20" s="464">
        <f>Gas!C22</f>
        <v>929.62</v>
      </c>
      <c r="AI20" s="465" t="e">
        <f>Gas!#REF!</f>
        <v>#REF!</v>
      </c>
      <c r="AJ20" s="466">
        <f>Gas!J22</f>
        <v>312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204</v>
      </c>
      <c r="AU20" s="460">
        <f>Elect!BP21</f>
        <v>107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479837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1.5225</v>
      </c>
      <c r="BN20" s="477" t="e">
        <f>Water!W22</f>
        <v>#DIV/0!</v>
      </c>
      <c r="BO20" s="472">
        <f>Water!X22</f>
        <v>974.4</v>
      </c>
      <c r="BP20" s="477">
        <f>Water!Y22</f>
        <v>6.09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5264</v>
      </c>
      <c r="D21" s="461">
        <v>0</v>
      </c>
      <c r="E21" s="460">
        <f>Elect!M22</f>
        <v>1862</v>
      </c>
      <c r="F21" s="461">
        <v>20</v>
      </c>
      <c r="G21" s="460">
        <f>Elect!O22</f>
        <v>1585</v>
      </c>
      <c r="H21" s="461">
        <v>972</v>
      </c>
      <c r="I21" s="460">
        <f>Water!C23</f>
        <v>226.2</v>
      </c>
      <c r="J21" s="461">
        <v>0</v>
      </c>
      <c r="K21" s="460">
        <f>Water!E23</f>
        <v>0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226.2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131.196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8100488</v>
      </c>
      <c r="AH21" s="464">
        <f>Gas!C23</f>
        <v>1018.6600000000001</v>
      </c>
      <c r="AI21" s="465" t="e">
        <f>Gas!#REF!</f>
        <v>#REF!</v>
      </c>
      <c r="AJ21" s="466">
        <f>Gas!J23</f>
        <v>604.5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208</v>
      </c>
      <c r="AU21" s="460">
        <f>Elect!BP22</f>
        <v>106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1.3464285714285713</v>
      </c>
      <c r="BN21" s="477" t="e">
        <f>Water!W23</f>
        <v>#DIV/0!</v>
      </c>
      <c r="BO21" s="472">
        <f>Water!X23</f>
        <v>904.8</v>
      </c>
      <c r="BP21" s="477">
        <f>Water!Y23</f>
        <v>5.3857142857142852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5278</v>
      </c>
      <c r="D22" s="461">
        <v>0</v>
      </c>
      <c r="E22" s="460">
        <f>Elect!M23</f>
        <v>1747</v>
      </c>
      <c r="F22" s="461">
        <v>20</v>
      </c>
      <c r="G22" s="460">
        <f>Elect!O23</f>
        <v>1446</v>
      </c>
      <c r="H22" s="461">
        <v>864</v>
      </c>
      <c r="I22" s="460">
        <f>Water!C24</f>
        <v>237.79999999999998</v>
      </c>
      <c r="J22" s="461">
        <v>0</v>
      </c>
      <c r="K22" s="460">
        <f>Water!E24</f>
        <v>0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237.79999999999998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137.92399999999998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8101389</v>
      </c>
      <c r="AH22" s="464">
        <f>Gas!C24</f>
        <v>955.06000000000006</v>
      </c>
      <c r="AI22" s="465" t="e">
        <f>Gas!#REF!</f>
        <v>#REF!</v>
      </c>
      <c r="AJ22" s="466">
        <f>Gas!J24</f>
        <v>280.8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215</v>
      </c>
      <c r="AU22" s="460">
        <f>Elect!BP23</f>
        <v>103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480260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1.343502824858757</v>
      </c>
      <c r="BN22" s="477" t="e">
        <f>Water!W24</f>
        <v>#DIV/0!</v>
      </c>
      <c r="BO22" s="472">
        <f>Water!X24</f>
        <v>951.19999999999993</v>
      </c>
      <c r="BP22" s="477">
        <f>Water!Y24</f>
        <v>5.3740112994350282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5250</v>
      </c>
      <c r="D23" s="461">
        <v>0</v>
      </c>
      <c r="E23" s="460">
        <f>Elect!M24</f>
        <v>1725</v>
      </c>
      <c r="F23" s="461">
        <v>30</v>
      </c>
      <c r="G23" s="460">
        <f>Elect!O24</f>
        <v>1452</v>
      </c>
      <c r="H23" s="461">
        <v>894</v>
      </c>
      <c r="I23" s="460">
        <f>Water!C25</f>
        <v>237.79999999999998</v>
      </c>
      <c r="J23" s="461">
        <v>0</v>
      </c>
      <c r="K23" s="460">
        <f>Water!E25</f>
        <v>0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237.79999999999998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137.92399999999998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8102259</v>
      </c>
      <c r="AH23" s="464">
        <f>Gas!C25</f>
        <v>922.2</v>
      </c>
      <c r="AI23" s="465" t="e">
        <f>Gas!#REF!</f>
        <v>#REF!</v>
      </c>
      <c r="AJ23" s="466">
        <f>Gas!J25</f>
        <v>284.7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209</v>
      </c>
      <c r="AU23" s="460">
        <f>Elect!BP24</f>
        <v>100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480469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1.4588957055214722</v>
      </c>
      <c r="BN23" s="477" t="e">
        <f>Water!W25</f>
        <v>#DIV/0!</v>
      </c>
      <c r="BO23" s="472">
        <f>Water!X25</f>
        <v>951.19999999999993</v>
      </c>
      <c r="BP23" s="477">
        <f>Water!Y25</f>
        <v>5.8355828220858887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5189</v>
      </c>
      <c r="D24" s="461">
        <v>0</v>
      </c>
      <c r="E24" s="460">
        <f>Elect!M25</f>
        <v>1831</v>
      </c>
      <c r="F24" s="461">
        <v>20</v>
      </c>
      <c r="G24" s="460">
        <f>Elect!O25</f>
        <v>1577</v>
      </c>
      <c r="H24" s="461">
        <v>944</v>
      </c>
      <c r="I24" s="460">
        <f>Water!C26</f>
        <v>237.79999999999998</v>
      </c>
      <c r="J24" s="461">
        <v>0</v>
      </c>
      <c r="K24" s="460">
        <f>Water!E26</f>
        <v>0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237.79999999999998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137.92399999999998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8103189</v>
      </c>
      <c r="AH24" s="464">
        <f>Gas!C26</f>
        <v>985.80000000000007</v>
      </c>
      <c r="AI24" s="465" t="e">
        <f>Gas!#REF!</f>
        <v>#REF!</v>
      </c>
      <c r="AJ24" s="466">
        <f>Gas!J26</f>
        <v>358.8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208</v>
      </c>
      <c r="AU24" s="460">
        <f>Elect!BP25</f>
        <v>109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480677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1.4412121212121212</v>
      </c>
      <c r="BN24" s="477" t="e">
        <f>Water!W26</f>
        <v>#DIV/0!</v>
      </c>
      <c r="BO24" s="472">
        <f>Water!X26</f>
        <v>951.19999999999993</v>
      </c>
      <c r="BP24" s="477">
        <f>Water!Y26</f>
        <v>5.7648484848484847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5486</v>
      </c>
      <c r="D25" s="461">
        <v>0</v>
      </c>
      <c r="E25" s="460">
        <f>Elect!M26</f>
        <v>2162</v>
      </c>
      <c r="F25" s="461">
        <v>20</v>
      </c>
      <c r="G25" s="460">
        <f>Elect!O26</f>
        <v>1871</v>
      </c>
      <c r="H25" s="461">
        <v>916</v>
      </c>
      <c r="I25" s="460">
        <f>Water!C27</f>
        <v>231.99999999999997</v>
      </c>
      <c r="J25" s="461">
        <v>0</v>
      </c>
      <c r="K25" s="460">
        <f>Water!E27</f>
        <v>0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231.99999999999997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134.55999999999997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8104166</v>
      </c>
      <c r="AH25" s="464">
        <f>Gas!C27</f>
        <v>1035.6200000000001</v>
      </c>
      <c r="AI25" s="465" t="e">
        <f>Gas!#REF!</f>
        <v>#REF!</v>
      </c>
      <c r="AJ25" s="466">
        <f>Gas!J27</f>
        <v>374.4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219</v>
      </c>
      <c r="AU25" s="460">
        <f>Elect!BP26</f>
        <v>108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480896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1.3410404624277454</v>
      </c>
      <c r="BN25" s="477" t="e">
        <f>Water!W27</f>
        <v>#DIV/0!</v>
      </c>
      <c r="BO25" s="472">
        <f>Water!X27</f>
        <v>927.99999999999989</v>
      </c>
      <c r="BP25" s="477">
        <f>Water!Y27</f>
        <v>5.3641618497109818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6482</v>
      </c>
      <c r="D26" s="461">
        <v>0</v>
      </c>
      <c r="E26" s="460">
        <f>Elect!M27</f>
        <v>1726</v>
      </c>
      <c r="F26" s="461">
        <v>20</v>
      </c>
      <c r="G26" s="460">
        <f>Elect!O27</f>
        <v>1532</v>
      </c>
      <c r="H26" s="461">
        <v>931</v>
      </c>
      <c r="I26" s="460">
        <f>Water!C28</f>
        <v>110.19999999999999</v>
      </c>
      <c r="J26" s="461">
        <v>0</v>
      </c>
      <c r="K26" s="460">
        <f>Water!E28</f>
        <v>0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546.3599999999999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316.88879999999995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8105135</v>
      </c>
      <c r="AH26" s="464">
        <f>Gas!C28</f>
        <v>1027.1400000000001</v>
      </c>
      <c r="AI26" s="465" t="e">
        <f>Gas!#REF!</f>
        <v>#REF!</v>
      </c>
      <c r="AJ26" s="466">
        <f>Gas!J28</f>
        <v>327.59999999999997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252</v>
      </c>
      <c r="AU26" s="460">
        <f>Elect!BP27</f>
        <v>118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481148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2.9217112299465233</v>
      </c>
      <c r="BN26" s="477" t="e">
        <f>Water!W28</f>
        <v>#DIV/0!</v>
      </c>
      <c r="BO26" s="472">
        <f>Water!X28</f>
        <v>2185.4399999999996</v>
      </c>
      <c r="BP26" s="477">
        <f>Water!Y28</f>
        <v>11.686844919786093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4017</v>
      </c>
      <c r="D27" s="461">
        <v>0</v>
      </c>
      <c r="E27" s="460">
        <f>Elect!M28</f>
        <v>1721</v>
      </c>
      <c r="F27" s="461">
        <v>30</v>
      </c>
      <c r="G27" s="460">
        <f>Elect!O28</f>
        <v>1531</v>
      </c>
      <c r="H27" s="461">
        <v>1009</v>
      </c>
      <c r="I27" s="460">
        <f>Water!C29</f>
        <v>203</v>
      </c>
      <c r="J27" s="461">
        <v>0</v>
      </c>
      <c r="K27" s="460">
        <f>Water!E29</f>
        <v>0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304.5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176.60999999999999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8106130</v>
      </c>
      <c r="AH27" s="464">
        <f>Gas!C29</f>
        <v>1054.7</v>
      </c>
      <c r="AI27" s="465" t="e">
        <f>Gas!#REF!</f>
        <v>#REF!</v>
      </c>
      <c r="AJ27" s="466">
        <f>Gas!J29</f>
        <v>296.39999999999998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89</v>
      </c>
      <c r="AU27" s="460">
        <f>Elect!BP28</f>
        <v>43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481237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1.5695876288659794</v>
      </c>
      <c r="BN27" s="477" t="e">
        <f>Water!W29</f>
        <v>#DIV/0!</v>
      </c>
      <c r="BO27" s="472">
        <f>Water!X29</f>
        <v>1218</v>
      </c>
      <c r="BP27" s="477">
        <f>Water!Y29</f>
        <v>6.2783505154639174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6195</v>
      </c>
      <c r="D28" s="461">
        <v>0</v>
      </c>
      <c r="E28" s="460">
        <f>Elect!M29</f>
        <v>1411</v>
      </c>
      <c r="F28" s="461">
        <v>20</v>
      </c>
      <c r="G28" s="460">
        <f>Elect!O29</f>
        <v>1284</v>
      </c>
      <c r="H28" s="461">
        <v>891</v>
      </c>
      <c r="I28" s="460">
        <f>Water!C30</f>
        <v>214.6</v>
      </c>
      <c r="J28" s="461">
        <v>0</v>
      </c>
      <c r="K28" s="460">
        <f>Water!E30</f>
        <v>0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327.12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189.72959999999998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8107107</v>
      </c>
      <c r="AH28" s="464">
        <f>Gas!C30</f>
        <v>1035.6200000000001</v>
      </c>
      <c r="AI28" s="465" t="e">
        <f>Gas!#REF!</f>
        <v>#REF!</v>
      </c>
      <c r="AJ28" s="466">
        <f>Gas!J30</f>
        <v>315.89999999999998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201</v>
      </c>
      <c r="AU28" s="460">
        <f>Elect!BP29</f>
        <v>103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481438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1.7126701570680629</v>
      </c>
      <c r="BN28" s="477" t="e">
        <f>Water!W30</f>
        <v>#DIV/0!</v>
      </c>
      <c r="BO28" s="472">
        <f>Water!X30</f>
        <v>1308.48</v>
      </c>
      <c r="BP28" s="477">
        <f>Water!Y30</f>
        <v>6.8506806282722517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4983</v>
      </c>
      <c r="D29" s="461">
        <v>0</v>
      </c>
      <c r="E29" s="460">
        <f>Elect!M30</f>
        <v>1721</v>
      </c>
      <c r="F29" s="461">
        <v>20</v>
      </c>
      <c r="G29" s="460">
        <f>Elect!O30</f>
        <v>1461</v>
      </c>
      <c r="H29" s="461">
        <v>1008</v>
      </c>
      <c r="I29" s="460">
        <f>Water!C31</f>
        <v>208.79999999999998</v>
      </c>
      <c r="J29" s="461">
        <v>0</v>
      </c>
      <c r="K29" s="460">
        <f>Water!E31</f>
        <v>0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208.79999999999998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121.10399999999998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8108089</v>
      </c>
      <c r="AH29" s="464">
        <f>Gas!C31</f>
        <v>1040.92</v>
      </c>
      <c r="AI29" s="465" t="e">
        <f>Gas!#REF!</f>
        <v>#REF!</v>
      </c>
      <c r="AJ29" s="466">
        <f>Gas!J31</f>
        <v>312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203</v>
      </c>
      <c r="AU29" s="460">
        <f>Elect!BP30</f>
        <v>99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481641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1.0762886597938144</v>
      </c>
      <c r="BN29" s="477" t="e">
        <f>Water!W31</f>
        <v>#DIV/0!</v>
      </c>
      <c r="BO29" s="472">
        <f>Water!X31</f>
        <v>835.19999999999993</v>
      </c>
      <c r="BP29" s="477">
        <f>Water!Y31</f>
        <v>4.3051546391752575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5138</v>
      </c>
      <c r="D30" s="461">
        <v>0</v>
      </c>
      <c r="E30" s="460">
        <f>Elect!M31</f>
        <v>2206</v>
      </c>
      <c r="F30" s="461">
        <v>20</v>
      </c>
      <c r="G30" s="460">
        <f>Elect!O31</f>
        <v>1783</v>
      </c>
      <c r="H30" s="461">
        <v>760</v>
      </c>
      <c r="I30" s="460">
        <f>Water!C32</f>
        <v>307.39999999999998</v>
      </c>
      <c r="J30" s="461">
        <v>0</v>
      </c>
      <c r="K30" s="460">
        <f>Water!E32</f>
        <v>0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378.73999999999995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219.66919999999996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8109268</v>
      </c>
      <c r="AH30" s="464">
        <f>Gas!C32</f>
        <v>1249.74</v>
      </c>
      <c r="AI30" s="465" t="e">
        <f>Gas!#REF!</f>
        <v>#REF!</v>
      </c>
      <c r="AJ30" s="466">
        <f>Gas!J32</f>
        <v>347.09999999999997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205</v>
      </c>
      <c r="AU30" s="460">
        <f>Elect!BP31</f>
        <v>100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481846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1.9829319371727747</v>
      </c>
      <c r="BN30" s="477" t="e">
        <f>Water!W32</f>
        <v>#DIV/0!</v>
      </c>
      <c r="BO30" s="472">
        <f>Water!X32</f>
        <v>1514.9599999999998</v>
      </c>
      <c r="BP30" s="477">
        <f>Water!Y32</f>
        <v>7.9317277486910989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5745</v>
      </c>
      <c r="D31" s="461">
        <v>0</v>
      </c>
      <c r="E31" s="460">
        <f>Elect!M32</f>
        <v>1674</v>
      </c>
      <c r="F31" s="461">
        <v>30</v>
      </c>
      <c r="G31" s="460">
        <f>Elect!O32</f>
        <v>1479</v>
      </c>
      <c r="H31" s="461">
        <v>1010</v>
      </c>
      <c r="I31" s="460">
        <f>Water!C33</f>
        <v>237.79999999999998</v>
      </c>
      <c r="J31" s="461">
        <v>0</v>
      </c>
      <c r="K31" s="460">
        <f>Water!E33</f>
        <v>17.399999999999999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255.2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148.01599999999999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8109960</v>
      </c>
      <c r="AH31" s="464">
        <f>Gas!C33</f>
        <v>733.52</v>
      </c>
      <c r="AI31" s="465" t="e">
        <f>Gas!#REF!</f>
        <v>#REF!</v>
      </c>
      <c r="AJ31" s="466">
        <f>Gas!J33</f>
        <v>198.9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222</v>
      </c>
      <c r="AU31" s="460">
        <f>Elect!BP32</f>
        <v>104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482068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1.3361256544502618</v>
      </c>
      <c r="BN31" s="477" t="e">
        <f>Water!W33</f>
        <v>#DIV/0!</v>
      </c>
      <c r="BO31" s="472">
        <f>Water!X33</f>
        <v>1020.8</v>
      </c>
      <c r="BP31" s="477">
        <f>Water!Y33</f>
        <v>5.3445026178010471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6399</v>
      </c>
      <c r="D32" s="482">
        <v>0</v>
      </c>
      <c r="E32" s="481">
        <f>Elect!M33</f>
        <v>1904</v>
      </c>
      <c r="F32" s="482">
        <v>20</v>
      </c>
      <c r="G32" s="481">
        <f>Elect!O33</f>
        <v>1694</v>
      </c>
      <c r="H32" s="482">
        <v>1008</v>
      </c>
      <c r="I32" s="481">
        <f>Water!C34</f>
        <v>255.2</v>
      </c>
      <c r="J32" s="482">
        <v>0</v>
      </c>
      <c r="K32" s="481">
        <f>Water!E34</f>
        <v>0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255.2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148.01599999999999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8110682</v>
      </c>
      <c r="AH32" s="485">
        <f>Gas!C34</f>
        <v>765.32</v>
      </c>
      <c r="AI32" s="486" t="e">
        <f>Gas!#REF!</f>
        <v>#REF!</v>
      </c>
      <c r="AJ32" s="487">
        <f>Gas!J34</f>
        <v>218.4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239</v>
      </c>
      <c r="AU32" s="481">
        <f>Elect!BP33</f>
        <v>113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482307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1.45</v>
      </c>
      <c r="BN32" s="498" t="e">
        <f>Water!W34</f>
        <v>#DIV/0!</v>
      </c>
      <c r="BO32" s="493">
        <f>Water!X34</f>
        <v>1020.8</v>
      </c>
      <c r="BP32" s="498">
        <f>Water!Y34</f>
        <v>5.8</v>
      </c>
      <c r="BQ32" s="499" t="e">
        <f>Water!Z34</f>
        <v>#DIV/0!</v>
      </c>
    </row>
    <row r="33" spans="1:98" s="521" customFormat="1" ht="72" customHeight="1">
      <c r="A33" s="443" t="s">
        <v>122</v>
      </c>
      <c r="B33" s="500">
        <v>931200</v>
      </c>
      <c r="C33" s="501">
        <f>Elect!J34</f>
        <v>4231</v>
      </c>
      <c r="D33" s="502">
        <v>0</v>
      </c>
      <c r="E33" s="501">
        <f>Elect!M34</f>
        <v>1827</v>
      </c>
      <c r="F33" s="502">
        <v>600</v>
      </c>
      <c r="G33" s="501">
        <f>Elect!O34</f>
        <v>1584</v>
      </c>
      <c r="H33" s="502">
        <v>24543</v>
      </c>
      <c r="I33" s="501">
        <f>Water!C38</f>
        <v>6977.4</v>
      </c>
      <c r="J33" s="502">
        <v>0</v>
      </c>
      <c r="K33" s="501">
        <f>Water!E39</f>
        <v>0.77333333333333332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7985.6333333333132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4328.5709333333207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28412.240000000005</v>
      </c>
      <c r="AI33" s="506" t="e">
        <f>Gas!#REF!</f>
        <v>#REF!</v>
      </c>
      <c r="AJ33" s="507">
        <f>Gas!J38</f>
        <v>9359.9999999999982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208</v>
      </c>
      <c r="AU33" s="506">
        <f>Elect!BP34</f>
        <v>92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482515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1.6588353413654577</v>
      </c>
      <c r="BN33" s="518" t="e">
        <f>Water!W38</f>
        <v>#DIV/0!</v>
      </c>
      <c r="BO33" s="513">
        <f>Water!X38</f>
        <v>31942.533333333253</v>
      </c>
      <c r="BP33" s="518">
        <f>Water!Y38</f>
        <v>6.635341365461831</v>
      </c>
      <c r="BQ33" s="519" t="e">
        <f>Water!Z38</f>
        <v>#DIV/0!</v>
      </c>
    </row>
    <row r="34" spans="1:98" s="523" customFormat="1" ht="72" customHeight="1" thickBot="1">
      <c r="A34" s="444" t="s">
        <v>123</v>
      </c>
      <c r="B34" s="500">
        <v>33257.142857142855</v>
      </c>
      <c r="C34" s="501">
        <f>Elect!J35</f>
        <v>5721</v>
      </c>
      <c r="D34" s="502">
        <v>0</v>
      </c>
      <c r="E34" s="501">
        <f>Elect!M35</f>
        <v>1781</v>
      </c>
      <c r="F34" s="502">
        <v>21.428571428571427</v>
      </c>
      <c r="G34" s="501">
        <f>Elect!O35</f>
        <v>1644</v>
      </c>
      <c r="H34" s="502">
        <v>876.53571428571433</v>
      </c>
      <c r="I34" s="501">
        <f>Water!C39</f>
        <v>232.57999999999998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266.18777777777711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144.28569777777736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947.07466666666687</v>
      </c>
      <c r="AI34" s="506" t="e">
        <f>Gas!#REF!</f>
        <v>#REF!</v>
      </c>
      <c r="AJ34" s="507">
        <f>Gas!J39</f>
        <v>311.99999999999994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230</v>
      </c>
      <c r="AU34" s="506">
        <f>Elect!BP35</f>
        <v>107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482745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1.6588353413654577</v>
      </c>
      <c r="BN34" s="518" t="e">
        <f>Water!W39</f>
        <v>#DIV/0!</v>
      </c>
      <c r="BO34" s="513">
        <f>Water!X39</f>
        <v>1064.7511111111085</v>
      </c>
      <c r="BP34" s="518">
        <f>Water!Y39</f>
        <v>6.635341365461831</v>
      </c>
      <c r="BQ34" s="519" t="e">
        <f>Water!Z39</f>
        <v>#DIV/0!</v>
      </c>
    </row>
    <row r="35" spans="1:98" s="523" customFormat="1" ht="72" customHeight="1">
      <c r="A35" s="445" t="s">
        <v>163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476466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164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165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166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167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168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9" t="s">
        <v>212</v>
      </c>
      <c r="B4" s="919"/>
      <c r="C4" s="919"/>
      <c r="D4" s="919"/>
      <c r="E4" s="919"/>
      <c r="F4" s="919"/>
      <c r="G4" s="108" t="str">
        <f>Elect!A1</f>
        <v>June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213</v>
      </c>
      <c r="B7" s="99" t="s">
        <v>214</v>
      </c>
      <c r="C7" s="99" t="s">
        <v>215</v>
      </c>
      <c r="D7" s="99" t="s">
        <v>214</v>
      </c>
      <c r="E7" s="99" t="s">
        <v>215</v>
      </c>
      <c r="F7" s="99" t="s">
        <v>216</v>
      </c>
      <c r="G7" s="100" t="s">
        <v>217</v>
      </c>
      <c r="H7" s="100" t="s">
        <v>218</v>
      </c>
      <c r="I7" s="99" t="s">
        <v>122</v>
      </c>
      <c r="J7" s="101" t="s">
        <v>122</v>
      </c>
    </row>
    <row r="8" spans="1:10" ht="13.5" thickBot="1">
      <c r="A8" s="102"/>
      <c r="B8" s="103" t="s">
        <v>219</v>
      </c>
      <c r="C8" s="103" t="s">
        <v>219</v>
      </c>
      <c r="D8" s="103" t="s">
        <v>220</v>
      </c>
      <c r="E8" s="103" t="s">
        <v>220</v>
      </c>
      <c r="F8" s="104" t="s">
        <v>221</v>
      </c>
      <c r="G8" s="103" t="s">
        <v>12</v>
      </c>
      <c r="H8" s="103"/>
      <c r="I8" s="104" t="s">
        <v>222</v>
      </c>
      <c r="J8" s="105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0"/>
      <c r="B3" s="922" t="str">
        <f>Elect!A1</f>
        <v>June</v>
      </c>
      <c r="C3" s="923"/>
      <c r="D3" s="923"/>
      <c r="E3" s="924"/>
    </row>
    <row r="4" spans="1:5" ht="14.25" customHeight="1" thickBot="1">
      <c r="A4" s="921"/>
      <c r="B4" s="925" t="s">
        <v>12</v>
      </c>
      <c r="C4" s="926"/>
      <c r="D4" s="927" t="s">
        <v>225</v>
      </c>
      <c r="E4" s="928"/>
    </row>
    <row r="5" spans="1:5" ht="13.5" thickBot="1">
      <c r="A5" s="34" t="s">
        <v>226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227</v>
      </c>
      <c r="B6" s="38"/>
      <c r="C6" s="39"/>
      <c r="D6" s="40"/>
      <c r="E6" s="41"/>
    </row>
    <row r="7" spans="1:5" ht="13.5" thickBot="1">
      <c r="A7" s="117" t="s">
        <v>228</v>
      </c>
      <c r="B7" s="42"/>
      <c r="C7" s="43" t="s">
        <v>229</v>
      </c>
      <c r="D7" s="42" t="s">
        <v>229</v>
      </c>
      <c r="E7" s="43" t="s">
        <v>229</v>
      </c>
    </row>
    <row r="8" spans="1:5">
      <c r="A8" s="118" t="s">
        <v>230</v>
      </c>
      <c r="B8" s="42"/>
      <c r="C8" s="43" t="s">
        <v>229</v>
      </c>
      <c r="D8" s="44" t="s">
        <v>229</v>
      </c>
      <c r="E8" s="45" t="s">
        <v>229</v>
      </c>
    </row>
    <row r="9" spans="1:5" ht="13.5" thickBot="1">
      <c r="A9" s="118" t="s">
        <v>231</v>
      </c>
      <c r="B9" s="359"/>
      <c r="C9" s="360" t="s">
        <v>229</v>
      </c>
      <c r="D9" s="44" t="s">
        <v>229</v>
      </c>
      <c r="E9" s="45" t="s">
        <v>229</v>
      </c>
    </row>
    <row r="10" spans="1:5" ht="13.5" thickBot="1">
      <c r="A10" s="119" t="s">
        <v>232</v>
      </c>
      <c r="B10" s="76"/>
      <c r="C10" s="361"/>
      <c r="D10" s="48"/>
      <c r="E10" s="47"/>
    </row>
    <row r="11" spans="1:5" ht="13.5" thickBot="1">
      <c r="A11" s="362" t="s">
        <v>233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234</v>
      </c>
      <c r="B12" s="366"/>
      <c r="C12" s="366" t="s">
        <v>229</v>
      </c>
      <c r="D12" s="52">
        <v>0</v>
      </c>
      <c r="E12" s="53" t="e">
        <v>#REF!</v>
      </c>
    </row>
    <row r="13" spans="1:5" ht="13.5" thickBot="1">
      <c r="A13" s="120" t="s">
        <v>235</v>
      </c>
      <c r="B13" s="76"/>
      <c r="C13" s="77"/>
      <c r="D13" s="42" t="s">
        <v>229</v>
      </c>
      <c r="E13" s="43" t="s">
        <v>229</v>
      </c>
    </row>
    <row r="14" spans="1:5">
      <c r="A14" s="117" t="s">
        <v>236</v>
      </c>
      <c r="B14" s="42"/>
      <c r="C14" s="63" t="s">
        <v>229</v>
      </c>
      <c r="D14" s="55"/>
      <c r="E14" s="56"/>
    </row>
    <row r="15" spans="1:5" ht="13.5" thickBot="1">
      <c r="A15" s="118" t="s">
        <v>237</v>
      </c>
      <c r="B15" s="44"/>
      <c r="C15" s="54" t="s">
        <v>229</v>
      </c>
      <c r="D15" s="58"/>
      <c r="E15" s="59"/>
    </row>
    <row r="16" spans="1:5" ht="13.5" thickBot="1">
      <c r="A16" s="118" t="s">
        <v>238</v>
      </c>
      <c r="B16" s="44"/>
      <c r="C16" s="54" t="s">
        <v>229</v>
      </c>
      <c r="D16" s="61"/>
      <c r="E16" s="62"/>
    </row>
    <row r="17" spans="1:5">
      <c r="A17" s="118" t="s">
        <v>239</v>
      </c>
      <c r="B17" s="44"/>
      <c r="C17" s="54" t="s">
        <v>229</v>
      </c>
      <c r="D17" s="44" t="s">
        <v>229</v>
      </c>
      <c r="E17" s="54" t="s">
        <v>229</v>
      </c>
    </row>
    <row r="18" spans="1:5">
      <c r="A18" s="118" t="s">
        <v>240</v>
      </c>
      <c r="B18" s="44"/>
      <c r="C18" s="54" t="s">
        <v>229</v>
      </c>
      <c r="D18" s="44" t="s">
        <v>229</v>
      </c>
      <c r="E18" s="54" t="s">
        <v>229</v>
      </c>
    </row>
    <row r="19" spans="1:5">
      <c r="A19" s="118" t="s">
        <v>241</v>
      </c>
      <c r="B19" s="44"/>
      <c r="C19" s="54" t="s">
        <v>229</v>
      </c>
      <c r="D19" s="44" t="s">
        <v>229</v>
      </c>
      <c r="E19" s="54" t="s">
        <v>229</v>
      </c>
    </row>
    <row r="20" spans="1:5">
      <c r="A20" s="118" t="s">
        <v>242</v>
      </c>
      <c r="B20" s="44"/>
      <c r="C20" s="64" t="e">
        <f>#REF!</f>
        <v>#REF!</v>
      </c>
      <c r="D20" s="44" t="s">
        <v>229</v>
      </c>
      <c r="E20" s="54" t="s">
        <v>229</v>
      </c>
    </row>
    <row r="21" spans="1:5">
      <c r="A21" s="118" t="s">
        <v>243</v>
      </c>
      <c r="B21" s="44"/>
      <c r="C21" s="54" t="s">
        <v>229</v>
      </c>
      <c r="D21" s="44" t="s">
        <v>229</v>
      </c>
      <c r="E21" s="54" t="s">
        <v>229</v>
      </c>
    </row>
    <row r="22" spans="1:5">
      <c r="A22" s="118" t="s">
        <v>244</v>
      </c>
      <c r="B22" s="44"/>
      <c r="C22" s="54">
        <f>Water!S38</f>
        <v>0</v>
      </c>
      <c r="D22" s="44" t="s">
        <v>229</v>
      </c>
      <c r="E22" s="54" t="s">
        <v>229</v>
      </c>
    </row>
    <row r="23" spans="1:5" ht="13.5" thickBot="1">
      <c r="A23" s="121" t="s">
        <v>245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246</v>
      </c>
      <c r="B24" s="49"/>
      <c r="C24" s="60"/>
      <c r="D24" s="55" t="s">
        <v>229</v>
      </c>
      <c r="E24" s="56" t="s">
        <v>229</v>
      </c>
    </row>
    <row r="25" spans="1:5">
      <c r="A25" s="123" t="s">
        <v>247</v>
      </c>
      <c r="B25" s="42"/>
      <c r="C25" s="67">
        <f>Elect!J34</f>
        <v>4231</v>
      </c>
      <c r="D25" s="55">
        <v>12266</v>
      </c>
      <c r="E25" s="66">
        <v>814</v>
      </c>
    </row>
    <row r="26" spans="1:5" ht="13.5" thickBot="1">
      <c r="A26" s="128" t="s">
        <v>248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249</v>
      </c>
      <c r="B27" s="44"/>
      <c r="C27" s="69">
        <f>Water!H38</f>
        <v>7985.6333333333132</v>
      </c>
      <c r="D27" s="61"/>
      <c r="E27" s="62"/>
    </row>
    <row r="28" spans="1:5">
      <c r="A28" s="124" t="s">
        <v>250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251</v>
      </c>
      <c r="B29" s="44"/>
      <c r="C29" s="45" t="s">
        <v>229</v>
      </c>
      <c r="D29" s="70">
        <v>28880</v>
      </c>
      <c r="E29" s="66">
        <v>32980</v>
      </c>
    </row>
    <row r="30" spans="1:5" ht="13.5" thickBot="1">
      <c r="A30" s="125" t="s">
        <v>252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253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254</v>
      </c>
      <c r="B32" s="76"/>
      <c r="C32" s="77"/>
      <c r="D32" s="71" t="e">
        <v>#REF!</v>
      </c>
      <c r="E32" s="56" t="s">
        <v>229</v>
      </c>
    </row>
    <row r="33" spans="1:6" ht="13.5" thickBot="1">
      <c r="A33" s="123" t="s">
        <v>255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256</v>
      </c>
      <c r="B34" s="44"/>
      <c r="C34" s="69">
        <f>YTD!Q5</f>
        <v>0</v>
      </c>
      <c r="D34" s="74"/>
      <c r="E34" s="75"/>
    </row>
    <row r="35" spans="1:6" ht="13.5" thickBot="1">
      <c r="A35" s="124" t="s">
        <v>257</v>
      </c>
      <c r="B35" s="44"/>
      <c r="C35" s="69">
        <f>YTD!Q6</f>
        <v>0</v>
      </c>
      <c r="D35" s="61"/>
      <c r="E35" s="62"/>
    </row>
    <row r="36" spans="1:6">
      <c r="A36" s="128" t="s">
        <v>258</v>
      </c>
      <c r="B36" s="44"/>
      <c r="C36" s="82"/>
      <c r="D36" s="78" t="e">
        <v>#REF!</v>
      </c>
      <c r="E36" s="66" t="e">
        <v>#REF!</v>
      </c>
    </row>
    <row r="37" spans="1:6">
      <c r="A37" s="128" t="s">
        <v>259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260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261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262</v>
      </c>
      <c r="B40" s="76"/>
      <c r="C40" s="77"/>
      <c r="D40" s="55">
        <v>1583714</v>
      </c>
      <c r="E40" s="66">
        <v>1940567</v>
      </c>
    </row>
    <row r="41" spans="1:6">
      <c r="A41" s="367" t="s">
        <v>263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264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265</v>
      </c>
      <c r="B43" s="130"/>
      <c r="C43" s="64">
        <f>Water!X38</f>
        <v>31942.533333333253</v>
      </c>
      <c r="D43" s="58">
        <v>112</v>
      </c>
      <c r="E43" s="66">
        <v>97.529999999999944</v>
      </c>
    </row>
    <row r="44" spans="1:6" ht="13.5" thickBot="1">
      <c r="A44" s="129" t="s">
        <v>266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267</v>
      </c>
      <c r="B45" s="131"/>
      <c r="C45" s="54" t="s">
        <v>229</v>
      </c>
      <c r="D45" s="78">
        <v>2138156.84</v>
      </c>
      <c r="E45" s="66" t="e">
        <v>#REF!</v>
      </c>
    </row>
    <row r="46" spans="1:6" ht="13.5" thickBot="1">
      <c r="A46" s="132" t="s">
        <v>268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269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270</v>
      </c>
      <c r="B48" s="197"/>
      <c r="C48" s="89"/>
      <c r="D48" s="65">
        <v>330278</v>
      </c>
      <c r="E48" s="66" t="e">
        <v>#REF!</v>
      </c>
    </row>
    <row r="49" spans="1:6">
      <c r="A49" s="202" t="s">
        <v>271</v>
      </c>
      <c r="B49" s="195"/>
      <c r="C49" s="203">
        <v>6</v>
      </c>
      <c r="D49" s="44" t="s">
        <v>229</v>
      </c>
      <c r="E49" s="54" t="s">
        <v>229</v>
      </c>
    </row>
    <row r="50" spans="1:6" ht="13.5" thickBot="1">
      <c r="A50" s="222" t="s">
        <v>146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272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273</v>
      </c>
      <c r="B52" s="131"/>
      <c r="C52" s="54">
        <v>75064</v>
      </c>
      <c r="D52" s="61"/>
      <c r="E52" s="62"/>
    </row>
    <row r="53" spans="1:6" ht="13.5" thickBot="1">
      <c r="A53" s="204" t="s">
        <v>274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275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276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277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278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June</v>
      </c>
      <c r="C1" s="776"/>
      <c r="D1" s="776"/>
      <c r="E1" s="776"/>
      <c r="F1" s="776"/>
      <c r="G1" s="776"/>
      <c r="H1" s="211" t="s">
        <v>279</v>
      </c>
      <c r="I1" s="776"/>
      <c r="J1" s="776"/>
      <c r="K1" s="776"/>
      <c r="L1" s="776"/>
      <c r="M1" s="776"/>
      <c r="N1" s="776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5"/>
      <c r="AV1" s="735"/>
      <c r="AW1" s="735"/>
      <c r="AX1" s="735"/>
      <c r="AY1" s="735"/>
      <c r="AZ1" s="735"/>
      <c r="BA1" s="735"/>
      <c r="BB1" s="735"/>
      <c r="BC1" s="735"/>
      <c r="BD1" s="735"/>
      <c r="BE1" s="735"/>
      <c r="BF1" s="735"/>
      <c r="BG1" s="735"/>
      <c r="BH1" s="735"/>
      <c r="BI1" s="735"/>
      <c r="BJ1" s="735"/>
      <c r="BK1" s="735"/>
      <c r="BL1" s="735"/>
      <c r="BM1" s="735"/>
      <c r="BN1" s="735"/>
      <c r="BO1" s="735"/>
      <c r="BP1" s="735"/>
      <c r="BQ1" s="735"/>
      <c r="BR1" s="735"/>
      <c r="BS1" s="735"/>
      <c r="BT1" s="735"/>
      <c r="BU1" s="735"/>
      <c r="BV1" s="735"/>
      <c r="BW1" s="735"/>
      <c r="BX1" s="735"/>
      <c r="BY1" s="735"/>
      <c r="BZ1" s="735"/>
      <c r="CA1" s="735"/>
      <c r="CB1" s="735"/>
      <c r="CC1" s="735"/>
      <c r="CD1" s="735"/>
      <c r="CE1" s="735"/>
      <c r="CF1" s="735"/>
      <c r="CG1" s="735"/>
      <c r="CH1" s="735"/>
      <c r="CI1" s="735"/>
      <c r="CJ1" s="735"/>
      <c r="CK1" s="735"/>
      <c r="CL1" s="735"/>
      <c r="CM1" s="735"/>
      <c r="CN1" s="735"/>
      <c r="CO1" s="735"/>
      <c r="CP1" s="735"/>
      <c r="CQ1" s="735"/>
      <c r="CR1" s="735"/>
      <c r="CS1" s="735"/>
      <c r="CT1" s="735"/>
      <c r="CU1" s="735"/>
      <c r="CV1" s="735"/>
      <c r="CW1" s="735"/>
      <c r="CX1" s="735"/>
      <c r="CY1" s="735"/>
      <c r="CZ1" s="735"/>
      <c r="DA1" s="735"/>
      <c r="DB1" s="735"/>
      <c r="DC1" s="735"/>
      <c r="DD1" s="735"/>
      <c r="DE1" s="735"/>
      <c r="DF1" s="735"/>
    </row>
    <row r="2" spans="1:110" ht="6.75" customHeight="1" thickBot="1">
      <c r="C2" s="776"/>
      <c r="D2" s="776"/>
      <c r="E2" s="776"/>
      <c r="F2" s="776"/>
      <c r="G2" s="212"/>
      <c r="H2" s="776"/>
      <c r="I2" s="776"/>
      <c r="J2" s="776"/>
      <c r="K2" s="776"/>
      <c r="L2" s="776"/>
      <c r="M2" s="776"/>
      <c r="N2" s="776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</row>
    <row r="3" spans="1:110" ht="24" customHeight="1" thickTop="1" thickBot="1">
      <c r="A3" s="292"/>
      <c r="B3" s="293"/>
      <c r="C3" s="227" t="s">
        <v>280</v>
      </c>
      <c r="D3" s="227" t="s">
        <v>281</v>
      </c>
      <c r="E3" s="227" t="s">
        <v>282</v>
      </c>
      <c r="F3" s="227" t="s">
        <v>283</v>
      </c>
      <c r="G3" s="227" t="s">
        <v>284</v>
      </c>
      <c r="H3" s="227" t="s">
        <v>285</v>
      </c>
      <c r="I3" s="227" t="s">
        <v>286</v>
      </c>
      <c r="J3" s="227" t="s">
        <v>287</v>
      </c>
      <c r="K3" s="227" t="s">
        <v>288</v>
      </c>
      <c r="L3" s="227" t="s">
        <v>289</v>
      </c>
      <c r="M3" s="227" t="s">
        <v>290</v>
      </c>
      <c r="N3" s="227" t="s">
        <v>291</v>
      </c>
      <c r="O3" s="228" t="s">
        <v>292</v>
      </c>
      <c r="P3" s="229" t="s">
        <v>293</v>
      </c>
      <c r="Q3" s="230" t="s">
        <v>294</v>
      </c>
      <c r="R3" s="218"/>
      <c r="S3" s="218"/>
      <c r="T3" s="218"/>
      <c r="U3" s="218"/>
      <c r="V3" s="218"/>
      <c r="W3" s="218"/>
      <c r="X3" s="218"/>
      <c r="Y3" s="735"/>
      <c r="Z3" s="735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  <c r="BM3" s="735"/>
      <c r="BN3" s="735"/>
      <c r="BO3" s="735"/>
      <c r="BP3" s="735"/>
      <c r="BQ3" s="735"/>
      <c r="BR3" s="735"/>
      <c r="BS3" s="735"/>
      <c r="BT3" s="735"/>
      <c r="BU3" s="735"/>
      <c r="BV3" s="735"/>
      <c r="BW3" s="735"/>
      <c r="BX3" s="735"/>
      <c r="BY3" s="735"/>
      <c r="BZ3" s="735"/>
      <c r="CA3" s="735"/>
      <c r="CB3" s="735"/>
      <c r="CC3" s="735"/>
      <c r="CD3" s="735"/>
      <c r="CE3" s="735"/>
      <c r="CF3" s="735"/>
      <c r="CG3" s="735"/>
      <c r="CH3" s="735"/>
      <c r="CI3" s="735"/>
      <c r="CJ3" s="735"/>
      <c r="CK3" s="735"/>
      <c r="CL3" s="735"/>
      <c r="CM3" s="735"/>
      <c r="CN3" s="735"/>
      <c r="CO3" s="735"/>
      <c r="CP3" s="735"/>
      <c r="CQ3" s="735"/>
      <c r="CR3" s="735"/>
      <c r="CS3" s="735"/>
      <c r="CT3" s="735"/>
      <c r="CU3" s="735"/>
      <c r="CV3" s="735"/>
      <c r="CW3" s="735"/>
      <c r="CX3" s="735"/>
      <c r="CY3" s="735"/>
      <c r="CZ3" s="735"/>
      <c r="DA3" s="735"/>
      <c r="DB3" s="735"/>
      <c r="DC3" s="735"/>
      <c r="DD3" s="735"/>
      <c r="DE3" s="735"/>
      <c r="DF3" s="735"/>
    </row>
    <row r="4" spans="1:110" ht="23.25">
      <c r="A4" s="294" t="s">
        <v>295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296</v>
      </c>
      <c r="B5" s="296"/>
      <c r="C5" s="234">
        <v>25072</v>
      </c>
      <c r="D5" s="380">
        <f>Elect!BP34</f>
        <v>92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25164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297</v>
      </c>
      <c r="B6" s="298"/>
      <c r="C6" s="235">
        <v>50662</v>
      </c>
      <c r="D6" s="235">
        <f>Elect!BR34</f>
        <v>208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50870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298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299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300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301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302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303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304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305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306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307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308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309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310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311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312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313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314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315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316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317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318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319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320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321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322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323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324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325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326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327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328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329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330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331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332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333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334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335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336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337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338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339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340</v>
      </c>
      <c r="B51" s="312" t="s">
        <v>341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342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343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344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345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346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347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348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349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350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351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352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353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354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355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356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5"/>
      <c r="Z66" s="735"/>
    </row>
    <row r="67" spans="1:110" s="10" customFormat="1" ht="15.75" hidden="1">
      <c r="A67" s="319" t="s">
        <v>357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5"/>
      <c r="Z67" s="735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5"/>
      <c r="Z68" s="735"/>
      <c r="AA68" s="735"/>
      <c r="AB68" s="735"/>
      <c r="AC68" s="735"/>
      <c r="AD68" s="735"/>
      <c r="AE68" s="735"/>
      <c r="AF68" s="735"/>
      <c r="AG68" s="735"/>
      <c r="AH68" s="735"/>
      <c r="AI68" s="735"/>
      <c r="AJ68" s="735"/>
      <c r="AK68" s="735"/>
      <c r="AL68" s="735"/>
      <c r="AM68" s="735"/>
      <c r="AN68" s="735"/>
      <c r="AO68" s="735"/>
      <c r="AP68" s="735"/>
      <c r="AQ68" s="735"/>
      <c r="AR68" s="735"/>
      <c r="AS68" s="735"/>
      <c r="AT68" s="735"/>
      <c r="AU68" s="735"/>
      <c r="AV68" s="735"/>
      <c r="AW68" s="735"/>
      <c r="AX68" s="735"/>
      <c r="AY68" s="735"/>
      <c r="AZ68" s="735"/>
      <c r="BA68" s="735"/>
      <c r="BB68" s="735"/>
      <c r="BC68" s="735"/>
      <c r="BD68" s="735"/>
      <c r="BE68" s="735"/>
      <c r="BF68" s="735"/>
      <c r="BG68" s="735"/>
      <c r="BH68" s="735"/>
      <c r="BI68" s="735"/>
      <c r="BJ68" s="735"/>
      <c r="BK68" s="735"/>
      <c r="BL68" s="735"/>
      <c r="BM68" s="735"/>
      <c r="BN68" s="735"/>
      <c r="BO68" s="735"/>
      <c r="BP68" s="735"/>
      <c r="BQ68" s="735"/>
      <c r="BR68" s="735"/>
      <c r="BS68" s="735"/>
      <c r="BT68" s="735"/>
      <c r="BU68" s="735"/>
      <c r="BV68" s="735"/>
      <c r="BW68" s="735"/>
      <c r="BX68" s="735"/>
      <c r="BY68" s="735"/>
      <c r="BZ68" s="735"/>
      <c r="CA68" s="735"/>
      <c r="CB68" s="735"/>
      <c r="CC68" s="735"/>
      <c r="CD68" s="735"/>
      <c r="CE68" s="735"/>
      <c r="CF68" s="735"/>
      <c r="CG68" s="735"/>
      <c r="CH68" s="735"/>
      <c r="CI68" s="735"/>
      <c r="CJ68" s="735"/>
      <c r="CK68" s="735"/>
      <c r="CL68" s="735"/>
      <c r="CM68" s="735"/>
      <c r="CN68" s="735"/>
      <c r="CO68" s="735"/>
      <c r="CP68" s="735"/>
      <c r="CQ68" s="735"/>
      <c r="CR68" s="735"/>
      <c r="CS68" s="735"/>
      <c r="CT68" s="735"/>
      <c r="CU68" s="735"/>
      <c r="CV68" s="735"/>
      <c r="CW68" s="735"/>
      <c r="CX68" s="735"/>
      <c r="CY68" s="735"/>
      <c r="CZ68" s="735"/>
      <c r="DA68" s="735"/>
      <c r="DB68" s="735"/>
      <c r="DC68" s="735"/>
      <c r="DD68" s="735"/>
      <c r="DE68" s="735"/>
      <c r="DF68" s="735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5"/>
      <c r="Z69" s="735"/>
      <c r="AA69" s="735"/>
      <c r="AB69" s="735"/>
      <c r="AC69" s="735"/>
      <c r="AD69" s="735"/>
      <c r="AE69" s="735"/>
      <c r="AF69" s="735"/>
      <c r="AG69" s="735"/>
      <c r="AH69" s="735"/>
      <c r="AI69" s="735"/>
      <c r="AJ69" s="735"/>
      <c r="AK69" s="735"/>
      <c r="AL69" s="735"/>
      <c r="AM69" s="735"/>
      <c r="AN69" s="735"/>
      <c r="AO69" s="735"/>
      <c r="AP69" s="735"/>
      <c r="AQ69" s="735"/>
      <c r="AR69" s="735"/>
      <c r="AS69" s="735"/>
      <c r="AT69" s="735"/>
      <c r="AU69" s="735"/>
      <c r="AV69" s="735"/>
      <c r="AW69" s="735"/>
      <c r="AX69" s="735"/>
      <c r="AY69" s="735"/>
      <c r="AZ69" s="735"/>
      <c r="BA69" s="735"/>
      <c r="BB69" s="735"/>
      <c r="BC69" s="735"/>
      <c r="BD69" s="735"/>
      <c r="BE69" s="735"/>
      <c r="BF69" s="735"/>
      <c r="BG69" s="735"/>
      <c r="BH69" s="735"/>
      <c r="BI69" s="735"/>
      <c r="BJ69" s="735"/>
      <c r="BK69" s="735"/>
      <c r="BL69" s="735"/>
      <c r="BM69" s="735"/>
      <c r="BN69" s="735"/>
      <c r="BO69" s="735"/>
      <c r="BP69" s="735"/>
      <c r="BQ69" s="735"/>
      <c r="BR69" s="735"/>
      <c r="BS69" s="735"/>
      <c r="BT69" s="735"/>
      <c r="BU69" s="735"/>
      <c r="BV69" s="735"/>
      <c r="BW69" s="735"/>
      <c r="BX69" s="735"/>
      <c r="BY69" s="735"/>
      <c r="BZ69" s="735"/>
      <c r="CA69" s="735"/>
      <c r="CB69" s="735"/>
      <c r="CC69" s="735"/>
      <c r="CD69" s="735"/>
      <c r="CE69" s="735"/>
      <c r="CF69" s="735"/>
      <c r="CG69" s="735"/>
      <c r="CH69" s="735"/>
      <c r="CI69" s="735"/>
      <c r="CJ69" s="735"/>
      <c r="CK69" s="735"/>
      <c r="CL69" s="735"/>
      <c r="CM69" s="735"/>
      <c r="CN69" s="735"/>
      <c r="CO69" s="735"/>
      <c r="CP69" s="735"/>
      <c r="CQ69" s="735"/>
      <c r="CR69" s="735"/>
      <c r="CS69" s="735"/>
      <c r="CT69" s="735"/>
      <c r="CU69" s="735"/>
      <c r="CV69" s="735"/>
      <c r="CW69" s="735"/>
      <c r="CX69" s="735"/>
      <c r="CY69" s="735"/>
      <c r="CZ69" s="735"/>
      <c r="DA69" s="735"/>
      <c r="DB69" s="735"/>
      <c r="DC69" s="735"/>
      <c r="DD69" s="735"/>
      <c r="DE69" s="735"/>
      <c r="DF69" s="735"/>
    </row>
    <row r="70" spans="1:110" s="10" customFormat="1" ht="15.75" hidden="1">
      <c r="A70" s="320" t="s">
        <v>358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5"/>
      <c r="Z70" s="735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5"/>
      <c r="Z71" s="735"/>
      <c r="AA71" s="735"/>
      <c r="AB71" s="735"/>
      <c r="AC71" s="735"/>
      <c r="AD71" s="735"/>
      <c r="AE71" s="735"/>
      <c r="AF71" s="735"/>
      <c r="AG71" s="735"/>
      <c r="AH71" s="735"/>
      <c r="AI71" s="735"/>
      <c r="AJ71" s="735"/>
      <c r="AK71" s="735"/>
      <c r="AL71" s="735"/>
      <c r="AM71" s="735"/>
      <c r="AN71" s="735"/>
      <c r="AO71" s="735"/>
      <c r="AP71" s="735"/>
      <c r="AQ71" s="735"/>
      <c r="AR71" s="735"/>
      <c r="AS71" s="735"/>
      <c r="AT71" s="735"/>
      <c r="AU71" s="735"/>
      <c r="AV71" s="735"/>
      <c r="AW71" s="735"/>
      <c r="AX71" s="735"/>
      <c r="AY71" s="735"/>
      <c r="AZ71" s="735"/>
      <c r="BA71" s="735"/>
      <c r="BB71" s="735"/>
      <c r="BC71" s="735"/>
      <c r="BD71" s="735"/>
      <c r="BE71" s="735"/>
      <c r="BF71" s="735"/>
      <c r="BG71" s="735"/>
      <c r="BH71" s="735"/>
      <c r="BI71" s="735"/>
      <c r="BJ71" s="735"/>
      <c r="BK71" s="735"/>
      <c r="BL71" s="735"/>
      <c r="BM71" s="735"/>
      <c r="BN71" s="735"/>
      <c r="BO71" s="735"/>
      <c r="BP71" s="735"/>
      <c r="BQ71" s="735"/>
      <c r="BR71" s="735"/>
      <c r="BS71" s="735"/>
      <c r="BT71" s="735"/>
      <c r="BU71" s="735"/>
      <c r="BV71" s="735"/>
      <c r="BW71" s="735"/>
      <c r="BX71" s="735"/>
      <c r="BY71" s="735"/>
      <c r="BZ71" s="735"/>
      <c r="CA71" s="735"/>
      <c r="CB71" s="735"/>
      <c r="CC71" s="735"/>
      <c r="CD71" s="735"/>
      <c r="CE71" s="735"/>
      <c r="CF71" s="735"/>
      <c r="CG71" s="735"/>
      <c r="CH71" s="735"/>
      <c r="CI71" s="735"/>
      <c r="CJ71" s="735"/>
      <c r="CK71" s="735"/>
      <c r="CL71" s="735"/>
      <c r="CM71" s="735"/>
      <c r="CN71" s="735"/>
      <c r="CO71" s="735"/>
      <c r="CP71" s="735"/>
      <c r="CQ71" s="735"/>
      <c r="CR71" s="735"/>
      <c r="CS71" s="735"/>
      <c r="CT71" s="735"/>
      <c r="CU71" s="735"/>
      <c r="CV71" s="735"/>
      <c r="CW71" s="735"/>
      <c r="CX71" s="735"/>
      <c r="CY71" s="735"/>
      <c r="CZ71" s="735"/>
      <c r="DA71" s="735"/>
      <c r="DB71" s="735"/>
      <c r="DC71" s="735"/>
      <c r="DD71" s="735"/>
      <c r="DE71" s="735"/>
      <c r="DF71" s="735"/>
    </row>
    <row r="72" spans="1:110" s="10" customFormat="1" ht="16.5" hidden="1" thickBot="1">
      <c r="A72" s="321" t="s">
        <v>359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5"/>
      <c r="Z72" s="735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5"/>
      <c r="Z73" s="735"/>
      <c r="AA73" s="735"/>
      <c r="AB73" s="735"/>
      <c r="AC73" s="735"/>
      <c r="AD73" s="735"/>
      <c r="AE73" s="735"/>
      <c r="AF73" s="735"/>
      <c r="AG73" s="735"/>
      <c r="AH73" s="735"/>
      <c r="AI73" s="735"/>
      <c r="AJ73" s="735"/>
      <c r="AK73" s="735"/>
      <c r="AL73" s="735"/>
      <c r="AM73" s="735"/>
      <c r="AN73" s="735"/>
      <c r="AO73" s="735"/>
      <c r="AP73" s="735"/>
      <c r="AQ73" s="735"/>
      <c r="AR73" s="735"/>
      <c r="AS73" s="735"/>
      <c r="AT73" s="735"/>
      <c r="AU73" s="735"/>
      <c r="AV73" s="735"/>
      <c r="AW73" s="735"/>
      <c r="AX73" s="735"/>
      <c r="AY73" s="735"/>
      <c r="AZ73" s="735"/>
      <c r="BA73" s="735"/>
      <c r="BB73" s="735"/>
      <c r="BC73" s="735"/>
      <c r="BD73" s="735"/>
      <c r="BE73" s="735"/>
      <c r="BF73" s="735"/>
      <c r="BG73" s="735"/>
      <c r="BH73" s="735"/>
      <c r="BI73" s="735"/>
      <c r="BJ73" s="735"/>
      <c r="BK73" s="735"/>
      <c r="BL73" s="735"/>
      <c r="BM73" s="735"/>
      <c r="BN73" s="735"/>
      <c r="BO73" s="735"/>
      <c r="BP73" s="735"/>
      <c r="BQ73" s="735"/>
      <c r="BR73" s="735"/>
      <c r="BS73" s="735"/>
      <c r="BT73" s="735"/>
      <c r="BU73" s="735"/>
      <c r="BV73" s="735"/>
      <c r="BW73" s="735"/>
      <c r="BX73" s="735"/>
      <c r="BY73" s="735"/>
      <c r="BZ73" s="735"/>
      <c r="CA73" s="735"/>
      <c r="CB73" s="735"/>
      <c r="CC73" s="735"/>
      <c r="CD73" s="735"/>
      <c r="CE73" s="735"/>
      <c r="CF73" s="735"/>
      <c r="CG73" s="735"/>
      <c r="CH73" s="735"/>
      <c r="CI73" s="735"/>
      <c r="CJ73" s="735"/>
      <c r="CK73" s="735"/>
      <c r="CL73" s="735"/>
      <c r="CM73" s="735"/>
      <c r="CN73" s="735"/>
      <c r="CO73" s="735"/>
      <c r="CP73" s="735"/>
      <c r="CQ73" s="735"/>
      <c r="CR73" s="735"/>
      <c r="CS73" s="735"/>
      <c r="CT73" s="735"/>
      <c r="CU73" s="735"/>
      <c r="CV73" s="735"/>
      <c r="CW73" s="735"/>
      <c r="CX73" s="735"/>
      <c r="CY73" s="735"/>
      <c r="CZ73" s="735"/>
      <c r="DA73" s="735"/>
      <c r="DB73" s="735"/>
      <c r="DC73" s="735"/>
      <c r="DD73" s="735"/>
      <c r="DE73" s="735"/>
      <c r="DF73" s="735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5"/>
      <c r="Z74" s="735"/>
      <c r="AA74" s="735"/>
      <c r="AB74" s="735"/>
      <c r="AC74" s="735"/>
      <c r="AD74" s="735"/>
      <c r="AE74" s="735"/>
      <c r="AF74" s="735"/>
      <c r="AG74" s="735"/>
      <c r="AH74" s="735"/>
      <c r="AI74" s="735"/>
      <c r="AJ74" s="735"/>
      <c r="AK74" s="735"/>
      <c r="AL74" s="735"/>
      <c r="AM74" s="735"/>
      <c r="AN74" s="735"/>
      <c r="AO74" s="735"/>
      <c r="AP74" s="735"/>
      <c r="AQ74" s="735"/>
      <c r="AR74" s="735"/>
      <c r="AS74" s="735"/>
      <c r="AT74" s="735"/>
      <c r="AU74" s="735"/>
      <c r="AV74" s="735"/>
      <c r="AW74" s="735"/>
      <c r="AX74" s="735"/>
      <c r="AY74" s="735"/>
      <c r="AZ74" s="735"/>
      <c r="BA74" s="735"/>
      <c r="BB74" s="735"/>
      <c r="BC74" s="735"/>
      <c r="BD74" s="735"/>
      <c r="BE74" s="735"/>
      <c r="BF74" s="735"/>
      <c r="BG74" s="735"/>
      <c r="BH74" s="735"/>
      <c r="BI74" s="735"/>
      <c r="BJ74" s="735"/>
      <c r="BK74" s="735"/>
      <c r="BL74" s="735"/>
      <c r="BM74" s="735"/>
      <c r="BN74" s="735"/>
      <c r="BO74" s="735"/>
      <c r="BP74" s="735"/>
      <c r="BQ74" s="735"/>
      <c r="BR74" s="735"/>
      <c r="BS74" s="735"/>
      <c r="BT74" s="735"/>
      <c r="BU74" s="735"/>
      <c r="BV74" s="735"/>
      <c r="BW74" s="735"/>
      <c r="BX74" s="735"/>
      <c r="BY74" s="735"/>
      <c r="BZ74" s="735"/>
      <c r="CA74" s="735"/>
      <c r="CB74" s="735"/>
      <c r="CC74" s="735"/>
      <c r="CD74" s="735"/>
      <c r="CE74" s="735"/>
      <c r="CF74" s="735"/>
      <c r="CG74" s="735"/>
      <c r="CH74" s="735"/>
      <c r="CI74" s="735"/>
      <c r="CJ74" s="735"/>
      <c r="CK74" s="735"/>
      <c r="CL74" s="735"/>
      <c r="CM74" s="735"/>
      <c r="CN74" s="735"/>
      <c r="CO74" s="735"/>
      <c r="CP74" s="735"/>
      <c r="CQ74" s="735"/>
      <c r="CR74" s="735"/>
      <c r="CS74" s="735"/>
      <c r="CT74" s="735"/>
      <c r="CU74" s="735"/>
      <c r="CV74" s="735"/>
      <c r="CW74" s="735"/>
      <c r="CX74" s="735"/>
      <c r="CY74" s="735"/>
      <c r="CZ74" s="735"/>
      <c r="DA74" s="735"/>
      <c r="DB74" s="735"/>
      <c r="DC74" s="735"/>
      <c r="DD74" s="735"/>
      <c r="DE74" s="735"/>
      <c r="DF74" s="735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5"/>
      <c r="Z75" s="735"/>
      <c r="AA75" s="735"/>
      <c r="AB75" s="735"/>
      <c r="AC75" s="735"/>
      <c r="AD75" s="735"/>
      <c r="AE75" s="735"/>
      <c r="AF75" s="735"/>
      <c r="AG75" s="735"/>
      <c r="AH75" s="735"/>
      <c r="AI75" s="735"/>
      <c r="AJ75" s="735"/>
      <c r="AK75" s="735"/>
      <c r="AL75" s="735"/>
      <c r="AM75" s="735"/>
      <c r="AN75" s="735"/>
      <c r="AO75" s="735"/>
      <c r="AP75" s="735"/>
      <c r="AQ75" s="735"/>
      <c r="AR75" s="735"/>
      <c r="AS75" s="735"/>
      <c r="AT75" s="735"/>
      <c r="AU75" s="735"/>
      <c r="AV75" s="735"/>
      <c r="AW75" s="735"/>
      <c r="AX75" s="735"/>
      <c r="AY75" s="735"/>
      <c r="AZ75" s="735"/>
      <c r="BA75" s="735"/>
      <c r="BB75" s="735"/>
      <c r="BC75" s="735"/>
      <c r="BD75" s="735"/>
      <c r="BE75" s="735"/>
      <c r="BF75" s="735"/>
      <c r="BG75" s="735"/>
      <c r="BH75" s="735"/>
      <c r="BI75" s="735"/>
      <c r="BJ75" s="735"/>
      <c r="BK75" s="735"/>
      <c r="BL75" s="735"/>
      <c r="BM75" s="735"/>
      <c r="BN75" s="735"/>
      <c r="BO75" s="735"/>
      <c r="BP75" s="735"/>
      <c r="BQ75" s="735"/>
      <c r="BR75" s="735"/>
      <c r="BS75" s="735"/>
      <c r="BT75" s="735"/>
      <c r="BU75" s="735"/>
      <c r="BV75" s="735"/>
      <c r="BW75" s="735"/>
      <c r="BX75" s="735"/>
      <c r="BY75" s="735"/>
      <c r="BZ75" s="735"/>
      <c r="CA75" s="735"/>
      <c r="CB75" s="735"/>
      <c r="CC75" s="735"/>
      <c r="CD75" s="735"/>
      <c r="CE75" s="735"/>
      <c r="CF75" s="735"/>
      <c r="CG75" s="735"/>
      <c r="CH75" s="735"/>
      <c r="CI75" s="735"/>
      <c r="CJ75" s="735"/>
      <c r="CK75" s="735"/>
      <c r="CL75" s="735"/>
      <c r="CM75" s="735"/>
      <c r="CN75" s="735"/>
      <c r="CO75" s="735"/>
      <c r="CP75" s="735"/>
      <c r="CQ75" s="735"/>
      <c r="CR75" s="735"/>
      <c r="CS75" s="735"/>
      <c r="CT75" s="735"/>
      <c r="CU75" s="735"/>
      <c r="CV75" s="735"/>
      <c r="CW75" s="735"/>
      <c r="CX75" s="735"/>
      <c r="CY75" s="735"/>
      <c r="CZ75" s="735"/>
      <c r="DA75" s="735"/>
      <c r="DB75" s="735"/>
      <c r="DC75" s="735"/>
      <c r="DD75" s="735"/>
      <c r="DE75" s="735"/>
      <c r="DF75" s="735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5"/>
      <c r="Z76" s="735"/>
      <c r="AA76" s="735"/>
      <c r="AB76" s="735"/>
      <c r="AC76" s="735"/>
      <c r="AD76" s="735"/>
      <c r="AE76" s="735"/>
      <c r="AF76" s="735"/>
      <c r="AG76" s="735"/>
      <c r="AH76" s="735"/>
      <c r="AI76" s="735"/>
      <c r="AJ76" s="735"/>
      <c r="AK76" s="735"/>
      <c r="AL76" s="735"/>
      <c r="AM76" s="735"/>
      <c r="AN76" s="735"/>
      <c r="AO76" s="735"/>
      <c r="AP76" s="735"/>
      <c r="AQ76" s="735"/>
      <c r="AR76" s="735"/>
      <c r="AS76" s="735"/>
      <c r="AT76" s="735"/>
      <c r="AU76" s="735"/>
      <c r="AV76" s="735"/>
      <c r="AW76" s="735"/>
      <c r="AX76" s="735"/>
      <c r="AY76" s="735"/>
      <c r="AZ76" s="735"/>
      <c r="BA76" s="735"/>
      <c r="BB76" s="735"/>
      <c r="BC76" s="735"/>
      <c r="BD76" s="735"/>
      <c r="BE76" s="735"/>
      <c r="BF76" s="735"/>
      <c r="BG76" s="735"/>
      <c r="BH76" s="735"/>
      <c r="BI76" s="735"/>
      <c r="BJ76" s="735"/>
      <c r="BK76" s="735"/>
      <c r="BL76" s="735"/>
      <c r="BM76" s="735"/>
      <c r="BN76" s="735"/>
      <c r="BO76" s="735"/>
      <c r="BP76" s="735"/>
      <c r="BQ76" s="735"/>
      <c r="BR76" s="735"/>
      <c r="BS76" s="735"/>
      <c r="BT76" s="735"/>
      <c r="BU76" s="735"/>
      <c r="BV76" s="735"/>
      <c r="BW76" s="735"/>
      <c r="BX76" s="735"/>
      <c r="BY76" s="735"/>
      <c r="BZ76" s="735"/>
      <c r="CA76" s="735"/>
      <c r="CB76" s="735"/>
      <c r="CC76" s="735"/>
      <c r="CD76" s="735"/>
      <c r="CE76" s="735"/>
      <c r="CF76" s="735"/>
      <c r="CG76" s="735"/>
      <c r="CH76" s="735"/>
      <c r="CI76" s="735"/>
      <c r="CJ76" s="735"/>
      <c r="CK76" s="735"/>
      <c r="CL76" s="735"/>
      <c r="CM76" s="735"/>
      <c r="CN76" s="735"/>
      <c r="CO76" s="735"/>
      <c r="CP76" s="735"/>
      <c r="CQ76" s="735"/>
      <c r="CR76" s="735"/>
      <c r="CS76" s="735"/>
      <c r="CT76" s="735"/>
      <c r="CU76" s="735"/>
      <c r="CV76" s="735"/>
      <c r="CW76" s="735"/>
      <c r="CX76" s="735"/>
      <c r="CY76" s="735"/>
      <c r="CZ76" s="735"/>
      <c r="DA76" s="735"/>
      <c r="DB76" s="735"/>
      <c r="DC76" s="735"/>
      <c r="DD76" s="735"/>
      <c r="DE76" s="735"/>
      <c r="DF76" s="735"/>
    </row>
    <row r="77" spans="1:110" ht="15.75" hidden="1">
      <c r="A77" s="320" t="s">
        <v>360</v>
      </c>
      <c r="B77" s="320" t="s">
        <v>361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5"/>
      <c r="Z77" s="735"/>
      <c r="AA77" s="735"/>
      <c r="AB77" s="735"/>
      <c r="AC77" s="735"/>
      <c r="AD77" s="735"/>
      <c r="AE77" s="735"/>
      <c r="AF77" s="735"/>
      <c r="AG77" s="735"/>
      <c r="AH77" s="735"/>
      <c r="AI77" s="735"/>
      <c r="AJ77" s="735"/>
      <c r="AK77" s="735"/>
      <c r="AL77" s="735"/>
      <c r="AM77" s="735"/>
      <c r="AN77" s="735"/>
      <c r="AO77" s="735"/>
      <c r="AP77" s="735"/>
      <c r="AQ77" s="735"/>
      <c r="AR77" s="735"/>
      <c r="AS77" s="735"/>
      <c r="AT77" s="735"/>
      <c r="AU77" s="735"/>
      <c r="AV77" s="735"/>
      <c r="AW77" s="735"/>
      <c r="AX77" s="735"/>
      <c r="AY77" s="735"/>
      <c r="AZ77" s="735"/>
      <c r="BA77" s="735"/>
      <c r="BB77" s="735"/>
      <c r="BC77" s="735"/>
      <c r="BD77" s="735"/>
      <c r="BE77" s="735"/>
      <c r="BF77" s="735"/>
      <c r="BG77" s="735"/>
      <c r="BH77" s="735"/>
      <c r="BI77" s="735"/>
      <c r="BJ77" s="735"/>
      <c r="BK77" s="735"/>
      <c r="BL77" s="735"/>
      <c r="BM77" s="735"/>
      <c r="BN77" s="735"/>
      <c r="BO77" s="735"/>
      <c r="BP77" s="735"/>
      <c r="BQ77" s="735"/>
      <c r="BR77" s="735"/>
      <c r="BS77" s="735"/>
      <c r="BT77" s="735"/>
      <c r="BU77" s="735"/>
      <c r="BV77" s="735"/>
      <c r="BW77" s="735"/>
      <c r="BX77" s="735"/>
      <c r="BY77" s="735"/>
      <c r="BZ77" s="735"/>
      <c r="CA77" s="735"/>
      <c r="CB77" s="735"/>
      <c r="CC77" s="735"/>
      <c r="CD77" s="735"/>
      <c r="CE77" s="735"/>
      <c r="CF77" s="735"/>
      <c r="CG77" s="735"/>
      <c r="CH77" s="735"/>
      <c r="CI77" s="735"/>
      <c r="CJ77" s="735"/>
      <c r="CK77" s="735"/>
      <c r="CL77" s="735"/>
      <c r="CM77" s="735"/>
      <c r="CN77" s="735"/>
      <c r="CO77" s="735"/>
      <c r="CP77" s="735"/>
      <c r="CQ77" s="735"/>
      <c r="CR77" s="735"/>
      <c r="CS77" s="735"/>
      <c r="CT77" s="735"/>
      <c r="CU77" s="735"/>
      <c r="CV77" s="735"/>
      <c r="CW77" s="735"/>
      <c r="CX77" s="735"/>
      <c r="CY77" s="735"/>
      <c r="CZ77" s="735"/>
      <c r="DA77" s="735"/>
      <c r="DB77" s="735"/>
      <c r="DC77" s="735"/>
      <c r="DD77" s="735"/>
      <c r="DE77" s="735"/>
      <c r="DF77" s="735"/>
    </row>
    <row r="78" spans="1:110" ht="15.75" hidden="1">
      <c r="A78" s="320" t="s">
        <v>362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5"/>
      <c r="Z78" s="735"/>
      <c r="AA78" s="735"/>
      <c r="AB78" s="735"/>
      <c r="AC78" s="735"/>
      <c r="AD78" s="735"/>
      <c r="AE78" s="735"/>
      <c r="AF78" s="735"/>
      <c r="AG78" s="735"/>
      <c r="AH78" s="735"/>
      <c r="AI78" s="735"/>
      <c r="AJ78" s="735"/>
      <c r="AK78" s="735"/>
      <c r="AL78" s="735"/>
      <c r="AM78" s="735"/>
      <c r="AN78" s="735"/>
      <c r="AO78" s="735"/>
      <c r="AP78" s="735"/>
      <c r="AQ78" s="735"/>
      <c r="AR78" s="735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735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735"/>
      <c r="CE78" s="735"/>
      <c r="CF78" s="735"/>
      <c r="CG78" s="735"/>
      <c r="CH78" s="735"/>
      <c r="CI78" s="735"/>
      <c r="CJ78" s="735"/>
      <c r="CK78" s="735"/>
      <c r="CL78" s="735"/>
      <c r="CM78" s="735"/>
      <c r="CN78" s="735"/>
      <c r="CO78" s="735"/>
      <c r="CP78" s="735"/>
      <c r="CQ78" s="735"/>
      <c r="CR78" s="735"/>
      <c r="CS78" s="735"/>
      <c r="CT78" s="735"/>
      <c r="CU78" s="735"/>
      <c r="CV78" s="735"/>
      <c r="CW78" s="735"/>
      <c r="CX78" s="735"/>
      <c r="CY78" s="735"/>
      <c r="CZ78" s="735"/>
      <c r="DA78" s="735"/>
      <c r="DB78" s="735"/>
      <c r="DC78" s="735"/>
      <c r="DD78" s="735"/>
      <c r="DE78" s="735"/>
      <c r="DF78" s="735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5"/>
      <c r="Z79" s="735"/>
      <c r="AA79" s="735"/>
      <c r="AB79" s="735"/>
      <c r="AC79" s="735"/>
      <c r="AD79" s="735"/>
      <c r="AE79" s="735"/>
      <c r="AF79" s="735"/>
      <c r="AG79" s="735"/>
      <c r="AH79" s="735"/>
      <c r="AI79" s="735"/>
      <c r="AJ79" s="735"/>
      <c r="AK79" s="735"/>
      <c r="AL79" s="735"/>
      <c r="AM79" s="735"/>
      <c r="AN79" s="735"/>
      <c r="AO79" s="735"/>
      <c r="AP79" s="735"/>
      <c r="AQ79" s="735"/>
      <c r="AR79" s="735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  <c r="BC79" s="735"/>
      <c r="BD79" s="735"/>
      <c r="BE79" s="735"/>
      <c r="BF79" s="735"/>
      <c r="BG79" s="735"/>
      <c r="BH79" s="735"/>
      <c r="BI79" s="735"/>
      <c r="BJ79" s="735"/>
      <c r="BK79" s="735"/>
      <c r="BL79" s="735"/>
      <c r="BM79" s="735"/>
      <c r="BN79" s="735"/>
      <c r="BO79" s="735"/>
      <c r="BP79" s="735"/>
      <c r="BQ79" s="735"/>
      <c r="BR79" s="735"/>
      <c r="BS79" s="735"/>
      <c r="BT79" s="735"/>
      <c r="BU79" s="735"/>
      <c r="BV79" s="735"/>
      <c r="BW79" s="735"/>
      <c r="BX79" s="735"/>
      <c r="BY79" s="735"/>
      <c r="BZ79" s="735"/>
      <c r="CA79" s="735"/>
      <c r="CB79" s="735"/>
      <c r="CC79" s="735"/>
      <c r="CD79" s="735"/>
      <c r="CE79" s="735"/>
      <c r="CF79" s="735"/>
      <c r="CG79" s="735"/>
      <c r="CH79" s="735"/>
      <c r="CI79" s="735"/>
      <c r="CJ79" s="735"/>
      <c r="CK79" s="735"/>
      <c r="CL79" s="735"/>
      <c r="CM79" s="735"/>
      <c r="CN79" s="735"/>
      <c r="CO79" s="735"/>
      <c r="CP79" s="735"/>
      <c r="CQ79" s="735"/>
      <c r="CR79" s="735"/>
      <c r="CS79" s="735"/>
      <c r="CT79" s="735"/>
      <c r="CU79" s="735"/>
      <c r="CV79" s="735"/>
      <c r="CW79" s="735"/>
      <c r="CX79" s="735"/>
      <c r="CY79" s="735"/>
      <c r="CZ79" s="735"/>
      <c r="DA79" s="735"/>
      <c r="DB79" s="735"/>
      <c r="DC79" s="735"/>
      <c r="DD79" s="735"/>
      <c r="DE79" s="735"/>
      <c r="DF79" s="735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5"/>
      <c r="Z80" s="735"/>
      <c r="AA80" s="735"/>
      <c r="AB80" s="735"/>
      <c r="AC80" s="735"/>
      <c r="AD80" s="735"/>
      <c r="AE80" s="735"/>
      <c r="AF80" s="735"/>
      <c r="AG80" s="735"/>
      <c r="AH80" s="735"/>
      <c r="AI80" s="735"/>
      <c r="AJ80" s="735"/>
      <c r="AK80" s="735"/>
      <c r="AL80" s="735"/>
      <c r="AM80" s="735"/>
      <c r="AN80" s="735"/>
      <c r="AO80" s="735"/>
      <c r="AP80" s="735"/>
      <c r="AQ80" s="735"/>
      <c r="AR80" s="735"/>
      <c r="AS80" s="735"/>
      <c r="AT80" s="735"/>
      <c r="AU80" s="735"/>
      <c r="AV80" s="735"/>
      <c r="AW80" s="735"/>
      <c r="AX80" s="735"/>
      <c r="AY80" s="735"/>
      <c r="AZ80" s="735"/>
      <c r="BA80" s="735"/>
      <c r="BB80" s="735"/>
      <c r="BC80" s="735"/>
      <c r="BD80" s="735"/>
      <c r="BE80" s="735"/>
      <c r="BF80" s="735"/>
      <c r="BG80" s="735"/>
      <c r="BH80" s="735"/>
      <c r="BI80" s="735"/>
      <c r="BJ80" s="735"/>
      <c r="BK80" s="735"/>
      <c r="BL80" s="735"/>
      <c r="BM80" s="735"/>
      <c r="BN80" s="735"/>
      <c r="BO80" s="735"/>
      <c r="BP80" s="735"/>
      <c r="BQ80" s="735"/>
      <c r="BR80" s="735"/>
      <c r="BS80" s="735"/>
      <c r="BT80" s="735"/>
      <c r="BU80" s="735"/>
      <c r="BV80" s="735"/>
      <c r="BW80" s="735"/>
      <c r="BX80" s="735"/>
      <c r="BY80" s="735"/>
      <c r="BZ80" s="735"/>
      <c r="CA80" s="735"/>
      <c r="CB80" s="735"/>
      <c r="CC80" s="735"/>
      <c r="CD80" s="735"/>
      <c r="CE80" s="735"/>
      <c r="CF80" s="735"/>
      <c r="CG80" s="735"/>
      <c r="CH80" s="735"/>
      <c r="CI80" s="735"/>
      <c r="CJ80" s="735"/>
      <c r="CK80" s="735"/>
      <c r="CL80" s="735"/>
      <c r="CM80" s="735"/>
      <c r="CN80" s="735"/>
      <c r="CO80" s="735"/>
      <c r="CP80" s="735"/>
      <c r="CQ80" s="735"/>
      <c r="CR80" s="735"/>
      <c r="CS80" s="735"/>
      <c r="CT80" s="735"/>
      <c r="CU80" s="735"/>
      <c r="CV80" s="735"/>
      <c r="CW80" s="735"/>
      <c r="CX80" s="735"/>
      <c r="CY80" s="735"/>
      <c r="CZ80" s="735"/>
      <c r="DA80" s="735"/>
      <c r="DB80" s="735"/>
      <c r="DC80" s="735"/>
      <c r="DD80" s="735"/>
      <c r="DE80" s="735"/>
      <c r="DF80" s="735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360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362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360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362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363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364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365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305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306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307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308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309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310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311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312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313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314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315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316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317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318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319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320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366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322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323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324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325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326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327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328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329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330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331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332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333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334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335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336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337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338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339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340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342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343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344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345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346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367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348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349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350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354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355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368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365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305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306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307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308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309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310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311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312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313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314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315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316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317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318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319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320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366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322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323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324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325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326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327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328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329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330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331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332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333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334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335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336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337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338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339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340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342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343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344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345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346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367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348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349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350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354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355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369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370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371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372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373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374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375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376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377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378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379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380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381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348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382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311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312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313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314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315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316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317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318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319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320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366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322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323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324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325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326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327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328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329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330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331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332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333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334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335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336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337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338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339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340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342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343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344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345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346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367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348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349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350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351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352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354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383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311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312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313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314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315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316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317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318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319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320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366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322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323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324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325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326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327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328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329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330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331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332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333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334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335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336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337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338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339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340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342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343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344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345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346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367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348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349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350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351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352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354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7"/>
      <c r="D2336" s="777"/>
      <c r="E2336" s="777"/>
      <c r="F2336" s="777"/>
      <c r="G2336" s="777"/>
      <c r="H2336" s="777"/>
      <c r="I2336" s="777"/>
      <c r="J2336" s="777"/>
      <c r="K2336" s="777"/>
      <c r="L2336" s="777"/>
      <c r="M2336" s="777"/>
      <c r="N2336" s="777"/>
      <c r="O2336" s="266"/>
      <c r="P2336" s="266"/>
      <c r="Q2336" s="778"/>
      <c r="R2336" s="735"/>
      <c r="S2336" s="735"/>
      <c r="T2336" s="735"/>
      <c r="U2336" s="735"/>
      <c r="V2336" s="735"/>
      <c r="W2336" s="735"/>
      <c r="X2336" s="735"/>
    </row>
    <row r="2337" spans="1:26">
      <c r="B2337" s="323"/>
      <c r="C2337" s="777">
        <v>39814</v>
      </c>
      <c r="D2337" s="777">
        <v>39845</v>
      </c>
      <c r="E2337" s="777">
        <v>39873</v>
      </c>
      <c r="F2337" s="777">
        <v>39904</v>
      </c>
      <c r="G2337" s="777">
        <v>39934</v>
      </c>
      <c r="H2337" s="777">
        <v>39965</v>
      </c>
      <c r="I2337" s="777">
        <v>39995</v>
      </c>
      <c r="J2337" s="777">
        <v>40026</v>
      </c>
      <c r="K2337" s="777">
        <v>40057</v>
      </c>
      <c r="L2337" s="777">
        <v>40087</v>
      </c>
      <c r="M2337" s="777">
        <v>40118</v>
      </c>
      <c r="N2337" s="777">
        <v>40148</v>
      </c>
      <c r="O2337" s="267"/>
      <c r="P2337" s="267"/>
      <c r="Q2337" s="779"/>
      <c r="R2337" s="735"/>
      <c r="S2337" s="735"/>
      <c r="T2337" s="735"/>
      <c r="U2337" s="735"/>
      <c r="V2337" s="735"/>
      <c r="W2337" s="735"/>
      <c r="X2337" s="735"/>
      <c r="Y2337" s="735"/>
      <c r="Z2337" s="735"/>
    </row>
    <row r="2338" spans="1:26" ht="21.75" customHeight="1">
      <c r="A2338" s="323"/>
      <c r="B2338" s="323"/>
      <c r="C2338" s="776"/>
      <c r="D2338" s="776"/>
      <c r="E2338" s="776"/>
      <c r="F2338" s="776"/>
      <c r="G2338" s="776"/>
      <c r="H2338" s="211" t="s">
        <v>384</v>
      </c>
      <c r="I2338" s="214"/>
      <c r="J2338" s="776"/>
      <c r="K2338" s="776"/>
      <c r="L2338" s="776"/>
      <c r="M2338" s="776"/>
      <c r="N2338" s="776"/>
      <c r="Q2338" s="735"/>
      <c r="R2338" s="735"/>
      <c r="S2338" s="735"/>
      <c r="T2338" s="735"/>
      <c r="U2338" s="735"/>
      <c r="V2338" s="735"/>
      <c r="W2338" s="735"/>
      <c r="X2338" s="735"/>
      <c r="Y2338" s="735"/>
      <c r="Z2338" s="735"/>
    </row>
    <row r="2339" spans="1:26" ht="13.5" thickBot="1">
      <c r="A2339" s="323"/>
      <c r="B2339" s="323"/>
      <c r="C2339" s="776"/>
      <c r="D2339" s="776"/>
      <c r="E2339" s="776"/>
      <c r="F2339" s="776"/>
      <c r="G2339" s="776"/>
      <c r="H2339" s="776"/>
      <c r="I2339" s="776"/>
      <c r="J2339" s="776"/>
      <c r="K2339" s="776"/>
      <c r="L2339" s="776"/>
      <c r="M2339" s="776"/>
      <c r="N2339" s="776"/>
      <c r="Q2339" s="735"/>
      <c r="R2339" s="735"/>
      <c r="S2339" s="735"/>
      <c r="T2339" s="735"/>
      <c r="U2339" s="735"/>
      <c r="V2339" s="735"/>
      <c r="W2339" s="735"/>
      <c r="X2339" s="735"/>
      <c r="Y2339" s="735"/>
      <c r="Z2339" s="735"/>
    </row>
    <row r="2340" spans="1:26" s="219" customFormat="1" ht="27.75" customHeight="1" thickTop="1" thickBot="1">
      <c r="A2340" s="324"/>
      <c r="B2340" s="325"/>
      <c r="C2340" s="268" t="s">
        <v>280</v>
      </c>
      <c r="D2340" s="268" t="s">
        <v>281</v>
      </c>
      <c r="E2340" s="268" t="s">
        <v>282</v>
      </c>
      <c r="F2340" s="268" t="s">
        <v>283</v>
      </c>
      <c r="G2340" s="268" t="s">
        <v>284</v>
      </c>
      <c r="H2340" s="268" t="s">
        <v>285</v>
      </c>
      <c r="I2340" s="268" t="s">
        <v>286</v>
      </c>
      <c r="J2340" s="268" t="s">
        <v>287</v>
      </c>
      <c r="K2340" s="268" t="s">
        <v>288</v>
      </c>
      <c r="L2340" s="268" t="s">
        <v>289</v>
      </c>
      <c r="M2340" s="268" t="s">
        <v>290</v>
      </c>
      <c r="N2340" s="269" t="s">
        <v>291</v>
      </c>
      <c r="O2340" s="226" t="s">
        <v>385</v>
      </c>
      <c r="P2340" s="270" t="s">
        <v>293</v>
      </c>
      <c r="Q2340" s="230" t="s">
        <v>386</v>
      </c>
      <c r="R2340" s="780"/>
      <c r="S2340" s="780"/>
      <c r="T2340" s="780"/>
      <c r="U2340" s="780"/>
      <c r="V2340" s="780"/>
      <c r="W2340" s="780"/>
      <c r="X2340" s="780"/>
      <c r="Y2340" s="780"/>
      <c r="Z2340" s="780"/>
    </row>
    <row r="2341" spans="1:26" s="213" customFormat="1" ht="16.5" thickTop="1">
      <c r="A2341" s="326" t="s">
        <v>296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297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304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5"/>
      <c r="Z2343" s="735"/>
    </row>
    <row r="2344" spans="1:26" s="219" customFormat="1" ht="15.75">
      <c r="A2344" s="330" t="s">
        <v>365</v>
      </c>
      <c r="B2344" s="331"/>
      <c r="C2344" s="781"/>
      <c r="D2344" s="781"/>
      <c r="E2344" s="781"/>
      <c r="F2344" s="781"/>
      <c r="G2344" s="781"/>
      <c r="H2344" s="781"/>
      <c r="I2344" s="781"/>
      <c r="J2344" s="781"/>
      <c r="K2344" s="781"/>
      <c r="L2344" s="781"/>
      <c r="M2344" s="781"/>
      <c r="N2344" s="782"/>
      <c r="O2344" s="273"/>
      <c r="P2344" s="274">
        <f t="shared" si="44"/>
        <v>0</v>
      </c>
      <c r="Q2344" s="275">
        <f t="shared" si="45"/>
        <v>0</v>
      </c>
      <c r="R2344" s="780"/>
      <c r="S2344" s="780"/>
      <c r="T2344" s="780"/>
      <c r="U2344" s="780"/>
      <c r="V2344" s="780"/>
      <c r="W2344" s="780"/>
      <c r="X2344" s="780"/>
      <c r="Y2344" s="780"/>
      <c r="Z2344" s="780"/>
    </row>
    <row r="2345" spans="1:26" s="219" customFormat="1" ht="18.75" customHeight="1">
      <c r="A2345" s="783" t="s">
        <v>387</v>
      </c>
      <c r="B2345" s="784" t="s">
        <v>388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80"/>
      <c r="S2345" s="780"/>
      <c r="T2345" s="780"/>
      <c r="U2345" s="780"/>
      <c r="V2345" s="780"/>
      <c r="W2345" s="780"/>
      <c r="X2345" s="780"/>
      <c r="Y2345" s="780"/>
      <c r="Z2345" s="780"/>
    </row>
    <row r="2346" spans="1:26" s="219" customFormat="1" ht="18.75" customHeight="1">
      <c r="A2346" s="783" t="s">
        <v>389</v>
      </c>
      <c r="B2346" s="784" t="s">
        <v>388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80"/>
      <c r="S2346" s="780"/>
      <c r="T2346" s="780"/>
      <c r="U2346" s="780"/>
      <c r="V2346" s="780"/>
      <c r="W2346" s="780"/>
      <c r="X2346" s="780"/>
      <c r="Y2346" s="780"/>
      <c r="Z2346" s="780"/>
    </row>
    <row r="2347" spans="1:26" s="219" customFormat="1" ht="18.75" customHeight="1">
      <c r="A2347" s="783" t="s">
        <v>390</v>
      </c>
      <c r="B2347" s="784" t="s">
        <v>388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80"/>
      <c r="S2347" s="780"/>
      <c r="T2347" s="780"/>
      <c r="U2347" s="780"/>
      <c r="V2347" s="780"/>
      <c r="W2347" s="780"/>
      <c r="X2347" s="780"/>
      <c r="Y2347" s="780"/>
      <c r="Z2347" s="780"/>
    </row>
    <row r="2348" spans="1:26" s="219" customFormat="1" ht="18.75" customHeight="1" thickBot="1">
      <c r="A2348" s="783" t="s">
        <v>391</v>
      </c>
      <c r="B2348" s="784" t="s">
        <v>388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80"/>
      <c r="S2348" s="780"/>
      <c r="T2348" s="780"/>
      <c r="U2348" s="780"/>
      <c r="V2348" s="780"/>
      <c r="W2348" s="780"/>
      <c r="X2348" s="780"/>
      <c r="Y2348" s="780"/>
      <c r="Z2348" s="780"/>
    </row>
    <row r="2349" spans="1:26" s="220" customFormat="1" ht="21.75" customHeight="1" thickTop="1" thickBot="1">
      <c r="A2349" s="379" t="s">
        <v>309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7"/>
      <c r="D2350" s="777"/>
      <c r="E2350" s="777"/>
      <c r="F2350" s="777"/>
      <c r="G2350" s="777"/>
      <c r="H2350" s="777"/>
      <c r="I2350" s="777"/>
      <c r="J2350" s="777"/>
      <c r="K2350" s="777"/>
      <c r="L2350" s="777"/>
      <c r="M2350" s="777"/>
      <c r="N2350" s="777"/>
      <c r="O2350" s="267"/>
      <c r="P2350" s="274">
        <f t="shared" si="44"/>
        <v>0</v>
      </c>
      <c r="Q2350" s="275">
        <f t="shared" si="45"/>
        <v>0</v>
      </c>
      <c r="R2350" s="735"/>
      <c r="S2350" s="735"/>
      <c r="T2350" s="735"/>
      <c r="U2350" s="735"/>
      <c r="V2350" s="735"/>
      <c r="W2350" s="735"/>
      <c r="X2350" s="735"/>
      <c r="Y2350" s="735"/>
      <c r="Z2350" s="735"/>
    </row>
    <row r="2351" spans="1:26" s="10" customFormat="1" ht="17.25" thickTop="1" thickBot="1">
      <c r="A2351" s="334" t="s">
        <v>354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5"/>
      <c r="Z2351" s="735"/>
    </row>
    <row r="2352" spans="1:26" s="10" customFormat="1" ht="17.25" thickTop="1" thickBot="1">
      <c r="A2352" s="336" t="s">
        <v>355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5"/>
      <c r="Z2352" s="735"/>
    </row>
    <row r="2353" spans="1:26" s="10" customFormat="1" ht="19.5" customHeight="1" thickBot="1">
      <c r="A2353" s="337" t="s">
        <v>356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5"/>
      <c r="Z2353" s="735"/>
    </row>
    <row r="2354" spans="1:26" ht="13.5" thickTop="1">
      <c r="A2354" s="323"/>
      <c r="B2354" s="323"/>
      <c r="C2354" s="776"/>
      <c r="D2354" s="776"/>
      <c r="E2354" s="776"/>
      <c r="F2354" s="776"/>
      <c r="G2354" s="776"/>
      <c r="H2354" s="776"/>
      <c r="I2354" s="776"/>
      <c r="J2354" s="776"/>
      <c r="K2354" s="776"/>
      <c r="L2354" s="776"/>
      <c r="M2354" s="776"/>
      <c r="N2354" s="776"/>
      <c r="O2354" s="776"/>
      <c r="P2354" s="776"/>
      <c r="Q2354" s="776"/>
      <c r="R2354" s="776"/>
      <c r="S2354" s="776"/>
      <c r="T2354" s="10"/>
      <c r="U2354" s="735"/>
      <c r="V2354" s="735"/>
      <c r="W2354" s="735"/>
      <c r="X2354" s="735"/>
      <c r="Y2354" s="735"/>
      <c r="Z2354" s="735"/>
    </row>
    <row r="2355" spans="1:26" ht="21.75" customHeight="1">
      <c r="A2355" s="323"/>
      <c r="B2355" s="323"/>
      <c r="C2355" s="776"/>
      <c r="D2355" s="776"/>
      <c r="E2355" s="776"/>
      <c r="F2355" s="776"/>
      <c r="G2355" s="776"/>
      <c r="H2355" s="211" t="s">
        <v>392</v>
      </c>
      <c r="I2355" s="214"/>
      <c r="J2355" s="776"/>
      <c r="K2355" s="776"/>
      <c r="L2355" s="776"/>
      <c r="M2355" s="776"/>
      <c r="N2355" s="776"/>
      <c r="Q2355" s="735"/>
      <c r="R2355" s="735"/>
      <c r="S2355" s="735"/>
      <c r="T2355" s="735"/>
      <c r="U2355" s="735"/>
      <c r="V2355" s="735"/>
      <c r="W2355" s="735"/>
      <c r="X2355" s="735"/>
      <c r="Y2355" s="735"/>
      <c r="Z2355" s="735"/>
    </row>
    <row r="2356" spans="1:26" ht="13.5" thickBot="1">
      <c r="A2356" s="323"/>
      <c r="B2356" s="323"/>
      <c r="C2356" s="776"/>
      <c r="D2356" s="776"/>
      <c r="E2356" s="776"/>
      <c r="F2356" s="776"/>
      <c r="G2356" s="776"/>
      <c r="H2356" s="776"/>
      <c r="I2356" s="776"/>
      <c r="J2356" s="776"/>
      <c r="K2356" s="776"/>
      <c r="L2356" s="776"/>
      <c r="M2356" s="776"/>
      <c r="N2356" s="776"/>
      <c r="Q2356" s="735"/>
      <c r="R2356" s="735"/>
      <c r="S2356" s="735"/>
      <c r="T2356" s="735"/>
      <c r="U2356" s="735"/>
      <c r="V2356" s="735"/>
      <c r="W2356" s="735"/>
      <c r="X2356" s="735"/>
      <c r="Y2356" s="735"/>
      <c r="Z2356" s="735"/>
    </row>
    <row r="2357" spans="1:26" s="219" customFormat="1" ht="27.75" customHeight="1" thickTop="1" thickBot="1">
      <c r="A2357" s="324"/>
      <c r="B2357" s="325"/>
      <c r="C2357" s="268" t="s">
        <v>280</v>
      </c>
      <c r="D2357" s="268" t="s">
        <v>281</v>
      </c>
      <c r="E2357" s="268" t="s">
        <v>282</v>
      </c>
      <c r="F2357" s="268" t="s">
        <v>283</v>
      </c>
      <c r="G2357" s="268" t="s">
        <v>284</v>
      </c>
      <c r="H2357" s="268" t="s">
        <v>285</v>
      </c>
      <c r="I2357" s="268" t="s">
        <v>286</v>
      </c>
      <c r="J2357" s="268" t="s">
        <v>287</v>
      </c>
      <c r="K2357" s="268" t="s">
        <v>288</v>
      </c>
      <c r="L2357" s="268" t="s">
        <v>289</v>
      </c>
      <c r="M2357" s="268" t="s">
        <v>290</v>
      </c>
      <c r="N2357" s="269" t="s">
        <v>291</v>
      </c>
      <c r="O2357" s="226" t="s">
        <v>385</v>
      </c>
      <c r="P2357" s="270" t="s">
        <v>293</v>
      </c>
      <c r="Q2357" s="230" t="s">
        <v>386</v>
      </c>
      <c r="R2357" s="780"/>
      <c r="S2357" s="780"/>
      <c r="T2357" s="780"/>
      <c r="U2357" s="780"/>
      <c r="V2357" s="780"/>
      <c r="W2357" s="780"/>
      <c r="X2357" s="780"/>
      <c r="Y2357" s="780"/>
      <c r="Z2357" s="780"/>
    </row>
    <row r="2358" spans="1:26" s="213" customFormat="1" ht="16.5" thickTop="1">
      <c r="A2358" s="326" t="s">
        <v>296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297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304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5"/>
      <c r="Z2360" s="735"/>
    </row>
    <row r="2361" spans="1:26" s="219" customFormat="1" ht="15.75">
      <c r="A2361" s="330" t="s">
        <v>365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80"/>
      <c r="S2361" s="780"/>
      <c r="T2361" s="780"/>
      <c r="U2361" s="780"/>
      <c r="V2361" s="780"/>
      <c r="W2361" s="780"/>
      <c r="X2361" s="780"/>
      <c r="Y2361" s="780"/>
      <c r="Z2361" s="780"/>
    </row>
    <row r="2362" spans="1:26" s="219" customFormat="1" ht="18.75" customHeight="1">
      <c r="A2362" s="783" t="s">
        <v>387</v>
      </c>
      <c r="B2362" s="784" t="s">
        <v>388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80"/>
      <c r="S2362" s="780"/>
      <c r="T2362" s="780"/>
      <c r="U2362" s="780"/>
      <c r="V2362" s="780"/>
      <c r="W2362" s="780"/>
      <c r="X2362" s="780"/>
      <c r="Y2362" s="780"/>
      <c r="Z2362" s="780"/>
    </row>
    <row r="2363" spans="1:26" s="219" customFormat="1" ht="18.75" customHeight="1">
      <c r="A2363" s="783" t="s">
        <v>389</v>
      </c>
      <c r="B2363" s="784" t="s">
        <v>388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80"/>
      <c r="S2363" s="780"/>
      <c r="T2363" s="780"/>
      <c r="U2363" s="780"/>
      <c r="V2363" s="780"/>
      <c r="W2363" s="780"/>
      <c r="X2363" s="780"/>
      <c r="Y2363" s="780"/>
      <c r="Z2363" s="780"/>
    </row>
    <row r="2364" spans="1:26" s="219" customFormat="1" ht="18.75" customHeight="1">
      <c r="A2364" s="783" t="s">
        <v>390</v>
      </c>
      <c r="B2364" s="784" t="s">
        <v>388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80"/>
      <c r="S2364" s="780"/>
      <c r="T2364" s="780"/>
      <c r="U2364" s="780"/>
      <c r="V2364" s="780"/>
      <c r="W2364" s="780"/>
      <c r="X2364" s="780"/>
      <c r="Y2364" s="780"/>
      <c r="Z2364" s="780"/>
    </row>
    <row r="2365" spans="1:26" s="219" customFormat="1" ht="18.75" customHeight="1" thickBot="1">
      <c r="A2365" s="783" t="s">
        <v>391</v>
      </c>
      <c r="B2365" s="784" t="s">
        <v>388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80"/>
      <c r="S2365" s="780"/>
      <c r="T2365" s="780"/>
      <c r="U2365" s="780"/>
      <c r="V2365" s="780"/>
      <c r="W2365" s="780"/>
      <c r="X2365" s="780"/>
      <c r="Y2365" s="780"/>
      <c r="Z2365" s="780"/>
    </row>
    <row r="2366" spans="1:26" s="220" customFormat="1" ht="21.75" customHeight="1" thickTop="1" thickBot="1">
      <c r="A2366" s="332" t="s">
        <v>309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7"/>
      <c r="D2367" s="777"/>
      <c r="E2367" s="777"/>
      <c r="F2367" s="777"/>
      <c r="G2367" s="777"/>
      <c r="H2367" s="777"/>
      <c r="I2367" s="777"/>
      <c r="J2367" s="777"/>
      <c r="K2367" s="777"/>
      <c r="L2367" s="777"/>
      <c r="M2367" s="777"/>
      <c r="N2367" s="777"/>
      <c r="O2367" s="267"/>
      <c r="P2367" s="274">
        <f t="shared" si="49"/>
        <v>0</v>
      </c>
      <c r="Q2367" s="275">
        <f t="shared" si="50"/>
        <v>0</v>
      </c>
      <c r="R2367" s="735"/>
      <c r="S2367" s="735"/>
      <c r="T2367" s="735"/>
      <c r="U2367" s="735"/>
      <c r="V2367" s="735"/>
      <c r="W2367" s="735"/>
      <c r="X2367" s="735"/>
      <c r="Y2367" s="735"/>
      <c r="Z2367" s="735"/>
    </row>
    <row r="2368" spans="1:26" s="10" customFormat="1" ht="17.25" thickTop="1" thickBot="1">
      <c r="A2368" s="334" t="s">
        <v>354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5"/>
      <c r="Z2368" s="735"/>
    </row>
    <row r="2369" spans="1:26" s="10" customFormat="1" ht="17.25" thickTop="1" thickBot="1">
      <c r="A2369" s="336" t="s">
        <v>355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5"/>
      <c r="Z2369" s="735"/>
    </row>
    <row r="2370" spans="1:26" s="10" customFormat="1" ht="19.5" customHeight="1" thickBot="1">
      <c r="A2370" s="337" t="s">
        <v>356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5"/>
      <c r="Z2370" s="735"/>
    </row>
    <row r="2371" spans="1:26" ht="13.5" thickTop="1">
      <c r="C2371" s="776"/>
      <c r="D2371" s="776"/>
      <c r="E2371" s="776"/>
      <c r="F2371" s="776"/>
      <c r="G2371" s="776"/>
      <c r="H2371" s="776"/>
      <c r="I2371" s="776"/>
      <c r="J2371" s="776"/>
      <c r="K2371" s="776"/>
      <c r="L2371" s="776"/>
      <c r="M2371" s="776"/>
      <c r="N2371" s="776"/>
      <c r="Q2371" s="735"/>
      <c r="R2371" s="735"/>
      <c r="S2371" s="735"/>
      <c r="T2371" s="735"/>
      <c r="U2371" s="735"/>
      <c r="V2371" s="735"/>
      <c r="W2371" s="735"/>
      <c r="X2371" s="735"/>
      <c r="Y2371" s="735"/>
      <c r="Z2371" s="73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C41" zoomScaleSheetLayoutView="100" workbookViewId="0">
      <selection activeCell="D52" sqref="D52:F5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70"/>
      <c r="C5" s="670"/>
      <c r="D5" s="670"/>
      <c r="E5" s="670"/>
      <c r="F5" s="670"/>
      <c r="G5" s="670"/>
      <c r="H5" s="670"/>
      <c r="I5" s="670"/>
      <c r="J5" s="670"/>
      <c r="K5" s="670"/>
    </row>
    <row r="6" spans="2:13" ht="27">
      <c r="B6" s="670"/>
      <c r="C6" s="670"/>
      <c r="D6" s="670"/>
      <c r="E6" s="670" t="s">
        <v>393</v>
      </c>
      <c r="F6" s="671"/>
      <c r="G6" s="670"/>
      <c r="H6" s="672" t="str">
        <f>Elect!A1</f>
        <v>June</v>
      </c>
      <c r="I6" s="670"/>
      <c r="J6" s="670"/>
      <c r="K6" s="670"/>
    </row>
    <row r="9" spans="2:13" ht="13.5" customHeight="1">
      <c r="B9" s="935" t="s">
        <v>394</v>
      </c>
      <c r="C9" s="936"/>
      <c r="D9" s="936"/>
      <c r="E9" s="936"/>
      <c r="F9" s="936"/>
      <c r="G9" s="936"/>
      <c r="H9" s="936"/>
      <c r="I9" s="936"/>
      <c r="J9" s="936"/>
      <c r="K9" s="936"/>
      <c r="L9" s="936"/>
      <c r="M9" s="936"/>
    </row>
    <row r="10" spans="2:13" ht="13.5" customHeight="1" thickBot="1">
      <c r="B10" s="942"/>
      <c r="C10" s="943"/>
      <c r="D10" s="943"/>
      <c r="E10" s="943"/>
      <c r="F10" s="943"/>
      <c r="G10" s="943"/>
      <c r="H10" s="943"/>
      <c r="I10" s="943"/>
      <c r="J10" s="943"/>
      <c r="K10" s="943"/>
      <c r="L10" s="943"/>
      <c r="M10" s="943"/>
    </row>
    <row r="11" spans="2:13" ht="16.5" thickBot="1">
      <c r="B11" s="951" t="s">
        <v>395</v>
      </c>
      <c r="C11" s="951"/>
      <c r="D11" s="951" t="s">
        <v>396</v>
      </c>
      <c r="E11" s="951"/>
      <c r="F11" s="951" t="s">
        <v>397</v>
      </c>
      <c r="G11" s="951"/>
      <c r="H11" s="949" t="s">
        <v>398</v>
      </c>
      <c r="I11" s="950"/>
      <c r="J11" s="949" t="s">
        <v>399</v>
      </c>
      <c r="K11" s="950"/>
      <c r="L11" s="949" t="s">
        <v>400</v>
      </c>
      <c r="M11" s="950"/>
    </row>
    <row r="12" spans="2:13" ht="16.5" thickBot="1">
      <c r="B12" s="673" t="s">
        <v>401</v>
      </c>
      <c r="C12" s="673" t="s">
        <v>402</v>
      </c>
      <c r="D12" s="673" t="s">
        <v>401</v>
      </c>
      <c r="E12" s="673" t="s">
        <v>402</v>
      </c>
      <c r="F12" s="673" t="s">
        <v>401</v>
      </c>
      <c r="G12" s="673" t="s">
        <v>402</v>
      </c>
      <c r="H12" s="673" t="s">
        <v>401</v>
      </c>
      <c r="I12" s="673" t="s">
        <v>402</v>
      </c>
      <c r="J12" s="673" t="s">
        <v>401</v>
      </c>
      <c r="K12" s="673" t="s">
        <v>402</v>
      </c>
      <c r="L12" s="673" t="s">
        <v>401</v>
      </c>
      <c r="M12" s="673" t="s">
        <v>402</v>
      </c>
    </row>
    <row r="13" spans="2:13" ht="13.5" thickBot="1">
      <c r="B13" s="674">
        <f>Elect!AN37</f>
        <v>364221.8299999999</v>
      </c>
      <c r="C13" s="760">
        <f>(B13*1.15)+(2879*60*0.72)</f>
        <v>543227.90449999983</v>
      </c>
      <c r="D13" s="674">
        <f>Elect!J37</f>
        <v>156388</v>
      </c>
      <c r="E13" s="760">
        <f>(D13*1.15)+(573*60)+10000</f>
        <v>224226.19999999998</v>
      </c>
      <c r="F13" s="674">
        <f>Elect!BI37</f>
        <v>371098.46249999997</v>
      </c>
      <c r="G13" s="760">
        <f>(F13*1.15)</f>
        <v>426763.23187499994</v>
      </c>
      <c r="H13" s="674">
        <f>Elect!Q37</f>
        <v>16500</v>
      </c>
      <c r="I13" s="760">
        <f>H13*1.6+1500</f>
        <v>27900</v>
      </c>
      <c r="J13" s="801">
        <f>B13+D13+F13+H13</f>
        <v>908208.29249999986</v>
      </c>
      <c r="K13" s="761">
        <f>G13+E13+C13+I13</f>
        <v>1222117.3363749997</v>
      </c>
      <c r="L13" s="801">
        <f>B13+F13</f>
        <v>735320.29249999986</v>
      </c>
      <c r="M13" s="762">
        <f>C13+G13</f>
        <v>969991.13637499977</v>
      </c>
    </row>
    <row r="16" spans="2:13" ht="0.75" customHeight="1" thickBot="1">
      <c r="K16">
        <f>K18</f>
        <v>1439478.0757083329</v>
      </c>
    </row>
    <row r="17" spans="4:11" ht="13.5" customHeight="1">
      <c r="E17" s="944" t="s">
        <v>403</v>
      </c>
      <c r="F17" s="945"/>
      <c r="J17" s="758" t="s">
        <v>404</v>
      </c>
      <c r="K17" s="759">
        <f>K13/J13</f>
        <v>1.3456355182696154</v>
      </c>
    </row>
    <row r="18" spans="4:11" ht="34.5" customHeight="1" thickBot="1">
      <c r="E18" s="946"/>
      <c r="F18" s="947"/>
      <c r="J18" s="758" t="s">
        <v>405</v>
      </c>
      <c r="K18" s="763">
        <f>K13+F20+F27+G35</f>
        <v>1439478.0757083329</v>
      </c>
    </row>
    <row r="19" spans="4:11" ht="13.5" thickBot="1">
      <c r="E19" s="676" t="s">
        <v>406</v>
      </c>
      <c r="F19" s="676" t="s">
        <v>402</v>
      </c>
    </row>
    <row r="20" spans="4:11" ht="13.5" thickBot="1">
      <c r="E20" s="948">
        <f>Water!H38</f>
        <v>7985.6333333333132</v>
      </c>
      <c r="F20" s="931">
        <f>E20*10</f>
        <v>79856.333333333139</v>
      </c>
    </row>
    <row r="21" spans="4:11" ht="13.5" thickBot="1">
      <c r="E21" s="930"/>
      <c r="F21" s="931"/>
    </row>
    <row r="23" spans="4:11" ht="13.5" thickBot="1"/>
    <row r="24" spans="4:11" ht="13.5" thickBot="1">
      <c r="E24" s="929" t="s">
        <v>407</v>
      </c>
      <c r="F24" s="929"/>
    </row>
    <row r="25" spans="4:11" ht="11.25" customHeight="1" thickBot="1">
      <c r="E25" s="929"/>
      <c r="F25" s="929"/>
      <c r="H25" s="83"/>
    </row>
    <row r="26" spans="4:11" ht="13.5" thickBot="1">
      <c r="E26" s="676" t="s">
        <v>406</v>
      </c>
      <c r="F26" s="676" t="s">
        <v>402</v>
      </c>
    </row>
    <row r="27" spans="4:11" ht="13.5" thickBot="1">
      <c r="E27" s="930">
        <f>Gas!C38</f>
        <v>28412.240000000005</v>
      </c>
      <c r="F27" s="931">
        <f>E27*3.9</f>
        <v>110807.73600000002</v>
      </c>
    </row>
    <row r="28" spans="4:11" ht="13.5" thickBot="1">
      <c r="E28" s="930"/>
      <c r="F28" s="931"/>
    </row>
    <row r="30" spans="4:11" ht="13.5" thickBot="1"/>
    <row r="31" spans="4:11" ht="20.25">
      <c r="D31" s="932" t="s">
        <v>408</v>
      </c>
      <c r="E31" s="933"/>
      <c r="F31" s="933"/>
      <c r="G31" s="934"/>
      <c r="H31" s="678"/>
      <c r="I31" s="678"/>
    </row>
    <row r="32" spans="4:11" ht="21" thickBot="1">
      <c r="D32" s="935"/>
      <c r="E32" s="936"/>
      <c r="F32" s="936"/>
      <c r="G32" s="937"/>
      <c r="H32" s="678"/>
      <c r="I32" s="678"/>
    </row>
    <row r="33" spans="3:9" ht="13.5" thickBot="1">
      <c r="D33" s="679" t="s">
        <v>409</v>
      </c>
      <c r="E33" s="679" t="s">
        <v>410</v>
      </c>
      <c r="F33" s="679" t="s">
        <v>411</v>
      </c>
      <c r="G33" s="679" t="s">
        <v>402</v>
      </c>
      <c r="H33" s="680"/>
      <c r="I33" s="680"/>
    </row>
    <row r="34" spans="3:9" ht="13.5" thickBot="1">
      <c r="C34" s="742"/>
      <c r="D34" s="684">
        <f>Gas!D6</f>
        <v>363833</v>
      </c>
      <c r="E34" s="684">
        <f>Gas!D36</f>
        <v>373612</v>
      </c>
      <c r="F34" s="717">
        <f>Gas!E38</f>
        <v>6845.3</v>
      </c>
      <c r="G34" s="802">
        <f>F34*3.9</f>
        <v>26696.670000000002</v>
      </c>
      <c r="H34" s="682"/>
      <c r="I34" s="682"/>
    </row>
    <row r="35" spans="3:9" ht="18.75" thickBot="1">
      <c r="D35" s="941" t="s">
        <v>412</v>
      </c>
      <c r="E35" s="941"/>
      <c r="F35" s="941"/>
      <c r="G35" s="802">
        <f>G34</f>
        <v>26696.670000000002</v>
      </c>
      <c r="H35" s="33"/>
      <c r="I35" s="33"/>
    </row>
    <row r="37" spans="3:9" ht="13.5" thickBot="1"/>
    <row r="38" spans="3:9" ht="20.25">
      <c r="D38" s="932" t="s">
        <v>413</v>
      </c>
      <c r="E38" s="933"/>
      <c r="F38" s="933"/>
      <c r="G38" s="934"/>
      <c r="H38" s="678"/>
      <c r="I38" s="678"/>
    </row>
    <row r="39" spans="3:9" ht="21" thickBot="1">
      <c r="D39" s="935"/>
      <c r="E39" s="936"/>
      <c r="F39" s="936"/>
      <c r="G39" s="937"/>
      <c r="H39" s="678"/>
      <c r="I39" s="678"/>
    </row>
    <row r="40" spans="3:9" ht="18.75" customHeight="1" thickBot="1">
      <c r="D40" s="679" t="s">
        <v>409</v>
      </c>
      <c r="E40" s="679" t="s">
        <v>410</v>
      </c>
      <c r="F40" s="679" t="s">
        <v>401</v>
      </c>
      <c r="G40" s="679" t="s">
        <v>402</v>
      </c>
      <c r="H40" s="680"/>
      <c r="I40" s="680"/>
    </row>
    <row r="41" spans="3:9" ht="13.5" thickBot="1">
      <c r="C41" s="681" t="s">
        <v>87</v>
      </c>
      <c r="D41" s="685">
        <f>Elect!R5</f>
        <v>148148</v>
      </c>
      <c r="E41" s="764">
        <f>Elect!R36</f>
        <v>152378</v>
      </c>
      <c r="F41" s="686">
        <f>E41-D41</f>
        <v>4230</v>
      </c>
      <c r="G41" s="766">
        <f>F41*1.15</f>
        <v>4864.5</v>
      </c>
      <c r="H41" s="687"/>
      <c r="I41" s="687"/>
    </row>
    <row r="42" spans="3:9" ht="13.5" thickBot="1">
      <c r="C42" s="681" t="s">
        <v>88</v>
      </c>
      <c r="D42" s="685">
        <f>Elect!T5</f>
        <v>268811</v>
      </c>
      <c r="E42" s="685">
        <f>Elect!T36</f>
        <v>276952</v>
      </c>
      <c r="F42" s="686">
        <f>E42-D42</f>
        <v>8141</v>
      </c>
      <c r="G42" s="766">
        <f>F42*1.15</f>
        <v>9362.15</v>
      </c>
      <c r="H42" s="687"/>
      <c r="I42" s="687"/>
    </row>
    <row r="43" spans="3:9" ht="18.75" thickBot="1">
      <c r="D43" s="938" t="s">
        <v>412</v>
      </c>
      <c r="E43" s="939"/>
      <c r="F43" s="940"/>
      <c r="G43" s="767">
        <f>G42+G41</f>
        <v>14226.65</v>
      </c>
      <c r="H43" s="33"/>
      <c r="I43" s="33"/>
    </row>
    <row r="44" spans="3:9">
      <c r="F44" s="225"/>
    </row>
    <row r="48" spans="3:9" ht="13.5" thickBot="1"/>
    <row r="49" spans="3:7">
      <c r="D49" s="932" t="s">
        <v>414</v>
      </c>
      <c r="E49" s="933"/>
      <c r="F49" s="933"/>
      <c r="G49" s="934"/>
    </row>
    <row r="50" spans="3:7" ht="13.5" thickBot="1">
      <c r="D50" s="935"/>
      <c r="E50" s="936"/>
      <c r="F50" s="936"/>
      <c r="G50" s="937"/>
    </row>
    <row r="51" spans="3:7" ht="13.5" thickBot="1">
      <c r="D51" s="679" t="s">
        <v>409</v>
      </c>
      <c r="E51" s="679" t="s">
        <v>410</v>
      </c>
      <c r="F51" s="679" t="s">
        <v>406</v>
      </c>
      <c r="G51" s="679" t="s">
        <v>402</v>
      </c>
    </row>
    <row r="52" spans="3:7" ht="13.5" thickBot="1">
      <c r="C52" s="681" t="s">
        <v>415</v>
      </c>
      <c r="D52" s="684">
        <f>Water!I6</f>
        <v>220</v>
      </c>
      <c r="E52" s="685">
        <f>Water!I37</f>
        <v>224</v>
      </c>
      <c r="F52" s="801">
        <f>E52-D52</f>
        <v>4</v>
      </c>
      <c r="G52" s="677">
        <f>F52*10</f>
        <v>40</v>
      </c>
    </row>
    <row r="53" spans="3:7" ht="13.5" thickBot="1">
      <c r="C53" s="681" t="s">
        <v>416</v>
      </c>
      <c r="D53" s="685">
        <f>Water!K6</f>
        <v>3211</v>
      </c>
      <c r="E53" s="685">
        <f>Water!K37</f>
        <v>3322</v>
      </c>
      <c r="F53" s="686">
        <f>E53-D53</f>
        <v>111</v>
      </c>
      <c r="G53" s="675">
        <f>F53*10</f>
        <v>1110</v>
      </c>
    </row>
    <row r="54" spans="3:7" ht="18.75" thickBot="1">
      <c r="D54" s="938" t="s">
        <v>412</v>
      </c>
      <c r="E54" s="939"/>
      <c r="F54" s="940"/>
      <c r="G54" s="683">
        <f>G52+G53</f>
        <v>1150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3.xml><?xml version="1.0" encoding="utf-8"?>
<ds:datastoreItem xmlns:ds="http://schemas.openxmlformats.org/officeDocument/2006/customXml" ds:itemID="{48F7816E-C729-4F39-87A8-7EFDA043D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2022-08-19T12:51:13Z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