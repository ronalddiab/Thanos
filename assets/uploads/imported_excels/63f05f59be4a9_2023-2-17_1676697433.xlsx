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"/>
    </mc:Choice>
  </mc:AlternateContent>
  <xr:revisionPtr revIDLastSave="16" documentId="11_BB1C5D3A57F065E2A62B309252610BC14CAA0A34" xr6:coauthVersionLast="47" xr6:coauthVersionMax="47" xr10:uidLastSave="{E2979E80-0E60-4FC2-8F78-9D1A2606CD92}"/>
  <bookViews>
    <workbookView xWindow="0" yWindow="0" windowWidth="25200" windowHeight="11985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4" l="1"/>
  <c r="F37" i="2"/>
  <c r="G37" i="2"/>
  <c r="F38" i="2"/>
  <c r="G38" i="2"/>
  <c r="F26" i="4"/>
  <c r="F25" i="4"/>
  <c r="F24" i="4"/>
  <c r="F23" i="4"/>
  <c r="F22" i="4"/>
  <c r="F21" i="4"/>
  <c r="I14" i="1"/>
  <c r="F20" i="4"/>
  <c r="I13" i="1"/>
  <c r="F19" i="4"/>
  <c r="F18" i="4"/>
  <c r="F17" i="4"/>
  <c r="F16" i="4"/>
  <c r="F15" i="4"/>
  <c r="F14" i="4"/>
  <c r="F13" i="4"/>
  <c r="I6" i="1"/>
  <c r="F12" i="4"/>
  <c r="I5" i="1"/>
  <c r="F11" i="4"/>
  <c r="F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/>
  <c r="D14" i="5" s="1"/>
  <c r="D15" i="3"/>
  <c r="D15" i="4"/>
  <c r="D15" i="5" s="1"/>
  <c r="D16" i="3"/>
  <c r="D16" i="4" s="1"/>
  <c r="D16" i="5" s="1"/>
  <c r="D17" i="3"/>
  <c r="D17" i="4" s="1"/>
  <c r="D17" i="5" s="1"/>
  <c r="D18" i="3"/>
  <c r="D18" i="4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/>
  <c r="D33" i="5" s="1"/>
  <c r="D34" i="3"/>
  <c r="D34" i="4" s="1"/>
  <c r="D34" i="5" s="1"/>
  <c r="D35" i="3"/>
  <c r="D35" i="4"/>
  <c r="D35" i="5" s="1"/>
  <c r="D36" i="3"/>
  <c r="D36" i="4"/>
  <c r="D36" i="5" s="1"/>
  <c r="D37" i="3"/>
  <c r="D37" i="4" s="1"/>
  <c r="D37" i="5" s="1"/>
  <c r="D38" i="3"/>
  <c r="D38" i="4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/>
  <c r="C13" i="5" s="1"/>
  <c r="C14" i="3"/>
  <c r="C14" i="4"/>
  <c r="C14" i="5" s="1"/>
  <c r="C15" i="3"/>
  <c r="C15" i="4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/>
  <c r="C19" i="5" s="1"/>
  <c r="C20" i="3"/>
  <c r="C20" i="4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/>
  <c r="C25" i="5" s="1"/>
  <c r="C26" i="3"/>
  <c r="C26" i="4" s="1"/>
  <c r="C26" i="5" s="1"/>
  <c r="C27" i="3"/>
  <c r="C27" i="4"/>
  <c r="C27" i="5" s="1"/>
  <c r="C28" i="3"/>
  <c r="C28" i="4" s="1"/>
  <c r="C28" i="5" s="1"/>
  <c r="C29" i="3"/>
  <c r="C29" i="4" s="1"/>
  <c r="C29" i="5" s="1"/>
  <c r="C30" i="3"/>
  <c r="C30" i="4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/>
  <c r="C36" i="5" s="1"/>
  <c r="C37" i="3"/>
  <c r="C37" i="4"/>
  <c r="C37" i="5" s="1"/>
  <c r="C38" i="3"/>
  <c r="C38" i="4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I18" i="3"/>
  <c r="G11" i="1"/>
  <c r="I19" i="3"/>
  <c r="G12" i="1"/>
  <c r="I20" i="3"/>
  <c r="G13" i="1"/>
  <c r="I21" i="3"/>
  <c r="G14" i="1"/>
  <c r="I22" i="3"/>
  <c r="G15" i="1"/>
  <c r="I23" i="3"/>
  <c r="G16" i="1"/>
  <c r="I24" i="3"/>
  <c r="G17" i="1"/>
  <c r="I25" i="3"/>
  <c r="G18" i="1"/>
  <c r="I26" i="3"/>
  <c r="G19" i="1"/>
  <c r="I27" i="3"/>
  <c r="G20" i="1"/>
  <c r="I28" i="3"/>
  <c r="G21" i="1"/>
  <c r="I29" i="3"/>
  <c r="G22" i="1"/>
  <c r="I30" i="3"/>
  <c r="G23" i="1"/>
  <c r="I31" i="3"/>
  <c r="G24" i="1"/>
  <c r="I32" i="3"/>
  <c r="G25" i="1"/>
  <c r="I33" i="3"/>
  <c r="G26" i="1"/>
  <c r="I34" i="3"/>
  <c r="G27" i="1"/>
  <c r="I35" i="3"/>
  <c r="G28" i="1"/>
  <c r="I36" i="3"/>
  <c r="G29" i="1"/>
  <c r="I37" i="3"/>
  <c r="G30" i="1"/>
  <c r="I38" i="3"/>
  <c r="G31" i="1"/>
  <c r="I39" i="3"/>
  <c r="G32" i="1"/>
  <c r="N2" i="1"/>
  <c r="N33" i="1" s="1"/>
  <c r="M2" i="1"/>
  <c r="M33" i="1" s="1"/>
  <c r="K2" i="1"/>
  <c r="K33" i="1" s="1"/>
  <c r="I2" i="1"/>
  <c r="G2" i="1"/>
  <c r="G33" i="1" s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K36" i="5"/>
  <c r="L36" i="5" s="1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K28" i="5"/>
  <c r="L28" i="5" s="1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K23" i="5"/>
  <c r="L23" i="5" s="1"/>
  <c r="J22" i="5"/>
  <c r="H22" i="5"/>
  <c r="F22" i="5"/>
  <c r="J21" i="5"/>
  <c r="H21" i="5"/>
  <c r="F21" i="5"/>
  <c r="J20" i="5"/>
  <c r="H20" i="5"/>
  <c r="F20" i="5"/>
  <c r="K20" i="5"/>
  <c r="L20" i="5" s="1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K12" i="5"/>
  <c r="L12" i="5" s="1"/>
  <c r="J11" i="5"/>
  <c r="H11" i="5"/>
  <c r="F11" i="5"/>
  <c r="J10" i="5"/>
  <c r="H10" i="5"/>
  <c r="F10" i="5"/>
  <c r="J9" i="5"/>
  <c r="H9" i="5"/>
  <c r="F9" i="5"/>
  <c r="G39" i="4"/>
  <c r="G38" i="4"/>
  <c r="G37" i="4"/>
  <c r="G36" i="4"/>
  <c r="G35" i="4"/>
  <c r="G33" i="4"/>
  <c r="G31" i="4"/>
  <c r="G30" i="4"/>
  <c r="I22" i="1"/>
  <c r="G28" i="4"/>
  <c r="G26" i="4"/>
  <c r="G25" i="4"/>
  <c r="G24" i="4"/>
  <c r="G23" i="4"/>
  <c r="G22" i="4"/>
  <c r="G19" i="4"/>
  <c r="G18" i="4"/>
  <c r="G17" i="4"/>
  <c r="G16" i="4"/>
  <c r="G15" i="4"/>
  <c r="G14" i="4"/>
  <c r="H14" i="4" s="1"/>
  <c r="G11" i="4"/>
  <c r="H11" i="4" s="1"/>
  <c r="G10" i="4"/>
  <c r="G9" i="4"/>
  <c r="O40" i="3"/>
  <c r="F40" i="3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K38" i="2" s="1"/>
  <c r="L38" i="2" s="1"/>
  <c r="M38" i="2" s="1"/>
  <c r="I37" i="2"/>
  <c r="J37" i="2"/>
  <c r="K37" i="2" s="1"/>
  <c r="L37" i="2" s="1"/>
  <c r="M37" i="2" s="1"/>
  <c r="I36" i="2"/>
  <c r="J36" i="2"/>
  <c r="F36" i="2"/>
  <c r="G36" i="2"/>
  <c r="I35" i="2"/>
  <c r="J35" i="2"/>
  <c r="F35" i="2"/>
  <c r="G35" i="2"/>
  <c r="K35" i="2"/>
  <c r="L35" i="2"/>
  <c r="M35" i="2" s="1"/>
  <c r="I34" i="2"/>
  <c r="J34" i="2"/>
  <c r="F34" i="2"/>
  <c r="G34" i="2"/>
  <c r="I33" i="2"/>
  <c r="J33" i="2"/>
  <c r="F33" i="2"/>
  <c r="G33" i="2"/>
  <c r="I32" i="2"/>
  <c r="J32" i="2"/>
  <c r="F32" i="2"/>
  <c r="G32" i="2"/>
  <c r="I31" i="2"/>
  <c r="J31" i="2"/>
  <c r="F31" i="2"/>
  <c r="G31" i="2"/>
  <c r="I30" i="2"/>
  <c r="J30" i="2"/>
  <c r="F30" i="2"/>
  <c r="G30" i="2"/>
  <c r="E24" i="1"/>
  <c r="I29" i="2"/>
  <c r="J29" i="2"/>
  <c r="F29" i="2"/>
  <c r="G29" i="2"/>
  <c r="K29" i="2"/>
  <c r="L29" i="2"/>
  <c r="M29" i="2" s="1"/>
  <c r="I28" i="2"/>
  <c r="J28" i="2"/>
  <c r="F28" i="2"/>
  <c r="G28" i="2"/>
  <c r="I27" i="2"/>
  <c r="J27" i="2"/>
  <c r="F27" i="2"/>
  <c r="G27" i="2"/>
  <c r="I26" i="2"/>
  <c r="J26" i="2"/>
  <c r="F26" i="2"/>
  <c r="G26" i="2"/>
  <c r="I25" i="2"/>
  <c r="J25" i="2"/>
  <c r="F25" i="2"/>
  <c r="G25" i="2"/>
  <c r="I24" i="2"/>
  <c r="J24" i="2"/>
  <c r="F24" i="2"/>
  <c r="G24" i="2"/>
  <c r="I23" i="2"/>
  <c r="J23" i="2"/>
  <c r="F23" i="2"/>
  <c r="G23" i="2"/>
  <c r="I22" i="2"/>
  <c r="J22" i="2"/>
  <c r="F22" i="2"/>
  <c r="G22" i="2"/>
  <c r="I21" i="2"/>
  <c r="J21" i="2"/>
  <c r="F21" i="2"/>
  <c r="G21" i="2"/>
  <c r="I20" i="2"/>
  <c r="J20" i="2"/>
  <c r="F20" i="2"/>
  <c r="E14" i="1"/>
  <c r="I19" i="2"/>
  <c r="J19" i="2"/>
  <c r="F19" i="2"/>
  <c r="G19" i="2"/>
  <c r="K19" i="2"/>
  <c r="L19" i="2"/>
  <c r="M19" i="2" s="1"/>
  <c r="I18" i="2"/>
  <c r="J18" i="2"/>
  <c r="F18" i="2"/>
  <c r="G18" i="2"/>
  <c r="I17" i="2"/>
  <c r="J17" i="2"/>
  <c r="F17" i="2"/>
  <c r="G17" i="2"/>
  <c r="I16" i="2"/>
  <c r="J16" i="2"/>
  <c r="F16" i="2"/>
  <c r="I15" i="2"/>
  <c r="J15" i="2"/>
  <c r="F15" i="2"/>
  <c r="G15" i="2"/>
  <c r="I14" i="2"/>
  <c r="J14" i="2"/>
  <c r="F14" i="2"/>
  <c r="G14" i="2"/>
  <c r="I13" i="2"/>
  <c r="J13" i="2"/>
  <c r="F13" i="2"/>
  <c r="G13" i="2"/>
  <c r="K13" i="2"/>
  <c r="L13" i="2"/>
  <c r="M13" i="2" s="1"/>
  <c r="I12" i="2"/>
  <c r="J12" i="2"/>
  <c r="F12" i="2"/>
  <c r="I11" i="2"/>
  <c r="J11" i="2"/>
  <c r="F11" i="2"/>
  <c r="G11" i="2"/>
  <c r="I10" i="2"/>
  <c r="J10" i="2"/>
  <c r="F10" i="2"/>
  <c r="G10" i="2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K19" i="5"/>
  <c r="L19" i="5" s="1"/>
  <c r="I41" i="5"/>
  <c r="F40" i="4"/>
  <c r="G12" i="4"/>
  <c r="G20" i="4"/>
  <c r="G13" i="4"/>
  <c r="G21" i="4"/>
  <c r="L29" i="1"/>
  <c r="K25" i="5"/>
  <c r="L25" i="5" s="1"/>
  <c r="K10" i="5"/>
  <c r="L10" i="5" s="1"/>
  <c r="K13" i="5"/>
  <c r="L13" i="5" s="1"/>
  <c r="K18" i="5"/>
  <c r="L18" i="5" s="1"/>
  <c r="K26" i="5"/>
  <c r="L26" i="5" s="1"/>
  <c r="K29" i="5"/>
  <c r="L29" i="5" s="1"/>
  <c r="K34" i="5"/>
  <c r="L34" i="5" s="1"/>
  <c r="K24" i="5"/>
  <c r="L24" i="5" s="1"/>
  <c r="K30" i="5"/>
  <c r="L30" i="5" s="1"/>
  <c r="L5" i="1"/>
  <c r="L13" i="1"/>
  <c r="L21" i="1"/>
  <c r="K17" i="5"/>
  <c r="L17" i="5" s="1"/>
  <c r="K22" i="5"/>
  <c r="L22" i="5" s="1"/>
  <c r="K35" i="5"/>
  <c r="L35" i="5" s="1"/>
  <c r="L22" i="1"/>
  <c r="L6" i="1"/>
  <c r="K15" i="5"/>
  <c r="L15" i="5" s="1"/>
  <c r="K33" i="5"/>
  <c r="L33" i="5" s="1"/>
  <c r="K38" i="5"/>
  <c r="L38" i="5" s="1"/>
  <c r="L27" i="1"/>
  <c r="K31" i="5"/>
  <c r="L31" i="5" s="1"/>
  <c r="K11" i="5"/>
  <c r="L11" i="5" s="1"/>
  <c r="K16" i="5"/>
  <c r="L16" i="5" s="1"/>
  <c r="K21" i="5"/>
  <c r="L21" i="5" s="1"/>
  <c r="K39" i="5"/>
  <c r="L39" i="5" s="1"/>
  <c r="L16" i="1"/>
  <c r="K9" i="5"/>
  <c r="L9" i="5" s="1"/>
  <c r="K14" i="5"/>
  <c r="L14" i="5" s="1"/>
  <c r="K27" i="5"/>
  <c r="L27" i="5" s="1"/>
  <c r="K32" i="5"/>
  <c r="L32" i="5" s="1"/>
  <c r="K37" i="5"/>
  <c r="L37" i="5" s="1"/>
  <c r="G29" i="4"/>
  <c r="O41" i="3"/>
  <c r="D40" i="3"/>
  <c r="K24" i="2"/>
  <c r="L24" i="2"/>
  <c r="M24" i="2" s="1"/>
  <c r="K17" i="2"/>
  <c r="L17" i="2"/>
  <c r="M17" i="2" s="1"/>
  <c r="K14" i="2"/>
  <c r="L14" i="2"/>
  <c r="M14" i="2" s="1"/>
  <c r="F39" i="2"/>
  <c r="K10" i="2"/>
  <c r="L10" i="2"/>
  <c r="M10" i="2" s="1"/>
  <c r="K26" i="2"/>
  <c r="L26" i="2"/>
  <c r="M26" i="2" s="1"/>
  <c r="K32" i="2"/>
  <c r="L32" i="2"/>
  <c r="M32" i="2" s="1"/>
  <c r="E4" i="1"/>
  <c r="F4" i="1" s="1"/>
  <c r="E10" i="1"/>
  <c r="E20" i="1"/>
  <c r="F20" i="1" s="1"/>
  <c r="E26" i="1"/>
  <c r="K36" i="2"/>
  <c r="L36" i="2"/>
  <c r="M36" i="2" s="1"/>
  <c r="K11" i="2"/>
  <c r="L11" i="2"/>
  <c r="M11" i="2" s="1"/>
  <c r="K27" i="2"/>
  <c r="L27" i="2"/>
  <c r="M27" i="2" s="1"/>
  <c r="K30" i="2"/>
  <c r="L30" i="2"/>
  <c r="M30" i="2" s="1"/>
  <c r="K33" i="2"/>
  <c r="L33" i="2"/>
  <c r="M33" i="2" s="1"/>
  <c r="I39" i="2"/>
  <c r="E27" i="1"/>
  <c r="K9" i="2"/>
  <c r="L9" i="2"/>
  <c r="M9" i="2" s="1"/>
  <c r="E6" i="1"/>
  <c r="K15" i="2"/>
  <c r="L15" i="2"/>
  <c r="M15" i="2" s="1"/>
  <c r="K22" i="2"/>
  <c r="L22" i="2"/>
  <c r="M22" i="2" s="1"/>
  <c r="K28" i="2"/>
  <c r="L28" i="2"/>
  <c r="M28" i="2" s="1"/>
  <c r="K34" i="2"/>
  <c r="L34" i="2"/>
  <c r="M34" i="2" s="1"/>
  <c r="E11" i="1"/>
  <c r="F11" i="1" s="1"/>
  <c r="E3" i="1"/>
  <c r="G16" i="2"/>
  <c r="K16" i="2"/>
  <c r="L16" i="2"/>
  <c r="M16" i="2" s="1"/>
  <c r="E28" i="1"/>
  <c r="F28" i="1"/>
  <c r="E12" i="1"/>
  <c r="E18" i="1"/>
  <c r="F18" i="1"/>
  <c r="E2" i="1"/>
  <c r="G8" i="2"/>
  <c r="G20" i="2"/>
  <c r="K20" i="2"/>
  <c r="L20" i="2"/>
  <c r="M20" i="2" s="1"/>
  <c r="E25" i="1"/>
  <c r="E17" i="1"/>
  <c r="E9" i="1"/>
  <c r="F9" i="1" s="1"/>
  <c r="E32" i="1"/>
  <c r="F32" i="1"/>
  <c r="E16" i="1"/>
  <c r="F16" i="1" s="1"/>
  <c r="E8" i="1"/>
  <c r="F8" i="1" s="1"/>
  <c r="E19" i="1"/>
  <c r="E31" i="1"/>
  <c r="F31" i="1" s="1"/>
  <c r="E23" i="1"/>
  <c r="F23" i="1"/>
  <c r="E15" i="1"/>
  <c r="E7" i="1"/>
  <c r="F7" i="1" s="1"/>
  <c r="G12" i="2"/>
  <c r="K12" i="2"/>
  <c r="L12" i="2"/>
  <c r="M12" i="2" s="1"/>
  <c r="E30" i="1"/>
  <c r="F30" i="1"/>
  <c r="E22" i="1"/>
  <c r="F22" i="1"/>
  <c r="K18" i="2"/>
  <c r="L18" i="2"/>
  <c r="M18" i="2" s="1"/>
  <c r="E29" i="1"/>
  <c r="F29" i="1" s="1"/>
  <c r="E21" i="1"/>
  <c r="F21" i="1"/>
  <c r="E13" i="1"/>
  <c r="F13" i="1"/>
  <c r="E5" i="1"/>
  <c r="F27" i="1"/>
  <c r="J40" i="5"/>
  <c r="G27" i="4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K25" i="2"/>
  <c r="L25" i="2"/>
  <c r="M25" i="2" s="1"/>
  <c r="K31" i="2"/>
  <c r="L31" i="2"/>
  <c r="M31" i="2" s="1"/>
  <c r="K23" i="2"/>
  <c r="L23" i="2"/>
  <c r="M23" i="2" s="1"/>
  <c r="K21" i="2"/>
  <c r="L21" i="2"/>
  <c r="M21" i="2" s="1"/>
  <c r="J8" i="2"/>
  <c r="L12" i="1"/>
  <c r="L3" i="1"/>
  <c r="L18" i="1"/>
  <c r="L11" i="1"/>
  <c r="L17" i="1"/>
  <c r="L23" i="1"/>
  <c r="L19" i="1"/>
  <c r="L32" i="1"/>
  <c r="L28" i="1"/>
  <c r="L30" i="1"/>
  <c r="L14" i="1"/>
  <c r="L15" i="1"/>
  <c r="L25" i="1"/>
  <c r="L9" i="1"/>
  <c r="L10" i="1"/>
  <c r="L20" i="1"/>
  <c r="L4" i="1"/>
  <c r="L31" i="1"/>
  <c r="L7" i="1"/>
  <c r="L26" i="1"/>
  <c r="L2" i="1"/>
  <c r="L24" i="1"/>
  <c r="L8" i="1"/>
  <c r="F3" i="1"/>
  <c r="I41" i="2"/>
  <c r="F26" i="1"/>
  <c r="F5" i="1"/>
  <c r="F24" i="1"/>
  <c r="F15" i="1"/>
  <c r="F25" i="1"/>
  <c r="F19" i="1"/>
  <c r="F17" i="1"/>
  <c r="F12" i="1"/>
  <c r="F10" i="1"/>
  <c r="K8" i="2"/>
  <c r="L8" i="2"/>
  <c r="M8" i="2" s="1"/>
  <c r="F2" i="1"/>
  <c r="F14" i="1"/>
  <c r="M17" i="3"/>
  <c r="P17" i="3"/>
  <c r="Q17" i="3"/>
  <c r="R17" i="3" s="1"/>
  <c r="M39" i="3"/>
  <c r="P39" i="3"/>
  <c r="Q39" i="3"/>
  <c r="R39" i="3" s="1"/>
  <c r="M32" i="3"/>
  <c r="M24" i="3"/>
  <c r="M14" i="3"/>
  <c r="P14" i="3"/>
  <c r="Q14" i="3"/>
  <c r="R14" i="3" s="1"/>
  <c r="M31" i="3"/>
  <c r="P31" i="3"/>
  <c r="Q31" i="3"/>
  <c r="R31" i="3" s="1"/>
  <c r="M23" i="3"/>
  <c r="P23" i="3"/>
  <c r="Q23" i="3"/>
  <c r="R23" i="3" s="1"/>
  <c r="M33" i="3"/>
  <c r="M15" i="3"/>
  <c r="M38" i="3"/>
  <c r="P38" i="3"/>
  <c r="Q38" i="3"/>
  <c r="R38" i="3" s="1"/>
  <c r="M30" i="3"/>
  <c r="M22" i="3"/>
  <c r="P22" i="3"/>
  <c r="Q22" i="3"/>
  <c r="R22" i="3" s="1"/>
  <c r="M10" i="3"/>
  <c r="M37" i="3"/>
  <c r="P37" i="3"/>
  <c r="Q37" i="3"/>
  <c r="R37" i="3" s="1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Q28" i="3"/>
  <c r="R28" i="3" s="1"/>
  <c r="M20" i="3"/>
  <c r="P20" i="3"/>
  <c r="Q20" i="3"/>
  <c r="R20" i="3" s="1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Q27" i="3"/>
  <c r="R27" i="3" s="1"/>
  <c r="M19" i="3"/>
  <c r="P19" i="3"/>
  <c r="Q19" i="3"/>
  <c r="R19" i="3" s="1"/>
  <c r="M16" i="3"/>
  <c r="P16" i="3"/>
  <c r="Q16" i="3"/>
  <c r="R16" i="3" s="1"/>
  <c r="M12" i="3"/>
  <c r="P12" i="3"/>
  <c r="Q12" i="3"/>
  <c r="R12" i="3" s="1"/>
  <c r="M9" i="3"/>
  <c r="P25" i="3"/>
  <c r="Q25" i="3"/>
  <c r="R25" i="3" s="1"/>
  <c r="P10" i="3"/>
  <c r="Q10" i="3"/>
  <c r="R10" i="3" s="1"/>
  <c r="P30" i="3"/>
  <c r="P21" i="3"/>
  <c r="P36" i="3"/>
  <c r="P33" i="3"/>
  <c r="P15" i="3"/>
  <c r="Q15" i="3"/>
  <c r="R15" i="3" s="1"/>
  <c r="P24" i="3"/>
  <c r="P35" i="3"/>
  <c r="P26" i="3"/>
  <c r="Q26" i="3"/>
  <c r="R26" i="3" s="1"/>
  <c r="P18" i="3"/>
  <c r="Q18" i="3"/>
  <c r="R18" i="3" s="1"/>
  <c r="P9" i="3"/>
  <c r="Q9" i="3"/>
  <c r="R9" i="3" s="1"/>
  <c r="P32" i="3"/>
  <c r="L40" i="5"/>
  <c r="H5" i="1"/>
  <c r="H30" i="1"/>
  <c r="H7" i="1"/>
  <c r="H22" i="1"/>
  <c r="H16" i="1"/>
  <c r="H19" i="1"/>
  <c r="H6" i="1"/>
  <c r="H18" i="1"/>
  <c r="H32" i="1"/>
  <c r="H24" i="1"/>
  <c r="H12" i="1"/>
  <c r="H20" i="1"/>
  <c r="H2" i="1"/>
  <c r="H10" i="1"/>
  <c r="M39" i="2"/>
  <c r="L39" i="2"/>
  <c r="Q35" i="3"/>
  <c r="R35" i="3" s="1"/>
  <c r="Q30" i="3"/>
  <c r="R30" i="3" s="1"/>
  <c r="Q24" i="3"/>
  <c r="R24" i="3" s="1"/>
  <c r="Q32" i="3"/>
  <c r="R32" i="3" s="1"/>
  <c r="Q36" i="3"/>
  <c r="R36" i="3" s="1"/>
  <c r="Q21" i="3"/>
  <c r="R21" i="3" s="1"/>
  <c r="Q33" i="3"/>
  <c r="R33" i="3" s="1"/>
  <c r="H28" i="1"/>
  <c r="H26" i="1"/>
  <c r="H14" i="1"/>
  <c r="H17" i="1"/>
  <c r="R40" i="3"/>
  <c r="L33" i="1" l="1"/>
  <c r="H27" i="4"/>
  <c r="E33" i="1"/>
  <c r="F6" i="1"/>
  <c r="F33" i="1" s="1"/>
  <c r="H29" i="4"/>
  <c r="H21" i="4"/>
  <c r="H13" i="4"/>
  <c r="H20" i="4"/>
  <c r="H12" i="4"/>
  <c r="H9" i="4"/>
  <c r="H10" i="4"/>
  <c r="H15" i="4"/>
  <c r="H16" i="4"/>
  <c r="H17" i="4"/>
  <c r="H18" i="4"/>
  <c r="H19" i="4"/>
  <c r="H22" i="4"/>
  <c r="H23" i="4"/>
  <c r="H24" i="4"/>
  <c r="H25" i="4"/>
  <c r="H26" i="4"/>
  <c r="H28" i="4"/>
  <c r="H30" i="4"/>
  <c r="H31" i="4"/>
  <c r="J33" i="1"/>
  <c r="H33" i="4"/>
  <c r="H35" i="4"/>
  <c r="H36" i="4"/>
  <c r="H37" i="4"/>
  <c r="H38" i="4"/>
  <c r="H39" i="4"/>
  <c r="I33" i="1"/>
  <c r="H31" i="1"/>
  <c r="H29" i="1"/>
  <c r="H27" i="1"/>
  <c r="H25" i="1"/>
  <c r="H23" i="1"/>
  <c r="H21" i="1"/>
  <c r="H15" i="1"/>
  <c r="H13" i="1"/>
  <c r="H11" i="1"/>
  <c r="H9" i="1"/>
  <c r="H8" i="1"/>
  <c r="H4" i="1"/>
  <c r="H3" i="1"/>
  <c r="H33" i="1" s="1"/>
  <c r="H34" i="4"/>
  <c r="C40" i="3"/>
  <c r="D40" i="4"/>
  <c r="C10" i="4"/>
  <c r="C10" i="5" s="1"/>
  <c r="C40" i="5" s="1"/>
  <c r="D9" i="5"/>
  <c r="D40" i="5" s="1"/>
  <c r="H40" i="4" l="1"/>
  <c r="C40" i="4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<sst xmlns="http://schemas.openxmlformats.org/spreadsheetml/2006/main" count="116" uniqueCount="60">
  <si>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</si>
  <si>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</si>
  <si>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</si>
  <si>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</si>
  <si>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</si>
  <si>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</si>
  <si>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</si>
  <si>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</si>
  <si>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Hot-Water Boilers (Liter) Liter</t>
  </si>
  <si>
    <t>Fuel Oil Hot-Water Boilers (Liter)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</si>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</sst>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17" activePane="bottomRight" state="frozen"/>
      <selection pane="bottomRight" activeCell="P1" sqref="P1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10.42578125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9" max="9" width="19.140625" customWidth="1"/>
    <col min="10" max="10" width="16.7109375" customWidth="1"/>
    <col min="11" max="11" width="10.85546875" customWidth="1"/>
    <col min="12" max="12" width="15.7109375" customWidth="1"/>
    <col min="13" max="13" width="6.7109375" bestFit="1" customWidth="1"/>
    <col min="14" max="14" width="7" bestFit="1" customWidth="1"/>
  </cols>
  <sheetData>
    <row r="1" spans="1:14" ht="60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</v>
      </c>
      <c r="D2" s="7">
        <v>2022</v>
      </c>
      <c r="E2" s="9">
        <f>Electricity!F8+Electricity!I8</f>
        <v>7760.0000000001046</v>
      </c>
      <c r="F2" s="10">
        <f>Electricity!L8/TOTAL!E2</f>
        <v>1232.9922680412424</v>
      </c>
      <c r="G2" s="9">
        <f>Gas!F9+Gas!I9+Gas!L9+Gas!O9</f>
        <v>54.912079999998674</v>
      </c>
      <c r="H2" s="10">
        <f>Gas!Q9/TOTAL!G2</f>
        <v>15840</v>
      </c>
      <c r="I2" s="9">
        <f>'Fuel Diesel'!F9</f>
        <v>0</v>
      </c>
      <c r="J2" s="11">
        <v>10700</v>
      </c>
      <c r="K2" s="9">
        <f>Water!E9+Water!G9+Water!I9</f>
        <v>326</v>
      </c>
      <c r="L2" s="10">
        <f>Water!K9/TOTAL!K2</f>
        <v>4000</v>
      </c>
      <c r="M2" s="9">
        <f>Electricity!C8</f>
        <v>8</v>
      </c>
      <c r="N2" s="9">
        <f>Electricity!D8</f>
        <v>47</v>
      </c>
    </row>
    <row r="3" spans="1:14">
      <c r="A3" s="6" t="s">
        <v>14</v>
      </c>
      <c r="B3" s="7">
        <f>B2+1</f>
        <v>2</v>
      </c>
      <c r="C3" s="8">
        <v>1</v>
      </c>
      <c r="D3" s="7">
        <v>2022</v>
      </c>
      <c r="E3" s="9">
        <f>Electricity!F9+Electricity!I9</f>
        <v>7500.0000000001137</v>
      </c>
      <c r="F3" s="10">
        <f>Electricity!L9/TOTAL!E3</f>
        <v>1230.1739999999936</v>
      </c>
      <c r="G3" s="9">
        <f>Gas!F10+Gas!I10+Gas!L10+Gas!O10</f>
        <v>54.83152000000058</v>
      </c>
      <c r="H3" s="10">
        <f>Gas!Q10/TOTAL!G3</f>
        <v>15840</v>
      </c>
      <c r="I3" s="9">
        <f>'Fuel Diesel'!F10</f>
        <v>0</v>
      </c>
      <c r="J3" s="11">
        <v>10700</v>
      </c>
      <c r="K3" s="9">
        <f>Water!E10+Water!G10+Water!I10</f>
        <v>302</v>
      </c>
      <c r="L3" s="10">
        <f>Water!K10/TOTAL!K3</f>
        <v>4000</v>
      </c>
      <c r="M3" s="9">
        <f>Electricity!C9</f>
        <v>11</v>
      </c>
      <c r="N3" s="9">
        <f>Electricity!D9</f>
        <v>32</v>
      </c>
    </row>
    <row r="4" spans="1:14">
      <c r="A4" s="6" t="s">
        <v>14</v>
      </c>
      <c r="B4" s="7">
        <f t="shared" ref="B4:B30" si="0">B3+1</f>
        <v>3</v>
      </c>
      <c r="C4" s="8">
        <v>1</v>
      </c>
      <c r="D4" s="7">
        <v>2022</v>
      </c>
      <c r="E4" s="9">
        <f>Electricity!F10+Electricity!I10</f>
        <v>7100.0000000002501</v>
      </c>
      <c r="F4" s="10">
        <f>Electricity!L10/TOTAL!E4</f>
        <v>1241.7249295774682</v>
      </c>
      <c r="G4" s="9">
        <f>Gas!F11+Gas!I11+Gas!L11+Gas!O11</f>
        <v>51.407719999999117</v>
      </c>
      <c r="H4" s="10">
        <f>Gas!Q11/TOTAL!G4</f>
        <v>15839.999999999998</v>
      </c>
      <c r="I4" s="9">
        <f>'Fuel Diesel'!F11</f>
        <v>133</v>
      </c>
      <c r="J4" s="11">
        <v>10700</v>
      </c>
      <c r="K4" s="9">
        <f>Water!E11+Water!G11+Water!I11</f>
        <v>309</v>
      </c>
      <c r="L4" s="10">
        <f>Water!K11/TOTAL!K4</f>
        <v>4000</v>
      </c>
      <c r="M4" s="9">
        <f>Electricity!C10</f>
        <v>16</v>
      </c>
      <c r="N4" s="9">
        <f>Electricity!D10</f>
        <v>52</v>
      </c>
    </row>
    <row r="5" spans="1:14">
      <c r="A5" s="6" t="s">
        <v>14</v>
      </c>
      <c r="B5" s="7">
        <f t="shared" si="0"/>
        <v>4</v>
      </c>
      <c r="C5" s="8">
        <v>1</v>
      </c>
      <c r="D5" s="7">
        <v>2022</v>
      </c>
      <c r="E5" s="9">
        <f>Electricity!F11+Electricity!I11</f>
        <v>7339.9999999998045</v>
      </c>
      <c r="F5" s="10">
        <f>Electricity!L11/TOTAL!E5</f>
        <v>1235.2640326975422</v>
      </c>
      <c r="G5" s="9">
        <f>Gas!F12+Gas!I12+Gas!L12+Gas!O12</f>
        <v>57.933080000002342</v>
      </c>
      <c r="H5" s="10">
        <f>Gas!Q12/TOTAL!G5</f>
        <v>15840</v>
      </c>
      <c r="I5" s="9">
        <f>'Fuel Diesel'!F12</f>
        <v>0</v>
      </c>
      <c r="J5" s="11">
        <v>10700</v>
      </c>
      <c r="K5" s="9">
        <f>Water!E12+Water!G12+Water!I12</f>
        <v>238</v>
      </c>
      <c r="L5" s="10">
        <f>Water!K12/TOTAL!K5</f>
        <v>4000</v>
      </c>
      <c r="M5" s="9">
        <f>Electricity!C11</f>
        <v>13</v>
      </c>
      <c r="N5" s="9">
        <f>Electricity!D11</f>
        <v>67</v>
      </c>
    </row>
    <row r="6" spans="1:14">
      <c r="A6" s="6" t="s">
        <v>14</v>
      </c>
      <c r="B6" s="7">
        <f t="shared" si="0"/>
        <v>5</v>
      </c>
      <c r="C6" s="8">
        <v>1</v>
      </c>
      <c r="D6" s="7">
        <v>2022</v>
      </c>
      <c r="E6" s="9">
        <f>Electricity!F12+Electricity!I12</f>
        <v>7479.9999999999045</v>
      </c>
      <c r="F6" s="10">
        <f>Electricity!L12/TOTAL!E6</f>
        <v>1236.5088235294199</v>
      </c>
      <c r="G6" s="9">
        <f>Gas!F13+Gas!I13+Gas!L13+Gas!O13</f>
        <v>55.95935999999589</v>
      </c>
      <c r="H6" s="10">
        <f>Gas!Q13/TOTAL!G6</f>
        <v>15839.999999999998</v>
      </c>
      <c r="I6" s="9">
        <f>'Fuel Diesel'!F13</f>
        <v>0</v>
      </c>
      <c r="J6" s="11">
        <v>10700</v>
      </c>
      <c r="K6" s="9">
        <f>Water!E13+Water!G13+Water!I13</f>
        <v>170</v>
      </c>
      <c r="L6" s="10">
        <f>Water!K13/TOTAL!K6</f>
        <v>4000</v>
      </c>
      <c r="M6" s="9">
        <f>Electricity!C12</f>
        <v>15</v>
      </c>
      <c r="N6" s="9">
        <f>Electricity!D12</f>
        <v>80</v>
      </c>
    </row>
    <row r="7" spans="1:14">
      <c r="A7" s="6" t="s">
        <v>14</v>
      </c>
      <c r="B7" s="7">
        <f t="shared" si="0"/>
        <v>6</v>
      </c>
      <c r="C7" s="8">
        <v>1</v>
      </c>
      <c r="D7" s="7">
        <v>2022</v>
      </c>
      <c r="E7" s="9">
        <f>Electricity!F13+Electricity!I13</f>
        <v>7400.0000000002046</v>
      </c>
      <c r="F7" s="10">
        <f>Electricity!L13/TOTAL!E7</f>
        <v>1231.4054054053975</v>
      </c>
      <c r="G7" s="9">
        <f>Gas!F14+Gas!I14+Gas!L14+Gas!O14</f>
        <v>56.039920000004976</v>
      </c>
      <c r="H7" s="10">
        <f>Gas!Q14/TOTAL!G7</f>
        <v>15840</v>
      </c>
      <c r="I7" s="9">
        <f>'Fuel Diesel'!F14</f>
        <v>107</v>
      </c>
      <c r="J7" s="11">
        <v>10700</v>
      </c>
      <c r="K7" s="9">
        <f>Water!E14+Water!G14+Water!I14</f>
        <v>160</v>
      </c>
      <c r="L7" s="10">
        <f>Water!K14/TOTAL!K7</f>
        <v>4000</v>
      </c>
      <c r="M7" s="9">
        <f>Electricity!C13</f>
        <v>11</v>
      </c>
      <c r="N7" s="9">
        <f>Electricity!D13</f>
        <v>51</v>
      </c>
    </row>
    <row r="8" spans="1:14">
      <c r="A8" s="6" t="s">
        <v>14</v>
      </c>
      <c r="B8" s="7">
        <f t="shared" si="0"/>
        <v>7</v>
      </c>
      <c r="C8" s="8">
        <v>1</v>
      </c>
      <c r="D8" s="7">
        <v>2022</v>
      </c>
      <c r="E8" s="9">
        <f>Electricity!F14+Electricity!I14</f>
        <v>7639.999999999759</v>
      </c>
      <c r="F8" s="10">
        <f>Electricity!L14/TOTAL!E8</f>
        <v>1237.4496073298499</v>
      </c>
      <c r="G8" s="9">
        <f>Gas!F15+Gas!I15+Gas!L15+Gas!O15</f>
        <v>51.447999999999993</v>
      </c>
      <c r="H8" s="10">
        <f>Gas!Q15/TOTAL!G8</f>
        <v>15839.999999999998</v>
      </c>
      <c r="I8" s="9">
        <f>'Fuel Diesel'!F15</f>
        <v>0</v>
      </c>
      <c r="J8" s="11">
        <v>10700</v>
      </c>
      <c r="K8" s="9">
        <f>Water!E15+Water!G15+Water!I15</f>
        <v>161</v>
      </c>
      <c r="L8" s="10">
        <f>Water!K15/TOTAL!K8</f>
        <v>4000</v>
      </c>
      <c r="M8" s="9">
        <f>Electricity!C14</f>
        <v>9</v>
      </c>
      <c r="N8" s="9">
        <f>Electricity!D14</f>
        <v>42</v>
      </c>
    </row>
    <row r="9" spans="1:14">
      <c r="A9" s="6" t="s">
        <v>14</v>
      </c>
      <c r="B9" s="7">
        <f t="shared" si="0"/>
        <v>8</v>
      </c>
      <c r="C9" s="8">
        <v>1</v>
      </c>
      <c r="D9" s="7">
        <v>2022</v>
      </c>
      <c r="E9" s="9">
        <f>Electricity!F15+Electricity!I15</f>
        <v>7720.0000000000273</v>
      </c>
      <c r="F9" s="10">
        <f>Electricity!L15/TOTAL!E9</f>
        <v>1234.9544689119136</v>
      </c>
      <c r="G9" s="9">
        <f>Gas!F16+Gas!I16+Gas!L16+Gas!O16</f>
        <v>47.379719999999118</v>
      </c>
      <c r="H9" s="10">
        <f>Gas!Q16/TOTAL!G9</f>
        <v>15840</v>
      </c>
      <c r="I9" s="9">
        <f>'Fuel Diesel'!F16</f>
        <v>0</v>
      </c>
      <c r="J9" s="11">
        <v>10700</v>
      </c>
      <c r="K9" s="9">
        <f>Water!E16+Water!G16+Water!I16</f>
        <v>171</v>
      </c>
      <c r="L9" s="10">
        <f>Water!K16/TOTAL!K9</f>
        <v>4000</v>
      </c>
      <c r="M9" s="9">
        <f>Electricity!C15</f>
        <v>6</v>
      </c>
      <c r="N9" s="9">
        <f>Electricity!D15</f>
        <v>35</v>
      </c>
    </row>
    <row r="10" spans="1:14">
      <c r="A10" s="6" t="s">
        <v>14</v>
      </c>
      <c r="B10" s="7">
        <f t="shared" si="0"/>
        <v>9</v>
      </c>
      <c r="C10" s="8">
        <v>1</v>
      </c>
      <c r="D10" s="7">
        <v>2022</v>
      </c>
      <c r="E10" s="9">
        <f>Electricity!F16+Electricity!I16</f>
        <v>7680.0000000001774</v>
      </c>
      <c r="F10" s="10">
        <f>Electricity!L16/TOTAL!E10</f>
        <v>1235.4539713541694</v>
      </c>
      <c r="G10" s="9">
        <f>Gas!F17+Gas!I17+Gas!L17+Gas!O17</f>
        <v>57.127479999999409</v>
      </c>
      <c r="H10" s="10">
        <f>Gas!Q17/TOTAL!G10</f>
        <v>15840</v>
      </c>
      <c r="I10" s="9">
        <f>'Fuel Diesel'!F17</f>
        <v>0</v>
      </c>
      <c r="J10" s="11">
        <v>10700</v>
      </c>
      <c r="K10" s="9">
        <f>Water!E17+Water!G17+Water!I17</f>
        <v>162</v>
      </c>
      <c r="L10" s="10">
        <f>Water!K17/TOTAL!K10</f>
        <v>4000</v>
      </c>
      <c r="M10" s="9">
        <f>Electricity!C16</f>
        <v>8</v>
      </c>
      <c r="N10" s="9">
        <f>Electricity!D16</f>
        <v>50</v>
      </c>
    </row>
    <row r="11" spans="1:14">
      <c r="A11" s="6" t="s">
        <v>14</v>
      </c>
      <c r="B11" s="7">
        <f t="shared" si="0"/>
        <v>10</v>
      </c>
      <c r="C11" s="8">
        <v>1</v>
      </c>
      <c r="D11" s="7">
        <v>2022</v>
      </c>
      <c r="E11" s="9">
        <f>Electricity!F17+Electricity!I17</f>
        <v>7399.9999999998636</v>
      </c>
      <c r="F11" s="10">
        <f>Electricity!L17/TOTAL!E11</f>
        <v>1234.4839189189215</v>
      </c>
      <c r="G11" s="9">
        <f>Gas!F18+Gas!I18+Gas!L18+Gas!O18</f>
        <v>55.23432000000205</v>
      </c>
      <c r="H11" s="10">
        <f>Gas!Q18/TOTAL!G11</f>
        <v>15840</v>
      </c>
      <c r="I11" s="9">
        <f>'Fuel Diesel'!F18</f>
        <v>0</v>
      </c>
      <c r="J11" s="11">
        <v>10700</v>
      </c>
      <c r="K11" s="9">
        <f>Water!E18+Water!G18+Water!I18</f>
        <v>172</v>
      </c>
      <c r="L11" s="10">
        <f>Water!K18/TOTAL!K11</f>
        <v>4000</v>
      </c>
      <c r="M11" s="9">
        <f>Electricity!C17</f>
        <v>7</v>
      </c>
      <c r="N11" s="9">
        <f>Electricity!D17</f>
        <v>31</v>
      </c>
    </row>
    <row r="12" spans="1:14">
      <c r="A12" s="6" t="s">
        <v>14</v>
      </c>
      <c r="B12" s="7">
        <f t="shared" si="0"/>
        <v>11</v>
      </c>
      <c r="C12" s="8">
        <v>1</v>
      </c>
      <c r="D12" s="7">
        <v>2022</v>
      </c>
      <c r="E12" s="9">
        <f>Electricity!F18+Electricity!I18</f>
        <v>7199.9999999999318</v>
      </c>
      <c r="F12" s="10">
        <f>Electricity!L18/TOTAL!E12</f>
        <v>1232.3888194444414</v>
      </c>
      <c r="G12" s="9">
        <f>Gas!F19+Gas!I19+Gas!L19+Gas!O19</f>
        <v>59.181759999992963</v>
      </c>
      <c r="H12" s="10">
        <f>Gas!Q19/TOTAL!G12</f>
        <v>15839.999999999998</v>
      </c>
      <c r="I12" s="9">
        <f>'Fuel Diesel'!F19</f>
        <v>0</v>
      </c>
      <c r="J12" s="11">
        <v>10700</v>
      </c>
      <c r="K12" s="9">
        <f>Water!E19+Water!G19+Water!I19</f>
        <v>138</v>
      </c>
      <c r="L12" s="10">
        <f>Water!K19/TOTAL!K12</f>
        <v>4000</v>
      </c>
      <c r="M12" s="9">
        <f>Electricity!C18</f>
        <v>6</v>
      </c>
      <c r="N12" s="9">
        <f>Electricity!D18</f>
        <v>28</v>
      </c>
    </row>
    <row r="13" spans="1:14">
      <c r="A13" s="6" t="s">
        <v>14</v>
      </c>
      <c r="B13" s="7">
        <f t="shared" si="0"/>
        <v>12</v>
      </c>
      <c r="C13" s="8">
        <v>1</v>
      </c>
      <c r="D13" s="7">
        <v>2022</v>
      </c>
      <c r="E13" s="9">
        <f>Electricity!F19+Electricity!I19</f>
        <v>7000.0000000001137</v>
      </c>
      <c r="F13" s="10">
        <f>Electricity!L19/TOTAL!E13</f>
        <v>1228.5467857142862</v>
      </c>
      <c r="G13" s="9">
        <f>Gas!F20+Gas!I20+Gas!L20+Gas!O20</f>
        <v>39.968200000005858</v>
      </c>
      <c r="H13" s="10">
        <f>Gas!Q20/TOTAL!G13</f>
        <v>15840.000000000002</v>
      </c>
      <c r="I13" s="9">
        <f>'Fuel Diesel'!F20</f>
        <v>13</v>
      </c>
      <c r="J13" s="11">
        <v>10700</v>
      </c>
      <c r="K13" s="9">
        <f>Water!E20+Water!G20+Water!I20</f>
        <v>108</v>
      </c>
      <c r="L13" s="10">
        <f>Water!K20/TOTAL!K13</f>
        <v>4000</v>
      </c>
      <c r="M13" s="9">
        <f>Electricity!C19</f>
        <v>3</v>
      </c>
      <c r="N13" s="9">
        <f>Electricity!D19</f>
        <v>19</v>
      </c>
    </row>
    <row r="14" spans="1:14">
      <c r="A14" s="6" t="s">
        <v>14</v>
      </c>
      <c r="B14" s="7">
        <f t="shared" si="0"/>
        <v>13</v>
      </c>
      <c r="C14" s="8">
        <v>1</v>
      </c>
      <c r="D14" s="7">
        <v>2022</v>
      </c>
      <c r="E14" s="9">
        <f>Electricity!F20+Electricity!I20</f>
        <v>6759.9999999998772</v>
      </c>
      <c r="F14" s="10">
        <f>Electricity!L20/TOTAL!E14</f>
        <v>1236.7791420118335</v>
      </c>
      <c r="G14" s="9">
        <f>Gas!F21+Gas!I21+Gas!L21+Gas!O21</f>
        <v>54.428719999999117</v>
      </c>
      <c r="H14" s="10">
        <f>Gas!Q21/TOTAL!G14</f>
        <v>15839.999999999998</v>
      </c>
      <c r="I14" s="9">
        <f>'Fuel Diesel'!F21</f>
        <v>0</v>
      </c>
      <c r="J14" s="11">
        <v>10700</v>
      </c>
      <c r="K14" s="9">
        <f>Water!E21+Water!G21+Water!I21</f>
        <v>126</v>
      </c>
      <c r="L14" s="10">
        <f>Water!K21/TOTAL!K14</f>
        <v>4000</v>
      </c>
      <c r="M14" s="9">
        <f>Electricity!C20</f>
        <v>5</v>
      </c>
      <c r="N14" s="9">
        <f>Electricity!D20</f>
        <v>18</v>
      </c>
    </row>
    <row r="15" spans="1:14">
      <c r="A15" s="6" t="s">
        <v>14</v>
      </c>
      <c r="B15" s="7">
        <f t="shared" si="0"/>
        <v>14</v>
      </c>
      <c r="C15" s="8">
        <v>1</v>
      </c>
      <c r="D15" s="7">
        <v>2022</v>
      </c>
      <c r="E15" s="9">
        <f>Electricity!F21+Electricity!I21</f>
        <v>7500.0000000002274</v>
      </c>
      <c r="F15" s="10">
        <f>Electricity!L21/TOTAL!E15</f>
        <v>1230.1740000000007</v>
      </c>
      <c r="G15" s="9">
        <f>Gas!F22+Gas!I22+Gas!L22+Gas!O22</f>
        <v>55.919079999995013</v>
      </c>
      <c r="H15" s="10">
        <f>Gas!Q22/TOTAL!G15</f>
        <v>15839.999999999998</v>
      </c>
      <c r="I15" s="9">
        <f>'Fuel Diesel'!F22</f>
        <v>0</v>
      </c>
      <c r="J15" s="11">
        <v>10700</v>
      </c>
      <c r="K15" s="9">
        <f>Water!E22+Water!G22+Water!I22</f>
        <v>133</v>
      </c>
      <c r="L15" s="10">
        <f>Water!K22/TOTAL!K15</f>
        <v>4000</v>
      </c>
      <c r="M15" s="9">
        <f>Electricity!C21</f>
        <v>5</v>
      </c>
      <c r="N15" s="9">
        <f>Electricity!D21</f>
        <v>32</v>
      </c>
    </row>
    <row r="16" spans="1:14">
      <c r="A16" s="6" t="s">
        <v>14</v>
      </c>
      <c r="B16" s="7">
        <f t="shared" si="0"/>
        <v>15</v>
      </c>
      <c r="C16" s="8">
        <v>1</v>
      </c>
      <c r="D16" s="7">
        <v>2022</v>
      </c>
      <c r="E16" s="9">
        <f>Electricity!F22+Electricity!I22</f>
        <v>7179.99999999995</v>
      </c>
      <c r="F16" s="10">
        <f>Electricity!L22/TOTAL!E16</f>
        <v>1231.0623955431736</v>
      </c>
      <c r="G16" s="9">
        <f>Gas!F23+Gas!I23+Gas!L23+Gas!O23</f>
        <v>51.166040000001168</v>
      </c>
      <c r="H16" s="10">
        <f>Gas!Q23/TOTAL!G16</f>
        <v>15840</v>
      </c>
      <c r="I16" s="9">
        <f>'Fuel Diesel'!F23</f>
        <v>0</v>
      </c>
      <c r="J16" s="11">
        <v>10700</v>
      </c>
      <c r="K16" s="9">
        <f>Water!E23+Water!G23+Water!I23</f>
        <v>122</v>
      </c>
      <c r="L16" s="10">
        <f>Water!K23/TOTAL!K16</f>
        <v>4000</v>
      </c>
      <c r="M16" s="9">
        <f>Electricity!C22</f>
        <v>5</v>
      </c>
      <c r="N16" s="9">
        <f>Electricity!D22</f>
        <v>16</v>
      </c>
    </row>
    <row r="17" spans="1:14">
      <c r="A17" s="6" t="s">
        <v>14</v>
      </c>
      <c r="B17" s="7">
        <f t="shared" si="0"/>
        <v>16</v>
      </c>
      <c r="C17" s="8">
        <v>1</v>
      </c>
      <c r="D17" s="7">
        <v>2022</v>
      </c>
      <c r="E17" s="9">
        <f>Electricity!F23+Electricity!I23</f>
        <v>7179.99999999995</v>
      </c>
      <c r="F17" s="10">
        <f>Electricity!L23/TOTAL!E17</f>
        <v>1229.4759749303619</v>
      </c>
      <c r="G17" s="9">
        <f>Gas!F24+Gas!I24+Gas!L24+Gas!O24</f>
        <v>55.314880000003804</v>
      </c>
      <c r="H17" s="10">
        <f>Gas!Q24/TOTAL!G17</f>
        <v>15840</v>
      </c>
      <c r="I17" s="9">
        <f>'Fuel Diesel'!F24</f>
        <v>0</v>
      </c>
      <c r="J17" s="11">
        <v>10700</v>
      </c>
      <c r="K17" s="9">
        <f>Water!E24+Water!G24+Water!I24</f>
        <v>125</v>
      </c>
      <c r="L17" s="10">
        <f>Water!K24/TOTAL!K17</f>
        <v>4000</v>
      </c>
      <c r="M17" s="9">
        <f>Electricity!C23</f>
        <v>2</v>
      </c>
      <c r="N17" s="9">
        <f>Electricity!D23</f>
        <v>20</v>
      </c>
    </row>
    <row r="18" spans="1:14">
      <c r="A18" s="6" t="s">
        <v>14</v>
      </c>
      <c r="B18" s="7">
        <f t="shared" si="0"/>
        <v>17</v>
      </c>
      <c r="C18" s="8">
        <v>1</v>
      </c>
      <c r="D18" s="7">
        <v>2022</v>
      </c>
      <c r="E18" s="9">
        <f>Electricity!F24+Electricity!I24</f>
        <v>6520.0000000000955</v>
      </c>
      <c r="F18" s="10">
        <f>Electricity!L24/TOTAL!E18</f>
        <v>1233.3884969325177</v>
      </c>
      <c r="G18" s="9">
        <f>Gas!F25+Gas!I25+Gas!L25+Gas!O25</f>
        <v>45.124040000001166</v>
      </c>
      <c r="H18" s="10">
        <f>Gas!Q25/TOTAL!G18</f>
        <v>15840</v>
      </c>
      <c r="I18" s="9">
        <f>'Fuel Diesel'!F25</f>
        <v>23</v>
      </c>
      <c r="J18" s="11">
        <v>10700</v>
      </c>
      <c r="K18" s="9">
        <f>Water!E25+Water!G25+Water!I25</f>
        <v>108</v>
      </c>
      <c r="L18" s="10">
        <f>Water!K25/TOTAL!K18</f>
        <v>4000</v>
      </c>
      <c r="M18" s="9">
        <f>Electricity!C24</f>
        <v>2</v>
      </c>
      <c r="N18" s="9">
        <f>Electricity!D24</f>
        <v>14</v>
      </c>
    </row>
    <row r="19" spans="1:14">
      <c r="A19" s="6" t="s">
        <v>14</v>
      </c>
      <c r="B19" s="7">
        <f t="shared" si="0"/>
        <v>18</v>
      </c>
      <c r="C19" s="8">
        <v>1</v>
      </c>
      <c r="D19" s="7">
        <v>2022</v>
      </c>
      <c r="E19" s="9">
        <f>Electricity!F25+Electricity!I25</f>
        <v>6319.999999999709</v>
      </c>
      <c r="F19" s="10">
        <f>Electricity!L25/TOTAL!E19</f>
        <v>1232.7693037974693</v>
      </c>
      <c r="G19" s="9">
        <f>Gas!F26+Gas!I26+Gas!L26+Gas!O26</f>
        <v>43.714239999999705</v>
      </c>
      <c r="H19" s="10">
        <f>Gas!Q26/TOTAL!G19</f>
        <v>15839.999999999998</v>
      </c>
      <c r="I19" s="9">
        <f>'Fuel Diesel'!F26</f>
        <v>0</v>
      </c>
      <c r="J19" s="11">
        <v>10700</v>
      </c>
      <c r="K19" s="9">
        <f>Water!E26+Water!G26+Water!I26</f>
        <v>91</v>
      </c>
      <c r="L19" s="10">
        <f>Water!K26/TOTAL!K19</f>
        <v>4000</v>
      </c>
      <c r="M19" s="9">
        <f>Electricity!C25</f>
        <v>1</v>
      </c>
      <c r="N19" s="9">
        <f>Electricity!D25</f>
        <v>14</v>
      </c>
    </row>
    <row r="20" spans="1:14">
      <c r="A20" s="6" t="s">
        <v>14</v>
      </c>
      <c r="B20" s="7">
        <f t="shared" si="0"/>
        <v>19</v>
      </c>
      <c r="C20" s="8">
        <v>1</v>
      </c>
      <c r="D20" s="7">
        <v>2022</v>
      </c>
      <c r="E20" s="9">
        <f>Electricity!F26+Electricity!I26</f>
        <v>6340.0000000001455</v>
      </c>
      <c r="F20" s="10">
        <f>Electricity!L26/TOTAL!E20</f>
        <v>1228.8804416403766</v>
      </c>
      <c r="G20" s="9">
        <f>Gas!F27+Gas!I27+Gas!L27+Gas!O27</f>
        <v>15.989999999998545</v>
      </c>
      <c r="H20" s="10">
        <f>Gas!Q27/TOTAL!G20</f>
        <v>15839.999999999998</v>
      </c>
      <c r="I20" s="9">
        <f>'Fuel Diesel'!F27</f>
        <v>0</v>
      </c>
      <c r="J20" s="11">
        <v>10700</v>
      </c>
      <c r="K20" s="9">
        <f>Water!E27+Water!G27+Water!I27</f>
        <v>96</v>
      </c>
      <c r="L20" s="10">
        <f>Water!K27/TOTAL!K20</f>
        <v>4000</v>
      </c>
      <c r="M20" s="9">
        <f>Electricity!C26</f>
        <v>2</v>
      </c>
      <c r="N20" s="9">
        <f>Electricity!D26</f>
        <v>5</v>
      </c>
    </row>
    <row r="21" spans="1:14">
      <c r="A21" s="6" t="s">
        <v>14</v>
      </c>
      <c r="B21" s="7">
        <f t="shared" si="0"/>
        <v>20</v>
      </c>
      <c r="C21" s="8">
        <v>1</v>
      </c>
      <c r="D21" s="7">
        <v>2022</v>
      </c>
      <c r="E21" s="9">
        <f>Electricity!F27+Electricity!I27</f>
        <v>6340.0000000001455</v>
      </c>
      <c r="F21" s="10">
        <f>Electricity!L27/TOTAL!E21</f>
        <v>1232.4736593059883</v>
      </c>
      <c r="G21" s="9">
        <f>Gas!F28+Gas!I28+Gas!L28+Gas!O28</f>
        <v>16.730000000000146</v>
      </c>
      <c r="H21" s="10">
        <f>Gas!Q28/TOTAL!G21</f>
        <v>15839.999999999998</v>
      </c>
      <c r="I21" s="9">
        <f>'Fuel Diesel'!F28</f>
        <v>0</v>
      </c>
      <c r="J21" s="11">
        <v>10700</v>
      </c>
      <c r="K21" s="9">
        <f>Water!E28+Water!G28+Water!I28</f>
        <v>100</v>
      </c>
      <c r="L21" s="10">
        <f>Water!K28/TOTAL!K21</f>
        <v>4000</v>
      </c>
      <c r="M21" s="9">
        <f>Electricity!C27</f>
        <v>4</v>
      </c>
      <c r="N21" s="9">
        <f>Electricity!D27</f>
        <v>14</v>
      </c>
    </row>
    <row r="22" spans="1:14">
      <c r="A22" s="6" t="s">
        <v>14</v>
      </c>
      <c r="B22" s="7">
        <f t="shared" si="0"/>
        <v>21</v>
      </c>
      <c r="C22" s="8">
        <v>1</v>
      </c>
      <c r="D22" s="7">
        <v>2022</v>
      </c>
      <c r="E22" s="9">
        <f>Electricity!F28+Electricity!I28</f>
        <v>6799.9999999999545</v>
      </c>
      <c r="F22" s="10">
        <f>Electricity!L28/TOTAL!E22</f>
        <v>1239.5544117647107</v>
      </c>
      <c r="G22" s="9">
        <f>Gas!F29+Gas!I29+Gas!L29+Gas!O29</f>
        <v>19.210000000001529</v>
      </c>
      <c r="H22" s="10">
        <f>Gas!Q29/TOTAL!G22</f>
        <v>15839.999999999998</v>
      </c>
      <c r="I22" s="9">
        <f>'Fuel Diesel'!F29</f>
        <v>0</v>
      </c>
      <c r="J22" s="11">
        <v>10700</v>
      </c>
      <c r="K22" s="9">
        <f>Water!E29+Water!G29+Water!I29</f>
        <v>104</v>
      </c>
      <c r="L22" s="10">
        <f>Water!K29/TOTAL!K22</f>
        <v>4000</v>
      </c>
      <c r="M22" s="9">
        <f>Electricity!C28</f>
        <v>8</v>
      </c>
      <c r="N22" s="9">
        <f>Electricity!D28</f>
        <v>29</v>
      </c>
    </row>
    <row r="23" spans="1:14">
      <c r="A23" s="6" t="s">
        <v>14</v>
      </c>
      <c r="B23" s="7">
        <f t="shared" si="0"/>
        <v>22</v>
      </c>
      <c r="C23" s="8">
        <v>1</v>
      </c>
      <c r="D23" s="7">
        <v>2022</v>
      </c>
      <c r="E23" s="9">
        <f>Electricity!F29+Electricity!I29</f>
        <v>6960.0000000001501</v>
      </c>
      <c r="F23" s="10">
        <f>Electricity!L29/TOTAL!E23</f>
        <v>1232.3342672413762</v>
      </c>
      <c r="G23" s="9">
        <f>Gas!F30+Gas!I30+Gas!L30+Gas!O30</f>
        <v>17.909999999998618</v>
      </c>
      <c r="H23" s="10">
        <f>Gas!Q30/TOTAL!G23</f>
        <v>15839.999999999998</v>
      </c>
      <c r="I23" s="9">
        <f>'Fuel Diesel'!F30</f>
        <v>0</v>
      </c>
      <c r="J23" s="11">
        <v>10700</v>
      </c>
      <c r="K23" s="9">
        <f>Water!E30+Water!G30+Water!I30</f>
        <v>118</v>
      </c>
      <c r="L23" s="10">
        <f>Water!K30/TOTAL!K23</f>
        <v>4000</v>
      </c>
      <c r="M23" s="9">
        <f>Electricity!C29</f>
        <v>8</v>
      </c>
      <c r="N23" s="9">
        <f>Electricity!D29</f>
        <v>44</v>
      </c>
    </row>
    <row r="24" spans="1:14">
      <c r="A24" s="6" t="s">
        <v>14</v>
      </c>
      <c r="B24" s="7">
        <f t="shared" si="0"/>
        <v>23</v>
      </c>
      <c r="C24" s="8">
        <v>1</v>
      </c>
      <c r="D24" s="7">
        <v>2022</v>
      </c>
      <c r="E24" s="9">
        <f>Electricity!F30+Electricity!I30</f>
        <v>7339.9999999999181</v>
      </c>
      <c r="F24" s="10">
        <f>Electricity!L30/TOTAL!E24</f>
        <v>1235.2640326975495</v>
      </c>
      <c r="G24" s="9">
        <f>Gas!F31+Gas!I31+Gas!L31+Gas!O31</f>
        <v>18.590000000000728</v>
      </c>
      <c r="H24" s="10">
        <f>Gas!Q31/TOTAL!G24</f>
        <v>15839.999999999998</v>
      </c>
      <c r="I24" s="9">
        <f>'Fuel Diesel'!F31</f>
        <v>0</v>
      </c>
      <c r="J24" s="11">
        <v>10700</v>
      </c>
      <c r="K24" s="9">
        <f>Water!E31+Water!G31+Water!I31</f>
        <v>113</v>
      </c>
      <c r="L24" s="10">
        <f>Water!K31/TOTAL!K24</f>
        <v>4000</v>
      </c>
      <c r="M24" s="9">
        <f>Electricity!C30</f>
        <v>6</v>
      </c>
      <c r="N24" s="9">
        <f>Electricity!D30</f>
        <v>35</v>
      </c>
    </row>
    <row r="25" spans="1:14">
      <c r="A25" s="6" t="s">
        <v>14</v>
      </c>
      <c r="B25" s="7">
        <f t="shared" si="0"/>
        <v>24</v>
      </c>
      <c r="C25" s="8">
        <v>1</v>
      </c>
      <c r="D25" s="7">
        <v>2022</v>
      </c>
      <c r="E25" s="9">
        <f>Electricity!F31+Electricity!I31</f>
        <v>7419.9999999998454</v>
      </c>
      <c r="F25" s="10">
        <f>Electricity!L31/TOTAL!E25</f>
        <v>1235.7617924528315</v>
      </c>
      <c r="G25" s="9">
        <f>Gas!F32+Gas!I32+Gas!L32+Gas!O32</f>
        <v>16.33000000000051</v>
      </c>
      <c r="H25" s="10">
        <f>Gas!Q32/TOTAL!G25</f>
        <v>15839.999999999998</v>
      </c>
      <c r="I25" s="9">
        <f>'Fuel Diesel'!F32</f>
        <v>0</v>
      </c>
      <c r="J25" s="11">
        <v>10700</v>
      </c>
      <c r="K25" s="9">
        <f>Water!E32+Water!G32+Water!I32</f>
        <v>132</v>
      </c>
      <c r="L25" s="10">
        <f>Water!K32/TOTAL!K25</f>
        <v>4000</v>
      </c>
      <c r="M25" s="9">
        <f>Electricity!C31</f>
        <v>9</v>
      </c>
      <c r="N25" s="9">
        <f>Electricity!D31</f>
        <v>22</v>
      </c>
    </row>
    <row r="26" spans="1:14">
      <c r="A26" s="6" t="s">
        <v>14</v>
      </c>
      <c r="B26" s="7">
        <f>B25+1</f>
        <v>25</v>
      </c>
      <c r="C26" s="8">
        <v>1</v>
      </c>
      <c r="D26" s="7">
        <v>2022</v>
      </c>
      <c r="E26" s="9">
        <f>Electricity!F32+Electricity!I32</f>
        <v>7499.9999999998863</v>
      </c>
      <c r="F26" s="10">
        <f>Electricity!L32/TOTAL!E26</f>
        <v>1239.2864000000056</v>
      </c>
      <c r="G26" s="9">
        <f>Gas!F33+Gas!I33+Gas!L33+Gas!O33</f>
        <v>17.14</v>
      </c>
      <c r="H26" s="10">
        <f>Gas!Q33/TOTAL!G26</f>
        <v>15839.999999999998</v>
      </c>
      <c r="I26" s="9">
        <f>'Fuel Diesel'!F33</f>
        <v>14</v>
      </c>
      <c r="J26" s="11">
        <v>10700</v>
      </c>
      <c r="K26" s="9">
        <f>Water!E33+Water!G33+Water!I33</f>
        <v>123</v>
      </c>
      <c r="L26" s="10">
        <f>Water!K33/TOTAL!K26</f>
        <v>4000</v>
      </c>
      <c r="M26" s="9">
        <f>Electricity!C32</f>
        <v>7</v>
      </c>
      <c r="N26" s="9">
        <f>Electricity!D32</f>
        <v>37</v>
      </c>
    </row>
    <row r="27" spans="1:14">
      <c r="A27" s="6" t="s">
        <v>14</v>
      </c>
      <c r="B27" s="7">
        <f t="shared" si="0"/>
        <v>26</v>
      </c>
      <c r="C27" s="8">
        <v>1</v>
      </c>
      <c r="D27" s="7">
        <v>2022</v>
      </c>
      <c r="E27" s="9">
        <f>Electricity!F33+Electricity!I33</f>
        <v>7659.9999999999682</v>
      </c>
      <c r="F27" s="10">
        <f>Electricity!L33/TOTAL!E27</f>
        <v>1229.757637075712</v>
      </c>
      <c r="G27" s="9">
        <f>Gas!F34+Gas!I34+Gas!L34+Gas!O34</f>
        <v>18.400000000000219</v>
      </c>
      <c r="H27" s="10">
        <f>Gas!Q34/TOTAL!G27</f>
        <v>15839.999999999998</v>
      </c>
      <c r="I27" s="9">
        <f>'Fuel Diesel'!F34</f>
        <v>0</v>
      </c>
      <c r="J27" s="11">
        <v>10700</v>
      </c>
      <c r="K27" s="9">
        <f>Water!E34+Water!G34+Water!I34</f>
        <v>126</v>
      </c>
      <c r="L27" s="10">
        <f>Water!K34/TOTAL!K27</f>
        <v>4000</v>
      </c>
      <c r="M27" s="9">
        <f>Electricity!C33</f>
        <v>3</v>
      </c>
      <c r="N27" s="9">
        <f>Electricity!D33</f>
        <v>29</v>
      </c>
    </row>
    <row r="28" spans="1:14">
      <c r="A28" s="6" t="s">
        <v>14</v>
      </c>
      <c r="B28" s="7">
        <f t="shared" si="0"/>
        <v>27</v>
      </c>
      <c r="C28" s="8">
        <v>1</v>
      </c>
      <c r="D28" s="7">
        <v>2022</v>
      </c>
      <c r="E28" s="9">
        <f>Electricity!F34+Electricity!I34</f>
        <v>6759.9999999999909</v>
      </c>
      <c r="F28" s="10">
        <f>Electricity!L34/TOTAL!E28</f>
        <v>1236.7791420118415</v>
      </c>
      <c r="G28" s="9">
        <f>Gas!F35+Gas!I35+Gas!L35+Gas!O35</f>
        <v>16.629999999999782</v>
      </c>
      <c r="H28" s="10">
        <f>Gas!Q35/TOTAL!G28</f>
        <v>15839.999999999998</v>
      </c>
      <c r="I28" s="9">
        <f>'Fuel Diesel'!F35</f>
        <v>0</v>
      </c>
      <c r="J28" s="11">
        <v>10700</v>
      </c>
      <c r="K28" s="9">
        <f>Water!E35+Water!G35+Water!I35</f>
        <v>106</v>
      </c>
      <c r="L28" s="10">
        <f>Water!K35/TOTAL!K28</f>
        <v>4000</v>
      </c>
      <c r="M28" s="9">
        <f>Electricity!C34</f>
        <v>4</v>
      </c>
      <c r="N28" s="9">
        <f>Electricity!D34</f>
        <v>13</v>
      </c>
    </row>
    <row r="29" spans="1:14">
      <c r="A29" s="6" t="s">
        <v>14</v>
      </c>
      <c r="B29" s="7">
        <f t="shared" si="0"/>
        <v>28</v>
      </c>
      <c r="C29" s="8">
        <v>1</v>
      </c>
      <c r="D29" s="7">
        <v>2022</v>
      </c>
      <c r="E29" s="9">
        <f>Electricity!F35+Electricity!I35</f>
        <v>7159.9999999999682</v>
      </c>
      <c r="F29" s="10">
        <f>Electricity!L35/TOTAL!E29</f>
        <v>1231.3194134078192</v>
      </c>
      <c r="G29" s="9">
        <f>Gas!F36+Gas!I36+Gas!L36+Gas!O36</f>
        <v>17.179999999999055</v>
      </c>
      <c r="H29" s="10">
        <f>Gas!Q36/TOTAL!G29</f>
        <v>15839.999999999998</v>
      </c>
      <c r="I29" s="9">
        <f>'Fuel Diesel'!F36</f>
        <v>0</v>
      </c>
      <c r="J29" s="11">
        <v>10700</v>
      </c>
      <c r="K29" s="9">
        <f>Water!E36+Water!G36+Water!I36</f>
        <v>107</v>
      </c>
      <c r="L29" s="10">
        <f>Water!K36/TOTAL!K29</f>
        <v>4000</v>
      </c>
      <c r="M29" s="9">
        <f>Electricity!C35</f>
        <v>5</v>
      </c>
      <c r="N29" s="9">
        <f>Electricity!D35</f>
        <v>19</v>
      </c>
    </row>
    <row r="30" spans="1:14">
      <c r="A30" s="6" t="s">
        <v>14</v>
      </c>
      <c r="B30" s="7">
        <f t="shared" si="0"/>
        <v>29</v>
      </c>
      <c r="C30" s="8">
        <v>1</v>
      </c>
      <c r="D30" s="7">
        <v>2022</v>
      </c>
      <c r="E30" s="9">
        <f>Electricity!F36+Electricity!I36</f>
        <v>6700.0000000003865</v>
      </c>
      <c r="F30" s="10">
        <f>Electricity!L36/TOTAL!E30</f>
        <v>1234.2541791044725</v>
      </c>
      <c r="G30" s="9">
        <f>Gas!F37+Gas!I37+Gas!L37+Gas!O37</f>
        <v>17.520000000001019</v>
      </c>
      <c r="H30" s="10">
        <f>Gas!Q37/TOTAL!G30</f>
        <v>15839.999999999998</v>
      </c>
      <c r="I30" s="9">
        <f>'Fuel Diesel'!F37</f>
        <v>0</v>
      </c>
      <c r="J30" s="11">
        <v>10700</v>
      </c>
      <c r="K30" s="9">
        <f>Water!E37+Water!G37+Water!I37</f>
        <v>102</v>
      </c>
      <c r="L30" s="10">
        <f>Water!K37/TOTAL!K30</f>
        <v>4000</v>
      </c>
      <c r="M30" s="9">
        <f>Electricity!C36</f>
        <v>3</v>
      </c>
      <c r="N30" s="9">
        <f>Electricity!D36</f>
        <v>21</v>
      </c>
    </row>
    <row r="31" spans="1:14">
      <c r="A31" s="6" t="s">
        <v>14</v>
      </c>
      <c r="B31" s="7">
        <v>30</v>
      </c>
      <c r="C31" s="8">
        <v>1</v>
      </c>
      <c r="D31" s="7">
        <v>2022</v>
      </c>
      <c r="E31" s="9">
        <f>Electricity!F37+Electricity!I37</f>
        <v>8300.0000000000691</v>
      </c>
      <c r="F31" s="10">
        <f>Electricity!L37/TOTAL!E31</f>
        <v>1299.6148795180729</v>
      </c>
      <c r="G31" s="9">
        <f>Gas!F38+Gas!I38+Gas!L38+Gas!O38</f>
        <v>26.560000000000073</v>
      </c>
      <c r="H31" s="10">
        <f>Gas!Q38/TOTAL!G31</f>
        <v>15839.999999999998</v>
      </c>
      <c r="I31" s="9">
        <f>'Fuel Diesel'!F38</f>
        <v>0</v>
      </c>
      <c r="J31" s="11">
        <v>10700</v>
      </c>
      <c r="K31" s="9">
        <f>Water!E38+Water!G38+Water!I38</f>
        <v>200</v>
      </c>
      <c r="L31" s="10">
        <f>Water!K38/TOTAL!K31</f>
        <v>4000</v>
      </c>
      <c r="M31" s="9">
        <f>Electricity!C37</f>
        <v>5</v>
      </c>
      <c r="N31" s="9">
        <f>Electricity!D37</f>
        <v>23</v>
      </c>
    </row>
    <row r="32" spans="1:14">
      <c r="A32" s="6" t="s">
        <v>14</v>
      </c>
      <c r="B32" s="7">
        <v>31</v>
      </c>
      <c r="C32" s="8">
        <v>1</v>
      </c>
      <c r="D32" s="7">
        <v>2022</v>
      </c>
      <c r="E32" s="9">
        <f>Electricity!F38+Electricity!I38</f>
        <v>8899.9999999996362</v>
      </c>
      <c r="F32" s="10">
        <f>Electricity!L38/TOTAL!E32</f>
        <v>1301.5885955056224</v>
      </c>
      <c r="G32" s="9">
        <f>Gas!F39+Gas!I39+Gas!L39+Gas!O39</f>
        <v>28.109999999999346</v>
      </c>
      <c r="H32" s="10">
        <f>Gas!Q39/TOTAL!G32</f>
        <v>15839.999999999998</v>
      </c>
      <c r="I32" s="9">
        <f>'Fuel Diesel'!F39</f>
        <v>0</v>
      </c>
      <c r="J32" s="11">
        <v>10700</v>
      </c>
      <c r="K32" s="9">
        <f>Water!E39+Water!G39+Water!I39</f>
        <v>223</v>
      </c>
      <c r="L32" s="10">
        <f>Water!K39/TOTAL!K32</f>
        <v>4000</v>
      </c>
      <c r="M32" s="9">
        <f>Electricity!C38</f>
        <v>10</v>
      </c>
      <c r="N32" s="9">
        <f>Electricity!D38</f>
        <v>37</v>
      </c>
    </row>
    <row r="33" spans="5:14">
      <c r="E33" s="84">
        <f>SUM(E2:E32)</f>
        <v>224860.00000000012</v>
      </c>
      <c r="F33" s="84">
        <f>SUM(F2:F32)/31</f>
        <v>1238.124683737625</v>
      </c>
      <c r="G33" s="84">
        <f>SUM(G2:G32)</f>
        <v>1193.3901600000013</v>
      </c>
      <c r="H33" s="94">
        <f>SUM(H2:H32)/31</f>
        <v>15840</v>
      </c>
      <c r="I33" s="84">
        <f>SUM(I2:I32)</f>
        <v>290</v>
      </c>
      <c r="J33" s="94">
        <f>J26</f>
        <v>10700</v>
      </c>
      <c r="K33" s="84">
        <f>SUM(K2:K32)</f>
        <v>4772</v>
      </c>
      <c r="L33" s="94">
        <f>SUM(L2:L32)/31</f>
        <v>4000</v>
      </c>
      <c r="M33" s="84">
        <f t="shared" ref="M33:N33" si="1">SUM(M2:M32)</f>
        <v>207</v>
      </c>
      <c r="N33" s="84">
        <f t="shared" si="1"/>
        <v>976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A19" workbookViewId="0">
      <selection activeCell="P6" sqref="P6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96" t="s">
        <v>15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12"/>
      <c r="N1" s="12"/>
    </row>
    <row r="2" spans="1:14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97">
        <v>44562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16"/>
    </row>
    <row r="5" spans="1:14">
      <c r="A5" s="17"/>
      <c r="B5" s="95" t="s">
        <v>17</v>
      </c>
      <c r="C5" s="95" t="s">
        <v>18</v>
      </c>
      <c r="D5" s="95" t="s">
        <v>13</v>
      </c>
      <c r="E5" s="98" t="s">
        <v>19</v>
      </c>
      <c r="F5" s="98"/>
      <c r="G5" s="98"/>
      <c r="H5" s="99" t="s">
        <v>20</v>
      </c>
      <c r="I5" s="99"/>
      <c r="J5" s="99"/>
      <c r="K5" s="95" t="s">
        <v>21</v>
      </c>
      <c r="L5" s="95" t="s">
        <v>22</v>
      </c>
      <c r="M5" s="95" t="s">
        <v>23</v>
      </c>
      <c r="N5" s="18"/>
    </row>
    <row r="6" spans="1:14" s="19" customFormat="1">
      <c r="A6" s="17"/>
      <c r="B6" s="95"/>
      <c r="C6" s="95"/>
      <c r="D6" s="95"/>
      <c r="E6" s="95" t="s">
        <v>24</v>
      </c>
      <c r="F6" s="95" t="s">
        <v>25</v>
      </c>
      <c r="G6" s="95" t="s">
        <v>26</v>
      </c>
      <c r="H6" s="95" t="s">
        <v>24</v>
      </c>
      <c r="I6" s="95" t="s">
        <v>25</v>
      </c>
      <c r="J6" s="95" t="s">
        <v>27</v>
      </c>
      <c r="K6" s="95"/>
      <c r="L6" s="95"/>
      <c r="M6" s="95"/>
      <c r="N6" s="18"/>
    </row>
    <row r="7" spans="1:14">
      <c r="A7" s="20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21"/>
    </row>
    <row r="8" spans="1:14">
      <c r="A8" s="20"/>
      <c r="B8" s="22">
        <v>1</v>
      </c>
      <c r="C8" s="23">
        <v>8</v>
      </c>
      <c r="D8" s="23">
        <v>47</v>
      </c>
      <c r="E8" s="24">
        <v>3.2400000000000091</v>
      </c>
      <c r="F8" s="25">
        <f t="shared" ref="F8:F38" si="0">E8*2000</f>
        <v>6480.0000000000182</v>
      </c>
      <c r="G8" s="26">
        <f t="shared" ref="G8:G38" si="1">F8*1035.5</f>
        <v>6710040.0000000186</v>
      </c>
      <c r="H8" s="24">
        <v>0.6400000000000432</v>
      </c>
      <c r="I8" s="25">
        <f t="shared" ref="I8:I38" si="2">H8*2000</f>
        <v>1280.0000000000864</v>
      </c>
      <c r="J8" s="26">
        <f t="shared" ref="J8:J38" si="3">I8*1553.25</f>
        <v>1988160.0000001341</v>
      </c>
      <c r="K8" s="24">
        <f t="shared" ref="K8:K38" si="4">G8+J8</f>
        <v>8698200.0000001527</v>
      </c>
      <c r="L8" s="27">
        <f t="shared" ref="L8:L38" si="5">K8*1.1</f>
        <v>9568020.0000001695</v>
      </c>
      <c r="M8" s="28">
        <f>L8/14381</f>
        <v>665.32369098116749</v>
      </c>
      <c r="N8" s="29"/>
    </row>
    <row r="9" spans="1:14">
      <c r="A9" s="20"/>
      <c r="B9" s="22">
        <v>2</v>
      </c>
      <c r="C9" s="23">
        <v>11</v>
      </c>
      <c r="D9" s="23">
        <v>32</v>
      </c>
      <c r="E9" s="24">
        <v>3.1500000000000909</v>
      </c>
      <c r="F9" s="25">
        <f t="shared" si="0"/>
        <v>6300.0000000001819</v>
      </c>
      <c r="G9" s="26">
        <f t="shared" si="1"/>
        <v>6523650.0000001881</v>
      </c>
      <c r="H9" s="24">
        <v>0.59999999999996589</v>
      </c>
      <c r="I9" s="25">
        <f t="shared" si="2"/>
        <v>1199.9999999999318</v>
      </c>
      <c r="J9" s="26">
        <f t="shared" si="3"/>
        <v>1863899.9999998941</v>
      </c>
      <c r="K9" s="24">
        <f t="shared" si="4"/>
        <v>8387550.000000082</v>
      </c>
      <c r="L9" s="27">
        <f t="shared" si="5"/>
        <v>9226305.0000000913</v>
      </c>
      <c r="M9" s="28">
        <f t="shared" ref="M9:M38" si="6">L9/14381</f>
        <v>641.56213058897788</v>
      </c>
      <c r="N9" s="29"/>
    </row>
    <row r="10" spans="1:14">
      <c r="A10" s="20"/>
      <c r="B10" s="22">
        <v>3</v>
      </c>
      <c r="C10" s="23">
        <v>16</v>
      </c>
      <c r="D10" s="23">
        <v>52</v>
      </c>
      <c r="E10" s="24">
        <v>2.9100000000000819</v>
      </c>
      <c r="F10" s="25">
        <f t="shared" si="0"/>
        <v>5820.0000000001637</v>
      </c>
      <c r="G10" s="26">
        <f t="shared" si="1"/>
        <v>6026610.0000001695</v>
      </c>
      <c r="H10" s="24">
        <v>0.6400000000000432</v>
      </c>
      <c r="I10" s="25">
        <f t="shared" si="2"/>
        <v>1280.0000000000864</v>
      </c>
      <c r="J10" s="26">
        <f t="shared" si="3"/>
        <v>1988160.0000001341</v>
      </c>
      <c r="K10" s="24">
        <f t="shared" si="4"/>
        <v>8014770.0000003036</v>
      </c>
      <c r="L10" s="27">
        <f t="shared" si="5"/>
        <v>8816247.0000003353</v>
      </c>
      <c r="M10" s="28">
        <f t="shared" si="6"/>
        <v>613.04825811837395</v>
      </c>
      <c r="N10" s="29"/>
    </row>
    <row r="11" spans="1:14">
      <c r="A11" s="20"/>
      <c r="B11" s="22">
        <v>4</v>
      </c>
      <c r="C11" s="23">
        <v>13</v>
      </c>
      <c r="D11" s="23">
        <v>67</v>
      </c>
      <c r="E11" s="24">
        <v>3.0499999999999545</v>
      </c>
      <c r="F11" s="25">
        <f t="shared" si="0"/>
        <v>6099.9999999999091</v>
      </c>
      <c r="G11" s="26">
        <f t="shared" si="1"/>
        <v>6316549.9999999059</v>
      </c>
      <c r="H11" s="24">
        <v>0.6199999999999477</v>
      </c>
      <c r="I11" s="25">
        <f t="shared" si="2"/>
        <v>1239.9999999998954</v>
      </c>
      <c r="J11" s="26">
        <f t="shared" si="3"/>
        <v>1926029.9999998375</v>
      </c>
      <c r="K11" s="24">
        <f t="shared" si="4"/>
        <v>8242579.999999743</v>
      </c>
      <c r="L11" s="27">
        <f t="shared" si="5"/>
        <v>9066837.9999997187</v>
      </c>
      <c r="M11" s="28">
        <f t="shared" si="6"/>
        <v>630.47340240593269</v>
      </c>
      <c r="N11" s="29"/>
    </row>
    <row r="12" spans="1:14">
      <c r="A12" s="20"/>
      <c r="B12" s="22">
        <v>5</v>
      </c>
      <c r="C12" s="23">
        <v>15</v>
      </c>
      <c r="D12" s="23">
        <v>80</v>
      </c>
      <c r="E12" s="24">
        <v>3.0999999999999091</v>
      </c>
      <c r="F12" s="25">
        <f t="shared" si="0"/>
        <v>6199.9999999998181</v>
      </c>
      <c r="G12" s="26">
        <f t="shared" si="1"/>
        <v>6420099.9999998119</v>
      </c>
      <c r="H12" s="24">
        <v>0.6400000000000432</v>
      </c>
      <c r="I12" s="25">
        <f t="shared" si="2"/>
        <v>1280.0000000000864</v>
      </c>
      <c r="J12" s="26">
        <f t="shared" si="3"/>
        <v>1988160.0000001341</v>
      </c>
      <c r="K12" s="24">
        <f t="shared" si="4"/>
        <v>8408259.999999946</v>
      </c>
      <c r="L12" s="27">
        <f t="shared" si="5"/>
        <v>9249085.9999999423</v>
      </c>
      <c r="M12" s="28">
        <f t="shared" si="6"/>
        <v>643.14623461511314</v>
      </c>
      <c r="N12" s="29"/>
    </row>
    <row r="13" spans="1:14">
      <c r="A13" s="20"/>
      <c r="B13" s="22">
        <v>6</v>
      </c>
      <c r="C13" s="23">
        <v>11</v>
      </c>
      <c r="D13" s="23">
        <v>51</v>
      </c>
      <c r="E13" s="24">
        <v>3.1000000000001364</v>
      </c>
      <c r="F13" s="25">
        <f t="shared" si="0"/>
        <v>6200.0000000002728</v>
      </c>
      <c r="G13" s="26">
        <f t="shared" si="1"/>
        <v>6420100.0000002822</v>
      </c>
      <c r="H13" s="24">
        <v>0.59999999999996589</v>
      </c>
      <c r="I13" s="25">
        <f t="shared" si="2"/>
        <v>1199.9999999999318</v>
      </c>
      <c r="J13" s="26">
        <f t="shared" si="3"/>
        <v>1863899.9999998941</v>
      </c>
      <c r="K13" s="24">
        <f t="shared" si="4"/>
        <v>8284000.000000176</v>
      </c>
      <c r="L13" s="27">
        <f t="shared" si="5"/>
        <v>9112400.0000001937</v>
      </c>
      <c r="M13" s="28">
        <f t="shared" si="6"/>
        <v>633.64161045825699</v>
      </c>
      <c r="N13" s="29"/>
    </row>
    <row r="14" spans="1:14">
      <c r="A14" s="20"/>
      <c r="B14" s="22">
        <v>7</v>
      </c>
      <c r="C14" s="23">
        <v>9</v>
      </c>
      <c r="D14" s="23">
        <v>42</v>
      </c>
      <c r="E14" s="24">
        <v>3.1599999999998545</v>
      </c>
      <c r="F14" s="25">
        <f t="shared" si="0"/>
        <v>6319.999999999709</v>
      </c>
      <c r="G14" s="26">
        <f t="shared" si="1"/>
        <v>6544359.9999996983</v>
      </c>
      <c r="H14" s="24">
        <v>0.66000000000002501</v>
      </c>
      <c r="I14" s="25">
        <f t="shared" si="2"/>
        <v>1320.00000000005</v>
      </c>
      <c r="J14" s="26">
        <f t="shared" si="3"/>
        <v>2050290.0000000778</v>
      </c>
      <c r="K14" s="24">
        <f t="shared" si="4"/>
        <v>8594649.9999997765</v>
      </c>
      <c r="L14" s="27">
        <f t="shared" si="5"/>
        <v>9454114.9999997541</v>
      </c>
      <c r="M14" s="28">
        <f t="shared" si="6"/>
        <v>657.40317085041056</v>
      </c>
      <c r="N14" s="29"/>
    </row>
    <row r="15" spans="1:14">
      <c r="A15" s="20"/>
      <c r="B15" s="22">
        <v>8</v>
      </c>
      <c r="C15" s="23">
        <v>6</v>
      </c>
      <c r="D15" s="23">
        <v>35</v>
      </c>
      <c r="E15" s="24">
        <v>3.2100000000000364</v>
      </c>
      <c r="F15" s="25">
        <f t="shared" si="0"/>
        <v>6420.0000000000728</v>
      </c>
      <c r="G15" s="26">
        <f t="shared" si="1"/>
        <v>6647910.0000000754</v>
      </c>
      <c r="H15" s="24">
        <v>0.64999999999997726</v>
      </c>
      <c r="I15" s="25">
        <f t="shared" si="2"/>
        <v>1299.9999999999545</v>
      </c>
      <c r="J15" s="26">
        <f t="shared" si="3"/>
        <v>2019224.9999999295</v>
      </c>
      <c r="K15" s="24">
        <f t="shared" si="4"/>
        <v>8667135.0000000056</v>
      </c>
      <c r="L15" s="27">
        <f t="shared" si="5"/>
        <v>9533848.5000000075</v>
      </c>
      <c r="M15" s="28">
        <f t="shared" si="6"/>
        <v>662.94753494193776</v>
      </c>
      <c r="N15" s="29"/>
    </row>
    <row r="16" spans="1:14">
      <c r="A16" s="20"/>
      <c r="B16" s="22">
        <v>9</v>
      </c>
      <c r="C16" s="23">
        <v>8</v>
      </c>
      <c r="D16" s="23">
        <v>50</v>
      </c>
      <c r="E16" s="24">
        <v>3.1900000000000546</v>
      </c>
      <c r="F16" s="25">
        <f t="shared" si="0"/>
        <v>6380.0000000001091</v>
      </c>
      <c r="G16" s="26">
        <f t="shared" si="1"/>
        <v>6606490.0000001127</v>
      </c>
      <c r="H16" s="24">
        <v>0.65000000000003411</v>
      </c>
      <c r="I16" s="25">
        <f t="shared" si="2"/>
        <v>1300.0000000000682</v>
      </c>
      <c r="J16" s="26">
        <f t="shared" si="3"/>
        <v>2019225.0000001059</v>
      </c>
      <c r="K16" s="24">
        <f t="shared" si="4"/>
        <v>8625715.0000002179</v>
      </c>
      <c r="L16" s="27">
        <f t="shared" si="5"/>
        <v>9488286.5000002403</v>
      </c>
      <c r="M16" s="28">
        <f t="shared" si="6"/>
        <v>659.7793268896628</v>
      </c>
      <c r="N16" s="29"/>
    </row>
    <row r="17" spans="1:14">
      <c r="A17" s="20"/>
      <c r="B17" s="22">
        <v>10</v>
      </c>
      <c r="C17" s="23">
        <v>7</v>
      </c>
      <c r="D17" s="23">
        <v>31</v>
      </c>
      <c r="E17" s="24">
        <v>3.0799999999999272</v>
      </c>
      <c r="F17" s="25">
        <f t="shared" si="0"/>
        <v>6159.9999999998545</v>
      </c>
      <c r="G17" s="26">
        <f t="shared" si="1"/>
        <v>6378679.9999998491</v>
      </c>
      <c r="H17" s="24">
        <v>0.62000000000000455</v>
      </c>
      <c r="I17" s="25">
        <f t="shared" si="2"/>
        <v>1240.0000000000091</v>
      </c>
      <c r="J17" s="26">
        <f t="shared" si="3"/>
        <v>1926030.0000000142</v>
      </c>
      <c r="K17" s="24">
        <f t="shared" si="4"/>
        <v>8304709.9999998631</v>
      </c>
      <c r="L17" s="27">
        <f t="shared" si="5"/>
        <v>9135180.999999851</v>
      </c>
      <c r="M17" s="28">
        <f t="shared" si="6"/>
        <v>635.22571448437873</v>
      </c>
      <c r="N17" s="29"/>
    </row>
    <row r="18" spans="1:14">
      <c r="A18" s="20"/>
      <c r="B18" s="22">
        <v>11</v>
      </c>
      <c r="C18" s="23">
        <v>6</v>
      </c>
      <c r="D18" s="23">
        <v>28</v>
      </c>
      <c r="E18" s="24">
        <v>3.0099999999999909</v>
      </c>
      <c r="F18" s="25">
        <f t="shared" si="0"/>
        <v>6019.9999999999818</v>
      </c>
      <c r="G18" s="26">
        <f t="shared" si="1"/>
        <v>6233709.9999999814</v>
      </c>
      <c r="H18" s="24">
        <v>0.58999999999997499</v>
      </c>
      <c r="I18" s="25">
        <f t="shared" si="2"/>
        <v>1179.99999999995</v>
      </c>
      <c r="J18" s="26">
        <f t="shared" si="3"/>
        <v>1832834.9999999222</v>
      </c>
      <c r="K18" s="24">
        <f t="shared" si="4"/>
        <v>8066544.9999999031</v>
      </c>
      <c r="L18" s="27">
        <f t="shared" si="5"/>
        <v>8873199.4999998938</v>
      </c>
      <c r="M18" s="28">
        <f t="shared" si="6"/>
        <v>617.00851818370722</v>
      </c>
      <c r="N18" s="29"/>
    </row>
    <row r="19" spans="1:14">
      <c r="A19" s="20"/>
      <c r="B19" s="22">
        <v>12</v>
      </c>
      <c r="C19" s="23">
        <v>3</v>
      </c>
      <c r="D19" s="23">
        <v>19</v>
      </c>
      <c r="E19" s="24">
        <v>2.9500000000000455</v>
      </c>
      <c r="F19" s="25">
        <f t="shared" si="0"/>
        <v>5900.0000000000909</v>
      </c>
      <c r="G19" s="26">
        <f t="shared" si="1"/>
        <v>6109450.0000000941</v>
      </c>
      <c r="H19" s="24">
        <v>0.55000000000001137</v>
      </c>
      <c r="I19" s="25">
        <f t="shared" si="2"/>
        <v>1100.0000000000227</v>
      </c>
      <c r="J19" s="26">
        <f t="shared" si="3"/>
        <v>1708575.0000000354</v>
      </c>
      <c r="K19" s="24">
        <f t="shared" si="4"/>
        <v>7818025.0000001295</v>
      </c>
      <c r="L19" s="27">
        <f t="shared" si="5"/>
        <v>8599827.5000001434</v>
      </c>
      <c r="M19" s="28">
        <f t="shared" si="6"/>
        <v>597.9992698699773</v>
      </c>
      <c r="N19" s="29"/>
    </row>
    <row r="20" spans="1:14">
      <c r="A20" s="20"/>
      <c r="B20" s="22">
        <v>13</v>
      </c>
      <c r="C20" s="23">
        <v>5</v>
      </c>
      <c r="D20" s="23">
        <v>18</v>
      </c>
      <c r="E20" s="24">
        <v>2.7999999999999545</v>
      </c>
      <c r="F20" s="25">
        <f t="shared" si="0"/>
        <v>5599.9999999999091</v>
      </c>
      <c r="G20" s="26">
        <f t="shared" si="1"/>
        <v>5798799.9999999059</v>
      </c>
      <c r="H20" s="24">
        <v>0.57999999999998408</v>
      </c>
      <c r="I20" s="25">
        <f t="shared" si="2"/>
        <v>1159.9999999999682</v>
      </c>
      <c r="J20" s="26">
        <f t="shared" si="3"/>
        <v>1801769.9999999506</v>
      </c>
      <c r="K20" s="24">
        <f t="shared" si="4"/>
        <v>7600569.9999998566</v>
      </c>
      <c r="L20" s="27">
        <f t="shared" si="5"/>
        <v>8360626.9999998426</v>
      </c>
      <c r="M20" s="28">
        <f t="shared" si="6"/>
        <v>581.36617759542753</v>
      </c>
      <c r="N20" s="29"/>
    </row>
    <row r="21" spans="1:14">
      <c r="A21" s="20"/>
      <c r="B21" s="22">
        <v>14</v>
      </c>
      <c r="C21" s="23">
        <v>5</v>
      </c>
      <c r="D21" s="23">
        <v>32</v>
      </c>
      <c r="E21" s="24">
        <v>3.1500000000000909</v>
      </c>
      <c r="F21" s="25">
        <f t="shared" si="0"/>
        <v>6300.0000000001819</v>
      </c>
      <c r="G21" s="26">
        <f t="shared" si="1"/>
        <v>6523650.0000001881</v>
      </c>
      <c r="H21" s="24">
        <v>0.60000000000002274</v>
      </c>
      <c r="I21" s="25">
        <f t="shared" si="2"/>
        <v>1200.0000000000455</v>
      </c>
      <c r="J21" s="26">
        <f t="shared" si="3"/>
        <v>1863900.0000000705</v>
      </c>
      <c r="K21" s="24">
        <f t="shared" si="4"/>
        <v>8387550.0000002589</v>
      </c>
      <c r="L21" s="27">
        <f t="shared" si="5"/>
        <v>9226305.000000285</v>
      </c>
      <c r="M21" s="28">
        <f t="shared" si="6"/>
        <v>641.56213058899141</v>
      </c>
      <c r="N21" s="29"/>
    </row>
    <row r="22" spans="1:14">
      <c r="A22" s="20"/>
      <c r="B22" s="22">
        <v>15</v>
      </c>
      <c r="C22" s="23">
        <v>5</v>
      </c>
      <c r="D22" s="23">
        <v>16</v>
      </c>
      <c r="E22" s="24">
        <v>3.0099999999999909</v>
      </c>
      <c r="F22" s="25">
        <f t="shared" si="0"/>
        <v>6019.9999999999818</v>
      </c>
      <c r="G22" s="26">
        <f t="shared" si="1"/>
        <v>6233709.9999999814</v>
      </c>
      <c r="H22" s="24">
        <v>0.57999999999998408</v>
      </c>
      <c r="I22" s="25">
        <f t="shared" si="2"/>
        <v>1159.9999999999682</v>
      </c>
      <c r="J22" s="26">
        <f t="shared" si="3"/>
        <v>1801769.9999999506</v>
      </c>
      <c r="K22" s="24">
        <f t="shared" si="4"/>
        <v>8035479.999999932</v>
      </c>
      <c r="L22" s="27">
        <f t="shared" si="5"/>
        <v>8839027.9999999255</v>
      </c>
      <c r="M22" s="28">
        <f t="shared" si="6"/>
        <v>614.63236214449103</v>
      </c>
      <c r="N22" s="29"/>
    </row>
    <row r="23" spans="1:14">
      <c r="A23" s="20"/>
      <c r="B23" s="22">
        <v>16</v>
      </c>
      <c r="C23" s="23">
        <v>2</v>
      </c>
      <c r="D23" s="23">
        <v>20</v>
      </c>
      <c r="E23" s="24">
        <v>3.0199999999999818</v>
      </c>
      <c r="F23" s="25">
        <f t="shared" si="0"/>
        <v>6039.9999999999636</v>
      </c>
      <c r="G23" s="26">
        <f t="shared" si="1"/>
        <v>6254419.9999999627</v>
      </c>
      <c r="H23" s="24">
        <v>0.56999999999999318</v>
      </c>
      <c r="I23" s="25">
        <f t="shared" si="2"/>
        <v>1139.9999999999864</v>
      </c>
      <c r="J23" s="26">
        <f t="shared" si="3"/>
        <v>1770704.9999999788</v>
      </c>
      <c r="K23" s="24">
        <f t="shared" si="4"/>
        <v>8025124.9999999413</v>
      </c>
      <c r="L23" s="27">
        <f t="shared" si="5"/>
        <v>8827637.4999999367</v>
      </c>
      <c r="M23" s="28">
        <f t="shared" si="6"/>
        <v>613.84031013141896</v>
      </c>
      <c r="N23" s="29"/>
    </row>
    <row r="24" spans="1:14">
      <c r="A24" s="20"/>
      <c r="B24" s="22">
        <v>17</v>
      </c>
      <c r="C24" s="23">
        <v>2</v>
      </c>
      <c r="D24" s="23">
        <v>14</v>
      </c>
      <c r="E24" s="24">
        <v>2.7200000000000273</v>
      </c>
      <c r="F24" s="25">
        <f t="shared" si="0"/>
        <v>5440.0000000000546</v>
      </c>
      <c r="G24" s="26">
        <f t="shared" si="1"/>
        <v>5633120.0000000568</v>
      </c>
      <c r="H24" s="24">
        <v>0.54000000000002046</v>
      </c>
      <c r="I24" s="25">
        <f t="shared" si="2"/>
        <v>1080.0000000000409</v>
      </c>
      <c r="J24" s="26">
        <f t="shared" si="3"/>
        <v>1677510.0000000636</v>
      </c>
      <c r="K24" s="24">
        <f t="shared" si="4"/>
        <v>7310630.0000001201</v>
      </c>
      <c r="L24" s="27">
        <f t="shared" si="5"/>
        <v>8041693.0000001332</v>
      </c>
      <c r="M24" s="28">
        <f t="shared" si="6"/>
        <v>559.18872122940911</v>
      </c>
      <c r="N24" s="29"/>
    </row>
    <row r="25" spans="1:14">
      <c r="A25" s="20"/>
      <c r="B25" s="22">
        <v>18</v>
      </c>
      <c r="C25" s="23">
        <v>1</v>
      </c>
      <c r="D25" s="23">
        <v>14</v>
      </c>
      <c r="E25" s="24">
        <v>2.6399999999998727</v>
      </c>
      <c r="F25" s="25">
        <f t="shared" si="0"/>
        <v>5279.9999999997453</v>
      </c>
      <c r="G25" s="26">
        <f t="shared" si="1"/>
        <v>5467439.9999997364</v>
      </c>
      <c r="H25" s="24">
        <v>0.51999999999998181</v>
      </c>
      <c r="I25" s="25">
        <f t="shared" si="2"/>
        <v>1039.9999999999636</v>
      </c>
      <c r="J25" s="26">
        <f t="shared" si="3"/>
        <v>1615379.9999999434</v>
      </c>
      <c r="K25" s="24">
        <f t="shared" si="4"/>
        <v>7082819.9999996796</v>
      </c>
      <c r="L25" s="27">
        <f t="shared" si="5"/>
        <v>7791101.999999648</v>
      </c>
      <c r="M25" s="28">
        <f t="shared" si="6"/>
        <v>541.76357694177375</v>
      </c>
      <c r="N25" s="29"/>
    </row>
    <row r="26" spans="1:14">
      <c r="A26" s="20"/>
      <c r="B26" s="22">
        <v>19</v>
      </c>
      <c r="C26" s="23">
        <v>2</v>
      </c>
      <c r="D26" s="23">
        <v>5</v>
      </c>
      <c r="E26" s="24">
        <v>2.6700000000000728</v>
      </c>
      <c r="F26" s="25">
        <f t="shared" si="0"/>
        <v>5340.0000000001455</v>
      </c>
      <c r="G26" s="26">
        <f t="shared" si="1"/>
        <v>5529570.0000001509</v>
      </c>
      <c r="H26" s="24">
        <v>0.5</v>
      </c>
      <c r="I26" s="25">
        <f t="shared" si="2"/>
        <v>1000</v>
      </c>
      <c r="J26" s="26">
        <f t="shared" si="3"/>
        <v>1553250</v>
      </c>
      <c r="K26" s="24">
        <f t="shared" si="4"/>
        <v>7082820.0000001509</v>
      </c>
      <c r="L26" s="27">
        <f t="shared" si="5"/>
        <v>7791102.0000001667</v>
      </c>
      <c r="M26" s="28">
        <f t="shared" si="6"/>
        <v>541.76357694180979</v>
      </c>
      <c r="N26" s="29"/>
    </row>
    <row r="27" spans="1:14">
      <c r="A27" s="20"/>
      <c r="B27" s="22">
        <v>20</v>
      </c>
      <c r="C27" s="23">
        <v>4</v>
      </c>
      <c r="D27" s="23">
        <v>14</v>
      </c>
      <c r="E27" s="24">
        <v>2.6500000000000909</v>
      </c>
      <c r="F27" s="25">
        <f t="shared" si="0"/>
        <v>5300.0000000001819</v>
      </c>
      <c r="G27" s="26">
        <f t="shared" si="1"/>
        <v>5488150.0000001881</v>
      </c>
      <c r="H27" s="24">
        <v>0.51999999999998181</v>
      </c>
      <c r="I27" s="25">
        <f t="shared" si="2"/>
        <v>1039.9999999999636</v>
      </c>
      <c r="J27" s="26">
        <f t="shared" si="3"/>
        <v>1615379.9999999434</v>
      </c>
      <c r="K27" s="24">
        <f t="shared" si="4"/>
        <v>7103530.0000001313</v>
      </c>
      <c r="L27" s="27">
        <f t="shared" si="5"/>
        <v>7813883.0000001453</v>
      </c>
      <c r="M27" s="28">
        <f t="shared" si="6"/>
        <v>543.34768096795392</v>
      </c>
      <c r="N27" s="29"/>
    </row>
    <row r="28" spans="1:14">
      <c r="A28" s="20"/>
      <c r="B28" s="22">
        <v>21</v>
      </c>
      <c r="C28" s="23">
        <v>8</v>
      </c>
      <c r="D28" s="23">
        <v>29</v>
      </c>
      <c r="E28" s="24">
        <v>2.7999999999999545</v>
      </c>
      <c r="F28" s="25">
        <f t="shared" si="0"/>
        <v>5599.9999999999091</v>
      </c>
      <c r="G28" s="26">
        <f t="shared" si="1"/>
        <v>5798799.9999999059</v>
      </c>
      <c r="H28" s="24">
        <v>0.60000000000002274</v>
      </c>
      <c r="I28" s="25">
        <f t="shared" si="2"/>
        <v>1200.0000000000455</v>
      </c>
      <c r="J28" s="26">
        <f t="shared" si="3"/>
        <v>1863900.0000000705</v>
      </c>
      <c r="K28" s="24">
        <f t="shared" si="4"/>
        <v>7662699.9999999767</v>
      </c>
      <c r="L28" s="27">
        <f t="shared" si="5"/>
        <v>8428969.9999999758</v>
      </c>
      <c r="M28" s="28">
        <f t="shared" si="6"/>
        <v>586.11848967387357</v>
      </c>
      <c r="N28" s="29"/>
    </row>
    <row r="29" spans="1:14">
      <c r="A29" s="20"/>
      <c r="B29" s="22">
        <v>22</v>
      </c>
      <c r="C29" s="23">
        <v>8</v>
      </c>
      <c r="D29" s="23">
        <v>44</v>
      </c>
      <c r="E29" s="24">
        <v>2.9100000000000819</v>
      </c>
      <c r="F29" s="25">
        <f t="shared" si="0"/>
        <v>5820.0000000001637</v>
      </c>
      <c r="G29" s="26">
        <f t="shared" si="1"/>
        <v>6026610.0000001695</v>
      </c>
      <c r="H29" s="24">
        <v>0.56999999999999318</v>
      </c>
      <c r="I29" s="25">
        <f t="shared" si="2"/>
        <v>1139.9999999999864</v>
      </c>
      <c r="J29" s="26">
        <f t="shared" si="3"/>
        <v>1770704.9999999788</v>
      </c>
      <c r="K29" s="24">
        <f t="shared" si="4"/>
        <v>7797315.0000001481</v>
      </c>
      <c r="L29" s="27">
        <f t="shared" si="5"/>
        <v>8577046.5000001639</v>
      </c>
      <c r="M29" s="28">
        <f t="shared" si="6"/>
        <v>596.41516584383305</v>
      </c>
      <c r="N29" s="29"/>
    </row>
    <row r="30" spans="1:14">
      <c r="A30" s="20"/>
      <c r="B30" s="22">
        <v>23</v>
      </c>
      <c r="C30" s="23">
        <v>6</v>
      </c>
      <c r="D30" s="23">
        <v>35</v>
      </c>
      <c r="E30" s="24">
        <v>3.0499999999999545</v>
      </c>
      <c r="F30" s="25">
        <f t="shared" si="0"/>
        <v>6099.9999999999091</v>
      </c>
      <c r="G30" s="26">
        <f t="shared" si="1"/>
        <v>6316549.9999999059</v>
      </c>
      <c r="H30" s="24">
        <v>0.62000000000000455</v>
      </c>
      <c r="I30" s="25">
        <f t="shared" si="2"/>
        <v>1240.0000000000091</v>
      </c>
      <c r="J30" s="26">
        <f t="shared" si="3"/>
        <v>1926030.0000000142</v>
      </c>
      <c r="K30" s="24">
        <f t="shared" si="4"/>
        <v>8242579.9999999199</v>
      </c>
      <c r="L30" s="27">
        <f t="shared" si="5"/>
        <v>9066837.9999999125</v>
      </c>
      <c r="M30" s="28">
        <f t="shared" si="6"/>
        <v>630.47340240594622</v>
      </c>
      <c r="N30" s="29"/>
    </row>
    <row r="31" spans="1:14">
      <c r="A31" s="20"/>
      <c r="B31" s="22">
        <v>24</v>
      </c>
      <c r="C31" s="23">
        <v>9</v>
      </c>
      <c r="D31" s="23">
        <v>22</v>
      </c>
      <c r="E31" s="24">
        <v>3.0799999999999272</v>
      </c>
      <c r="F31" s="25">
        <f t="shared" si="0"/>
        <v>6159.9999999998545</v>
      </c>
      <c r="G31" s="26">
        <f t="shared" si="1"/>
        <v>6378679.9999998491</v>
      </c>
      <c r="H31" s="24">
        <v>0.62999999999999545</v>
      </c>
      <c r="I31" s="25">
        <f t="shared" si="2"/>
        <v>1259.9999999999909</v>
      </c>
      <c r="J31" s="26">
        <f t="shared" si="3"/>
        <v>1957094.9999999858</v>
      </c>
      <c r="K31" s="24">
        <f t="shared" si="4"/>
        <v>8335774.9999998352</v>
      </c>
      <c r="L31" s="27">
        <f t="shared" si="5"/>
        <v>9169352.4999998193</v>
      </c>
      <c r="M31" s="28">
        <f t="shared" si="6"/>
        <v>637.60187052359493</v>
      </c>
      <c r="N31" s="29"/>
    </row>
    <row r="32" spans="1:14">
      <c r="A32" s="20"/>
      <c r="B32" s="22">
        <v>25</v>
      </c>
      <c r="C32" s="23">
        <v>7</v>
      </c>
      <c r="D32" s="23">
        <v>37</v>
      </c>
      <c r="E32" s="24">
        <v>3.0899999999999181</v>
      </c>
      <c r="F32" s="25">
        <f t="shared" si="0"/>
        <v>6179.9999999998363</v>
      </c>
      <c r="G32" s="26">
        <f t="shared" si="1"/>
        <v>6399389.9999998305</v>
      </c>
      <c r="H32" s="24">
        <v>0.66000000000002501</v>
      </c>
      <c r="I32" s="25">
        <f t="shared" si="2"/>
        <v>1320.00000000005</v>
      </c>
      <c r="J32" s="26">
        <f t="shared" si="3"/>
        <v>2050290.0000000778</v>
      </c>
      <c r="K32" s="24">
        <f t="shared" si="4"/>
        <v>8449679.9999999087</v>
      </c>
      <c r="L32" s="27">
        <f t="shared" si="5"/>
        <v>9294647.9999999013</v>
      </c>
      <c r="M32" s="28">
        <f t="shared" si="6"/>
        <v>646.31444266740152</v>
      </c>
      <c r="N32" s="29"/>
    </row>
    <row r="33" spans="1:16">
      <c r="A33" s="20"/>
      <c r="B33" s="22">
        <v>26</v>
      </c>
      <c r="C33" s="23">
        <v>3</v>
      </c>
      <c r="D33" s="23">
        <v>29</v>
      </c>
      <c r="E33" s="24">
        <v>3.2200000000000273</v>
      </c>
      <c r="F33" s="25">
        <f t="shared" si="0"/>
        <v>6440.0000000000546</v>
      </c>
      <c r="G33" s="26">
        <f t="shared" si="1"/>
        <v>6668620.0000000568</v>
      </c>
      <c r="H33" s="24">
        <v>0.6099999999999568</v>
      </c>
      <c r="I33" s="25">
        <f t="shared" si="2"/>
        <v>1219.9999999999136</v>
      </c>
      <c r="J33" s="26">
        <f t="shared" si="3"/>
        <v>1894964.9999998659</v>
      </c>
      <c r="K33" s="24">
        <f t="shared" si="4"/>
        <v>8563584.9999999218</v>
      </c>
      <c r="L33" s="27">
        <f t="shared" si="5"/>
        <v>9419943.4999999143</v>
      </c>
      <c r="M33" s="28">
        <f t="shared" si="6"/>
        <v>655.02701481120323</v>
      </c>
      <c r="N33" s="29"/>
    </row>
    <row r="34" spans="1:16">
      <c r="A34" s="20"/>
      <c r="B34" s="22">
        <v>27</v>
      </c>
      <c r="C34" s="23">
        <v>4</v>
      </c>
      <c r="D34" s="23">
        <v>13</v>
      </c>
      <c r="E34" s="24">
        <v>2.7999999999999545</v>
      </c>
      <c r="F34" s="25">
        <f t="shared" si="0"/>
        <v>5599.9999999999091</v>
      </c>
      <c r="G34" s="26">
        <f t="shared" si="1"/>
        <v>5798799.9999999059</v>
      </c>
      <c r="H34" s="24">
        <v>0.58000000000004093</v>
      </c>
      <c r="I34" s="25">
        <f t="shared" si="2"/>
        <v>1160.0000000000819</v>
      </c>
      <c r="J34" s="26">
        <f t="shared" si="3"/>
        <v>1801770.0000001271</v>
      </c>
      <c r="K34" s="24">
        <f t="shared" si="4"/>
        <v>7600570.0000000335</v>
      </c>
      <c r="L34" s="27">
        <f t="shared" si="5"/>
        <v>8360627.0000000373</v>
      </c>
      <c r="M34" s="28">
        <f t="shared" si="6"/>
        <v>581.36617759544106</v>
      </c>
      <c r="N34" s="29"/>
    </row>
    <row r="35" spans="1:16">
      <c r="A35" s="20"/>
      <c r="B35" s="22">
        <v>28</v>
      </c>
      <c r="C35" s="23">
        <v>5</v>
      </c>
      <c r="D35" s="23">
        <v>19</v>
      </c>
      <c r="E35" s="24">
        <v>3</v>
      </c>
      <c r="F35" s="25">
        <f t="shared" si="0"/>
        <v>6000</v>
      </c>
      <c r="G35" s="26">
        <f t="shared" si="1"/>
        <v>6213000</v>
      </c>
      <c r="H35" s="24">
        <v>0.57999999999998408</v>
      </c>
      <c r="I35" s="25">
        <f t="shared" si="2"/>
        <v>1159.9999999999682</v>
      </c>
      <c r="J35" s="26">
        <f t="shared" si="3"/>
        <v>1801769.9999999506</v>
      </c>
      <c r="K35" s="24">
        <f t="shared" si="4"/>
        <v>8014769.9999999506</v>
      </c>
      <c r="L35" s="27">
        <f t="shared" si="5"/>
        <v>8816246.999999946</v>
      </c>
      <c r="M35" s="28">
        <f t="shared" si="6"/>
        <v>613.04825811834689</v>
      </c>
      <c r="N35" s="29"/>
    </row>
    <row r="36" spans="1:16">
      <c r="A36" s="20"/>
      <c r="B36" s="22">
        <v>29</v>
      </c>
      <c r="C36" s="23">
        <v>3</v>
      </c>
      <c r="D36" s="23">
        <v>21</v>
      </c>
      <c r="E36" s="24">
        <v>2.790000000000191</v>
      </c>
      <c r="F36" s="25">
        <f t="shared" si="0"/>
        <v>5580.000000000382</v>
      </c>
      <c r="G36" s="26">
        <f t="shared" si="1"/>
        <v>5778090.0000003958</v>
      </c>
      <c r="H36" s="24">
        <v>0.56000000000000227</v>
      </c>
      <c r="I36" s="25">
        <f t="shared" si="2"/>
        <v>1120.0000000000045</v>
      </c>
      <c r="J36" s="26">
        <f t="shared" si="3"/>
        <v>1739640.000000007</v>
      </c>
      <c r="K36" s="24">
        <f t="shared" si="4"/>
        <v>7517730.0000004023</v>
      </c>
      <c r="L36" s="27">
        <f t="shared" si="5"/>
        <v>8269503.0000004433</v>
      </c>
      <c r="M36" s="28">
        <f t="shared" si="6"/>
        <v>575.02976149088681</v>
      </c>
      <c r="N36" s="29"/>
    </row>
    <row r="37" spans="1:16">
      <c r="A37" s="20"/>
      <c r="B37" s="22">
        <v>30</v>
      </c>
      <c r="C37" s="23">
        <v>5</v>
      </c>
      <c r="D37" s="23">
        <v>23</v>
      </c>
      <c r="E37" s="24">
        <v>2.9800000000000182</v>
      </c>
      <c r="F37" s="25">
        <f t="shared" si="0"/>
        <v>5960.0000000000364</v>
      </c>
      <c r="G37" s="26">
        <f>F37*1035.5</f>
        <v>6171580.0000000373</v>
      </c>
      <c r="H37" s="24">
        <v>1.1700000000000159</v>
      </c>
      <c r="I37" s="25">
        <f t="shared" si="2"/>
        <v>2340.0000000000318</v>
      </c>
      <c r="J37" s="26">
        <f t="shared" si="3"/>
        <v>3634605.0000000494</v>
      </c>
      <c r="K37" s="24">
        <f t="shared" si="4"/>
        <v>9806185.0000000857</v>
      </c>
      <c r="L37" s="27">
        <f t="shared" si="5"/>
        <v>10786803.500000095</v>
      </c>
      <c r="M37" s="28">
        <f t="shared" si="6"/>
        <v>750.07325637995234</v>
      </c>
      <c r="N37" s="29"/>
    </row>
    <row r="38" spans="1:16">
      <c r="A38" s="20"/>
      <c r="B38" s="22">
        <v>31</v>
      </c>
      <c r="C38" s="23">
        <v>10</v>
      </c>
      <c r="D38" s="23">
        <v>37</v>
      </c>
      <c r="E38" s="24">
        <v>3.1799999999998363</v>
      </c>
      <c r="F38" s="25">
        <f t="shared" si="0"/>
        <v>6359.9999999996726</v>
      </c>
      <c r="G38" s="26">
        <f t="shared" si="1"/>
        <v>6585779.999999661</v>
      </c>
      <c r="H38" s="24">
        <v>1.2699999999999818</v>
      </c>
      <c r="I38" s="25">
        <f t="shared" si="2"/>
        <v>2539.9999999999636</v>
      </c>
      <c r="J38" s="26">
        <f t="shared" si="3"/>
        <v>3945254.9999999437</v>
      </c>
      <c r="K38" s="24">
        <f t="shared" si="4"/>
        <v>10531034.999999605</v>
      </c>
      <c r="L38" s="27">
        <f t="shared" si="5"/>
        <v>11584138.499999566</v>
      </c>
      <c r="M38" s="28">
        <f t="shared" si="6"/>
        <v>805.51689729501186</v>
      </c>
      <c r="N38" s="29"/>
    </row>
    <row r="39" spans="1:16">
      <c r="C39" s="30">
        <f>SUM(C8:C38)</f>
        <v>207</v>
      </c>
      <c r="D39" s="30">
        <f>SUM(D8:D38)</f>
        <v>976</v>
      </c>
      <c r="E39" s="31">
        <v>3.2799999999999727</v>
      </c>
      <c r="F39" s="30">
        <f>SUM(F8:F38)</f>
        <v>185420.00000000003</v>
      </c>
      <c r="I39" s="30">
        <f>SUM(I8:I38)</f>
        <v>39440.000000000051</v>
      </c>
      <c r="L39" s="32">
        <f>SUM(L8:L38)</f>
        <v>278588849.00000018</v>
      </c>
      <c r="M39" s="33">
        <f>SUM(M8:M38)</f>
        <v>19372.008135734672</v>
      </c>
      <c r="N39" s="34"/>
      <c r="P39" s="35"/>
    </row>
    <row r="41" spans="1:16">
      <c r="G41" s="87" t="s">
        <v>28</v>
      </c>
      <c r="H41" s="88"/>
      <c r="I41" s="89">
        <f>F39+I39</f>
        <v>224860.00000000009</v>
      </c>
      <c r="M41" s="36"/>
      <c r="P41" s="37"/>
    </row>
    <row r="42" spans="1:16">
      <c r="M42" s="38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I44" sqref="I44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96" t="s">
        <v>29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1:21" ht="15.75">
      <c r="B2" s="96" t="s">
        <v>16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0">
        <v>44562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6"/>
    </row>
    <row r="5" spans="1:21">
      <c r="A5" s="17"/>
      <c r="B5" s="95" t="s">
        <v>17</v>
      </c>
      <c r="C5" s="95" t="s">
        <v>18</v>
      </c>
      <c r="D5" s="95" t="s">
        <v>13</v>
      </c>
      <c r="E5" s="101" t="s">
        <v>30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2" t="s">
        <v>31</v>
      </c>
      <c r="R5" s="102"/>
      <c r="S5" s="18"/>
    </row>
    <row r="6" spans="1:21" s="19" customFormat="1">
      <c r="A6" s="17"/>
      <c r="B6" s="95"/>
      <c r="C6" s="95"/>
      <c r="D6" s="95"/>
      <c r="E6" s="101" t="s">
        <v>32</v>
      </c>
      <c r="F6" s="101"/>
      <c r="G6" s="101"/>
      <c r="H6" s="101" t="s">
        <v>33</v>
      </c>
      <c r="I6" s="101"/>
      <c r="J6" s="101"/>
      <c r="K6" s="101" t="s">
        <v>34</v>
      </c>
      <c r="L6" s="101"/>
      <c r="M6" s="101"/>
      <c r="N6" s="103" t="s">
        <v>35</v>
      </c>
      <c r="O6" s="103"/>
      <c r="P6" s="103"/>
      <c r="Q6" s="102"/>
      <c r="R6" s="102"/>
      <c r="S6" s="18"/>
    </row>
    <row r="7" spans="1:21" ht="22.5">
      <c r="A7" s="20"/>
      <c r="B7" s="95"/>
      <c r="C7" s="95"/>
      <c r="D7" s="95"/>
      <c r="E7" s="95" t="s">
        <v>36</v>
      </c>
      <c r="F7" s="104" t="s">
        <v>37</v>
      </c>
      <c r="G7" s="43" t="s">
        <v>38</v>
      </c>
      <c r="H7" s="95" t="s">
        <v>39</v>
      </c>
      <c r="I7" s="95" t="s">
        <v>37</v>
      </c>
      <c r="J7" s="43" t="s">
        <v>38</v>
      </c>
      <c r="K7" s="95" t="s">
        <v>36</v>
      </c>
      <c r="L7" s="95" t="s">
        <v>37</v>
      </c>
      <c r="M7" s="43" t="s">
        <v>40</v>
      </c>
      <c r="N7" s="95" t="s">
        <v>41</v>
      </c>
      <c r="O7" s="95" t="s">
        <v>37</v>
      </c>
      <c r="P7" s="43" t="s">
        <v>40</v>
      </c>
      <c r="Q7" s="102"/>
      <c r="R7" s="102"/>
      <c r="S7" s="21"/>
    </row>
    <row r="8" spans="1:21">
      <c r="A8" s="20"/>
      <c r="B8" s="95"/>
      <c r="C8" s="95"/>
      <c r="D8" s="95"/>
      <c r="E8" s="95"/>
      <c r="F8" s="105"/>
      <c r="G8" s="44">
        <v>15840</v>
      </c>
      <c r="H8" s="95"/>
      <c r="I8" s="95"/>
      <c r="J8" s="44">
        <f>G8</f>
        <v>15840</v>
      </c>
      <c r="K8" s="95"/>
      <c r="L8" s="95"/>
      <c r="M8" s="44">
        <f>J8</f>
        <v>15840</v>
      </c>
      <c r="N8" s="95"/>
      <c r="O8" s="95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8</v>
      </c>
      <c r="D9" s="47">
        <f>Electricity!D8</f>
        <v>47</v>
      </c>
      <c r="E9" s="82">
        <v>8179.75</v>
      </c>
      <c r="F9" s="24">
        <v>47.772079999998674</v>
      </c>
      <c r="G9" s="49">
        <f>F9*$G$8</f>
        <v>756709.74719997903</v>
      </c>
      <c r="H9" s="48"/>
      <c r="I9" s="49">
        <v>0</v>
      </c>
      <c r="J9" s="49">
        <f>I9*$J$8</f>
        <v>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869807.34719997901</v>
      </c>
      <c r="R9" s="52">
        <f>Q9/14381</f>
        <v>60.483092079826093</v>
      </c>
      <c r="S9" s="21"/>
    </row>
    <row r="10" spans="1:21">
      <c r="A10" s="20"/>
      <c r="B10" s="22">
        <v>2</v>
      </c>
      <c r="C10" s="46">
        <f>Electricity!C9</f>
        <v>11</v>
      </c>
      <c r="D10" s="47">
        <f>Electricity!D9</f>
        <v>32</v>
      </c>
      <c r="E10" s="82">
        <v>8191.59</v>
      </c>
      <c r="F10" s="24">
        <v>47.69152000000058</v>
      </c>
      <c r="G10" s="49">
        <f>F10*$G$8</f>
        <v>755433.67680000921</v>
      </c>
      <c r="H10" s="48"/>
      <c r="I10" s="49">
        <v>0</v>
      </c>
      <c r="J10" s="49">
        <f>I10*$J$8</f>
        <v>0</v>
      </c>
      <c r="K10" s="48"/>
      <c r="L10" s="24">
        <v>0</v>
      </c>
      <c r="M10" s="25">
        <f t="shared" ref="M10:M39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868531.27680000919</v>
      </c>
      <c r="R10" s="52">
        <f t="shared" ref="R10:R39" si="1">Q10/14381</f>
        <v>60.394359001460899</v>
      </c>
      <c r="S10" s="21"/>
    </row>
    <row r="11" spans="1:21">
      <c r="A11" s="20"/>
      <c r="B11" s="22">
        <v>3</v>
      </c>
      <c r="C11" s="46">
        <f>Electricity!C10</f>
        <v>16</v>
      </c>
      <c r="D11" s="47">
        <f>Electricity!D10</f>
        <v>52</v>
      </c>
      <c r="E11" s="82">
        <v>8202.58</v>
      </c>
      <c r="F11" s="24">
        <v>44.267719999999116</v>
      </c>
      <c r="G11" s="49">
        <f t="shared" ref="G11:G39" si="2">F11*$G$8</f>
        <v>701200.68479998596</v>
      </c>
      <c r="H11" s="48"/>
      <c r="I11" s="49">
        <v>0</v>
      </c>
      <c r="J11" s="49">
        <f t="shared" ref="J11:J39" si="3">I11*$J$8</f>
        <v>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814298.28479998594</v>
      </c>
      <c r="R11" s="52">
        <f t="shared" si="1"/>
        <v>56.62320317084945</v>
      </c>
      <c r="S11" s="21"/>
    </row>
    <row r="12" spans="1:21">
      <c r="A12" s="20"/>
      <c r="B12" s="22">
        <v>4</v>
      </c>
      <c r="C12" s="46">
        <f>Electricity!C11</f>
        <v>13</v>
      </c>
      <c r="D12" s="47">
        <f>Electricity!D11</f>
        <v>67</v>
      </c>
      <c r="E12" s="82">
        <v>8215.19</v>
      </c>
      <c r="F12" s="24">
        <v>50.793080000002341</v>
      </c>
      <c r="G12" s="49">
        <f t="shared" si="2"/>
        <v>804562.38720003713</v>
      </c>
      <c r="H12" s="48"/>
      <c r="I12" s="49">
        <v>0</v>
      </c>
      <c r="J12" s="49">
        <f t="shared" si="3"/>
        <v>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917659.98720003711</v>
      </c>
      <c r="R12" s="52">
        <f t="shared" si="1"/>
        <v>63.81058251860351</v>
      </c>
      <c r="S12" s="21"/>
    </row>
    <row r="13" spans="1:21">
      <c r="A13" s="20"/>
      <c r="B13" s="22">
        <v>5</v>
      </c>
      <c r="C13" s="46">
        <f>Electricity!C12</f>
        <v>15</v>
      </c>
      <c r="D13" s="47">
        <f>Electricity!D12</f>
        <v>80</v>
      </c>
      <c r="E13" s="82">
        <v>8227.31</v>
      </c>
      <c r="F13" s="24">
        <v>48.819359999995889</v>
      </c>
      <c r="G13" s="49">
        <f t="shared" si="2"/>
        <v>773298.66239993484</v>
      </c>
      <c r="H13" s="48"/>
      <c r="I13" s="49">
        <v>0</v>
      </c>
      <c r="J13" s="49">
        <f t="shared" si="3"/>
        <v>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886396.26239993481</v>
      </c>
      <c r="R13" s="52">
        <f t="shared" si="1"/>
        <v>61.63662209859779</v>
      </c>
      <c r="S13" s="21"/>
    </row>
    <row r="14" spans="1:21">
      <c r="A14" s="20"/>
      <c r="B14" s="22">
        <v>6</v>
      </c>
      <c r="C14" s="46">
        <f>Electricity!C13</f>
        <v>11</v>
      </c>
      <c r="D14" s="47">
        <f>Electricity!D13</f>
        <v>51</v>
      </c>
      <c r="E14" s="82">
        <v>8239.4500000000007</v>
      </c>
      <c r="F14" s="24">
        <v>48.899920000004975</v>
      </c>
      <c r="G14" s="49">
        <f t="shared" si="2"/>
        <v>774574.73280007881</v>
      </c>
      <c r="H14" s="48"/>
      <c r="I14" s="49">
        <v>0</v>
      </c>
      <c r="J14" s="49">
        <f t="shared" si="3"/>
        <v>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887672.33280007879</v>
      </c>
      <c r="R14" s="52">
        <f t="shared" si="1"/>
        <v>61.725355176975093</v>
      </c>
      <c r="S14" s="21"/>
    </row>
    <row r="15" spans="1:21">
      <c r="A15" s="20"/>
      <c r="B15" s="22">
        <v>7</v>
      </c>
      <c r="C15" s="46">
        <f>Electricity!C14</f>
        <v>9</v>
      </c>
      <c r="D15" s="47">
        <f>Electricity!D14</f>
        <v>42</v>
      </c>
      <c r="E15" s="82">
        <v>8250.4500000000007</v>
      </c>
      <c r="F15" s="24">
        <v>44.307999999999993</v>
      </c>
      <c r="G15" s="49">
        <f t="shared" si="2"/>
        <v>701838.71999999986</v>
      </c>
      <c r="H15" s="48"/>
      <c r="I15" s="49">
        <v>0</v>
      </c>
      <c r="J15" s="49">
        <f t="shared" si="3"/>
        <v>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814936.31999999983</v>
      </c>
      <c r="R15" s="52">
        <f t="shared" si="1"/>
        <v>56.667569710034059</v>
      </c>
      <c r="S15" s="21"/>
    </row>
    <row r="16" spans="1:21">
      <c r="A16" s="20"/>
      <c r="B16" s="22">
        <v>8</v>
      </c>
      <c r="C16" s="46">
        <f>Electricity!C15</f>
        <v>6</v>
      </c>
      <c r="D16" s="47">
        <f>Electricity!D15</f>
        <v>35</v>
      </c>
      <c r="E16" s="82">
        <v>8260.44</v>
      </c>
      <c r="F16" s="24">
        <v>40.239719999999117</v>
      </c>
      <c r="G16" s="49">
        <f t="shared" si="2"/>
        <v>637397.16479998606</v>
      </c>
      <c r="H16" s="48"/>
      <c r="I16" s="49">
        <v>0</v>
      </c>
      <c r="J16" s="49">
        <f t="shared" si="3"/>
        <v>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750494.76479998603</v>
      </c>
      <c r="R16" s="52">
        <f t="shared" si="1"/>
        <v>52.186549252484944</v>
      </c>
      <c r="S16" s="21"/>
    </row>
    <row r="17" spans="1:19">
      <c r="A17" s="20"/>
      <c r="B17" s="22">
        <v>9</v>
      </c>
      <c r="C17" s="46">
        <f>Electricity!C16</f>
        <v>8</v>
      </c>
      <c r="D17" s="47">
        <f>Electricity!D16</f>
        <v>50</v>
      </c>
      <c r="E17" s="83">
        <v>8272.85</v>
      </c>
      <c r="F17" s="24">
        <v>49.987479999999408</v>
      </c>
      <c r="G17" s="49">
        <f t="shared" si="2"/>
        <v>791801.68319999066</v>
      </c>
      <c r="H17" s="48"/>
      <c r="I17" s="49">
        <v>0</v>
      </c>
      <c r="J17" s="49">
        <f t="shared" si="3"/>
        <v>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904899.28319999063</v>
      </c>
      <c r="R17" s="52">
        <f t="shared" si="1"/>
        <v>62.923251734927376</v>
      </c>
      <c r="S17" s="21"/>
    </row>
    <row r="18" spans="1:19">
      <c r="A18" s="20"/>
      <c r="B18" s="22">
        <v>10</v>
      </c>
      <c r="C18" s="46">
        <f>Electricity!C17</f>
        <v>7</v>
      </c>
      <c r="D18" s="47">
        <f>Electricity!D17</f>
        <v>31</v>
      </c>
      <c r="E18" s="82">
        <v>8284.7900000000009</v>
      </c>
      <c r="F18" s="24">
        <v>48.09432000000205</v>
      </c>
      <c r="G18" s="49">
        <f t="shared" si="2"/>
        <v>761814.02880003245</v>
      </c>
      <c r="H18" s="48"/>
      <c r="I18" s="49">
        <f t="shared" ref="I18:I37" si="6">H18-H17</f>
        <v>0</v>
      </c>
      <c r="J18" s="49">
        <f t="shared" si="3"/>
        <v>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874911.62880003243</v>
      </c>
      <c r="R18" s="52">
        <f t="shared" si="1"/>
        <v>60.838024393298966</v>
      </c>
      <c r="S18" s="21"/>
    </row>
    <row r="19" spans="1:19">
      <c r="A19" s="20"/>
      <c r="B19" s="22">
        <v>11</v>
      </c>
      <c r="C19" s="46">
        <f>Electricity!C18</f>
        <v>6</v>
      </c>
      <c r="D19" s="47">
        <f>Electricity!D18</f>
        <v>28</v>
      </c>
      <c r="E19" s="82">
        <v>8297.7099999999991</v>
      </c>
      <c r="F19" s="24">
        <v>52.041759999992962</v>
      </c>
      <c r="G19" s="49">
        <f t="shared" si="2"/>
        <v>824341.4783998885</v>
      </c>
      <c r="H19" s="48"/>
      <c r="I19" s="49">
        <f t="shared" si="6"/>
        <v>0</v>
      </c>
      <c r="J19" s="49">
        <f t="shared" si="3"/>
        <v>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937439.07839988847</v>
      </c>
      <c r="R19" s="52">
        <f t="shared" si="1"/>
        <v>65.185945233286176</v>
      </c>
      <c r="S19" s="21"/>
    </row>
    <row r="20" spans="1:19">
      <c r="A20" s="20"/>
      <c r="B20" s="22">
        <v>12</v>
      </c>
      <c r="C20" s="46">
        <f>Electricity!C19</f>
        <v>3</v>
      </c>
      <c r="D20" s="47">
        <f>Electricity!D19</f>
        <v>19</v>
      </c>
      <c r="E20" s="82">
        <v>8305.86</v>
      </c>
      <c r="F20" s="24">
        <v>32.828200000005857</v>
      </c>
      <c r="G20" s="49">
        <f t="shared" si="2"/>
        <v>519998.68800009281</v>
      </c>
      <c r="H20" s="48"/>
      <c r="I20" s="49">
        <f t="shared" si="6"/>
        <v>0</v>
      </c>
      <c r="J20" s="49">
        <f t="shared" si="3"/>
        <v>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633096.28800009284</v>
      </c>
      <c r="R20" s="52">
        <f t="shared" si="1"/>
        <v>44.023106042701677</v>
      </c>
      <c r="S20" s="21"/>
    </row>
    <row r="21" spans="1:19">
      <c r="A21" s="20"/>
      <c r="B21" s="22">
        <v>13</v>
      </c>
      <c r="C21" s="46">
        <f>Electricity!C20</f>
        <v>5</v>
      </c>
      <c r="D21" s="47">
        <f>Electricity!D20</f>
        <v>18</v>
      </c>
      <c r="E21" s="82">
        <v>8317.6</v>
      </c>
      <c r="F21" s="24">
        <v>47.288719999999117</v>
      </c>
      <c r="G21" s="49">
        <f t="shared" si="2"/>
        <v>749053.32479998597</v>
      </c>
      <c r="H21" s="48"/>
      <c r="I21" s="49">
        <f t="shared" si="6"/>
        <v>0</v>
      </c>
      <c r="J21" s="49">
        <f t="shared" si="3"/>
        <v>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862150.92479998595</v>
      </c>
      <c r="R21" s="52">
        <f t="shared" si="1"/>
        <v>59.950693609622832</v>
      </c>
      <c r="S21" s="21"/>
    </row>
    <row r="22" spans="1:19">
      <c r="A22" s="20"/>
      <c r="B22" s="22">
        <v>14</v>
      </c>
      <c r="C22" s="46">
        <f>Electricity!C21</f>
        <v>5</v>
      </c>
      <c r="D22" s="47">
        <f>Electricity!D21</f>
        <v>32</v>
      </c>
      <c r="E22" s="82">
        <v>8329.7099999999991</v>
      </c>
      <c r="F22" s="24">
        <v>48.779079999995012</v>
      </c>
      <c r="G22" s="49">
        <f t="shared" si="2"/>
        <v>772660.62719992094</v>
      </c>
      <c r="H22" s="48"/>
      <c r="I22" s="49">
        <f t="shared" si="6"/>
        <v>0</v>
      </c>
      <c r="J22" s="49">
        <f t="shared" si="3"/>
        <v>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885758.22719992092</v>
      </c>
      <c r="R22" s="52">
        <f t="shared" si="1"/>
        <v>61.592255559413175</v>
      </c>
      <c r="S22" s="21"/>
    </row>
    <row r="23" spans="1:19">
      <c r="A23" s="20"/>
      <c r="B23" s="22">
        <v>15</v>
      </c>
      <c r="C23" s="46">
        <f>Electricity!C22</f>
        <v>5</v>
      </c>
      <c r="D23" s="47">
        <f>Electricity!D22</f>
        <v>16</v>
      </c>
      <c r="E23" s="82">
        <v>8340.64</v>
      </c>
      <c r="F23" s="24">
        <v>44.026040000001167</v>
      </c>
      <c r="G23" s="49">
        <f t="shared" si="2"/>
        <v>697372.47360001854</v>
      </c>
      <c r="H23" s="48"/>
      <c r="I23" s="49">
        <f t="shared" si="6"/>
        <v>0</v>
      </c>
      <c r="J23" s="49">
        <f t="shared" si="3"/>
        <v>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810470.07360001851</v>
      </c>
      <c r="R23" s="52">
        <f t="shared" si="1"/>
        <v>56.357003935749844</v>
      </c>
      <c r="S23" s="21"/>
    </row>
    <row r="24" spans="1:19">
      <c r="A24" s="20"/>
      <c r="B24" s="22">
        <v>16</v>
      </c>
      <c r="C24" s="46">
        <f>Electricity!C23</f>
        <v>2</v>
      </c>
      <c r="D24" s="47">
        <f>Electricity!D23</f>
        <v>20</v>
      </c>
      <c r="E24" s="82">
        <v>8352.6</v>
      </c>
      <c r="F24" s="24">
        <v>48.174880000003803</v>
      </c>
      <c r="G24" s="49">
        <f t="shared" si="2"/>
        <v>763090.09920006024</v>
      </c>
      <c r="H24" s="48"/>
      <c r="I24" s="49">
        <f t="shared" si="6"/>
        <v>0</v>
      </c>
      <c r="J24" s="49">
        <f t="shared" si="3"/>
        <v>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876187.69920006022</v>
      </c>
      <c r="R24" s="52">
        <f t="shared" si="1"/>
        <v>60.926757471668189</v>
      </c>
      <c r="S24" s="21"/>
    </row>
    <row r="25" spans="1:19">
      <c r="A25" s="20"/>
      <c r="B25" s="22">
        <v>17</v>
      </c>
      <c r="C25" s="46">
        <f>Electricity!C24</f>
        <v>2</v>
      </c>
      <c r="D25" s="47">
        <f>Electricity!D24</f>
        <v>14</v>
      </c>
      <c r="E25" s="82">
        <v>8362.0300000000007</v>
      </c>
      <c r="F25" s="24">
        <v>37.984040000001166</v>
      </c>
      <c r="G25" s="49">
        <f t="shared" si="2"/>
        <v>601667.19360001851</v>
      </c>
      <c r="H25" s="48"/>
      <c r="I25" s="49">
        <f t="shared" si="6"/>
        <v>0</v>
      </c>
      <c r="J25" s="49">
        <f t="shared" si="3"/>
        <v>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714764.79360001849</v>
      </c>
      <c r="R25" s="52">
        <f t="shared" si="1"/>
        <v>49.702023058203082</v>
      </c>
      <c r="S25" s="21"/>
    </row>
    <row r="26" spans="1:19">
      <c r="A26" s="20"/>
      <c r="B26" s="22">
        <v>18</v>
      </c>
      <c r="C26" s="46">
        <f>Electricity!C25</f>
        <v>1</v>
      </c>
      <c r="D26" s="47">
        <f>Electricity!D25</f>
        <v>14</v>
      </c>
      <c r="E26" s="82">
        <v>8371.11</v>
      </c>
      <c r="F26" s="24">
        <v>36.574239999999705</v>
      </c>
      <c r="G26" s="49">
        <f t="shared" si="2"/>
        <v>579335.96159999527</v>
      </c>
      <c r="H26" s="48"/>
      <c r="I26" s="49">
        <f t="shared" si="6"/>
        <v>0</v>
      </c>
      <c r="J26" s="49">
        <f t="shared" si="3"/>
        <v>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692433.56159999524</v>
      </c>
      <c r="R26" s="52">
        <f t="shared" si="1"/>
        <v>48.149194186773883</v>
      </c>
      <c r="S26" s="21"/>
    </row>
    <row r="27" spans="1:19">
      <c r="A27" s="20"/>
      <c r="B27" s="22">
        <v>19</v>
      </c>
      <c r="C27" s="46">
        <f>Electricity!C26</f>
        <v>2</v>
      </c>
      <c r="D27" s="47">
        <f>Electricity!D26</f>
        <v>5</v>
      </c>
      <c r="E27" s="82">
        <v>8379.9599999999991</v>
      </c>
      <c r="F27" s="24">
        <v>8.8499999999985448</v>
      </c>
      <c r="G27" s="49">
        <f t="shared" si="2"/>
        <v>140183.99999997695</v>
      </c>
      <c r="H27" s="48"/>
      <c r="I27" s="49">
        <f t="shared" si="6"/>
        <v>0</v>
      </c>
      <c r="J27" s="49">
        <f t="shared" si="3"/>
        <v>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253281.59999997693</v>
      </c>
      <c r="R27" s="52">
        <f t="shared" si="1"/>
        <v>17.612238370070017</v>
      </c>
      <c r="S27" s="21"/>
    </row>
    <row r="28" spans="1:19">
      <c r="A28" s="20"/>
      <c r="B28" s="22">
        <v>20</v>
      </c>
      <c r="C28" s="46">
        <f>Electricity!C27</f>
        <v>4</v>
      </c>
      <c r="D28" s="47">
        <f>Electricity!D27</f>
        <v>14</v>
      </c>
      <c r="E28" s="82">
        <v>8389.5499999999993</v>
      </c>
      <c r="F28" s="24">
        <v>9.5900000000001455</v>
      </c>
      <c r="G28" s="49">
        <f t="shared" si="2"/>
        <v>151905.60000000231</v>
      </c>
      <c r="H28" s="48"/>
      <c r="I28" s="49">
        <f t="shared" si="6"/>
        <v>0</v>
      </c>
      <c r="J28" s="49">
        <f t="shared" si="3"/>
        <v>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265003.20000000228</v>
      </c>
      <c r="R28" s="52">
        <f t="shared" si="1"/>
        <v>18.427313816841824</v>
      </c>
      <c r="S28" s="21"/>
    </row>
    <row r="29" spans="1:19">
      <c r="A29" s="20"/>
      <c r="B29" s="22">
        <v>21</v>
      </c>
      <c r="C29" s="46">
        <f>Electricity!C28</f>
        <v>8</v>
      </c>
      <c r="D29" s="47">
        <f>Electricity!D28</f>
        <v>29</v>
      </c>
      <c r="E29" s="82">
        <v>8401.6200000000008</v>
      </c>
      <c r="F29" s="24">
        <v>12.070000000001528</v>
      </c>
      <c r="G29" s="49">
        <f t="shared" si="2"/>
        <v>191188.8000000242</v>
      </c>
      <c r="H29" s="48"/>
      <c r="I29" s="49">
        <f t="shared" si="6"/>
        <v>0</v>
      </c>
      <c r="J29" s="49">
        <f t="shared" si="3"/>
        <v>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304286.40000002418</v>
      </c>
      <c r="R29" s="52">
        <f t="shared" si="1"/>
        <v>21.158918016829439</v>
      </c>
      <c r="S29" s="21"/>
    </row>
    <row r="30" spans="1:19">
      <c r="A30" s="20"/>
      <c r="B30" s="22">
        <v>22</v>
      </c>
      <c r="C30" s="46">
        <f>Electricity!C29</f>
        <v>8</v>
      </c>
      <c r="D30" s="47">
        <f>Electricity!D29</f>
        <v>44</v>
      </c>
      <c r="E30" s="82">
        <v>8412.39</v>
      </c>
      <c r="F30" s="24">
        <v>10.769999999998618</v>
      </c>
      <c r="G30" s="49">
        <f t="shared" si="2"/>
        <v>170596.7999999781</v>
      </c>
      <c r="H30" s="48"/>
      <c r="I30" s="49">
        <f t="shared" si="6"/>
        <v>0</v>
      </c>
      <c r="J30" s="49">
        <f t="shared" si="3"/>
        <v>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283694.39999997808</v>
      </c>
      <c r="R30" s="52">
        <f t="shared" si="1"/>
        <v>19.727028718446427</v>
      </c>
      <c r="S30" s="21"/>
    </row>
    <row r="31" spans="1:19">
      <c r="A31" s="20"/>
      <c r="B31" s="22">
        <v>23</v>
      </c>
      <c r="C31" s="46">
        <f>Electricity!C30</f>
        <v>6</v>
      </c>
      <c r="D31" s="47">
        <f>Electricity!D30</f>
        <v>35</v>
      </c>
      <c r="E31" s="82">
        <v>8423.84</v>
      </c>
      <c r="F31" s="24">
        <v>11.450000000000728</v>
      </c>
      <c r="G31" s="49">
        <f t="shared" si="2"/>
        <v>181368.00000001153</v>
      </c>
      <c r="H31" s="48"/>
      <c r="I31" s="49">
        <f t="shared" si="6"/>
        <v>0</v>
      </c>
      <c r="J31" s="49">
        <f t="shared" si="3"/>
        <v>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294465.6000000115</v>
      </c>
      <c r="R31" s="52">
        <f t="shared" si="1"/>
        <v>20.476016966832034</v>
      </c>
      <c r="S31" s="21"/>
    </row>
    <row r="32" spans="1:19">
      <c r="A32" s="20"/>
      <c r="B32" s="22">
        <v>24</v>
      </c>
      <c r="C32" s="46">
        <f>Electricity!C31</f>
        <v>9</v>
      </c>
      <c r="D32" s="47">
        <f>Electricity!D31</f>
        <v>22</v>
      </c>
      <c r="E32" s="82">
        <v>8433.0300000000007</v>
      </c>
      <c r="F32" s="81">
        <v>9.1900000000005093</v>
      </c>
      <c r="G32" s="49">
        <f t="shared" si="2"/>
        <v>145569.60000000807</v>
      </c>
      <c r="H32" s="48"/>
      <c r="I32" s="49">
        <f t="shared" si="6"/>
        <v>0</v>
      </c>
      <c r="J32" s="49">
        <f t="shared" si="3"/>
        <v>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258667.20000000804</v>
      </c>
      <c r="R32" s="52">
        <f t="shared" si="1"/>
        <v>17.986732494263823</v>
      </c>
      <c r="S32" s="21"/>
    </row>
    <row r="33" spans="1:21">
      <c r="A33" s="20"/>
      <c r="B33" s="22">
        <v>25</v>
      </c>
      <c r="C33" s="46">
        <f>Electricity!C32</f>
        <v>7</v>
      </c>
      <c r="D33" s="47">
        <f>Electricity!D32</f>
        <v>37</v>
      </c>
      <c r="E33" s="82">
        <v>8443.0300000000007</v>
      </c>
      <c r="F33" s="81">
        <v>10</v>
      </c>
      <c r="G33" s="49">
        <f t="shared" si="2"/>
        <v>158400</v>
      </c>
      <c r="H33" s="48"/>
      <c r="I33" s="49">
        <f t="shared" si="6"/>
        <v>0</v>
      </c>
      <c r="J33" s="49">
        <f t="shared" si="3"/>
        <v>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271497.59999999998</v>
      </c>
      <c r="R33" s="52">
        <f t="shared" si="1"/>
        <v>18.878909672484525</v>
      </c>
      <c r="S33" s="21"/>
    </row>
    <row r="34" spans="1:21">
      <c r="A34" s="20"/>
      <c r="B34" s="22">
        <v>26</v>
      </c>
      <c r="C34" s="46">
        <f>Electricity!C33</f>
        <v>3</v>
      </c>
      <c r="D34" s="47">
        <f>Electricity!D33</f>
        <v>29</v>
      </c>
      <c r="E34" s="82">
        <v>8454.2900000000009</v>
      </c>
      <c r="F34" s="81">
        <v>11.260000000000218</v>
      </c>
      <c r="G34" s="49">
        <f t="shared" si="2"/>
        <v>178358.40000000346</v>
      </c>
      <c r="H34" s="48"/>
      <c r="I34" s="49">
        <f t="shared" si="6"/>
        <v>0</v>
      </c>
      <c r="J34" s="49">
        <f t="shared" si="3"/>
        <v>0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291456.00000000343</v>
      </c>
      <c r="R34" s="52">
        <f t="shared" si="1"/>
        <v>20.266740838606733</v>
      </c>
      <c r="S34" s="21"/>
    </row>
    <row r="35" spans="1:21">
      <c r="A35" s="20"/>
      <c r="B35" s="22">
        <v>27</v>
      </c>
      <c r="C35" s="46">
        <f>Electricity!C34</f>
        <v>4</v>
      </c>
      <c r="D35" s="47">
        <f>Electricity!D34</f>
        <v>13</v>
      </c>
      <c r="E35" s="82">
        <v>8463.7800000000007</v>
      </c>
      <c r="F35" s="81">
        <v>9.4899999999997817</v>
      </c>
      <c r="G35" s="49">
        <f t="shared" si="2"/>
        <v>150321.59999999654</v>
      </c>
      <c r="H35" s="48"/>
      <c r="I35" s="49">
        <f t="shared" si="6"/>
        <v>0</v>
      </c>
      <c r="J35" s="49">
        <f t="shared" si="3"/>
        <v>0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263419.19999999652</v>
      </c>
      <c r="R35" s="52">
        <f t="shared" si="1"/>
        <v>18.317168486196824</v>
      </c>
      <c r="S35" s="21"/>
    </row>
    <row r="36" spans="1:21">
      <c r="A36" s="20"/>
      <c r="B36" s="22">
        <v>28</v>
      </c>
      <c r="C36" s="46">
        <f>Electricity!C35</f>
        <v>5</v>
      </c>
      <c r="D36" s="47">
        <f>Electricity!D35</f>
        <v>19</v>
      </c>
      <c r="E36" s="82">
        <v>8473.82</v>
      </c>
      <c r="F36" s="81">
        <v>10.039999999999054</v>
      </c>
      <c r="G36" s="49">
        <f t="shared" si="2"/>
        <v>159033.59999998502</v>
      </c>
      <c r="H36" s="48"/>
      <c r="I36" s="49">
        <f t="shared" si="6"/>
        <v>0</v>
      </c>
      <c r="J36" s="49">
        <f t="shared" si="3"/>
        <v>0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272131.19999998499</v>
      </c>
      <c r="R36" s="52">
        <f t="shared" si="1"/>
        <v>18.922967804741326</v>
      </c>
      <c r="S36" s="21"/>
    </row>
    <row r="37" spans="1:21">
      <c r="A37" s="20"/>
      <c r="B37" s="22">
        <v>29</v>
      </c>
      <c r="C37" s="46">
        <f>Electricity!C36</f>
        <v>3</v>
      </c>
      <c r="D37" s="47">
        <f>Electricity!D36</f>
        <v>21</v>
      </c>
      <c r="E37" s="80">
        <v>8484.2000000000007</v>
      </c>
      <c r="F37" s="81">
        <v>10.380000000001019</v>
      </c>
      <c r="G37" s="49">
        <f t="shared" si="2"/>
        <v>164419.20000001614</v>
      </c>
      <c r="H37" s="48"/>
      <c r="I37" s="49">
        <f t="shared" si="6"/>
        <v>0</v>
      </c>
      <c r="J37" s="49">
        <f t="shared" si="3"/>
        <v>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277516.80000001611</v>
      </c>
      <c r="R37" s="52">
        <f t="shared" si="1"/>
        <v>19.297461928935132</v>
      </c>
      <c r="S37" s="21"/>
    </row>
    <row r="38" spans="1:21">
      <c r="A38" s="20"/>
      <c r="B38" s="22">
        <v>30</v>
      </c>
      <c r="C38" s="46">
        <f>Electricity!C37</f>
        <v>5</v>
      </c>
      <c r="D38" s="47">
        <f>Electricity!D37</f>
        <v>23</v>
      </c>
      <c r="E38" s="80">
        <v>8493.24</v>
      </c>
      <c r="F38" s="81">
        <v>19.420000000000073</v>
      </c>
      <c r="G38" s="49">
        <f t="shared" si="2"/>
        <v>307612.80000000115</v>
      </c>
      <c r="H38" s="48"/>
      <c r="I38" s="49">
        <f>H38-H36</f>
        <v>0</v>
      </c>
      <c r="J38" s="49">
        <f t="shared" si="3"/>
        <v>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420710.40000000113</v>
      </c>
      <c r="R38" s="52">
        <f t="shared" si="1"/>
        <v>29.254599819205975</v>
      </c>
      <c r="S38" s="21"/>
    </row>
    <row r="39" spans="1:21">
      <c r="A39" s="20"/>
      <c r="B39" s="22">
        <v>31</v>
      </c>
      <c r="C39" s="46">
        <f>Electricity!C38</f>
        <v>10</v>
      </c>
      <c r="D39" s="47">
        <f>Electricity!D38</f>
        <v>37</v>
      </c>
      <c r="E39" s="80">
        <v>8505.17</v>
      </c>
      <c r="F39" s="81">
        <v>20.969999999999345</v>
      </c>
      <c r="G39" s="49">
        <f t="shared" si="2"/>
        <v>332164.79999998963</v>
      </c>
      <c r="H39" s="48"/>
      <c r="I39" s="49">
        <f>H39-H37</f>
        <v>0</v>
      </c>
      <c r="J39" s="49">
        <f t="shared" si="3"/>
        <v>0</v>
      </c>
      <c r="K39" s="48"/>
      <c r="L39" s="24">
        <v>0</v>
      </c>
      <c r="M39" s="25">
        <f t="shared" si="0"/>
        <v>0</v>
      </c>
      <c r="N39" s="48"/>
      <c r="O39" s="24">
        <v>7.14</v>
      </c>
      <c r="P39" s="50">
        <f t="shared" si="4"/>
        <v>113097.59999999999</v>
      </c>
      <c r="Q39" s="51">
        <f t="shared" si="5"/>
        <v>445262.3999999896</v>
      </c>
      <c r="R39" s="52">
        <f t="shared" si="1"/>
        <v>30.961852444196481</v>
      </c>
      <c r="S39" s="21"/>
    </row>
    <row r="40" spans="1:21">
      <c r="C40" s="53">
        <f>SUM(C9:C39)</f>
        <v>207</v>
      </c>
      <c r="D40" s="53">
        <f>SUM(D9:D39)</f>
        <v>976</v>
      </c>
      <c r="E40" s="30"/>
      <c r="F40" s="30">
        <f>SUM(F9:F39)</f>
        <v>972.05016000000046</v>
      </c>
      <c r="G40" s="40"/>
      <c r="H40" s="40"/>
      <c r="I40" s="30" t="s">
        <v>43</v>
      </c>
      <c r="J40" s="40"/>
      <c r="K40" s="40"/>
      <c r="L40" s="30" t="s">
        <v>43</v>
      </c>
      <c r="M40" s="40"/>
      <c r="N40" s="39"/>
      <c r="O40" s="30">
        <f>SUM(O9:O39)</f>
        <v>221.3399999999998</v>
      </c>
      <c r="P40" s="40"/>
      <c r="Q40"/>
      <c r="R40" s="93">
        <f>SUM(R9:R39)</f>
        <v>1314.4635376121273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44</v>
      </c>
      <c r="O41" s="63">
        <f>F40+O40</f>
        <v>1193.3901600000004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selection activeCell="J3" sqref="J3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3.28515625" style="76" bestFit="1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96" t="s">
        <v>45</v>
      </c>
      <c r="C1" s="96"/>
      <c r="D1" s="96"/>
      <c r="E1" s="96"/>
      <c r="F1" s="96"/>
      <c r="G1" s="96"/>
      <c r="H1" s="96"/>
    </row>
    <row r="2" spans="1:9" ht="15.75">
      <c r="B2" s="96" t="s">
        <v>16</v>
      </c>
      <c r="C2" s="96"/>
      <c r="D2" s="96"/>
      <c r="E2" s="96"/>
      <c r="F2" s="96"/>
      <c r="G2" s="96"/>
      <c r="H2" s="96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0">
        <v>44562</v>
      </c>
      <c r="C4" s="100"/>
      <c r="D4" s="100"/>
      <c r="E4" s="100"/>
      <c r="F4" s="100"/>
      <c r="G4" s="100"/>
      <c r="H4" s="100"/>
      <c r="I4" s="16"/>
    </row>
    <row r="5" spans="1:9">
      <c r="A5" s="66"/>
      <c r="B5" s="95" t="s">
        <v>46</v>
      </c>
      <c r="C5" s="95" t="s">
        <v>18</v>
      </c>
      <c r="D5" s="95" t="s">
        <v>13</v>
      </c>
      <c r="E5" s="95" t="s">
        <v>47</v>
      </c>
      <c r="F5" s="95"/>
      <c r="G5" s="95"/>
      <c r="H5" s="95" t="s">
        <v>23</v>
      </c>
      <c r="I5" s="18"/>
    </row>
    <row r="6" spans="1:9">
      <c r="A6" s="66"/>
      <c r="B6" s="95"/>
      <c r="C6" s="95"/>
      <c r="D6" s="95"/>
      <c r="E6" s="95"/>
      <c r="F6" s="95"/>
      <c r="G6" s="95"/>
      <c r="H6" s="95"/>
      <c r="I6" s="18"/>
    </row>
    <row r="7" spans="1:9" s="19" customFormat="1" ht="22.5">
      <c r="A7" s="66"/>
      <c r="B7" s="95"/>
      <c r="C7" s="95"/>
      <c r="D7" s="95"/>
      <c r="E7" s="43" t="s">
        <v>36</v>
      </c>
      <c r="F7" s="106" t="s">
        <v>48</v>
      </c>
      <c r="G7" s="67" t="s">
        <v>40</v>
      </c>
      <c r="H7" s="95"/>
      <c r="I7" s="18"/>
    </row>
    <row r="8" spans="1:9" s="19" customFormat="1">
      <c r="A8" s="66"/>
      <c r="B8" s="95"/>
      <c r="C8" s="95"/>
      <c r="D8" s="95"/>
      <c r="E8" s="68">
        <v>2745</v>
      </c>
      <c r="F8" s="106"/>
      <c r="G8" s="67">
        <v>10700</v>
      </c>
      <c r="H8" s="95"/>
      <c r="I8" s="18"/>
    </row>
    <row r="9" spans="1:9">
      <c r="A9" s="69"/>
      <c r="B9" s="22">
        <v>1</v>
      </c>
      <c r="C9" s="23">
        <f>Gas!C9</f>
        <v>8</v>
      </c>
      <c r="D9" s="23">
        <f>Gas!D9</f>
        <v>47</v>
      </c>
      <c r="E9" s="70">
        <v>2745</v>
      </c>
      <c r="F9" s="71">
        <v>0</v>
      </c>
      <c r="G9" s="71">
        <f t="shared" ref="G9:G39" si="0">F9*$G$8</f>
        <v>0</v>
      </c>
      <c r="H9" s="85">
        <f>G9/14381</f>
        <v>0</v>
      </c>
      <c r="I9" s="21"/>
    </row>
    <row r="10" spans="1:9">
      <c r="A10" s="69"/>
      <c r="B10" s="22">
        <v>2</v>
      </c>
      <c r="C10" s="23">
        <f>Gas!C10</f>
        <v>11</v>
      </c>
      <c r="D10" s="23">
        <f>Gas!D10</f>
        <v>32</v>
      </c>
      <c r="E10" s="70">
        <v>2745</v>
      </c>
      <c r="F10" s="72">
        <f t="shared" ref="F10:F26" si="1">E10-E9</f>
        <v>0</v>
      </c>
      <c r="G10" s="71">
        <f>F10*$G$8</f>
        <v>0</v>
      </c>
      <c r="H10" s="85">
        <f t="shared" ref="H10:H39" si="2">G10/14381</f>
        <v>0</v>
      </c>
      <c r="I10" s="21"/>
    </row>
    <row r="11" spans="1:9">
      <c r="A11" s="69"/>
      <c r="B11" s="22">
        <v>3</v>
      </c>
      <c r="C11" s="23">
        <f>Gas!C11</f>
        <v>16</v>
      </c>
      <c r="D11" s="23">
        <f>Gas!D11</f>
        <v>52</v>
      </c>
      <c r="E11" s="70">
        <v>2878</v>
      </c>
      <c r="F11" s="72">
        <f t="shared" si="1"/>
        <v>133</v>
      </c>
      <c r="G11" s="71">
        <f t="shared" si="0"/>
        <v>1423100</v>
      </c>
      <c r="H11" s="85">
        <f t="shared" si="2"/>
        <v>98.956957096168551</v>
      </c>
      <c r="I11" s="21"/>
    </row>
    <row r="12" spans="1:9">
      <c r="A12" s="69"/>
      <c r="B12" s="22">
        <v>4</v>
      </c>
      <c r="C12" s="23">
        <f>Gas!C12</f>
        <v>13</v>
      </c>
      <c r="D12" s="23">
        <f>Gas!D12</f>
        <v>67</v>
      </c>
      <c r="E12" s="70">
        <v>2878</v>
      </c>
      <c r="F12" s="72">
        <f t="shared" si="1"/>
        <v>0</v>
      </c>
      <c r="G12" s="71">
        <f t="shared" si="0"/>
        <v>0</v>
      </c>
      <c r="H12" s="85">
        <f t="shared" si="2"/>
        <v>0</v>
      </c>
      <c r="I12" s="21"/>
    </row>
    <row r="13" spans="1:9">
      <c r="A13" s="69"/>
      <c r="B13" s="22">
        <v>5</v>
      </c>
      <c r="C13" s="23">
        <f>Gas!C13</f>
        <v>15</v>
      </c>
      <c r="D13" s="23">
        <f>Gas!D13</f>
        <v>80</v>
      </c>
      <c r="E13" s="70">
        <v>2878</v>
      </c>
      <c r="F13" s="72">
        <f t="shared" si="1"/>
        <v>0</v>
      </c>
      <c r="G13" s="71">
        <f t="shared" si="0"/>
        <v>0</v>
      </c>
      <c r="H13" s="85">
        <f t="shared" si="2"/>
        <v>0</v>
      </c>
      <c r="I13" s="21"/>
    </row>
    <row r="14" spans="1:9">
      <c r="A14" s="69"/>
      <c r="B14" s="22">
        <v>6</v>
      </c>
      <c r="C14" s="23">
        <f>Gas!C14</f>
        <v>11</v>
      </c>
      <c r="D14" s="23">
        <f>Gas!D14</f>
        <v>51</v>
      </c>
      <c r="E14" s="70">
        <v>2985</v>
      </c>
      <c r="F14" s="72">
        <f t="shared" si="1"/>
        <v>107</v>
      </c>
      <c r="G14" s="71">
        <f t="shared" si="0"/>
        <v>1144900</v>
      </c>
      <c r="H14" s="85">
        <f t="shared" si="2"/>
        <v>79.611988039774701</v>
      </c>
      <c r="I14" s="21"/>
    </row>
    <row r="15" spans="1:9">
      <c r="A15" s="69"/>
      <c r="B15" s="22">
        <v>7</v>
      </c>
      <c r="C15" s="23">
        <f>Gas!C15</f>
        <v>9</v>
      </c>
      <c r="D15" s="23">
        <f>Gas!D15</f>
        <v>42</v>
      </c>
      <c r="E15" s="70">
        <v>2985</v>
      </c>
      <c r="F15" s="72">
        <f t="shared" si="1"/>
        <v>0</v>
      </c>
      <c r="G15" s="71">
        <f t="shared" si="0"/>
        <v>0</v>
      </c>
      <c r="H15" s="85">
        <f t="shared" si="2"/>
        <v>0</v>
      </c>
      <c r="I15" s="21"/>
    </row>
    <row r="16" spans="1:9">
      <c r="A16" s="69"/>
      <c r="B16" s="22">
        <v>8</v>
      </c>
      <c r="C16" s="23">
        <f>Gas!C16</f>
        <v>6</v>
      </c>
      <c r="D16" s="23">
        <f>Gas!D16</f>
        <v>35</v>
      </c>
      <c r="E16" s="70">
        <v>2985</v>
      </c>
      <c r="F16" s="72">
        <f t="shared" si="1"/>
        <v>0</v>
      </c>
      <c r="G16" s="71">
        <f t="shared" si="0"/>
        <v>0</v>
      </c>
      <c r="H16" s="85">
        <f t="shared" si="2"/>
        <v>0</v>
      </c>
      <c r="I16" s="21"/>
    </row>
    <row r="17" spans="1:9">
      <c r="A17" s="69"/>
      <c r="B17" s="22">
        <v>9</v>
      </c>
      <c r="C17" s="23">
        <f>Gas!C17</f>
        <v>8</v>
      </c>
      <c r="D17" s="23">
        <f>Gas!D17</f>
        <v>50</v>
      </c>
      <c r="E17" s="70">
        <v>2985</v>
      </c>
      <c r="F17" s="72">
        <f t="shared" si="1"/>
        <v>0</v>
      </c>
      <c r="G17" s="71">
        <f t="shared" si="0"/>
        <v>0</v>
      </c>
      <c r="H17" s="85">
        <f t="shared" si="2"/>
        <v>0</v>
      </c>
      <c r="I17" s="21"/>
    </row>
    <row r="18" spans="1:9">
      <c r="A18" s="69"/>
      <c r="B18" s="22">
        <v>10</v>
      </c>
      <c r="C18" s="23">
        <f>Gas!C18</f>
        <v>7</v>
      </c>
      <c r="D18" s="23">
        <f>Gas!D18</f>
        <v>31</v>
      </c>
      <c r="E18" s="70">
        <v>2985</v>
      </c>
      <c r="F18" s="72">
        <f t="shared" si="1"/>
        <v>0</v>
      </c>
      <c r="G18" s="71">
        <f t="shared" si="0"/>
        <v>0</v>
      </c>
      <c r="H18" s="85">
        <f t="shared" si="2"/>
        <v>0</v>
      </c>
      <c r="I18" s="21"/>
    </row>
    <row r="19" spans="1:9">
      <c r="A19" s="69"/>
      <c r="B19" s="22">
        <v>11</v>
      </c>
      <c r="C19" s="23">
        <f>Gas!C19</f>
        <v>6</v>
      </c>
      <c r="D19" s="23">
        <f>Gas!D19</f>
        <v>28</v>
      </c>
      <c r="E19" s="70">
        <v>2985</v>
      </c>
      <c r="F19" s="72">
        <f t="shared" si="1"/>
        <v>0</v>
      </c>
      <c r="G19" s="71">
        <f t="shared" si="0"/>
        <v>0</v>
      </c>
      <c r="H19" s="85">
        <f t="shared" si="2"/>
        <v>0</v>
      </c>
      <c r="I19" s="21"/>
    </row>
    <row r="20" spans="1:9">
      <c r="A20" s="69"/>
      <c r="B20" s="22">
        <v>12</v>
      </c>
      <c r="C20" s="23">
        <f>Gas!C20</f>
        <v>3</v>
      </c>
      <c r="D20" s="23">
        <f>Gas!D20</f>
        <v>19</v>
      </c>
      <c r="E20" s="70">
        <v>2998</v>
      </c>
      <c r="F20" s="72">
        <f t="shared" si="1"/>
        <v>13</v>
      </c>
      <c r="G20" s="71">
        <f t="shared" si="0"/>
        <v>139100</v>
      </c>
      <c r="H20" s="85">
        <f t="shared" si="2"/>
        <v>9.6724845281969269</v>
      </c>
      <c r="I20" s="21"/>
    </row>
    <row r="21" spans="1:9">
      <c r="A21" s="69"/>
      <c r="B21" s="22">
        <v>13</v>
      </c>
      <c r="C21" s="23">
        <f>Gas!C21</f>
        <v>5</v>
      </c>
      <c r="D21" s="23">
        <f>Gas!D21</f>
        <v>18</v>
      </c>
      <c r="E21" s="70">
        <v>2998</v>
      </c>
      <c r="F21" s="72">
        <f t="shared" si="1"/>
        <v>0</v>
      </c>
      <c r="G21" s="71">
        <f t="shared" si="0"/>
        <v>0</v>
      </c>
      <c r="H21" s="85">
        <f t="shared" si="2"/>
        <v>0</v>
      </c>
      <c r="I21" s="21"/>
    </row>
    <row r="22" spans="1:9">
      <c r="A22" s="69"/>
      <c r="B22" s="22">
        <v>14</v>
      </c>
      <c r="C22" s="23">
        <f>Gas!C22</f>
        <v>5</v>
      </c>
      <c r="D22" s="23">
        <f>Gas!D22</f>
        <v>32</v>
      </c>
      <c r="E22" s="70">
        <v>2998</v>
      </c>
      <c r="F22" s="72">
        <f t="shared" si="1"/>
        <v>0</v>
      </c>
      <c r="G22" s="71">
        <f t="shared" si="0"/>
        <v>0</v>
      </c>
      <c r="H22" s="85">
        <f t="shared" si="2"/>
        <v>0</v>
      </c>
      <c r="I22" s="21"/>
    </row>
    <row r="23" spans="1:9">
      <c r="A23" s="69"/>
      <c r="B23" s="22">
        <v>15</v>
      </c>
      <c r="C23" s="23">
        <f>Gas!C23</f>
        <v>5</v>
      </c>
      <c r="D23" s="23">
        <f>Gas!D23</f>
        <v>16</v>
      </c>
      <c r="E23" s="70">
        <v>2998</v>
      </c>
      <c r="F23" s="72">
        <f t="shared" si="1"/>
        <v>0</v>
      </c>
      <c r="G23" s="71">
        <f t="shared" si="0"/>
        <v>0</v>
      </c>
      <c r="H23" s="85">
        <f t="shared" si="2"/>
        <v>0</v>
      </c>
      <c r="I23" s="21"/>
    </row>
    <row r="24" spans="1:9">
      <c r="A24" s="69"/>
      <c r="B24" s="22">
        <v>16</v>
      </c>
      <c r="C24" s="23">
        <f>Gas!C24</f>
        <v>2</v>
      </c>
      <c r="D24" s="23">
        <f>Gas!D24</f>
        <v>20</v>
      </c>
      <c r="E24" s="70">
        <v>2998</v>
      </c>
      <c r="F24" s="72">
        <f t="shared" si="1"/>
        <v>0</v>
      </c>
      <c r="G24" s="71">
        <f t="shared" si="0"/>
        <v>0</v>
      </c>
      <c r="H24" s="85">
        <f t="shared" si="2"/>
        <v>0</v>
      </c>
      <c r="I24" s="21"/>
    </row>
    <row r="25" spans="1:9">
      <c r="A25" s="69"/>
      <c r="B25" s="22">
        <v>17</v>
      </c>
      <c r="C25" s="23">
        <f>Gas!C25</f>
        <v>2</v>
      </c>
      <c r="D25" s="23">
        <f>Gas!D25</f>
        <v>14</v>
      </c>
      <c r="E25" s="70">
        <v>3021</v>
      </c>
      <c r="F25" s="72">
        <f t="shared" si="1"/>
        <v>23</v>
      </c>
      <c r="G25" s="71">
        <f t="shared" si="0"/>
        <v>246100</v>
      </c>
      <c r="H25" s="85">
        <f t="shared" si="2"/>
        <v>17.112857242194561</v>
      </c>
      <c r="I25" s="21"/>
    </row>
    <row r="26" spans="1:9">
      <c r="A26" s="69"/>
      <c r="B26" s="22">
        <v>18</v>
      </c>
      <c r="C26" s="23">
        <f>Gas!C26</f>
        <v>1</v>
      </c>
      <c r="D26" s="23">
        <f>Gas!D26</f>
        <v>14</v>
      </c>
      <c r="E26" s="70">
        <v>3021</v>
      </c>
      <c r="F26" s="72">
        <f t="shared" si="1"/>
        <v>0</v>
      </c>
      <c r="G26" s="71">
        <f t="shared" si="0"/>
        <v>0</v>
      </c>
      <c r="H26" s="85">
        <f t="shared" si="2"/>
        <v>0</v>
      </c>
      <c r="I26" s="21"/>
    </row>
    <row r="27" spans="1:9">
      <c r="A27" s="69"/>
      <c r="B27" s="22">
        <v>19</v>
      </c>
      <c r="C27" s="23">
        <f>Gas!C27</f>
        <v>2</v>
      </c>
      <c r="D27" s="23">
        <f>Gas!D27</f>
        <v>5</v>
      </c>
      <c r="E27" s="70">
        <v>3021</v>
      </c>
      <c r="F27" s="72"/>
      <c r="G27" s="71">
        <f t="shared" si="0"/>
        <v>0</v>
      </c>
      <c r="H27" s="85">
        <f t="shared" si="2"/>
        <v>0</v>
      </c>
      <c r="I27" s="21"/>
    </row>
    <row r="28" spans="1:9">
      <c r="A28" s="69"/>
      <c r="B28" s="22">
        <v>20</v>
      </c>
      <c r="C28" s="23">
        <f>Gas!C28</f>
        <v>4</v>
      </c>
      <c r="D28" s="23">
        <f>Gas!D28</f>
        <v>14</v>
      </c>
      <c r="E28" s="70">
        <v>3021</v>
      </c>
      <c r="F28" s="71"/>
      <c r="G28" s="71">
        <f t="shared" si="0"/>
        <v>0</v>
      </c>
      <c r="H28" s="85">
        <f t="shared" si="2"/>
        <v>0</v>
      </c>
      <c r="I28" s="21"/>
    </row>
    <row r="29" spans="1:9">
      <c r="A29" s="69"/>
      <c r="B29" s="22">
        <v>21</v>
      </c>
      <c r="C29" s="23">
        <f>Gas!C29</f>
        <v>8</v>
      </c>
      <c r="D29" s="23">
        <f>Gas!D29</f>
        <v>29</v>
      </c>
      <c r="E29" s="70">
        <v>3021</v>
      </c>
      <c r="F29" s="72"/>
      <c r="G29" s="71">
        <f t="shared" si="0"/>
        <v>0</v>
      </c>
      <c r="H29" s="85">
        <f t="shared" si="2"/>
        <v>0</v>
      </c>
      <c r="I29" s="21"/>
    </row>
    <row r="30" spans="1:9">
      <c r="A30" s="69"/>
      <c r="B30" s="22">
        <v>22</v>
      </c>
      <c r="C30" s="23">
        <f>Gas!C30</f>
        <v>8</v>
      </c>
      <c r="D30" s="23">
        <f>Gas!D30</f>
        <v>44</v>
      </c>
      <c r="E30" s="70">
        <v>3021</v>
      </c>
      <c r="F30" s="71"/>
      <c r="G30" s="71">
        <f t="shared" si="0"/>
        <v>0</v>
      </c>
      <c r="H30" s="85">
        <f t="shared" si="2"/>
        <v>0</v>
      </c>
      <c r="I30" s="21"/>
    </row>
    <row r="31" spans="1:9">
      <c r="A31" s="69"/>
      <c r="B31" s="22">
        <v>23</v>
      </c>
      <c r="C31" s="23">
        <f>Gas!C31</f>
        <v>6</v>
      </c>
      <c r="D31" s="23">
        <f>Gas!D31</f>
        <v>35</v>
      </c>
      <c r="E31" s="70">
        <v>3021</v>
      </c>
      <c r="F31" s="71"/>
      <c r="G31" s="71">
        <f t="shared" si="0"/>
        <v>0</v>
      </c>
      <c r="H31" s="85">
        <f t="shared" si="2"/>
        <v>0</v>
      </c>
      <c r="I31" s="21"/>
    </row>
    <row r="32" spans="1:9">
      <c r="A32" s="69"/>
      <c r="B32" s="22">
        <v>24</v>
      </c>
      <c r="C32" s="23">
        <f>Gas!C32</f>
        <v>9</v>
      </c>
      <c r="D32" s="23">
        <f>Gas!D32</f>
        <v>22</v>
      </c>
      <c r="E32" s="70">
        <v>3021</v>
      </c>
      <c r="F32" s="71"/>
      <c r="G32" s="71"/>
      <c r="H32" s="85">
        <f t="shared" si="2"/>
        <v>0</v>
      </c>
      <c r="I32" s="21"/>
    </row>
    <row r="33" spans="1:11">
      <c r="A33" s="69"/>
      <c r="B33" s="22">
        <v>25</v>
      </c>
      <c r="C33" s="23">
        <f>Gas!C33</f>
        <v>7</v>
      </c>
      <c r="D33" s="23">
        <f>Gas!D33</f>
        <v>37</v>
      </c>
      <c r="E33" s="70">
        <v>3035</v>
      </c>
      <c r="F33" s="71">
        <v>14</v>
      </c>
      <c r="G33" s="71">
        <f t="shared" si="0"/>
        <v>149800</v>
      </c>
      <c r="H33" s="85">
        <f t="shared" si="2"/>
        <v>10.416521799596691</v>
      </c>
      <c r="I33" s="21"/>
    </row>
    <row r="34" spans="1:11">
      <c r="A34" s="69"/>
      <c r="B34" s="22">
        <v>26</v>
      </c>
      <c r="C34" s="23">
        <f>Gas!C34</f>
        <v>3</v>
      </c>
      <c r="D34" s="23">
        <f>Gas!D34</f>
        <v>29</v>
      </c>
      <c r="E34" s="70">
        <v>3035</v>
      </c>
      <c r="F34" s="71"/>
      <c r="G34" s="71">
        <f t="shared" si="0"/>
        <v>0</v>
      </c>
      <c r="H34" s="85">
        <f t="shared" si="2"/>
        <v>0</v>
      </c>
      <c r="I34" s="21"/>
    </row>
    <row r="35" spans="1:11">
      <c r="A35" s="69"/>
      <c r="B35" s="22">
        <v>27</v>
      </c>
      <c r="C35" s="23">
        <f>Gas!C35</f>
        <v>4</v>
      </c>
      <c r="D35" s="23">
        <f>Gas!D35</f>
        <v>13</v>
      </c>
      <c r="E35" s="70">
        <v>3035</v>
      </c>
      <c r="F35" s="71"/>
      <c r="G35" s="71">
        <f t="shared" si="0"/>
        <v>0</v>
      </c>
      <c r="H35" s="85">
        <f t="shared" si="2"/>
        <v>0</v>
      </c>
      <c r="I35" s="21"/>
    </row>
    <row r="36" spans="1:11">
      <c r="A36" s="69"/>
      <c r="B36" s="22">
        <v>28</v>
      </c>
      <c r="C36" s="23">
        <f>Gas!C36</f>
        <v>5</v>
      </c>
      <c r="D36" s="23">
        <f>Gas!D36</f>
        <v>19</v>
      </c>
      <c r="E36" s="70">
        <v>3035</v>
      </c>
      <c r="F36" s="71"/>
      <c r="G36" s="71">
        <f t="shared" si="0"/>
        <v>0</v>
      </c>
      <c r="H36" s="85">
        <f t="shared" si="2"/>
        <v>0</v>
      </c>
      <c r="I36" s="21"/>
    </row>
    <row r="37" spans="1:11">
      <c r="A37" s="69"/>
      <c r="B37" s="22">
        <v>29</v>
      </c>
      <c r="C37" s="23">
        <f>Gas!C37</f>
        <v>3</v>
      </c>
      <c r="D37" s="23">
        <f>Gas!D37</f>
        <v>21</v>
      </c>
      <c r="E37" s="70">
        <v>3035</v>
      </c>
      <c r="F37" s="71"/>
      <c r="G37" s="71">
        <f t="shared" si="0"/>
        <v>0</v>
      </c>
      <c r="H37" s="85">
        <f t="shared" si="2"/>
        <v>0</v>
      </c>
      <c r="I37" s="21"/>
    </row>
    <row r="38" spans="1:11">
      <c r="A38" s="69"/>
      <c r="B38" s="22">
        <v>30</v>
      </c>
      <c r="C38" s="23">
        <f>Gas!C38</f>
        <v>5</v>
      </c>
      <c r="D38" s="23">
        <f>Gas!D38</f>
        <v>23</v>
      </c>
      <c r="E38" s="70">
        <v>3035</v>
      </c>
      <c r="F38" s="71"/>
      <c r="G38" s="71">
        <f t="shared" si="0"/>
        <v>0</v>
      </c>
      <c r="H38" s="85">
        <f t="shared" si="2"/>
        <v>0</v>
      </c>
      <c r="I38" s="21"/>
    </row>
    <row r="39" spans="1:11">
      <c r="A39" s="69"/>
      <c r="B39" s="22">
        <v>31</v>
      </c>
      <c r="C39" s="23">
        <f>Gas!C39</f>
        <v>10</v>
      </c>
      <c r="D39" s="23">
        <f>Gas!D39</f>
        <v>37</v>
      </c>
      <c r="E39" s="70">
        <v>3035</v>
      </c>
      <c r="F39" s="71"/>
      <c r="G39" s="71">
        <f t="shared" si="0"/>
        <v>0</v>
      </c>
      <c r="H39" s="85">
        <f t="shared" si="2"/>
        <v>0</v>
      </c>
      <c r="I39" s="21"/>
    </row>
    <row r="40" spans="1:11">
      <c r="C40" s="30">
        <f>SUM(C9:C39)</f>
        <v>207</v>
      </c>
      <c r="D40" s="30">
        <f>SUM(D9:D39)</f>
        <v>976</v>
      </c>
      <c r="E40" s="30"/>
      <c r="F40" s="30">
        <f>SUM(F9:F39)</f>
        <v>290</v>
      </c>
      <c r="G40" s="30"/>
      <c r="H40" s="73">
        <f>SUM(H9:H39)</f>
        <v>215.77080870593142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workbookViewId="0">
      <selection activeCell="H43" sqref="H43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96" t="s">
        <v>49</v>
      </c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5.75">
      <c r="B3" s="96" t="s">
        <v>16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97">
        <v>44562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6"/>
    </row>
    <row r="6" spans="1:13">
      <c r="A6" s="17"/>
      <c r="B6" s="95" t="s">
        <v>17</v>
      </c>
      <c r="C6" s="95" t="s">
        <v>50</v>
      </c>
      <c r="D6" s="95" t="s">
        <v>13</v>
      </c>
      <c r="E6" s="101" t="s">
        <v>51</v>
      </c>
      <c r="F6" s="101"/>
      <c r="G6" s="103" t="s">
        <v>52</v>
      </c>
      <c r="H6" s="103"/>
      <c r="I6" s="103"/>
      <c r="J6" s="103"/>
      <c r="K6" s="95" t="s">
        <v>53</v>
      </c>
      <c r="L6" s="95" t="s">
        <v>54</v>
      </c>
      <c r="M6" s="18"/>
    </row>
    <row r="7" spans="1:13" s="19" customFormat="1">
      <c r="A7" s="17"/>
      <c r="B7" s="95"/>
      <c r="C7" s="95"/>
      <c r="D7" s="95"/>
      <c r="E7" s="95" t="s">
        <v>55</v>
      </c>
      <c r="F7" s="95" t="s">
        <v>56</v>
      </c>
      <c r="G7" s="95" t="s">
        <v>55</v>
      </c>
      <c r="H7" s="95" t="s">
        <v>57</v>
      </c>
      <c r="I7" s="95" t="s">
        <v>55</v>
      </c>
      <c r="J7" s="95" t="s">
        <v>58</v>
      </c>
      <c r="K7" s="95"/>
      <c r="L7" s="95"/>
      <c r="M7" s="18"/>
    </row>
    <row r="8" spans="1:13">
      <c r="A8" s="20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21"/>
    </row>
    <row r="9" spans="1:13">
      <c r="A9" s="20"/>
      <c r="B9" s="22">
        <v>1</v>
      </c>
      <c r="C9" s="23">
        <f>'Fuel Diesel'!C9</f>
        <v>8</v>
      </c>
      <c r="D9" s="23">
        <f>'Fuel Diesel'!D9</f>
        <v>47</v>
      </c>
      <c r="E9" s="24">
        <v>0</v>
      </c>
      <c r="F9" s="26">
        <f>E9*13582</f>
        <v>0</v>
      </c>
      <c r="G9" s="24">
        <v>125</v>
      </c>
      <c r="H9" s="26">
        <f>G9*4000</f>
        <v>500000</v>
      </c>
      <c r="I9" s="24">
        <v>201</v>
      </c>
      <c r="J9" s="26">
        <f>I9*4000</f>
        <v>804000</v>
      </c>
      <c r="K9" s="24">
        <f t="shared" ref="K9:K39" si="0">F9+H9+J9</f>
        <v>1304000</v>
      </c>
      <c r="L9" s="77">
        <f>K9/14381</f>
        <v>90.675196439746884</v>
      </c>
      <c r="M9" s="21"/>
    </row>
    <row r="10" spans="1:13">
      <c r="A10" s="20"/>
      <c r="B10" s="22">
        <v>2</v>
      </c>
      <c r="C10" s="23">
        <f>'Fuel Diesel'!C10</f>
        <v>11</v>
      </c>
      <c r="D10" s="23">
        <f>'Fuel Diesel'!D10</f>
        <v>32</v>
      </c>
      <c r="E10" s="24">
        <v>0</v>
      </c>
      <c r="F10" s="26">
        <f>E10*13582</f>
        <v>0</v>
      </c>
      <c r="G10" s="24">
        <v>117</v>
      </c>
      <c r="H10" s="26">
        <f>G10*4000</f>
        <v>468000</v>
      </c>
      <c r="I10" s="24">
        <v>185</v>
      </c>
      <c r="J10" s="26">
        <f>I10*4000</f>
        <v>740000</v>
      </c>
      <c r="K10" s="24">
        <f t="shared" si="0"/>
        <v>1208000</v>
      </c>
      <c r="L10" s="77">
        <f t="shared" ref="L10:L39" si="1">K10/14381</f>
        <v>83.999721855225644</v>
      </c>
      <c r="M10" s="21"/>
    </row>
    <row r="11" spans="1:13">
      <c r="A11" s="20"/>
      <c r="B11" s="22">
        <v>3</v>
      </c>
      <c r="C11" s="23">
        <f>'Fuel Diesel'!C11</f>
        <v>16</v>
      </c>
      <c r="D11" s="23">
        <f>'Fuel Diesel'!D11</f>
        <v>52</v>
      </c>
      <c r="E11" s="24">
        <v>0</v>
      </c>
      <c r="F11" s="26">
        <f t="shared" ref="F11:F39" si="2">E11*13582</f>
        <v>0</v>
      </c>
      <c r="G11" s="24">
        <v>122</v>
      </c>
      <c r="H11" s="26">
        <f t="shared" ref="H11:H39" si="3">G11*4000</f>
        <v>488000</v>
      </c>
      <c r="I11" s="24">
        <v>187</v>
      </c>
      <c r="J11" s="26">
        <f t="shared" ref="J11:J39" si="4">I11*4000</f>
        <v>748000</v>
      </c>
      <c r="K11" s="24">
        <f t="shared" si="0"/>
        <v>1236000</v>
      </c>
      <c r="L11" s="77">
        <f t="shared" si="1"/>
        <v>85.946735275711006</v>
      </c>
      <c r="M11" s="21"/>
    </row>
    <row r="12" spans="1:13">
      <c r="A12" s="20"/>
      <c r="B12" s="22">
        <v>4</v>
      </c>
      <c r="C12" s="23">
        <f>'Fuel Diesel'!C12</f>
        <v>13</v>
      </c>
      <c r="D12" s="23">
        <f>'Fuel Diesel'!D12</f>
        <v>67</v>
      </c>
      <c r="E12" s="24">
        <v>0</v>
      </c>
      <c r="F12" s="26">
        <f t="shared" si="2"/>
        <v>0</v>
      </c>
      <c r="G12" s="24">
        <v>91</v>
      </c>
      <c r="H12" s="26">
        <f t="shared" si="3"/>
        <v>364000</v>
      </c>
      <c r="I12" s="24">
        <v>147</v>
      </c>
      <c r="J12" s="26">
        <f t="shared" si="4"/>
        <v>588000</v>
      </c>
      <c r="K12" s="24">
        <f t="shared" si="0"/>
        <v>952000</v>
      </c>
      <c r="L12" s="77">
        <f t="shared" si="1"/>
        <v>66.198456296502329</v>
      </c>
      <c r="M12" s="21"/>
    </row>
    <row r="13" spans="1:13">
      <c r="A13" s="20"/>
      <c r="B13" s="22">
        <v>5</v>
      </c>
      <c r="C13" s="23">
        <f>'Fuel Diesel'!C13</f>
        <v>15</v>
      </c>
      <c r="D13" s="23">
        <f>'Fuel Diesel'!D13</f>
        <v>80</v>
      </c>
      <c r="E13" s="24">
        <v>0</v>
      </c>
      <c r="F13" s="26">
        <f t="shared" si="2"/>
        <v>0</v>
      </c>
      <c r="G13" s="24">
        <v>65</v>
      </c>
      <c r="H13" s="26">
        <f t="shared" si="3"/>
        <v>260000</v>
      </c>
      <c r="I13" s="24">
        <v>105</v>
      </c>
      <c r="J13" s="26">
        <f t="shared" si="4"/>
        <v>420000</v>
      </c>
      <c r="K13" s="24">
        <f t="shared" si="0"/>
        <v>680000</v>
      </c>
      <c r="L13" s="77">
        <f t="shared" si="1"/>
        <v>47.284611640358804</v>
      </c>
      <c r="M13" s="21"/>
    </row>
    <row r="14" spans="1:13">
      <c r="A14" s="20"/>
      <c r="B14" s="22">
        <v>6</v>
      </c>
      <c r="C14" s="23">
        <f>'Fuel Diesel'!C14</f>
        <v>11</v>
      </c>
      <c r="D14" s="23">
        <f>'Fuel Diesel'!D14</f>
        <v>51</v>
      </c>
      <c r="E14" s="24">
        <v>0</v>
      </c>
      <c r="F14" s="26">
        <f t="shared" si="2"/>
        <v>0</v>
      </c>
      <c r="G14" s="24">
        <v>61</v>
      </c>
      <c r="H14" s="26">
        <f t="shared" si="3"/>
        <v>244000</v>
      </c>
      <c r="I14" s="24">
        <v>99</v>
      </c>
      <c r="J14" s="26">
        <f t="shared" si="4"/>
        <v>396000</v>
      </c>
      <c r="K14" s="24">
        <f t="shared" si="0"/>
        <v>640000</v>
      </c>
      <c r="L14" s="77">
        <f t="shared" si="1"/>
        <v>44.503163896808289</v>
      </c>
      <c r="M14" s="21"/>
    </row>
    <row r="15" spans="1:13">
      <c r="A15" s="20"/>
      <c r="B15" s="22">
        <v>7</v>
      </c>
      <c r="C15" s="23">
        <f>'Fuel Diesel'!C15</f>
        <v>9</v>
      </c>
      <c r="D15" s="23">
        <f>'Fuel Diesel'!D15</f>
        <v>42</v>
      </c>
      <c r="E15" s="24">
        <v>0</v>
      </c>
      <c r="F15" s="26">
        <f t="shared" si="2"/>
        <v>0</v>
      </c>
      <c r="G15" s="24">
        <v>61</v>
      </c>
      <c r="H15" s="26">
        <f t="shared" si="3"/>
        <v>244000</v>
      </c>
      <c r="I15" s="24">
        <v>100</v>
      </c>
      <c r="J15" s="26">
        <f t="shared" si="4"/>
        <v>400000</v>
      </c>
      <c r="K15" s="24">
        <f t="shared" si="0"/>
        <v>644000</v>
      </c>
      <c r="L15" s="77">
        <f t="shared" si="1"/>
        <v>44.781308671163337</v>
      </c>
      <c r="M15" s="21"/>
    </row>
    <row r="16" spans="1:13">
      <c r="A16" s="20"/>
      <c r="B16" s="22">
        <v>8</v>
      </c>
      <c r="C16" s="23">
        <f>'Fuel Diesel'!C16</f>
        <v>6</v>
      </c>
      <c r="D16" s="23">
        <f>'Fuel Diesel'!D16</f>
        <v>35</v>
      </c>
      <c r="E16" s="24">
        <v>0</v>
      </c>
      <c r="F16" s="26">
        <f t="shared" si="2"/>
        <v>0</v>
      </c>
      <c r="G16" s="24">
        <v>65</v>
      </c>
      <c r="H16" s="26">
        <f t="shared" si="3"/>
        <v>260000</v>
      </c>
      <c r="I16" s="24">
        <v>106</v>
      </c>
      <c r="J16" s="26">
        <f t="shared" si="4"/>
        <v>424000</v>
      </c>
      <c r="K16" s="24">
        <f t="shared" si="0"/>
        <v>684000</v>
      </c>
      <c r="L16" s="77">
        <f t="shared" si="1"/>
        <v>47.56275641471386</v>
      </c>
      <c r="M16" s="21"/>
    </row>
    <row r="17" spans="1:13">
      <c r="A17" s="20"/>
      <c r="B17" s="22">
        <v>9</v>
      </c>
      <c r="C17" s="23">
        <f>'Fuel Diesel'!C17</f>
        <v>8</v>
      </c>
      <c r="D17" s="23">
        <f>'Fuel Diesel'!D17</f>
        <v>50</v>
      </c>
      <c r="E17" s="24">
        <v>0</v>
      </c>
      <c r="F17" s="26">
        <f t="shared" si="2"/>
        <v>0</v>
      </c>
      <c r="G17" s="24">
        <v>49</v>
      </c>
      <c r="H17" s="26">
        <f t="shared" si="3"/>
        <v>196000</v>
      </c>
      <c r="I17" s="24">
        <v>113</v>
      </c>
      <c r="J17" s="26">
        <f t="shared" si="4"/>
        <v>452000</v>
      </c>
      <c r="K17" s="24">
        <f t="shared" si="0"/>
        <v>648000</v>
      </c>
      <c r="L17" s="77">
        <f t="shared" si="1"/>
        <v>45.059453445518393</v>
      </c>
      <c r="M17" s="21"/>
    </row>
    <row r="18" spans="1:13">
      <c r="A18" s="20"/>
      <c r="B18" s="22">
        <v>10</v>
      </c>
      <c r="C18" s="23">
        <f>'Fuel Diesel'!C18</f>
        <v>7</v>
      </c>
      <c r="D18" s="23">
        <f>'Fuel Diesel'!D18</f>
        <v>31</v>
      </c>
      <c r="E18" s="24">
        <v>0</v>
      </c>
      <c r="F18" s="26">
        <f t="shared" si="2"/>
        <v>0</v>
      </c>
      <c r="G18" s="24">
        <v>0</v>
      </c>
      <c r="H18" s="26">
        <f t="shared" si="3"/>
        <v>0</v>
      </c>
      <c r="I18" s="24">
        <v>172</v>
      </c>
      <c r="J18" s="26">
        <f t="shared" si="4"/>
        <v>688000</v>
      </c>
      <c r="K18" s="24">
        <f t="shared" si="0"/>
        <v>688000</v>
      </c>
      <c r="L18" s="77">
        <f t="shared" si="1"/>
        <v>47.840901189068909</v>
      </c>
      <c r="M18" s="21"/>
    </row>
    <row r="19" spans="1:13">
      <c r="A19" s="20"/>
      <c r="B19" s="22">
        <v>11</v>
      </c>
      <c r="C19" s="23">
        <f>'Fuel Diesel'!C19</f>
        <v>6</v>
      </c>
      <c r="D19" s="23">
        <f>'Fuel Diesel'!D19</f>
        <v>28</v>
      </c>
      <c r="E19" s="24">
        <v>0</v>
      </c>
      <c r="F19" s="26">
        <f t="shared" si="2"/>
        <v>0</v>
      </c>
      <c r="G19" s="24">
        <v>0</v>
      </c>
      <c r="H19" s="26">
        <f t="shared" si="3"/>
        <v>0</v>
      </c>
      <c r="I19" s="24">
        <v>138</v>
      </c>
      <c r="J19" s="26">
        <f t="shared" si="4"/>
        <v>552000</v>
      </c>
      <c r="K19" s="24">
        <f t="shared" si="0"/>
        <v>552000</v>
      </c>
      <c r="L19" s="77">
        <f t="shared" si="1"/>
        <v>38.383978860997146</v>
      </c>
      <c r="M19" s="21"/>
    </row>
    <row r="20" spans="1:13">
      <c r="A20" s="20"/>
      <c r="B20" s="22">
        <v>12</v>
      </c>
      <c r="C20" s="23">
        <f>'Fuel Diesel'!C20</f>
        <v>3</v>
      </c>
      <c r="D20" s="23">
        <f>'Fuel Diesel'!D20</f>
        <v>19</v>
      </c>
      <c r="E20" s="24">
        <v>0</v>
      </c>
      <c r="F20" s="26">
        <f t="shared" si="2"/>
        <v>0</v>
      </c>
      <c r="G20" s="24">
        <v>0</v>
      </c>
      <c r="H20" s="26">
        <f>G20*4000</f>
        <v>0</v>
      </c>
      <c r="I20" s="24">
        <v>108</v>
      </c>
      <c r="J20" s="26">
        <f t="shared" si="4"/>
        <v>432000</v>
      </c>
      <c r="K20" s="24">
        <f t="shared" si="0"/>
        <v>432000</v>
      </c>
      <c r="L20" s="77">
        <f t="shared" si="1"/>
        <v>30.039635630345593</v>
      </c>
      <c r="M20" s="21"/>
    </row>
    <row r="21" spans="1:13">
      <c r="A21" s="20"/>
      <c r="B21" s="22">
        <v>13</v>
      </c>
      <c r="C21" s="23">
        <f>'Fuel Diesel'!C21</f>
        <v>5</v>
      </c>
      <c r="D21" s="23">
        <f>'Fuel Diesel'!D21</f>
        <v>18</v>
      </c>
      <c r="E21" s="24">
        <v>0</v>
      </c>
      <c r="F21" s="26">
        <f t="shared" si="2"/>
        <v>0</v>
      </c>
      <c r="G21" s="24">
        <v>0</v>
      </c>
      <c r="H21" s="26">
        <f t="shared" si="3"/>
        <v>0</v>
      </c>
      <c r="I21" s="24">
        <v>126</v>
      </c>
      <c r="J21" s="26">
        <f t="shared" si="4"/>
        <v>504000</v>
      </c>
      <c r="K21" s="24">
        <f t="shared" si="0"/>
        <v>504000</v>
      </c>
      <c r="L21" s="77">
        <f t="shared" si="1"/>
        <v>35.046241568736527</v>
      </c>
      <c r="M21" s="21"/>
    </row>
    <row r="22" spans="1:13">
      <c r="A22" s="20"/>
      <c r="B22" s="22">
        <v>14</v>
      </c>
      <c r="C22" s="23">
        <f>'Fuel Diesel'!C22</f>
        <v>5</v>
      </c>
      <c r="D22" s="23">
        <f>'Fuel Diesel'!D22</f>
        <v>32</v>
      </c>
      <c r="E22" s="24">
        <v>0</v>
      </c>
      <c r="F22" s="26">
        <f t="shared" si="2"/>
        <v>0</v>
      </c>
      <c r="G22" s="24">
        <v>0</v>
      </c>
      <c r="H22" s="26">
        <f t="shared" si="3"/>
        <v>0</v>
      </c>
      <c r="I22" s="24">
        <v>133</v>
      </c>
      <c r="J22" s="26">
        <f t="shared" si="4"/>
        <v>532000</v>
      </c>
      <c r="K22" s="24">
        <f t="shared" si="0"/>
        <v>532000</v>
      </c>
      <c r="L22" s="77">
        <f t="shared" si="1"/>
        <v>36.993254989221889</v>
      </c>
      <c r="M22" s="21"/>
    </row>
    <row r="23" spans="1:13">
      <c r="A23" s="20"/>
      <c r="B23" s="22">
        <v>15</v>
      </c>
      <c r="C23" s="23">
        <f>'Fuel Diesel'!C23</f>
        <v>5</v>
      </c>
      <c r="D23" s="23">
        <f>'Fuel Diesel'!D23</f>
        <v>16</v>
      </c>
      <c r="E23" s="24">
        <v>0</v>
      </c>
      <c r="F23" s="26">
        <f t="shared" si="2"/>
        <v>0</v>
      </c>
      <c r="G23" s="24">
        <v>0</v>
      </c>
      <c r="H23" s="26">
        <f t="shared" si="3"/>
        <v>0</v>
      </c>
      <c r="I23" s="24">
        <v>122</v>
      </c>
      <c r="J23" s="26">
        <f t="shared" si="4"/>
        <v>488000</v>
      </c>
      <c r="K23" s="24">
        <f t="shared" si="0"/>
        <v>488000</v>
      </c>
      <c r="L23" s="77">
        <f t="shared" si="1"/>
        <v>33.933662471316318</v>
      </c>
      <c r="M23" s="21"/>
    </row>
    <row r="24" spans="1:13">
      <c r="A24" s="20"/>
      <c r="B24" s="22">
        <v>16</v>
      </c>
      <c r="C24" s="23">
        <f>'Fuel Diesel'!C24</f>
        <v>2</v>
      </c>
      <c r="D24" s="23">
        <f>'Fuel Diesel'!D24</f>
        <v>20</v>
      </c>
      <c r="E24" s="24">
        <v>0</v>
      </c>
      <c r="F24" s="26">
        <f t="shared" si="2"/>
        <v>0</v>
      </c>
      <c r="G24" s="24">
        <v>0</v>
      </c>
      <c r="H24" s="26">
        <f t="shared" si="3"/>
        <v>0</v>
      </c>
      <c r="I24" s="24">
        <v>125</v>
      </c>
      <c r="J24" s="26">
        <f t="shared" si="4"/>
        <v>500000</v>
      </c>
      <c r="K24" s="24">
        <f t="shared" si="0"/>
        <v>500000</v>
      </c>
      <c r="L24" s="77">
        <f t="shared" si="1"/>
        <v>34.768096794381478</v>
      </c>
      <c r="M24" s="21"/>
    </row>
    <row r="25" spans="1:13">
      <c r="A25" s="20"/>
      <c r="B25" s="22">
        <v>17</v>
      </c>
      <c r="C25" s="23">
        <f>'Fuel Diesel'!C25</f>
        <v>2</v>
      </c>
      <c r="D25" s="23">
        <f>'Fuel Diesel'!D25</f>
        <v>14</v>
      </c>
      <c r="E25" s="24">
        <v>0</v>
      </c>
      <c r="F25" s="26">
        <f t="shared" si="2"/>
        <v>0</v>
      </c>
      <c r="G25" s="24">
        <v>0</v>
      </c>
      <c r="H25" s="26">
        <f t="shared" si="3"/>
        <v>0</v>
      </c>
      <c r="I25" s="24">
        <v>108</v>
      </c>
      <c r="J25" s="26">
        <f t="shared" si="4"/>
        <v>432000</v>
      </c>
      <c r="K25" s="24">
        <f t="shared" si="0"/>
        <v>432000</v>
      </c>
      <c r="L25" s="77">
        <f t="shared" si="1"/>
        <v>30.039635630345593</v>
      </c>
      <c r="M25" s="21"/>
    </row>
    <row r="26" spans="1:13">
      <c r="A26" s="20"/>
      <c r="B26" s="22">
        <v>18</v>
      </c>
      <c r="C26" s="23">
        <f>'Fuel Diesel'!C26</f>
        <v>1</v>
      </c>
      <c r="D26" s="23">
        <f>'Fuel Diesel'!D26</f>
        <v>14</v>
      </c>
      <c r="E26" s="24">
        <v>0</v>
      </c>
      <c r="F26" s="26">
        <f t="shared" si="2"/>
        <v>0</v>
      </c>
      <c r="G26" s="24">
        <v>0</v>
      </c>
      <c r="H26" s="26">
        <f t="shared" si="3"/>
        <v>0</v>
      </c>
      <c r="I26" s="24">
        <v>91</v>
      </c>
      <c r="J26" s="26">
        <f t="shared" si="4"/>
        <v>364000</v>
      </c>
      <c r="K26" s="24">
        <f t="shared" si="0"/>
        <v>364000</v>
      </c>
      <c r="L26" s="77">
        <f t="shared" si="1"/>
        <v>25.311174466309716</v>
      </c>
      <c r="M26" s="21"/>
    </row>
    <row r="27" spans="1:13">
      <c r="A27" s="20"/>
      <c r="B27" s="22">
        <v>19</v>
      </c>
      <c r="C27" s="23">
        <f>'Fuel Diesel'!C27</f>
        <v>2</v>
      </c>
      <c r="D27" s="23">
        <f>'Fuel Diesel'!D27</f>
        <v>5</v>
      </c>
      <c r="E27" s="24">
        <v>0</v>
      </c>
      <c r="F27" s="26">
        <f t="shared" si="2"/>
        <v>0</v>
      </c>
      <c r="G27" s="24">
        <v>70</v>
      </c>
      <c r="H27" s="26">
        <f t="shared" si="3"/>
        <v>280000</v>
      </c>
      <c r="I27" s="24">
        <v>26</v>
      </c>
      <c r="J27" s="26">
        <f t="shared" si="4"/>
        <v>104000</v>
      </c>
      <c r="K27" s="24">
        <f t="shared" si="0"/>
        <v>384000</v>
      </c>
      <c r="L27" s="77">
        <f t="shared" si="1"/>
        <v>26.701898338084973</v>
      </c>
      <c r="M27" s="21"/>
    </row>
    <row r="28" spans="1:13">
      <c r="A28" s="20"/>
      <c r="B28" s="22">
        <v>20</v>
      </c>
      <c r="C28" s="23">
        <f>'Fuel Diesel'!C28</f>
        <v>4</v>
      </c>
      <c r="D28" s="23">
        <f>'Fuel Diesel'!D28</f>
        <v>14</v>
      </c>
      <c r="E28" s="24">
        <v>0</v>
      </c>
      <c r="F28" s="26">
        <f t="shared" si="2"/>
        <v>0</v>
      </c>
      <c r="G28" s="24">
        <v>100</v>
      </c>
      <c r="H28" s="26">
        <f t="shared" si="3"/>
        <v>400000</v>
      </c>
      <c r="I28" s="24">
        <v>0</v>
      </c>
      <c r="J28" s="26">
        <f t="shared" si="4"/>
        <v>0</v>
      </c>
      <c r="K28" s="24">
        <f t="shared" si="0"/>
        <v>400000</v>
      </c>
      <c r="L28" s="77">
        <f t="shared" si="1"/>
        <v>27.814477435505179</v>
      </c>
      <c r="M28" s="21"/>
    </row>
    <row r="29" spans="1:13">
      <c r="A29" s="20"/>
      <c r="B29" s="22">
        <v>21</v>
      </c>
      <c r="C29" s="23">
        <f>'Fuel Diesel'!C29</f>
        <v>8</v>
      </c>
      <c r="D29" s="23">
        <f>'Fuel Diesel'!D29</f>
        <v>29</v>
      </c>
      <c r="E29" s="24">
        <v>0</v>
      </c>
      <c r="F29" s="26">
        <f t="shared" si="2"/>
        <v>0</v>
      </c>
      <c r="G29" s="24">
        <v>104</v>
      </c>
      <c r="H29" s="26">
        <f t="shared" si="3"/>
        <v>416000</v>
      </c>
      <c r="I29" s="24">
        <v>0</v>
      </c>
      <c r="J29" s="26">
        <f t="shared" si="4"/>
        <v>0</v>
      </c>
      <c r="K29" s="24">
        <f t="shared" si="0"/>
        <v>416000</v>
      </c>
      <c r="L29" s="77">
        <f t="shared" si="1"/>
        <v>28.927056532925388</v>
      </c>
      <c r="M29" s="21"/>
    </row>
    <row r="30" spans="1:13">
      <c r="A30" s="20"/>
      <c r="B30" s="22">
        <v>22</v>
      </c>
      <c r="C30" s="23">
        <f>'Fuel Diesel'!C30</f>
        <v>8</v>
      </c>
      <c r="D30" s="23">
        <f>'Fuel Diesel'!D30</f>
        <v>44</v>
      </c>
      <c r="E30" s="24">
        <v>0</v>
      </c>
      <c r="F30" s="26">
        <f t="shared" si="2"/>
        <v>0</v>
      </c>
      <c r="G30" s="24">
        <v>118</v>
      </c>
      <c r="H30" s="26">
        <f t="shared" si="3"/>
        <v>472000</v>
      </c>
      <c r="I30" s="24">
        <v>0</v>
      </c>
      <c r="J30" s="26">
        <f t="shared" si="4"/>
        <v>0</v>
      </c>
      <c r="K30" s="24">
        <f t="shared" si="0"/>
        <v>472000</v>
      </c>
      <c r="L30" s="77">
        <f t="shared" si="1"/>
        <v>32.821083373896116</v>
      </c>
      <c r="M30" s="21"/>
    </row>
    <row r="31" spans="1:13">
      <c r="A31" s="20"/>
      <c r="B31" s="22">
        <v>23</v>
      </c>
      <c r="C31" s="23">
        <f>'Fuel Diesel'!C31</f>
        <v>6</v>
      </c>
      <c r="D31" s="23">
        <f>'Fuel Diesel'!D31</f>
        <v>35</v>
      </c>
      <c r="E31" s="24">
        <v>0</v>
      </c>
      <c r="F31" s="26">
        <f t="shared" si="2"/>
        <v>0</v>
      </c>
      <c r="G31" s="24">
        <v>113</v>
      </c>
      <c r="H31" s="26">
        <f t="shared" si="3"/>
        <v>452000</v>
      </c>
      <c r="I31" s="24">
        <v>0</v>
      </c>
      <c r="J31" s="26">
        <f t="shared" si="4"/>
        <v>0</v>
      </c>
      <c r="K31" s="24">
        <f t="shared" si="0"/>
        <v>452000</v>
      </c>
      <c r="L31" s="77">
        <f t="shared" si="1"/>
        <v>31.430359502120854</v>
      </c>
      <c r="M31" s="21"/>
    </row>
    <row r="32" spans="1:13">
      <c r="A32" s="20"/>
      <c r="B32" s="22">
        <v>24</v>
      </c>
      <c r="C32" s="23">
        <f>'Fuel Diesel'!C32</f>
        <v>9</v>
      </c>
      <c r="D32" s="23">
        <f>'Fuel Diesel'!D32</f>
        <v>22</v>
      </c>
      <c r="E32" s="24">
        <v>0</v>
      </c>
      <c r="F32" s="26">
        <f t="shared" si="2"/>
        <v>0</v>
      </c>
      <c r="G32" s="24">
        <v>132</v>
      </c>
      <c r="H32" s="26">
        <f t="shared" si="3"/>
        <v>528000</v>
      </c>
      <c r="I32" s="24">
        <v>0</v>
      </c>
      <c r="J32" s="26">
        <f t="shared" si="4"/>
        <v>0</v>
      </c>
      <c r="K32" s="24">
        <f t="shared" si="0"/>
        <v>528000</v>
      </c>
      <c r="L32" s="77">
        <f t="shared" si="1"/>
        <v>36.71511021486684</v>
      </c>
      <c r="M32" s="21"/>
    </row>
    <row r="33" spans="1:15">
      <c r="A33" s="20"/>
      <c r="B33" s="22">
        <v>25</v>
      </c>
      <c r="C33" s="23">
        <f>'Fuel Diesel'!C33</f>
        <v>7</v>
      </c>
      <c r="D33" s="23">
        <f>'Fuel Diesel'!D33</f>
        <v>37</v>
      </c>
      <c r="E33" s="24">
        <v>0</v>
      </c>
      <c r="F33" s="26">
        <f t="shared" si="2"/>
        <v>0</v>
      </c>
      <c r="G33" s="24">
        <v>123</v>
      </c>
      <c r="H33" s="26">
        <f t="shared" si="3"/>
        <v>492000</v>
      </c>
      <c r="I33" s="24">
        <v>0</v>
      </c>
      <c r="J33" s="26">
        <f t="shared" si="4"/>
        <v>0</v>
      </c>
      <c r="K33" s="24">
        <f t="shared" si="0"/>
        <v>492000</v>
      </c>
      <c r="L33" s="77">
        <f t="shared" si="1"/>
        <v>34.211807245671373</v>
      </c>
      <c r="M33" s="21"/>
    </row>
    <row r="34" spans="1:15">
      <c r="A34" s="20"/>
      <c r="B34" s="22">
        <v>26</v>
      </c>
      <c r="C34" s="23">
        <f>'Fuel Diesel'!C34</f>
        <v>3</v>
      </c>
      <c r="D34" s="23">
        <f>'Fuel Diesel'!D34</f>
        <v>29</v>
      </c>
      <c r="E34" s="24">
        <v>0</v>
      </c>
      <c r="F34" s="26">
        <f t="shared" si="2"/>
        <v>0</v>
      </c>
      <c r="G34" s="24">
        <v>126</v>
      </c>
      <c r="H34" s="26">
        <f t="shared" si="3"/>
        <v>504000</v>
      </c>
      <c r="I34" s="24">
        <v>0</v>
      </c>
      <c r="J34" s="26">
        <f t="shared" si="4"/>
        <v>0</v>
      </c>
      <c r="K34" s="24">
        <f t="shared" si="0"/>
        <v>504000</v>
      </c>
      <c r="L34" s="77">
        <f t="shared" si="1"/>
        <v>35.046241568736527</v>
      </c>
      <c r="M34" s="21"/>
    </row>
    <row r="35" spans="1:15">
      <c r="A35" s="20"/>
      <c r="B35" s="22">
        <v>27</v>
      </c>
      <c r="C35" s="23">
        <f>'Fuel Diesel'!C35</f>
        <v>4</v>
      </c>
      <c r="D35" s="23">
        <f>'Fuel Diesel'!D35</f>
        <v>13</v>
      </c>
      <c r="E35" s="24">
        <v>0</v>
      </c>
      <c r="F35" s="26">
        <f t="shared" si="2"/>
        <v>0</v>
      </c>
      <c r="G35" s="24">
        <v>106</v>
      </c>
      <c r="H35" s="26">
        <f t="shared" si="3"/>
        <v>424000</v>
      </c>
      <c r="I35" s="24">
        <v>0</v>
      </c>
      <c r="J35" s="26">
        <f t="shared" si="4"/>
        <v>0</v>
      </c>
      <c r="K35" s="24">
        <f t="shared" si="0"/>
        <v>424000</v>
      </c>
      <c r="L35" s="77">
        <f t="shared" si="1"/>
        <v>29.483346081635492</v>
      </c>
      <c r="M35" s="21"/>
    </row>
    <row r="36" spans="1:15">
      <c r="A36" s="20"/>
      <c r="B36" s="22">
        <v>28</v>
      </c>
      <c r="C36" s="23">
        <f>'Fuel Diesel'!C36</f>
        <v>5</v>
      </c>
      <c r="D36" s="23">
        <f>'Fuel Diesel'!D36</f>
        <v>19</v>
      </c>
      <c r="E36" s="24">
        <v>0</v>
      </c>
      <c r="F36" s="26">
        <f t="shared" si="2"/>
        <v>0</v>
      </c>
      <c r="G36" s="24">
        <v>107</v>
      </c>
      <c r="H36" s="26">
        <f t="shared" si="3"/>
        <v>428000</v>
      </c>
      <c r="I36" s="24">
        <v>0</v>
      </c>
      <c r="J36" s="26">
        <f t="shared" si="4"/>
        <v>0</v>
      </c>
      <c r="K36" s="24">
        <f t="shared" si="0"/>
        <v>428000</v>
      </c>
      <c r="L36" s="77">
        <f t="shared" si="1"/>
        <v>29.761490855990544</v>
      </c>
      <c r="M36" s="21"/>
    </row>
    <row r="37" spans="1:15">
      <c r="A37" s="20"/>
      <c r="B37" s="22">
        <v>29</v>
      </c>
      <c r="C37" s="23">
        <f>'Fuel Diesel'!C37</f>
        <v>3</v>
      </c>
      <c r="D37" s="23">
        <f>'Fuel Diesel'!D37</f>
        <v>21</v>
      </c>
      <c r="E37" s="24">
        <v>0</v>
      </c>
      <c r="F37" s="26">
        <f t="shared" si="2"/>
        <v>0</v>
      </c>
      <c r="G37" s="24">
        <v>102</v>
      </c>
      <c r="H37" s="26">
        <f t="shared" si="3"/>
        <v>408000</v>
      </c>
      <c r="I37" s="24">
        <v>0</v>
      </c>
      <c r="J37" s="26">
        <f t="shared" si="4"/>
        <v>0</v>
      </c>
      <c r="K37" s="24">
        <f t="shared" si="0"/>
        <v>408000</v>
      </c>
      <c r="L37" s="77">
        <f t="shared" si="1"/>
        <v>28.370766984215283</v>
      </c>
      <c r="M37" s="21"/>
    </row>
    <row r="38" spans="1:15">
      <c r="A38" s="20"/>
      <c r="B38" s="22">
        <v>30</v>
      </c>
      <c r="C38" s="23">
        <f>'Fuel Diesel'!C38</f>
        <v>5</v>
      </c>
      <c r="D38" s="23">
        <f>'Fuel Diesel'!D38</f>
        <v>23</v>
      </c>
      <c r="E38" s="24">
        <v>0</v>
      </c>
      <c r="F38" s="26">
        <f t="shared" si="2"/>
        <v>0</v>
      </c>
      <c r="G38" s="24">
        <v>200</v>
      </c>
      <c r="H38" s="26">
        <f t="shared" si="3"/>
        <v>800000</v>
      </c>
      <c r="I38" s="24">
        <v>0</v>
      </c>
      <c r="J38" s="26">
        <f t="shared" si="4"/>
        <v>0</v>
      </c>
      <c r="K38" s="24">
        <f t="shared" si="0"/>
        <v>800000</v>
      </c>
      <c r="L38" s="77">
        <f t="shared" si="1"/>
        <v>55.628954871010357</v>
      </c>
      <c r="M38" s="21"/>
    </row>
    <row r="39" spans="1:15">
      <c r="A39" s="20"/>
      <c r="B39" s="22">
        <v>31</v>
      </c>
      <c r="C39" s="23">
        <f>'Fuel Diesel'!C39</f>
        <v>10</v>
      </c>
      <c r="D39" s="23">
        <f>'Fuel Diesel'!D39</f>
        <v>37</v>
      </c>
      <c r="E39" s="24">
        <v>0</v>
      </c>
      <c r="F39" s="26">
        <f t="shared" si="2"/>
        <v>0</v>
      </c>
      <c r="G39" s="24">
        <v>223</v>
      </c>
      <c r="H39" s="26">
        <f t="shared" si="3"/>
        <v>892000</v>
      </c>
      <c r="I39" s="24">
        <v>0</v>
      </c>
      <c r="J39" s="26">
        <f t="shared" si="4"/>
        <v>0</v>
      </c>
      <c r="K39" s="24">
        <f t="shared" si="0"/>
        <v>892000</v>
      </c>
      <c r="L39" s="77">
        <f t="shared" si="1"/>
        <v>62.026284681176556</v>
      </c>
      <c r="M39" s="21"/>
    </row>
    <row r="40" spans="1:15">
      <c r="C40" s="30">
        <f>SUM(C9:C39)</f>
        <v>207</v>
      </c>
      <c r="D40" s="30">
        <f>SUM(D9:D39)</f>
        <v>976</v>
      </c>
      <c r="E40" s="30">
        <v>0</v>
      </c>
      <c r="G40" s="30">
        <f>SUM(G9:G39)</f>
        <v>2380</v>
      </c>
      <c r="I40" s="30">
        <f>SUM(I9:I39)</f>
        <v>2392</v>
      </c>
      <c r="J40" s="92">
        <f>G40+I40</f>
        <v>4772</v>
      </c>
      <c r="K40" s="78"/>
      <c r="L40" s="86">
        <f>SUM(L9:L39)</f>
        <v>1327.3068632223076</v>
      </c>
      <c r="O40" s="35"/>
    </row>
    <row r="41" spans="1:15">
      <c r="H41" s="91" t="s">
        <v>59</v>
      </c>
      <c r="I41" s="90">
        <f>G40+I40</f>
        <v>4772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7C3EE-387F-490E-B8F3-8C46524F4F71}"/>
</file>

<file path=customXml/itemProps2.xml><?xml version="1.0" encoding="utf-8"?>
<ds:datastoreItem xmlns:ds="http://schemas.openxmlformats.org/officeDocument/2006/customXml" ds:itemID="{0F90D190-23A8-484E-A6DE-2D42FDF3E6B4}"/>
</file>

<file path=customXml/itemProps3.xml><?xml version="1.0" encoding="utf-8"?>
<ds:datastoreItem xmlns:ds="http://schemas.openxmlformats.org/officeDocument/2006/customXml" ds:itemID="{3AD9319F-D8DA-4DEC-917C-A19EA9EBC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2023-02-18T05:15:23Z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