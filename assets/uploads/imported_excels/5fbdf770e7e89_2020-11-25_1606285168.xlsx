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AK30" i="7" s="1"/>
  <c r="U30" i="7"/>
  <c r="AJ30" i="7" s="1"/>
  <c r="T30" i="7"/>
  <c r="AI30" i="7" s="1"/>
  <c r="S30" i="7"/>
  <c r="R30" i="7"/>
  <c r="AG30" i="7" s="1"/>
  <c r="Q30" i="7"/>
  <c r="AF30" i="7" s="1"/>
  <c r="AV29" i="7"/>
  <c r="R24" i="9" s="1"/>
  <c r="G24" i="5" s="1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AI27" i="7" s="1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C20" i="7"/>
  <c r="AB20" i="7"/>
  <c r="AQ20" i="7" s="1"/>
  <c r="AA20" i="7"/>
  <c r="O15" i="9" s="1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F20" i="7" s="1"/>
  <c r="AV19" i="7"/>
  <c r="AW19" i="7" s="1"/>
  <c r="AH19" i="7"/>
  <c r="AC19" i="7"/>
  <c r="AB19" i="7"/>
  <c r="AQ19" i="7" s="1"/>
  <c r="AA19" i="7"/>
  <c r="AP19" i="7" s="1"/>
  <c r="Z19" i="7"/>
  <c r="AO19" i="7" s="1"/>
  <c r="Y19" i="7"/>
  <c r="X19" i="7"/>
  <c r="AM19" i="7" s="1"/>
  <c r="W19" i="7"/>
  <c r="K14" i="9" s="1"/>
  <c r="V19" i="7"/>
  <c r="AK19" i="7" s="1"/>
  <c r="U19" i="7"/>
  <c r="T19" i="7"/>
  <c r="AI19" i="7" s="1"/>
  <c r="S19" i="7"/>
  <c r="R19" i="7"/>
  <c r="AG19" i="7" s="1"/>
  <c r="Q19" i="7"/>
  <c r="AV18" i="7"/>
  <c r="AW18" i="7" s="1"/>
  <c r="AN18" i="7"/>
  <c r="AJ18" i="7"/>
  <c r="AC18" i="7"/>
  <c r="AR18" i="7" s="1"/>
  <c r="AB18" i="7"/>
  <c r="AQ18" i="7" s="1"/>
  <c r="AA18" i="7"/>
  <c r="AP18" i="7" s="1"/>
  <c r="Z18" i="7"/>
  <c r="AO18" i="7" s="1"/>
  <c r="Y18" i="7"/>
  <c r="X18" i="7"/>
  <c r="AM18" i="7" s="1"/>
  <c r="W18" i="7"/>
  <c r="AL18" i="7" s="1"/>
  <c r="V18" i="7"/>
  <c r="AK18" i="7" s="1"/>
  <c r="U18" i="7"/>
  <c r="T18" i="7"/>
  <c r="AI18" i="7" s="1"/>
  <c r="S18" i="7"/>
  <c r="AH18" i="7" s="1"/>
  <c r="R18" i="7"/>
  <c r="AG18" i="7" s="1"/>
  <c r="Q18" i="7"/>
  <c r="AF18" i="7" s="1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G12" i="9" s="1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I25" i="9"/>
  <c r="B25" i="9"/>
  <c r="S24" i="9"/>
  <c r="H24" i="9"/>
  <c r="B24" i="9"/>
  <c r="S23" i="9"/>
  <c r="P23" i="9"/>
  <c r="L23" i="9"/>
  <c r="B23" i="9"/>
  <c r="S22" i="9"/>
  <c r="B22" i="9"/>
  <c r="S21" i="9"/>
  <c r="L21" i="9"/>
  <c r="H21" i="9"/>
  <c r="B21" i="9"/>
  <c r="S20" i="9"/>
  <c r="R20" i="9"/>
  <c r="G20" i="5" s="1"/>
  <c r="B20" i="9"/>
  <c r="S19" i="9"/>
  <c r="N19" i="9"/>
  <c r="L19" i="9"/>
  <c r="B19" i="9"/>
  <c r="S18" i="9"/>
  <c r="O18" i="9"/>
  <c r="G18" i="9"/>
  <c r="B18" i="9"/>
  <c r="R17" i="9"/>
  <c r="G17" i="5" s="1"/>
  <c r="N17" i="9"/>
  <c r="F17" i="9"/>
  <c r="B17" i="9"/>
  <c r="K16" i="9"/>
  <c r="I16" i="9"/>
  <c r="H16" i="9"/>
  <c r="B16" i="9"/>
  <c r="S15" i="9"/>
  <c r="Q15" i="9"/>
  <c r="I15" i="9"/>
  <c r="H15" i="9"/>
  <c r="E15" i="9"/>
  <c r="B15" i="9"/>
  <c r="S14" i="9"/>
  <c r="R14" i="9"/>
  <c r="G14" i="5" s="1"/>
  <c r="P14" i="9"/>
  <c r="O14" i="9"/>
  <c r="N14" i="9"/>
  <c r="G14" i="9"/>
  <c r="F14" i="9"/>
  <c r="B14" i="9"/>
  <c r="S13" i="9"/>
  <c r="P13" i="9"/>
  <c r="M13" i="9"/>
  <c r="L13" i="9"/>
  <c r="I13" i="9"/>
  <c r="H13" i="9"/>
  <c r="F13" i="9"/>
  <c r="B13" i="9"/>
  <c r="S12" i="9"/>
  <c r="L12" i="9"/>
  <c r="J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B24" i="5"/>
  <c r="I23" i="5"/>
  <c r="B23" i="5"/>
  <c r="I22" i="5"/>
  <c r="B22" i="5"/>
  <c r="I21" i="5"/>
  <c r="B21" i="5"/>
  <c r="I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J25" i="9" l="1"/>
  <c r="F25" i="9"/>
  <c r="AW29" i="7"/>
  <c r="E25" i="9"/>
  <c r="N23" i="9"/>
  <c r="L24" i="9"/>
  <c r="K24" i="9"/>
  <c r="K23" i="9"/>
  <c r="R23" i="9"/>
  <c r="G23" i="5" s="1"/>
  <c r="H22" i="9"/>
  <c r="O22" i="9"/>
  <c r="K22" i="9"/>
  <c r="I21" i="9"/>
  <c r="Q21" i="9"/>
  <c r="K21" i="9"/>
  <c r="J21" i="9"/>
  <c r="H20" i="9"/>
  <c r="G21" i="9"/>
  <c r="F21" i="9"/>
  <c r="L20" i="9"/>
  <c r="Q18" i="9"/>
  <c r="O17" i="9"/>
  <c r="I17" i="9"/>
  <c r="E18" i="9"/>
  <c r="L17" i="9"/>
  <c r="K17" i="9"/>
  <c r="P15" i="9"/>
  <c r="N15" i="9"/>
  <c r="M15" i="9"/>
  <c r="L15" i="9"/>
  <c r="K15" i="9"/>
  <c r="J15" i="9"/>
  <c r="G15" i="9"/>
  <c r="F15" i="9"/>
  <c r="L14" i="9"/>
  <c r="AL19" i="7"/>
  <c r="J14" i="9"/>
  <c r="R12" i="9"/>
  <c r="G12" i="5" s="1"/>
  <c r="Q13" i="9"/>
  <c r="N13" i="9"/>
  <c r="J13" i="9"/>
  <c r="E13" i="9"/>
  <c r="P12" i="9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AH38" i="7" s="1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P16" i="9"/>
  <c r="AA38" i="7"/>
  <c r="N16" i="9"/>
  <c r="L16" i="9"/>
  <c r="J17" i="9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Y38" i="7"/>
  <c r="X38" i="7"/>
  <c r="AD20" i="7"/>
  <c r="W38" i="7"/>
  <c r="AK21" i="7"/>
  <c r="AD21" i="7"/>
  <c r="V38" i="7"/>
  <c r="E25" i="5" l="1"/>
  <c r="AS26" i="7"/>
  <c r="AS23" i="7"/>
  <c r="AM38" i="7"/>
  <c r="AS22" i="7"/>
  <c r="E15" i="5"/>
  <c r="AS21" i="7"/>
  <c r="AS19" i="7"/>
  <c r="E12" i="5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<sst xmlns="http://schemas.openxmlformats.org/spreadsheetml/2006/main" count="128" uniqueCount="49">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</sst>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67580</v>
      </c>
      <c r="F12" s="11">
        <v>5.0000000000000001E-3</v>
      </c>
      <c r="G12" s="12">
        <f>Submetering!R12</f>
        <v>701.05793199999994</v>
      </c>
      <c r="H12" s="11">
        <v>0.52800000000000002</v>
      </c>
      <c r="I12" s="12">
        <f>Hotel!B17</f>
        <v>72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72340</v>
      </c>
      <c r="F13" s="11">
        <v>5.0000000000000001E-3</v>
      </c>
      <c r="G13" s="12">
        <f>Submetering!R13</f>
        <v>782.82278799999995</v>
      </c>
      <c r="H13" s="11">
        <v>0.52800000000000002</v>
      </c>
      <c r="I13" s="12">
        <f>Hotel!B18</f>
        <v>121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64460</v>
      </c>
      <c r="F14" s="11">
        <v>5.0000000000000001E-3</v>
      </c>
      <c r="G14" s="12">
        <f>Submetering!R14</f>
        <v>521.25095699999997</v>
      </c>
      <c r="H14" s="11">
        <v>0.52800000000000002</v>
      </c>
      <c r="I14" s="12">
        <f>Hotel!B19</f>
        <v>126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59290</v>
      </c>
      <c r="F15" s="11">
        <v>5.0000000000000001E-3</v>
      </c>
      <c r="G15" s="12">
        <f>Submetering!R15</f>
        <v>648.44073300000002</v>
      </c>
      <c r="H15" s="11">
        <v>0.52800000000000002</v>
      </c>
      <c r="I15" s="12">
        <f>Hotel!B20</f>
        <v>56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57730</v>
      </c>
      <c r="F16" s="11">
        <v>5.0000000000000001E-3</v>
      </c>
      <c r="G16" s="12">
        <f>Submetering!R16</f>
        <v>739.29057299999999</v>
      </c>
      <c r="H16" s="11">
        <v>0.52800000000000002</v>
      </c>
      <c r="I16" s="12">
        <f>Hotel!B21</f>
        <v>53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57930</v>
      </c>
      <c r="F17" s="11">
        <v>5.0000000000000001E-3</v>
      </c>
      <c r="G17" s="12">
        <f>Submetering!R17</f>
        <v>710.1429159999999</v>
      </c>
      <c r="H17" s="11">
        <v>0.52800000000000002</v>
      </c>
      <c r="I17" s="12">
        <f>Hotel!B22</f>
        <v>52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50830</v>
      </c>
      <c r="F18" s="11">
        <v>5.0000000000000001E-3</v>
      </c>
      <c r="G18" s="12">
        <f>Submetering!R18</f>
        <v>628.75660100000005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52410</v>
      </c>
      <c r="F19" s="11">
        <v>5.0000000000000001E-3</v>
      </c>
      <c r="G19" s="12">
        <f>Submetering!R19</f>
        <v>617.77891199999999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51150</v>
      </c>
      <c r="F20" s="11">
        <v>5.0000000000000001E-3</v>
      </c>
      <c r="G20" s="12">
        <f>Submetering!R20</f>
        <v>666.61070100000006</v>
      </c>
      <c r="H20" s="11">
        <v>0.52800000000000002</v>
      </c>
      <c r="I20" s="12">
        <f>Hotel!B25</f>
        <v>85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56740</v>
      </c>
      <c r="F21" s="11">
        <v>5.0000000000000001E-3</v>
      </c>
      <c r="G21" s="12">
        <f>Submetering!R21</f>
        <v>554.18402400000002</v>
      </c>
      <c r="H21" s="11">
        <v>0.52800000000000002</v>
      </c>
      <c r="I21" s="12">
        <f>Hotel!B26</f>
        <v>122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58070</v>
      </c>
      <c r="F22" s="11">
        <v>5.0000000000000001E-3</v>
      </c>
      <c r="G22" s="12">
        <f>Submetering!R22</f>
        <v>700.30084999999997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49460</v>
      </c>
      <c r="F23" s="11">
        <v>5.0000000000000001E-3</v>
      </c>
      <c r="G23" s="12">
        <f>Submetering!R23</f>
        <v>793.04339499999992</v>
      </c>
      <c r="H23" s="11">
        <v>0.52800000000000002</v>
      </c>
      <c r="I23" s="12">
        <f>Hotel!B28</f>
        <v>65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52761</v>
      </c>
      <c r="F24" s="11">
        <v>5.0000000000000001E-3</v>
      </c>
      <c r="G24" s="12">
        <f>Submetering!R24</f>
        <v>748.37555699999996</v>
      </c>
      <c r="H24" s="11">
        <v>0.52800000000000002</v>
      </c>
      <c r="I24" s="12">
        <f>Hotel!B29</f>
        <v>59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53529</v>
      </c>
      <c r="F25" s="11">
        <v>5.0000000000000001E-3</v>
      </c>
      <c r="G25" s="12">
        <f>Submetering!R25</f>
        <v>696.89398100000005</v>
      </c>
      <c r="H25" s="11">
        <v>0.52800000000000002</v>
      </c>
      <c r="I25" s="12">
        <f>Hotel!B30</f>
        <v>64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9310</v>
      </c>
      <c r="F12" s="4">
        <f>Hotel!R17</f>
        <v>12260</v>
      </c>
      <c r="G12" s="4">
        <f>Hotel!S17</f>
        <v>100</v>
      </c>
      <c r="H12" s="4">
        <f>Hotel!T17</f>
        <v>1610</v>
      </c>
      <c r="I12" s="4">
        <f>Hotel!U17</f>
        <v>4520</v>
      </c>
      <c r="J12" s="4">
        <f>Hotel!V17</f>
        <v>3370</v>
      </c>
      <c r="K12" s="4">
        <f>Hotel!W17</f>
        <v>2440</v>
      </c>
      <c r="L12" s="4">
        <f>Hotel!X17</f>
        <v>3790</v>
      </c>
      <c r="M12" s="4">
        <f>Hotel!Y17</f>
        <v>5620</v>
      </c>
      <c r="N12" s="4">
        <f>Hotel!Z17</f>
        <v>2510</v>
      </c>
      <c r="O12" s="4">
        <f>Hotel!AA17</f>
        <v>3100</v>
      </c>
      <c r="P12" s="4">
        <f>Hotel!AB17</f>
        <v>7280</v>
      </c>
      <c r="Q12" s="4">
        <f>Hotel!AC17</f>
        <v>11670</v>
      </c>
      <c r="R12" s="4">
        <f>Hotel!AV17*0.00378541*100</f>
        <v>701.05793199999994</v>
      </c>
      <c r="S12" s="4">
        <f>Hotel!B17</f>
        <v>72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9490</v>
      </c>
      <c r="F13" s="4">
        <f>Hotel!R18</f>
        <v>12500</v>
      </c>
      <c r="G13" s="4">
        <f>Hotel!S18</f>
        <v>90</v>
      </c>
      <c r="H13" s="4">
        <f>Hotel!T18</f>
        <v>1680</v>
      </c>
      <c r="I13" s="4">
        <f>Hotel!U18</f>
        <v>4620</v>
      </c>
      <c r="J13" s="4">
        <f>Hotel!V18</f>
        <v>3620</v>
      </c>
      <c r="K13" s="4">
        <f>Hotel!W18</f>
        <v>2470</v>
      </c>
      <c r="L13" s="4">
        <f>Hotel!X18</f>
        <v>4000</v>
      </c>
      <c r="M13" s="4">
        <f>Hotel!Y18</f>
        <v>6120</v>
      </c>
      <c r="N13" s="4">
        <f>Hotel!Z18</f>
        <v>2770</v>
      </c>
      <c r="O13" s="4">
        <f>Hotel!AA18</f>
        <v>3500</v>
      </c>
      <c r="P13" s="4">
        <f>Hotel!AB18</f>
        <v>7360</v>
      </c>
      <c r="Q13" s="4">
        <f>Hotel!AC18</f>
        <v>14120</v>
      </c>
      <c r="R13" s="4">
        <f>Hotel!AV18*0.00378541*100</f>
        <v>782.82278799999995</v>
      </c>
      <c r="S13" s="4">
        <f>Hotel!B18</f>
        <v>121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7500</v>
      </c>
      <c r="F14" s="4">
        <f>Hotel!R19</f>
        <v>10940</v>
      </c>
      <c r="G14" s="4">
        <f>Hotel!S19</f>
        <v>50</v>
      </c>
      <c r="H14" s="4">
        <f>Hotel!T19</f>
        <v>1520</v>
      </c>
      <c r="I14" s="4">
        <f>Hotel!U19</f>
        <v>4760</v>
      </c>
      <c r="J14" s="4">
        <f>Hotel!V19</f>
        <v>3350</v>
      </c>
      <c r="K14" s="4">
        <f>Hotel!W19</f>
        <v>2230</v>
      </c>
      <c r="L14" s="4">
        <f>Hotel!X19</f>
        <v>3740</v>
      </c>
      <c r="M14" s="4">
        <f>Hotel!Y19</f>
        <v>5740</v>
      </c>
      <c r="N14" s="4">
        <f>Hotel!Z19</f>
        <v>2640</v>
      </c>
      <c r="O14" s="4">
        <f>Hotel!AA19</f>
        <v>3320</v>
      </c>
      <c r="P14" s="4">
        <f>Hotel!AB19</f>
        <v>6830</v>
      </c>
      <c r="Q14" s="4">
        <f>Hotel!AC19</f>
        <v>11840</v>
      </c>
      <c r="R14" s="4">
        <f>Hotel!AV19*0.00378541*100</f>
        <v>521.25095699999997</v>
      </c>
      <c r="S14" s="4">
        <f>Hotel!B19</f>
        <v>126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510</v>
      </c>
      <c r="F15" s="4">
        <f>Hotel!R20</f>
        <v>12760</v>
      </c>
      <c r="G15" s="4">
        <f>Hotel!S20</f>
        <v>20</v>
      </c>
      <c r="H15" s="4">
        <f>Hotel!T20</f>
        <v>1570</v>
      </c>
      <c r="I15" s="4">
        <f>Hotel!U20</f>
        <v>5050</v>
      </c>
      <c r="J15" s="4">
        <f>Hotel!V20</f>
        <v>3380</v>
      </c>
      <c r="K15" s="4">
        <f>Hotel!W20</f>
        <v>2290</v>
      </c>
      <c r="L15" s="4">
        <f>Hotel!X20</f>
        <v>3690</v>
      </c>
      <c r="M15" s="4">
        <f>Hotel!Y20</f>
        <v>5820</v>
      </c>
      <c r="N15" s="4">
        <f>Hotel!Z20</f>
        <v>2540</v>
      </c>
      <c r="O15" s="4">
        <f>Hotel!AA20</f>
        <v>3410</v>
      </c>
      <c r="P15" s="4">
        <f>Hotel!AB20</f>
        <v>6970</v>
      </c>
      <c r="Q15" s="4">
        <f>Hotel!AC20</f>
        <v>11280</v>
      </c>
      <c r="R15" s="4">
        <f>Hotel!AV20*0.00378541*100</f>
        <v>648.44073300000002</v>
      </c>
      <c r="S15" s="4">
        <f>Hotel!B20</f>
        <v>56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510</v>
      </c>
      <c r="F16" s="4">
        <f>Hotel!R21</f>
        <v>12290</v>
      </c>
      <c r="G16" s="4">
        <f>Hotel!S21</f>
        <v>0</v>
      </c>
      <c r="H16" s="4">
        <f>Hotel!T21</f>
        <v>1560</v>
      </c>
      <c r="I16" s="4">
        <f>Hotel!U21</f>
        <v>4970</v>
      </c>
      <c r="J16" s="4">
        <f>Hotel!V21</f>
        <v>3250</v>
      </c>
      <c r="K16" s="4">
        <f>Hotel!W21</f>
        <v>2280</v>
      </c>
      <c r="L16" s="4">
        <f>Hotel!X21</f>
        <v>3550</v>
      </c>
      <c r="M16" s="4">
        <f>Hotel!Y21</f>
        <v>5410</v>
      </c>
      <c r="N16" s="4">
        <f>Hotel!Z21</f>
        <v>2490</v>
      </c>
      <c r="O16" s="4">
        <f>Hotel!AA21</f>
        <v>3220</v>
      </c>
      <c r="P16" s="4">
        <f>Hotel!AB21</f>
        <v>6710</v>
      </c>
      <c r="Q16" s="4">
        <f>Hotel!AC21</f>
        <v>11490</v>
      </c>
      <c r="R16" s="4">
        <f>Hotel!AV21*0.00378541*100</f>
        <v>739.29057299999999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560</v>
      </c>
      <c r="F17" s="4">
        <f>Hotel!R22</f>
        <v>8610</v>
      </c>
      <c r="G17" s="4">
        <f>Hotel!S22</f>
        <v>1830</v>
      </c>
      <c r="H17" s="4">
        <f>Hotel!T22</f>
        <v>1680</v>
      </c>
      <c r="I17" s="4">
        <f>Hotel!U22</f>
        <v>5030</v>
      </c>
      <c r="J17" s="4">
        <f>Hotel!V22</f>
        <v>3530</v>
      </c>
      <c r="K17" s="4">
        <f>Hotel!W22</f>
        <v>2450</v>
      </c>
      <c r="L17" s="4">
        <f>Hotel!X22</f>
        <v>3720</v>
      </c>
      <c r="M17" s="4">
        <f>Hotel!Y22</f>
        <v>5750</v>
      </c>
      <c r="N17" s="4">
        <f>Hotel!Z22</f>
        <v>2560</v>
      </c>
      <c r="O17" s="4">
        <f>Hotel!AA22</f>
        <v>3040</v>
      </c>
      <c r="P17" s="4">
        <f>Hotel!AB22</f>
        <v>7150</v>
      </c>
      <c r="Q17" s="4">
        <f>Hotel!AC22</f>
        <v>12020</v>
      </c>
      <c r="R17" s="4">
        <f>Hotel!AV22*0.00378541*100</f>
        <v>710.1429159999999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540</v>
      </c>
      <c r="F18" s="4">
        <f>Hotel!R23</f>
        <v>1870</v>
      </c>
      <c r="G18" s="4">
        <f>Hotel!S23</f>
        <v>3700</v>
      </c>
      <c r="H18" s="4">
        <f>Hotel!T23</f>
        <v>1580</v>
      </c>
      <c r="I18" s="4">
        <f>Hotel!U23</f>
        <v>4740</v>
      </c>
      <c r="J18" s="4">
        <f>Hotel!V23</f>
        <v>3350</v>
      </c>
      <c r="K18" s="4">
        <f>Hotel!W23</f>
        <v>2310</v>
      </c>
      <c r="L18" s="4">
        <f>Hotel!X23</f>
        <v>3540</v>
      </c>
      <c r="M18" s="4">
        <f>Hotel!Y23</f>
        <v>5550</v>
      </c>
      <c r="N18" s="4">
        <f>Hotel!Z23</f>
        <v>2470</v>
      </c>
      <c r="O18" s="4">
        <f>Hotel!AA23</f>
        <v>3080</v>
      </c>
      <c r="P18" s="4">
        <f>Hotel!AB23</f>
        <v>6780</v>
      </c>
      <c r="Q18" s="4">
        <f>Hotel!AC23</f>
        <v>11320</v>
      </c>
      <c r="R18" s="4">
        <f>Hotel!AV23*0.00378541*100</f>
        <v>628.75660100000005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550</v>
      </c>
      <c r="F19" s="4">
        <f>Hotel!R24</f>
        <v>1910</v>
      </c>
      <c r="G19" s="4">
        <f>Hotel!S24</f>
        <v>3550</v>
      </c>
      <c r="H19" s="4">
        <f>Hotel!T24</f>
        <v>1590</v>
      </c>
      <c r="I19" s="4">
        <f>Hotel!U24</f>
        <v>4540</v>
      </c>
      <c r="J19" s="4">
        <f>Hotel!V24</f>
        <v>3310</v>
      </c>
      <c r="K19" s="4">
        <f>Hotel!W24</f>
        <v>2360</v>
      </c>
      <c r="L19" s="4">
        <f>Hotel!X24</f>
        <v>3590</v>
      </c>
      <c r="M19" s="4">
        <f>Hotel!Y24</f>
        <v>5670</v>
      </c>
      <c r="N19" s="4">
        <f>Hotel!Z24</f>
        <v>2510</v>
      </c>
      <c r="O19" s="4">
        <f>Hotel!AA24</f>
        <v>2950</v>
      </c>
      <c r="P19" s="4">
        <f>Hotel!AB24</f>
        <v>7190</v>
      </c>
      <c r="Q19" s="4">
        <f>Hotel!AC24</f>
        <v>12690</v>
      </c>
      <c r="R19" s="4">
        <f>Hotel!AV24*0.00378541*100</f>
        <v>617.77891199999999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560</v>
      </c>
      <c r="F20" s="4">
        <f>Hotel!R25</f>
        <v>1910</v>
      </c>
      <c r="G20" s="4">
        <f>Hotel!S25</f>
        <v>3420</v>
      </c>
      <c r="H20" s="4">
        <f>Hotel!T25</f>
        <v>1580</v>
      </c>
      <c r="I20" s="4">
        <f>Hotel!U25</f>
        <v>4280</v>
      </c>
      <c r="J20" s="4">
        <f>Hotel!V25</f>
        <v>3350</v>
      </c>
      <c r="K20" s="4">
        <f>Hotel!W25</f>
        <v>2330</v>
      </c>
      <c r="L20" s="4">
        <f>Hotel!X25</f>
        <v>3570</v>
      </c>
      <c r="M20" s="4">
        <f>Hotel!Y25</f>
        <v>5660</v>
      </c>
      <c r="N20" s="4">
        <f>Hotel!Z25</f>
        <v>2470</v>
      </c>
      <c r="O20" s="4">
        <f>Hotel!AA25</f>
        <v>3090</v>
      </c>
      <c r="P20" s="4">
        <f>Hotel!AB25</f>
        <v>7180</v>
      </c>
      <c r="Q20" s="4">
        <f>Hotel!AC25</f>
        <v>11750</v>
      </c>
      <c r="R20" s="4">
        <f>Hotel!AV25*0.00378541*100</f>
        <v>666.61070100000006</v>
      </c>
      <c r="S20" s="4">
        <f>Hotel!B25</f>
        <v>85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5200</v>
      </c>
      <c r="F21" s="4">
        <f>Hotel!R26</f>
        <v>2790</v>
      </c>
      <c r="G21" s="4">
        <f>Hotel!S26</f>
        <v>3280</v>
      </c>
      <c r="H21" s="4">
        <f>Hotel!T26</f>
        <v>1560</v>
      </c>
      <c r="I21" s="4">
        <f>Hotel!U26</f>
        <v>4540</v>
      </c>
      <c r="J21" s="4">
        <f>Hotel!V26</f>
        <v>3250</v>
      </c>
      <c r="K21" s="4">
        <f>Hotel!W26</f>
        <v>2280</v>
      </c>
      <c r="L21" s="4">
        <f>Hotel!X26</f>
        <v>3780</v>
      </c>
      <c r="M21" s="4">
        <f>Hotel!Y26</f>
        <v>5730</v>
      </c>
      <c r="N21" s="4">
        <f>Hotel!Z26</f>
        <v>2590</v>
      </c>
      <c r="O21" s="4">
        <f>Hotel!AA26</f>
        <v>3460</v>
      </c>
      <c r="P21" s="4">
        <f>Hotel!AB26</f>
        <v>7140</v>
      </c>
      <c r="Q21" s="4">
        <f>Hotel!AC26</f>
        <v>11140</v>
      </c>
      <c r="R21" s="4">
        <f>Hotel!AV26*0.00378541*100</f>
        <v>554.18402400000002</v>
      </c>
      <c r="S21" s="4">
        <f>Hotel!B26</f>
        <v>122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2720</v>
      </c>
      <c r="F22" s="4">
        <f>Hotel!R27</f>
        <v>2810</v>
      </c>
      <c r="G22" s="4">
        <f>Hotel!S27</f>
        <v>3610</v>
      </c>
      <c r="H22" s="4">
        <f>Hotel!T27</f>
        <v>2330</v>
      </c>
      <c r="I22" s="4">
        <f>Hotel!U27</f>
        <v>5000</v>
      </c>
      <c r="J22" s="4">
        <f>Hotel!V27</f>
        <v>3510</v>
      </c>
      <c r="K22" s="4">
        <f>Hotel!W27</f>
        <v>2410</v>
      </c>
      <c r="L22" s="4">
        <f>Hotel!X27</f>
        <v>3770</v>
      </c>
      <c r="M22" s="4">
        <f>Hotel!Y27</f>
        <v>6310</v>
      </c>
      <c r="N22" s="4">
        <f>Hotel!Z27</f>
        <v>2770</v>
      </c>
      <c r="O22" s="4">
        <f>Hotel!AA27</f>
        <v>3500</v>
      </c>
      <c r="P22" s="4">
        <f>Hotel!AB27</f>
        <v>7440</v>
      </c>
      <c r="Q22" s="4">
        <f>Hotel!AC27</f>
        <v>11890</v>
      </c>
      <c r="R22" s="4">
        <f>Hotel!AV27*0.00378541*100</f>
        <v>700.30084999999997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530</v>
      </c>
      <c r="F23" s="4">
        <f>Hotel!R28</f>
        <v>1800</v>
      </c>
      <c r="G23" s="4">
        <f>Hotel!S28</f>
        <v>3350</v>
      </c>
      <c r="H23" s="4">
        <f>Hotel!T28</f>
        <v>1400</v>
      </c>
      <c r="I23" s="4">
        <f>Hotel!U28</f>
        <v>4380</v>
      </c>
      <c r="J23" s="4">
        <f>Hotel!V28</f>
        <v>3130</v>
      </c>
      <c r="K23" s="4">
        <f>Hotel!W28</f>
        <v>2270</v>
      </c>
      <c r="L23" s="4">
        <f>Hotel!X28</f>
        <v>3090</v>
      </c>
      <c r="M23" s="4">
        <f>Hotel!Y28</f>
        <v>5480</v>
      </c>
      <c r="N23" s="4">
        <f>Hotel!Z28</f>
        <v>2360</v>
      </c>
      <c r="O23" s="4">
        <f>Hotel!AA28</f>
        <v>3080</v>
      </c>
      <c r="P23" s="4">
        <f>Hotel!AB28</f>
        <v>6710</v>
      </c>
      <c r="Q23" s="4">
        <f>Hotel!AC28</f>
        <v>11880</v>
      </c>
      <c r="R23" s="4">
        <f>Hotel!AV28*0.00378541*100</f>
        <v>793.04339499999992</v>
      </c>
      <c r="S23" s="4">
        <f>Hotel!B28</f>
        <v>65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560</v>
      </c>
      <c r="F24" s="4">
        <f>Hotel!R29</f>
        <v>1910</v>
      </c>
      <c r="G24" s="4">
        <f>Hotel!S29</f>
        <v>3210</v>
      </c>
      <c r="H24" s="4">
        <f>Hotel!T29</f>
        <v>1540</v>
      </c>
      <c r="I24" s="4">
        <f>Hotel!U29</f>
        <v>4530</v>
      </c>
      <c r="J24" s="4">
        <f>Hotel!V29</f>
        <v>3380</v>
      </c>
      <c r="K24" s="4">
        <f>Hotel!W29</f>
        <v>2390</v>
      </c>
      <c r="L24" s="4">
        <f>Hotel!X29</f>
        <v>3730</v>
      </c>
      <c r="M24" s="4">
        <f>Hotel!Y29</f>
        <v>5771</v>
      </c>
      <c r="N24" s="4">
        <f>Hotel!Z29</f>
        <v>2540</v>
      </c>
      <c r="O24" s="4">
        <f>Hotel!AA29</f>
        <v>3000</v>
      </c>
      <c r="P24" s="4">
        <f>Hotel!AB29</f>
        <v>6930</v>
      </c>
      <c r="Q24" s="4">
        <f>Hotel!AC29</f>
        <v>13270</v>
      </c>
      <c r="R24" s="4">
        <f>Hotel!AV29*0.00378541*100</f>
        <v>748.37555699999996</v>
      </c>
      <c r="S24" s="4">
        <f>Hotel!B29</f>
        <v>59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560</v>
      </c>
      <c r="F25" s="4">
        <f>Hotel!R30</f>
        <v>1940</v>
      </c>
      <c r="G25" s="4">
        <f>Hotel!S30</f>
        <v>3080</v>
      </c>
      <c r="H25" s="4">
        <f>Hotel!T30</f>
        <v>1530</v>
      </c>
      <c r="I25" s="4">
        <f>Hotel!U30</f>
        <v>4710</v>
      </c>
      <c r="J25" s="4">
        <f>Hotel!V30</f>
        <v>3420</v>
      </c>
      <c r="K25" s="4">
        <f>Hotel!W30</f>
        <v>2440</v>
      </c>
      <c r="L25" s="4">
        <f>Hotel!X30</f>
        <v>3790</v>
      </c>
      <c r="M25" s="4">
        <f>Hotel!Y30</f>
        <v>5909</v>
      </c>
      <c r="N25" s="4">
        <f>Hotel!Z30</f>
        <v>2540</v>
      </c>
      <c r="O25" s="4">
        <f>Hotel!AA30</f>
        <v>3150</v>
      </c>
      <c r="P25" s="4">
        <f>Hotel!AB30</f>
        <v>6860</v>
      </c>
      <c r="Q25" s="4">
        <f>Hotel!AC30</f>
        <v>13600</v>
      </c>
      <c r="R25" s="4">
        <f>Hotel!AV30*0.00378541*100</f>
        <v>696.89398100000005</v>
      </c>
      <c r="S25" s="4">
        <f>Hotel!B30</f>
        <v>64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L22" sqref="AL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>
        <v>72</v>
      </c>
      <c r="C17" s="24">
        <v>6457160</v>
      </c>
      <c r="D17" s="24">
        <v>14890030</v>
      </c>
      <c r="E17" s="24">
        <v>2166960</v>
      </c>
      <c r="F17" s="24">
        <v>3113360</v>
      </c>
      <c r="G17" s="24">
        <v>9444230</v>
      </c>
      <c r="H17" s="24">
        <v>4842100</v>
      </c>
      <c r="I17" s="24">
        <v>4590070</v>
      </c>
      <c r="J17" s="24">
        <v>5194760</v>
      </c>
      <c r="K17" s="24">
        <v>8137610</v>
      </c>
      <c r="L17" s="24">
        <v>3312710</v>
      </c>
      <c r="M17" s="24">
        <v>7211350</v>
      </c>
      <c r="N17" s="24">
        <v>10612840</v>
      </c>
      <c r="O17" s="24">
        <v>14378900</v>
      </c>
      <c r="Q17" s="37">
        <f t="shared" si="16"/>
        <v>9310</v>
      </c>
      <c r="R17" s="37">
        <f t="shared" si="17"/>
        <v>12260</v>
      </c>
      <c r="S17" s="37">
        <f t="shared" si="15"/>
        <v>100</v>
      </c>
      <c r="T17" s="37">
        <f t="shared" si="18"/>
        <v>1610</v>
      </c>
      <c r="U17" s="37">
        <f t="shared" si="19"/>
        <v>4520</v>
      </c>
      <c r="V17" s="37">
        <f t="shared" si="20"/>
        <v>3370</v>
      </c>
      <c r="W17" s="37">
        <f t="shared" si="21"/>
        <v>2440</v>
      </c>
      <c r="X17" s="37">
        <f t="shared" si="22"/>
        <v>3790</v>
      </c>
      <c r="Y17" s="37">
        <f t="shared" si="23"/>
        <v>5620</v>
      </c>
      <c r="Z17" s="37">
        <f t="shared" si="24"/>
        <v>2510</v>
      </c>
      <c r="AA17" s="37">
        <f t="shared" si="25"/>
        <v>3100</v>
      </c>
      <c r="AB17" s="37">
        <f t="shared" si="26"/>
        <v>7280</v>
      </c>
      <c r="AC17" s="37">
        <f t="shared" si="27"/>
        <v>11670</v>
      </c>
      <c r="AD17" s="35">
        <f t="shared" si="28"/>
        <v>67580</v>
      </c>
      <c r="AF17" s="20">
        <f t="shared" si="1"/>
        <v>46.550000000000004</v>
      </c>
      <c r="AG17" s="20">
        <f t="shared" si="2"/>
        <v>61.300000000000004</v>
      </c>
      <c r="AH17" s="20">
        <f t="shared" si="3"/>
        <v>0.5</v>
      </c>
      <c r="AI17" s="20">
        <f t="shared" si="4"/>
        <v>8.0500000000000007</v>
      </c>
      <c r="AJ17" s="20">
        <f t="shared" si="5"/>
        <v>22.6</v>
      </c>
      <c r="AK17" s="20">
        <f t="shared" si="6"/>
        <v>16.850000000000001</v>
      </c>
      <c r="AL17" s="20">
        <f t="shared" si="7"/>
        <v>12.200000000000001</v>
      </c>
      <c r="AM17" s="20">
        <f t="shared" si="8"/>
        <v>18.95</v>
      </c>
      <c r="AN17" s="20">
        <f t="shared" si="9"/>
        <v>28.1</v>
      </c>
      <c r="AO17" s="20">
        <f t="shared" si="10"/>
        <v>12.55</v>
      </c>
      <c r="AP17" s="20">
        <f t="shared" si="11"/>
        <v>15.5</v>
      </c>
      <c r="AQ17" s="20">
        <f t="shared" si="12"/>
        <v>36.4</v>
      </c>
      <c r="AR17" s="20">
        <f t="shared" si="13"/>
        <v>58.35</v>
      </c>
      <c r="AS17" s="35">
        <f t="shared" si="29"/>
        <v>337.9</v>
      </c>
      <c r="AU17" s="47">
        <v>296062</v>
      </c>
      <c r="AV17" s="37">
        <f t="shared" si="31"/>
        <v>1852</v>
      </c>
      <c r="AW17" s="35">
        <f t="shared" si="30"/>
        <v>3.7040000000000002</v>
      </c>
    </row>
    <row r="18" spans="1:49" x14ac:dyDescent="0.25">
      <c r="A18" s="23">
        <v>44147</v>
      </c>
      <c r="B18" s="40">
        <v>121</v>
      </c>
      <c r="C18" s="24">
        <v>6466650</v>
      </c>
      <c r="D18" s="24">
        <v>14902530</v>
      </c>
      <c r="E18" s="24">
        <v>2167050</v>
      </c>
      <c r="F18" s="24">
        <v>3115040</v>
      </c>
      <c r="G18" s="24">
        <v>9448850</v>
      </c>
      <c r="H18" s="24">
        <v>4845720</v>
      </c>
      <c r="I18" s="24">
        <v>4592540</v>
      </c>
      <c r="J18" s="24">
        <v>5198760</v>
      </c>
      <c r="K18" s="24">
        <v>8143730</v>
      </c>
      <c r="L18" s="24">
        <v>3315480</v>
      </c>
      <c r="M18" s="24">
        <v>7214850</v>
      </c>
      <c r="N18" s="24">
        <v>10620200</v>
      </c>
      <c r="O18" s="24">
        <v>14393020</v>
      </c>
      <c r="Q18" s="37">
        <f t="shared" si="16"/>
        <v>9490</v>
      </c>
      <c r="R18" s="37">
        <f t="shared" si="17"/>
        <v>12500</v>
      </c>
      <c r="S18" s="37">
        <f t="shared" si="15"/>
        <v>90</v>
      </c>
      <c r="T18" s="37">
        <f t="shared" si="18"/>
        <v>1680</v>
      </c>
      <c r="U18" s="37">
        <f t="shared" si="19"/>
        <v>4620</v>
      </c>
      <c r="V18" s="37">
        <f t="shared" si="20"/>
        <v>3620</v>
      </c>
      <c r="W18" s="37">
        <f t="shared" si="21"/>
        <v>2470</v>
      </c>
      <c r="X18" s="37">
        <f t="shared" si="22"/>
        <v>4000</v>
      </c>
      <c r="Y18" s="37">
        <f t="shared" si="23"/>
        <v>6120</v>
      </c>
      <c r="Z18" s="37">
        <f t="shared" si="24"/>
        <v>2770</v>
      </c>
      <c r="AA18" s="37">
        <f t="shared" si="25"/>
        <v>3500</v>
      </c>
      <c r="AB18" s="37">
        <f t="shared" si="26"/>
        <v>7360</v>
      </c>
      <c r="AC18" s="37">
        <f t="shared" si="27"/>
        <v>14120</v>
      </c>
      <c r="AD18" s="35">
        <f t="shared" si="28"/>
        <v>72340</v>
      </c>
      <c r="AF18" s="20">
        <f t="shared" si="1"/>
        <v>47.45</v>
      </c>
      <c r="AG18" s="20">
        <f t="shared" si="2"/>
        <v>62.5</v>
      </c>
      <c r="AH18" s="20">
        <f t="shared" si="3"/>
        <v>0.45</v>
      </c>
      <c r="AI18" s="20">
        <f t="shared" si="4"/>
        <v>8.4</v>
      </c>
      <c r="AJ18" s="20">
        <f t="shared" si="5"/>
        <v>23.1</v>
      </c>
      <c r="AK18" s="20">
        <f t="shared" si="6"/>
        <v>18.100000000000001</v>
      </c>
      <c r="AL18" s="20">
        <f t="shared" si="7"/>
        <v>12.35</v>
      </c>
      <c r="AM18" s="20">
        <f t="shared" si="8"/>
        <v>20</v>
      </c>
      <c r="AN18" s="20">
        <f t="shared" si="9"/>
        <v>30.6</v>
      </c>
      <c r="AO18" s="20">
        <f t="shared" si="10"/>
        <v>13.85</v>
      </c>
      <c r="AP18" s="20">
        <f t="shared" si="11"/>
        <v>17.5</v>
      </c>
      <c r="AQ18" s="20">
        <f t="shared" si="12"/>
        <v>36.800000000000004</v>
      </c>
      <c r="AR18" s="20">
        <f t="shared" si="13"/>
        <v>70.600000000000009</v>
      </c>
      <c r="AS18" s="35">
        <f t="shared" si="29"/>
        <v>361.7</v>
      </c>
      <c r="AU18" s="47">
        <v>298130</v>
      </c>
      <c r="AV18" s="37">
        <f t="shared" si="31"/>
        <v>2068</v>
      </c>
      <c r="AW18" s="35">
        <f t="shared" si="30"/>
        <v>4.1360000000000001</v>
      </c>
    </row>
    <row r="19" spans="1:49" x14ac:dyDescent="0.25">
      <c r="A19" s="23">
        <v>44148</v>
      </c>
      <c r="B19" s="40">
        <v>126</v>
      </c>
      <c r="C19" s="24">
        <v>6474150</v>
      </c>
      <c r="D19" s="24">
        <v>14913470</v>
      </c>
      <c r="E19" s="24">
        <v>2167100</v>
      </c>
      <c r="F19" s="24">
        <v>3116560</v>
      </c>
      <c r="G19" s="24">
        <v>9453610</v>
      </c>
      <c r="H19" s="24">
        <v>4849070</v>
      </c>
      <c r="I19" s="24">
        <v>4594770</v>
      </c>
      <c r="J19" s="24">
        <v>5202500</v>
      </c>
      <c r="K19" s="24">
        <v>8149470</v>
      </c>
      <c r="L19" s="24">
        <v>3318120</v>
      </c>
      <c r="M19" s="24">
        <v>7218170</v>
      </c>
      <c r="N19" s="24">
        <v>10627030</v>
      </c>
      <c r="O19" s="24">
        <v>14404860</v>
      </c>
      <c r="Q19" s="37">
        <f t="shared" si="16"/>
        <v>7500</v>
      </c>
      <c r="R19" s="37">
        <f t="shared" si="17"/>
        <v>10940</v>
      </c>
      <c r="S19" s="37">
        <f t="shared" si="15"/>
        <v>50</v>
      </c>
      <c r="T19" s="37">
        <f t="shared" si="18"/>
        <v>1520</v>
      </c>
      <c r="U19" s="37">
        <f t="shared" si="19"/>
        <v>4760</v>
      </c>
      <c r="V19" s="37">
        <f t="shared" si="20"/>
        <v>3350</v>
      </c>
      <c r="W19" s="37">
        <f t="shared" si="21"/>
        <v>2230</v>
      </c>
      <c r="X19" s="37">
        <f t="shared" si="22"/>
        <v>3740</v>
      </c>
      <c r="Y19" s="37">
        <f t="shared" si="23"/>
        <v>5740</v>
      </c>
      <c r="Z19" s="37">
        <f t="shared" si="24"/>
        <v>2640</v>
      </c>
      <c r="AA19" s="37">
        <f t="shared" si="25"/>
        <v>3320</v>
      </c>
      <c r="AB19" s="37">
        <f t="shared" si="26"/>
        <v>6830</v>
      </c>
      <c r="AC19" s="37">
        <f t="shared" si="27"/>
        <v>11840</v>
      </c>
      <c r="AD19" s="35">
        <f t="shared" si="28"/>
        <v>64460</v>
      </c>
      <c r="AF19" s="20">
        <f t="shared" si="1"/>
        <v>37.5</v>
      </c>
      <c r="AG19" s="20">
        <f t="shared" si="2"/>
        <v>54.7</v>
      </c>
      <c r="AH19" s="20">
        <f t="shared" si="3"/>
        <v>0.25</v>
      </c>
      <c r="AI19" s="20">
        <f t="shared" si="4"/>
        <v>7.6000000000000005</v>
      </c>
      <c r="AJ19" s="20">
        <f t="shared" si="5"/>
        <v>23.8</v>
      </c>
      <c r="AK19" s="20">
        <f t="shared" si="6"/>
        <v>16.75</v>
      </c>
      <c r="AL19" s="20">
        <f t="shared" si="7"/>
        <v>11.15</v>
      </c>
      <c r="AM19" s="20">
        <f t="shared" si="8"/>
        <v>18.7</v>
      </c>
      <c r="AN19" s="20">
        <f t="shared" si="9"/>
        <v>28.7</v>
      </c>
      <c r="AO19" s="20">
        <f t="shared" si="10"/>
        <v>13.200000000000001</v>
      </c>
      <c r="AP19" s="20">
        <f t="shared" si="11"/>
        <v>16.600000000000001</v>
      </c>
      <c r="AQ19" s="20">
        <f t="shared" si="12"/>
        <v>34.15</v>
      </c>
      <c r="AR19" s="20">
        <f t="shared" si="13"/>
        <v>59.2</v>
      </c>
      <c r="AS19" s="35">
        <f t="shared" si="29"/>
        <v>322.29999999999995</v>
      </c>
      <c r="AU19" s="47">
        <v>299507</v>
      </c>
      <c r="AV19" s="37">
        <f t="shared" si="31"/>
        <v>1377</v>
      </c>
      <c r="AW19" s="35">
        <f t="shared" si="30"/>
        <v>2.754</v>
      </c>
    </row>
    <row r="20" spans="1:49" x14ac:dyDescent="0.25">
      <c r="A20" s="23">
        <v>44149</v>
      </c>
      <c r="B20" s="40">
        <v>56</v>
      </c>
      <c r="C20" s="24">
        <v>6474660</v>
      </c>
      <c r="D20" s="24">
        <v>14926230</v>
      </c>
      <c r="E20" s="24">
        <v>2167120</v>
      </c>
      <c r="F20" s="24">
        <v>3118130</v>
      </c>
      <c r="G20" s="24">
        <v>9458660</v>
      </c>
      <c r="H20" s="24">
        <v>4852450</v>
      </c>
      <c r="I20" s="24">
        <v>4597060</v>
      </c>
      <c r="J20" s="24">
        <v>5206190</v>
      </c>
      <c r="K20" s="24">
        <v>8155290</v>
      </c>
      <c r="L20" s="24">
        <v>3320660</v>
      </c>
      <c r="M20" s="24">
        <v>7221580</v>
      </c>
      <c r="N20" s="24">
        <v>10634000</v>
      </c>
      <c r="O20" s="24">
        <v>14416140</v>
      </c>
      <c r="Q20" s="37">
        <f t="shared" si="16"/>
        <v>510</v>
      </c>
      <c r="R20" s="37">
        <f t="shared" si="17"/>
        <v>12760</v>
      </c>
      <c r="S20" s="37">
        <f t="shared" si="15"/>
        <v>20</v>
      </c>
      <c r="T20" s="37">
        <f t="shared" si="18"/>
        <v>1570</v>
      </c>
      <c r="U20" s="37">
        <f t="shared" si="19"/>
        <v>5050</v>
      </c>
      <c r="V20" s="37">
        <f t="shared" si="20"/>
        <v>3380</v>
      </c>
      <c r="W20" s="37">
        <f t="shared" si="21"/>
        <v>2290</v>
      </c>
      <c r="X20" s="37">
        <f t="shared" si="22"/>
        <v>3690</v>
      </c>
      <c r="Y20" s="37">
        <f t="shared" si="23"/>
        <v>5820</v>
      </c>
      <c r="Z20" s="37">
        <f t="shared" si="24"/>
        <v>2540</v>
      </c>
      <c r="AA20" s="37">
        <f t="shared" si="25"/>
        <v>3410</v>
      </c>
      <c r="AB20" s="37">
        <f t="shared" si="26"/>
        <v>6970</v>
      </c>
      <c r="AC20" s="37">
        <f t="shared" si="27"/>
        <v>11280</v>
      </c>
      <c r="AD20" s="35">
        <f t="shared" si="28"/>
        <v>59290</v>
      </c>
      <c r="AF20" s="20">
        <f t="shared" si="1"/>
        <v>2.5500000000000003</v>
      </c>
      <c r="AG20" s="20">
        <f t="shared" si="2"/>
        <v>63.800000000000004</v>
      </c>
      <c r="AH20" s="20">
        <f t="shared" si="3"/>
        <v>0.1</v>
      </c>
      <c r="AI20" s="20">
        <f t="shared" si="4"/>
        <v>7.8500000000000005</v>
      </c>
      <c r="AJ20" s="20">
        <f t="shared" si="5"/>
        <v>25.25</v>
      </c>
      <c r="AK20" s="20">
        <f t="shared" si="6"/>
        <v>16.899999999999999</v>
      </c>
      <c r="AL20" s="20">
        <f t="shared" si="7"/>
        <v>11.450000000000001</v>
      </c>
      <c r="AM20" s="20">
        <f t="shared" si="8"/>
        <v>18.45</v>
      </c>
      <c r="AN20" s="20">
        <f t="shared" si="9"/>
        <v>29.1</v>
      </c>
      <c r="AO20" s="20">
        <f t="shared" si="10"/>
        <v>12.700000000000001</v>
      </c>
      <c r="AP20" s="20">
        <f t="shared" si="11"/>
        <v>17.05</v>
      </c>
      <c r="AQ20" s="20">
        <f t="shared" si="12"/>
        <v>34.85</v>
      </c>
      <c r="AR20" s="20">
        <f t="shared" si="13"/>
        <v>56.4</v>
      </c>
      <c r="AS20" s="35">
        <f t="shared" si="29"/>
        <v>296.45</v>
      </c>
      <c r="AU20" s="47">
        <v>301220</v>
      </c>
      <c r="AV20" s="37">
        <f t="shared" si="31"/>
        <v>1713</v>
      </c>
      <c r="AW20" s="35">
        <f t="shared" si="30"/>
        <v>3.4260000000000002</v>
      </c>
    </row>
    <row r="21" spans="1:49" x14ac:dyDescent="0.25">
      <c r="A21" s="23">
        <v>44150</v>
      </c>
      <c r="B21" s="40">
        <v>53</v>
      </c>
      <c r="C21" s="24">
        <v>6475170</v>
      </c>
      <c r="D21" s="24">
        <v>14938520</v>
      </c>
      <c r="E21" s="24">
        <v>2167120</v>
      </c>
      <c r="F21" s="24">
        <v>3119690</v>
      </c>
      <c r="G21" s="24">
        <v>9463630</v>
      </c>
      <c r="H21" s="24">
        <v>4855700</v>
      </c>
      <c r="I21" s="24">
        <v>4599340</v>
      </c>
      <c r="J21" s="24">
        <v>5209740</v>
      </c>
      <c r="K21" s="24">
        <v>8160700</v>
      </c>
      <c r="L21" s="24">
        <v>3323150</v>
      </c>
      <c r="M21" s="24">
        <v>7224800</v>
      </c>
      <c r="N21" s="24">
        <v>10640710</v>
      </c>
      <c r="O21" s="24">
        <v>14427630</v>
      </c>
      <c r="Q21" s="37">
        <f t="shared" si="16"/>
        <v>510</v>
      </c>
      <c r="R21" s="37">
        <f t="shared" si="17"/>
        <v>12290</v>
      </c>
      <c r="S21" s="37">
        <f t="shared" si="15"/>
        <v>0</v>
      </c>
      <c r="T21" s="37">
        <f t="shared" si="18"/>
        <v>1560</v>
      </c>
      <c r="U21" s="37">
        <f t="shared" si="19"/>
        <v>4970</v>
      </c>
      <c r="V21" s="37">
        <f t="shared" si="20"/>
        <v>3250</v>
      </c>
      <c r="W21" s="37">
        <f t="shared" si="21"/>
        <v>2280</v>
      </c>
      <c r="X21" s="37">
        <f t="shared" si="22"/>
        <v>3550</v>
      </c>
      <c r="Y21" s="37">
        <f t="shared" si="23"/>
        <v>5410</v>
      </c>
      <c r="Z21" s="37">
        <f t="shared" si="24"/>
        <v>2490</v>
      </c>
      <c r="AA21" s="37">
        <f t="shared" si="25"/>
        <v>3220</v>
      </c>
      <c r="AB21" s="37">
        <f t="shared" si="26"/>
        <v>6710</v>
      </c>
      <c r="AC21" s="37">
        <f t="shared" si="27"/>
        <v>11490</v>
      </c>
      <c r="AD21" s="35">
        <f t="shared" si="28"/>
        <v>57730</v>
      </c>
      <c r="AF21" s="20">
        <f t="shared" si="1"/>
        <v>2.5500000000000003</v>
      </c>
      <c r="AG21" s="20">
        <f t="shared" si="2"/>
        <v>61.45</v>
      </c>
      <c r="AH21" s="20">
        <f t="shared" si="3"/>
        <v>0</v>
      </c>
      <c r="AI21" s="20">
        <f t="shared" si="4"/>
        <v>7.8</v>
      </c>
      <c r="AJ21" s="20">
        <f t="shared" si="5"/>
        <v>24.85</v>
      </c>
      <c r="AK21" s="20">
        <f t="shared" si="6"/>
        <v>16.25</v>
      </c>
      <c r="AL21" s="20">
        <f t="shared" si="7"/>
        <v>11.4</v>
      </c>
      <c r="AM21" s="20">
        <f t="shared" si="8"/>
        <v>17.75</v>
      </c>
      <c r="AN21" s="20">
        <f t="shared" si="9"/>
        <v>27.05</v>
      </c>
      <c r="AO21" s="20">
        <f t="shared" si="10"/>
        <v>12.450000000000001</v>
      </c>
      <c r="AP21" s="20">
        <f t="shared" si="11"/>
        <v>16.100000000000001</v>
      </c>
      <c r="AQ21" s="20">
        <f t="shared" si="12"/>
        <v>33.549999999999997</v>
      </c>
      <c r="AR21" s="20">
        <f t="shared" si="13"/>
        <v>57.45</v>
      </c>
      <c r="AS21" s="35">
        <f t="shared" si="29"/>
        <v>288.64999999999998</v>
      </c>
      <c r="AU21" s="47">
        <v>303173</v>
      </c>
      <c r="AV21" s="37">
        <f t="shared" si="31"/>
        <v>1953</v>
      </c>
      <c r="AW21" s="35">
        <f t="shared" si="30"/>
        <v>3.9060000000000001</v>
      </c>
    </row>
    <row r="22" spans="1:49" x14ac:dyDescent="0.25">
      <c r="A22" s="23">
        <v>44151</v>
      </c>
      <c r="B22" s="40">
        <v>52</v>
      </c>
      <c r="C22" s="24">
        <v>6475730</v>
      </c>
      <c r="D22" s="24">
        <v>14947130</v>
      </c>
      <c r="E22" s="24">
        <v>2168950</v>
      </c>
      <c r="F22" s="24">
        <v>3121370</v>
      </c>
      <c r="G22" s="24">
        <v>9468660</v>
      </c>
      <c r="H22" s="24">
        <v>4859230</v>
      </c>
      <c r="I22" s="24">
        <v>4601790</v>
      </c>
      <c r="J22" s="44">
        <v>5213460</v>
      </c>
      <c r="K22" s="24">
        <v>8166450</v>
      </c>
      <c r="L22" s="24">
        <v>3325710</v>
      </c>
      <c r="M22" s="24">
        <v>7227840</v>
      </c>
      <c r="N22" s="24">
        <v>10647860</v>
      </c>
      <c r="O22" s="44">
        <v>14439650</v>
      </c>
      <c r="Q22" s="37">
        <f t="shared" si="16"/>
        <v>560</v>
      </c>
      <c r="R22" s="37">
        <f t="shared" si="17"/>
        <v>8610</v>
      </c>
      <c r="S22" s="37">
        <f t="shared" si="15"/>
        <v>1830</v>
      </c>
      <c r="T22" s="37">
        <f t="shared" si="18"/>
        <v>1680</v>
      </c>
      <c r="U22" s="37">
        <f t="shared" si="19"/>
        <v>5030</v>
      </c>
      <c r="V22" s="37">
        <f t="shared" si="20"/>
        <v>3530</v>
      </c>
      <c r="W22" s="37">
        <f t="shared" si="21"/>
        <v>2450</v>
      </c>
      <c r="X22" s="37">
        <f t="shared" si="22"/>
        <v>3720</v>
      </c>
      <c r="Y22" s="37">
        <f t="shared" si="23"/>
        <v>5750</v>
      </c>
      <c r="Z22" s="37">
        <f t="shared" si="24"/>
        <v>2560</v>
      </c>
      <c r="AA22" s="37">
        <f t="shared" si="25"/>
        <v>3040</v>
      </c>
      <c r="AB22" s="37">
        <f t="shared" si="26"/>
        <v>7150</v>
      </c>
      <c r="AC22" s="37">
        <f t="shared" si="27"/>
        <v>12020</v>
      </c>
      <c r="AD22" s="35">
        <f t="shared" si="28"/>
        <v>57930</v>
      </c>
      <c r="AF22" s="20">
        <f t="shared" si="1"/>
        <v>2.8000000000000003</v>
      </c>
      <c r="AG22" s="20">
        <f t="shared" si="2"/>
        <v>43.050000000000004</v>
      </c>
      <c r="AH22" s="20">
        <f t="shared" si="3"/>
        <v>9.15</v>
      </c>
      <c r="AI22" s="20">
        <f t="shared" si="4"/>
        <v>8.4</v>
      </c>
      <c r="AJ22" s="20">
        <f t="shared" si="5"/>
        <v>25.150000000000002</v>
      </c>
      <c r="AK22" s="20">
        <f t="shared" si="6"/>
        <v>17.650000000000002</v>
      </c>
      <c r="AL22" s="20">
        <f t="shared" si="7"/>
        <v>12.25</v>
      </c>
      <c r="AM22" s="20">
        <f t="shared" si="8"/>
        <v>18.600000000000001</v>
      </c>
      <c r="AN22" s="20">
        <f t="shared" si="9"/>
        <v>28.75</v>
      </c>
      <c r="AO22" s="20">
        <f t="shared" si="10"/>
        <v>12.8</v>
      </c>
      <c r="AP22" s="20">
        <f t="shared" si="11"/>
        <v>15.200000000000001</v>
      </c>
      <c r="AQ22" s="20">
        <f t="shared" si="12"/>
        <v>35.75</v>
      </c>
      <c r="AR22" s="20">
        <f t="shared" si="13"/>
        <v>60.1</v>
      </c>
      <c r="AS22" s="35">
        <f t="shared" si="29"/>
        <v>289.65000000000003</v>
      </c>
      <c r="AU22" s="47">
        <v>305049</v>
      </c>
      <c r="AV22" s="37">
        <f t="shared" si="31"/>
        <v>1876</v>
      </c>
      <c r="AW22" s="35">
        <f t="shared" si="30"/>
        <v>3.7520000000000002</v>
      </c>
    </row>
    <row r="23" spans="1:49" x14ac:dyDescent="0.25">
      <c r="A23" s="23">
        <v>44152</v>
      </c>
      <c r="B23" s="40">
        <v>62</v>
      </c>
      <c r="C23" s="24">
        <v>6476270</v>
      </c>
      <c r="D23" s="24">
        <v>14949000</v>
      </c>
      <c r="E23" s="24">
        <v>2172650</v>
      </c>
      <c r="F23" s="24">
        <v>3122950</v>
      </c>
      <c r="G23" s="24">
        <v>9473400</v>
      </c>
      <c r="H23" s="24">
        <v>4862580</v>
      </c>
      <c r="I23" s="24">
        <v>4604100</v>
      </c>
      <c r="J23" s="24">
        <v>5217000</v>
      </c>
      <c r="K23" s="24">
        <v>8172000</v>
      </c>
      <c r="L23" s="24">
        <v>3328180</v>
      </c>
      <c r="M23" s="24">
        <v>7230920</v>
      </c>
      <c r="N23" s="24">
        <v>10654640</v>
      </c>
      <c r="O23" s="24">
        <v>14450970</v>
      </c>
      <c r="Q23" s="37">
        <f t="shared" si="16"/>
        <v>540</v>
      </c>
      <c r="R23" s="37">
        <f t="shared" si="17"/>
        <v>1870</v>
      </c>
      <c r="S23" s="37">
        <f t="shared" si="15"/>
        <v>3700</v>
      </c>
      <c r="T23" s="37">
        <f t="shared" si="18"/>
        <v>1580</v>
      </c>
      <c r="U23" s="37">
        <f t="shared" si="19"/>
        <v>4740</v>
      </c>
      <c r="V23" s="37">
        <f t="shared" si="20"/>
        <v>3350</v>
      </c>
      <c r="W23" s="37">
        <f t="shared" si="21"/>
        <v>2310</v>
      </c>
      <c r="X23" s="37">
        <f t="shared" si="22"/>
        <v>3540</v>
      </c>
      <c r="Y23" s="37">
        <f t="shared" si="23"/>
        <v>5550</v>
      </c>
      <c r="Z23" s="37">
        <f t="shared" si="24"/>
        <v>2470</v>
      </c>
      <c r="AA23" s="37">
        <f t="shared" si="25"/>
        <v>3080</v>
      </c>
      <c r="AB23" s="37">
        <f t="shared" si="26"/>
        <v>6780</v>
      </c>
      <c r="AC23" s="37">
        <f t="shared" si="27"/>
        <v>11320</v>
      </c>
      <c r="AD23" s="35">
        <f t="shared" si="28"/>
        <v>50830</v>
      </c>
      <c r="AF23" s="20">
        <f t="shared" si="1"/>
        <v>2.7</v>
      </c>
      <c r="AG23" s="20">
        <f t="shared" si="2"/>
        <v>9.35</v>
      </c>
      <c r="AH23" s="20">
        <f t="shared" si="3"/>
        <v>18.5</v>
      </c>
      <c r="AI23" s="20">
        <f t="shared" si="4"/>
        <v>7.9</v>
      </c>
      <c r="AJ23" s="20">
        <f t="shared" si="5"/>
        <v>23.7</v>
      </c>
      <c r="AK23" s="20">
        <f t="shared" si="6"/>
        <v>16.75</v>
      </c>
      <c r="AL23" s="20">
        <f t="shared" si="7"/>
        <v>11.55</v>
      </c>
      <c r="AM23" s="20">
        <f t="shared" si="8"/>
        <v>17.7</v>
      </c>
      <c r="AN23" s="20">
        <f t="shared" si="9"/>
        <v>27.75</v>
      </c>
      <c r="AO23" s="20">
        <f t="shared" si="10"/>
        <v>12.35</v>
      </c>
      <c r="AP23" s="20">
        <f t="shared" si="11"/>
        <v>15.4</v>
      </c>
      <c r="AQ23" s="20">
        <f t="shared" si="12"/>
        <v>33.9</v>
      </c>
      <c r="AR23" s="20">
        <f t="shared" si="13"/>
        <v>56.6</v>
      </c>
      <c r="AS23" s="35">
        <f t="shared" si="29"/>
        <v>254.15</v>
      </c>
      <c r="AU23" s="47">
        <v>306710</v>
      </c>
      <c r="AV23" s="37">
        <f t="shared" si="31"/>
        <v>1661</v>
      </c>
      <c r="AW23" s="35">
        <f t="shared" si="30"/>
        <v>3.3220000000000001</v>
      </c>
    </row>
    <row r="24" spans="1:49" x14ac:dyDescent="0.25">
      <c r="A24" s="23">
        <v>44153</v>
      </c>
      <c r="B24" s="40">
        <v>49</v>
      </c>
      <c r="C24" s="24">
        <v>6476820</v>
      </c>
      <c r="D24" s="24">
        <v>14950910</v>
      </c>
      <c r="E24" s="24">
        <v>2176200</v>
      </c>
      <c r="F24" s="24">
        <v>3124540</v>
      </c>
      <c r="G24" s="24">
        <v>9477940</v>
      </c>
      <c r="H24" s="24">
        <v>4865890</v>
      </c>
      <c r="I24" s="24">
        <v>4606460</v>
      </c>
      <c r="J24" s="24">
        <v>5220590</v>
      </c>
      <c r="K24" s="24">
        <v>8177670</v>
      </c>
      <c r="L24" s="24">
        <v>3330690</v>
      </c>
      <c r="M24" s="24">
        <v>7233870</v>
      </c>
      <c r="N24" s="24">
        <v>10661830</v>
      </c>
      <c r="O24" s="24">
        <v>14463660</v>
      </c>
      <c r="Q24" s="37">
        <f t="shared" si="16"/>
        <v>550</v>
      </c>
      <c r="R24" s="37">
        <f t="shared" si="17"/>
        <v>1910</v>
      </c>
      <c r="S24" s="37">
        <f t="shared" si="15"/>
        <v>3550</v>
      </c>
      <c r="T24" s="37">
        <f t="shared" si="18"/>
        <v>1590</v>
      </c>
      <c r="U24" s="37">
        <f t="shared" si="19"/>
        <v>4540</v>
      </c>
      <c r="V24" s="37">
        <f t="shared" si="20"/>
        <v>3310</v>
      </c>
      <c r="W24" s="37">
        <f t="shared" si="21"/>
        <v>2360</v>
      </c>
      <c r="X24" s="37">
        <f t="shared" si="22"/>
        <v>3590</v>
      </c>
      <c r="Y24" s="37">
        <f t="shared" si="23"/>
        <v>5670</v>
      </c>
      <c r="Z24" s="37">
        <f t="shared" si="24"/>
        <v>2510</v>
      </c>
      <c r="AA24" s="37">
        <f t="shared" si="25"/>
        <v>2950</v>
      </c>
      <c r="AB24" s="37">
        <f t="shared" si="26"/>
        <v>7190</v>
      </c>
      <c r="AC24" s="37">
        <f t="shared" si="27"/>
        <v>12690</v>
      </c>
      <c r="AD24" s="35">
        <f t="shared" si="28"/>
        <v>52410</v>
      </c>
      <c r="AF24" s="20">
        <f t="shared" si="1"/>
        <v>2.75</v>
      </c>
      <c r="AG24" s="20">
        <f t="shared" si="2"/>
        <v>9.5500000000000007</v>
      </c>
      <c r="AH24" s="20">
        <f t="shared" si="3"/>
        <v>17.75</v>
      </c>
      <c r="AI24" s="20">
        <f t="shared" si="4"/>
        <v>7.95</v>
      </c>
      <c r="AJ24" s="20">
        <f t="shared" si="5"/>
        <v>22.7</v>
      </c>
      <c r="AK24" s="20">
        <f t="shared" si="6"/>
        <v>16.55</v>
      </c>
      <c r="AL24" s="20">
        <f t="shared" si="7"/>
        <v>11.8</v>
      </c>
      <c r="AM24" s="20">
        <f t="shared" si="8"/>
        <v>17.95</v>
      </c>
      <c r="AN24" s="20">
        <f t="shared" si="9"/>
        <v>28.35</v>
      </c>
      <c r="AO24" s="20">
        <f t="shared" si="10"/>
        <v>12.55</v>
      </c>
      <c r="AP24" s="20">
        <f t="shared" si="11"/>
        <v>14.75</v>
      </c>
      <c r="AQ24" s="20">
        <f t="shared" si="12"/>
        <v>35.950000000000003</v>
      </c>
      <c r="AR24" s="20">
        <f t="shared" si="13"/>
        <v>63.45</v>
      </c>
      <c r="AS24" s="35">
        <f t="shared" si="29"/>
        <v>262.05</v>
      </c>
      <c r="AU24" s="47">
        <v>308342</v>
      </c>
      <c r="AV24" s="37">
        <f t="shared" si="31"/>
        <v>1632</v>
      </c>
      <c r="AW24" s="35">
        <f t="shared" si="30"/>
        <v>3.2640000000000002</v>
      </c>
    </row>
    <row r="25" spans="1:49" x14ac:dyDescent="0.25">
      <c r="A25" s="23">
        <v>44154</v>
      </c>
      <c r="B25" s="40">
        <v>85</v>
      </c>
      <c r="C25" s="24">
        <v>6477380</v>
      </c>
      <c r="D25" s="24">
        <v>14952820</v>
      </c>
      <c r="E25" s="24">
        <v>2179620</v>
      </c>
      <c r="F25" s="24">
        <v>3126120</v>
      </c>
      <c r="G25" s="24">
        <v>9482220</v>
      </c>
      <c r="H25" s="24">
        <v>4869240</v>
      </c>
      <c r="I25" s="24">
        <v>4608790</v>
      </c>
      <c r="J25" s="24">
        <v>5224160</v>
      </c>
      <c r="K25" s="24">
        <v>8183330</v>
      </c>
      <c r="L25" s="24">
        <v>3333160</v>
      </c>
      <c r="M25" s="24">
        <v>7236960</v>
      </c>
      <c r="N25" s="24">
        <v>10669010</v>
      </c>
      <c r="O25" s="24">
        <v>14475410</v>
      </c>
      <c r="Q25" s="37">
        <f t="shared" ref="Q25:AC27" si="33">IF((C25-C24&lt;0), "0",C25-C24)</f>
        <v>560</v>
      </c>
      <c r="R25" s="37">
        <f t="shared" si="33"/>
        <v>1910</v>
      </c>
      <c r="S25" s="37">
        <f t="shared" si="33"/>
        <v>3420</v>
      </c>
      <c r="T25" s="37">
        <f t="shared" si="33"/>
        <v>1580</v>
      </c>
      <c r="U25" s="37">
        <f t="shared" si="33"/>
        <v>4280</v>
      </c>
      <c r="V25" s="37">
        <f t="shared" si="33"/>
        <v>3350</v>
      </c>
      <c r="W25" s="37">
        <f t="shared" si="33"/>
        <v>2330</v>
      </c>
      <c r="X25" s="37">
        <f t="shared" si="33"/>
        <v>3570</v>
      </c>
      <c r="Y25" s="37">
        <f t="shared" si="33"/>
        <v>5660</v>
      </c>
      <c r="Z25" s="37">
        <f t="shared" si="33"/>
        <v>2470</v>
      </c>
      <c r="AA25" s="37">
        <f t="shared" si="33"/>
        <v>3090</v>
      </c>
      <c r="AB25" s="37">
        <f t="shared" si="33"/>
        <v>7180</v>
      </c>
      <c r="AC25" s="37">
        <f t="shared" si="33"/>
        <v>11750</v>
      </c>
      <c r="AD25" s="35">
        <f t="shared" si="28"/>
        <v>51150</v>
      </c>
      <c r="AF25" s="20">
        <f t="shared" si="1"/>
        <v>2.8000000000000003</v>
      </c>
      <c r="AG25" s="20">
        <f t="shared" si="2"/>
        <v>9.5500000000000007</v>
      </c>
      <c r="AH25" s="20">
        <f t="shared" si="3"/>
        <v>17.100000000000001</v>
      </c>
      <c r="AI25" s="20">
        <f t="shared" si="4"/>
        <v>7.9</v>
      </c>
      <c r="AJ25" s="20">
        <f t="shared" si="5"/>
        <v>21.400000000000002</v>
      </c>
      <c r="AK25" s="20">
        <f t="shared" si="6"/>
        <v>16.75</v>
      </c>
      <c r="AL25" s="20">
        <f t="shared" si="7"/>
        <v>11.65</v>
      </c>
      <c r="AM25" s="20">
        <f t="shared" si="8"/>
        <v>17.850000000000001</v>
      </c>
      <c r="AN25" s="20">
        <f t="shared" si="9"/>
        <v>28.3</v>
      </c>
      <c r="AO25" s="20">
        <f t="shared" si="10"/>
        <v>12.35</v>
      </c>
      <c r="AP25" s="20">
        <f t="shared" si="11"/>
        <v>15.450000000000001</v>
      </c>
      <c r="AQ25" s="20">
        <f t="shared" si="12"/>
        <v>35.9</v>
      </c>
      <c r="AR25" s="20">
        <f t="shared" si="13"/>
        <v>58.75</v>
      </c>
      <c r="AS25" s="35">
        <f t="shared" si="29"/>
        <v>255.75</v>
      </c>
      <c r="AU25" s="47">
        <v>310103</v>
      </c>
      <c r="AV25" s="37">
        <f t="shared" si="31"/>
        <v>1761</v>
      </c>
      <c r="AW25" s="35">
        <f t="shared" si="30"/>
        <v>3.5220000000000002</v>
      </c>
    </row>
    <row r="26" spans="1:49" x14ac:dyDescent="0.25">
      <c r="A26" s="23">
        <v>44155</v>
      </c>
      <c r="B26" s="40">
        <v>122</v>
      </c>
      <c r="C26" s="24">
        <v>6482580</v>
      </c>
      <c r="D26" s="24">
        <v>14955610</v>
      </c>
      <c r="E26" s="24">
        <v>2182900</v>
      </c>
      <c r="F26" s="24">
        <v>3127680</v>
      </c>
      <c r="G26" s="24">
        <v>9486760</v>
      </c>
      <c r="H26" s="24">
        <v>4872490</v>
      </c>
      <c r="I26" s="24">
        <v>4611070</v>
      </c>
      <c r="J26" s="24">
        <v>5227940</v>
      </c>
      <c r="K26" s="24">
        <v>8189060</v>
      </c>
      <c r="L26" s="24">
        <v>3335750</v>
      </c>
      <c r="M26" s="24">
        <v>7240420</v>
      </c>
      <c r="N26" s="24">
        <v>10676150</v>
      </c>
      <c r="O26" s="24">
        <v>14486550</v>
      </c>
      <c r="Q26" s="37">
        <f t="shared" si="33"/>
        <v>5200</v>
      </c>
      <c r="R26" s="37">
        <f t="shared" si="33"/>
        <v>2790</v>
      </c>
      <c r="S26" s="37">
        <f t="shared" si="33"/>
        <v>3280</v>
      </c>
      <c r="T26" s="37">
        <f t="shared" si="33"/>
        <v>1560</v>
      </c>
      <c r="U26" s="37">
        <f t="shared" si="33"/>
        <v>4540</v>
      </c>
      <c r="V26" s="37">
        <f t="shared" si="33"/>
        <v>3250</v>
      </c>
      <c r="W26" s="37">
        <f t="shared" si="33"/>
        <v>2280</v>
      </c>
      <c r="X26" s="37">
        <f t="shared" si="33"/>
        <v>3780</v>
      </c>
      <c r="Y26" s="37">
        <f t="shared" si="33"/>
        <v>5730</v>
      </c>
      <c r="Z26" s="37">
        <f t="shared" si="33"/>
        <v>2590</v>
      </c>
      <c r="AA26" s="37">
        <f t="shared" si="33"/>
        <v>3460</v>
      </c>
      <c r="AB26" s="37">
        <f t="shared" si="33"/>
        <v>7140</v>
      </c>
      <c r="AC26" s="37">
        <f t="shared" si="33"/>
        <v>11140</v>
      </c>
      <c r="AD26" s="35">
        <f t="shared" si="28"/>
        <v>56740</v>
      </c>
      <c r="AF26" s="20">
        <f t="shared" si="1"/>
        <v>26</v>
      </c>
      <c r="AG26" s="20">
        <f t="shared" si="2"/>
        <v>13.950000000000001</v>
      </c>
      <c r="AH26" s="20">
        <f t="shared" si="3"/>
        <v>16.399999999999999</v>
      </c>
      <c r="AI26" s="20">
        <f t="shared" si="4"/>
        <v>7.8</v>
      </c>
      <c r="AJ26" s="20">
        <f t="shared" si="5"/>
        <v>22.7</v>
      </c>
      <c r="AK26" s="20">
        <f t="shared" si="6"/>
        <v>16.25</v>
      </c>
      <c r="AL26" s="20">
        <f t="shared" si="7"/>
        <v>11.4</v>
      </c>
      <c r="AM26" s="20">
        <f t="shared" si="8"/>
        <v>18.900000000000002</v>
      </c>
      <c r="AN26" s="20">
        <f t="shared" si="9"/>
        <v>28.650000000000002</v>
      </c>
      <c r="AO26" s="20">
        <f t="shared" si="10"/>
        <v>12.950000000000001</v>
      </c>
      <c r="AP26" s="20">
        <f t="shared" si="11"/>
        <v>17.3</v>
      </c>
      <c r="AQ26" s="20">
        <f t="shared" si="12"/>
        <v>35.700000000000003</v>
      </c>
      <c r="AR26" s="20">
        <f t="shared" si="13"/>
        <v>55.7</v>
      </c>
      <c r="AS26" s="35">
        <f t="shared" si="29"/>
        <v>283.7</v>
      </c>
      <c r="AU26" s="47">
        <v>311567</v>
      </c>
      <c r="AV26" s="37">
        <f t="shared" si="31"/>
        <v>1464</v>
      </c>
      <c r="AW26" s="35">
        <f t="shared" si="30"/>
        <v>2.9279999999999999</v>
      </c>
    </row>
    <row r="27" spans="1:49" x14ac:dyDescent="0.25">
      <c r="A27" s="23">
        <v>44156</v>
      </c>
      <c r="B27" s="40">
        <v>70</v>
      </c>
      <c r="C27" s="24">
        <v>6485300</v>
      </c>
      <c r="D27" s="24">
        <v>14958420</v>
      </c>
      <c r="E27" s="24">
        <v>2186510</v>
      </c>
      <c r="F27" s="24">
        <v>3130010</v>
      </c>
      <c r="G27" s="24">
        <v>9491760</v>
      </c>
      <c r="H27" s="24">
        <v>4876000</v>
      </c>
      <c r="I27" s="24">
        <v>4613480</v>
      </c>
      <c r="J27" s="24">
        <v>5231710</v>
      </c>
      <c r="K27" s="24">
        <v>8195370</v>
      </c>
      <c r="L27" s="24">
        <v>3338520</v>
      </c>
      <c r="M27" s="24">
        <v>7243920</v>
      </c>
      <c r="N27" s="24">
        <v>10683590</v>
      </c>
      <c r="O27" s="24">
        <v>14498440</v>
      </c>
      <c r="Q27" s="37">
        <f t="shared" si="33"/>
        <v>2720</v>
      </c>
      <c r="R27" s="37">
        <f t="shared" si="33"/>
        <v>2810</v>
      </c>
      <c r="S27" s="37">
        <f t="shared" si="33"/>
        <v>3610</v>
      </c>
      <c r="T27" s="37">
        <f t="shared" si="33"/>
        <v>2330</v>
      </c>
      <c r="U27" s="37">
        <f t="shared" si="33"/>
        <v>5000</v>
      </c>
      <c r="V27" s="37">
        <f t="shared" si="33"/>
        <v>3510</v>
      </c>
      <c r="W27" s="37">
        <f t="shared" si="33"/>
        <v>2410</v>
      </c>
      <c r="X27" s="37">
        <f t="shared" si="33"/>
        <v>3770</v>
      </c>
      <c r="Y27" s="37">
        <f t="shared" si="33"/>
        <v>6310</v>
      </c>
      <c r="Z27" s="37">
        <f t="shared" si="33"/>
        <v>2770</v>
      </c>
      <c r="AA27" s="37">
        <f t="shared" si="33"/>
        <v>3500</v>
      </c>
      <c r="AB27" s="37">
        <f t="shared" si="33"/>
        <v>7440</v>
      </c>
      <c r="AC27" s="37">
        <f t="shared" si="33"/>
        <v>11890</v>
      </c>
      <c r="AD27" s="35">
        <f t="shared" si="28"/>
        <v>58070</v>
      </c>
      <c r="AF27" s="20">
        <f t="shared" si="1"/>
        <v>13.6</v>
      </c>
      <c r="AG27" s="20">
        <f t="shared" si="2"/>
        <v>14.05</v>
      </c>
      <c r="AH27" s="20">
        <f t="shared" si="3"/>
        <v>18.05</v>
      </c>
      <c r="AI27" s="20">
        <f t="shared" si="4"/>
        <v>11.65</v>
      </c>
      <c r="AJ27" s="20">
        <f t="shared" si="5"/>
        <v>25</v>
      </c>
      <c r="AK27" s="20">
        <f t="shared" si="6"/>
        <v>17.55</v>
      </c>
      <c r="AL27" s="20">
        <f t="shared" si="7"/>
        <v>12.05</v>
      </c>
      <c r="AM27" s="20">
        <f t="shared" si="8"/>
        <v>18.850000000000001</v>
      </c>
      <c r="AN27" s="20">
        <f t="shared" si="9"/>
        <v>31.55</v>
      </c>
      <c r="AO27" s="20">
        <f t="shared" si="10"/>
        <v>13.85</v>
      </c>
      <c r="AP27" s="20">
        <f t="shared" si="11"/>
        <v>17.5</v>
      </c>
      <c r="AQ27" s="20">
        <f t="shared" si="12"/>
        <v>37.200000000000003</v>
      </c>
      <c r="AR27" s="20">
        <f t="shared" si="13"/>
        <v>59.45</v>
      </c>
      <c r="AS27" s="35">
        <f t="shared" si="29"/>
        <v>290.34999999999997</v>
      </c>
      <c r="AU27" s="47">
        <v>313417</v>
      </c>
      <c r="AV27" s="37">
        <f>IF((AU27-AU26&lt;0),"0",AU27-AU26)</f>
        <v>1850</v>
      </c>
      <c r="AW27" s="35">
        <f t="shared" si="30"/>
        <v>3.7</v>
      </c>
    </row>
    <row r="28" spans="1:49" x14ac:dyDescent="0.25">
      <c r="A28" s="23">
        <v>44157</v>
      </c>
      <c r="B28" s="40">
        <v>65</v>
      </c>
      <c r="C28" s="24">
        <v>6485830</v>
      </c>
      <c r="D28" s="24">
        <v>14960220</v>
      </c>
      <c r="E28" s="24">
        <v>2189860</v>
      </c>
      <c r="F28" s="24">
        <v>3131410</v>
      </c>
      <c r="G28" s="24">
        <v>9496140</v>
      </c>
      <c r="H28" s="24">
        <v>4879130</v>
      </c>
      <c r="I28" s="24">
        <v>4615750</v>
      </c>
      <c r="J28" s="24">
        <v>5234800</v>
      </c>
      <c r="K28" s="24">
        <v>8200850</v>
      </c>
      <c r="L28" s="24">
        <v>3340880</v>
      </c>
      <c r="M28" s="24">
        <v>7247000</v>
      </c>
      <c r="N28" s="24">
        <v>10690300</v>
      </c>
      <c r="O28" s="24">
        <v>14510320</v>
      </c>
      <c r="Q28" s="37">
        <f t="shared" si="16"/>
        <v>530</v>
      </c>
      <c r="R28" s="37">
        <f t="shared" si="17"/>
        <v>1800</v>
      </c>
      <c r="S28" s="37">
        <f t="shared" si="15"/>
        <v>3350</v>
      </c>
      <c r="T28" s="37">
        <f t="shared" si="18"/>
        <v>1400</v>
      </c>
      <c r="U28" s="37">
        <f t="shared" si="19"/>
        <v>4380</v>
      </c>
      <c r="V28" s="37">
        <f t="shared" si="20"/>
        <v>3130</v>
      </c>
      <c r="W28" s="37">
        <f t="shared" si="21"/>
        <v>2270</v>
      </c>
      <c r="X28" s="37">
        <f t="shared" si="22"/>
        <v>3090</v>
      </c>
      <c r="Y28" s="37">
        <f t="shared" si="23"/>
        <v>5480</v>
      </c>
      <c r="Z28" s="37">
        <f t="shared" si="24"/>
        <v>2360</v>
      </c>
      <c r="AA28" s="37">
        <f t="shared" si="25"/>
        <v>3080</v>
      </c>
      <c r="AB28" s="37">
        <f t="shared" si="26"/>
        <v>6710</v>
      </c>
      <c r="AC28" s="37">
        <f t="shared" si="27"/>
        <v>11880</v>
      </c>
      <c r="AD28" s="35">
        <f t="shared" si="28"/>
        <v>49460</v>
      </c>
      <c r="AF28" s="20">
        <f t="shared" si="1"/>
        <v>2.65</v>
      </c>
      <c r="AG28" s="20">
        <f t="shared" si="2"/>
        <v>9</v>
      </c>
      <c r="AH28" s="20">
        <f t="shared" si="3"/>
        <v>16.75</v>
      </c>
      <c r="AI28" s="20">
        <f t="shared" si="4"/>
        <v>7</v>
      </c>
      <c r="AJ28" s="20">
        <f t="shared" si="5"/>
        <v>21.900000000000002</v>
      </c>
      <c r="AK28" s="20">
        <f t="shared" si="6"/>
        <v>15.65</v>
      </c>
      <c r="AL28" s="20">
        <f t="shared" si="7"/>
        <v>11.35</v>
      </c>
      <c r="AM28" s="20">
        <f t="shared" si="8"/>
        <v>15.450000000000001</v>
      </c>
      <c r="AN28" s="20">
        <f t="shared" si="9"/>
        <v>27.400000000000002</v>
      </c>
      <c r="AO28" s="20">
        <f t="shared" si="10"/>
        <v>11.8</v>
      </c>
      <c r="AP28" s="20">
        <f t="shared" si="11"/>
        <v>15.4</v>
      </c>
      <c r="AQ28" s="20">
        <f t="shared" si="12"/>
        <v>33.549999999999997</v>
      </c>
      <c r="AR28" s="20">
        <f t="shared" si="13"/>
        <v>59.4</v>
      </c>
      <c r="AS28" s="35">
        <f t="shared" si="29"/>
        <v>247.30000000000004</v>
      </c>
      <c r="AU28" s="47">
        <v>315512</v>
      </c>
      <c r="AV28" s="37">
        <f>IF((AU28-AU27&lt;0),"0",AU28-AU27)</f>
        <v>2095</v>
      </c>
      <c r="AW28" s="35">
        <f t="shared" si="30"/>
        <v>4.1900000000000004</v>
      </c>
    </row>
    <row r="29" spans="1:49" x14ac:dyDescent="0.25">
      <c r="A29" s="23">
        <v>44158</v>
      </c>
      <c r="B29" s="40">
        <v>59</v>
      </c>
      <c r="C29" s="24">
        <v>6486390</v>
      </c>
      <c r="D29" s="24">
        <v>14962130</v>
      </c>
      <c r="E29" s="24">
        <v>2193070</v>
      </c>
      <c r="F29" s="24">
        <v>3132950</v>
      </c>
      <c r="G29" s="24">
        <v>9500670</v>
      </c>
      <c r="H29" s="24">
        <v>4882510</v>
      </c>
      <c r="I29" s="24">
        <v>4618140</v>
      </c>
      <c r="J29" s="24">
        <v>5238530</v>
      </c>
      <c r="K29" s="24">
        <v>8206621</v>
      </c>
      <c r="L29" s="24">
        <v>3343420</v>
      </c>
      <c r="M29" s="24">
        <v>7250000</v>
      </c>
      <c r="N29" s="24">
        <v>10697230</v>
      </c>
      <c r="O29" s="24">
        <v>14523590</v>
      </c>
      <c r="Q29" s="37">
        <f t="shared" si="16"/>
        <v>560</v>
      </c>
      <c r="R29" s="37">
        <f t="shared" si="17"/>
        <v>1910</v>
      </c>
      <c r="S29" s="37">
        <f t="shared" si="15"/>
        <v>3210</v>
      </c>
      <c r="T29" s="37">
        <f t="shared" si="18"/>
        <v>1540</v>
      </c>
      <c r="U29" s="37">
        <f t="shared" si="19"/>
        <v>4530</v>
      </c>
      <c r="V29" s="37">
        <f t="shared" si="20"/>
        <v>3380</v>
      </c>
      <c r="W29" s="37">
        <f t="shared" si="21"/>
        <v>2390</v>
      </c>
      <c r="X29" s="37">
        <f t="shared" si="22"/>
        <v>3730</v>
      </c>
      <c r="Y29" s="37">
        <f t="shared" si="23"/>
        <v>5771</v>
      </c>
      <c r="Z29" s="37">
        <f t="shared" si="24"/>
        <v>2540</v>
      </c>
      <c r="AA29" s="37">
        <f t="shared" si="25"/>
        <v>3000</v>
      </c>
      <c r="AB29" s="37">
        <f t="shared" si="26"/>
        <v>6930</v>
      </c>
      <c r="AC29" s="37">
        <f t="shared" si="27"/>
        <v>13270</v>
      </c>
      <c r="AD29" s="35">
        <f t="shared" si="28"/>
        <v>52761</v>
      </c>
      <c r="AF29" s="20">
        <f t="shared" si="1"/>
        <v>2.8000000000000003</v>
      </c>
      <c r="AG29" s="20">
        <f t="shared" si="2"/>
        <v>9.5500000000000007</v>
      </c>
      <c r="AH29" s="20">
        <f t="shared" si="3"/>
        <v>16.05</v>
      </c>
      <c r="AI29" s="20">
        <f t="shared" si="4"/>
        <v>7.7</v>
      </c>
      <c r="AJ29" s="20">
        <f t="shared" si="5"/>
        <v>22.650000000000002</v>
      </c>
      <c r="AK29" s="20">
        <f t="shared" si="6"/>
        <v>16.899999999999999</v>
      </c>
      <c r="AL29" s="20">
        <f t="shared" si="7"/>
        <v>11.950000000000001</v>
      </c>
      <c r="AM29" s="20">
        <f t="shared" si="8"/>
        <v>18.650000000000002</v>
      </c>
      <c r="AN29" s="20">
        <f t="shared" si="9"/>
        <v>28.855</v>
      </c>
      <c r="AO29" s="20">
        <f t="shared" si="10"/>
        <v>12.700000000000001</v>
      </c>
      <c r="AP29" s="20">
        <f t="shared" si="11"/>
        <v>15</v>
      </c>
      <c r="AQ29" s="20">
        <f t="shared" si="12"/>
        <v>34.65</v>
      </c>
      <c r="AR29" s="20">
        <f t="shared" si="13"/>
        <v>66.349999999999994</v>
      </c>
      <c r="AS29" s="35">
        <f t="shared" si="29"/>
        <v>263.80500000000001</v>
      </c>
      <c r="AU29" s="47">
        <v>317489</v>
      </c>
      <c r="AV29" s="37">
        <f t="shared" ref="AV29:AV35" si="34">IF((AU29-AU28&lt;0),"0",AU29-AU28)</f>
        <v>1977</v>
      </c>
      <c r="AW29" s="35">
        <f t="shared" si="30"/>
        <v>3.9540000000000002</v>
      </c>
    </row>
    <row r="30" spans="1:49" x14ac:dyDescent="0.25">
      <c r="A30" s="23">
        <v>44159</v>
      </c>
      <c r="B30" s="40">
        <v>64</v>
      </c>
      <c r="C30" s="24">
        <v>6486950</v>
      </c>
      <c r="D30" s="24">
        <v>14964070</v>
      </c>
      <c r="E30" s="24">
        <v>2196150</v>
      </c>
      <c r="F30" s="24">
        <v>3134480</v>
      </c>
      <c r="G30" s="24">
        <v>9505380</v>
      </c>
      <c r="H30" s="24">
        <v>4885930</v>
      </c>
      <c r="I30" s="24">
        <v>4620580</v>
      </c>
      <c r="J30" s="24">
        <v>5242320</v>
      </c>
      <c r="K30" s="24">
        <v>8212530</v>
      </c>
      <c r="L30" s="24">
        <v>3345960</v>
      </c>
      <c r="M30" s="24">
        <v>7253150</v>
      </c>
      <c r="N30" s="24">
        <v>10704090</v>
      </c>
      <c r="O30" s="24">
        <v>14537190</v>
      </c>
      <c r="Q30" s="37">
        <f t="shared" si="16"/>
        <v>560</v>
      </c>
      <c r="R30" s="37">
        <f t="shared" si="17"/>
        <v>1940</v>
      </c>
      <c r="S30" s="37">
        <f t="shared" si="15"/>
        <v>3080</v>
      </c>
      <c r="T30" s="37">
        <f t="shared" si="18"/>
        <v>1530</v>
      </c>
      <c r="U30" s="37">
        <f t="shared" si="19"/>
        <v>4710</v>
      </c>
      <c r="V30" s="37">
        <f t="shared" si="20"/>
        <v>3420</v>
      </c>
      <c r="W30" s="37">
        <f t="shared" si="21"/>
        <v>2440</v>
      </c>
      <c r="X30" s="37">
        <f t="shared" si="22"/>
        <v>3790</v>
      </c>
      <c r="Y30" s="37">
        <f t="shared" si="23"/>
        <v>5909</v>
      </c>
      <c r="Z30" s="37">
        <f t="shared" si="24"/>
        <v>2540</v>
      </c>
      <c r="AA30" s="37">
        <f t="shared" si="25"/>
        <v>3150</v>
      </c>
      <c r="AB30" s="37">
        <f t="shared" si="26"/>
        <v>6860</v>
      </c>
      <c r="AC30" s="37">
        <f t="shared" si="27"/>
        <v>13600</v>
      </c>
      <c r="AD30" s="35">
        <f t="shared" si="28"/>
        <v>53529</v>
      </c>
      <c r="AF30" s="20">
        <f t="shared" si="1"/>
        <v>2.8000000000000003</v>
      </c>
      <c r="AG30" s="20">
        <f t="shared" si="2"/>
        <v>9.7000000000000011</v>
      </c>
      <c r="AH30" s="20">
        <f t="shared" si="3"/>
        <v>15.4</v>
      </c>
      <c r="AI30" s="20">
        <f t="shared" si="4"/>
        <v>7.65</v>
      </c>
      <c r="AJ30" s="20">
        <f t="shared" si="5"/>
        <v>23.55</v>
      </c>
      <c r="AK30" s="20">
        <f t="shared" si="6"/>
        <v>17.100000000000001</v>
      </c>
      <c r="AL30" s="20">
        <f t="shared" si="7"/>
        <v>12.200000000000001</v>
      </c>
      <c r="AM30" s="20">
        <f t="shared" si="8"/>
        <v>18.95</v>
      </c>
      <c r="AN30" s="20">
        <f t="shared" si="9"/>
        <v>29.545000000000002</v>
      </c>
      <c r="AO30" s="20">
        <f t="shared" si="10"/>
        <v>12.700000000000001</v>
      </c>
      <c r="AP30" s="20">
        <f t="shared" si="11"/>
        <v>15.75</v>
      </c>
      <c r="AQ30" s="20">
        <f t="shared" si="12"/>
        <v>34.300000000000004</v>
      </c>
      <c r="AR30" s="20">
        <f t="shared" si="13"/>
        <v>68</v>
      </c>
      <c r="AS30" s="35">
        <f t="shared" si="29"/>
        <v>267.64500000000004</v>
      </c>
      <c r="AU30" s="47">
        <v>319330</v>
      </c>
      <c r="AV30" s="37">
        <f t="shared" si="34"/>
        <v>1841</v>
      </c>
      <c r="AW30" s="35">
        <f t="shared" si="30"/>
        <v>3.6819999999999999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 t="str">
        <f>IF((C31-C30&lt;0), "0",C31-C30)</f>
        <v>0</v>
      </c>
      <c r="R31" s="37" t="str">
        <f t="shared" si="17"/>
        <v>0</v>
      </c>
      <c r="S31" s="37" t="str">
        <f t="shared" si="15"/>
        <v>0</v>
      </c>
      <c r="T31" s="37" t="str">
        <f t="shared" si="18"/>
        <v>0</v>
      </c>
      <c r="U31" s="37" t="str">
        <f t="shared" si="19"/>
        <v>0</v>
      </c>
      <c r="V31" s="37" t="str">
        <f t="shared" si="20"/>
        <v>0</v>
      </c>
      <c r="W31" s="37" t="str">
        <f t="shared" si="21"/>
        <v>0</v>
      </c>
      <c r="X31" s="37" t="str">
        <f t="shared" si="22"/>
        <v>0</v>
      </c>
      <c r="Y31" s="37" t="str">
        <f t="shared" si="23"/>
        <v>0</v>
      </c>
      <c r="Z31" s="37" t="str">
        <f t="shared" si="24"/>
        <v>0</v>
      </c>
      <c r="AA31" s="37" t="str">
        <f t="shared" si="25"/>
        <v>0</v>
      </c>
      <c r="AB31" s="37" t="str">
        <f t="shared" si="26"/>
        <v>0</v>
      </c>
      <c r="AC31" s="37" t="str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 t="str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84310</v>
      </c>
      <c r="R38" s="30">
        <f t="shared" si="38"/>
        <v>227160</v>
      </c>
      <c r="S38" s="30">
        <f t="shared" si="38"/>
        <v>30230</v>
      </c>
      <c r="T38" s="30">
        <f t="shared" si="38"/>
        <v>38240</v>
      </c>
      <c r="U38" s="30">
        <f t="shared" si="38"/>
        <v>111900</v>
      </c>
      <c r="V38" s="30">
        <f t="shared" si="38"/>
        <v>79888</v>
      </c>
      <c r="W38" s="30">
        <f t="shared" si="38"/>
        <v>56980</v>
      </c>
      <c r="X38" s="30">
        <f t="shared" si="38"/>
        <v>89570</v>
      </c>
      <c r="Y38" s="30">
        <f t="shared" si="38"/>
        <v>135550</v>
      </c>
      <c r="Z38" s="30">
        <f t="shared" si="38"/>
        <v>61310</v>
      </c>
      <c r="AA38" s="30">
        <f t="shared" si="38"/>
        <v>77130</v>
      </c>
      <c r="AB38" s="30">
        <f t="shared" si="38"/>
        <v>169590</v>
      </c>
      <c r="AC38" s="30">
        <f t="shared" si="38"/>
        <v>274640</v>
      </c>
      <c r="AD38" s="35">
        <f t="shared" si="38"/>
        <v>1436498</v>
      </c>
      <c r="AF38" s="35">
        <f t="shared" ref="AF38:AS38" si="39">SUM(AF7:AF34)</f>
        <v>421.55000000000007</v>
      </c>
      <c r="AG38" s="35">
        <f t="shared" si="39"/>
        <v>1135.7999999999997</v>
      </c>
      <c r="AH38" s="35">
        <f t="shared" si="39"/>
        <v>151.15</v>
      </c>
      <c r="AI38" s="35">
        <f t="shared" si="39"/>
        <v>191.20000000000002</v>
      </c>
      <c r="AJ38" s="35">
        <f t="shared" si="39"/>
        <v>559.49999999999989</v>
      </c>
      <c r="AK38" s="35">
        <f t="shared" si="39"/>
        <v>399.44</v>
      </c>
      <c r="AL38" s="35">
        <f t="shared" si="39"/>
        <v>284.90000000000003</v>
      </c>
      <c r="AM38" s="35">
        <f t="shared" si="39"/>
        <v>447.84999999999997</v>
      </c>
      <c r="AN38" s="35">
        <f t="shared" si="39"/>
        <v>677.75</v>
      </c>
      <c r="AO38" s="35">
        <f t="shared" si="39"/>
        <v>306.54999999999995</v>
      </c>
      <c r="AP38" s="35">
        <f t="shared" si="39"/>
        <v>385.65</v>
      </c>
      <c r="AQ38" s="35">
        <f t="shared" si="39"/>
        <v>847.94999999999993</v>
      </c>
      <c r="AR38" s="35">
        <f t="shared" si="39"/>
        <v>1373.2000000000003</v>
      </c>
      <c r="AS38" s="35">
        <f t="shared" si="39"/>
        <v>7182.49</v>
      </c>
      <c r="AU38" s="48"/>
      <c r="AV38" s="35">
        <f>SUM(AV7:AV34)</f>
        <v>43990</v>
      </c>
      <c r="AW38" s="35">
        <f>SUM(AW7:AW34)</f>
        <v>80.2</v>
      </c>
    </row>
    <row r="39" spans="1:49" x14ac:dyDescent="0.25">
      <c r="D39">
        <v>5.0000000000000001E-3</v>
      </c>
      <c r="AV39" s="36">
        <f>AV38*0.00378541*1000</f>
        <v>166520.18590000001</v>
      </c>
    </row>
    <row r="40" spans="1:49" x14ac:dyDescent="0.25">
      <c r="D40">
        <v>2E-3</v>
      </c>
      <c r="AV40">
        <f>AV39/31</f>
        <v>5371.6189000000004</v>
      </c>
    </row>
    <row r="41" spans="1:49" x14ac:dyDescent="0.25">
      <c r="AV41">
        <f>AV38*0.00378541</f>
        <v>166.5201859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2020-11-25T06:18:40Z</dcterms:modified>
</cp:coreProperties>
</file>