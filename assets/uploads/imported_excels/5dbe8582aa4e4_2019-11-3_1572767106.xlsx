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 activeTab="1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C11" i="4" l="1"/>
  <c r="C12" i="4"/>
  <c r="C13" i="4"/>
  <c r="C14" i="4"/>
  <c r="E12" i="4"/>
  <c r="E13" i="4"/>
  <c r="E14" i="4"/>
  <c r="G12" i="4"/>
  <c r="G13" i="4"/>
  <c r="G14" i="4"/>
  <c r="C16" i="6"/>
  <c r="C17" i="6"/>
  <c r="C18" i="6"/>
  <c r="E16" i="6"/>
  <c r="E17" i="6"/>
  <c r="E18" i="6"/>
  <c r="E19" i="6"/>
  <c r="G16" i="6"/>
  <c r="G17" i="6"/>
  <c r="G18" i="6"/>
  <c r="M48" i="4" l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U13" i="1" l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AC43" i="4"/>
  <c r="G43" i="4"/>
  <c r="E48" i="6"/>
  <c r="C48" i="6"/>
  <c r="C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D41" i="1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5" i="4"/>
  <c r="E15" i="4"/>
  <c r="G15" i="4"/>
  <c r="C16" i="4"/>
  <c r="E16" i="4"/>
  <c r="G16" i="4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G11" i="4"/>
  <c r="E11" i="4"/>
  <c r="E43" i="4" s="1"/>
  <c r="C43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J41" i="1" l="1"/>
  <c r="K41" i="1"/>
  <c r="M41" i="4"/>
  <c r="J41" i="4"/>
  <c r="K41" i="4" s="1"/>
  <c r="M40" i="4"/>
  <c r="J40" i="4"/>
  <c r="K40" i="4" s="1"/>
  <c r="M34" i="4" l="1"/>
  <c r="J34" i="4"/>
  <c r="K34" i="4" s="1"/>
  <c r="M33" i="4"/>
  <c r="J33" i="4"/>
  <c r="K33" i="4" s="1"/>
  <c r="M25" i="4" l="1"/>
  <c r="J25" i="4"/>
  <c r="K25" i="4" s="1"/>
  <c r="M24" i="4"/>
  <c r="J24" i="4"/>
  <c r="K24" i="4" s="1"/>
  <c r="M14" i="4" l="1"/>
  <c r="J14" i="4"/>
  <c r="K14" i="4" s="1"/>
  <c r="M13" i="4"/>
  <c r="J13" i="4"/>
  <c r="K13" i="4" s="1"/>
  <c r="M12" i="4"/>
  <c r="J12" i="4"/>
  <c r="K12" i="4" s="1"/>
  <c r="F35" i="1" l="1"/>
  <c r="M32" i="1"/>
  <c r="K24" i="10"/>
  <c r="K23" i="10"/>
  <c r="K21" i="10"/>
  <c r="F27" i="1"/>
  <c r="M21" i="4"/>
  <c r="J21" i="4"/>
  <c r="K21" i="4" s="1"/>
  <c r="M20" i="4"/>
  <c r="J20" i="4"/>
  <c r="K20" i="4" s="1"/>
  <c r="K7" i="10"/>
  <c r="K6" i="10"/>
  <c r="K3" i="10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5" i="4"/>
  <c r="K35" i="4" s="1"/>
  <c r="J42" i="4"/>
  <c r="K42" i="4" s="1"/>
  <c r="L42" i="4"/>
  <c r="M35" i="4"/>
  <c r="I19" i="6"/>
  <c r="I20" i="6"/>
  <c r="I21" i="6"/>
  <c r="I22" i="6"/>
  <c r="I23" i="6"/>
  <c r="I24" i="6"/>
  <c r="I25" i="6"/>
  <c r="I26" i="6"/>
  <c r="I27" i="6"/>
  <c r="M22" i="1" s="1"/>
  <c r="E14" i="10" s="1"/>
  <c r="I28" i="6"/>
  <c r="I29" i="6"/>
  <c r="I30" i="6"/>
  <c r="I31" i="6"/>
  <c r="M26" i="1" s="1"/>
  <c r="I32" i="6"/>
  <c r="I33" i="6"/>
  <c r="I34" i="6"/>
  <c r="I35" i="6"/>
  <c r="I36" i="6"/>
  <c r="I37" i="6"/>
  <c r="I38" i="6"/>
  <c r="M33" i="1" s="1"/>
  <c r="I39" i="6"/>
  <c r="M34" i="1" s="1"/>
  <c r="I40" i="6"/>
  <c r="I41" i="6"/>
  <c r="I42" i="6"/>
  <c r="I43" i="6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I21" i="4" s="1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 s="1"/>
  <c r="AE5" i="4"/>
  <c r="AD5" i="4"/>
  <c r="AC5" i="4"/>
  <c r="AE4" i="4"/>
  <c r="AD4" i="4"/>
  <c r="AC4" i="4"/>
  <c r="I4" i="4" s="1"/>
  <c r="Y40" i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I4" i="10" s="1"/>
  <c r="Z12" i="1"/>
  <c r="Y11" i="1"/>
  <c r="I3" i="10" s="1"/>
  <c r="Y10" i="1"/>
  <c r="I18" i="6"/>
  <c r="L12" i="1" s="1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 s="1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I48" i="6" l="1"/>
  <c r="L10" i="1"/>
  <c r="L41" i="1" s="1"/>
  <c r="O11" i="4"/>
  <c r="U10" i="1" s="1"/>
  <c r="I2" i="10"/>
  <c r="Y41" i="1"/>
  <c r="G40" i="4"/>
  <c r="C40" i="4"/>
  <c r="E40" i="4"/>
  <c r="G32" i="4"/>
  <c r="C32" i="4"/>
  <c r="E32" i="4"/>
  <c r="G28" i="4"/>
  <c r="C28" i="4"/>
  <c r="E28" i="4"/>
  <c r="C37" i="4"/>
  <c r="E37" i="4"/>
  <c r="G37" i="4"/>
  <c r="I29" i="4"/>
  <c r="C29" i="4"/>
  <c r="E29" i="4"/>
  <c r="G29" i="4"/>
  <c r="C38" i="4"/>
  <c r="E38" i="4"/>
  <c r="G38" i="4"/>
  <c r="C34" i="4"/>
  <c r="E34" i="4"/>
  <c r="G34" i="4"/>
  <c r="C30" i="4"/>
  <c r="E30" i="4"/>
  <c r="G30" i="4"/>
  <c r="C26" i="4"/>
  <c r="E26" i="4"/>
  <c r="G26" i="4"/>
  <c r="G36" i="4"/>
  <c r="C36" i="4"/>
  <c r="E36" i="4"/>
  <c r="G24" i="4"/>
  <c r="C24" i="4"/>
  <c r="E24" i="4"/>
  <c r="I36" i="4"/>
  <c r="C41" i="4"/>
  <c r="E41" i="4"/>
  <c r="G41" i="4"/>
  <c r="C33" i="4"/>
  <c r="E33" i="4"/>
  <c r="G33" i="4"/>
  <c r="C25" i="4"/>
  <c r="E25" i="4"/>
  <c r="G25" i="4"/>
  <c r="E39" i="4"/>
  <c r="G39" i="4"/>
  <c r="C39" i="4"/>
  <c r="E35" i="4"/>
  <c r="G35" i="4"/>
  <c r="C35" i="4"/>
  <c r="E31" i="4"/>
  <c r="G31" i="4"/>
  <c r="C31" i="4"/>
  <c r="E27" i="4"/>
  <c r="G27" i="4"/>
  <c r="C27" i="4"/>
  <c r="E5" i="4"/>
  <c r="C5" i="4"/>
  <c r="G5" i="4"/>
  <c r="G10" i="4"/>
  <c r="E10" i="4"/>
  <c r="C10" i="4"/>
  <c r="L6" i="4"/>
  <c r="N6" i="4" s="1"/>
  <c r="O6" i="4" s="1"/>
  <c r="P6" i="4" s="1"/>
  <c r="L21" i="4"/>
  <c r="N21" i="4" s="1"/>
  <c r="O21" i="4" s="1"/>
  <c r="P21" i="4" s="1"/>
  <c r="I17" i="4"/>
  <c r="I19" i="4"/>
  <c r="I32" i="4"/>
  <c r="L32" i="4"/>
  <c r="N32" i="4" s="1"/>
  <c r="O32" i="4" s="1"/>
  <c r="Z21" i="1"/>
  <c r="I19" i="10"/>
  <c r="I40" i="4"/>
  <c r="L40" i="4"/>
  <c r="N40" i="4" s="1"/>
  <c r="O40" i="4" s="1"/>
  <c r="I41" i="4"/>
  <c r="L41" i="4"/>
  <c r="N41" i="4" s="1"/>
  <c r="O41" i="4" s="1"/>
  <c r="P41" i="4" s="1"/>
  <c r="M37" i="1"/>
  <c r="E29" i="10" s="1"/>
  <c r="M38" i="1"/>
  <c r="E30" i="10" s="1"/>
  <c r="M35" i="1"/>
  <c r="E27" i="10" s="1"/>
  <c r="Z37" i="1"/>
  <c r="I33" i="4"/>
  <c r="L33" i="4"/>
  <c r="N33" i="4" s="1"/>
  <c r="O33" i="4" s="1"/>
  <c r="P33" i="4" s="1"/>
  <c r="I34" i="4"/>
  <c r="L34" i="4"/>
  <c r="N34" i="4" s="1"/>
  <c r="O34" i="4" s="1"/>
  <c r="I24" i="10"/>
  <c r="M29" i="1"/>
  <c r="E21" i="10" s="1"/>
  <c r="M30" i="1"/>
  <c r="I21" i="10"/>
  <c r="M27" i="1"/>
  <c r="O27" i="1" s="1"/>
  <c r="M28" i="1"/>
  <c r="I18" i="10"/>
  <c r="I24" i="4"/>
  <c r="L24" i="4"/>
  <c r="N24" i="4" s="1"/>
  <c r="O24" i="4" s="1"/>
  <c r="P24" i="4" s="1"/>
  <c r="L25" i="4"/>
  <c r="N25" i="4" s="1"/>
  <c r="O25" i="4" s="1"/>
  <c r="P25" i="4" s="1"/>
  <c r="I25" i="4"/>
  <c r="Z25" i="1"/>
  <c r="Z23" i="1"/>
  <c r="L20" i="4"/>
  <c r="N20" i="4" s="1"/>
  <c r="O20" i="4" s="1"/>
  <c r="M19" i="1"/>
  <c r="E11" i="10" s="1"/>
  <c r="M20" i="1"/>
  <c r="Z20" i="1"/>
  <c r="I10" i="10"/>
  <c r="Z17" i="1"/>
  <c r="Z16" i="1"/>
  <c r="Z14" i="1"/>
  <c r="M13" i="1"/>
  <c r="E5" i="10" s="1"/>
  <c r="I13" i="4"/>
  <c r="L13" i="4"/>
  <c r="N13" i="4" s="1"/>
  <c r="O13" i="4" s="1"/>
  <c r="U12" i="1" s="1"/>
  <c r="W12" i="1" s="1"/>
  <c r="I14" i="4"/>
  <c r="L14" i="4"/>
  <c r="N14" i="4" s="1"/>
  <c r="O14" i="4" s="1"/>
  <c r="I12" i="4"/>
  <c r="L12" i="4"/>
  <c r="N12" i="4" s="1"/>
  <c r="O12" i="4" s="1"/>
  <c r="K48" i="4"/>
  <c r="L48" i="4" s="1"/>
  <c r="I5" i="10"/>
  <c r="M11" i="1"/>
  <c r="E3" i="10" s="1"/>
  <c r="Z11" i="1"/>
  <c r="K2" i="10"/>
  <c r="O19" i="1"/>
  <c r="E26" i="10"/>
  <c r="O34" i="1"/>
  <c r="O32" i="1"/>
  <c r="E24" i="10"/>
  <c r="F40" i="1"/>
  <c r="M24" i="1"/>
  <c r="M18" i="1"/>
  <c r="K19" i="10"/>
  <c r="F33" i="1"/>
  <c r="O22" i="1"/>
  <c r="F11" i="1"/>
  <c r="F41" i="1" s="1"/>
  <c r="F23" i="1"/>
  <c r="M16" i="1"/>
  <c r="O16" i="1" s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O15" i="1" s="1"/>
  <c r="M17" i="1"/>
  <c r="O17" i="1" s="1"/>
  <c r="L38" i="4"/>
  <c r="N38" i="4" s="1"/>
  <c r="O38" i="4" s="1"/>
  <c r="L23" i="4"/>
  <c r="N23" i="4" s="1"/>
  <c r="O23" i="4" s="1"/>
  <c r="I8" i="4"/>
  <c r="L27" i="4"/>
  <c r="N27" i="4" s="1"/>
  <c r="O27" i="4" s="1"/>
  <c r="P27" i="4" s="1"/>
  <c r="I16" i="4"/>
  <c r="L22" i="4"/>
  <c r="N22" i="4" s="1"/>
  <c r="O22" i="4" s="1"/>
  <c r="P22" i="4" s="1"/>
  <c r="L37" i="4"/>
  <c r="N37" i="4" s="1"/>
  <c r="O37" i="4" s="1"/>
  <c r="L28" i="4"/>
  <c r="N28" i="4" s="1"/>
  <c r="O28" i="4" s="1"/>
  <c r="I7" i="4"/>
  <c r="I31" i="4"/>
  <c r="I18" i="4"/>
  <c r="I27" i="4"/>
  <c r="I20" i="4"/>
  <c r="I30" i="4"/>
  <c r="Q44" i="4"/>
  <c r="L19" i="4"/>
  <c r="N19" i="4" s="1"/>
  <c r="O19" i="4" s="1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L26" i="4"/>
  <c r="N26" i="4" s="1"/>
  <c r="O26" i="4" s="1"/>
  <c r="I26" i="4"/>
  <c r="O35" i="1"/>
  <c r="F17" i="1"/>
  <c r="K9" i="10"/>
  <c r="O39" i="1"/>
  <c r="I22" i="10"/>
  <c r="Z30" i="1"/>
  <c r="I31" i="10"/>
  <c r="Z39" i="1"/>
  <c r="E7" i="10"/>
  <c r="M14" i="1"/>
  <c r="L39" i="4"/>
  <c r="N39" i="4" s="1"/>
  <c r="O39" i="4" s="1"/>
  <c r="I23" i="10"/>
  <c r="Z31" i="1"/>
  <c r="L35" i="4"/>
  <c r="N35" i="4" s="1"/>
  <c r="O35" i="4" s="1"/>
  <c r="AC44" i="4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L9" i="4"/>
  <c r="N9" i="4" s="1"/>
  <c r="O9" i="4" s="1"/>
  <c r="P9" i="4" s="1"/>
  <c r="L18" i="4"/>
  <c r="N18" i="4" s="1"/>
  <c r="O18" i="4" s="1"/>
  <c r="K30" i="10"/>
  <c r="F38" i="1"/>
  <c r="F32" i="1"/>
  <c r="Z10" i="1"/>
  <c r="Z41" i="1" s="1"/>
  <c r="I9" i="4"/>
  <c r="F30" i="1"/>
  <c r="I35" i="4"/>
  <c r="I7" i="10"/>
  <c r="Z15" i="1"/>
  <c r="I38" i="4"/>
  <c r="L29" i="4"/>
  <c r="N29" i="4" s="1"/>
  <c r="O29" i="4" s="1"/>
  <c r="I15" i="4"/>
  <c r="I11" i="4"/>
  <c r="I43" i="4" s="1"/>
  <c r="N42" i="4"/>
  <c r="O42" i="4" s="1"/>
  <c r="P42" i="4" s="1"/>
  <c r="L15" i="4"/>
  <c r="N15" i="4" s="1"/>
  <c r="O15" i="4" s="1"/>
  <c r="G43" i="1"/>
  <c r="J43" i="1" s="1"/>
  <c r="L16" i="4"/>
  <c r="N16" i="4" s="1"/>
  <c r="O16" i="4" s="1"/>
  <c r="I42" i="4"/>
  <c r="L36" i="4"/>
  <c r="N36" i="4" s="1"/>
  <c r="O36" i="4" s="1"/>
  <c r="L30" i="4"/>
  <c r="N30" i="4" s="1"/>
  <c r="O30" i="4" s="1"/>
  <c r="O13" i="1" l="1"/>
  <c r="M41" i="1"/>
  <c r="P12" i="4"/>
  <c r="U11" i="1"/>
  <c r="W11" i="1" s="1"/>
  <c r="N43" i="4"/>
  <c r="W10" i="1"/>
  <c r="W41" i="1" s="1"/>
  <c r="U41" i="1"/>
  <c r="O37" i="1"/>
  <c r="E8" i="10"/>
  <c r="E19" i="10"/>
  <c r="E15" i="10"/>
  <c r="O11" i="1"/>
  <c r="P32" i="4"/>
  <c r="P29" i="4"/>
  <c r="P23" i="4"/>
  <c r="G18" i="10"/>
  <c r="O18" i="10" s="1"/>
  <c r="P26" i="4"/>
  <c r="P30" i="4"/>
  <c r="G11" i="10"/>
  <c r="O11" i="10" s="1"/>
  <c r="P19" i="4"/>
  <c r="P28" i="4"/>
  <c r="G12" i="10"/>
  <c r="P20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 s="1"/>
  <c r="L43" i="1" s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K8" i="10"/>
  <c r="G46" i="1"/>
  <c r="J46" i="1" s="1"/>
  <c r="L46" i="1" s="1"/>
  <c r="P17" i="4"/>
  <c r="E2" i="10"/>
  <c r="O10" i="1"/>
  <c r="G10" i="10"/>
  <c r="P15" i="4"/>
  <c r="G13" i="10"/>
  <c r="O14" i="1"/>
  <c r="E6" i="10"/>
  <c r="P16" i="4"/>
  <c r="P18" i="4"/>
  <c r="O30" i="1"/>
  <c r="E22" i="10"/>
  <c r="O41" i="1" l="1"/>
  <c r="O19" i="10"/>
  <c r="O12" i="10"/>
  <c r="G14" i="10"/>
  <c r="O14" i="10" s="1"/>
  <c r="P10" i="4"/>
  <c r="G22" i="10"/>
  <c r="O22" i="10" s="1"/>
  <c r="G28" i="10"/>
  <c r="O28" i="10" s="1"/>
  <c r="G23" i="10"/>
  <c r="O23" i="10" s="1"/>
  <c r="G47" i="1"/>
  <c r="J47" i="1" s="1"/>
  <c r="L47" i="1" s="1"/>
  <c r="O13" i="10"/>
  <c r="O10" i="10"/>
  <c r="O16" i="10"/>
  <c r="G9" i="10"/>
  <c r="O9" i="10" s="1"/>
  <c r="G4" i="10"/>
  <c r="O4" i="10" s="1"/>
  <c r="G29" i="10"/>
  <c r="O29" i="10" s="1"/>
  <c r="G8" i="10"/>
  <c r="O8" i="10" s="1"/>
  <c r="G7" i="10"/>
  <c r="O7" i="10" s="1"/>
  <c r="G21" i="10"/>
  <c r="O21" i="10" s="1"/>
  <c r="G15" i="10"/>
  <c r="O15" i="10" s="1"/>
  <c r="G20" i="10"/>
  <c r="O20" i="10" s="1"/>
  <c r="G17" i="10"/>
  <c r="O17" i="10" s="1"/>
  <c r="G24" i="10"/>
  <c r="O24" i="10" s="1"/>
  <c r="G27" i="10"/>
  <c r="O27" i="10" s="1"/>
  <c r="G31" i="10"/>
  <c r="G6" i="10"/>
  <c r="O6" i="10" s="1"/>
  <c r="G30" i="10"/>
  <c r="G26" i="10"/>
  <c r="O26" i="10" s="1"/>
  <c r="G25" i="10"/>
  <c r="O25" i="10" s="1"/>
  <c r="G5" i="10"/>
  <c r="O5" i="10" s="1"/>
  <c r="G3" i="10"/>
  <c r="O3" i="10" s="1"/>
  <c r="O43" i="4"/>
  <c r="P43" i="4" s="1"/>
  <c r="K47" i="4"/>
  <c r="G2" i="10" l="1"/>
  <c r="O2" i="10" s="1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<sst xmlns="http://schemas.openxmlformats.org/spreadsheetml/2006/main" count="124" uniqueCount="82">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</sst>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2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96384"/>
        <c:axId val="97767808"/>
      </c:lineChart>
      <c:dateAx>
        <c:axId val="9769638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67808"/>
        <c:crosses val="autoZero"/>
        <c:auto val="1"/>
        <c:lblOffset val="100"/>
        <c:baseTimeUnit val="days"/>
      </c:dateAx>
      <c:valAx>
        <c:axId val="97767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963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07712"/>
        <c:axId val="95117696"/>
      </c:lineChart>
      <c:dateAx>
        <c:axId val="9510771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17696"/>
        <c:crosses val="autoZero"/>
        <c:auto val="1"/>
        <c:lblOffset val="100"/>
        <c:baseTimeUnit val="days"/>
      </c:dateAx>
      <c:valAx>
        <c:axId val="951176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38560"/>
        <c:axId val="95140096"/>
      </c:lineChart>
      <c:dateAx>
        <c:axId val="9513856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40096"/>
        <c:crosses val="autoZero"/>
        <c:auto val="1"/>
        <c:lblOffset val="100"/>
        <c:baseTimeUnit val="days"/>
      </c:dateAx>
      <c:valAx>
        <c:axId val="951400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workbookViewId="0">
      <selection activeCell="N7" sqref="N7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0</v>
      </c>
      <c r="F4" s="112">
        <v>1.002</v>
      </c>
      <c r="G4" s="112">
        <f>'Consommation du 01.11 au 30.11'!U12</f>
        <v>0</v>
      </c>
      <c r="H4" s="112">
        <v>8.0277999999999992</v>
      </c>
      <c r="I4" s="112">
        <f>'Consommation du 01.11 au 30.11'!Y12*1000</f>
        <v>0</v>
      </c>
      <c r="J4" s="112">
        <v>0.84</v>
      </c>
      <c r="K4" s="112">
        <f>'Consommation du 01.11 au 30.11'!D12</f>
        <v>0</v>
      </c>
      <c r="L4" s="112">
        <v>12.67</v>
      </c>
      <c r="M4" s="126">
        <f>'Consommation du 01.11 au 30.11'!AC12</f>
        <v>0</v>
      </c>
      <c r="N4" s="126"/>
      <c r="O4" s="112">
        <f t="shared" si="0"/>
        <v>0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0</v>
      </c>
      <c r="F5" s="112">
        <v>1.002</v>
      </c>
      <c r="G5" s="112">
        <f>'Consommation du 01.11 au 30.11'!U13</f>
        <v>0</v>
      </c>
      <c r="H5" s="112">
        <v>8.0277999999999992</v>
      </c>
      <c r="I5" s="112">
        <f>'Consommation du 01.11 au 30.11'!Y13*1000</f>
        <v>0</v>
      </c>
      <c r="J5" s="112">
        <v>0.84</v>
      </c>
      <c r="K5" s="112">
        <f>'Consommation du 01.11 au 30.11'!D13</f>
        <v>0</v>
      </c>
      <c r="L5" s="112">
        <v>12.67</v>
      </c>
      <c r="M5" s="126">
        <f>'Consommation du 01.11 au 30.11'!AC13</f>
        <v>0</v>
      </c>
      <c r="N5" s="126"/>
      <c r="O5" s="112">
        <f t="shared" si="0"/>
        <v>0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0</v>
      </c>
      <c r="F6" s="112">
        <v>1.002</v>
      </c>
      <c r="G6" s="112">
        <f>'Consommation du 01.11 au 30.11'!U14</f>
        <v>0</v>
      </c>
      <c r="H6" s="112">
        <v>8.0277999999999992</v>
      </c>
      <c r="I6" s="112">
        <f>'Consommation du 01.11 au 30.11'!Y14*1000</f>
        <v>0</v>
      </c>
      <c r="J6" s="112">
        <v>0.84</v>
      </c>
      <c r="K6" s="112">
        <f>'Consommation du 01.11 au 30.11'!D14</f>
        <v>0</v>
      </c>
      <c r="L6" s="112">
        <v>12.67</v>
      </c>
      <c r="M6" s="126">
        <f>'Consommation du 01.11 au 30.11'!AC14</f>
        <v>0</v>
      </c>
      <c r="N6" s="126"/>
      <c r="O6" s="112">
        <f t="shared" si="0"/>
        <v>0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0</v>
      </c>
      <c r="F7" s="112">
        <v>1.002</v>
      </c>
      <c r="G7" s="112">
        <f>'Consommation du 01.11 au 30.11'!U15</f>
        <v>0</v>
      </c>
      <c r="H7" s="112">
        <v>8.0277999999999992</v>
      </c>
      <c r="I7" s="112">
        <f>'Consommation du 01.11 au 30.11'!Y15*1000</f>
        <v>0</v>
      </c>
      <c r="J7" s="112">
        <v>0.84</v>
      </c>
      <c r="K7" s="112">
        <f>'Consommation du 01.11 au 30.11'!D15</f>
        <v>0</v>
      </c>
      <c r="L7" s="112">
        <v>12.67</v>
      </c>
      <c r="M7" s="126">
        <f>'Consommation du 01.11 au 30.11'!AC15</f>
        <v>0</v>
      </c>
      <c r="N7" s="126"/>
      <c r="O7" s="112">
        <f t="shared" si="0"/>
        <v>0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0</v>
      </c>
      <c r="F8" s="112">
        <v>1.002</v>
      </c>
      <c r="G8" s="112">
        <f>'Consommation du 01.11 au 30.11'!U16</f>
        <v>0</v>
      </c>
      <c r="H8" s="112">
        <v>8.0277999999999992</v>
      </c>
      <c r="I8" s="112">
        <f>'Consommation du 01.11 au 30.11'!Y16*1000</f>
        <v>0</v>
      </c>
      <c r="J8" s="112">
        <v>0.84</v>
      </c>
      <c r="K8" s="112">
        <f>'Consommation du 01.11 au 30.11'!D16</f>
        <v>0</v>
      </c>
      <c r="L8" s="112">
        <v>12.67</v>
      </c>
      <c r="M8" s="126">
        <f>'Consommation du 01.11 au 30.11'!AC16</f>
        <v>0</v>
      </c>
      <c r="N8" s="126"/>
      <c r="O8" s="112">
        <f t="shared" si="0"/>
        <v>0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0</v>
      </c>
      <c r="F9" s="112">
        <v>1.002</v>
      </c>
      <c r="G9" s="112">
        <f>'Consommation du 01.11 au 30.11'!U17</f>
        <v>0</v>
      </c>
      <c r="H9" s="112">
        <v>8.0277999999999992</v>
      </c>
      <c r="I9" s="112">
        <f>'Consommation du 01.11 au 30.11'!Y17*1000</f>
        <v>0</v>
      </c>
      <c r="J9" s="112">
        <v>0.84</v>
      </c>
      <c r="K9" s="112">
        <f>'Consommation du 01.11 au 30.11'!D17</f>
        <v>0</v>
      </c>
      <c r="L9" s="112">
        <v>12.67</v>
      </c>
      <c r="M9" s="126">
        <f>'Consommation du 01.11 au 30.11'!AC17</f>
        <v>0</v>
      </c>
      <c r="N9" s="126"/>
      <c r="O9" s="112">
        <f t="shared" si="0"/>
        <v>0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0</v>
      </c>
      <c r="F10" s="112">
        <v>1.002</v>
      </c>
      <c r="G10" s="112">
        <f>'Consommation du 01.11 au 30.11'!U18</f>
        <v>0</v>
      </c>
      <c r="H10" s="112">
        <v>8.0277999999999992</v>
      </c>
      <c r="I10" s="112">
        <f>'Consommation du 01.11 au 30.11'!Y18*1000</f>
        <v>0</v>
      </c>
      <c r="J10" s="112">
        <v>0.84</v>
      </c>
      <c r="K10" s="112">
        <f>'Consommation du 01.11 au 30.11'!D18</f>
        <v>0</v>
      </c>
      <c r="L10" s="112">
        <v>12.67</v>
      </c>
      <c r="M10" s="126">
        <f>'Consommation du 01.11 au 30.11'!AC18</f>
        <v>0</v>
      </c>
      <c r="N10" s="126"/>
      <c r="O10" s="112">
        <f t="shared" si="0"/>
        <v>0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0</v>
      </c>
      <c r="F11" s="112">
        <v>1.002</v>
      </c>
      <c r="G11" s="112">
        <f>'Consommation du 01.11 au 30.11'!U19</f>
        <v>0</v>
      </c>
      <c r="H11" s="112">
        <v>8.0277999999999992</v>
      </c>
      <c r="I11" s="112">
        <f>'Consommation du 01.11 au 30.11'!Y19*1000</f>
        <v>0</v>
      </c>
      <c r="J11" s="112">
        <v>0.84</v>
      </c>
      <c r="K11" s="112">
        <f>'Consommation du 01.11 au 30.11'!D19</f>
        <v>0</v>
      </c>
      <c r="L11" s="112">
        <v>12.67</v>
      </c>
      <c r="M11" s="126">
        <f>'Consommation du 01.11 au 30.11'!AC19</f>
        <v>0</v>
      </c>
      <c r="N11" s="126"/>
      <c r="O11" s="112">
        <f t="shared" si="0"/>
        <v>0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0</v>
      </c>
      <c r="F12" s="112">
        <v>1.002</v>
      </c>
      <c r="G12" s="112">
        <f>'Consommation du 01.11 au 30.11'!U20</f>
        <v>0</v>
      </c>
      <c r="H12" s="112">
        <v>8.0277999999999992</v>
      </c>
      <c r="I12" s="112">
        <f>'Consommation du 01.11 au 30.11'!Y20*1000</f>
        <v>0</v>
      </c>
      <c r="J12" s="112">
        <v>0.84</v>
      </c>
      <c r="K12" s="112">
        <f>'Consommation du 01.11 au 30.11'!D20</f>
        <v>0</v>
      </c>
      <c r="L12" s="112">
        <v>12.67</v>
      </c>
      <c r="M12" s="126">
        <f>'Consommation du 01.11 au 30.11'!AC20</f>
        <v>0</v>
      </c>
      <c r="N12" s="126"/>
      <c r="O12" s="112">
        <f t="shared" si="0"/>
        <v>0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0</v>
      </c>
      <c r="F13" s="112">
        <v>1.002</v>
      </c>
      <c r="G13" s="112">
        <f>'Consommation du 01.11 au 30.11'!U21</f>
        <v>0</v>
      </c>
      <c r="H13" s="112">
        <v>8.0277999999999992</v>
      </c>
      <c r="I13" s="112">
        <f>'Consommation du 01.11 au 30.11'!Y21*1000</f>
        <v>0</v>
      </c>
      <c r="J13" s="112">
        <v>0.84</v>
      </c>
      <c r="K13" s="112">
        <f>'Consommation du 01.11 au 30.11'!D21</f>
        <v>0</v>
      </c>
      <c r="L13" s="112">
        <v>12.67</v>
      </c>
      <c r="M13" s="126">
        <f>'Consommation du 01.11 au 30.11'!AC21</f>
        <v>0</v>
      </c>
      <c r="N13" s="126"/>
      <c r="O13" s="112">
        <f t="shared" si="0"/>
        <v>0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0</v>
      </c>
      <c r="F14" s="112">
        <v>1.002</v>
      </c>
      <c r="G14" s="112">
        <f>'Consommation du 01.11 au 30.11'!U22</f>
        <v>0</v>
      </c>
      <c r="H14" s="112">
        <v>8.0277999999999992</v>
      </c>
      <c r="I14" s="112">
        <f>'Consommation du 01.11 au 30.11'!Y22*1000</f>
        <v>0</v>
      </c>
      <c r="J14" s="112">
        <v>0.84</v>
      </c>
      <c r="K14" s="112">
        <f>'Consommation du 01.11 au 30.11'!D22</f>
        <v>0</v>
      </c>
      <c r="L14" s="112">
        <v>12.67</v>
      </c>
      <c r="M14" s="126">
        <f>'Consommation du 01.11 au 30.11'!AC22</f>
        <v>0</v>
      </c>
      <c r="N14" s="126"/>
      <c r="O14" s="112">
        <f t="shared" si="0"/>
        <v>0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0</v>
      </c>
      <c r="F15" s="112">
        <v>1.002</v>
      </c>
      <c r="G15" s="112">
        <f>'Consommation du 01.11 au 30.11'!U23</f>
        <v>0</v>
      </c>
      <c r="H15" s="112">
        <v>8.0277999999999992</v>
      </c>
      <c r="I15" s="112">
        <f>'Consommation du 01.11 au 30.11'!Y23*1000</f>
        <v>0</v>
      </c>
      <c r="J15" s="112">
        <v>0.84</v>
      </c>
      <c r="K15" s="112">
        <f>'Consommation du 01.11 au 30.11'!D23</f>
        <v>0</v>
      </c>
      <c r="L15" s="112">
        <v>12.67</v>
      </c>
      <c r="M15" s="126">
        <f>'Consommation du 01.11 au 30.11'!AC23</f>
        <v>0</v>
      </c>
      <c r="N15" s="126"/>
      <c r="O15" s="112">
        <f t="shared" si="0"/>
        <v>0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0</v>
      </c>
      <c r="F16" s="112">
        <v>1.002</v>
      </c>
      <c r="G16" s="112">
        <f>'Consommation du 01.11 au 30.11'!U24</f>
        <v>0</v>
      </c>
      <c r="H16" s="112">
        <v>8.0277999999999992</v>
      </c>
      <c r="I16" s="112">
        <f>'Consommation du 01.11 au 30.11'!Y24*1000</f>
        <v>0</v>
      </c>
      <c r="J16" s="112">
        <v>0.84</v>
      </c>
      <c r="K16" s="112">
        <f>'Consommation du 01.11 au 30.11'!D24</f>
        <v>0</v>
      </c>
      <c r="L16" s="112">
        <v>12.67</v>
      </c>
      <c r="M16" s="126">
        <f>'Consommation du 01.11 au 30.11'!AC24</f>
        <v>0</v>
      </c>
      <c r="N16" s="126"/>
      <c r="O16" s="112">
        <f t="shared" si="0"/>
        <v>0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0</v>
      </c>
      <c r="F17" s="112">
        <v>1.002</v>
      </c>
      <c r="G17" s="112">
        <f>'Consommation du 01.11 au 30.11'!U25</f>
        <v>0</v>
      </c>
      <c r="H17" s="112">
        <v>8.0277999999999992</v>
      </c>
      <c r="I17" s="112">
        <f>'Consommation du 01.11 au 30.11'!Y25*1000</f>
        <v>0</v>
      </c>
      <c r="J17" s="112">
        <v>0.84</v>
      </c>
      <c r="K17" s="112">
        <f>'Consommation du 01.11 au 30.11'!D25</f>
        <v>0</v>
      </c>
      <c r="L17" s="112">
        <v>12.67</v>
      </c>
      <c r="M17" s="126">
        <f>'Consommation du 01.11 au 30.11'!AC25</f>
        <v>0</v>
      </c>
      <c r="N17" s="126"/>
      <c r="O17" s="112">
        <f t="shared" si="0"/>
        <v>0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0</v>
      </c>
      <c r="F18" s="112">
        <v>1.002</v>
      </c>
      <c r="G18" s="112">
        <f>'Consommation du 01.11 au 30.11'!U26</f>
        <v>0</v>
      </c>
      <c r="H18" s="112">
        <v>8.0277999999999992</v>
      </c>
      <c r="I18" s="112">
        <f>'Consommation du 01.11 au 30.11'!Y26*1000</f>
        <v>0</v>
      </c>
      <c r="J18" s="112">
        <v>0.84</v>
      </c>
      <c r="K18" s="112">
        <f>'Consommation du 01.11 au 30.11'!D26</f>
        <v>0</v>
      </c>
      <c r="L18" s="112">
        <v>12.67</v>
      </c>
      <c r="M18" s="126">
        <f>'Consommation du 01.11 au 30.11'!AC26</f>
        <v>0</v>
      </c>
      <c r="N18" s="126"/>
      <c r="O18" s="112">
        <f t="shared" si="0"/>
        <v>0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0</v>
      </c>
      <c r="F19" s="112">
        <v>1.002</v>
      </c>
      <c r="G19" s="112">
        <f>'Consommation du 01.11 au 30.11'!U27</f>
        <v>0</v>
      </c>
      <c r="H19" s="112">
        <v>8.0277999999999992</v>
      </c>
      <c r="I19" s="112">
        <f>'Consommation du 01.11 au 30.11'!Y27*1000</f>
        <v>0</v>
      </c>
      <c r="J19" s="112">
        <v>0.84</v>
      </c>
      <c r="K19" s="112">
        <f>'Consommation du 01.11 au 30.11'!D27</f>
        <v>0</v>
      </c>
      <c r="L19" s="112">
        <v>12.67</v>
      </c>
      <c r="M19" s="126">
        <f>'Consommation du 01.11 au 30.11'!AC27</f>
        <v>0</v>
      </c>
      <c r="N19" s="126"/>
      <c r="O19" s="112">
        <f t="shared" si="0"/>
        <v>0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0</v>
      </c>
      <c r="F20" s="112">
        <v>1.002</v>
      </c>
      <c r="G20" s="112">
        <f>'Consommation du 01.11 au 30.11'!U28</f>
        <v>0</v>
      </c>
      <c r="H20" s="112">
        <v>8.0277999999999992</v>
      </c>
      <c r="I20" s="112">
        <f>'Consommation du 01.11 au 30.11'!Y28*1000</f>
        <v>0</v>
      </c>
      <c r="J20" s="112">
        <v>0.84</v>
      </c>
      <c r="K20" s="112">
        <f>'Consommation du 01.11 au 30.11'!D28</f>
        <v>0</v>
      </c>
      <c r="L20" s="112">
        <v>12.67</v>
      </c>
      <c r="M20" s="126">
        <f>'Consommation du 01.11 au 30.11'!AC28</f>
        <v>0</v>
      </c>
      <c r="N20" s="126"/>
      <c r="O20" s="112">
        <f t="shared" si="0"/>
        <v>0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0</v>
      </c>
      <c r="F21" s="112">
        <v>1.002</v>
      </c>
      <c r="G21" s="112">
        <f>'Consommation du 01.11 au 30.11'!U29</f>
        <v>0</v>
      </c>
      <c r="H21" s="112">
        <v>8.0277999999999992</v>
      </c>
      <c r="I21" s="112">
        <f>'Consommation du 01.11 au 30.11'!Y29*1000</f>
        <v>0</v>
      </c>
      <c r="J21" s="112">
        <v>0.84</v>
      </c>
      <c r="K21" s="112">
        <f>'Consommation du 01.11 au 30.11'!D29</f>
        <v>0</v>
      </c>
      <c r="L21" s="112">
        <v>12.67</v>
      </c>
      <c r="M21" s="126">
        <f>'Consommation du 01.11 au 30.11'!AC29</f>
        <v>0</v>
      </c>
      <c r="N21" s="126"/>
      <c r="O21" s="112">
        <f t="shared" si="0"/>
        <v>0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0</v>
      </c>
      <c r="F22" s="112">
        <v>1.002</v>
      </c>
      <c r="G22" s="112">
        <f>'Consommation du 01.11 au 30.11'!U30</f>
        <v>0</v>
      </c>
      <c r="H22" s="112">
        <v>8.0277999999999992</v>
      </c>
      <c r="I22" s="112">
        <f>'Consommation du 01.11 au 30.11'!Y30*1000</f>
        <v>0</v>
      </c>
      <c r="J22" s="112">
        <v>0.84</v>
      </c>
      <c r="K22" s="112">
        <f>'Consommation du 01.11 au 30.11'!D30</f>
        <v>0</v>
      </c>
      <c r="L22" s="112">
        <v>12.67</v>
      </c>
      <c r="M22" s="126">
        <f>'Consommation du 01.11 au 30.11'!AC30</f>
        <v>0</v>
      </c>
      <c r="N22" s="126"/>
      <c r="O22" s="112">
        <f t="shared" si="0"/>
        <v>0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abSelected="1" topLeftCell="A27" zoomScale="55" zoomScaleNormal="55" zoomScaleSheetLayoutView="50" workbookViewId="0">
      <selection activeCell="O41" sqref="O41:Q41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67"/>
      <c r="B2" s="168"/>
      <c r="C2" s="168"/>
      <c r="D2" s="168"/>
      <c r="E2" s="168"/>
      <c r="F2" s="169"/>
      <c r="G2" s="150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2"/>
      <c r="AD2" s="149"/>
      <c r="AE2" s="149"/>
      <c r="AF2" s="149"/>
      <c r="AJ2" s="66"/>
    </row>
    <row r="3" spans="1:37" ht="1.5" customHeight="1" x14ac:dyDescent="0.2"/>
    <row r="4" spans="1:37" ht="39" hidden="1" customHeight="1" x14ac:dyDescent="0.2">
      <c r="A4" s="170"/>
      <c r="B4" s="170"/>
      <c r="C4" s="170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0"/>
      <c r="B5" s="170"/>
      <c r="C5" s="170"/>
      <c r="D5" s="6"/>
      <c r="E5" s="6"/>
      <c r="F5" s="6"/>
      <c r="G5" s="6"/>
      <c r="H5" s="6"/>
      <c r="I5" s="6"/>
      <c r="J5" s="6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2"/>
      <c r="E7" s="172"/>
      <c r="F7" s="172"/>
      <c r="G7" s="172"/>
      <c r="H7" s="172"/>
      <c r="I7" s="172"/>
      <c r="J7" s="172"/>
      <c r="K7" s="172"/>
      <c r="L7" s="221"/>
      <c r="M7" s="221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4"/>
      <c r="AC7" s="14"/>
      <c r="AI7" s="6"/>
      <c r="AJ7" s="6"/>
      <c r="AK7" s="6"/>
    </row>
    <row r="8" spans="1:37" ht="2.25" customHeight="1" thickBot="1" x14ac:dyDescent="0.25">
      <c r="A8" s="172"/>
      <c r="B8" s="173" t="s">
        <v>1</v>
      </c>
      <c r="C8" s="4"/>
      <c r="D8" s="214" t="s">
        <v>4</v>
      </c>
      <c r="E8" s="5"/>
      <c r="F8" s="159" t="s">
        <v>12</v>
      </c>
      <c r="G8" s="160"/>
      <c r="H8" s="161"/>
      <c r="I8" s="5"/>
      <c r="J8" s="217" t="s">
        <v>3</v>
      </c>
      <c r="K8" s="217"/>
      <c r="L8" s="217"/>
      <c r="M8" s="217" t="s">
        <v>2</v>
      </c>
      <c r="N8" s="5"/>
      <c r="O8" s="165" t="s">
        <v>12</v>
      </c>
      <c r="P8" s="5"/>
      <c r="Q8" s="165" t="s">
        <v>5</v>
      </c>
      <c r="R8" s="5"/>
      <c r="S8" s="165" t="s">
        <v>6</v>
      </c>
      <c r="T8" s="5"/>
      <c r="U8" s="222" t="s">
        <v>39</v>
      </c>
      <c r="V8" s="5"/>
      <c r="W8" s="165" t="s">
        <v>12</v>
      </c>
      <c r="X8" s="74"/>
      <c r="Y8" s="74"/>
      <c r="Z8" s="74"/>
      <c r="AA8" s="216"/>
      <c r="AB8" s="218" t="s">
        <v>80</v>
      </c>
      <c r="AC8" s="165" t="s">
        <v>75</v>
      </c>
      <c r="AD8" s="157" t="s">
        <v>54</v>
      </c>
      <c r="AE8" s="155" t="s">
        <v>59</v>
      </c>
      <c r="AF8" s="155" t="s">
        <v>60</v>
      </c>
      <c r="AG8" s="153" t="s">
        <v>61</v>
      </c>
      <c r="AH8" s="153" t="s">
        <v>62</v>
      </c>
      <c r="AI8" s="78"/>
      <c r="AJ8" s="78"/>
      <c r="AK8" s="78"/>
    </row>
    <row r="9" spans="1:37" ht="116.25" customHeight="1" thickBot="1" x14ac:dyDescent="0.25">
      <c r="A9" s="172"/>
      <c r="B9" s="173"/>
      <c r="C9" s="4"/>
      <c r="D9" s="215"/>
      <c r="E9" s="5"/>
      <c r="F9" s="162"/>
      <c r="G9" s="163"/>
      <c r="H9" s="164"/>
      <c r="I9" s="5"/>
      <c r="J9" s="90" t="s">
        <v>7</v>
      </c>
      <c r="K9" s="90" t="s">
        <v>8</v>
      </c>
      <c r="L9" s="90" t="s">
        <v>9</v>
      </c>
      <c r="M9" s="217"/>
      <c r="N9" s="5"/>
      <c r="O9" s="166"/>
      <c r="P9" s="5"/>
      <c r="Q9" s="166"/>
      <c r="R9" s="5"/>
      <c r="S9" s="166"/>
      <c r="T9" s="5"/>
      <c r="U9" s="223"/>
      <c r="V9" s="5"/>
      <c r="W9" s="166"/>
      <c r="X9" s="140" t="s">
        <v>81</v>
      </c>
      <c r="Y9" s="105" t="s">
        <v>55</v>
      </c>
      <c r="Z9" s="106" t="s">
        <v>56</v>
      </c>
      <c r="AA9" s="216"/>
      <c r="AB9" s="219"/>
      <c r="AC9" s="171"/>
      <c r="AD9" s="158"/>
      <c r="AE9" s="156"/>
      <c r="AF9" s="156"/>
      <c r="AG9" s="154"/>
      <c r="AH9" s="154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192">
        <f>D10*12.67</f>
        <v>8235.5</v>
      </c>
      <c r="G10" s="192"/>
      <c r="H10" s="193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277">
        <v>27</v>
      </c>
      <c r="AC10" s="283">
        <v>137</v>
      </c>
      <c r="AD10" s="282">
        <v>0.98560000000000003</v>
      </c>
      <c r="AE10" s="288">
        <v>29.8</v>
      </c>
      <c r="AF10" s="287">
        <v>30.5</v>
      </c>
      <c r="AG10" s="285">
        <v>28</v>
      </c>
      <c r="AH10" s="286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192">
        <f t="shared" ref="F11:F40" si="0">D11*12.67</f>
        <v>6208.3</v>
      </c>
      <c r="G11" s="192"/>
      <c r="H11" s="193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290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277">
        <v>26</v>
      </c>
      <c r="AC11" s="278">
        <v>132</v>
      </c>
      <c r="AD11" s="279">
        <v>0.97060000000000002</v>
      </c>
      <c r="AE11" s="280">
        <v>29.8</v>
      </c>
      <c r="AF11" s="276">
        <v>31</v>
      </c>
      <c r="AG11" s="281">
        <v>27.6</v>
      </c>
      <c r="AH11" s="284">
        <v>29.5</v>
      </c>
      <c r="AI11" s="298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0</v>
      </c>
      <c r="E12" s="93"/>
      <c r="F12" s="192">
        <f t="shared" si="0"/>
        <v>0</v>
      </c>
      <c r="G12" s="192"/>
      <c r="H12" s="193"/>
      <c r="I12" s="96"/>
      <c r="J12" s="121">
        <f>'Suivi EAU-ELEC'!E18</f>
        <v>0</v>
      </c>
      <c r="K12" s="122">
        <f>'Suivi EAU-ELEC'!G18</f>
        <v>0</v>
      </c>
      <c r="L12" s="122">
        <f>'Suivi EAU-ELEC'!I18</f>
        <v>0</v>
      </c>
      <c r="M12" s="123">
        <f t="shared" si="1"/>
        <v>0</v>
      </c>
      <c r="N12" s="96"/>
      <c r="O12" s="99">
        <f t="shared" si="2"/>
        <v>0</v>
      </c>
      <c r="P12" s="95"/>
      <c r="Q12" s="94"/>
      <c r="R12" s="93"/>
      <c r="S12" s="94"/>
      <c r="T12" s="101"/>
      <c r="U12" s="100">
        <f>'Suvi Gaz'!O13</f>
        <v>0</v>
      </c>
      <c r="V12" s="97"/>
      <c r="W12" s="99">
        <f t="shared" si="3"/>
        <v>0</v>
      </c>
      <c r="X12" s="289">
        <v>15116.22</v>
      </c>
      <c r="Y12" s="103">
        <f t="shared" si="4"/>
        <v>0</v>
      </c>
      <c r="Z12" s="104">
        <f t="shared" si="5"/>
        <v>0</v>
      </c>
      <c r="AA12" s="96"/>
      <c r="AB12" s="119"/>
      <c r="AC12" s="133"/>
      <c r="AD12" s="129"/>
      <c r="AE12" s="136"/>
      <c r="AF12" s="137"/>
      <c r="AG12" s="134"/>
      <c r="AH12" s="135"/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0</v>
      </c>
      <c r="E13" s="93"/>
      <c r="F13" s="192">
        <f t="shared" si="0"/>
        <v>0</v>
      </c>
      <c r="G13" s="192"/>
      <c r="H13" s="193"/>
      <c r="I13" s="96"/>
      <c r="J13" s="121">
        <f>'Suivi EAU-ELEC'!E19</f>
        <v>0</v>
      </c>
      <c r="K13" s="122">
        <f>'Suivi EAU-ELEC'!G19</f>
        <v>0</v>
      </c>
      <c r="L13" s="122">
        <f>'Suivi EAU-ELEC'!I19</f>
        <v>0</v>
      </c>
      <c r="M13" s="123">
        <f t="shared" si="1"/>
        <v>0</v>
      </c>
      <c r="N13" s="96"/>
      <c r="O13" s="99">
        <f t="shared" si="2"/>
        <v>0</v>
      </c>
      <c r="P13" s="95"/>
      <c r="Q13" s="94"/>
      <c r="R13" s="93"/>
      <c r="S13" s="94"/>
      <c r="T13" s="101"/>
      <c r="U13" s="100">
        <f>'Suvi Gaz'!O14</f>
        <v>0</v>
      </c>
      <c r="V13" s="97"/>
      <c r="W13" s="99">
        <f t="shared" si="3"/>
        <v>0</v>
      </c>
      <c r="X13" s="138"/>
      <c r="Y13" s="103">
        <f>IF(X14&lt;X13,0,X14-X13)</f>
        <v>0</v>
      </c>
      <c r="Z13" s="104">
        <f>Y13*0.84*1000</f>
        <v>0</v>
      </c>
      <c r="AA13" s="96"/>
      <c r="AB13" s="119"/>
      <c r="AC13" s="133"/>
      <c r="AD13" s="129"/>
      <c r="AE13" s="136"/>
      <c r="AF13" s="137"/>
      <c r="AG13" s="134"/>
      <c r="AH13" s="135"/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0</v>
      </c>
      <c r="E14" s="116"/>
      <c r="F14" s="192">
        <f t="shared" si="0"/>
        <v>0</v>
      </c>
      <c r="G14" s="192"/>
      <c r="H14" s="193"/>
      <c r="I14" s="97"/>
      <c r="J14" s="121">
        <f>'Suivi EAU-ELEC'!E20</f>
        <v>0</v>
      </c>
      <c r="K14" s="122">
        <f>'Suivi EAU-ELEC'!G20</f>
        <v>0</v>
      </c>
      <c r="L14" s="122">
        <f>'Suivi EAU-ELEC'!I20</f>
        <v>0</v>
      </c>
      <c r="M14" s="123">
        <f t="shared" si="1"/>
        <v>0</v>
      </c>
      <c r="N14" s="96"/>
      <c r="O14" s="99">
        <f t="shared" si="2"/>
        <v>0</v>
      </c>
      <c r="P14" s="95"/>
      <c r="Q14" s="94"/>
      <c r="R14" s="93"/>
      <c r="S14" s="94"/>
      <c r="T14" s="101"/>
      <c r="U14" s="100">
        <f>'Suvi Gaz'!O15</f>
        <v>0</v>
      </c>
      <c r="V14" s="97"/>
      <c r="W14" s="99">
        <f t="shared" si="3"/>
        <v>0</v>
      </c>
      <c r="X14" s="138"/>
      <c r="Y14" s="103">
        <f>IF(X15&lt;X14,0,X15-X14)</f>
        <v>0</v>
      </c>
      <c r="Z14" s="104">
        <f>Y14*0.84*1000</f>
        <v>0</v>
      </c>
      <c r="AA14" s="96"/>
      <c r="AB14" s="119"/>
      <c r="AC14" s="133"/>
      <c r="AD14" s="129"/>
      <c r="AE14" s="136"/>
      <c r="AF14" s="137"/>
      <c r="AG14" s="134"/>
      <c r="AH14" s="135"/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0</v>
      </c>
      <c r="E15" s="93"/>
      <c r="F15" s="192">
        <f t="shared" si="0"/>
        <v>0</v>
      </c>
      <c r="G15" s="192"/>
      <c r="H15" s="193"/>
      <c r="I15" s="96"/>
      <c r="J15" s="121">
        <f>'Suivi EAU-ELEC'!E21</f>
        <v>0</v>
      </c>
      <c r="K15" s="122">
        <f>'Suivi EAU-ELEC'!G21</f>
        <v>0</v>
      </c>
      <c r="L15" s="122">
        <f>'Suivi EAU-ELEC'!I21</f>
        <v>0</v>
      </c>
      <c r="M15" s="123">
        <f t="shared" si="1"/>
        <v>0</v>
      </c>
      <c r="N15" s="96"/>
      <c r="O15" s="99">
        <f t="shared" si="2"/>
        <v>0</v>
      </c>
      <c r="P15" s="95"/>
      <c r="Q15" s="94"/>
      <c r="R15" s="93"/>
      <c r="S15" s="94"/>
      <c r="T15" s="101"/>
      <c r="U15" s="100">
        <f>'Suvi Gaz'!O16</f>
        <v>0</v>
      </c>
      <c r="V15" s="97"/>
      <c r="W15" s="99">
        <f t="shared" si="3"/>
        <v>0</v>
      </c>
      <c r="X15" s="138"/>
      <c r="Y15" s="103">
        <f t="shared" si="4"/>
        <v>0</v>
      </c>
      <c r="Z15" s="104">
        <f t="shared" si="5"/>
        <v>0</v>
      </c>
      <c r="AA15" s="96"/>
      <c r="AB15" s="119"/>
      <c r="AC15" s="133"/>
      <c r="AD15" s="129"/>
      <c r="AE15" s="136"/>
      <c r="AF15" s="137"/>
      <c r="AG15" s="134"/>
      <c r="AH15" s="135"/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0</v>
      </c>
      <c r="E16" s="116"/>
      <c r="F16" s="192">
        <f t="shared" si="0"/>
        <v>0</v>
      </c>
      <c r="G16" s="192"/>
      <c r="H16" s="193"/>
      <c r="I16" s="97"/>
      <c r="J16" s="121">
        <f>'Suivi EAU-ELEC'!E22</f>
        <v>0</v>
      </c>
      <c r="K16" s="122">
        <f>'Suivi EAU-ELEC'!G22</f>
        <v>0</v>
      </c>
      <c r="L16" s="122">
        <f>'Suivi EAU-ELEC'!I22</f>
        <v>0</v>
      </c>
      <c r="M16" s="123">
        <f t="shared" si="1"/>
        <v>0</v>
      </c>
      <c r="N16" s="96"/>
      <c r="O16" s="99">
        <f t="shared" si="2"/>
        <v>0</v>
      </c>
      <c r="P16" s="95"/>
      <c r="Q16" s="94"/>
      <c r="R16" s="93"/>
      <c r="S16" s="94"/>
      <c r="T16" s="101"/>
      <c r="U16" s="100">
        <f>'Suvi Gaz'!O17</f>
        <v>0</v>
      </c>
      <c r="V16" s="97"/>
      <c r="W16" s="99">
        <f t="shared" si="3"/>
        <v>0</v>
      </c>
      <c r="X16" s="138"/>
      <c r="Y16" s="103">
        <f t="shared" si="4"/>
        <v>0</v>
      </c>
      <c r="Z16" s="104">
        <f t="shared" si="5"/>
        <v>0</v>
      </c>
      <c r="AA16" s="96"/>
      <c r="AB16" s="119"/>
      <c r="AC16" s="133"/>
      <c r="AD16" s="129"/>
      <c r="AE16" s="136"/>
      <c r="AF16" s="137"/>
      <c r="AG16" s="134"/>
      <c r="AH16" s="135"/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0</v>
      </c>
      <c r="E17" s="116"/>
      <c r="F17" s="192">
        <f t="shared" si="0"/>
        <v>0</v>
      </c>
      <c r="G17" s="192"/>
      <c r="H17" s="193"/>
      <c r="I17" s="97"/>
      <c r="J17" s="121">
        <f>'Suivi EAU-ELEC'!E23</f>
        <v>0</v>
      </c>
      <c r="K17" s="122">
        <f>'Suivi EAU-ELEC'!G23</f>
        <v>0</v>
      </c>
      <c r="L17" s="122">
        <f>'Suivi EAU-ELEC'!I23</f>
        <v>0</v>
      </c>
      <c r="M17" s="123">
        <f t="shared" si="1"/>
        <v>0</v>
      </c>
      <c r="N17" s="96"/>
      <c r="O17" s="99">
        <f t="shared" si="2"/>
        <v>0</v>
      </c>
      <c r="P17" s="95"/>
      <c r="Q17" s="94"/>
      <c r="R17" s="93"/>
      <c r="S17" s="94"/>
      <c r="T17" s="101"/>
      <c r="U17" s="100">
        <f>'Suvi Gaz'!O18</f>
        <v>0</v>
      </c>
      <c r="V17" s="97"/>
      <c r="W17" s="99">
        <f t="shared" si="3"/>
        <v>0</v>
      </c>
      <c r="X17" s="138"/>
      <c r="Y17" s="103">
        <f t="shared" si="4"/>
        <v>0</v>
      </c>
      <c r="Z17" s="104">
        <f t="shared" si="5"/>
        <v>0</v>
      </c>
      <c r="AA17" s="102"/>
      <c r="AB17" s="119"/>
      <c r="AC17" s="133"/>
      <c r="AD17" s="129"/>
      <c r="AE17" s="136"/>
      <c r="AF17" s="137"/>
      <c r="AG17" s="134"/>
      <c r="AH17" s="135"/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0</v>
      </c>
      <c r="E18" s="116"/>
      <c r="F18" s="192">
        <f t="shared" si="0"/>
        <v>0</v>
      </c>
      <c r="G18" s="192"/>
      <c r="H18" s="193"/>
      <c r="I18" s="97"/>
      <c r="J18" s="121">
        <f>'Suivi EAU-ELEC'!E24</f>
        <v>0</v>
      </c>
      <c r="K18" s="122">
        <f>'Suivi EAU-ELEC'!G24</f>
        <v>0</v>
      </c>
      <c r="L18" s="122">
        <f>'Suivi EAU-ELEC'!I24</f>
        <v>0</v>
      </c>
      <c r="M18" s="123">
        <f t="shared" si="1"/>
        <v>0</v>
      </c>
      <c r="N18" s="96"/>
      <c r="O18" s="99">
        <f t="shared" si="2"/>
        <v>0</v>
      </c>
      <c r="P18" s="95"/>
      <c r="Q18" s="94"/>
      <c r="R18" s="93"/>
      <c r="S18" s="94"/>
      <c r="T18" s="101"/>
      <c r="U18" s="100">
        <f>'Suvi Gaz'!O19</f>
        <v>0</v>
      </c>
      <c r="V18" s="97"/>
      <c r="W18" s="99">
        <f t="shared" si="3"/>
        <v>0</v>
      </c>
      <c r="X18" s="138"/>
      <c r="Y18" s="103">
        <f t="shared" si="4"/>
        <v>0</v>
      </c>
      <c r="Z18" s="104">
        <f t="shared" si="5"/>
        <v>0</v>
      </c>
      <c r="AA18" s="102"/>
      <c r="AB18" s="119"/>
      <c r="AC18" s="133"/>
      <c r="AD18" s="129"/>
      <c r="AE18" s="136"/>
      <c r="AF18" s="137"/>
      <c r="AG18" s="134"/>
      <c r="AH18" s="135"/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0</v>
      </c>
      <c r="E19" s="116"/>
      <c r="F19" s="192">
        <f t="shared" si="0"/>
        <v>0</v>
      </c>
      <c r="G19" s="192"/>
      <c r="H19" s="193"/>
      <c r="I19" s="97"/>
      <c r="J19" s="121">
        <f>'Suivi EAU-ELEC'!E25</f>
        <v>0</v>
      </c>
      <c r="K19" s="122">
        <f>'Suivi EAU-ELEC'!G25</f>
        <v>0</v>
      </c>
      <c r="L19" s="122">
        <f>'Suivi EAU-ELEC'!I25</f>
        <v>0</v>
      </c>
      <c r="M19" s="123">
        <f t="shared" si="1"/>
        <v>0</v>
      </c>
      <c r="N19" s="96"/>
      <c r="O19" s="99">
        <f t="shared" si="2"/>
        <v>0</v>
      </c>
      <c r="P19" s="95"/>
      <c r="Q19" s="94"/>
      <c r="R19" s="93"/>
      <c r="S19" s="94"/>
      <c r="T19" s="101"/>
      <c r="U19" s="100">
        <f>'Suvi Gaz'!O20</f>
        <v>0</v>
      </c>
      <c r="V19" s="97"/>
      <c r="W19" s="99">
        <f t="shared" si="3"/>
        <v>0</v>
      </c>
      <c r="X19" s="138"/>
      <c r="Y19" s="103">
        <f t="shared" si="4"/>
        <v>0</v>
      </c>
      <c r="Z19" s="104">
        <f t="shared" si="5"/>
        <v>0</v>
      </c>
      <c r="AA19" s="102"/>
      <c r="AB19" s="119"/>
      <c r="AC19" s="133"/>
      <c r="AD19" s="129"/>
      <c r="AE19" s="136"/>
      <c r="AF19" s="137"/>
      <c r="AG19" s="134"/>
      <c r="AH19" s="135"/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0</v>
      </c>
      <c r="E20" s="116"/>
      <c r="F20" s="192">
        <f t="shared" si="0"/>
        <v>0</v>
      </c>
      <c r="G20" s="192"/>
      <c r="H20" s="193"/>
      <c r="I20" s="97"/>
      <c r="J20" s="121">
        <f>'Suivi EAU-ELEC'!E26</f>
        <v>0</v>
      </c>
      <c r="K20" s="122">
        <f>'Suivi EAU-ELEC'!G26</f>
        <v>0</v>
      </c>
      <c r="L20" s="122">
        <f>'Suivi EAU-ELEC'!I26</f>
        <v>0</v>
      </c>
      <c r="M20" s="123">
        <f t="shared" si="1"/>
        <v>0</v>
      </c>
      <c r="N20" s="96"/>
      <c r="O20" s="99">
        <f t="shared" si="2"/>
        <v>0</v>
      </c>
      <c r="P20" s="95"/>
      <c r="Q20" s="94"/>
      <c r="R20" s="93"/>
      <c r="S20" s="94"/>
      <c r="T20" s="101"/>
      <c r="U20" s="100">
        <f>'Suvi Gaz'!O21</f>
        <v>0</v>
      </c>
      <c r="V20" s="97"/>
      <c r="W20" s="99">
        <f t="shared" si="3"/>
        <v>0</v>
      </c>
      <c r="X20" s="138"/>
      <c r="Y20" s="103">
        <f t="shared" si="4"/>
        <v>0</v>
      </c>
      <c r="Z20" s="104">
        <f t="shared" si="5"/>
        <v>0</v>
      </c>
      <c r="AA20" s="102">
        <v>14</v>
      </c>
      <c r="AB20" s="119"/>
      <c r="AC20" s="133"/>
      <c r="AD20" s="129"/>
      <c r="AE20" s="136"/>
      <c r="AF20" s="137"/>
      <c r="AG20" s="134"/>
      <c r="AH20" s="135"/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0</v>
      </c>
      <c r="E21" s="116"/>
      <c r="F21" s="192">
        <f t="shared" si="0"/>
        <v>0</v>
      </c>
      <c r="G21" s="192"/>
      <c r="H21" s="193"/>
      <c r="I21" s="97"/>
      <c r="J21" s="121">
        <f>'Suivi EAU-ELEC'!E27</f>
        <v>0</v>
      </c>
      <c r="K21" s="122">
        <f>'Suivi EAU-ELEC'!G27</f>
        <v>0</v>
      </c>
      <c r="L21" s="122">
        <f>'Suivi EAU-ELEC'!I27</f>
        <v>0</v>
      </c>
      <c r="M21" s="123">
        <f t="shared" si="1"/>
        <v>0</v>
      </c>
      <c r="N21" s="96"/>
      <c r="O21" s="99">
        <f t="shared" si="2"/>
        <v>0</v>
      </c>
      <c r="P21" s="95"/>
      <c r="Q21" s="94"/>
      <c r="R21" s="93"/>
      <c r="S21" s="94"/>
      <c r="T21" s="101"/>
      <c r="U21" s="100">
        <f>'Suvi Gaz'!O22</f>
        <v>0</v>
      </c>
      <c r="V21" s="97"/>
      <c r="W21" s="99">
        <f t="shared" si="3"/>
        <v>0</v>
      </c>
      <c r="X21" s="138"/>
      <c r="Y21" s="103">
        <f t="shared" si="4"/>
        <v>0</v>
      </c>
      <c r="Z21" s="104">
        <f t="shared" si="5"/>
        <v>0</v>
      </c>
      <c r="AA21" s="102">
        <v>14</v>
      </c>
      <c r="AB21" s="119"/>
      <c r="AC21" s="133"/>
      <c r="AD21" s="129"/>
      <c r="AE21" s="136"/>
      <c r="AF21" s="137"/>
      <c r="AG21" s="134"/>
      <c r="AH21" s="135"/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0</v>
      </c>
      <c r="E22" s="116"/>
      <c r="F22" s="192">
        <f t="shared" si="0"/>
        <v>0</v>
      </c>
      <c r="G22" s="192"/>
      <c r="H22" s="193"/>
      <c r="I22" s="97"/>
      <c r="J22" s="121">
        <f>'Suivi EAU-ELEC'!E28</f>
        <v>0</v>
      </c>
      <c r="K22" s="122">
        <f>'Suivi EAU-ELEC'!G28</f>
        <v>0</v>
      </c>
      <c r="L22" s="122">
        <f>'Suivi EAU-ELEC'!I28</f>
        <v>0</v>
      </c>
      <c r="M22" s="123">
        <f t="shared" si="1"/>
        <v>0</v>
      </c>
      <c r="N22" s="96"/>
      <c r="O22" s="99">
        <f t="shared" si="2"/>
        <v>0</v>
      </c>
      <c r="P22" s="95"/>
      <c r="Q22" s="94"/>
      <c r="R22" s="93"/>
      <c r="S22" s="94"/>
      <c r="T22" s="101"/>
      <c r="U22" s="100">
        <f>'Suvi Gaz'!O23</f>
        <v>0</v>
      </c>
      <c r="V22" s="97"/>
      <c r="W22" s="99">
        <f t="shared" si="3"/>
        <v>0</v>
      </c>
      <c r="X22" s="138"/>
      <c r="Y22" s="103">
        <f t="shared" si="4"/>
        <v>0</v>
      </c>
      <c r="Z22" s="104">
        <f t="shared" si="5"/>
        <v>0</v>
      </c>
      <c r="AA22" s="97"/>
      <c r="AB22" s="119"/>
      <c r="AC22" s="133"/>
      <c r="AD22" s="129"/>
      <c r="AE22" s="136"/>
      <c r="AF22" s="137"/>
      <c r="AG22" s="134"/>
      <c r="AH22" s="135"/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0</v>
      </c>
      <c r="E23" s="116"/>
      <c r="F23" s="192">
        <f t="shared" si="0"/>
        <v>0</v>
      </c>
      <c r="G23" s="192"/>
      <c r="H23" s="193"/>
      <c r="I23" s="97"/>
      <c r="J23" s="121">
        <f>'Suivi EAU-ELEC'!E29</f>
        <v>0</v>
      </c>
      <c r="K23" s="122">
        <f>'Suivi EAU-ELEC'!G29</f>
        <v>0</v>
      </c>
      <c r="L23" s="122">
        <f>'Suivi EAU-ELEC'!I29</f>
        <v>0</v>
      </c>
      <c r="M23" s="123">
        <f t="shared" si="1"/>
        <v>0</v>
      </c>
      <c r="N23" s="96"/>
      <c r="O23" s="99">
        <f t="shared" si="2"/>
        <v>0</v>
      </c>
      <c r="P23" s="95"/>
      <c r="Q23" s="94"/>
      <c r="R23" s="93"/>
      <c r="S23" s="94"/>
      <c r="T23" s="101"/>
      <c r="U23" s="100">
        <f>'Suvi Gaz'!O24</f>
        <v>0</v>
      </c>
      <c r="V23" s="97"/>
      <c r="W23" s="99">
        <f t="shared" si="3"/>
        <v>0</v>
      </c>
      <c r="X23" s="138"/>
      <c r="Y23" s="103">
        <f t="shared" si="4"/>
        <v>0</v>
      </c>
      <c r="Z23" s="104">
        <f t="shared" si="5"/>
        <v>0</v>
      </c>
      <c r="AA23" s="97"/>
      <c r="AB23" s="119"/>
      <c r="AC23" s="133"/>
      <c r="AD23" s="129"/>
      <c r="AE23" s="136"/>
      <c r="AF23" s="137"/>
      <c r="AG23" s="134"/>
      <c r="AH23" s="135"/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0</v>
      </c>
      <c r="E24" s="116"/>
      <c r="F24" s="192">
        <f t="shared" si="0"/>
        <v>0</v>
      </c>
      <c r="G24" s="192"/>
      <c r="H24" s="193"/>
      <c r="I24" s="97"/>
      <c r="J24" s="121">
        <f>'Suivi EAU-ELEC'!E30</f>
        <v>0</v>
      </c>
      <c r="K24" s="122">
        <f>'Suivi EAU-ELEC'!G30</f>
        <v>0</v>
      </c>
      <c r="L24" s="122">
        <f>'Suivi EAU-ELEC'!I30</f>
        <v>0</v>
      </c>
      <c r="M24" s="123">
        <f t="shared" si="1"/>
        <v>0</v>
      </c>
      <c r="N24" s="96"/>
      <c r="O24" s="99">
        <f t="shared" si="2"/>
        <v>0</v>
      </c>
      <c r="P24" s="95"/>
      <c r="Q24" s="94"/>
      <c r="R24" s="93"/>
      <c r="S24" s="94"/>
      <c r="T24" s="101"/>
      <c r="U24" s="100">
        <f>'Suvi Gaz'!O25</f>
        <v>0</v>
      </c>
      <c r="V24" s="97"/>
      <c r="W24" s="99">
        <f t="shared" si="3"/>
        <v>0</v>
      </c>
      <c r="X24" s="138"/>
      <c r="Y24" s="103">
        <f t="shared" si="4"/>
        <v>0</v>
      </c>
      <c r="Z24" s="104">
        <f t="shared" si="5"/>
        <v>0</v>
      </c>
      <c r="AA24" s="97"/>
      <c r="AB24" s="119"/>
      <c r="AC24" s="133"/>
      <c r="AD24" s="129"/>
      <c r="AE24" s="136"/>
      <c r="AF24" s="137"/>
      <c r="AG24" s="134"/>
      <c r="AH24" s="135"/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0</v>
      </c>
      <c r="E25" s="116"/>
      <c r="F25" s="192">
        <f t="shared" si="0"/>
        <v>0</v>
      </c>
      <c r="G25" s="192"/>
      <c r="H25" s="193"/>
      <c r="I25" s="97"/>
      <c r="J25" s="121">
        <f>'Suivi EAU-ELEC'!E31</f>
        <v>0</v>
      </c>
      <c r="K25" s="122">
        <f>'Suivi EAU-ELEC'!G31</f>
        <v>0</v>
      </c>
      <c r="L25" s="122">
        <f>'Suivi EAU-ELEC'!I31</f>
        <v>0</v>
      </c>
      <c r="M25" s="123">
        <f t="shared" si="1"/>
        <v>0</v>
      </c>
      <c r="N25" s="96"/>
      <c r="O25" s="99">
        <f t="shared" si="2"/>
        <v>0</v>
      </c>
      <c r="P25" s="95"/>
      <c r="Q25" s="94"/>
      <c r="R25" s="93"/>
      <c r="S25" s="94"/>
      <c r="T25" s="101"/>
      <c r="U25" s="100">
        <f>'Suvi Gaz'!O26</f>
        <v>0</v>
      </c>
      <c r="V25" s="97"/>
      <c r="W25" s="99">
        <f t="shared" si="3"/>
        <v>0</v>
      </c>
      <c r="X25" s="138"/>
      <c r="Y25" s="103">
        <f t="shared" si="4"/>
        <v>0</v>
      </c>
      <c r="Z25" s="104">
        <f t="shared" si="5"/>
        <v>0</v>
      </c>
      <c r="AA25" s="97"/>
      <c r="AB25" s="119"/>
      <c r="AC25" s="133"/>
      <c r="AD25" s="129"/>
      <c r="AE25" s="136"/>
      <c r="AF25" s="137"/>
      <c r="AG25" s="134"/>
      <c r="AH25" s="135"/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0</v>
      </c>
      <c r="E26" s="117"/>
      <c r="F26" s="192">
        <f t="shared" si="0"/>
        <v>0</v>
      </c>
      <c r="G26" s="192"/>
      <c r="H26" s="193"/>
      <c r="I26" s="97"/>
      <c r="J26" s="121">
        <f>'Suivi EAU-ELEC'!E32</f>
        <v>0</v>
      </c>
      <c r="K26" s="122">
        <f>'Suivi EAU-ELEC'!G32</f>
        <v>0</v>
      </c>
      <c r="L26" s="122">
        <f>'Suivi EAU-ELEC'!I32</f>
        <v>0</v>
      </c>
      <c r="M26" s="123">
        <f t="shared" si="1"/>
        <v>0</v>
      </c>
      <c r="N26" s="96"/>
      <c r="O26" s="99">
        <f t="shared" si="2"/>
        <v>0</v>
      </c>
      <c r="P26" s="95"/>
      <c r="Q26" s="94"/>
      <c r="R26" s="93"/>
      <c r="S26" s="94"/>
      <c r="T26" s="101"/>
      <c r="U26" s="100">
        <f>'Suvi Gaz'!O27</f>
        <v>0</v>
      </c>
      <c r="V26" s="98"/>
      <c r="W26" s="99">
        <f t="shared" si="3"/>
        <v>0</v>
      </c>
      <c r="X26" s="138"/>
      <c r="Y26" s="103">
        <f t="shared" si="4"/>
        <v>0</v>
      </c>
      <c r="Z26" s="104">
        <f t="shared" si="5"/>
        <v>0</v>
      </c>
      <c r="AA26" s="98"/>
      <c r="AB26" s="119"/>
      <c r="AC26" s="133"/>
      <c r="AD26" s="129"/>
      <c r="AE26" s="136"/>
      <c r="AF26" s="137"/>
      <c r="AG26" s="134"/>
      <c r="AH26" s="135"/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0</v>
      </c>
      <c r="E27" s="117"/>
      <c r="F27" s="192">
        <f t="shared" si="0"/>
        <v>0</v>
      </c>
      <c r="G27" s="192"/>
      <c r="H27" s="193"/>
      <c r="I27" s="97"/>
      <c r="J27" s="121">
        <f>'Suivi EAU-ELEC'!E33</f>
        <v>0</v>
      </c>
      <c r="K27" s="122">
        <f>'Suivi EAU-ELEC'!G33</f>
        <v>0</v>
      </c>
      <c r="L27" s="122">
        <f>'Suivi EAU-ELEC'!I33</f>
        <v>0</v>
      </c>
      <c r="M27" s="123">
        <f t="shared" si="1"/>
        <v>0</v>
      </c>
      <c r="N27" s="96"/>
      <c r="O27" s="99">
        <f>M27*1.002</f>
        <v>0</v>
      </c>
      <c r="P27" s="95"/>
      <c r="Q27" s="94"/>
      <c r="R27" s="93"/>
      <c r="S27" s="94"/>
      <c r="T27" s="101"/>
      <c r="U27" s="100">
        <f>'Suvi Gaz'!O28</f>
        <v>0</v>
      </c>
      <c r="V27" s="98"/>
      <c r="W27" s="99">
        <f t="shared" si="3"/>
        <v>0</v>
      </c>
      <c r="X27" s="138"/>
      <c r="Y27" s="103">
        <f t="shared" si="4"/>
        <v>0</v>
      </c>
      <c r="Z27" s="104">
        <f t="shared" si="5"/>
        <v>0</v>
      </c>
      <c r="AA27" s="98"/>
      <c r="AB27" s="119"/>
      <c r="AC27" s="133"/>
      <c r="AD27" s="129"/>
      <c r="AE27" s="136"/>
      <c r="AF27" s="137"/>
      <c r="AG27" s="134"/>
      <c r="AH27" s="135"/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0</v>
      </c>
      <c r="E28" s="117"/>
      <c r="F28" s="192">
        <f t="shared" si="0"/>
        <v>0</v>
      </c>
      <c r="G28" s="192"/>
      <c r="H28" s="193"/>
      <c r="I28" s="98"/>
      <c r="J28" s="121">
        <f>'Suivi EAU-ELEC'!E34</f>
        <v>0</v>
      </c>
      <c r="K28" s="122">
        <f>'Suivi EAU-ELEC'!G34</f>
        <v>0</v>
      </c>
      <c r="L28" s="122">
        <f>'Suivi EAU-ELEC'!I34</f>
        <v>0</v>
      </c>
      <c r="M28" s="123">
        <f t="shared" si="1"/>
        <v>0</v>
      </c>
      <c r="N28" s="96"/>
      <c r="O28" s="99">
        <f t="shared" si="2"/>
        <v>0</v>
      </c>
      <c r="P28" s="95"/>
      <c r="Q28" s="94"/>
      <c r="R28" s="93"/>
      <c r="S28" s="94"/>
      <c r="T28" s="101"/>
      <c r="U28" s="100">
        <f>'Suvi Gaz'!O29</f>
        <v>0</v>
      </c>
      <c r="V28" s="98"/>
      <c r="W28" s="99">
        <f t="shared" si="3"/>
        <v>0</v>
      </c>
      <c r="X28" s="138"/>
      <c r="Y28" s="103">
        <f t="shared" si="4"/>
        <v>0</v>
      </c>
      <c r="Z28" s="104">
        <f t="shared" si="5"/>
        <v>0</v>
      </c>
      <c r="AA28" s="98"/>
      <c r="AB28" s="119"/>
      <c r="AC28" s="133"/>
      <c r="AD28" s="129"/>
      <c r="AE28" s="136"/>
      <c r="AF28" s="137"/>
      <c r="AG28" s="134"/>
      <c r="AH28" s="135"/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0</v>
      </c>
      <c r="E29" s="117"/>
      <c r="F29" s="192">
        <f t="shared" si="0"/>
        <v>0</v>
      </c>
      <c r="G29" s="192"/>
      <c r="H29" s="193"/>
      <c r="I29" s="98"/>
      <c r="J29" s="121">
        <f>'Suivi EAU-ELEC'!E35</f>
        <v>0</v>
      </c>
      <c r="K29" s="122">
        <f>'Suivi EAU-ELEC'!G35</f>
        <v>0</v>
      </c>
      <c r="L29" s="122">
        <f>'Suivi EAU-ELEC'!I35</f>
        <v>0</v>
      </c>
      <c r="M29" s="123">
        <f t="shared" si="1"/>
        <v>0</v>
      </c>
      <c r="N29" s="96"/>
      <c r="O29" s="99">
        <f t="shared" si="2"/>
        <v>0</v>
      </c>
      <c r="P29" s="95"/>
      <c r="Q29" s="94"/>
      <c r="R29" s="93"/>
      <c r="S29" s="94"/>
      <c r="T29" s="101"/>
      <c r="U29" s="100">
        <f>'Suvi Gaz'!O30</f>
        <v>0</v>
      </c>
      <c r="V29" s="98"/>
      <c r="W29" s="99">
        <f t="shared" si="3"/>
        <v>0</v>
      </c>
      <c r="X29" s="138"/>
      <c r="Y29" s="103">
        <f t="shared" si="4"/>
        <v>0</v>
      </c>
      <c r="Z29" s="104">
        <f t="shared" si="5"/>
        <v>0</v>
      </c>
      <c r="AA29" s="98"/>
      <c r="AB29" s="119"/>
      <c r="AC29" s="133"/>
      <c r="AD29" s="129"/>
      <c r="AE29" s="136"/>
      <c r="AF29" s="137"/>
      <c r="AG29" s="134"/>
      <c r="AH29" s="135"/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0</v>
      </c>
      <c r="E30" s="117"/>
      <c r="F30" s="192">
        <f t="shared" si="0"/>
        <v>0</v>
      </c>
      <c r="G30" s="192"/>
      <c r="H30" s="193"/>
      <c r="I30" s="98"/>
      <c r="J30" s="121">
        <f>'Suivi EAU-ELEC'!E36</f>
        <v>0</v>
      </c>
      <c r="K30" s="122">
        <f>'Suivi EAU-ELEC'!G36</f>
        <v>0</v>
      </c>
      <c r="L30" s="122">
        <f>'Suivi EAU-ELEC'!I36</f>
        <v>0</v>
      </c>
      <c r="M30" s="123">
        <f t="shared" si="1"/>
        <v>0</v>
      </c>
      <c r="N30" s="96"/>
      <c r="O30" s="99">
        <f t="shared" si="2"/>
        <v>0</v>
      </c>
      <c r="P30" s="95"/>
      <c r="Q30" s="94"/>
      <c r="R30" s="93"/>
      <c r="S30" s="94"/>
      <c r="T30" s="101"/>
      <c r="U30" s="100">
        <f>'Suvi Gaz'!O31</f>
        <v>0</v>
      </c>
      <c r="V30" s="98"/>
      <c r="W30" s="99">
        <f t="shared" si="3"/>
        <v>0</v>
      </c>
      <c r="X30" s="138"/>
      <c r="Y30" s="103">
        <f t="shared" si="4"/>
        <v>0</v>
      </c>
      <c r="Z30" s="104">
        <f t="shared" si="5"/>
        <v>0</v>
      </c>
      <c r="AA30" s="98"/>
      <c r="AB30" s="119"/>
      <c r="AC30" s="133"/>
      <c r="AD30" s="129"/>
      <c r="AE30" s="136"/>
      <c r="AF30" s="137"/>
      <c r="AG30" s="134"/>
      <c r="AH30" s="135"/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192">
        <f t="shared" si="0"/>
        <v>0</v>
      </c>
      <c r="G31" s="192"/>
      <c r="H31" s="193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38"/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192">
        <f t="shared" si="0"/>
        <v>0</v>
      </c>
      <c r="G32" s="192"/>
      <c r="H32" s="193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192">
        <f t="shared" si="0"/>
        <v>0</v>
      </c>
      <c r="G33" s="192"/>
      <c r="H33" s="193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192">
        <f t="shared" si="0"/>
        <v>0</v>
      </c>
      <c r="G34" s="192"/>
      <c r="H34" s="193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192">
        <f t="shared" si="0"/>
        <v>0</v>
      </c>
      <c r="G35" s="192"/>
      <c r="H35" s="193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192">
        <f t="shared" si="0"/>
        <v>0</v>
      </c>
      <c r="G36" s="192"/>
      <c r="H36" s="193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192">
        <f t="shared" si="0"/>
        <v>0</v>
      </c>
      <c r="G37" s="192"/>
      <c r="H37" s="193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192">
        <f t="shared" si="0"/>
        <v>0</v>
      </c>
      <c r="G38" s="192"/>
      <c r="H38" s="193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192">
        <f t="shared" si="0"/>
        <v>0</v>
      </c>
      <c r="G39" s="192"/>
      <c r="H39" s="193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192">
        <f t="shared" si="0"/>
        <v>0</v>
      </c>
      <c r="G40" s="192"/>
      <c r="H40" s="193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296"/>
      <c r="AG40" s="130"/>
      <c r="AH40" s="27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1140</v>
      </c>
      <c r="E41" s="1"/>
      <c r="F41" s="146">
        <f>SUM(F10:H39)</f>
        <v>14443.8</v>
      </c>
      <c r="G41" s="147"/>
      <c r="H41" s="148"/>
      <c r="I41" s="1"/>
      <c r="J41" s="91">
        <f>SUM(J10:J39)</f>
        <v>13430</v>
      </c>
      <c r="K41" s="91">
        <f>SUM(K10:K39)</f>
        <v>19493</v>
      </c>
      <c r="L41" s="91">
        <f>SUM(L10:L39)</f>
        <v>9412</v>
      </c>
      <c r="M41" s="91">
        <f>SUM(M10:M39)</f>
        <v>42335</v>
      </c>
      <c r="N41" s="28"/>
      <c r="O41" s="146">
        <f>SUM(O10:Q39)</f>
        <v>42419.67</v>
      </c>
      <c r="P41" s="147"/>
      <c r="Q41" s="148"/>
      <c r="R41" s="28"/>
      <c r="S41" s="92">
        <f>SUM(S10:S40)</f>
        <v>0</v>
      </c>
      <c r="T41" s="28"/>
      <c r="U41" s="91">
        <f>SUM(U10:U39)</f>
        <v>1372.7</v>
      </c>
      <c r="V41" s="28"/>
      <c r="W41" s="91">
        <f>SUM(W10:W39)</f>
        <v>11019.761059999999</v>
      </c>
      <c r="X41" s="132"/>
      <c r="Y41" s="91">
        <f>SUM(Y10:Y39)</f>
        <v>27.519999999998618</v>
      </c>
      <c r="Z41" s="91">
        <f>SUM(Z10:Z39)</f>
        <v>23116.799999998839</v>
      </c>
      <c r="AA41" s="1"/>
      <c r="AB41" s="142"/>
      <c r="AC41" s="143"/>
      <c r="AD41" s="144"/>
      <c r="AE41" s="136"/>
      <c r="AF41" s="297"/>
      <c r="AG41" s="275"/>
      <c r="AH41" s="299"/>
      <c r="AI41" s="300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196"/>
      <c r="G42" s="196"/>
      <c r="H42" s="19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174" t="s">
        <v>10</v>
      </c>
      <c r="B43" s="175"/>
      <c r="C43" s="176"/>
      <c r="D43" s="19" t="s">
        <v>7</v>
      </c>
      <c r="E43" s="53"/>
      <c r="F43" s="20">
        <v>1.002</v>
      </c>
      <c r="G43" s="180">
        <f>J41</f>
        <v>13430</v>
      </c>
      <c r="H43" s="181"/>
      <c r="I43" s="182"/>
      <c r="J43" s="194">
        <f>G43*F43</f>
        <v>13456.86</v>
      </c>
      <c r="K43" s="195"/>
      <c r="L43" s="183">
        <f>J43+J44+J45</f>
        <v>42419.670000000006</v>
      </c>
      <c r="M43" s="184"/>
      <c r="N43" s="184"/>
      <c r="O43" s="184"/>
      <c r="P43" s="184"/>
      <c r="Q43" s="184"/>
      <c r="R43" s="184"/>
      <c r="S43" s="184"/>
      <c r="T43" s="184"/>
      <c r="U43" s="185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177"/>
      <c r="B44" s="178"/>
      <c r="C44" s="179"/>
      <c r="D44" s="17" t="s">
        <v>8</v>
      </c>
      <c r="E44" s="53"/>
      <c r="F44" s="20">
        <v>1.002</v>
      </c>
      <c r="G44" s="180">
        <f>K41</f>
        <v>19493</v>
      </c>
      <c r="H44" s="181"/>
      <c r="I44" s="182"/>
      <c r="J44" s="194">
        <f>G44*F44</f>
        <v>19531.986000000001</v>
      </c>
      <c r="K44" s="195"/>
      <c r="L44" s="186"/>
      <c r="M44" s="187"/>
      <c r="N44" s="187"/>
      <c r="O44" s="187"/>
      <c r="P44" s="187"/>
      <c r="Q44" s="187"/>
      <c r="R44" s="187"/>
      <c r="S44" s="187"/>
      <c r="T44" s="187"/>
      <c r="U44" s="188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77"/>
      <c r="B45" s="178"/>
      <c r="C45" s="179"/>
      <c r="D45" s="23" t="s">
        <v>9</v>
      </c>
      <c r="E45" s="54"/>
      <c r="F45" s="20">
        <v>1.002</v>
      </c>
      <c r="G45" s="180">
        <f>L41</f>
        <v>9412</v>
      </c>
      <c r="H45" s="181"/>
      <c r="I45" s="182"/>
      <c r="J45" s="194">
        <f>G45*F45</f>
        <v>9430.8240000000005</v>
      </c>
      <c r="K45" s="195"/>
      <c r="L45" s="189"/>
      <c r="M45" s="190"/>
      <c r="N45" s="190"/>
      <c r="O45" s="190"/>
      <c r="P45" s="190"/>
      <c r="Q45" s="190"/>
      <c r="R45" s="190"/>
      <c r="S45" s="190"/>
      <c r="T45" s="190"/>
      <c r="U45" s="191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97" t="s">
        <v>11</v>
      </c>
      <c r="B46" s="198"/>
      <c r="C46" s="198"/>
      <c r="D46" s="199"/>
      <c r="E46" s="53"/>
      <c r="F46" s="24">
        <v>12.67</v>
      </c>
      <c r="G46" s="197">
        <f>D41</f>
        <v>1140</v>
      </c>
      <c r="H46" s="198"/>
      <c r="I46" s="199"/>
      <c r="J46" s="200">
        <f>G46*F46</f>
        <v>14443.8</v>
      </c>
      <c r="K46" s="201"/>
      <c r="L46" s="208">
        <f>J46</f>
        <v>14443.8</v>
      </c>
      <c r="M46" s="209"/>
      <c r="N46" s="209"/>
      <c r="O46" s="209"/>
      <c r="P46" s="209"/>
      <c r="Q46" s="209"/>
      <c r="R46" s="209"/>
      <c r="S46" s="209"/>
      <c r="T46" s="209"/>
      <c r="U46" s="21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05" t="s">
        <v>13</v>
      </c>
      <c r="B47" s="206"/>
      <c r="C47" s="206"/>
      <c r="D47" s="207"/>
      <c r="E47" s="53"/>
      <c r="F47" s="26">
        <v>8.0277999999999992</v>
      </c>
      <c r="G47" s="202">
        <f>U41</f>
        <v>1372.7</v>
      </c>
      <c r="H47" s="203"/>
      <c r="I47" s="204"/>
      <c r="J47" s="202">
        <f>G47*F47</f>
        <v>11019.761059999999</v>
      </c>
      <c r="K47" s="204"/>
      <c r="L47" s="211">
        <f>J47</f>
        <v>11019.761059999999</v>
      </c>
      <c r="M47" s="212"/>
      <c r="N47" s="212"/>
      <c r="O47" s="212"/>
      <c r="P47" s="212"/>
      <c r="Q47" s="212"/>
      <c r="R47" s="212"/>
      <c r="S47" s="212"/>
      <c r="T47" s="212"/>
      <c r="U47" s="21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8:D9"/>
    <mergeCell ref="AA8:AA9"/>
    <mergeCell ref="M8:M9"/>
    <mergeCell ref="W8:W9"/>
    <mergeCell ref="O8:O9"/>
    <mergeCell ref="F42:H42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D7:J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O41:Q41"/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2" sqref="E12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8" t="s">
        <v>0</v>
      </c>
      <c r="B1" s="238"/>
      <c r="C1" s="239"/>
      <c r="D1" s="240" t="s">
        <v>57</v>
      </c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2"/>
      <c r="AA1" s="243"/>
      <c r="AB1" s="244"/>
      <c r="AC1" s="244"/>
    </row>
    <row r="2" spans="1:31" ht="41.25" customHeight="1" thickBot="1" x14ac:dyDescent="0.4">
      <c r="A2" s="83"/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8"/>
      <c r="Q2" s="245">
        <v>803</v>
      </c>
      <c r="R2" s="246"/>
      <c r="S2" s="246"/>
      <c r="T2" s="246">
        <v>519</v>
      </c>
      <c r="U2" s="246"/>
      <c r="V2" s="246"/>
      <c r="W2" s="246">
        <v>800</v>
      </c>
      <c r="X2" s="246"/>
      <c r="Y2" s="246"/>
      <c r="Z2" s="246">
        <v>802</v>
      </c>
      <c r="AA2" s="246"/>
      <c r="AB2" s="249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14" si="0">IF(AC4&gt;0,((B4-R4)+(S4-B5)),IF(B5=0, ,(B4-B5)))</f>
        <v>5</v>
      </c>
      <c r="D4" s="37">
        <v>72</v>
      </c>
      <c r="E4" s="35">
        <f t="shared" ref="E4:E14" si="1">IF(AC4&gt;0,((D4-U4)+(V4-D5)),IF(D5=0, ,(D4-D5)))</f>
        <v>4</v>
      </c>
      <c r="F4" s="37">
        <v>70</v>
      </c>
      <c r="G4" s="35">
        <f t="shared" ref="G4:G14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8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292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291">
        <v>79</v>
      </c>
      <c r="C12" s="292">
        <f t="shared" si="0"/>
        <v>7</v>
      </c>
      <c r="D12" s="291">
        <v>80</v>
      </c>
      <c r="E12" s="292">
        <f t="shared" si="1"/>
        <v>5</v>
      </c>
      <c r="F12" s="291">
        <v>75</v>
      </c>
      <c r="G12" s="292">
        <f t="shared" si="2"/>
        <v>5</v>
      </c>
      <c r="H12" s="291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291">
        <v>72</v>
      </c>
      <c r="C13" s="292">
        <f t="shared" si="0"/>
        <v>0</v>
      </c>
      <c r="D13" s="291">
        <v>75</v>
      </c>
      <c r="E13" s="292">
        <f t="shared" si="1"/>
        <v>0</v>
      </c>
      <c r="F13" s="291">
        <v>70</v>
      </c>
      <c r="G13" s="292">
        <f t="shared" si="2"/>
        <v>0</v>
      </c>
      <c r="H13" s="291">
        <v>71</v>
      </c>
      <c r="I13" s="35">
        <f t="shared" si="3"/>
        <v>0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0</v>
      </c>
      <c r="M13" s="35">
        <f t="shared" ref="M13:M14" si="15">7000*4</f>
        <v>28000</v>
      </c>
      <c r="N13" s="35">
        <f>L13*M13/100</f>
        <v>0</v>
      </c>
      <c r="O13" s="35">
        <f t="shared" si="9"/>
        <v>0</v>
      </c>
      <c r="P13" s="38">
        <f t="shared" si="11"/>
        <v>0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37"/>
      <c r="C14" s="292">
        <f t="shared" si="0"/>
        <v>0</v>
      </c>
      <c r="D14" s="37"/>
      <c r="E14" s="292">
        <f t="shared" si="1"/>
        <v>0</v>
      </c>
      <c r="F14" s="37"/>
      <c r="G14" s="292">
        <f t="shared" si="2"/>
        <v>0</v>
      </c>
      <c r="H14" s="37"/>
      <c r="I14" s="35">
        <f t="shared" si="3"/>
        <v>0</v>
      </c>
      <c r="J14" s="35">
        <f t="shared" si="4"/>
        <v>0</v>
      </c>
      <c r="K14" s="35">
        <f t="shared" ref="K14" si="16">J14/4</f>
        <v>0</v>
      </c>
      <c r="L14" s="35">
        <f t="shared" si="6"/>
        <v>0</v>
      </c>
      <c r="M14" s="35">
        <f t="shared" si="15"/>
        <v>28000</v>
      </c>
      <c r="N14" s="35">
        <f t="shared" si="8"/>
        <v>0</v>
      </c>
      <c r="O14" s="35">
        <f t="shared" si="9"/>
        <v>0</v>
      </c>
      <c r="P14" s="38">
        <f t="shared" si="11"/>
        <v>0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37"/>
      <c r="C15" s="35">
        <f t="shared" ref="C13:C41" si="17">IF(AC15&gt;0,((B15-R15)+(S15-B16)),IF(B16=0, ,(B15-B16)))</f>
        <v>0</v>
      </c>
      <c r="D15" s="37"/>
      <c r="E15" s="35">
        <f t="shared" ref="E13:E41" si="18">IF(AC15&gt;0,((D15-U15)+(V15-D16)),IF(D16=0, ,(D15-D16)))</f>
        <v>0</v>
      </c>
      <c r="F15" s="37"/>
      <c r="G15" s="35">
        <f t="shared" ref="G13:G41" si="19">IF(AC15&gt;0,((F15-X15)+(Y15-F16)),IF(F16=0, ,(F15-F16)))</f>
        <v>0</v>
      </c>
      <c r="H15" s="37"/>
      <c r="I15" s="35">
        <f t="shared" ref="I15:I42" si="20">IF(AC15&gt;0,((H15-AA15)+(AB15-H16)),IF(H16=0, ,(H15-H16)))</f>
        <v>0</v>
      </c>
      <c r="J15" s="35">
        <f t="shared" ref="J15:J42" si="21">B15+D15+F15+H15</f>
        <v>0</v>
      </c>
      <c r="K15" s="35">
        <f t="shared" ref="K15:K42" si="22">J15/4</f>
        <v>0</v>
      </c>
      <c r="L15" s="35">
        <f t="shared" ref="L15:L42" si="23">IF(AC15&gt;0,((K15-AD15)+(AE15-K16)),IF(K16=0, ,(K15-K16)))</f>
        <v>0</v>
      </c>
      <c r="M15" s="35">
        <f t="shared" ref="M15:M42" si="24">7000*4</f>
        <v>28000</v>
      </c>
      <c r="N15" s="35">
        <f t="shared" ref="N15:N42" si="25">L15*M15/100</f>
        <v>0</v>
      </c>
      <c r="O15" s="35">
        <f t="shared" ref="O15:O42" si="26">N15*0.53</f>
        <v>0</v>
      </c>
      <c r="P15" s="38">
        <f t="shared" si="11"/>
        <v>0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37"/>
      <c r="C16" s="35">
        <f t="shared" si="17"/>
        <v>0</v>
      </c>
      <c r="D16" s="37"/>
      <c r="E16" s="35">
        <f t="shared" si="18"/>
        <v>0</v>
      </c>
      <c r="F16" s="37"/>
      <c r="G16" s="35">
        <f t="shared" si="19"/>
        <v>0</v>
      </c>
      <c r="H16" s="37"/>
      <c r="I16" s="35">
        <f t="shared" si="20"/>
        <v>0</v>
      </c>
      <c r="J16" s="35">
        <f t="shared" si="21"/>
        <v>0</v>
      </c>
      <c r="K16" s="35">
        <f t="shared" si="22"/>
        <v>0</v>
      </c>
      <c r="L16" s="35">
        <f t="shared" si="23"/>
        <v>0</v>
      </c>
      <c r="M16" s="35">
        <f t="shared" si="24"/>
        <v>28000</v>
      </c>
      <c r="N16" s="35">
        <f t="shared" si="25"/>
        <v>0</v>
      </c>
      <c r="O16" s="35">
        <f t="shared" si="26"/>
        <v>0</v>
      </c>
      <c r="P16" s="38">
        <f t="shared" si="11"/>
        <v>0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37"/>
      <c r="C17" s="35">
        <f t="shared" si="17"/>
        <v>0</v>
      </c>
      <c r="D17" s="37"/>
      <c r="E17" s="35">
        <f t="shared" si="18"/>
        <v>0</v>
      </c>
      <c r="F17" s="37"/>
      <c r="G17" s="35">
        <f t="shared" si="19"/>
        <v>0</v>
      </c>
      <c r="H17" s="37"/>
      <c r="I17" s="35">
        <f t="shared" si="20"/>
        <v>0</v>
      </c>
      <c r="J17" s="35">
        <f t="shared" si="21"/>
        <v>0</v>
      </c>
      <c r="K17" s="35">
        <f t="shared" si="22"/>
        <v>0</v>
      </c>
      <c r="L17" s="35">
        <f t="shared" si="23"/>
        <v>0</v>
      </c>
      <c r="M17" s="35">
        <f t="shared" si="24"/>
        <v>28000</v>
      </c>
      <c r="N17" s="35">
        <f t="shared" si="25"/>
        <v>0</v>
      </c>
      <c r="O17" s="35">
        <f t="shared" si="26"/>
        <v>0</v>
      </c>
      <c r="P17" s="38">
        <f t="shared" si="11"/>
        <v>0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37"/>
      <c r="C18" s="35">
        <f t="shared" si="17"/>
        <v>0</v>
      </c>
      <c r="D18" s="37"/>
      <c r="E18" s="35">
        <f t="shared" si="18"/>
        <v>0</v>
      </c>
      <c r="F18" s="37"/>
      <c r="G18" s="35">
        <f t="shared" si="19"/>
        <v>0</v>
      </c>
      <c r="H18" s="37"/>
      <c r="I18" s="35">
        <f t="shared" si="20"/>
        <v>0</v>
      </c>
      <c r="J18" s="35">
        <f t="shared" si="21"/>
        <v>0</v>
      </c>
      <c r="K18" s="35">
        <f t="shared" si="22"/>
        <v>0</v>
      </c>
      <c r="L18" s="35">
        <f t="shared" si="23"/>
        <v>0</v>
      </c>
      <c r="M18" s="35">
        <f t="shared" si="24"/>
        <v>28000</v>
      </c>
      <c r="N18" s="35">
        <f t="shared" si="25"/>
        <v>0</v>
      </c>
      <c r="O18" s="35">
        <f t="shared" si="26"/>
        <v>0</v>
      </c>
      <c r="P18" s="38">
        <f t="shared" si="11"/>
        <v>0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2"/>
        <v>0</v>
      </c>
      <c r="AD18" s="84">
        <f t="shared" si="13"/>
        <v>0</v>
      </c>
      <c r="AE18" s="84">
        <f t="shared" si="14"/>
        <v>0</v>
      </c>
    </row>
    <row r="19" spans="1:31" ht="32.25" customHeight="1" x14ac:dyDescent="0.3">
      <c r="A19" s="36">
        <v>43778</v>
      </c>
      <c r="B19" s="37"/>
      <c r="C19" s="35">
        <f t="shared" si="17"/>
        <v>0</v>
      </c>
      <c r="D19" s="37"/>
      <c r="E19" s="35">
        <f t="shared" si="18"/>
        <v>0</v>
      </c>
      <c r="F19" s="37"/>
      <c r="G19" s="35">
        <f t="shared" si="19"/>
        <v>0</v>
      </c>
      <c r="H19" s="37"/>
      <c r="I19" s="35">
        <f t="shared" si="20"/>
        <v>0</v>
      </c>
      <c r="J19" s="35">
        <f t="shared" si="21"/>
        <v>0</v>
      </c>
      <c r="K19" s="35">
        <f t="shared" si="22"/>
        <v>0</v>
      </c>
      <c r="L19" s="35">
        <f t="shared" si="23"/>
        <v>0</v>
      </c>
      <c r="M19" s="35">
        <f t="shared" si="24"/>
        <v>28000</v>
      </c>
      <c r="N19" s="35">
        <f t="shared" si="25"/>
        <v>0</v>
      </c>
      <c r="O19" s="35">
        <f t="shared" si="26"/>
        <v>0</v>
      </c>
      <c r="P19" s="38">
        <f>O19*8.0278</f>
        <v>0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37"/>
      <c r="C20" s="35">
        <f t="shared" si="17"/>
        <v>0</v>
      </c>
      <c r="D20" s="37"/>
      <c r="E20" s="35">
        <f t="shared" si="18"/>
        <v>0</v>
      </c>
      <c r="F20" s="37"/>
      <c r="G20" s="35">
        <f t="shared" si="19"/>
        <v>0</v>
      </c>
      <c r="H20" s="37"/>
      <c r="I20" s="35">
        <f t="shared" si="20"/>
        <v>0</v>
      </c>
      <c r="J20" s="35">
        <f t="shared" si="21"/>
        <v>0</v>
      </c>
      <c r="K20" s="35">
        <f t="shared" si="22"/>
        <v>0</v>
      </c>
      <c r="L20" s="35">
        <f t="shared" si="23"/>
        <v>0</v>
      </c>
      <c r="M20" s="35">
        <f t="shared" si="24"/>
        <v>28000</v>
      </c>
      <c r="N20" s="35">
        <f t="shared" si="25"/>
        <v>0</v>
      </c>
      <c r="O20" s="35">
        <f t="shared" si="26"/>
        <v>0</v>
      </c>
      <c r="P20" s="38">
        <f t="shared" ref="P20:P43" si="27">O20*8.0278</f>
        <v>0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37"/>
      <c r="C21" s="35">
        <f t="shared" si="17"/>
        <v>0</v>
      </c>
      <c r="D21" s="37"/>
      <c r="E21" s="35">
        <f t="shared" si="18"/>
        <v>0</v>
      </c>
      <c r="F21" s="37"/>
      <c r="G21" s="35">
        <f t="shared" si="19"/>
        <v>0</v>
      </c>
      <c r="H21" s="37"/>
      <c r="I21" s="35">
        <f t="shared" si="20"/>
        <v>0</v>
      </c>
      <c r="J21" s="35">
        <f t="shared" si="21"/>
        <v>0</v>
      </c>
      <c r="K21" s="35">
        <f t="shared" si="22"/>
        <v>0</v>
      </c>
      <c r="L21" s="35">
        <f t="shared" si="23"/>
        <v>0</v>
      </c>
      <c r="M21" s="35">
        <f t="shared" si="24"/>
        <v>28000</v>
      </c>
      <c r="N21" s="35">
        <f t="shared" si="25"/>
        <v>0</v>
      </c>
      <c r="O21" s="35">
        <f t="shared" si="26"/>
        <v>0</v>
      </c>
      <c r="P21" s="38">
        <f t="shared" si="27"/>
        <v>0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37"/>
      <c r="C22" s="35">
        <f t="shared" si="17"/>
        <v>0</v>
      </c>
      <c r="D22" s="37"/>
      <c r="E22" s="35">
        <f t="shared" si="18"/>
        <v>0</v>
      </c>
      <c r="F22" s="37"/>
      <c r="G22" s="35">
        <f t="shared" si="19"/>
        <v>0</v>
      </c>
      <c r="H22" s="37"/>
      <c r="I22" s="35">
        <f t="shared" si="20"/>
        <v>0</v>
      </c>
      <c r="J22" s="35">
        <f t="shared" si="21"/>
        <v>0</v>
      </c>
      <c r="K22" s="35">
        <f t="shared" si="22"/>
        <v>0</v>
      </c>
      <c r="L22" s="35">
        <f t="shared" si="23"/>
        <v>0</v>
      </c>
      <c r="M22" s="35">
        <f t="shared" si="24"/>
        <v>28000</v>
      </c>
      <c r="N22" s="35">
        <f t="shared" si="25"/>
        <v>0</v>
      </c>
      <c r="O22" s="35">
        <f t="shared" si="26"/>
        <v>0</v>
      </c>
      <c r="P22" s="38">
        <f t="shared" si="27"/>
        <v>0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37"/>
      <c r="C23" s="35">
        <f t="shared" si="17"/>
        <v>0</v>
      </c>
      <c r="D23" s="37"/>
      <c r="E23" s="35">
        <f t="shared" si="18"/>
        <v>0</v>
      </c>
      <c r="F23" s="37"/>
      <c r="G23" s="35">
        <f t="shared" si="19"/>
        <v>0</v>
      </c>
      <c r="H23" s="37"/>
      <c r="I23" s="35">
        <f t="shared" si="20"/>
        <v>0</v>
      </c>
      <c r="J23" s="35">
        <f t="shared" si="21"/>
        <v>0</v>
      </c>
      <c r="K23" s="35">
        <f t="shared" si="22"/>
        <v>0</v>
      </c>
      <c r="L23" s="35">
        <f t="shared" si="23"/>
        <v>0</v>
      </c>
      <c r="M23" s="35">
        <f t="shared" si="24"/>
        <v>28000</v>
      </c>
      <c r="N23" s="35">
        <f t="shared" si="25"/>
        <v>0</v>
      </c>
      <c r="O23" s="35">
        <f t="shared" si="26"/>
        <v>0</v>
      </c>
      <c r="P23" s="38">
        <f t="shared" si="27"/>
        <v>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37"/>
      <c r="C24" s="35">
        <f t="shared" si="17"/>
        <v>0</v>
      </c>
      <c r="D24" s="37"/>
      <c r="E24" s="35">
        <f t="shared" si="18"/>
        <v>0</v>
      </c>
      <c r="F24" s="37"/>
      <c r="G24" s="35">
        <f t="shared" si="19"/>
        <v>0</v>
      </c>
      <c r="H24" s="37"/>
      <c r="I24" s="35">
        <f t="shared" si="20"/>
        <v>0</v>
      </c>
      <c r="J24" s="35">
        <f t="shared" si="21"/>
        <v>0</v>
      </c>
      <c r="K24" s="35">
        <f t="shared" si="22"/>
        <v>0</v>
      </c>
      <c r="L24" s="35">
        <f t="shared" si="23"/>
        <v>0</v>
      </c>
      <c r="M24" s="35">
        <f t="shared" si="24"/>
        <v>28000</v>
      </c>
      <c r="N24" s="35">
        <f>L24*M24/100</f>
        <v>0</v>
      </c>
      <c r="O24" s="35">
        <f>N24*0.53</f>
        <v>0</v>
      </c>
      <c r="P24" s="38">
        <f t="shared" si="27"/>
        <v>0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37"/>
      <c r="C25" s="35">
        <f t="shared" si="17"/>
        <v>0</v>
      </c>
      <c r="D25" s="37"/>
      <c r="E25" s="35">
        <f t="shared" si="18"/>
        <v>0</v>
      </c>
      <c r="F25" s="37"/>
      <c r="G25" s="35">
        <f t="shared" si="19"/>
        <v>0</v>
      </c>
      <c r="H25" s="37"/>
      <c r="I25" s="35">
        <f t="shared" si="20"/>
        <v>0</v>
      </c>
      <c r="J25" s="35">
        <f t="shared" si="21"/>
        <v>0</v>
      </c>
      <c r="K25" s="35">
        <f t="shared" si="22"/>
        <v>0</v>
      </c>
      <c r="L25" s="35">
        <f t="shared" si="23"/>
        <v>0</v>
      </c>
      <c r="M25" s="35">
        <f t="shared" si="24"/>
        <v>28000</v>
      </c>
      <c r="N25" s="35">
        <f>L25*M25/100</f>
        <v>0</v>
      </c>
      <c r="O25" s="35">
        <f>N25*0.53</f>
        <v>0</v>
      </c>
      <c r="P25" s="38">
        <f t="shared" si="27"/>
        <v>0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2"/>
        <v>0</v>
      </c>
      <c r="AD25" s="84">
        <f t="shared" si="13"/>
        <v>0</v>
      </c>
      <c r="AE25" s="84">
        <f t="shared" si="14"/>
        <v>0</v>
      </c>
    </row>
    <row r="26" spans="1:31" ht="32.25" customHeight="1" x14ac:dyDescent="0.3">
      <c r="A26" s="36">
        <v>43785</v>
      </c>
      <c r="B26" s="37"/>
      <c r="C26" s="35">
        <f t="shared" si="17"/>
        <v>0</v>
      </c>
      <c r="D26" s="37"/>
      <c r="E26" s="35">
        <f t="shared" si="18"/>
        <v>0</v>
      </c>
      <c r="F26" s="37"/>
      <c r="G26" s="35">
        <f t="shared" si="19"/>
        <v>0</v>
      </c>
      <c r="H26" s="37"/>
      <c r="I26" s="35">
        <f t="shared" si="20"/>
        <v>0</v>
      </c>
      <c r="J26" s="35">
        <f t="shared" si="21"/>
        <v>0</v>
      </c>
      <c r="K26" s="35">
        <f t="shared" si="22"/>
        <v>0</v>
      </c>
      <c r="L26" s="35">
        <f t="shared" si="23"/>
        <v>0</v>
      </c>
      <c r="M26" s="35">
        <f t="shared" si="24"/>
        <v>28000</v>
      </c>
      <c r="N26" s="35">
        <f>L26*M26/100</f>
        <v>0</v>
      </c>
      <c r="O26" s="35">
        <f>N26*0.53</f>
        <v>0</v>
      </c>
      <c r="P26" s="38">
        <f t="shared" si="27"/>
        <v>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37"/>
      <c r="C27" s="35">
        <f t="shared" si="17"/>
        <v>0</v>
      </c>
      <c r="D27" s="37"/>
      <c r="E27" s="35">
        <f t="shared" si="18"/>
        <v>0</v>
      </c>
      <c r="F27" s="37"/>
      <c r="G27" s="35">
        <f t="shared" si="19"/>
        <v>0</v>
      </c>
      <c r="H27" s="37"/>
      <c r="I27" s="35">
        <f t="shared" si="20"/>
        <v>0</v>
      </c>
      <c r="J27" s="35">
        <f t="shared" si="21"/>
        <v>0</v>
      </c>
      <c r="K27" s="35">
        <f t="shared" si="22"/>
        <v>0</v>
      </c>
      <c r="L27" s="35">
        <f t="shared" si="23"/>
        <v>0</v>
      </c>
      <c r="M27" s="35">
        <v>28000</v>
      </c>
      <c r="N27" s="35">
        <f t="shared" si="25"/>
        <v>0</v>
      </c>
      <c r="O27" s="35">
        <f t="shared" si="26"/>
        <v>0</v>
      </c>
      <c r="P27" s="38">
        <f t="shared" si="27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37"/>
      <c r="C28" s="35">
        <f t="shared" si="17"/>
        <v>0</v>
      </c>
      <c r="D28" s="37"/>
      <c r="E28" s="35">
        <f t="shared" si="18"/>
        <v>0</v>
      </c>
      <c r="F28" s="37"/>
      <c r="G28" s="35">
        <f t="shared" si="19"/>
        <v>0</v>
      </c>
      <c r="H28" s="37"/>
      <c r="I28" s="35">
        <f t="shared" si="20"/>
        <v>0</v>
      </c>
      <c r="J28" s="35">
        <f t="shared" si="21"/>
        <v>0</v>
      </c>
      <c r="K28" s="35">
        <f t="shared" si="22"/>
        <v>0</v>
      </c>
      <c r="L28" s="35">
        <f t="shared" si="23"/>
        <v>0</v>
      </c>
      <c r="M28" s="35">
        <f t="shared" si="24"/>
        <v>28000</v>
      </c>
      <c r="N28" s="35">
        <f t="shared" si="25"/>
        <v>0</v>
      </c>
      <c r="O28" s="35">
        <f t="shared" si="26"/>
        <v>0</v>
      </c>
      <c r="P28" s="38">
        <f t="shared" si="27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37"/>
      <c r="C29" s="35">
        <f t="shared" si="17"/>
        <v>0</v>
      </c>
      <c r="D29" s="37"/>
      <c r="E29" s="35">
        <f t="shared" si="18"/>
        <v>0</v>
      </c>
      <c r="F29" s="37"/>
      <c r="G29" s="35">
        <f t="shared" si="19"/>
        <v>0</v>
      </c>
      <c r="H29" s="37"/>
      <c r="I29" s="35">
        <f t="shared" si="20"/>
        <v>0</v>
      </c>
      <c r="J29" s="35">
        <f t="shared" si="21"/>
        <v>0</v>
      </c>
      <c r="K29" s="35">
        <f t="shared" si="22"/>
        <v>0</v>
      </c>
      <c r="L29" s="35">
        <f t="shared" si="23"/>
        <v>0</v>
      </c>
      <c r="M29" s="35">
        <f t="shared" si="24"/>
        <v>28000</v>
      </c>
      <c r="N29" s="35">
        <f t="shared" si="25"/>
        <v>0</v>
      </c>
      <c r="O29" s="35">
        <f t="shared" si="26"/>
        <v>0</v>
      </c>
      <c r="P29" s="38">
        <f t="shared" si="27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2"/>
        <v>0</v>
      </c>
      <c r="AD29" s="84">
        <f t="shared" si="13"/>
        <v>0</v>
      </c>
      <c r="AE29" s="84">
        <f t="shared" si="14"/>
        <v>0</v>
      </c>
    </row>
    <row r="30" spans="1:31" ht="32.25" customHeight="1" x14ac:dyDescent="0.3">
      <c r="A30" s="36">
        <v>43789</v>
      </c>
      <c r="B30" s="37"/>
      <c r="C30" s="35">
        <f t="shared" si="17"/>
        <v>0</v>
      </c>
      <c r="D30" s="37"/>
      <c r="E30" s="35">
        <f t="shared" si="18"/>
        <v>0</v>
      </c>
      <c r="F30" s="37"/>
      <c r="G30" s="35">
        <f t="shared" si="19"/>
        <v>0</v>
      </c>
      <c r="H30" s="37"/>
      <c r="I30" s="35">
        <f t="shared" si="20"/>
        <v>0</v>
      </c>
      <c r="J30" s="35">
        <f t="shared" si="21"/>
        <v>0</v>
      </c>
      <c r="K30" s="35">
        <f t="shared" si="22"/>
        <v>0</v>
      </c>
      <c r="L30" s="35">
        <f t="shared" si="23"/>
        <v>0</v>
      </c>
      <c r="M30" s="35">
        <f t="shared" si="24"/>
        <v>28000</v>
      </c>
      <c r="N30" s="35">
        <f t="shared" si="25"/>
        <v>0</v>
      </c>
      <c r="O30" s="35">
        <f t="shared" si="26"/>
        <v>0</v>
      </c>
      <c r="P30" s="38">
        <f t="shared" si="27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37"/>
      <c r="C31" s="35">
        <f t="shared" si="17"/>
        <v>0</v>
      </c>
      <c r="D31" s="37"/>
      <c r="E31" s="35">
        <f t="shared" si="18"/>
        <v>0</v>
      </c>
      <c r="F31" s="37"/>
      <c r="G31" s="35">
        <f t="shared" si="19"/>
        <v>0</v>
      </c>
      <c r="H31" s="37"/>
      <c r="I31" s="35">
        <f t="shared" si="20"/>
        <v>0</v>
      </c>
      <c r="J31" s="35">
        <f t="shared" si="21"/>
        <v>0</v>
      </c>
      <c r="K31" s="35">
        <f t="shared" si="22"/>
        <v>0</v>
      </c>
      <c r="L31" s="35">
        <f t="shared" si="23"/>
        <v>0</v>
      </c>
      <c r="M31" s="35">
        <f t="shared" si="24"/>
        <v>28000</v>
      </c>
      <c r="N31" s="35">
        <f t="shared" si="25"/>
        <v>0</v>
      </c>
      <c r="O31" s="35">
        <f t="shared" si="26"/>
        <v>0</v>
      </c>
      <c r="P31" s="38">
        <f t="shared" si="27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37"/>
      <c r="C32" s="35">
        <f t="shared" si="17"/>
        <v>0</v>
      </c>
      <c r="D32" s="37"/>
      <c r="E32" s="35">
        <f t="shared" si="18"/>
        <v>0</v>
      </c>
      <c r="F32" s="37"/>
      <c r="G32" s="35">
        <f t="shared" si="19"/>
        <v>0</v>
      </c>
      <c r="H32" s="37"/>
      <c r="I32" s="35">
        <f t="shared" si="20"/>
        <v>0</v>
      </c>
      <c r="J32" s="35">
        <f t="shared" si="21"/>
        <v>0</v>
      </c>
      <c r="K32" s="35">
        <f t="shared" si="22"/>
        <v>0</v>
      </c>
      <c r="L32" s="35">
        <f t="shared" si="23"/>
        <v>0</v>
      </c>
      <c r="M32" s="35">
        <f t="shared" si="24"/>
        <v>28000</v>
      </c>
      <c r="N32" s="35">
        <f t="shared" si="25"/>
        <v>0</v>
      </c>
      <c r="O32" s="35">
        <f t="shared" si="26"/>
        <v>0</v>
      </c>
      <c r="P32" s="38">
        <f t="shared" si="27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si="17"/>
        <v>0</v>
      </c>
      <c r="D33" s="37"/>
      <c r="E33" s="35">
        <f t="shared" si="18"/>
        <v>0</v>
      </c>
      <c r="F33" s="37"/>
      <c r="G33" s="35">
        <f t="shared" si="19"/>
        <v>0</v>
      </c>
      <c r="H33" s="37"/>
      <c r="I33" s="35">
        <f t="shared" si="20"/>
        <v>0</v>
      </c>
      <c r="J33" s="35">
        <f t="shared" si="21"/>
        <v>0</v>
      </c>
      <c r="K33" s="35">
        <f t="shared" si="22"/>
        <v>0</v>
      </c>
      <c r="L33" s="35">
        <f t="shared" si="23"/>
        <v>0</v>
      </c>
      <c r="M33" s="35">
        <f t="shared" si="24"/>
        <v>28000</v>
      </c>
      <c r="N33" s="35">
        <f t="shared" si="25"/>
        <v>0</v>
      </c>
      <c r="O33" s="35">
        <f t="shared" si="26"/>
        <v>0</v>
      </c>
      <c r="P33" s="38">
        <f t="shared" si="27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17"/>
        <v>0</v>
      </c>
      <c r="D34" s="37"/>
      <c r="E34" s="35">
        <f t="shared" si="18"/>
        <v>0</v>
      </c>
      <c r="F34" s="37"/>
      <c r="G34" s="35">
        <f t="shared" si="19"/>
        <v>0</v>
      </c>
      <c r="H34" s="37"/>
      <c r="I34" s="35">
        <f t="shared" si="20"/>
        <v>0</v>
      </c>
      <c r="J34" s="35">
        <f t="shared" si="21"/>
        <v>0</v>
      </c>
      <c r="K34" s="35">
        <f t="shared" si="22"/>
        <v>0</v>
      </c>
      <c r="L34" s="35">
        <f t="shared" si="23"/>
        <v>0</v>
      </c>
      <c r="M34" s="35">
        <f t="shared" si="24"/>
        <v>28000</v>
      </c>
      <c r="N34" s="35">
        <f t="shared" si="25"/>
        <v>0</v>
      </c>
      <c r="O34" s="35">
        <f t="shared" si="26"/>
        <v>0</v>
      </c>
      <c r="P34" s="38">
        <f t="shared" si="27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17"/>
        <v>0</v>
      </c>
      <c r="D35" s="37"/>
      <c r="E35" s="35">
        <f t="shared" si="18"/>
        <v>0</v>
      </c>
      <c r="F35" s="37"/>
      <c r="G35" s="35">
        <f t="shared" si="19"/>
        <v>0</v>
      </c>
      <c r="H35" s="37"/>
      <c r="I35" s="35">
        <f t="shared" si="20"/>
        <v>0</v>
      </c>
      <c r="J35" s="35">
        <f t="shared" si="21"/>
        <v>0</v>
      </c>
      <c r="K35" s="35">
        <f t="shared" si="22"/>
        <v>0</v>
      </c>
      <c r="L35" s="35">
        <f t="shared" si="23"/>
        <v>0</v>
      </c>
      <c r="M35" s="35">
        <f t="shared" si="24"/>
        <v>28000</v>
      </c>
      <c r="N35" s="35">
        <f t="shared" si="25"/>
        <v>0</v>
      </c>
      <c r="O35" s="35">
        <f t="shared" si="26"/>
        <v>0</v>
      </c>
      <c r="P35" s="38">
        <f t="shared" si="27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17"/>
        <v>0</v>
      </c>
      <c r="D36" s="37"/>
      <c r="E36" s="35">
        <f t="shared" si="18"/>
        <v>0</v>
      </c>
      <c r="F36" s="37"/>
      <c r="G36" s="35">
        <f t="shared" si="19"/>
        <v>0</v>
      </c>
      <c r="H36" s="37"/>
      <c r="I36" s="35">
        <f t="shared" si="20"/>
        <v>0</v>
      </c>
      <c r="J36" s="35">
        <f t="shared" si="21"/>
        <v>0</v>
      </c>
      <c r="K36" s="35">
        <f t="shared" si="22"/>
        <v>0</v>
      </c>
      <c r="L36" s="35">
        <f t="shared" si="23"/>
        <v>0</v>
      </c>
      <c r="M36" s="35">
        <f t="shared" si="24"/>
        <v>28000</v>
      </c>
      <c r="N36" s="35">
        <f t="shared" si="25"/>
        <v>0</v>
      </c>
      <c r="O36" s="35">
        <f t="shared" si="26"/>
        <v>0</v>
      </c>
      <c r="P36" s="38">
        <f t="shared" si="27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17"/>
        <v>0</v>
      </c>
      <c r="D37" s="37"/>
      <c r="E37" s="35">
        <f t="shared" si="18"/>
        <v>0</v>
      </c>
      <c r="F37" s="37"/>
      <c r="G37" s="35">
        <f t="shared" si="19"/>
        <v>0</v>
      </c>
      <c r="H37" s="37"/>
      <c r="I37" s="35">
        <f t="shared" si="20"/>
        <v>0</v>
      </c>
      <c r="J37" s="35">
        <f t="shared" si="21"/>
        <v>0</v>
      </c>
      <c r="K37" s="35">
        <f t="shared" si="22"/>
        <v>0</v>
      </c>
      <c r="L37" s="35">
        <f t="shared" si="23"/>
        <v>0</v>
      </c>
      <c r="M37" s="35">
        <f t="shared" si="24"/>
        <v>28000</v>
      </c>
      <c r="N37" s="35">
        <f t="shared" si="25"/>
        <v>0</v>
      </c>
      <c r="O37" s="35">
        <f t="shared" si="26"/>
        <v>0</v>
      </c>
      <c r="P37" s="38">
        <f t="shared" si="27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17"/>
        <v>0</v>
      </c>
      <c r="D38" s="37"/>
      <c r="E38" s="35">
        <f t="shared" si="18"/>
        <v>0</v>
      </c>
      <c r="F38" s="37"/>
      <c r="G38" s="35">
        <f t="shared" si="19"/>
        <v>0</v>
      </c>
      <c r="H38" s="37"/>
      <c r="I38" s="35">
        <f t="shared" si="20"/>
        <v>0</v>
      </c>
      <c r="J38" s="35">
        <f t="shared" si="21"/>
        <v>0</v>
      </c>
      <c r="K38" s="35">
        <f t="shared" si="22"/>
        <v>0</v>
      </c>
      <c r="L38" s="35">
        <f t="shared" si="23"/>
        <v>0</v>
      </c>
      <c r="M38" s="35">
        <f t="shared" si="24"/>
        <v>28000</v>
      </c>
      <c r="N38" s="35">
        <f t="shared" si="25"/>
        <v>0</v>
      </c>
      <c r="O38" s="35">
        <f t="shared" si="26"/>
        <v>0</v>
      </c>
      <c r="P38" s="38">
        <f t="shared" si="27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17"/>
        <v>0</v>
      </c>
      <c r="D39" s="37"/>
      <c r="E39" s="35">
        <f t="shared" si="18"/>
        <v>0</v>
      </c>
      <c r="F39" s="37"/>
      <c r="G39" s="35">
        <f t="shared" si="19"/>
        <v>0</v>
      </c>
      <c r="H39" s="37"/>
      <c r="I39" s="35">
        <f t="shared" si="20"/>
        <v>0</v>
      </c>
      <c r="J39" s="35">
        <f t="shared" si="21"/>
        <v>0</v>
      </c>
      <c r="K39" s="35">
        <f t="shared" si="22"/>
        <v>0</v>
      </c>
      <c r="L39" s="35">
        <f t="shared" si="23"/>
        <v>0</v>
      </c>
      <c r="M39" s="35">
        <f t="shared" si="24"/>
        <v>28000</v>
      </c>
      <c r="N39" s="35">
        <f t="shared" si="25"/>
        <v>0</v>
      </c>
      <c r="O39" s="35">
        <f t="shared" si="26"/>
        <v>0</v>
      </c>
      <c r="P39" s="38">
        <f t="shared" si="27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17"/>
        <v>0</v>
      </c>
      <c r="D40" s="37"/>
      <c r="E40" s="35">
        <f t="shared" si="18"/>
        <v>0</v>
      </c>
      <c r="F40" s="37"/>
      <c r="G40" s="35">
        <f t="shared" si="19"/>
        <v>0</v>
      </c>
      <c r="H40" s="37"/>
      <c r="I40" s="35">
        <f t="shared" si="20"/>
        <v>0</v>
      </c>
      <c r="J40" s="35">
        <f t="shared" si="21"/>
        <v>0</v>
      </c>
      <c r="K40" s="35">
        <f t="shared" si="22"/>
        <v>0</v>
      </c>
      <c r="L40" s="35">
        <f t="shared" si="23"/>
        <v>0</v>
      </c>
      <c r="M40" s="35">
        <f t="shared" si="24"/>
        <v>28000</v>
      </c>
      <c r="N40" s="35">
        <f t="shared" si="25"/>
        <v>0</v>
      </c>
      <c r="O40" s="35">
        <f t="shared" si="26"/>
        <v>0</v>
      </c>
      <c r="P40" s="38">
        <f t="shared" si="27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17"/>
        <v>0</v>
      </c>
      <c r="D41" s="37"/>
      <c r="E41" s="35">
        <f t="shared" si="18"/>
        <v>0</v>
      </c>
      <c r="F41" s="37"/>
      <c r="G41" s="35">
        <f t="shared" si="19"/>
        <v>0</v>
      </c>
      <c r="H41" s="37"/>
      <c r="I41" s="35">
        <f t="shared" si="20"/>
        <v>0</v>
      </c>
      <c r="J41" s="35">
        <f t="shared" si="21"/>
        <v>0</v>
      </c>
      <c r="K41" s="35">
        <f t="shared" si="22"/>
        <v>0</v>
      </c>
      <c r="L41" s="35">
        <f t="shared" si="23"/>
        <v>0</v>
      </c>
      <c r="M41" s="35">
        <f t="shared" si="24"/>
        <v>28000</v>
      </c>
      <c r="N41" s="35">
        <f t="shared" si="25"/>
        <v>0</v>
      </c>
      <c r="O41" s="35">
        <f t="shared" si="26"/>
        <v>0</v>
      </c>
      <c r="P41" s="38">
        <f t="shared" si="27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8">IF(AC42&gt;0,((B42-R42)+(S42-B43)),IF(B43=0, ,(B42-B43)))</f>
        <v>0</v>
      </c>
      <c r="D42" s="37"/>
      <c r="E42" s="35">
        <f t="shared" ref="E42" si="29">IF(AC42&gt;0,((D42-U42)+(V42-D43)),IF(D43=0, ,(D42-D43)))</f>
        <v>0</v>
      </c>
      <c r="F42" s="37"/>
      <c r="G42" s="35">
        <f t="shared" ref="G42" si="30">IF(AC42&gt;0,((F42-X42)+(Y42-F43)),IF(F43=0, ,(F42-F43)))</f>
        <v>0</v>
      </c>
      <c r="H42" s="37"/>
      <c r="I42" s="35">
        <f t="shared" si="20"/>
        <v>0</v>
      </c>
      <c r="J42" s="35">
        <f t="shared" si="21"/>
        <v>0</v>
      </c>
      <c r="K42" s="35">
        <f t="shared" si="22"/>
        <v>0</v>
      </c>
      <c r="L42" s="35">
        <f t="shared" si="23"/>
        <v>0</v>
      </c>
      <c r="M42" s="35">
        <f t="shared" si="24"/>
        <v>28000</v>
      </c>
      <c r="N42" s="35">
        <f t="shared" si="25"/>
        <v>0</v>
      </c>
      <c r="O42" s="35">
        <f t="shared" si="26"/>
        <v>0</v>
      </c>
      <c r="P42" s="38">
        <f t="shared" si="27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9</v>
      </c>
      <c r="D43" s="37"/>
      <c r="E43" s="35">
        <f>SUM(E11:E40)</f>
        <v>9</v>
      </c>
      <c r="F43" s="37"/>
      <c r="G43" s="35">
        <f>SUM(G11:G40)</f>
        <v>10</v>
      </c>
      <c r="H43" s="37"/>
      <c r="I43" s="35">
        <f>SUM(I11:I40)</f>
        <v>9</v>
      </c>
      <c r="J43" s="33"/>
      <c r="K43" s="33"/>
      <c r="L43" s="33"/>
      <c r="M43" s="33"/>
      <c r="N43" s="35">
        <f>SUM(N11:N40)</f>
        <v>2590</v>
      </c>
      <c r="O43" s="35">
        <f>N43*0.53</f>
        <v>1372.7</v>
      </c>
      <c r="P43" s="38">
        <f t="shared" si="27"/>
        <v>11019.761059999999</v>
      </c>
      <c r="Q43" s="227">
        <v>0</v>
      </c>
      <c r="R43" s="227"/>
      <c r="S43" s="228"/>
      <c r="T43" s="227">
        <v>0</v>
      </c>
      <c r="U43" s="227"/>
      <c r="V43" s="228"/>
      <c r="W43" s="227">
        <v>0</v>
      </c>
      <c r="X43" s="227"/>
      <c r="Y43" s="228"/>
      <c r="Z43" s="227">
        <v>0</v>
      </c>
      <c r="AA43" s="227"/>
      <c r="AB43" s="228"/>
      <c r="AC43" s="35">
        <f>SUM(AC11:AC40)</f>
        <v>0</v>
      </c>
      <c r="AD43" s="33"/>
      <c r="AE43" s="33"/>
    </row>
    <row r="44" spans="1:31" ht="35.25" customHeight="1" thickBot="1" x14ac:dyDescent="0.35">
      <c r="B44" s="229"/>
      <c r="C44" s="230"/>
      <c r="D44" s="230"/>
      <c r="E44" s="230"/>
      <c r="F44" s="230"/>
      <c r="G44" s="230"/>
      <c r="H44" s="230"/>
      <c r="I44" s="231"/>
      <c r="J44" s="33"/>
      <c r="K44" s="33"/>
      <c r="L44" s="33"/>
      <c r="M44" s="33"/>
      <c r="N44" s="33"/>
      <c r="O44" s="33"/>
      <c r="P44" s="33"/>
      <c r="Q44" s="232">
        <f>Q43+T43+W43+Z43</f>
        <v>0</v>
      </c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4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35" t="s">
        <v>37</v>
      </c>
      <c r="I47" s="236"/>
      <c r="J47" s="237"/>
      <c r="K47" s="45">
        <f>N43</f>
        <v>2590</v>
      </c>
      <c r="L47" s="46">
        <f>O43</f>
        <v>1372.7</v>
      </c>
      <c r="M47" s="46">
        <f>P43</f>
        <v>11019.761059999999</v>
      </c>
    </row>
    <row r="48" spans="1:31" ht="54.75" customHeight="1" thickBot="1" x14ac:dyDescent="0.35">
      <c r="H48" s="224" t="s">
        <v>38</v>
      </c>
      <c r="I48" s="225"/>
      <c r="J48" s="226"/>
      <c r="K48" s="43">
        <f>AC43</f>
        <v>0</v>
      </c>
      <c r="L48" s="44">
        <f>K48*0.53</f>
        <v>0</v>
      </c>
      <c r="M48" s="44">
        <f>L48*8.0278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1" activePane="bottomRight" state="frozen"/>
      <selection pane="topRight" activeCell="B1" sqref="B1"/>
      <selection pane="bottomLeft" activeCell="A9" sqref="A9"/>
      <selection pane="bottomRight" activeCell="G17" sqref="G17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68"/>
      <c r="B1" s="269"/>
      <c r="C1" s="251" t="s">
        <v>58</v>
      </c>
      <c r="D1" s="252"/>
      <c r="E1" s="252"/>
      <c r="F1" s="252"/>
      <c r="G1" s="253"/>
      <c r="H1" s="260"/>
      <c r="I1" s="261"/>
      <c r="J1" s="50"/>
      <c r="K1" s="48"/>
      <c r="L1" s="48"/>
    </row>
    <row r="2" spans="1:20" ht="16.5" customHeight="1" x14ac:dyDescent="0.2">
      <c r="A2" s="270"/>
      <c r="B2" s="271"/>
      <c r="C2" s="254"/>
      <c r="D2" s="255"/>
      <c r="E2" s="255"/>
      <c r="F2" s="255"/>
      <c r="G2" s="256"/>
      <c r="H2" s="262"/>
      <c r="I2" s="263"/>
      <c r="J2" s="50"/>
      <c r="K2" s="48"/>
      <c r="L2" s="48"/>
    </row>
    <row r="3" spans="1:20" ht="48" customHeight="1" thickBot="1" x14ac:dyDescent="0.25">
      <c r="A3" s="272"/>
      <c r="B3" s="273"/>
      <c r="C3" s="257"/>
      <c r="D3" s="258"/>
      <c r="E3" s="258"/>
      <c r="F3" s="258"/>
      <c r="G3" s="259"/>
      <c r="H3" s="264"/>
      <c r="I3" s="265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0" t="s">
        <v>1</v>
      </c>
      <c r="B7" s="266" t="s">
        <v>42</v>
      </c>
      <c r="C7" s="266"/>
      <c r="D7" s="267" t="s">
        <v>43</v>
      </c>
      <c r="E7" s="267"/>
      <c r="F7" s="267"/>
      <c r="G7" s="267"/>
      <c r="H7" s="267"/>
      <c r="I7" s="267"/>
    </row>
    <row r="8" spans="1:20" s="27" customFormat="1" ht="28.5" customHeight="1" thickTop="1" thickBot="1" x14ac:dyDescent="0.25">
      <c r="A8" s="250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18" si="0">IF(B10&lt;B9,0,B10-B9)*10</f>
        <v>690</v>
      </c>
      <c r="D9" s="62">
        <v>17679100</v>
      </c>
      <c r="E9" s="61">
        <f t="shared" ref="E9:E19" si="1">IF(D10&lt;D9,0,D10-D9)</f>
        <v>5571</v>
      </c>
      <c r="F9" s="62">
        <v>32002464</v>
      </c>
      <c r="G9" s="61">
        <f t="shared" ref="G9:G18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294">
        <f t="shared" si="0"/>
        <v>650</v>
      </c>
      <c r="D16" s="62">
        <v>17719390</v>
      </c>
      <c r="E16" s="294">
        <f t="shared" si="1"/>
        <v>6601</v>
      </c>
      <c r="F16" s="62">
        <v>32068436</v>
      </c>
      <c r="G16" s="294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293">
        <v>115382</v>
      </c>
      <c r="C17" s="294">
        <f t="shared" si="0"/>
        <v>490</v>
      </c>
      <c r="D17" s="295">
        <v>17725991</v>
      </c>
      <c r="E17" s="294">
        <f t="shared" si="1"/>
        <v>6829</v>
      </c>
      <c r="F17" s="295">
        <v>32078071</v>
      </c>
      <c r="G17" s="294">
        <f t="shared" si="2"/>
        <v>9858</v>
      </c>
      <c r="H17" s="295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293">
        <v>115431</v>
      </c>
      <c r="C18" s="294">
        <f t="shared" si="0"/>
        <v>0</v>
      </c>
      <c r="D18" s="295">
        <v>17732820</v>
      </c>
      <c r="E18" s="294">
        <f t="shared" si="1"/>
        <v>0</v>
      </c>
      <c r="F18" s="295">
        <v>32087929</v>
      </c>
      <c r="G18" s="294">
        <f t="shared" si="2"/>
        <v>0</v>
      </c>
      <c r="H18" s="295">
        <v>14171540</v>
      </c>
      <c r="I18" s="61">
        <f t="shared" si="3"/>
        <v>0</v>
      </c>
    </row>
    <row r="19" spans="1:9" ht="21" thickTop="1" thickBot="1" x14ac:dyDescent="0.35">
      <c r="A19" s="59">
        <f t="shared" si="4"/>
        <v>43773</v>
      </c>
      <c r="B19" s="60"/>
      <c r="C19" s="61">
        <f t="shared" ref="C18:C46" si="5">IF(B20&lt;B19,0,B20-B19)*10</f>
        <v>0</v>
      </c>
      <c r="D19" s="62"/>
      <c r="E19" s="294">
        <f t="shared" si="1"/>
        <v>0</v>
      </c>
      <c r="F19" s="62"/>
      <c r="G19" s="61">
        <f t="shared" ref="G18:G46" si="6">IF(F20&lt;F19,0,F20-F19)</f>
        <v>0</v>
      </c>
      <c r="H19" s="62"/>
      <c r="I19" s="61">
        <f t="shared" si="3"/>
        <v>0</v>
      </c>
    </row>
    <row r="20" spans="1:9" ht="21" thickTop="1" thickBot="1" x14ac:dyDescent="0.35">
      <c r="A20" s="59">
        <f t="shared" si="4"/>
        <v>43774</v>
      </c>
      <c r="B20" s="60"/>
      <c r="C20" s="61">
        <f t="shared" si="5"/>
        <v>0</v>
      </c>
      <c r="D20" s="62"/>
      <c r="E20" s="61">
        <f t="shared" ref="E18:E46" si="7">IF(D21&lt;D20,0,D21-D20)</f>
        <v>0</v>
      </c>
      <c r="F20" s="62"/>
      <c r="G20" s="61">
        <f t="shared" si="6"/>
        <v>0</v>
      </c>
      <c r="H20" s="62"/>
      <c r="I20" s="61">
        <f t="shared" si="3"/>
        <v>0</v>
      </c>
    </row>
    <row r="21" spans="1:9" ht="21" thickTop="1" thickBot="1" x14ac:dyDescent="0.35">
      <c r="A21" s="59">
        <f t="shared" si="4"/>
        <v>43775</v>
      </c>
      <c r="B21" s="60"/>
      <c r="C21" s="61">
        <f t="shared" si="5"/>
        <v>0</v>
      </c>
      <c r="D21" s="62"/>
      <c r="E21" s="61">
        <f t="shared" si="7"/>
        <v>0</v>
      </c>
      <c r="F21" s="62"/>
      <c r="G21" s="61">
        <f t="shared" si="6"/>
        <v>0</v>
      </c>
      <c r="H21" s="62"/>
      <c r="I21" s="61">
        <f t="shared" si="3"/>
        <v>0</v>
      </c>
    </row>
    <row r="22" spans="1:9" ht="21" thickTop="1" thickBot="1" x14ac:dyDescent="0.35">
      <c r="A22" s="59">
        <f t="shared" si="4"/>
        <v>43776</v>
      </c>
      <c r="B22" s="60"/>
      <c r="C22" s="61">
        <f t="shared" si="5"/>
        <v>0</v>
      </c>
      <c r="D22" s="62"/>
      <c r="E22" s="61">
        <f t="shared" si="7"/>
        <v>0</v>
      </c>
      <c r="F22" s="62"/>
      <c r="G22" s="61">
        <f t="shared" si="6"/>
        <v>0</v>
      </c>
      <c r="H22" s="62"/>
      <c r="I22" s="61">
        <f t="shared" si="3"/>
        <v>0</v>
      </c>
    </row>
    <row r="23" spans="1:9" ht="21" thickTop="1" thickBot="1" x14ac:dyDescent="0.35">
      <c r="A23" s="59">
        <f t="shared" si="4"/>
        <v>43777</v>
      </c>
      <c r="B23" s="60"/>
      <c r="C23" s="61">
        <f t="shared" si="5"/>
        <v>0</v>
      </c>
      <c r="D23" s="62"/>
      <c r="E23" s="61">
        <f t="shared" si="7"/>
        <v>0</v>
      </c>
      <c r="F23" s="62"/>
      <c r="G23" s="61">
        <f t="shared" si="6"/>
        <v>0</v>
      </c>
      <c r="H23" s="62"/>
      <c r="I23" s="61">
        <f t="shared" si="3"/>
        <v>0</v>
      </c>
    </row>
    <row r="24" spans="1:9" ht="21" thickTop="1" thickBot="1" x14ac:dyDescent="0.35">
      <c r="A24" s="59">
        <f t="shared" si="4"/>
        <v>43778</v>
      </c>
      <c r="B24" s="60"/>
      <c r="C24" s="61">
        <f t="shared" si="5"/>
        <v>0</v>
      </c>
      <c r="D24" s="62"/>
      <c r="E24" s="61">
        <f t="shared" si="7"/>
        <v>0</v>
      </c>
      <c r="F24" s="62"/>
      <c r="G24" s="61">
        <f t="shared" si="6"/>
        <v>0</v>
      </c>
      <c r="H24" s="62"/>
      <c r="I24" s="61">
        <f t="shared" si="3"/>
        <v>0</v>
      </c>
    </row>
    <row r="25" spans="1:9" ht="21" thickTop="1" thickBot="1" x14ac:dyDescent="0.35">
      <c r="A25" s="59">
        <f t="shared" si="4"/>
        <v>43779</v>
      </c>
      <c r="B25" s="60"/>
      <c r="C25" s="61">
        <f t="shared" si="5"/>
        <v>0</v>
      </c>
      <c r="D25" s="62"/>
      <c r="E25" s="61">
        <f t="shared" si="7"/>
        <v>0</v>
      </c>
      <c r="F25" s="62"/>
      <c r="G25" s="61">
        <f t="shared" si="6"/>
        <v>0</v>
      </c>
      <c r="H25" s="62"/>
      <c r="I25" s="61">
        <f t="shared" si="3"/>
        <v>0</v>
      </c>
    </row>
    <row r="26" spans="1:9" ht="21" thickTop="1" thickBot="1" x14ac:dyDescent="0.35">
      <c r="A26" s="59">
        <f t="shared" si="4"/>
        <v>43780</v>
      </c>
      <c r="B26" s="60"/>
      <c r="C26" s="61">
        <f t="shared" si="5"/>
        <v>0</v>
      </c>
      <c r="D26" s="62"/>
      <c r="E26" s="61">
        <f t="shared" si="7"/>
        <v>0</v>
      </c>
      <c r="F26" s="62"/>
      <c r="G26" s="61">
        <f t="shared" si="6"/>
        <v>0</v>
      </c>
      <c r="H26" s="62"/>
      <c r="I26" s="61">
        <f t="shared" si="3"/>
        <v>0</v>
      </c>
    </row>
    <row r="27" spans="1:9" ht="21" thickTop="1" thickBot="1" x14ac:dyDescent="0.35">
      <c r="A27" s="59">
        <f t="shared" si="4"/>
        <v>43781</v>
      </c>
      <c r="B27" s="60"/>
      <c r="C27" s="61">
        <f t="shared" si="5"/>
        <v>0</v>
      </c>
      <c r="D27" s="62"/>
      <c r="E27" s="61">
        <f t="shared" si="7"/>
        <v>0</v>
      </c>
      <c r="F27" s="62"/>
      <c r="G27" s="61">
        <f t="shared" si="6"/>
        <v>0</v>
      </c>
      <c r="H27" s="62"/>
      <c r="I27" s="61">
        <f t="shared" si="3"/>
        <v>0</v>
      </c>
    </row>
    <row r="28" spans="1:9" ht="21" thickTop="1" thickBot="1" x14ac:dyDescent="0.35">
      <c r="A28" s="59">
        <f t="shared" si="4"/>
        <v>43782</v>
      </c>
      <c r="B28" s="60"/>
      <c r="C28" s="61">
        <f t="shared" si="5"/>
        <v>0</v>
      </c>
      <c r="D28" s="62"/>
      <c r="E28" s="61">
        <f t="shared" si="7"/>
        <v>0</v>
      </c>
      <c r="F28" s="62"/>
      <c r="G28" s="61">
        <f t="shared" si="6"/>
        <v>0</v>
      </c>
      <c r="H28" s="62"/>
      <c r="I28" s="61">
        <f t="shared" si="3"/>
        <v>0</v>
      </c>
    </row>
    <row r="29" spans="1:9" ht="21" thickTop="1" thickBot="1" x14ac:dyDescent="0.35">
      <c r="A29" s="59">
        <f t="shared" si="4"/>
        <v>43783</v>
      </c>
      <c r="B29" s="60"/>
      <c r="C29" s="61">
        <f t="shared" si="5"/>
        <v>0</v>
      </c>
      <c r="D29" s="62"/>
      <c r="E29" s="61">
        <f t="shared" si="7"/>
        <v>0</v>
      </c>
      <c r="F29" s="62"/>
      <c r="G29" s="61">
        <f t="shared" si="6"/>
        <v>0</v>
      </c>
      <c r="H29" s="62"/>
      <c r="I29" s="61">
        <f t="shared" si="3"/>
        <v>0</v>
      </c>
    </row>
    <row r="30" spans="1:9" ht="21" thickTop="1" thickBot="1" x14ac:dyDescent="0.35">
      <c r="A30" s="59">
        <f t="shared" si="4"/>
        <v>43784</v>
      </c>
      <c r="B30" s="60"/>
      <c r="C30" s="61">
        <f t="shared" si="5"/>
        <v>0</v>
      </c>
      <c r="D30" s="62"/>
      <c r="E30" s="61">
        <f t="shared" si="7"/>
        <v>0</v>
      </c>
      <c r="F30" s="62"/>
      <c r="G30" s="61">
        <f t="shared" si="6"/>
        <v>0</v>
      </c>
      <c r="H30" s="62"/>
      <c r="I30" s="61">
        <f t="shared" si="3"/>
        <v>0</v>
      </c>
    </row>
    <row r="31" spans="1:9" ht="21" thickTop="1" thickBot="1" x14ac:dyDescent="0.35">
      <c r="A31" s="59">
        <f>A30+1</f>
        <v>43785</v>
      </c>
      <c r="B31" s="60"/>
      <c r="C31" s="61">
        <f t="shared" si="5"/>
        <v>0</v>
      </c>
      <c r="D31" s="62"/>
      <c r="E31" s="61">
        <f t="shared" si="7"/>
        <v>0</v>
      </c>
      <c r="F31" s="62"/>
      <c r="G31" s="61">
        <f t="shared" si="6"/>
        <v>0</v>
      </c>
      <c r="H31" s="62"/>
      <c r="I31" s="61">
        <f t="shared" si="3"/>
        <v>0</v>
      </c>
    </row>
    <row r="32" spans="1:9" ht="21" thickTop="1" thickBot="1" x14ac:dyDescent="0.35">
      <c r="A32" s="59">
        <f t="shared" si="4"/>
        <v>43786</v>
      </c>
      <c r="B32" s="60"/>
      <c r="C32" s="61">
        <f t="shared" si="5"/>
        <v>0</v>
      </c>
      <c r="D32" s="62"/>
      <c r="E32" s="61">
        <f t="shared" si="7"/>
        <v>0</v>
      </c>
      <c r="F32" s="62"/>
      <c r="G32" s="61">
        <f t="shared" si="6"/>
        <v>0</v>
      </c>
      <c r="H32" s="62"/>
      <c r="I32" s="61">
        <f t="shared" si="3"/>
        <v>0</v>
      </c>
    </row>
    <row r="33" spans="1:9" ht="21" thickTop="1" thickBot="1" x14ac:dyDescent="0.35">
      <c r="A33" s="59">
        <f t="shared" si="4"/>
        <v>43787</v>
      </c>
      <c r="B33" s="60"/>
      <c r="C33" s="61">
        <f t="shared" si="5"/>
        <v>0</v>
      </c>
      <c r="D33" s="62"/>
      <c r="E33" s="61">
        <f t="shared" si="7"/>
        <v>0</v>
      </c>
      <c r="F33" s="62"/>
      <c r="G33" s="61">
        <f t="shared" si="6"/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43788</v>
      </c>
      <c r="B34" s="60"/>
      <c r="C34" s="61">
        <f t="shared" si="5"/>
        <v>0</v>
      </c>
      <c r="D34" s="62"/>
      <c r="E34" s="61">
        <f t="shared" si="7"/>
        <v>0</v>
      </c>
      <c r="F34" s="62"/>
      <c r="G34" s="61">
        <f t="shared" si="6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43789</v>
      </c>
      <c r="B35" s="60"/>
      <c r="C35" s="61">
        <f t="shared" si="5"/>
        <v>0</v>
      </c>
      <c r="D35" s="62"/>
      <c r="E35" s="61">
        <f t="shared" si="7"/>
        <v>0</v>
      </c>
      <c r="F35" s="62"/>
      <c r="G35" s="61">
        <f t="shared" si="6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43790</v>
      </c>
      <c r="B36" s="60"/>
      <c r="C36" s="61">
        <f t="shared" si="5"/>
        <v>0</v>
      </c>
      <c r="D36" s="62"/>
      <c r="E36" s="61">
        <f t="shared" si="7"/>
        <v>0</v>
      </c>
      <c r="F36" s="62"/>
      <c r="G36" s="61">
        <f t="shared" si="6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43791</v>
      </c>
      <c r="B37" s="60"/>
      <c r="C37" s="61">
        <f t="shared" si="5"/>
        <v>0</v>
      </c>
      <c r="D37" s="62"/>
      <c r="E37" s="61">
        <f t="shared" si="7"/>
        <v>0</v>
      </c>
      <c r="F37" s="62"/>
      <c r="G37" s="61">
        <f t="shared" si="6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si="5"/>
        <v>0</v>
      </c>
      <c r="D38" s="62"/>
      <c r="E38" s="61">
        <f t="shared" si="7"/>
        <v>0</v>
      </c>
      <c r="F38" s="62"/>
      <c r="G38" s="61">
        <f t="shared" si="6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7"/>
        <v>0</v>
      </c>
      <c r="F39" s="62"/>
      <c r="G39" s="61">
        <f t="shared" si="6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7"/>
        <v>0</v>
      </c>
      <c r="F40" s="62"/>
      <c r="G40" s="61">
        <f t="shared" si="6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7"/>
        <v>0</v>
      </c>
      <c r="F41" s="62"/>
      <c r="G41" s="61">
        <f t="shared" si="6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7"/>
        <v>0</v>
      </c>
      <c r="F42" s="62"/>
      <c r="G42" s="61">
        <f t="shared" si="6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7"/>
        <v>0</v>
      </c>
      <c r="F43" s="62"/>
      <c r="G43" s="61">
        <f t="shared" si="6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7"/>
        <v>0</v>
      </c>
      <c r="F44" s="62"/>
      <c r="G44" s="61">
        <f t="shared" si="6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7"/>
        <v>0</v>
      </c>
      <c r="F45" s="62"/>
      <c r="G45" s="61">
        <f t="shared" si="6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7"/>
        <v>0</v>
      </c>
      <c r="F46" s="62"/>
      <c r="G46" s="61">
        <f t="shared" si="6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1140</v>
      </c>
      <c r="E48" s="72">
        <f>SUM(E16:E45)</f>
        <v>13430</v>
      </c>
      <c r="F48" s="88"/>
      <c r="G48" s="72">
        <f>SUM(G16:G45)</f>
        <v>19493</v>
      </c>
      <c r="H48" s="88"/>
      <c r="I48" s="72">
        <f>SUM(I16:I45)</f>
        <v>9412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28" priority="2706" stopIfTrue="1" operator="lessThanOrEqual">
      <formula>0</formula>
    </cfRule>
  </conditionalFormatting>
  <conditionalFormatting sqref="C48 E48 G48 I48">
    <cfRule type="cellIs" dxfId="27" priority="2701" stopIfTrue="1" operator="lessThanOrEqual">
      <formula>0</formula>
    </cfRule>
  </conditionalFormatting>
  <conditionalFormatting sqref="C48 E48 G48 I48">
    <cfRule type="cellIs" dxfId="26" priority="2696" stopIfTrue="1" operator="lessThanOrEqual">
      <formula>0</formula>
    </cfRule>
  </conditionalFormatting>
  <conditionalFormatting sqref="C48 E48 G48 I48">
    <cfRule type="cellIs" dxfId="25" priority="2693" stopIfTrue="1" operator="lessThanOrEqual">
      <formula>0</formula>
    </cfRule>
  </conditionalFormatting>
  <conditionalFormatting sqref="C47">
    <cfRule type="cellIs" dxfId="24" priority="264" stopIfTrue="1" operator="lessThanOrEqual">
      <formula>0</formula>
    </cfRule>
  </conditionalFormatting>
  <conditionalFormatting sqref="C47">
    <cfRule type="cellIs" dxfId="23" priority="263" stopIfTrue="1" operator="lessThanOrEqual">
      <formula>0</formula>
    </cfRule>
  </conditionalFormatting>
  <conditionalFormatting sqref="C47">
    <cfRule type="cellIs" dxfId="22" priority="262" stopIfTrue="1" operator="lessThanOrEqual">
      <formula>0</formula>
    </cfRule>
  </conditionalFormatting>
  <conditionalFormatting sqref="C47">
    <cfRule type="cellIs" dxfId="21" priority="261" stopIfTrue="1" operator="lessThanOrEqual">
      <formula>0</formula>
    </cfRule>
  </conditionalFormatting>
  <conditionalFormatting sqref="C19:C46">
    <cfRule type="cellIs" dxfId="20" priority="20" stopIfTrue="1" operator="lessThanOrEqual">
      <formula>0</formula>
    </cfRule>
  </conditionalFormatting>
  <conditionalFormatting sqref="C19:C46">
    <cfRule type="cellIs" dxfId="19" priority="19" stopIfTrue="1" operator="lessThanOrEqual">
      <formula>0</formula>
    </cfRule>
  </conditionalFormatting>
  <conditionalFormatting sqref="C19:C46">
    <cfRule type="cellIs" dxfId="18" priority="18" stopIfTrue="1" operator="lessThanOrEqual">
      <formula>0</formula>
    </cfRule>
  </conditionalFormatting>
  <conditionalFormatting sqref="C19:C46">
    <cfRule type="cellIs" dxfId="17" priority="17" stopIfTrue="1" operator="lessThanOrEqual">
      <formula>0</formula>
    </cfRule>
  </conditionalFormatting>
  <conditionalFormatting sqref="C9">
    <cfRule type="cellIs" dxfId="16" priority="16" stopIfTrue="1" operator="lessThanOrEqual">
      <formula>0</formula>
    </cfRule>
  </conditionalFormatting>
  <conditionalFormatting sqref="C9">
    <cfRule type="cellIs" dxfId="15" priority="15" stopIfTrue="1" operator="lessThanOrEqual">
      <formula>0</formula>
    </cfRule>
  </conditionalFormatting>
  <conditionalFormatting sqref="C9">
    <cfRule type="cellIs" dxfId="14" priority="14" stopIfTrue="1" operator="lessThanOrEqual">
      <formula>0</formula>
    </cfRule>
  </conditionalFormatting>
  <conditionalFormatting sqref="C9">
    <cfRule type="cellIs" dxfId="13" priority="13" stopIfTrue="1" operator="lessThanOrEqual">
      <formula>0</formula>
    </cfRule>
  </conditionalFormatting>
  <conditionalFormatting sqref="C10:C12">
    <cfRule type="cellIs" dxfId="12" priority="12" stopIfTrue="1" operator="lessThanOrEqual">
      <formula>0</formula>
    </cfRule>
  </conditionalFormatting>
  <conditionalFormatting sqref="C10:C12">
    <cfRule type="cellIs" dxfId="11" priority="11" stopIfTrue="1" operator="lessThanOrEqual">
      <formula>0</formula>
    </cfRule>
  </conditionalFormatting>
  <conditionalFormatting sqref="C10:C12">
    <cfRule type="cellIs" dxfId="10" priority="10" stopIfTrue="1" operator="lessThanOrEqual">
      <formula>0</formula>
    </cfRule>
  </conditionalFormatting>
  <conditionalFormatting sqref="C10:C12">
    <cfRule type="cellIs" dxfId="9" priority="9" stopIfTrue="1" operator="lessThanOrEqual">
      <formula>0</formula>
    </cfRule>
  </conditionalFormatting>
  <conditionalFormatting sqref="C13:C14">
    <cfRule type="cellIs" dxfId="8" priority="8" stopIfTrue="1" operator="lessThanOrEqual">
      <formula>0</formula>
    </cfRule>
  </conditionalFormatting>
  <conditionalFormatting sqref="C13:C14">
    <cfRule type="cellIs" dxfId="7" priority="7" stopIfTrue="1" operator="lessThanOrEqual">
      <formula>0</formula>
    </cfRule>
  </conditionalFormatting>
  <conditionalFormatting sqref="C13:C14">
    <cfRule type="cellIs" dxfId="6" priority="6" stopIfTrue="1" operator="lessThanOrEqual">
      <formula>0</formula>
    </cfRule>
  </conditionalFormatting>
  <conditionalFormatting sqref="C13:C14">
    <cfRule type="cellIs" dxfId="5" priority="5" stopIfTrue="1" operator="lessThanOrEqual">
      <formula>0</formula>
    </cfRule>
  </conditionalFormatting>
  <conditionalFormatting sqref="C15:C18">
    <cfRule type="cellIs" dxfId="4" priority="4" stopIfTrue="1" operator="lessThanOrEqual">
      <formula>0</formula>
    </cfRule>
  </conditionalFormatting>
  <conditionalFormatting sqref="C15:C18">
    <cfRule type="cellIs" dxfId="3" priority="3" stopIfTrue="1" operator="lessThanOrEqual">
      <formula>0</formula>
    </cfRule>
  </conditionalFormatting>
  <conditionalFormatting sqref="C15:C18">
    <cfRule type="cellIs" dxfId="2" priority="2" stopIfTrue="1" operator="lessThanOrEqual">
      <formula>0</formula>
    </cfRule>
  </conditionalFormatting>
  <conditionalFormatting sqref="C15:C1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2019-11-03T07:44:15Z</dcterms:modified>
</cp:coreProperties>
</file>