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9" i="7" l="1"/>
  <c r="N9" i="7" l="1"/>
  <c r="N10" i="7"/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BB5" i="7" l="1"/>
  <c r="N5" i="7" l="1"/>
  <c r="N6" i="7"/>
  <c r="N7" i="7"/>
  <c r="N8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AL7" i="6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<sst xmlns="http://schemas.openxmlformats.org/spreadsheetml/2006/main" count="296" uniqueCount="138">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</sst>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9" workbookViewId="0">
      <selection activeCell="P25" sqref="P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 t="e">
        <f>Submetering!E9+Submetering!F9+Submetering!G9+Submetering!H9-Submetering!AV9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 t="str">
        <f>'FS Desroches Daily'!AP10</f>
        <v/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 t="str">
        <f>IF(LPG!F15-LPG!F14&lt;0,"0",(LPG!F15-LPG!F14)*1.8315)</f>
        <v>0</v>
      </c>
      <c r="AY8" s="32" t="str">
        <f>IF(LPG!H15-LPG!H14&lt;0,"0",(LPG!H15-LPG!H14)*1.8315)</f>
        <v>0</v>
      </c>
      <c r="AZ8" s="32" t="str">
        <f>IF(LPG!J15-LPG!J14&lt;0,"0",(LPG!J15-LPG!J14)*1.8315)</f>
        <v>0</v>
      </c>
      <c r="BA8" s="32" t="str">
        <f>IF(LPG!M15-LPG!M14&lt;0,"0",(LPG!M15-LPG!M14)*1.8315)</f>
        <v>0</v>
      </c>
      <c r="BB8" s="32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 t="str">
        <f>'FS Desroches Daily'!D11</f>
        <v>0</v>
      </c>
      <c r="F9" s="33" t="str">
        <f>'FS Desroches Daily'!F11</f>
        <v>0</v>
      </c>
      <c r="G9" s="32" t="str">
        <f>'FS Desroches Daily'!H11</f>
        <v>0</v>
      </c>
      <c r="H9" s="33" t="str">
        <f>'FS Desroches Daily'!J11</f>
        <v>0</v>
      </c>
      <c r="I9" s="32" t="str">
        <f>'FS Desroches Daily'!L11</f>
        <v>0</v>
      </c>
      <c r="J9" s="33" t="str">
        <f>'FS Desroches Daily'!N11</f>
        <v/>
      </c>
      <c r="K9" s="13" t="str">
        <f>'FS Desroches Daily'!P11</f>
        <v/>
      </c>
      <c r="L9" s="32" t="str">
        <f>'FS Desroches Daily'!R11</f>
        <v/>
      </c>
      <c r="M9" s="32" t="str">
        <f>'FS Desroches Daily'!T11</f>
        <v/>
      </c>
      <c r="N9" s="32" t="str">
        <f>'FS Desroches Daily'!V11</f>
        <v/>
      </c>
      <c r="O9" s="32" t="str">
        <f>'FS Desroches Daily'!X11</f>
        <v/>
      </c>
      <c r="P9" s="32" t="str">
        <f>'FS Desroches Daily'!Z11</f>
        <v/>
      </c>
      <c r="Q9" s="32" t="str">
        <f>'FS Desroches Daily'!AB11</f>
        <v/>
      </c>
      <c r="R9" s="32" t="str">
        <f>'FS Desroches Daily'!AD11</f>
        <v/>
      </c>
      <c r="S9" s="32" t="str">
        <f>'FS Desroches Daily'!AF11</f>
        <v/>
      </c>
      <c r="T9" s="32" t="str">
        <f>'FS Desroches Daily'!AH11</f>
        <v/>
      </c>
      <c r="U9" s="36" t="str">
        <f>'FS Desroches Daily'!AJ11</f>
        <v/>
      </c>
      <c r="V9" s="36" t="str">
        <f>'FS Desroches Daily'!AL11</f>
        <v/>
      </c>
      <c r="W9" s="36" t="str">
        <f>'FS Desroches Daily'!AN11</f>
        <v/>
      </c>
      <c r="X9" s="36" t="str">
        <f>'FS Desroches Daily'!AP11</f>
        <v/>
      </c>
      <c r="Y9" s="36" t="str">
        <f>'FS Desroches Daily'!AR11</f>
        <v/>
      </c>
      <c r="Z9" s="36" t="str">
        <f>'FS Desroches Daily'!AT11</f>
        <v/>
      </c>
      <c r="AA9" s="36" t="str">
        <f>'FS Desroches Daily'!AT11</f>
        <v/>
      </c>
      <c r="AB9" s="36" t="str">
        <f>'FS Desroches Daily'!AV11</f>
        <v/>
      </c>
      <c r="AC9" s="36" t="str">
        <f>'FS Desroches Daily'!AZ11</f>
        <v/>
      </c>
      <c r="AD9" s="36" t="str">
        <f>'FS Desroches Daily'!BB11</f>
        <v/>
      </c>
      <c r="AE9" s="36" t="str">
        <f>'FS Desroches Daily'!BD11</f>
        <v/>
      </c>
      <c r="AF9" s="32" t="str">
        <f>'FS Desroches Daily'!BF11</f>
        <v/>
      </c>
      <c r="AG9" s="33" t="str">
        <f>'FS Desroches Daily'!BH11</f>
        <v/>
      </c>
      <c r="AH9" s="33" t="str">
        <f>'FS Desroches Daily'!BJ11</f>
        <v/>
      </c>
      <c r="AI9" s="33" t="str">
        <f>'FS Desroches Daily'!BL11</f>
        <v/>
      </c>
      <c r="AJ9" s="33" t="str">
        <f>'FS Desroches Daily'!BN11</f>
        <v/>
      </c>
      <c r="AK9" s="33" t="str">
        <f>'FS Desroches Daily'!BP11</f>
        <v/>
      </c>
      <c r="AL9" s="33" t="str">
        <f>'FS Desroches Daily'!BR11</f>
        <v/>
      </c>
      <c r="AM9" s="33" t="str">
        <f>'FS Desroches Daily'!BT11</f>
        <v/>
      </c>
      <c r="AN9" s="33" t="str">
        <f>'FS Desroches Daily'!BV11</f>
        <v/>
      </c>
      <c r="AO9" s="33" t="str">
        <f>'FS Desroches Daily'!BX11</f>
        <v/>
      </c>
      <c r="AP9" s="33" t="str">
        <f>'FS Desroches Daily'!BZ11</f>
        <v/>
      </c>
      <c r="AQ9" s="32" t="str">
        <f>'FS Desroches Daily'!CB11</f>
        <v/>
      </c>
      <c r="AR9" s="32" t="str">
        <f>'FS Desroches Daily'!CD11</f>
        <v/>
      </c>
      <c r="AS9" s="32" t="str">
        <f>'FS Desroches Daily'!CF11</f>
        <v/>
      </c>
      <c r="AT9" s="32" t="str">
        <f>'FS Desroches Daily'!CH11</f>
        <v/>
      </c>
      <c r="AU9" s="32" t="str">
        <f>'FS Desroches Daily'!CJ11</f>
        <v/>
      </c>
      <c r="AV9" s="32" t="str">
        <f>'FS Desroches Daily'!CL11</f>
        <v/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11300.000000000087</v>
      </c>
      <c r="F33" s="17">
        <f t="shared" ref="F33:BC33" si="1">SUM(F2:F32)</f>
        <v>6800.0000000001392</v>
      </c>
      <c r="G33" s="17">
        <f t="shared" si="1"/>
        <v>12599.999999999944</v>
      </c>
      <c r="H33" s="17">
        <f t="shared" si="1"/>
        <v>8799.99999999992</v>
      </c>
      <c r="I33" s="17">
        <f t="shared" si="1"/>
        <v>16000.000000000016</v>
      </c>
      <c r="J33" s="17">
        <f t="shared" si="1"/>
        <v>7600.0000000000518</v>
      </c>
      <c r="K33" s="17">
        <f t="shared" si="1"/>
        <v>20</v>
      </c>
      <c r="L33" s="17">
        <f t="shared" si="1"/>
        <v>42</v>
      </c>
      <c r="M33" s="17">
        <f t="shared" si="1"/>
        <v>1465.5999999999767</v>
      </c>
      <c r="N33" s="17">
        <f t="shared" si="1"/>
        <v>959.40000000002328</v>
      </c>
      <c r="O33" s="17">
        <f t="shared" si="1"/>
        <v>1500.0000000000568</v>
      </c>
      <c r="P33" s="17">
        <f t="shared" si="1"/>
        <v>4399.99999999996</v>
      </c>
      <c r="Q33" s="17">
        <f t="shared" si="1"/>
        <v>720.00000000002728</v>
      </c>
      <c r="R33" s="17">
        <f t="shared" si="1"/>
        <v>2290.0000000000205</v>
      </c>
      <c r="S33" s="17">
        <f t="shared" si="1"/>
        <v>3899.9999999999773</v>
      </c>
      <c r="T33" s="17">
        <f t="shared" si="1"/>
        <v>7</v>
      </c>
      <c r="U33" s="36">
        <f t="shared" si="1"/>
        <v>2070.00000000005</v>
      </c>
      <c r="V33" s="36">
        <f t="shared" si="1"/>
        <v>1.2299999999999898</v>
      </c>
      <c r="W33" s="36">
        <f t="shared" si="1"/>
        <v>0.92000000000001592</v>
      </c>
      <c r="X33" s="36">
        <f t="shared" si="1"/>
        <v>0.75999999999999091</v>
      </c>
      <c r="Y33" s="36">
        <f t="shared" si="1"/>
        <v>710.00000000000796</v>
      </c>
      <c r="Z33" s="36">
        <f t="shared" si="1"/>
        <v>769.99999999998181</v>
      </c>
      <c r="AA33" s="36">
        <f t="shared" si="1"/>
        <v>769.99999999998181</v>
      </c>
      <c r="AB33" s="36">
        <f t="shared" si="1"/>
        <v>720.00000000002728</v>
      </c>
      <c r="AC33" s="36">
        <f t="shared" si="1"/>
        <v>699.99999999998863</v>
      </c>
      <c r="AD33" s="36">
        <f t="shared" si="1"/>
        <v>579.99999999998408</v>
      </c>
      <c r="AE33" s="36">
        <f t="shared" si="1"/>
        <v>79.999999999984084</v>
      </c>
      <c r="AF33" s="17">
        <f t="shared" si="1"/>
        <v>242</v>
      </c>
      <c r="AG33" s="33">
        <f t="shared" si="1"/>
        <v>240.00000000000909</v>
      </c>
      <c r="AH33" s="33">
        <f t="shared" si="1"/>
        <v>270.00000000003865</v>
      </c>
      <c r="AI33" s="33">
        <f t="shared" si="1"/>
        <v>239.99999999998067</v>
      </c>
      <c r="AJ33" s="33">
        <f t="shared" si="1"/>
        <v>289.99999999999204</v>
      </c>
      <c r="AK33" s="33">
        <f t="shared" si="1"/>
        <v>339.99999999997499</v>
      </c>
      <c r="AL33" s="33">
        <f t="shared" si="1"/>
        <v>178</v>
      </c>
      <c r="AM33" s="33">
        <f t="shared" si="1"/>
        <v>189.99999999999773</v>
      </c>
      <c r="AN33" s="33">
        <f t="shared" si="1"/>
        <v>175</v>
      </c>
      <c r="AO33" s="33">
        <f t="shared" si="1"/>
        <v>240.00000000000909</v>
      </c>
      <c r="AP33" s="33">
        <f t="shared" si="1"/>
        <v>261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439.5</v>
      </c>
      <c r="AU33" s="17">
        <f t="shared" si="1"/>
        <v>1622</v>
      </c>
      <c r="AV33" s="17">
        <f t="shared" si="1"/>
        <v>2870.0000000000045</v>
      </c>
      <c r="AW33" s="17">
        <f t="shared" si="1"/>
        <v>200.3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51.281999999999996</v>
      </c>
      <c r="BC33" s="17">
        <f t="shared" si="1"/>
        <v>0</v>
      </c>
    </row>
    <row r="35" spans="5:55" x14ac:dyDescent="0.25">
      <c r="E35" s="39">
        <f>E33/E37</f>
        <v>0.29551754798891278</v>
      </c>
      <c r="G35" s="30">
        <f>G33-M36</f>
        <v>10174.999999999944</v>
      </c>
      <c r="AE35" s="36">
        <f>SUM(U33:AE33)</f>
        <v>6402.9100000000053</v>
      </c>
      <c r="AG35" s="33">
        <f>SUM(AG33:AP33)</f>
        <v>2424.0000000000023</v>
      </c>
    </row>
    <row r="36" spans="5:55" x14ac:dyDescent="0.25">
      <c r="G36" s="30">
        <f>G35-633*14</f>
        <v>1312.9999999999436</v>
      </c>
      <c r="M36" s="30">
        <f>M33+N33</f>
        <v>2425</v>
      </c>
    </row>
    <row r="37" spans="5:55" x14ac:dyDescent="0.25">
      <c r="E37" s="17">
        <f>E33+F33+G33+H33+J33-633*14</f>
        <v>38238.000000000138</v>
      </c>
      <c r="G37" s="38">
        <f>M36/E37</f>
        <v>6.3418588838328141E-2</v>
      </c>
      <c r="M37" s="36">
        <f>AE35</f>
        <v>6402.9100000000053</v>
      </c>
    </row>
    <row r="38" spans="5:55" x14ac:dyDescent="0.25">
      <c r="L38" s="28">
        <f>M38/E37</f>
        <v>6.3392436842930944E-2</v>
      </c>
      <c r="M38" s="30">
        <f>AG35</f>
        <v>2424.0000000000023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BO1" zoomScale="60" zoomScaleNormal="60" workbookViewId="0">
      <pane ySplit="1" topLeftCell="A2" activePane="bottomLeft" state="frozen"/>
      <selection pane="bottomLeft" activeCell="R15" sqref="R15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42"/>
        <v>1600.0000000000459</v>
      </c>
      <c r="E9" s="60">
        <v>2.6886000000000001</v>
      </c>
      <c r="F9" s="66">
        <f t="shared" si="43"/>
        <v>999.99999999988984</v>
      </c>
      <c r="G9" s="60">
        <v>2.5085999999999999</v>
      </c>
      <c r="H9" s="66">
        <f t="shared" si="44"/>
        <v>1799.9999999998017</v>
      </c>
      <c r="I9" s="60">
        <v>1.2013</v>
      </c>
      <c r="J9" s="66">
        <f t="shared" ref="J9:J34" si="85">IF((I9-I8&lt;0), "0",(I9-I8)*1000000)</f>
        <v>1200.0000000000898</v>
      </c>
      <c r="K9" s="60">
        <v>1.845</v>
      </c>
      <c r="L9" s="66">
        <f t="shared" si="45"/>
        <v>2299.9999999999686</v>
      </c>
      <c r="M9" s="60">
        <v>1.1760999999999999</v>
      </c>
      <c r="N9" s="66">
        <f t="shared" si="46"/>
        <v>1199.9999999998679</v>
      </c>
      <c r="O9" s="60">
        <v>12541</v>
      </c>
      <c r="P9" s="67">
        <f>IF((O9-O8&lt;0), "0",O9-O8)</f>
        <v>0</v>
      </c>
      <c r="Q9" s="60">
        <v>5305</v>
      </c>
      <c r="R9" s="67">
        <f>IF((Q9-Q8&lt;0), "0",Q9-Q8)</f>
        <v>6</v>
      </c>
      <c r="S9" s="60">
        <v>826806.3</v>
      </c>
      <c r="T9" s="67">
        <f>IF((S9-S8&lt;0), "0",S9-S8)</f>
        <v>243.70000000006985</v>
      </c>
      <c r="U9" s="60">
        <v>335504.90000000002</v>
      </c>
      <c r="V9" s="67">
        <f>IF((U9-U8&lt;0), "0",U9-U8)</f>
        <v>168.60000000003492</v>
      </c>
      <c r="W9" s="60">
        <v>327.89</v>
      </c>
      <c r="X9" s="67">
        <f t="shared" si="65"/>
        <v>209.99999999997954</v>
      </c>
      <c r="Y9" s="60">
        <v>2.3763000000000001</v>
      </c>
      <c r="Z9" s="67">
        <f t="shared" si="66"/>
        <v>599.99999999993395</v>
      </c>
      <c r="AA9" s="60">
        <v>324.56</v>
      </c>
      <c r="AB9" s="67">
        <f t="shared" si="67"/>
        <v>100.00000000002274</v>
      </c>
      <c r="AC9" s="60">
        <v>300.95999999999998</v>
      </c>
      <c r="AD9" s="67">
        <f t="shared" si="68"/>
        <v>329.99999999998408</v>
      </c>
      <c r="AE9" s="60">
        <v>470.3</v>
      </c>
      <c r="AF9" s="67">
        <f t="shared" si="69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70"/>
        <v>279.99999999997272</v>
      </c>
      <c r="AK9" s="60">
        <v>146.80000000000001</v>
      </c>
      <c r="AL9" s="67">
        <f>IF((AK9-AK8&lt;0), "0",AK9-AK8)</f>
        <v>0.17000000000001592</v>
      </c>
      <c r="AM9" s="60">
        <v>147.35</v>
      </c>
      <c r="AN9" s="67">
        <f>IF((AM9-AM8&lt;0), "0",AM9-AM8)</f>
        <v>0.15000000000000568</v>
      </c>
      <c r="AO9" s="60">
        <v>143.82</v>
      </c>
      <c r="AP9" s="67">
        <f t="shared" si="54"/>
        <v>0.15999999999999659</v>
      </c>
      <c r="AQ9" s="60">
        <v>215.09</v>
      </c>
      <c r="AR9" s="67">
        <f t="shared" si="71"/>
        <v>110.00000000001364</v>
      </c>
      <c r="AS9" s="60">
        <v>341.67</v>
      </c>
      <c r="AT9" s="67">
        <f t="shared" si="72"/>
        <v>110.00000000001364</v>
      </c>
      <c r="AU9" s="60">
        <v>263.61</v>
      </c>
      <c r="AV9" s="67">
        <f t="shared" si="73"/>
        <v>100.00000000002274</v>
      </c>
      <c r="AW9" s="60">
        <v>291.11</v>
      </c>
      <c r="AX9" s="67">
        <f t="shared" si="74"/>
        <v>80.000000000040927</v>
      </c>
      <c r="AY9" s="60">
        <v>342.14</v>
      </c>
      <c r="AZ9" s="67">
        <f t="shared" si="75"/>
        <v>99.999999999965894</v>
      </c>
      <c r="BA9" s="60">
        <v>362.29</v>
      </c>
      <c r="BB9" s="67">
        <f t="shared" si="76"/>
        <v>80.000000000040927</v>
      </c>
      <c r="BC9" s="60">
        <v>203.24</v>
      </c>
      <c r="BD9" s="67">
        <f t="shared" si="77"/>
        <v>10.000000000019327</v>
      </c>
      <c r="BE9" s="61">
        <v>28101</v>
      </c>
      <c r="BF9" s="67">
        <f t="shared" si="55"/>
        <v>33</v>
      </c>
      <c r="BG9" s="62">
        <v>223.63</v>
      </c>
      <c r="BH9" s="67">
        <f t="shared" si="78"/>
        <v>39.999999999992042</v>
      </c>
      <c r="BI9" s="62">
        <v>281.27</v>
      </c>
      <c r="BJ9" s="67">
        <f t="shared" si="79"/>
        <v>39.99999999996362</v>
      </c>
      <c r="BK9" s="62">
        <v>229.23</v>
      </c>
      <c r="BL9" s="67">
        <f t="shared" si="80"/>
        <v>39.999999999992042</v>
      </c>
      <c r="BM9" s="62">
        <v>212.22</v>
      </c>
      <c r="BN9" s="67">
        <f t="shared" si="81"/>
        <v>50.000000000011369</v>
      </c>
      <c r="BO9" s="62">
        <v>276.52</v>
      </c>
      <c r="BP9" s="67">
        <f t="shared" si="82"/>
        <v>39.99999999996362</v>
      </c>
      <c r="BQ9" s="62">
        <v>38143</v>
      </c>
      <c r="BR9" s="67">
        <f t="shared" si="56"/>
        <v>26</v>
      </c>
      <c r="BS9" s="62">
        <v>192.5</v>
      </c>
      <c r="BT9" s="67">
        <f t="shared" si="83"/>
        <v>30.000000000001137</v>
      </c>
      <c r="BU9" s="62">
        <v>29135</v>
      </c>
      <c r="BV9" s="67">
        <f t="shared" si="57"/>
        <v>26</v>
      </c>
      <c r="BW9" s="62">
        <v>222.55</v>
      </c>
      <c r="BX9" s="67">
        <f t="shared" si="84"/>
        <v>40.000000000020464</v>
      </c>
      <c r="BY9" s="62">
        <v>47674</v>
      </c>
      <c r="BZ9" s="67">
        <f t="shared" si="58"/>
        <v>40</v>
      </c>
      <c r="CA9" s="62">
        <v>27500.7</v>
      </c>
      <c r="CB9" s="67">
        <f t="shared" si="59"/>
        <v>0</v>
      </c>
      <c r="CC9" s="62">
        <v>11250.4</v>
      </c>
      <c r="CD9" s="67">
        <f t="shared" si="60"/>
        <v>0</v>
      </c>
      <c r="CE9" s="62">
        <v>5487.5</v>
      </c>
      <c r="CF9" s="67">
        <f t="shared" si="61"/>
        <v>0</v>
      </c>
      <c r="CG9" s="62">
        <v>43782.2</v>
      </c>
      <c r="CH9" s="67">
        <f t="shared" si="62"/>
        <v>64.899999999994179</v>
      </c>
      <c r="CI9" s="62">
        <v>851086</v>
      </c>
      <c r="CJ9" s="67">
        <f t="shared" si="63"/>
        <v>248</v>
      </c>
      <c r="CK9" s="62">
        <v>557.32000000000005</v>
      </c>
      <c r="CL9" s="66">
        <f>IF((CK9-CK8&lt;0), "0",(CK9-CK8)*1000)</f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42"/>
        <v>1700.0000000000348</v>
      </c>
      <c r="E10" s="60">
        <v>2.6896</v>
      </c>
      <c r="F10" s="66">
        <f t="shared" si="43"/>
        <v>999.99999999988984</v>
      </c>
      <c r="G10" s="60">
        <v>2.5105</v>
      </c>
      <c r="H10" s="66">
        <f t="shared" si="44"/>
        <v>1900.0000000000127</v>
      </c>
      <c r="I10" s="60">
        <v>1.2025999999999999</v>
      </c>
      <c r="J10" s="66">
        <f t="shared" si="85"/>
        <v>1299.9999999998568</v>
      </c>
      <c r="K10" s="60">
        <v>1.8472999999999999</v>
      </c>
      <c r="L10" s="66">
        <f t="shared" si="45"/>
        <v>2299.9999999999686</v>
      </c>
      <c r="M10" s="60">
        <v>1.1771</v>
      </c>
      <c r="N10" s="66">
        <f t="shared" si="46"/>
        <v>1000.0000000001119</v>
      </c>
      <c r="O10" s="60">
        <v>12561</v>
      </c>
      <c r="P10" s="67">
        <f t="shared" si="47"/>
        <v>20</v>
      </c>
      <c r="Q10" s="60">
        <v>5311</v>
      </c>
      <c r="R10" s="67">
        <f t="shared" si="48"/>
        <v>6</v>
      </c>
      <c r="S10" s="60">
        <v>827079.6</v>
      </c>
      <c r="T10" s="66">
        <f t="shared" si="49"/>
        <v>273.29999999993015</v>
      </c>
      <c r="U10" s="60">
        <v>335690.4</v>
      </c>
      <c r="V10" s="67">
        <f t="shared" si="50"/>
        <v>185.5</v>
      </c>
      <c r="W10" s="60">
        <v>328.11</v>
      </c>
      <c r="X10" s="67">
        <f t="shared" si="65"/>
        <v>220.00000000002728</v>
      </c>
      <c r="Y10" s="60">
        <v>2.3769999999999998</v>
      </c>
      <c r="Z10" s="67">
        <f t="shared" si="66"/>
        <v>699.99999999970089</v>
      </c>
      <c r="AA10" s="60">
        <v>324.67</v>
      </c>
      <c r="AB10" s="67">
        <f t="shared" si="67"/>
        <v>110.00000000001364</v>
      </c>
      <c r="AC10" s="60">
        <v>301.29000000000002</v>
      </c>
      <c r="AD10" s="67">
        <f t="shared" si="68"/>
        <v>330.00000000004093</v>
      </c>
      <c r="AE10" s="60">
        <v>470.82</v>
      </c>
      <c r="AF10" s="67">
        <f t="shared" si="69"/>
        <v>519.99999999998181</v>
      </c>
      <c r="AG10" s="60">
        <v>1202.7</v>
      </c>
      <c r="AH10" s="67">
        <f t="shared" si="51"/>
        <v>1.2000000000000455</v>
      </c>
      <c r="AI10" s="60">
        <v>411.35</v>
      </c>
      <c r="AJ10" s="67">
        <f t="shared" si="70"/>
        <v>280.00000000002956</v>
      </c>
      <c r="AK10" s="60">
        <v>146.97999999999999</v>
      </c>
      <c r="AL10" s="67">
        <f t="shared" si="52"/>
        <v>0.1799999999999784</v>
      </c>
      <c r="AM10" s="60">
        <v>147.49</v>
      </c>
      <c r="AN10" s="67">
        <f t="shared" si="53"/>
        <v>0.14000000000001478</v>
      </c>
      <c r="AO10" s="60">
        <v>143.35</v>
      </c>
      <c r="AP10" s="67" t="str">
        <f t="shared" si="54"/>
        <v/>
      </c>
      <c r="AQ10" s="60">
        <v>215.21</v>
      </c>
      <c r="AR10" s="67">
        <f t="shared" si="71"/>
        <v>120.00000000000455</v>
      </c>
      <c r="AS10" s="60">
        <v>341.78</v>
      </c>
      <c r="AT10" s="67">
        <f t="shared" si="72"/>
        <v>109.9999999999568</v>
      </c>
      <c r="AU10" s="60">
        <v>263.72000000000003</v>
      </c>
      <c r="AV10" s="67">
        <f t="shared" si="73"/>
        <v>110.00000000001364</v>
      </c>
      <c r="AW10" s="60">
        <v>291.20999999999998</v>
      </c>
      <c r="AX10" s="67">
        <f t="shared" si="74"/>
        <v>99.999999999965894</v>
      </c>
      <c r="AY10" s="60">
        <v>342.24</v>
      </c>
      <c r="AZ10" s="67">
        <f t="shared" si="75"/>
        <v>100.00000000002274</v>
      </c>
      <c r="BA10" s="60">
        <v>362.37</v>
      </c>
      <c r="BB10" s="67">
        <f t="shared" si="76"/>
        <v>79.999999999984084</v>
      </c>
      <c r="BC10" s="60">
        <v>203.26</v>
      </c>
      <c r="BD10" s="67">
        <f t="shared" si="77"/>
        <v>19.99999999998181</v>
      </c>
      <c r="BE10" s="61">
        <v>28141</v>
      </c>
      <c r="BF10" s="67">
        <f t="shared" si="55"/>
        <v>40</v>
      </c>
      <c r="BG10" s="62">
        <v>223.66</v>
      </c>
      <c r="BH10" s="67">
        <f t="shared" si="78"/>
        <v>30.000000000001137</v>
      </c>
      <c r="BI10" s="62">
        <v>281.3</v>
      </c>
      <c r="BJ10" s="67">
        <f t="shared" si="79"/>
        <v>30.000000000029559</v>
      </c>
      <c r="BK10" s="62">
        <v>229.26</v>
      </c>
      <c r="BL10" s="67">
        <f t="shared" si="80"/>
        <v>30.000000000001137</v>
      </c>
      <c r="BM10" s="62">
        <v>212.25</v>
      </c>
      <c r="BN10" s="67">
        <f t="shared" si="81"/>
        <v>30.000000000001137</v>
      </c>
      <c r="BO10" s="62">
        <v>276.57</v>
      </c>
      <c r="BP10" s="67">
        <f t="shared" si="82"/>
        <v>50.000000000011369</v>
      </c>
      <c r="BQ10" s="62">
        <v>38166</v>
      </c>
      <c r="BR10" s="67">
        <f t="shared" si="56"/>
        <v>23</v>
      </c>
      <c r="BS10" s="62">
        <v>192.53</v>
      </c>
      <c r="BT10" s="67">
        <f t="shared" si="83"/>
        <v>30.000000000001137</v>
      </c>
      <c r="BU10" s="62">
        <v>29160</v>
      </c>
      <c r="BV10" s="67">
        <f t="shared" si="57"/>
        <v>25</v>
      </c>
      <c r="BW10" s="62">
        <v>222.58</v>
      </c>
      <c r="BX10" s="67">
        <f t="shared" si="84"/>
        <v>30.000000000001137</v>
      </c>
      <c r="BY10" s="62">
        <v>47709</v>
      </c>
      <c r="BZ10" s="67">
        <f t="shared" si="58"/>
        <v>35</v>
      </c>
      <c r="CA10" s="62">
        <v>27500.7</v>
      </c>
      <c r="CB10" s="67">
        <f t="shared" si="59"/>
        <v>0</v>
      </c>
      <c r="CC10" s="62">
        <v>11250.4</v>
      </c>
      <c r="CD10" s="67">
        <f t="shared" si="60"/>
        <v>0</v>
      </c>
      <c r="CE10" s="62">
        <v>5487.5</v>
      </c>
      <c r="CF10" s="67">
        <f t="shared" si="61"/>
        <v>0</v>
      </c>
      <c r="CG10" s="62">
        <v>43837.1</v>
      </c>
      <c r="CH10" s="67">
        <f t="shared" si="62"/>
        <v>54.900000000001455</v>
      </c>
      <c r="CI10" s="62">
        <v>851315</v>
      </c>
      <c r="CJ10" s="67">
        <f t="shared" si="63"/>
        <v>229</v>
      </c>
      <c r="CK10" s="62">
        <v>557.83000000000004</v>
      </c>
      <c r="CL10" s="66">
        <f t="shared" si="64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/>
      <c r="D11" s="66" t="str">
        <f t="shared" si="42"/>
        <v>0</v>
      </c>
      <c r="E11" s="60"/>
      <c r="F11" s="66" t="str">
        <f t="shared" si="43"/>
        <v>0</v>
      </c>
      <c r="G11" s="60"/>
      <c r="H11" s="66" t="str">
        <f t="shared" si="44"/>
        <v>0</v>
      </c>
      <c r="I11" s="60"/>
      <c r="J11" s="66" t="str">
        <f t="shared" si="85"/>
        <v>0</v>
      </c>
      <c r="K11" s="60"/>
      <c r="L11" s="66" t="str">
        <f t="shared" si="45"/>
        <v>0</v>
      </c>
      <c r="M11" s="60"/>
      <c r="N11" s="66" t="str">
        <f t="shared" si="46"/>
        <v/>
      </c>
      <c r="O11" s="60"/>
      <c r="P11" s="67" t="str">
        <f t="shared" si="47"/>
        <v/>
      </c>
      <c r="Q11" s="60"/>
      <c r="R11" s="67" t="str">
        <f t="shared" si="48"/>
        <v/>
      </c>
      <c r="S11" s="60"/>
      <c r="T11" s="66" t="str">
        <f t="shared" si="49"/>
        <v/>
      </c>
      <c r="U11" s="60"/>
      <c r="V11" s="67" t="str">
        <f t="shared" si="50"/>
        <v/>
      </c>
      <c r="W11" s="60"/>
      <c r="X11" s="67" t="str">
        <f t="shared" si="65"/>
        <v/>
      </c>
      <c r="Y11" s="60"/>
      <c r="Z11" s="67" t="str">
        <f t="shared" si="66"/>
        <v/>
      </c>
      <c r="AA11" s="60"/>
      <c r="AB11" s="67" t="str">
        <f t="shared" si="67"/>
        <v/>
      </c>
      <c r="AC11" s="60"/>
      <c r="AD11" s="67" t="str">
        <f t="shared" si="68"/>
        <v/>
      </c>
      <c r="AE11" s="60"/>
      <c r="AF11" s="67" t="str">
        <f t="shared" si="69"/>
        <v/>
      </c>
      <c r="AG11" s="60"/>
      <c r="AH11" s="67" t="str">
        <f t="shared" si="51"/>
        <v/>
      </c>
      <c r="AI11" s="60"/>
      <c r="AJ11" s="67" t="str">
        <f t="shared" si="70"/>
        <v/>
      </c>
      <c r="AK11" s="60"/>
      <c r="AL11" s="67" t="str">
        <f t="shared" si="52"/>
        <v/>
      </c>
      <c r="AM11" s="60"/>
      <c r="AN11" s="67" t="str">
        <f t="shared" si="53"/>
        <v/>
      </c>
      <c r="AO11" s="60"/>
      <c r="AP11" s="67" t="str">
        <f t="shared" si="54"/>
        <v/>
      </c>
      <c r="AQ11" s="60"/>
      <c r="AR11" s="67" t="str">
        <f t="shared" si="71"/>
        <v/>
      </c>
      <c r="AS11" s="60"/>
      <c r="AT11" s="67" t="str">
        <f t="shared" si="72"/>
        <v/>
      </c>
      <c r="AU11" s="60"/>
      <c r="AV11" s="67" t="str">
        <f t="shared" si="73"/>
        <v/>
      </c>
      <c r="AW11" s="60"/>
      <c r="AX11" s="67" t="str">
        <f t="shared" si="74"/>
        <v/>
      </c>
      <c r="AY11" s="60"/>
      <c r="AZ11" s="67" t="str">
        <f t="shared" si="75"/>
        <v/>
      </c>
      <c r="BA11" s="60"/>
      <c r="BB11" s="67" t="str">
        <f t="shared" si="76"/>
        <v/>
      </c>
      <c r="BC11" s="60"/>
      <c r="BD11" s="67" t="str">
        <f t="shared" si="77"/>
        <v/>
      </c>
      <c r="BE11" s="61"/>
      <c r="BF11" s="67" t="str">
        <f t="shared" si="55"/>
        <v/>
      </c>
      <c r="BG11" s="62"/>
      <c r="BH11" s="67" t="str">
        <f t="shared" si="78"/>
        <v/>
      </c>
      <c r="BI11" s="62"/>
      <c r="BJ11" s="67" t="str">
        <f t="shared" si="79"/>
        <v/>
      </c>
      <c r="BK11" s="62"/>
      <c r="BL11" s="67" t="str">
        <f t="shared" si="80"/>
        <v/>
      </c>
      <c r="BM11" s="62"/>
      <c r="BN11" s="67" t="str">
        <f t="shared" si="81"/>
        <v/>
      </c>
      <c r="BO11" s="62"/>
      <c r="BP11" s="67" t="str">
        <f t="shared" si="82"/>
        <v/>
      </c>
      <c r="BQ11" s="62"/>
      <c r="BR11" s="67" t="str">
        <f t="shared" si="56"/>
        <v/>
      </c>
      <c r="BS11" s="62"/>
      <c r="BT11" s="67" t="str">
        <f t="shared" si="83"/>
        <v/>
      </c>
      <c r="BU11" s="62"/>
      <c r="BV11" s="67" t="str">
        <f t="shared" si="57"/>
        <v/>
      </c>
      <c r="BW11" s="62"/>
      <c r="BX11" s="67" t="str">
        <f t="shared" si="84"/>
        <v/>
      </c>
      <c r="BY11" s="62"/>
      <c r="BZ11" s="67" t="str">
        <f t="shared" si="58"/>
        <v/>
      </c>
      <c r="CA11" s="62"/>
      <c r="CB11" s="67" t="str">
        <f t="shared" si="59"/>
        <v/>
      </c>
      <c r="CC11" s="62"/>
      <c r="CD11" s="67" t="str">
        <f t="shared" si="60"/>
        <v/>
      </c>
      <c r="CE11" s="62"/>
      <c r="CF11" s="67" t="str">
        <f t="shared" si="61"/>
        <v/>
      </c>
      <c r="CG11" s="62"/>
      <c r="CH11" s="67" t="str">
        <f t="shared" si="62"/>
        <v/>
      </c>
      <c r="CI11" s="62"/>
      <c r="CJ11" s="67" t="str">
        <f t="shared" si="63"/>
        <v/>
      </c>
      <c r="CK11" s="62"/>
      <c r="CL11" s="66" t="str">
        <f t="shared" si="64"/>
        <v/>
      </c>
      <c r="CM11" s="67"/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/>
      <c r="D12" s="66">
        <f t="shared" si="42"/>
        <v>0</v>
      </c>
      <c r="E12" s="60"/>
      <c r="F12" s="66">
        <f t="shared" si="43"/>
        <v>0</v>
      </c>
      <c r="G12" s="60"/>
      <c r="H12" s="66">
        <f t="shared" si="44"/>
        <v>0</v>
      </c>
      <c r="I12" s="60"/>
      <c r="J12" s="66">
        <f t="shared" si="85"/>
        <v>0</v>
      </c>
      <c r="K12" s="60"/>
      <c r="L12" s="66">
        <f t="shared" si="45"/>
        <v>0</v>
      </c>
      <c r="M12" s="60"/>
      <c r="N12" s="66">
        <f t="shared" si="46"/>
        <v>0</v>
      </c>
      <c r="O12" s="60"/>
      <c r="P12" s="67">
        <f t="shared" si="47"/>
        <v>0</v>
      </c>
      <c r="Q12" s="60"/>
      <c r="R12" s="67">
        <f t="shared" si="48"/>
        <v>0</v>
      </c>
      <c r="S12" s="60"/>
      <c r="T12" s="67">
        <f t="shared" ref="T12:T34" si="86">IF((S12-S11&lt;0), "",S12-S11)</f>
        <v>0</v>
      </c>
      <c r="U12" s="60"/>
      <c r="V12" s="67">
        <f t="shared" si="50"/>
        <v>0</v>
      </c>
      <c r="W12" s="60"/>
      <c r="X12" s="67">
        <f t="shared" si="65"/>
        <v>0</v>
      </c>
      <c r="Y12" s="60"/>
      <c r="Z12" s="67">
        <f t="shared" si="66"/>
        <v>0</v>
      </c>
      <c r="AA12" s="60"/>
      <c r="AB12" s="67">
        <f t="shared" si="67"/>
        <v>0</v>
      </c>
      <c r="AC12" s="60"/>
      <c r="AD12" s="67">
        <f t="shared" si="68"/>
        <v>0</v>
      </c>
      <c r="AE12" s="60"/>
      <c r="AF12" s="67">
        <f t="shared" si="69"/>
        <v>0</v>
      </c>
      <c r="AG12" s="60"/>
      <c r="AH12" s="67">
        <f t="shared" si="51"/>
        <v>0</v>
      </c>
      <c r="AI12" s="60"/>
      <c r="AJ12" s="67">
        <f t="shared" si="70"/>
        <v>0</v>
      </c>
      <c r="AK12" s="60"/>
      <c r="AL12" s="67">
        <f t="shared" si="52"/>
        <v>0</v>
      </c>
      <c r="AM12" s="60"/>
      <c r="AN12" s="67">
        <f t="shared" si="53"/>
        <v>0</v>
      </c>
      <c r="AO12" s="60"/>
      <c r="AP12" s="67">
        <f t="shared" si="54"/>
        <v>0</v>
      </c>
      <c r="AQ12" s="60"/>
      <c r="AR12" s="67">
        <f t="shared" si="71"/>
        <v>0</v>
      </c>
      <c r="AS12" s="60"/>
      <c r="AT12" s="67">
        <f t="shared" si="72"/>
        <v>0</v>
      </c>
      <c r="AU12" s="60"/>
      <c r="AV12" s="67">
        <f t="shared" si="73"/>
        <v>0</v>
      </c>
      <c r="AW12" s="60"/>
      <c r="AX12" s="67">
        <f t="shared" si="74"/>
        <v>0</v>
      </c>
      <c r="AY12" s="60"/>
      <c r="AZ12" s="67">
        <f t="shared" si="75"/>
        <v>0</v>
      </c>
      <c r="BA12" s="60"/>
      <c r="BB12" s="67">
        <f t="shared" si="76"/>
        <v>0</v>
      </c>
      <c r="BC12" s="60"/>
      <c r="BD12" s="67">
        <f t="shared" si="77"/>
        <v>0</v>
      </c>
      <c r="BE12" s="61"/>
      <c r="BF12" s="67">
        <f t="shared" si="55"/>
        <v>0</v>
      </c>
      <c r="BG12" s="62"/>
      <c r="BH12" s="67">
        <f t="shared" si="78"/>
        <v>0</v>
      </c>
      <c r="BI12" s="62"/>
      <c r="BJ12" s="67">
        <f t="shared" si="79"/>
        <v>0</v>
      </c>
      <c r="BK12" s="62"/>
      <c r="BL12" s="67">
        <f t="shared" si="80"/>
        <v>0</v>
      </c>
      <c r="BM12" s="62"/>
      <c r="BN12" s="67">
        <f t="shared" si="81"/>
        <v>0</v>
      </c>
      <c r="BO12" s="62"/>
      <c r="BP12" s="67">
        <f t="shared" si="82"/>
        <v>0</v>
      </c>
      <c r="BQ12" s="62"/>
      <c r="BR12" s="67">
        <f t="shared" si="56"/>
        <v>0</v>
      </c>
      <c r="BS12" s="62"/>
      <c r="BT12" s="67">
        <f t="shared" si="83"/>
        <v>0</v>
      </c>
      <c r="BU12" s="62"/>
      <c r="BV12" s="67">
        <f t="shared" si="57"/>
        <v>0</v>
      </c>
      <c r="BW12" s="62"/>
      <c r="BX12" s="67">
        <f t="shared" si="84"/>
        <v>0</v>
      </c>
      <c r="BY12" s="62"/>
      <c r="BZ12" s="67">
        <f t="shared" si="58"/>
        <v>0</v>
      </c>
      <c r="CA12" s="62"/>
      <c r="CB12" s="67">
        <f t="shared" si="59"/>
        <v>0</v>
      </c>
      <c r="CC12" s="62"/>
      <c r="CD12" s="67">
        <f t="shared" si="60"/>
        <v>0</v>
      </c>
      <c r="CE12" s="62"/>
      <c r="CF12" s="67">
        <f t="shared" si="61"/>
        <v>0</v>
      </c>
      <c r="CG12" s="62"/>
      <c r="CH12" s="67">
        <f t="shared" si="62"/>
        <v>0</v>
      </c>
      <c r="CI12" s="62"/>
      <c r="CJ12" s="67">
        <f t="shared" si="63"/>
        <v>0</v>
      </c>
      <c r="CK12" s="62"/>
      <c r="CL12" s="66">
        <f t="shared" si="64"/>
        <v>0</v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/>
      <c r="D13" s="66">
        <f t="shared" si="42"/>
        <v>0</v>
      </c>
      <c r="E13" s="60"/>
      <c r="F13" s="66">
        <f t="shared" si="43"/>
        <v>0</v>
      </c>
      <c r="G13" s="60"/>
      <c r="H13" s="66">
        <f t="shared" si="44"/>
        <v>0</v>
      </c>
      <c r="I13" s="60"/>
      <c r="J13" s="66">
        <f t="shared" si="85"/>
        <v>0</v>
      </c>
      <c r="K13" s="60"/>
      <c r="L13" s="66">
        <f t="shared" si="45"/>
        <v>0</v>
      </c>
      <c r="M13" s="60"/>
      <c r="N13" s="66">
        <f t="shared" si="46"/>
        <v>0</v>
      </c>
      <c r="O13" s="60"/>
      <c r="P13" s="67">
        <f t="shared" si="47"/>
        <v>0</v>
      </c>
      <c r="Q13" s="60"/>
      <c r="R13" s="67">
        <f t="shared" si="48"/>
        <v>0</v>
      </c>
      <c r="S13" s="60"/>
      <c r="T13" s="67">
        <f t="shared" si="86"/>
        <v>0</v>
      </c>
      <c r="U13" s="60"/>
      <c r="V13" s="67">
        <f t="shared" si="50"/>
        <v>0</v>
      </c>
      <c r="W13" s="60"/>
      <c r="X13" s="67">
        <f t="shared" si="65"/>
        <v>0</v>
      </c>
      <c r="Y13" s="60"/>
      <c r="Z13" s="67">
        <f t="shared" si="66"/>
        <v>0</v>
      </c>
      <c r="AA13" s="60"/>
      <c r="AB13" s="67">
        <f t="shared" si="67"/>
        <v>0</v>
      </c>
      <c r="AC13" s="60"/>
      <c r="AD13" s="67">
        <f t="shared" si="68"/>
        <v>0</v>
      </c>
      <c r="AE13" s="60"/>
      <c r="AF13" s="67">
        <f t="shared" si="69"/>
        <v>0</v>
      </c>
      <c r="AG13" s="60"/>
      <c r="AH13" s="67">
        <f t="shared" si="51"/>
        <v>0</v>
      </c>
      <c r="AI13" s="60"/>
      <c r="AJ13" s="67">
        <f t="shared" si="70"/>
        <v>0</v>
      </c>
      <c r="AK13" s="60"/>
      <c r="AL13" s="67">
        <f t="shared" si="52"/>
        <v>0</v>
      </c>
      <c r="AM13" s="60"/>
      <c r="AN13" s="67">
        <f t="shared" si="53"/>
        <v>0</v>
      </c>
      <c r="AO13" s="60"/>
      <c r="AP13" s="67">
        <f t="shared" si="54"/>
        <v>0</v>
      </c>
      <c r="AQ13" s="60"/>
      <c r="AR13" s="67">
        <f t="shared" si="71"/>
        <v>0</v>
      </c>
      <c r="AS13" s="60"/>
      <c r="AT13" s="67">
        <f t="shared" si="72"/>
        <v>0</v>
      </c>
      <c r="AU13" s="60"/>
      <c r="AV13" s="67">
        <f t="shared" si="73"/>
        <v>0</v>
      </c>
      <c r="AW13" s="60"/>
      <c r="AX13" s="67">
        <f t="shared" si="74"/>
        <v>0</v>
      </c>
      <c r="AY13" s="60"/>
      <c r="AZ13" s="67">
        <f t="shared" si="75"/>
        <v>0</v>
      </c>
      <c r="BA13" s="60"/>
      <c r="BB13" s="67">
        <f t="shared" si="76"/>
        <v>0</v>
      </c>
      <c r="BC13" s="60"/>
      <c r="BD13" s="67">
        <f t="shared" si="77"/>
        <v>0</v>
      </c>
      <c r="BE13" s="61"/>
      <c r="BF13" s="67">
        <f t="shared" si="55"/>
        <v>0</v>
      </c>
      <c r="BG13" s="62"/>
      <c r="BH13" s="67">
        <f t="shared" si="78"/>
        <v>0</v>
      </c>
      <c r="BI13" s="62"/>
      <c r="BJ13" s="67">
        <f t="shared" si="79"/>
        <v>0</v>
      </c>
      <c r="BK13" s="62"/>
      <c r="BL13" s="67">
        <f t="shared" si="80"/>
        <v>0</v>
      </c>
      <c r="BM13" s="62"/>
      <c r="BN13" s="67">
        <f t="shared" si="81"/>
        <v>0</v>
      </c>
      <c r="BO13" s="62"/>
      <c r="BP13" s="67">
        <f t="shared" si="82"/>
        <v>0</v>
      </c>
      <c r="BQ13" s="62"/>
      <c r="BR13" s="67">
        <f t="shared" si="56"/>
        <v>0</v>
      </c>
      <c r="BS13" s="62"/>
      <c r="BT13" s="67">
        <f t="shared" si="83"/>
        <v>0</v>
      </c>
      <c r="BU13" s="62"/>
      <c r="BV13" s="67">
        <f t="shared" si="57"/>
        <v>0</v>
      </c>
      <c r="BW13" s="62"/>
      <c r="BX13" s="67">
        <f t="shared" si="84"/>
        <v>0</v>
      </c>
      <c r="BY13" s="62"/>
      <c r="BZ13" s="67">
        <f t="shared" si="58"/>
        <v>0</v>
      </c>
      <c r="CA13" s="62"/>
      <c r="CB13" s="67">
        <f t="shared" si="59"/>
        <v>0</v>
      </c>
      <c r="CC13" s="62"/>
      <c r="CD13" s="67">
        <f t="shared" si="60"/>
        <v>0</v>
      </c>
      <c r="CE13" s="62"/>
      <c r="CF13" s="67">
        <f t="shared" si="61"/>
        <v>0</v>
      </c>
      <c r="CG13" s="62"/>
      <c r="CH13" s="67">
        <f t="shared" si="62"/>
        <v>0</v>
      </c>
      <c r="CI13" s="62"/>
      <c r="CJ13" s="67">
        <f t="shared" si="63"/>
        <v>0</v>
      </c>
      <c r="CK13" s="62"/>
      <c r="CL13" s="66">
        <f t="shared" si="64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/>
      <c r="D14" s="66">
        <f t="shared" si="42"/>
        <v>0</v>
      </c>
      <c r="E14" s="60"/>
      <c r="F14" s="66">
        <f t="shared" si="43"/>
        <v>0</v>
      </c>
      <c r="G14" s="60"/>
      <c r="H14" s="66">
        <f t="shared" si="44"/>
        <v>0</v>
      </c>
      <c r="I14" s="60"/>
      <c r="J14" s="66">
        <f t="shared" si="85"/>
        <v>0</v>
      </c>
      <c r="K14" s="60"/>
      <c r="L14" s="66">
        <f t="shared" si="45"/>
        <v>0</v>
      </c>
      <c r="M14" s="60"/>
      <c r="N14" s="66">
        <f t="shared" si="46"/>
        <v>0</v>
      </c>
      <c r="O14" s="60"/>
      <c r="P14" s="67">
        <f t="shared" si="47"/>
        <v>0</v>
      </c>
      <c r="Q14" s="60"/>
      <c r="R14" s="67">
        <f t="shared" si="48"/>
        <v>0</v>
      </c>
      <c r="S14" s="60"/>
      <c r="T14" s="67">
        <f t="shared" si="86"/>
        <v>0</v>
      </c>
      <c r="U14" s="60"/>
      <c r="V14" s="67">
        <f t="shared" si="50"/>
        <v>0</v>
      </c>
      <c r="W14" s="60"/>
      <c r="X14" s="67">
        <f>IF((W14-W13&lt;0), "",(W14-W13)*1000)</f>
        <v>0</v>
      </c>
      <c r="Y14" s="60"/>
      <c r="Z14" s="67">
        <f t="shared" si="66"/>
        <v>0</v>
      </c>
      <c r="AA14" s="60"/>
      <c r="AB14" s="67">
        <f t="shared" si="67"/>
        <v>0</v>
      </c>
      <c r="AC14" s="60"/>
      <c r="AD14" s="67">
        <f t="shared" si="68"/>
        <v>0</v>
      </c>
      <c r="AE14" s="60"/>
      <c r="AF14" s="67">
        <f t="shared" si="69"/>
        <v>0</v>
      </c>
      <c r="AG14" s="60"/>
      <c r="AH14" s="67">
        <f t="shared" si="51"/>
        <v>0</v>
      </c>
      <c r="AI14" s="60"/>
      <c r="AJ14" s="67">
        <f t="shared" si="70"/>
        <v>0</v>
      </c>
      <c r="AK14" s="60"/>
      <c r="AL14" s="67">
        <f t="shared" si="52"/>
        <v>0</v>
      </c>
      <c r="AM14" s="60"/>
      <c r="AN14" s="67">
        <f t="shared" si="53"/>
        <v>0</v>
      </c>
      <c r="AO14" s="60"/>
      <c r="AP14" s="67">
        <f t="shared" si="54"/>
        <v>0</v>
      </c>
      <c r="AQ14" s="60"/>
      <c r="AR14" s="67">
        <f t="shared" si="71"/>
        <v>0</v>
      </c>
      <c r="AS14" s="60"/>
      <c r="AT14" s="67">
        <f t="shared" si="72"/>
        <v>0</v>
      </c>
      <c r="AU14" s="60"/>
      <c r="AV14" s="67">
        <f t="shared" si="73"/>
        <v>0</v>
      </c>
      <c r="AW14" s="60"/>
      <c r="AX14" s="67">
        <f t="shared" si="74"/>
        <v>0</v>
      </c>
      <c r="AY14" s="60"/>
      <c r="AZ14" s="67">
        <f t="shared" si="75"/>
        <v>0</v>
      </c>
      <c r="BA14" s="60"/>
      <c r="BB14" s="67">
        <f t="shared" si="76"/>
        <v>0</v>
      </c>
      <c r="BC14" s="60"/>
      <c r="BD14" s="67">
        <f t="shared" si="77"/>
        <v>0</v>
      </c>
      <c r="BE14" s="61"/>
      <c r="BF14" s="67">
        <f t="shared" si="55"/>
        <v>0</v>
      </c>
      <c r="BG14" s="62"/>
      <c r="BH14" s="67">
        <f t="shared" si="78"/>
        <v>0</v>
      </c>
      <c r="BI14" s="62"/>
      <c r="BJ14" s="67">
        <f t="shared" si="79"/>
        <v>0</v>
      </c>
      <c r="BK14" s="62"/>
      <c r="BL14" s="67">
        <f t="shared" si="80"/>
        <v>0</v>
      </c>
      <c r="BM14" s="62"/>
      <c r="BN14" s="67">
        <f t="shared" si="81"/>
        <v>0</v>
      </c>
      <c r="BO14" s="62"/>
      <c r="BP14" s="67">
        <f t="shared" si="82"/>
        <v>0</v>
      </c>
      <c r="BQ14" s="62"/>
      <c r="BR14" s="67">
        <f t="shared" si="56"/>
        <v>0</v>
      </c>
      <c r="BS14" s="62"/>
      <c r="BT14" s="67">
        <f t="shared" si="83"/>
        <v>0</v>
      </c>
      <c r="BU14" s="62"/>
      <c r="BV14" s="67">
        <f t="shared" si="57"/>
        <v>0</v>
      </c>
      <c r="BW14" s="62"/>
      <c r="BX14" s="67">
        <f t="shared" si="84"/>
        <v>0</v>
      </c>
      <c r="BY14" s="62"/>
      <c r="BZ14" s="67">
        <f t="shared" si="58"/>
        <v>0</v>
      </c>
      <c r="CA14" s="62"/>
      <c r="CB14" s="67">
        <f t="shared" si="59"/>
        <v>0</v>
      </c>
      <c r="CC14" s="62"/>
      <c r="CD14" s="67">
        <f t="shared" si="60"/>
        <v>0</v>
      </c>
      <c r="CE14" s="62"/>
      <c r="CF14" s="67">
        <f t="shared" si="61"/>
        <v>0</v>
      </c>
      <c r="CG14" s="62"/>
      <c r="CH14" s="67">
        <f t="shared" si="62"/>
        <v>0</v>
      </c>
      <c r="CI14" s="62"/>
      <c r="CJ14" s="67">
        <f t="shared" si="63"/>
        <v>0</v>
      </c>
      <c r="CK14" s="62"/>
      <c r="CL14" s="66">
        <f t="shared" si="64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/>
      <c r="D15" s="66">
        <f t="shared" si="42"/>
        <v>0</v>
      </c>
      <c r="E15" s="60"/>
      <c r="F15" s="66">
        <f t="shared" si="43"/>
        <v>0</v>
      </c>
      <c r="G15" s="60"/>
      <c r="H15" s="66">
        <f t="shared" si="44"/>
        <v>0</v>
      </c>
      <c r="I15" s="60"/>
      <c r="J15" s="66">
        <f t="shared" si="85"/>
        <v>0</v>
      </c>
      <c r="K15" s="60"/>
      <c r="L15" s="66">
        <f t="shared" si="45"/>
        <v>0</v>
      </c>
      <c r="M15" s="60"/>
      <c r="N15" s="66">
        <f t="shared" si="46"/>
        <v>0</v>
      </c>
      <c r="O15" s="60"/>
      <c r="P15" s="67">
        <f t="shared" si="47"/>
        <v>0</v>
      </c>
      <c r="Q15" s="60"/>
      <c r="R15" s="67">
        <f t="shared" si="48"/>
        <v>0</v>
      </c>
      <c r="S15" s="60"/>
      <c r="T15" s="67">
        <f t="shared" si="86"/>
        <v>0</v>
      </c>
      <c r="U15" s="60"/>
      <c r="V15" s="67">
        <f t="shared" si="50"/>
        <v>0</v>
      </c>
      <c r="W15" s="60"/>
      <c r="X15" s="67">
        <f t="shared" si="65"/>
        <v>0</v>
      </c>
      <c r="Y15" s="60"/>
      <c r="Z15" s="67">
        <f t="shared" si="66"/>
        <v>0</v>
      </c>
      <c r="AA15" s="60"/>
      <c r="AB15" s="67">
        <f t="shared" si="67"/>
        <v>0</v>
      </c>
      <c r="AC15" s="60"/>
      <c r="AD15" s="67">
        <f t="shared" si="68"/>
        <v>0</v>
      </c>
      <c r="AE15" s="60"/>
      <c r="AF15" s="67">
        <f t="shared" si="69"/>
        <v>0</v>
      </c>
      <c r="AG15" s="60"/>
      <c r="AH15" s="67">
        <f t="shared" si="51"/>
        <v>0</v>
      </c>
      <c r="AI15" s="60"/>
      <c r="AJ15" s="67">
        <f t="shared" si="70"/>
        <v>0</v>
      </c>
      <c r="AK15" s="60"/>
      <c r="AL15" s="67">
        <f t="shared" si="52"/>
        <v>0</v>
      </c>
      <c r="AM15" s="60"/>
      <c r="AN15" s="67">
        <f t="shared" si="53"/>
        <v>0</v>
      </c>
      <c r="AO15" s="60"/>
      <c r="AP15" s="67">
        <f t="shared" si="54"/>
        <v>0</v>
      </c>
      <c r="AQ15" s="60"/>
      <c r="AR15" s="67">
        <f t="shared" si="71"/>
        <v>0</v>
      </c>
      <c r="AS15" s="60"/>
      <c r="AT15" s="67">
        <f t="shared" si="72"/>
        <v>0</v>
      </c>
      <c r="AU15" s="60"/>
      <c r="AV15" s="67">
        <f t="shared" si="73"/>
        <v>0</v>
      </c>
      <c r="AW15" s="60"/>
      <c r="AX15" s="67">
        <f t="shared" si="74"/>
        <v>0</v>
      </c>
      <c r="AY15" s="60"/>
      <c r="AZ15" s="67">
        <f t="shared" si="75"/>
        <v>0</v>
      </c>
      <c r="BA15" s="60"/>
      <c r="BB15" s="67">
        <f t="shared" si="76"/>
        <v>0</v>
      </c>
      <c r="BC15" s="60"/>
      <c r="BD15" s="67">
        <f t="shared" si="77"/>
        <v>0</v>
      </c>
      <c r="BE15" s="61"/>
      <c r="BF15" s="67">
        <f t="shared" si="55"/>
        <v>0</v>
      </c>
      <c r="BG15" s="62"/>
      <c r="BH15" s="67">
        <f t="shared" si="78"/>
        <v>0</v>
      </c>
      <c r="BI15" s="62"/>
      <c r="BJ15" s="67">
        <f t="shared" si="79"/>
        <v>0</v>
      </c>
      <c r="BK15" s="62"/>
      <c r="BL15" s="67">
        <f t="shared" si="80"/>
        <v>0</v>
      </c>
      <c r="BM15" s="62"/>
      <c r="BN15" s="67">
        <f t="shared" si="81"/>
        <v>0</v>
      </c>
      <c r="BO15" s="62"/>
      <c r="BP15" s="67">
        <f t="shared" si="82"/>
        <v>0</v>
      </c>
      <c r="BQ15" s="62"/>
      <c r="BR15" s="67">
        <f t="shared" si="56"/>
        <v>0</v>
      </c>
      <c r="BS15" s="62"/>
      <c r="BT15" s="67">
        <f t="shared" si="83"/>
        <v>0</v>
      </c>
      <c r="BU15" s="62"/>
      <c r="BV15" s="67">
        <f t="shared" si="57"/>
        <v>0</v>
      </c>
      <c r="BW15" s="62"/>
      <c r="BX15" s="67">
        <f t="shared" si="84"/>
        <v>0</v>
      </c>
      <c r="BY15" s="62"/>
      <c r="BZ15" s="67">
        <f t="shared" si="58"/>
        <v>0</v>
      </c>
      <c r="CA15" s="62"/>
      <c r="CB15" s="67">
        <f t="shared" si="59"/>
        <v>0</v>
      </c>
      <c r="CC15" s="62"/>
      <c r="CD15" s="67">
        <f t="shared" si="60"/>
        <v>0</v>
      </c>
      <c r="CE15" s="62"/>
      <c r="CF15" s="67">
        <f t="shared" si="61"/>
        <v>0</v>
      </c>
      <c r="CG15" s="62"/>
      <c r="CH15" s="67">
        <f t="shared" si="62"/>
        <v>0</v>
      </c>
      <c r="CI15" s="62"/>
      <c r="CJ15" s="67">
        <f t="shared" si="63"/>
        <v>0</v>
      </c>
      <c r="CK15" s="62"/>
      <c r="CL15" s="66">
        <f t="shared" si="64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/>
      <c r="D16" s="66">
        <f t="shared" si="42"/>
        <v>0</v>
      </c>
      <c r="E16" s="60"/>
      <c r="F16" s="66">
        <f t="shared" si="43"/>
        <v>0</v>
      </c>
      <c r="G16" s="60"/>
      <c r="H16" s="66">
        <f t="shared" si="44"/>
        <v>0</v>
      </c>
      <c r="I16" s="60"/>
      <c r="J16" s="66">
        <f t="shared" si="85"/>
        <v>0</v>
      </c>
      <c r="K16" s="60"/>
      <c r="L16" s="66">
        <f t="shared" si="45"/>
        <v>0</v>
      </c>
      <c r="M16" s="60"/>
      <c r="N16" s="66">
        <f t="shared" si="46"/>
        <v>0</v>
      </c>
      <c r="O16" s="60"/>
      <c r="P16" s="67">
        <f t="shared" si="47"/>
        <v>0</v>
      </c>
      <c r="Q16" s="60"/>
      <c r="R16" s="67">
        <f t="shared" si="48"/>
        <v>0</v>
      </c>
      <c r="S16" s="60"/>
      <c r="T16" s="67">
        <f t="shared" si="86"/>
        <v>0</v>
      </c>
      <c r="U16" s="60"/>
      <c r="V16" s="67">
        <f t="shared" si="50"/>
        <v>0</v>
      </c>
      <c r="W16" s="60"/>
      <c r="X16" s="67">
        <f t="shared" si="65"/>
        <v>0</v>
      </c>
      <c r="Y16" s="60"/>
      <c r="Z16" s="67">
        <f t="shared" si="66"/>
        <v>0</v>
      </c>
      <c r="AA16" s="60"/>
      <c r="AB16" s="67">
        <f t="shared" si="67"/>
        <v>0</v>
      </c>
      <c r="AC16" s="60"/>
      <c r="AD16" s="67">
        <f t="shared" si="68"/>
        <v>0</v>
      </c>
      <c r="AE16" s="60"/>
      <c r="AF16" s="67">
        <f t="shared" si="69"/>
        <v>0</v>
      </c>
      <c r="AG16" s="60"/>
      <c r="AH16" s="67">
        <f t="shared" si="51"/>
        <v>0</v>
      </c>
      <c r="AI16" s="60"/>
      <c r="AJ16" s="67">
        <f t="shared" si="70"/>
        <v>0</v>
      </c>
      <c r="AK16" s="60"/>
      <c r="AL16" s="67">
        <f t="shared" si="52"/>
        <v>0</v>
      </c>
      <c r="AM16" s="60"/>
      <c r="AN16" s="67">
        <f t="shared" si="53"/>
        <v>0</v>
      </c>
      <c r="AO16" s="60"/>
      <c r="AP16" s="67">
        <f t="shared" si="54"/>
        <v>0</v>
      </c>
      <c r="AQ16" s="60"/>
      <c r="AR16" s="67">
        <f t="shared" si="71"/>
        <v>0</v>
      </c>
      <c r="AS16" s="60"/>
      <c r="AT16" s="67">
        <f t="shared" si="72"/>
        <v>0</v>
      </c>
      <c r="AU16" s="60"/>
      <c r="AV16" s="67">
        <f t="shared" si="73"/>
        <v>0</v>
      </c>
      <c r="AW16" s="60"/>
      <c r="AX16" s="67">
        <f t="shared" si="74"/>
        <v>0</v>
      </c>
      <c r="AY16" s="60"/>
      <c r="AZ16" s="67">
        <f t="shared" si="75"/>
        <v>0</v>
      </c>
      <c r="BA16" s="60"/>
      <c r="BB16" s="67">
        <f t="shared" si="76"/>
        <v>0</v>
      </c>
      <c r="BC16" s="60"/>
      <c r="BD16" s="67">
        <f t="shared" si="77"/>
        <v>0</v>
      </c>
      <c r="BE16" s="61"/>
      <c r="BF16" s="67">
        <f t="shared" si="55"/>
        <v>0</v>
      </c>
      <c r="BG16" s="62"/>
      <c r="BH16" s="67">
        <f t="shared" si="78"/>
        <v>0</v>
      </c>
      <c r="BI16" s="62"/>
      <c r="BJ16" s="67">
        <f t="shared" si="79"/>
        <v>0</v>
      </c>
      <c r="BK16" s="62"/>
      <c r="BL16" s="67">
        <f t="shared" si="80"/>
        <v>0</v>
      </c>
      <c r="BM16" s="62"/>
      <c r="BN16" s="67">
        <f t="shared" si="81"/>
        <v>0</v>
      </c>
      <c r="BO16" s="62"/>
      <c r="BP16" s="67">
        <f t="shared" si="82"/>
        <v>0</v>
      </c>
      <c r="BQ16" s="62"/>
      <c r="BR16" s="67">
        <f t="shared" si="56"/>
        <v>0</v>
      </c>
      <c r="BS16" s="62"/>
      <c r="BT16" s="67">
        <f t="shared" si="83"/>
        <v>0</v>
      </c>
      <c r="BU16" s="62"/>
      <c r="BV16" s="67">
        <f t="shared" si="57"/>
        <v>0</v>
      </c>
      <c r="BW16" s="62"/>
      <c r="BX16" s="67">
        <f t="shared" si="84"/>
        <v>0</v>
      </c>
      <c r="BY16" s="62"/>
      <c r="BZ16" s="67">
        <f t="shared" si="58"/>
        <v>0</v>
      </c>
      <c r="CA16" s="62"/>
      <c r="CB16" s="67">
        <f t="shared" si="59"/>
        <v>0</v>
      </c>
      <c r="CC16" s="62"/>
      <c r="CD16" s="67">
        <f t="shared" si="60"/>
        <v>0</v>
      </c>
      <c r="CE16" s="62"/>
      <c r="CF16" s="67">
        <f t="shared" si="61"/>
        <v>0</v>
      </c>
      <c r="CG16" s="62"/>
      <c r="CH16" s="67">
        <f t="shared" si="62"/>
        <v>0</v>
      </c>
      <c r="CI16" s="62"/>
      <c r="CJ16" s="67">
        <f t="shared" si="63"/>
        <v>0</v>
      </c>
      <c r="CK16" s="62"/>
      <c r="CL16" s="66">
        <f t="shared" si="64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/>
      <c r="D17" s="66">
        <f t="shared" si="42"/>
        <v>0</v>
      </c>
      <c r="E17" s="60"/>
      <c r="F17" s="66">
        <f t="shared" si="43"/>
        <v>0</v>
      </c>
      <c r="G17" s="60"/>
      <c r="H17" s="66">
        <f t="shared" si="44"/>
        <v>0</v>
      </c>
      <c r="I17" s="60"/>
      <c r="J17" s="66">
        <f t="shared" si="85"/>
        <v>0</v>
      </c>
      <c r="K17" s="60"/>
      <c r="L17" s="66">
        <f t="shared" si="45"/>
        <v>0</v>
      </c>
      <c r="M17" s="60"/>
      <c r="N17" s="66">
        <f t="shared" si="46"/>
        <v>0</v>
      </c>
      <c r="O17" s="60"/>
      <c r="P17" s="67">
        <f t="shared" si="47"/>
        <v>0</v>
      </c>
      <c r="Q17" s="60"/>
      <c r="R17" s="67">
        <f t="shared" si="48"/>
        <v>0</v>
      </c>
      <c r="S17" s="60"/>
      <c r="T17" s="67">
        <f t="shared" si="86"/>
        <v>0</v>
      </c>
      <c r="U17" s="60"/>
      <c r="V17" s="67">
        <f t="shared" si="50"/>
        <v>0</v>
      </c>
      <c r="W17" s="60"/>
      <c r="X17" s="67">
        <f t="shared" si="65"/>
        <v>0</v>
      </c>
      <c r="Y17" s="60"/>
      <c r="Z17" s="67">
        <f t="shared" si="66"/>
        <v>0</v>
      </c>
      <c r="AA17" s="60"/>
      <c r="AB17" s="67">
        <f t="shared" si="67"/>
        <v>0</v>
      </c>
      <c r="AC17" s="60"/>
      <c r="AD17" s="67">
        <f t="shared" si="68"/>
        <v>0</v>
      </c>
      <c r="AE17" s="60"/>
      <c r="AF17" s="67">
        <f t="shared" si="69"/>
        <v>0</v>
      </c>
      <c r="AG17" s="60"/>
      <c r="AH17" s="67">
        <f t="shared" si="51"/>
        <v>0</v>
      </c>
      <c r="AI17" s="60"/>
      <c r="AJ17" s="67">
        <f t="shared" si="70"/>
        <v>0</v>
      </c>
      <c r="AK17" s="60"/>
      <c r="AL17" s="67">
        <f t="shared" si="52"/>
        <v>0</v>
      </c>
      <c r="AM17" s="60"/>
      <c r="AN17" s="67">
        <f t="shared" si="53"/>
        <v>0</v>
      </c>
      <c r="AO17" s="60"/>
      <c r="AP17" s="67">
        <f t="shared" si="54"/>
        <v>0</v>
      </c>
      <c r="AQ17" s="60"/>
      <c r="AR17" s="67">
        <f t="shared" si="71"/>
        <v>0</v>
      </c>
      <c r="AS17" s="60"/>
      <c r="AT17" s="67">
        <f t="shared" si="72"/>
        <v>0</v>
      </c>
      <c r="AU17" s="60"/>
      <c r="AV17" s="67">
        <f t="shared" si="73"/>
        <v>0</v>
      </c>
      <c r="AW17" s="60"/>
      <c r="AX17" s="67">
        <f t="shared" si="74"/>
        <v>0</v>
      </c>
      <c r="AY17" s="60"/>
      <c r="AZ17" s="67">
        <f t="shared" si="75"/>
        <v>0</v>
      </c>
      <c r="BA17" s="60"/>
      <c r="BB17" s="67">
        <f t="shared" si="76"/>
        <v>0</v>
      </c>
      <c r="BC17" s="60"/>
      <c r="BD17" s="67">
        <f t="shared" si="77"/>
        <v>0</v>
      </c>
      <c r="BE17" s="61"/>
      <c r="BF17" s="67">
        <f t="shared" si="55"/>
        <v>0</v>
      </c>
      <c r="BG17" s="62"/>
      <c r="BH17" s="67">
        <f t="shared" si="78"/>
        <v>0</v>
      </c>
      <c r="BI17" s="62"/>
      <c r="BJ17" s="67">
        <f t="shared" si="79"/>
        <v>0</v>
      </c>
      <c r="BK17" s="62"/>
      <c r="BL17" s="67">
        <f t="shared" si="80"/>
        <v>0</v>
      </c>
      <c r="BM17" s="62"/>
      <c r="BN17" s="67">
        <f t="shared" si="81"/>
        <v>0</v>
      </c>
      <c r="BO17" s="62"/>
      <c r="BP17" s="67">
        <f t="shared" si="82"/>
        <v>0</v>
      </c>
      <c r="BQ17" s="62"/>
      <c r="BR17" s="67">
        <f t="shared" si="56"/>
        <v>0</v>
      </c>
      <c r="BS17" s="62"/>
      <c r="BT17" s="67">
        <f t="shared" si="83"/>
        <v>0</v>
      </c>
      <c r="BU17" s="62"/>
      <c r="BV17" s="67">
        <f t="shared" si="57"/>
        <v>0</v>
      </c>
      <c r="BW17" s="62"/>
      <c r="BX17" s="67">
        <f t="shared" si="84"/>
        <v>0</v>
      </c>
      <c r="BY17" s="62"/>
      <c r="BZ17" s="67">
        <f t="shared" si="58"/>
        <v>0</v>
      </c>
      <c r="CA17" s="62"/>
      <c r="CB17" s="67">
        <f t="shared" si="59"/>
        <v>0</v>
      </c>
      <c r="CC17" s="62"/>
      <c r="CD17" s="67">
        <f t="shared" si="60"/>
        <v>0</v>
      </c>
      <c r="CE17" s="62"/>
      <c r="CF17" s="67">
        <f t="shared" si="61"/>
        <v>0</v>
      </c>
      <c r="CG17" s="62"/>
      <c r="CH17" s="67">
        <f t="shared" si="62"/>
        <v>0</v>
      </c>
      <c r="CI17" s="62"/>
      <c r="CJ17" s="67">
        <f t="shared" si="63"/>
        <v>0</v>
      </c>
      <c r="CK17" s="62"/>
      <c r="CL17" s="66">
        <f t="shared" si="64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/>
      <c r="D18" s="66">
        <f t="shared" si="42"/>
        <v>0</v>
      </c>
      <c r="E18" s="60"/>
      <c r="F18" s="66">
        <f t="shared" si="43"/>
        <v>0</v>
      </c>
      <c r="G18" s="60"/>
      <c r="H18" s="66">
        <f t="shared" si="44"/>
        <v>0</v>
      </c>
      <c r="I18" s="60"/>
      <c r="J18" s="66">
        <f t="shared" si="85"/>
        <v>0</v>
      </c>
      <c r="K18" s="60"/>
      <c r="L18" s="66">
        <f t="shared" si="45"/>
        <v>0</v>
      </c>
      <c r="M18" s="60"/>
      <c r="N18" s="66">
        <f t="shared" si="46"/>
        <v>0</v>
      </c>
      <c r="O18" s="60"/>
      <c r="P18" s="67">
        <f t="shared" si="47"/>
        <v>0</v>
      </c>
      <c r="Q18" s="60"/>
      <c r="R18" s="67">
        <f t="shared" si="48"/>
        <v>0</v>
      </c>
      <c r="S18" s="60"/>
      <c r="T18" s="67">
        <f t="shared" si="86"/>
        <v>0</v>
      </c>
      <c r="U18" s="60"/>
      <c r="V18" s="67">
        <f t="shared" si="50"/>
        <v>0</v>
      </c>
      <c r="W18" s="60"/>
      <c r="X18" s="67">
        <f t="shared" si="65"/>
        <v>0</v>
      </c>
      <c r="Y18" s="60"/>
      <c r="Z18" s="67">
        <f t="shared" si="66"/>
        <v>0</v>
      </c>
      <c r="AA18" s="60"/>
      <c r="AB18" s="67">
        <f t="shared" si="67"/>
        <v>0</v>
      </c>
      <c r="AC18" s="60"/>
      <c r="AD18" s="67">
        <f t="shared" si="68"/>
        <v>0</v>
      </c>
      <c r="AE18" s="60"/>
      <c r="AF18" s="67">
        <f t="shared" si="69"/>
        <v>0</v>
      </c>
      <c r="AG18" s="60"/>
      <c r="AH18" s="67">
        <f t="shared" si="51"/>
        <v>0</v>
      </c>
      <c r="AI18" s="60"/>
      <c r="AJ18" s="67">
        <f t="shared" si="70"/>
        <v>0</v>
      </c>
      <c r="AK18" s="60"/>
      <c r="AL18" s="67">
        <f t="shared" si="52"/>
        <v>0</v>
      </c>
      <c r="AM18" s="60"/>
      <c r="AN18" s="67">
        <f t="shared" si="53"/>
        <v>0</v>
      </c>
      <c r="AO18" s="60"/>
      <c r="AP18" s="67">
        <f t="shared" si="54"/>
        <v>0</v>
      </c>
      <c r="AQ18" s="60"/>
      <c r="AR18" s="67">
        <f t="shared" si="71"/>
        <v>0</v>
      </c>
      <c r="AS18" s="60"/>
      <c r="AT18" s="67">
        <f t="shared" si="72"/>
        <v>0</v>
      </c>
      <c r="AU18" s="60"/>
      <c r="AV18" s="67">
        <f t="shared" si="73"/>
        <v>0</v>
      </c>
      <c r="AW18" s="60"/>
      <c r="AX18" s="67">
        <f t="shared" si="74"/>
        <v>0</v>
      </c>
      <c r="AY18" s="60"/>
      <c r="AZ18" s="67">
        <f t="shared" si="75"/>
        <v>0</v>
      </c>
      <c r="BA18" s="60"/>
      <c r="BB18" s="67">
        <f t="shared" si="76"/>
        <v>0</v>
      </c>
      <c r="BC18" s="60"/>
      <c r="BD18" s="67">
        <f t="shared" si="77"/>
        <v>0</v>
      </c>
      <c r="BE18" s="61"/>
      <c r="BF18" s="67">
        <f t="shared" si="55"/>
        <v>0</v>
      </c>
      <c r="BG18" s="62"/>
      <c r="BH18" s="67">
        <f t="shared" si="78"/>
        <v>0</v>
      </c>
      <c r="BI18" s="62"/>
      <c r="BJ18" s="67">
        <f t="shared" si="79"/>
        <v>0</v>
      </c>
      <c r="BK18" s="62"/>
      <c r="BL18" s="67">
        <f t="shared" si="80"/>
        <v>0</v>
      </c>
      <c r="BM18" s="62"/>
      <c r="BN18" s="67">
        <f t="shared" si="81"/>
        <v>0</v>
      </c>
      <c r="BO18" s="62"/>
      <c r="BP18" s="67">
        <f t="shared" si="82"/>
        <v>0</v>
      </c>
      <c r="BQ18" s="62"/>
      <c r="BR18" s="67">
        <f t="shared" si="56"/>
        <v>0</v>
      </c>
      <c r="BS18" s="62"/>
      <c r="BT18" s="67">
        <f t="shared" si="83"/>
        <v>0</v>
      </c>
      <c r="BU18" s="62"/>
      <c r="BV18" s="67">
        <f t="shared" si="57"/>
        <v>0</v>
      </c>
      <c r="BW18" s="62"/>
      <c r="BX18" s="67">
        <f t="shared" si="84"/>
        <v>0</v>
      </c>
      <c r="BY18" s="62"/>
      <c r="BZ18" s="67">
        <f t="shared" si="58"/>
        <v>0</v>
      </c>
      <c r="CA18" s="62"/>
      <c r="CB18" s="67">
        <f t="shared" si="59"/>
        <v>0</v>
      </c>
      <c r="CC18" s="62"/>
      <c r="CD18" s="67">
        <f t="shared" si="60"/>
        <v>0</v>
      </c>
      <c r="CE18" s="62"/>
      <c r="CF18" s="67">
        <f t="shared" si="61"/>
        <v>0</v>
      </c>
      <c r="CG18" s="62"/>
      <c r="CH18" s="67">
        <f t="shared" si="62"/>
        <v>0</v>
      </c>
      <c r="CI18" s="62"/>
      <c r="CJ18" s="67">
        <f t="shared" si="63"/>
        <v>0</v>
      </c>
      <c r="CK18" s="62"/>
      <c r="CL18" s="66">
        <f t="shared" si="64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/>
      <c r="D19" s="66">
        <f t="shared" si="42"/>
        <v>0</v>
      </c>
      <c r="E19" s="60"/>
      <c r="F19" s="66">
        <f t="shared" si="43"/>
        <v>0</v>
      </c>
      <c r="G19" s="60"/>
      <c r="H19" s="66">
        <f t="shared" si="44"/>
        <v>0</v>
      </c>
      <c r="I19" s="60"/>
      <c r="J19" s="66">
        <f t="shared" si="85"/>
        <v>0</v>
      </c>
      <c r="K19" s="60"/>
      <c r="L19" s="66">
        <f t="shared" si="45"/>
        <v>0</v>
      </c>
      <c r="M19" s="60"/>
      <c r="N19" s="66">
        <f t="shared" si="46"/>
        <v>0</v>
      </c>
      <c r="O19" s="60"/>
      <c r="P19" s="67">
        <f t="shared" si="47"/>
        <v>0</v>
      </c>
      <c r="Q19" s="60"/>
      <c r="R19" s="67">
        <f t="shared" si="48"/>
        <v>0</v>
      </c>
      <c r="S19" s="60"/>
      <c r="T19" s="67">
        <f t="shared" si="86"/>
        <v>0</v>
      </c>
      <c r="U19" s="60"/>
      <c r="V19" s="67">
        <f t="shared" si="50"/>
        <v>0</v>
      </c>
      <c r="W19" s="60"/>
      <c r="X19" s="67">
        <f t="shared" si="65"/>
        <v>0</v>
      </c>
      <c r="Y19" s="60"/>
      <c r="Z19" s="67">
        <f t="shared" si="66"/>
        <v>0</v>
      </c>
      <c r="AA19" s="60"/>
      <c r="AB19" s="67">
        <f t="shared" si="67"/>
        <v>0</v>
      </c>
      <c r="AC19" s="60"/>
      <c r="AD19" s="67">
        <f t="shared" si="68"/>
        <v>0</v>
      </c>
      <c r="AE19" s="60"/>
      <c r="AF19" s="67">
        <f t="shared" si="69"/>
        <v>0</v>
      </c>
      <c r="AG19" s="60"/>
      <c r="AH19" s="67">
        <f t="shared" si="51"/>
        <v>0</v>
      </c>
      <c r="AI19" s="60"/>
      <c r="AJ19" s="67">
        <f t="shared" si="70"/>
        <v>0</v>
      </c>
      <c r="AK19" s="60"/>
      <c r="AL19" s="67">
        <f t="shared" si="52"/>
        <v>0</v>
      </c>
      <c r="AM19" s="60"/>
      <c r="AN19" s="67">
        <f t="shared" si="53"/>
        <v>0</v>
      </c>
      <c r="AO19" s="60"/>
      <c r="AP19" s="67">
        <f t="shared" si="54"/>
        <v>0</v>
      </c>
      <c r="AQ19" s="60"/>
      <c r="AR19" s="67">
        <f t="shared" si="71"/>
        <v>0</v>
      </c>
      <c r="AS19" s="60"/>
      <c r="AT19" s="67">
        <f t="shared" si="72"/>
        <v>0</v>
      </c>
      <c r="AU19" s="60"/>
      <c r="AV19" s="67">
        <f t="shared" si="73"/>
        <v>0</v>
      </c>
      <c r="AW19" s="60"/>
      <c r="AX19" s="67">
        <f t="shared" si="74"/>
        <v>0</v>
      </c>
      <c r="AY19" s="60"/>
      <c r="AZ19" s="67">
        <f t="shared" si="75"/>
        <v>0</v>
      </c>
      <c r="BA19" s="60"/>
      <c r="BB19" s="67">
        <f t="shared" si="76"/>
        <v>0</v>
      </c>
      <c r="BC19" s="60"/>
      <c r="BD19" s="67">
        <f t="shared" si="77"/>
        <v>0</v>
      </c>
      <c r="BE19" s="61"/>
      <c r="BF19" s="67">
        <f t="shared" si="55"/>
        <v>0</v>
      </c>
      <c r="BG19" s="62"/>
      <c r="BH19" s="67">
        <f t="shared" si="78"/>
        <v>0</v>
      </c>
      <c r="BI19" s="62"/>
      <c r="BJ19" s="67">
        <f t="shared" si="79"/>
        <v>0</v>
      </c>
      <c r="BK19" s="62"/>
      <c r="BL19" s="67">
        <f t="shared" si="80"/>
        <v>0</v>
      </c>
      <c r="BM19" s="62"/>
      <c r="BN19" s="67">
        <f t="shared" si="81"/>
        <v>0</v>
      </c>
      <c r="BO19" s="62"/>
      <c r="BP19" s="67">
        <f t="shared" si="82"/>
        <v>0</v>
      </c>
      <c r="BQ19" s="62"/>
      <c r="BR19" s="67">
        <f t="shared" si="56"/>
        <v>0</v>
      </c>
      <c r="BS19" s="62"/>
      <c r="BT19" s="67">
        <f t="shared" si="83"/>
        <v>0</v>
      </c>
      <c r="BU19" s="62"/>
      <c r="BV19" s="67">
        <f t="shared" si="57"/>
        <v>0</v>
      </c>
      <c r="BW19" s="62"/>
      <c r="BX19" s="67">
        <f t="shared" si="84"/>
        <v>0</v>
      </c>
      <c r="BY19" s="62"/>
      <c r="BZ19" s="67">
        <f t="shared" si="58"/>
        <v>0</v>
      </c>
      <c r="CA19" s="62"/>
      <c r="CB19" s="67">
        <f t="shared" si="59"/>
        <v>0</v>
      </c>
      <c r="CC19" s="62"/>
      <c r="CD19" s="67">
        <f t="shared" si="60"/>
        <v>0</v>
      </c>
      <c r="CE19" s="62"/>
      <c r="CF19" s="67">
        <f t="shared" si="61"/>
        <v>0</v>
      </c>
      <c r="CG19" s="62"/>
      <c r="CH19" s="67">
        <f t="shared" si="62"/>
        <v>0</v>
      </c>
      <c r="CI19" s="62"/>
      <c r="CJ19" s="67">
        <f t="shared" si="63"/>
        <v>0</v>
      </c>
      <c r="CK19" s="62"/>
      <c r="CL19" s="66">
        <f t="shared" si="64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/>
      <c r="D20" s="66">
        <f t="shared" si="42"/>
        <v>0</v>
      </c>
      <c r="E20" s="60"/>
      <c r="F20" s="66">
        <f t="shared" si="43"/>
        <v>0</v>
      </c>
      <c r="G20" s="60"/>
      <c r="H20" s="66">
        <f t="shared" si="44"/>
        <v>0</v>
      </c>
      <c r="I20" s="60"/>
      <c r="J20" s="66">
        <f t="shared" si="85"/>
        <v>0</v>
      </c>
      <c r="K20" s="60"/>
      <c r="L20" s="66">
        <f t="shared" si="45"/>
        <v>0</v>
      </c>
      <c r="M20" s="60"/>
      <c r="N20" s="66">
        <f t="shared" si="46"/>
        <v>0</v>
      </c>
      <c r="O20" s="60"/>
      <c r="P20" s="67">
        <f t="shared" si="47"/>
        <v>0</v>
      </c>
      <c r="Q20" s="60"/>
      <c r="R20" s="67">
        <f t="shared" si="48"/>
        <v>0</v>
      </c>
      <c r="S20" s="60"/>
      <c r="T20" s="67">
        <f t="shared" si="86"/>
        <v>0</v>
      </c>
      <c r="U20" s="60"/>
      <c r="V20" s="67">
        <f t="shared" si="50"/>
        <v>0</v>
      </c>
      <c r="W20" s="60"/>
      <c r="X20" s="67">
        <f t="shared" si="65"/>
        <v>0</v>
      </c>
      <c r="Y20" s="60"/>
      <c r="Z20" s="67">
        <f t="shared" si="66"/>
        <v>0</v>
      </c>
      <c r="AA20" s="60"/>
      <c r="AB20" s="67">
        <f t="shared" si="67"/>
        <v>0</v>
      </c>
      <c r="AC20" s="60"/>
      <c r="AD20" s="67">
        <f t="shared" si="68"/>
        <v>0</v>
      </c>
      <c r="AE20" s="60"/>
      <c r="AF20" s="67">
        <f t="shared" si="69"/>
        <v>0</v>
      </c>
      <c r="AG20" s="60"/>
      <c r="AH20" s="67">
        <f t="shared" si="51"/>
        <v>0</v>
      </c>
      <c r="AI20" s="60"/>
      <c r="AJ20" s="67">
        <f t="shared" si="70"/>
        <v>0</v>
      </c>
      <c r="AK20" s="60"/>
      <c r="AL20" s="67">
        <f t="shared" si="52"/>
        <v>0</v>
      </c>
      <c r="AM20" s="60"/>
      <c r="AN20" s="67">
        <f t="shared" si="53"/>
        <v>0</v>
      </c>
      <c r="AO20" s="60"/>
      <c r="AP20" s="67">
        <f t="shared" si="54"/>
        <v>0</v>
      </c>
      <c r="AQ20" s="60"/>
      <c r="AR20" s="67">
        <f t="shared" si="71"/>
        <v>0</v>
      </c>
      <c r="AS20" s="60"/>
      <c r="AT20" s="67">
        <f t="shared" si="72"/>
        <v>0</v>
      </c>
      <c r="AU20" s="60"/>
      <c r="AV20" s="67">
        <f t="shared" si="73"/>
        <v>0</v>
      </c>
      <c r="AW20" s="60"/>
      <c r="AX20" s="67">
        <f t="shared" si="74"/>
        <v>0</v>
      </c>
      <c r="AY20" s="60"/>
      <c r="AZ20" s="67">
        <f t="shared" si="75"/>
        <v>0</v>
      </c>
      <c r="BA20" s="60"/>
      <c r="BB20" s="67">
        <f t="shared" si="76"/>
        <v>0</v>
      </c>
      <c r="BC20" s="60"/>
      <c r="BD20" s="67">
        <f t="shared" si="77"/>
        <v>0</v>
      </c>
      <c r="BE20" s="61"/>
      <c r="BF20" s="67">
        <f t="shared" si="55"/>
        <v>0</v>
      </c>
      <c r="BG20" s="62"/>
      <c r="BH20" s="67">
        <f t="shared" si="78"/>
        <v>0</v>
      </c>
      <c r="BI20" s="62"/>
      <c r="BJ20" s="67">
        <f t="shared" si="79"/>
        <v>0</v>
      </c>
      <c r="BK20" s="62"/>
      <c r="BL20" s="67">
        <f t="shared" si="80"/>
        <v>0</v>
      </c>
      <c r="BM20" s="62"/>
      <c r="BN20" s="67">
        <f t="shared" si="81"/>
        <v>0</v>
      </c>
      <c r="BO20" s="62"/>
      <c r="BP20" s="67">
        <f t="shared" si="82"/>
        <v>0</v>
      </c>
      <c r="BQ20" s="62"/>
      <c r="BR20" s="67">
        <f t="shared" si="56"/>
        <v>0</v>
      </c>
      <c r="BS20" s="62"/>
      <c r="BT20" s="67">
        <f t="shared" si="83"/>
        <v>0</v>
      </c>
      <c r="BU20" s="62"/>
      <c r="BV20" s="67">
        <f t="shared" si="57"/>
        <v>0</v>
      </c>
      <c r="BW20" s="62"/>
      <c r="BX20" s="67">
        <f t="shared" si="84"/>
        <v>0</v>
      </c>
      <c r="BY20" s="62"/>
      <c r="BZ20" s="67">
        <f t="shared" si="58"/>
        <v>0</v>
      </c>
      <c r="CA20" s="62"/>
      <c r="CB20" s="67">
        <f t="shared" si="59"/>
        <v>0</v>
      </c>
      <c r="CC20" s="62"/>
      <c r="CD20" s="67">
        <f t="shared" si="60"/>
        <v>0</v>
      </c>
      <c r="CE20" s="62"/>
      <c r="CF20" s="67">
        <f t="shared" si="61"/>
        <v>0</v>
      </c>
      <c r="CG20" s="62"/>
      <c r="CH20" s="67">
        <f t="shared" si="62"/>
        <v>0</v>
      </c>
      <c r="CI20" s="62"/>
      <c r="CJ20" s="67">
        <f t="shared" si="63"/>
        <v>0</v>
      </c>
      <c r="CK20" s="62"/>
      <c r="CL20" s="66">
        <f t="shared" si="64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/>
      <c r="D21" s="66">
        <f t="shared" si="42"/>
        <v>0</v>
      </c>
      <c r="E21" s="60"/>
      <c r="F21" s="66">
        <f t="shared" si="43"/>
        <v>0</v>
      </c>
      <c r="G21" s="60"/>
      <c r="H21" s="66">
        <f t="shared" si="44"/>
        <v>0</v>
      </c>
      <c r="I21" s="60"/>
      <c r="J21" s="66">
        <f t="shared" si="85"/>
        <v>0</v>
      </c>
      <c r="K21" s="60"/>
      <c r="L21" s="66">
        <f t="shared" si="45"/>
        <v>0</v>
      </c>
      <c r="M21" s="60"/>
      <c r="N21" s="66">
        <f t="shared" si="46"/>
        <v>0</v>
      </c>
      <c r="O21" s="60"/>
      <c r="P21" s="67">
        <f t="shared" si="47"/>
        <v>0</v>
      </c>
      <c r="Q21" s="60"/>
      <c r="R21" s="67">
        <f t="shared" si="48"/>
        <v>0</v>
      </c>
      <c r="S21" s="60"/>
      <c r="T21" s="67">
        <f t="shared" si="86"/>
        <v>0</v>
      </c>
      <c r="U21" s="60"/>
      <c r="V21" s="67">
        <f t="shared" si="50"/>
        <v>0</v>
      </c>
      <c r="W21" s="60"/>
      <c r="X21" s="67">
        <f t="shared" si="65"/>
        <v>0</v>
      </c>
      <c r="Y21" s="60"/>
      <c r="Z21" s="67">
        <f t="shared" si="66"/>
        <v>0</v>
      </c>
      <c r="AA21" s="60"/>
      <c r="AB21" s="67">
        <f t="shared" si="67"/>
        <v>0</v>
      </c>
      <c r="AC21" s="60"/>
      <c r="AD21" s="67">
        <f t="shared" si="68"/>
        <v>0</v>
      </c>
      <c r="AE21" s="60"/>
      <c r="AF21" s="67">
        <f t="shared" si="69"/>
        <v>0</v>
      </c>
      <c r="AG21" s="60"/>
      <c r="AH21" s="67">
        <f t="shared" si="51"/>
        <v>0</v>
      </c>
      <c r="AI21" s="60"/>
      <c r="AJ21" s="67">
        <f t="shared" si="70"/>
        <v>0</v>
      </c>
      <c r="AK21" s="60"/>
      <c r="AL21" s="67">
        <f t="shared" si="52"/>
        <v>0</v>
      </c>
      <c r="AM21" s="60"/>
      <c r="AN21" s="67">
        <f t="shared" si="53"/>
        <v>0</v>
      </c>
      <c r="AO21" s="60"/>
      <c r="AP21" s="67">
        <f t="shared" si="54"/>
        <v>0</v>
      </c>
      <c r="AQ21" s="60"/>
      <c r="AR21" s="67">
        <f t="shared" si="71"/>
        <v>0</v>
      </c>
      <c r="AS21" s="60"/>
      <c r="AT21" s="67">
        <f t="shared" si="72"/>
        <v>0</v>
      </c>
      <c r="AU21" s="60"/>
      <c r="AV21" s="67">
        <f t="shared" si="73"/>
        <v>0</v>
      </c>
      <c r="AW21" s="60"/>
      <c r="AX21" s="67">
        <f t="shared" si="74"/>
        <v>0</v>
      </c>
      <c r="AY21" s="60"/>
      <c r="AZ21" s="67">
        <f t="shared" si="75"/>
        <v>0</v>
      </c>
      <c r="BA21" s="60"/>
      <c r="BB21" s="67">
        <f t="shared" si="76"/>
        <v>0</v>
      </c>
      <c r="BC21" s="60"/>
      <c r="BD21" s="67">
        <f t="shared" si="77"/>
        <v>0</v>
      </c>
      <c r="BE21" s="61"/>
      <c r="BF21" s="67">
        <f t="shared" si="55"/>
        <v>0</v>
      </c>
      <c r="BG21" s="62"/>
      <c r="BH21" s="67">
        <f t="shared" si="78"/>
        <v>0</v>
      </c>
      <c r="BI21" s="62"/>
      <c r="BJ21" s="67">
        <f t="shared" si="79"/>
        <v>0</v>
      </c>
      <c r="BK21" s="62"/>
      <c r="BL21" s="67">
        <f t="shared" si="80"/>
        <v>0</v>
      </c>
      <c r="BM21" s="62"/>
      <c r="BN21" s="67">
        <f t="shared" si="81"/>
        <v>0</v>
      </c>
      <c r="BO21" s="62"/>
      <c r="BP21" s="67">
        <f t="shared" si="82"/>
        <v>0</v>
      </c>
      <c r="BQ21" s="62"/>
      <c r="BR21" s="67">
        <f t="shared" si="56"/>
        <v>0</v>
      </c>
      <c r="BS21" s="62"/>
      <c r="BT21" s="67">
        <f t="shared" si="83"/>
        <v>0</v>
      </c>
      <c r="BU21" s="62"/>
      <c r="BV21" s="67">
        <f t="shared" si="57"/>
        <v>0</v>
      </c>
      <c r="BW21" s="62"/>
      <c r="BX21" s="67">
        <f t="shared" si="84"/>
        <v>0</v>
      </c>
      <c r="BY21" s="62"/>
      <c r="BZ21" s="67">
        <f t="shared" si="58"/>
        <v>0</v>
      </c>
      <c r="CA21" s="62"/>
      <c r="CB21" s="67">
        <f t="shared" si="59"/>
        <v>0</v>
      </c>
      <c r="CC21" s="62"/>
      <c r="CD21" s="67">
        <f t="shared" si="60"/>
        <v>0</v>
      </c>
      <c r="CE21" s="62"/>
      <c r="CF21" s="67">
        <f t="shared" si="61"/>
        <v>0</v>
      </c>
      <c r="CG21" s="62"/>
      <c r="CH21" s="67">
        <f t="shared" si="62"/>
        <v>0</v>
      </c>
      <c r="CI21" s="62"/>
      <c r="CJ21" s="67">
        <f t="shared" si="63"/>
        <v>0</v>
      </c>
      <c r="CK21" s="62"/>
      <c r="CL21" s="66">
        <f t="shared" si="64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/>
      <c r="D22" s="66">
        <f t="shared" si="42"/>
        <v>0</v>
      </c>
      <c r="E22" s="60"/>
      <c r="F22" s="66">
        <f t="shared" si="43"/>
        <v>0</v>
      </c>
      <c r="G22" s="60"/>
      <c r="H22" s="66">
        <f t="shared" si="44"/>
        <v>0</v>
      </c>
      <c r="I22" s="60"/>
      <c r="J22" s="66">
        <f t="shared" si="85"/>
        <v>0</v>
      </c>
      <c r="K22" s="60"/>
      <c r="L22" s="66">
        <f t="shared" si="45"/>
        <v>0</v>
      </c>
      <c r="M22" s="60"/>
      <c r="N22" s="66">
        <f t="shared" si="46"/>
        <v>0</v>
      </c>
      <c r="O22" s="60"/>
      <c r="P22" s="67">
        <f t="shared" si="47"/>
        <v>0</v>
      </c>
      <c r="Q22" s="60"/>
      <c r="R22" s="67">
        <f t="shared" si="48"/>
        <v>0</v>
      </c>
      <c r="S22" s="60"/>
      <c r="T22" s="67">
        <f t="shared" si="86"/>
        <v>0</v>
      </c>
      <c r="U22" s="60"/>
      <c r="V22" s="67">
        <f t="shared" si="50"/>
        <v>0</v>
      </c>
      <c r="W22" s="60"/>
      <c r="X22" s="67">
        <f t="shared" si="65"/>
        <v>0</v>
      </c>
      <c r="Y22" s="60"/>
      <c r="Z22" s="67">
        <f t="shared" si="66"/>
        <v>0</v>
      </c>
      <c r="AA22" s="60"/>
      <c r="AB22" s="67">
        <f t="shared" si="67"/>
        <v>0</v>
      </c>
      <c r="AC22" s="60"/>
      <c r="AD22" s="67">
        <f t="shared" si="68"/>
        <v>0</v>
      </c>
      <c r="AE22" s="60"/>
      <c r="AF22" s="67">
        <f t="shared" si="69"/>
        <v>0</v>
      </c>
      <c r="AG22" s="60"/>
      <c r="AH22" s="67">
        <f t="shared" si="51"/>
        <v>0</v>
      </c>
      <c r="AI22" s="60"/>
      <c r="AJ22" s="67">
        <f t="shared" si="70"/>
        <v>0</v>
      </c>
      <c r="AK22" s="60"/>
      <c r="AL22" s="67">
        <f t="shared" si="52"/>
        <v>0</v>
      </c>
      <c r="AM22" s="60"/>
      <c r="AN22" s="67">
        <f t="shared" si="53"/>
        <v>0</v>
      </c>
      <c r="AO22" s="60"/>
      <c r="AP22" s="67">
        <f t="shared" si="54"/>
        <v>0</v>
      </c>
      <c r="AQ22" s="60"/>
      <c r="AR22" s="67">
        <f t="shared" si="71"/>
        <v>0</v>
      </c>
      <c r="AS22" s="60"/>
      <c r="AT22" s="67">
        <f t="shared" si="72"/>
        <v>0</v>
      </c>
      <c r="AU22" s="60"/>
      <c r="AV22" s="67">
        <f t="shared" si="73"/>
        <v>0</v>
      </c>
      <c r="AW22" s="60"/>
      <c r="AX22" s="67">
        <f t="shared" si="74"/>
        <v>0</v>
      </c>
      <c r="AY22" s="60"/>
      <c r="AZ22" s="67">
        <f t="shared" si="75"/>
        <v>0</v>
      </c>
      <c r="BA22" s="60"/>
      <c r="BB22" s="67">
        <f t="shared" si="76"/>
        <v>0</v>
      </c>
      <c r="BC22" s="60"/>
      <c r="BD22" s="67">
        <f t="shared" si="77"/>
        <v>0</v>
      </c>
      <c r="BE22" s="61"/>
      <c r="BF22" s="67">
        <f t="shared" si="55"/>
        <v>0</v>
      </c>
      <c r="BG22" s="62"/>
      <c r="BH22" s="67">
        <f t="shared" si="78"/>
        <v>0</v>
      </c>
      <c r="BI22" s="62"/>
      <c r="BJ22" s="67">
        <f t="shared" si="79"/>
        <v>0</v>
      </c>
      <c r="BK22" s="62"/>
      <c r="BL22" s="67">
        <f t="shared" si="80"/>
        <v>0</v>
      </c>
      <c r="BM22" s="62"/>
      <c r="BN22" s="67">
        <f t="shared" si="81"/>
        <v>0</v>
      </c>
      <c r="BO22" s="62"/>
      <c r="BP22" s="67">
        <f t="shared" si="82"/>
        <v>0</v>
      </c>
      <c r="BQ22" s="62"/>
      <c r="BR22" s="67">
        <f t="shared" si="56"/>
        <v>0</v>
      </c>
      <c r="BS22" s="62"/>
      <c r="BT22" s="67">
        <f t="shared" si="83"/>
        <v>0</v>
      </c>
      <c r="BU22" s="62"/>
      <c r="BV22" s="67">
        <f t="shared" si="57"/>
        <v>0</v>
      </c>
      <c r="BW22" s="62"/>
      <c r="BX22" s="67">
        <f t="shared" si="84"/>
        <v>0</v>
      </c>
      <c r="BY22" s="62"/>
      <c r="BZ22" s="67">
        <f t="shared" si="58"/>
        <v>0</v>
      </c>
      <c r="CA22" s="62"/>
      <c r="CB22" s="67">
        <f t="shared" si="59"/>
        <v>0</v>
      </c>
      <c r="CC22" s="62"/>
      <c r="CD22" s="67">
        <f>IF((CC23-CC21&lt;0), "",CC23-CC21)</f>
        <v>0</v>
      </c>
      <c r="CE22" s="62"/>
      <c r="CF22" s="67">
        <f t="shared" si="61"/>
        <v>0</v>
      </c>
      <c r="CG22" s="62"/>
      <c r="CH22" s="67">
        <f t="shared" si="62"/>
        <v>0</v>
      </c>
      <c r="CI22" s="62"/>
      <c r="CJ22" s="67">
        <f t="shared" si="63"/>
        <v>0</v>
      </c>
      <c r="CK22" s="62"/>
      <c r="CL22" s="66">
        <f t="shared" si="64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/>
      <c r="D23" s="66">
        <f t="shared" si="42"/>
        <v>0</v>
      </c>
      <c r="E23" s="60"/>
      <c r="F23" s="66">
        <f t="shared" si="43"/>
        <v>0</v>
      </c>
      <c r="G23" s="60"/>
      <c r="H23" s="66">
        <f t="shared" si="44"/>
        <v>0</v>
      </c>
      <c r="I23" s="60"/>
      <c r="J23" s="66">
        <f t="shared" si="85"/>
        <v>0</v>
      </c>
      <c r="K23" s="60"/>
      <c r="L23" s="66">
        <f t="shared" si="45"/>
        <v>0</v>
      </c>
      <c r="M23" s="60"/>
      <c r="N23" s="66">
        <f t="shared" si="46"/>
        <v>0</v>
      </c>
      <c r="O23" s="60"/>
      <c r="P23" s="67">
        <f t="shared" si="47"/>
        <v>0</v>
      </c>
      <c r="Q23" s="60"/>
      <c r="R23" s="67">
        <f t="shared" si="48"/>
        <v>0</v>
      </c>
      <c r="S23" s="60"/>
      <c r="T23" s="67">
        <f t="shared" si="86"/>
        <v>0</v>
      </c>
      <c r="U23" s="60"/>
      <c r="V23" s="67">
        <f t="shared" si="50"/>
        <v>0</v>
      </c>
      <c r="W23" s="60"/>
      <c r="X23" s="67">
        <f t="shared" si="65"/>
        <v>0</v>
      </c>
      <c r="Y23" s="60"/>
      <c r="Z23" s="67">
        <f t="shared" si="66"/>
        <v>0</v>
      </c>
      <c r="AA23" s="60"/>
      <c r="AB23" s="67">
        <f t="shared" si="67"/>
        <v>0</v>
      </c>
      <c r="AC23" s="60"/>
      <c r="AD23" s="67">
        <f t="shared" si="68"/>
        <v>0</v>
      </c>
      <c r="AE23" s="60"/>
      <c r="AF23" s="67">
        <f t="shared" si="69"/>
        <v>0</v>
      </c>
      <c r="AG23" s="60"/>
      <c r="AH23" s="67">
        <f t="shared" si="51"/>
        <v>0</v>
      </c>
      <c r="AI23" s="60"/>
      <c r="AJ23" s="67">
        <f t="shared" si="70"/>
        <v>0</v>
      </c>
      <c r="AK23" s="60"/>
      <c r="AL23" s="67"/>
      <c r="AM23" s="60"/>
      <c r="AN23" s="67">
        <f t="shared" si="53"/>
        <v>0</v>
      </c>
      <c r="AO23" s="60"/>
      <c r="AP23" s="67">
        <f t="shared" si="54"/>
        <v>0</v>
      </c>
      <c r="AQ23" s="60"/>
      <c r="AR23" s="67">
        <f t="shared" si="71"/>
        <v>0</v>
      </c>
      <c r="AS23" s="60"/>
      <c r="AT23" s="67">
        <f t="shared" si="72"/>
        <v>0</v>
      </c>
      <c r="AU23" s="60"/>
      <c r="AV23" s="67">
        <f t="shared" si="73"/>
        <v>0</v>
      </c>
      <c r="AW23" s="60"/>
      <c r="AX23" s="67">
        <f t="shared" si="74"/>
        <v>0</v>
      </c>
      <c r="AY23" s="60"/>
      <c r="AZ23" s="67">
        <f t="shared" si="75"/>
        <v>0</v>
      </c>
      <c r="BA23" s="60"/>
      <c r="BB23" s="67">
        <f t="shared" si="76"/>
        <v>0</v>
      </c>
      <c r="BC23" s="60"/>
      <c r="BD23" s="67">
        <f t="shared" si="77"/>
        <v>0</v>
      </c>
      <c r="BE23" s="61"/>
      <c r="BF23" s="67">
        <f t="shared" si="55"/>
        <v>0</v>
      </c>
      <c r="BG23" s="62"/>
      <c r="BH23" s="67">
        <f t="shared" si="78"/>
        <v>0</v>
      </c>
      <c r="BI23" s="62"/>
      <c r="BJ23" s="67">
        <f t="shared" si="79"/>
        <v>0</v>
      </c>
      <c r="BK23" s="62"/>
      <c r="BL23" s="67">
        <f t="shared" si="80"/>
        <v>0</v>
      </c>
      <c r="BM23" s="62"/>
      <c r="BN23" s="67">
        <f t="shared" si="81"/>
        <v>0</v>
      </c>
      <c r="BO23" s="62"/>
      <c r="BP23" s="67">
        <f t="shared" si="82"/>
        <v>0</v>
      </c>
      <c r="BQ23" s="62"/>
      <c r="BR23" s="67">
        <f t="shared" si="56"/>
        <v>0</v>
      </c>
      <c r="BS23" s="62"/>
      <c r="BT23" s="67">
        <f t="shared" si="83"/>
        <v>0</v>
      </c>
      <c r="BU23" s="62"/>
      <c r="BV23" s="67">
        <f t="shared" si="57"/>
        <v>0</v>
      </c>
      <c r="BW23" s="62"/>
      <c r="BX23" s="67">
        <f t="shared" si="84"/>
        <v>0</v>
      </c>
      <c r="BY23" s="62"/>
      <c r="BZ23" s="67">
        <f t="shared" si="58"/>
        <v>0</v>
      </c>
      <c r="CA23" s="62"/>
      <c r="CB23" s="67">
        <f t="shared" si="59"/>
        <v>0</v>
      </c>
      <c r="CC23" s="62"/>
      <c r="CD23" s="67">
        <f t="shared" ref="CD23:CD24" si="87">IF((CC24-CC22&lt;0), "",CC24-CC22)</f>
        <v>0</v>
      </c>
      <c r="CE23" s="62"/>
      <c r="CF23" s="67">
        <f t="shared" si="61"/>
        <v>0</v>
      </c>
      <c r="CG23" s="62"/>
      <c r="CH23" s="67">
        <f t="shared" si="62"/>
        <v>0</v>
      </c>
      <c r="CI23" s="62"/>
      <c r="CJ23" s="67">
        <f t="shared" si="63"/>
        <v>0</v>
      </c>
      <c r="CK23" s="62"/>
      <c r="CL23" s="66">
        <f t="shared" si="64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/>
      <c r="D24" s="66">
        <f t="shared" si="42"/>
        <v>0</v>
      </c>
      <c r="E24" s="60"/>
      <c r="F24" s="66">
        <f t="shared" si="43"/>
        <v>0</v>
      </c>
      <c r="G24" s="60"/>
      <c r="H24" s="66">
        <f t="shared" si="44"/>
        <v>0</v>
      </c>
      <c r="I24" s="60"/>
      <c r="J24" s="66">
        <f t="shared" si="85"/>
        <v>0</v>
      </c>
      <c r="K24" s="60"/>
      <c r="L24" s="66">
        <f t="shared" si="45"/>
        <v>0</v>
      </c>
      <c r="M24" s="60"/>
      <c r="N24" s="66">
        <f t="shared" si="46"/>
        <v>0</v>
      </c>
      <c r="O24" s="60"/>
      <c r="P24" s="67">
        <f t="shared" si="47"/>
        <v>0</v>
      </c>
      <c r="Q24" s="60"/>
      <c r="R24" s="67">
        <f t="shared" si="48"/>
        <v>0</v>
      </c>
      <c r="S24" s="60"/>
      <c r="T24" s="67">
        <f t="shared" si="86"/>
        <v>0</v>
      </c>
      <c r="U24" s="60"/>
      <c r="V24" s="67">
        <f t="shared" si="50"/>
        <v>0</v>
      </c>
      <c r="W24" s="60"/>
      <c r="X24" s="67">
        <f t="shared" si="65"/>
        <v>0</v>
      </c>
      <c r="Y24" s="60"/>
      <c r="Z24" s="67">
        <f t="shared" si="66"/>
        <v>0</v>
      </c>
      <c r="AA24" s="60"/>
      <c r="AB24" s="67">
        <f t="shared" si="67"/>
        <v>0</v>
      </c>
      <c r="AC24" s="60"/>
      <c r="AD24" s="67">
        <f t="shared" si="68"/>
        <v>0</v>
      </c>
      <c r="AE24" s="60"/>
      <c r="AF24" s="67">
        <f t="shared" si="69"/>
        <v>0</v>
      </c>
      <c r="AG24" s="60"/>
      <c r="AH24" s="67">
        <f t="shared" si="51"/>
        <v>0</v>
      </c>
      <c r="AI24" s="60"/>
      <c r="AJ24" s="67">
        <f t="shared" si="70"/>
        <v>0</v>
      </c>
      <c r="AK24" s="60"/>
      <c r="AL24" s="67">
        <f t="shared" si="52"/>
        <v>0</v>
      </c>
      <c r="AM24" s="60"/>
      <c r="AN24" s="67">
        <f t="shared" si="53"/>
        <v>0</v>
      </c>
      <c r="AO24" s="60"/>
      <c r="AP24" s="67">
        <f t="shared" si="54"/>
        <v>0</v>
      </c>
      <c r="AQ24" s="60"/>
      <c r="AR24" s="67">
        <f t="shared" si="71"/>
        <v>0</v>
      </c>
      <c r="AS24" s="60"/>
      <c r="AT24" s="67">
        <f t="shared" si="72"/>
        <v>0</v>
      </c>
      <c r="AU24" s="60"/>
      <c r="AV24" s="67">
        <f t="shared" si="73"/>
        <v>0</v>
      </c>
      <c r="AW24" s="60"/>
      <c r="AX24" s="67">
        <f t="shared" si="74"/>
        <v>0</v>
      </c>
      <c r="AY24" s="60"/>
      <c r="AZ24" s="67">
        <f t="shared" si="75"/>
        <v>0</v>
      </c>
      <c r="BA24" s="60"/>
      <c r="BB24" s="67">
        <f t="shared" si="76"/>
        <v>0</v>
      </c>
      <c r="BC24" s="60"/>
      <c r="BD24" s="67">
        <f t="shared" si="77"/>
        <v>0</v>
      </c>
      <c r="BE24" s="61"/>
      <c r="BF24" s="67">
        <f t="shared" si="55"/>
        <v>0</v>
      </c>
      <c r="BG24" s="62"/>
      <c r="BH24" s="67">
        <f t="shared" si="78"/>
        <v>0</v>
      </c>
      <c r="BI24" s="62"/>
      <c r="BJ24" s="67">
        <f t="shared" si="79"/>
        <v>0</v>
      </c>
      <c r="BK24" s="62"/>
      <c r="BL24" s="67">
        <f t="shared" si="80"/>
        <v>0</v>
      </c>
      <c r="BM24" s="62"/>
      <c r="BN24" s="67">
        <f t="shared" si="81"/>
        <v>0</v>
      </c>
      <c r="BO24" s="62"/>
      <c r="BP24" s="67">
        <f t="shared" si="82"/>
        <v>0</v>
      </c>
      <c r="BQ24" s="62"/>
      <c r="BR24" s="67">
        <f t="shared" si="56"/>
        <v>0</v>
      </c>
      <c r="BS24" s="62"/>
      <c r="BT24" s="67">
        <f t="shared" si="83"/>
        <v>0</v>
      </c>
      <c r="BU24" s="62"/>
      <c r="BV24" s="67">
        <f t="shared" si="57"/>
        <v>0</v>
      </c>
      <c r="BW24" s="62"/>
      <c r="BX24" s="67">
        <f t="shared" si="84"/>
        <v>0</v>
      </c>
      <c r="BY24" s="62"/>
      <c r="BZ24" s="67">
        <f t="shared" si="58"/>
        <v>0</v>
      </c>
      <c r="CA24" s="62"/>
      <c r="CB24" s="67">
        <f t="shared" si="59"/>
        <v>0</v>
      </c>
      <c r="CC24" s="62"/>
      <c r="CD24" s="67">
        <f t="shared" si="87"/>
        <v>0</v>
      </c>
      <c r="CE24" s="62"/>
      <c r="CF24" s="67">
        <f t="shared" si="61"/>
        <v>0</v>
      </c>
      <c r="CG24" s="62"/>
      <c r="CH24" s="67">
        <f t="shared" si="62"/>
        <v>0</v>
      </c>
      <c r="CI24" s="62"/>
      <c r="CJ24" s="67">
        <f t="shared" si="63"/>
        <v>0</v>
      </c>
      <c r="CK24" s="62"/>
      <c r="CL24" s="66">
        <f t="shared" si="64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/>
      <c r="D25" s="66">
        <f t="shared" si="42"/>
        <v>0</v>
      </c>
      <c r="E25" s="60"/>
      <c r="F25" s="66">
        <f t="shared" si="43"/>
        <v>0</v>
      </c>
      <c r="G25" s="60"/>
      <c r="H25" s="66">
        <f t="shared" si="44"/>
        <v>0</v>
      </c>
      <c r="I25" s="60"/>
      <c r="J25" s="66">
        <f t="shared" si="85"/>
        <v>0</v>
      </c>
      <c r="K25" s="60"/>
      <c r="L25" s="66">
        <f t="shared" si="45"/>
        <v>0</v>
      </c>
      <c r="M25" s="60"/>
      <c r="N25" s="66">
        <f t="shared" si="46"/>
        <v>0</v>
      </c>
      <c r="O25" s="60"/>
      <c r="P25" s="67">
        <f t="shared" si="47"/>
        <v>0</v>
      </c>
      <c r="Q25" s="60"/>
      <c r="R25" s="67">
        <f t="shared" si="48"/>
        <v>0</v>
      </c>
      <c r="S25" s="60"/>
      <c r="T25" s="67">
        <f t="shared" si="86"/>
        <v>0</v>
      </c>
      <c r="U25" s="60"/>
      <c r="V25" s="67">
        <f t="shared" si="50"/>
        <v>0</v>
      </c>
      <c r="W25" s="60"/>
      <c r="X25" s="67">
        <f t="shared" si="65"/>
        <v>0</v>
      </c>
      <c r="Y25" s="60"/>
      <c r="Z25" s="67">
        <f t="shared" si="66"/>
        <v>0</v>
      </c>
      <c r="AA25" s="60"/>
      <c r="AB25" s="67">
        <f t="shared" si="67"/>
        <v>0</v>
      </c>
      <c r="AC25" s="60"/>
      <c r="AD25" s="67">
        <f t="shared" si="68"/>
        <v>0</v>
      </c>
      <c r="AE25" s="60"/>
      <c r="AF25" s="67">
        <f t="shared" si="69"/>
        <v>0</v>
      </c>
      <c r="AG25" s="60"/>
      <c r="AH25" s="67">
        <f t="shared" si="51"/>
        <v>0</v>
      </c>
      <c r="AI25" s="60"/>
      <c r="AJ25" s="67">
        <f t="shared" si="70"/>
        <v>0</v>
      </c>
      <c r="AK25" s="60"/>
      <c r="AL25" s="67">
        <f t="shared" si="52"/>
        <v>0</v>
      </c>
      <c r="AM25" s="60"/>
      <c r="AN25" s="67">
        <f t="shared" si="53"/>
        <v>0</v>
      </c>
      <c r="AO25" s="60"/>
      <c r="AP25" s="67">
        <f t="shared" si="54"/>
        <v>0</v>
      </c>
      <c r="AQ25" s="60"/>
      <c r="AR25" s="67">
        <f t="shared" si="71"/>
        <v>0</v>
      </c>
      <c r="AS25" s="60"/>
      <c r="AT25" s="67">
        <f t="shared" si="72"/>
        <v>0</v>
      </c>
      <c r="AU25" s="60"/>
      <c r="AV25" s="67">
        <f t="shared" si="73"/>
        <v>0</v>
      </c>
      <c r="AW25" s="60"/>
      <c r="AX25" s="67">
        <f t="shared" si="74"/>
        <v>0</v>
      </c>
      <c r="AY25" s="60"/>
      <c r="AZ25" s="67">
        <f t="shared" si="75"/>
        <v>0</v>
      </c>
      <c r="BA25" s="60"/>
      <c r="BB25" s="67">
        <f t="shared" si="76"/>
        <v>0</v>
      </c>
      <c r="BC25" s="60"/>
      <c r="BD25" s="67">
        <f t="shared" si="77"/>
        <v>0</v>
      </c>
      <c r="BE25" s="61"/>
      <c r="BF25" s="67">
        <f t="shared" si="55"/>
        <v>0</v>
      </c>
      <c r="BG25" s="62"/>
      <c r="BH25" s="67">
        <f t="shared" si="78"/>
        <v>0</v>
      </c>
      <c r="BI25" s="62"/>
      <c r="BJ25" s="67">
        <f t="shared" si="79"/>
        <v>0</v>
      </c>
      <c r="BK25" s="62"/>
      <c r="BL25" s="67">
        <f t="shared" si="80"/>
        <v>0</v>
      </c>
      <c r="BM25" s="62"/>
      <c r="BN25" s="67">
        <f t="shared" si="81"/>
        <v>0</v>
      </c>
      <c r="BO25" s="62"/>
      <c r="BP25" s="67">
        <f t="shared" si="82"/>
        <v>0</v>
      </c>
      <c r="BQ25" s="62"/>
      <c r="BR25" s="67">
        <f t="shared" si="56"/>
        <v>0</v>
      </c>
      <c r="BS25" s="62"/>
      <c r="BT25" s="67">
        <f t="shared" si="83"/>
        <v>0</v>
      </c>
      <c r="BU25" s="62"/>
      <c r="BV25" s="67">
        <f t="shared" si="57"/>
        <v>0</v>
      </c>
      <c r="BW25" s="62"/>
      <c r="BX25" s="67">
        <f t="shared" si="84"/>
        <v>0</v>
      </c>
      <c r="BY25" s="62"/>
      <c r="BZ25" s="67">
        <f t="shared" si="58"/>
        <v>0</v>
      </c>
      <c r="CA25" s="62"/>
      <c r="CB25" s="67">
        <f t="shared" si="59"/>
        <v>0</v>
      </c>
      <c r="CC25" s="62"/>
      <c r="CD25" s="67">
        <f t="shared" si="60"/>
        <v>0</v>
      </c>
      <c r="CE25" s="62"/>
      <c r="CF25" s="67">
        <f t="shared" si="61"/>
        <v>0</v>
      </c>
      <c r="CG25" s="62"/>
      <c r="CH25" s="67">
        <f t="shared" si="62"/>
        <v>0</v>
      </c>
      <c r="CI25" s="62"/>
      <c r="CJ25" s="67">
        <f t="shared" si="63"/>
        <v>0</v>
      </c>
      <c r="CK25" s="62"/>
      <c r="CL25" s="66">
        <f t="shared" si="64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/>
      <c r="D26" s="66">
        <f t="shared" si="42"/>
        <v>0</v>
      </c>
      <c r="E26" s="60"/>
      <c r="F26" s="66">
        <f t="shared" si="43"/>
        <v>0</v>
      </c>
      <c r="G26" s="60"/>
      <c r="H26" s="66">
        <f t="shared" si="44"/>
        <v>0</v>
      </c>
      <c r="I26" s="60"/>
      <c r="J26" s="66">
        <f t="shared" si="85"/>
        <v>0</v>
      </c>
      <c r="K26" s="60"/>
      <c r="L26" s="66">
        <f t="shared" si="45"/>
        <v>0</v>
      </c>
      <c r="M26" s="60"/>
      <c r="N26" s="66">
        <f t="shared" si="46"/>
        <v>0</v>
      </c>
      <c r="O26" s="60"/>
      <c r="P26" s="67">
        <f t="shared" si="47"/>
        <v>0</v>
      </c>
      <c r="Q26" s="60"/>
      <c r="R26" s="67">
        <f t="shared" si="48"/>
        <v>0</v>
      </c>
      <c r="S26" s="60"/>
      <c r="T26" s="67">
        <f t="shared" si="86"/>
        <v>0</v>
      </c>
      <c r="U26" s="60"/>
      <c r="V26" s="67">
        <f t="shared" si="50"/>
        <v>0</v>
      </c>
      <c r="W26" s="60"/>
      <c r="X26" s="67">
        <f t="shared" si="65"/>
        <v>0</v>
      </c>
      <c r="Y26" s="60"/>
      <c r="Z26" s="67">
        <f t="shared" si="66"/>
        <v>0</v>
      </c>
      <c r="AA26" s="60"/>
      <c r="AB26" s="67">
        <f t="shared" si="67"/>
        <v>0</v>
      </c>
      <c r="AC26" s="60"/>
      <c r="AD26" s="67">
        <f t="shared" si="68"/>
        <v>0</v>
      </c>
      <c r="AE26" s="60"/>
      <c r="AF26" s="67">
        <f t="shared" si="69"/>
        <v>0</v>
      </c>
      <c r="AG26" s="60"/>
      <c r="AH26" s="67">
        <f t="shared" si="51"/>
        <v>0</v>
      </c>
      <c r="AI26" s="60"/>
      <c r="AJ26" s="67">
        <f t="shared" si="70"/>
        <v>0</v>
      </c>
      <c r="AK26" s="60"/>
      <c r="AL26" s="67">
        <f t="shared" si="52"/>
        <v>0</v>
      </c>
      <c r="AM26" s="60"/>
      <c r="AN26" s="67">
        <f t="shared" si="53"/>
        <v>0</v>
      </c>
      <c r="AO26" s="60"/>
      <c r="AP26" s="67">
        <f t="shared" si="54"/>
        <v>0</v>
      </c>
      <c r="AQ26" s="60"/>
      <c r="AR26" s="67">
        <f t="shared" si="71"/>
        <v>0</v>
      </c>
      <c r="AS26" s="60"/>
      <c r="AT26" s="67">
        <f t="shared" si="72"/>
        <v>0</v>
      </c>
      <c r="AU26" s="60"/>
      <c r="AV26" s="67">
        <f t="shared" si="73"/>
        <v>0</v>
      </c>
      <c r="AW26" s="60"/>
      <c r="AX26" s="67">
        <f t="shared" si="74"/>
        <v>0</v>
      </c>
      <c r="AY26" s="60"/>
      <c r="AZ26" s="67">
        <f t="shared" si="75"/>
        <v>0</v>
      </c>
      <c r="BA26" s="60"/>
      <c r="BB26" s="67">
        <f t="shared" si="76"/>
        <v>0</v>
      </c>
      <c r="BC26" s="60"/>
      <c r="BD26" s="67">
        <f t="shared" si="77"/>
        <v>0</v>
      </c>
      <c r="BE26" s="61"/>
      <c r="BF26" s="67">
        <f t="shared" si="55"/>
        <v>0</v>
      </c>
      <c r="BG26" s="62"/>
      <c r="BH26" s="67">
        <f t="shared" si="78"/>
        <v>0</v>
      </c>
      <c r="BI26" s="62"/>
      <c r="BJ26" s="67">
        <f t="shared" si="79"/>
        <v>0</v>
      </c>
      <c r="BK26" s="62"/>
      <c r="BL26" s="67">
        <f t="shared" si="80"/>
        <v>0</v>
      </c>
      <c r="BM26" s="62"/>
      <c r="BN26" s="67">
        <f t="shared" si="81"/>
        <v>0</v>
      </c>
      <c r="BO26" s="62"/>
      <c r="BP26" s="67">
        <f t="shared" si="82"/>
        <v>0</v>
      </c>
      <c r="BQ26" s="62"/>
      <c r="BR26" s="67">
        <f t="shared" si="56"/>
        <v>0</v>
      </c>
      <c r="BS26" s="62"/>
      <c r="BT26" s="67">
        <f t="shared" si="83"/>
        <v>0</v>
      </c>
      <c r="BU26" s="62"/>
      <c r="BV26" s="67">
        <f t="shared" si="57"/>
        <v>0</v>
      </c>
      <c r="BW26" s="62"/>
      <c r="BX26" s="67">
        <f t="shared" si="84"/>
        <v>0</v>
      </c>
      <c r="BY26" s="62"/>
      <c r="BZ26" s="67">
        <f t="shared" si="58"/>
        <v>0</v>
      </c>
      <c r="CA26" s="62"/>
      <c r="CB26" s="67">
        <f t="shared" si="59"/>
        <v>0</v>
      </c>
      <c r="CC26" s="62"/>
      <c r="CD26" s="67">
        <f t="shared" si="60"/>
        <v>0</v>
      </c>
      <c r="CE26" s="62"/>
      <c r="CF26" s="67">
        <f t="shared" si="61"/>
        <v>0</v>
      </c>
      <c r="CG26" s="62"/>
      <c r="CH26" s="67">
        <f t="shared" si="62"/>
        <v>0</v>
      </c>
      <c r="CI26" s="62"/>
      <c r="CJ26" s="67">
        <f t="shared" si="63"/>
        <v>0</v>
      </c>
      <c r="CK26" s="62"/>
      <c r="CL26" s="66">
        <f t="shared" si="64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/>
      <c r="D27" s="66">
        <f t="shared" si="42"/>
        <v>0</v>
      </c>
      <c r="E27" s="60"/>
      <c r="F27" s="66">
        <f t="shared" si="43"/>
        <v>0</v>
      </c>
      <c r="G27" s="60"/>
      <c r="H27" s="66">
        <f t="shared" si="44"/>
        <v>0</v>
      </c>
      <c r="I27" s="60"/>
      <c r="J27" s="66">
        <f t="shared" si="85"/>
        <v>0</v>
      </c>
      <c r="K27" s="60"/>
      <c r="L27" s="66">
        <f t="shared" si="45"/>
        <v>0</v>
      </c>
      <c r="M27" s="60"/>
      <c r="N27" s="66">
        <f t="shared" si="46"/>
        <v>0</v>
      </c>
      <c r="O27" s="60"/>
      <c r="P27" s="67">
        <f t="shared" si="47"/>
        <v>0</v>
      </c>
      <c r="Q27" s="60"/>
      <c r="R27" s="67">
        <f t="shared" si="48"/>
        <v>0</v>
      </c>
      <c r="S27" s="60"/>
      <c r="T27" s="67">
        <f t="shared" si="86"/>
        <v>0</v>
      </c>
      <c r="U27" s="60"/>
      <c r="V27" s="67">
        <f t="shared" si="50"/>
        <v>0</v>
      </c>
      <c r="W27" s="60"/>
      <c r="X27" s="67">
        <f t="shared" si="65"/>
        <v>0</v>
      </c>
      <c r="Y27" s="60"/>
      <c r="Z27" s="67">
        <f t="shared" si="66"/>
        <v>0</v>
      </c>
      <c r="AA27" s="60"/>
      <c r="AB27" s="67">
        <f t="shared" si="67"/>
        <v>0</v>
      </c>
      <c r="AC27" s="60"/>
      <c r="AD27" s="67">
        <f t="shared" si="68"/>
        <v>0</v>
      </c>
      <c r="AE27" s="60"/>
      <c r="AF27" s="67">
        <f t="shared" si="69"/>
        <v>0</v>
      </c>
      <c r="AG27" s="60"/>
      <c r="AH27" s="67">
        <f t="shared" si="51"/>
        <v>0</v>
      </c>
      <c r="AI27" s="60"/>
      <c r="AJ27" s="67">
        <f t="shared" si="70"/>
        <v>0</v>
      </c>
      <c r="AK27" s="60"/>
      <c r="AL27" s="67">
        <f t="shared" si="52"/>
        <v>0</v>
      </c>
      <c r="AM27" s="60"/>
      <c r="AN27" s="67">
        <f t="shared" si="53"/>
        <v>0</v>
      </c>
      <c r="AO27" s="60"/>
      <c r="AP27" s="67">
        <f t="shared" si="54"/>
        <v>0</v>
      </c>
      <c r="AQ27" s="60"/>
      <c r="AR27" s="67">
        <f t="shared" si="71"/>
        <v>0</v>
      </c>
      <c r="AS27" s="60"/>
      <c r="AT27" s="67">
        <f t="shared" si="72"/>
        <v>0</v>
      </c>
      <c r="AU27" s="60"/>
      <c r="AV27" s="67">
        <f t="shared" si="73"/>
        <v>0</v>
      </c>
      <c r="AW27" s="60"/>
      <c r="AX27" s="67">
        <f t="shared" si="74"/>
        <v>0</v>
      </c>
      <c r="AY27" s="60"/>
      <c r="AZ27" s="67">
        <f t="shared" si="75"/>
        <v>0</v>
      </c>
      <c r="BA27" s="60"/>
      <c r="BB27" s="67">
        <f t="shared" si="76"/>
        <v>0</v>
      </c>
      <c r="BC27" s="60"/>
      <c r="BD27" s="67">
        <f t="shared" si="77"/>
        <v>0</v>
      </c>
      <c r="BE27" s="61"/>
      <c r="BF27" s="67">
        <f t="shared" si="55"/>
        <v>0</v>
      </c>
      <c r="BG27" s="62"/>
      <c r="BH27" s="67">
        <f t="shared" si="78"/>
        <v>0</v>
      </c>
      <c r="BI27" s="62"/>
      <c r="BJ27" s="67">
        <f t="shared" si="79"/>
        <v>0</v>
      </c>
      <c r="BK27" s="62"/>
      <c r="BL27" s="67">
        <f t="shared" si="80"/>
        <v>0</v>
      </c>
      <c r="BM27" s="62"/>
      <c r="BN27" s="67">
        <f t="shared" si="81"/>
        <v>0</v>
      </c>
      <c r="BO27" s="62"/>
      <c r="BP27" s="67">
        <f t="shared" si="82"/>
        <v>0</v>
      </c>
      <c r="BQ27" s="62"/>
      <c r="BR27" s="67">
        <f t="shared" si="56"/>
        <v>0</v>
      </c>
      <c r="BS27" s="62"/>
      <c r="BT27" s="67">
        <f t="shared" si="83"/>
        <v>0</v>
      </c>
      <c r="BU27" s="62"/>
      <c r="BV27" s="67">
        <f t="shared" si="57"/>
        <v>0</v>
      </c>
      <c r="BW27" s="62"/>
      <c r="BX27" s="67">
        <f t="shared" si="84"/>
        <v>0</v>
      </c>
      <c r="BY27" s="62"/>
      <c r="BZ27" s="67">
        <f t="shared" si="58"/>
        <v>0</v>
      </c>
      <c r="CA27" s="62"/>
      <c r="CB27" s="67">
        <f t="shared" si="59"/>
        <v>0</v>
      </c>
      <c r="CC27" s="62"/>
      <c r="CD27" s="67">
        <f t="shared" si="60"/>
        <v>0</v>
      </c>
      <c r="CE27" s="62"/>
      <c r="CF27" s="67">
        <f t="shared" si="61"/>
        <v>0</v>
      </c>
      <c r="CG27" s="62"/>
      <c r="CH27" s="67">
        <f t="shared" si="62"/>
        <v>0</v>
      </c>
      <c r="CI27" s="62"/>
      <c r="CJ27" s="67">
        <f t="shared" si="63"/>
        <v>0</v>
      </c>
      <c r="CK27" s="62"/>
      <c r="CL27" s="66">
        <f t="shared" si="64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/>
      <c r="D28" s="66">
        <f t="shared" si="42"/>
        <v>0</v>
      </c>
      <c r="E28" s="60"/>
      <c r="F28" s="66">
        <f t="shared" si="43"/>
        <v>0</v>
      </c>
      <c r="G28" s="60"/>
      <c r="H28" s="66">
        <f t="shared" si="44"/>
        <v>0</v>
      </c>
      <c r="I28" s="60"/>
      <c r="J28" s="66">
        <f t="shared" si="85"/>
        <v>0</v>
      </c>
      <c r="K28" s="60"/>
      <c r="L28" s="66">
        <f t="shared" si="45"/>
        <v>0</v>
      </c>
      <c r="M28" s="60"/>
      <c r="N28" s="66">
        <f t="shared" si="46"/>
        <v>0</v>
      </c>
      <c r="O28" s="60"/>
      <c r="P28" s="67">
        <f t="shared" si="47"/>
        <v>0</v>
      </c>
      <c r="Q28" s="60"/>
      <c r="R28" s="67">
        <f t="shared" si="48"/>
        <v>0</v>
      </c>
      <c r="S28" s="60"/>
      <c r="T28" s="67">
        <f t="shared" si="86"/>
        <v>0</v>
      </c>
      <c r="U28" s="60"/>
      <c r="V28" s="67">
        <f t="shared" si="50"/>
        <v>0</v>
      </c>
      <c r="W28" s="60"/>
      <c r="X28" s="67">
        <f t="shared" si="65"/>
        <v>0</v>
      </c>
      <c r="Y28" s="60"/>
      <c r="Z28" s="67">
        <f t="shared" si="66"/>
        <v>0</v>
      </c>
      <c r="AA28" s="60"/>
      <c r="AB28" s="67">
        <f t="shared" si="67"/>
        <v>0</v>
      </c>
      <c r="AC28" s="60"/>
      <c r="AD28" s="67">
        <f t="shared" si="68"/>
        <v>0</v>
      </c>
      <c r="AE28" s="60"/>
      <c r="AF28" s="67">
        <f t="shared" si="69"/>
        <v>0</v>
      </c>
      <c r="AG28" s="60"/>
      <c r="AH28" s="67">
        <f t="shared" si="51"/>
        <v>0</v>
      </c>
      <c r="AI28" s="60"/>
      <c r="AJ28" s="67">
        <f t="shared" si="70"/>
        <v>0</v>
      </c>
      <c r="AK28" s="60"/>
      <c r="AL28" s="67">
        <f t="shared" si="52"/>
        <v>0</v>
      </c>
      <c r="AM28" s="60"/>
      <c r="AN28" s="67">
        <f t="shared" si="53"/>
        <v>0</v>
      </c>
      <c r="AO28" s="60"/>
      <c r="AP28" s="67">
        <f t="shared" si="54"/>
        <v>0</v>
      </c>
      <c r="AQ28" s="60"/>
      <c r="AR28" s="67">
        <f t="shared" si="71"/>
        <v>0</v>
      </c>
      <c r="AS28" s="60"/>
      <c r="AT28" s="67">
        <f t="shared" si="72"/>
        <v>0</v>
      </c>
      <c r="AU28" s="60"/>
      <c r="AV28" s="67">
        <f t="shared" si="73"/>
        <v>0</v>
      </c>
      <c r="AW28" s="60"/>
      <c r="AX28" s="67">
        <f t="shared" si="74"/>
        <v>0</v>
      </c>
      <c r="AY28" s="60"/>
      <c r="AZ28" s="67">
        <f t="shared" si="75"/>
        <v>0</v>
      </c>
      <c r="BA28" s="60"/>
      <c r="BB28" s="67">
        <f t="shared" si="76"/>
        <v>0</v>
      </c>
      <c r="BC28" s="60"/>
      <c r="BD28" s="67">
        <f t="shared" si="77"/>
        <v>0</v>
      </c>
      <c r="BE28" s="61"/>
      <c r="BF28" s="67">
        <f t="shared" si="55"/>
        <v>0</v>
      </c>
      <c r="BG28" s="62"/>
      <c r="BH28" s="67">
        <f t="shared" si="78"/>
        <v>0</v>
      </c>
      <c r="BI28" s="62"/>
      <c r="BJ28" s="67">
        <f t="shared" si="79"/>
        <v>0</v>
      </c>
      <c r="BK28" s="62"/>
      <c r="BL28" s="67">
        <f t="shared" si="80"/>
        <v>0</v>
      </c>
      <c r="BM28" s="62"/>
      <c r="BN28" s="67">
        <f t="shared" si="81"/>
        <v>0</v>
      </c>
      <c r="BO28" s="62"/>
      <c r="BP28" s="67">
        <f t="shared" si="82"/>
        <v>0</v>
      </c>
      <c r="BQ28" s="62"/>
      <c r="BR28" s="67">
        <f t="shared" si="56"/>
        <v>0</v>
      </c>
      <c r="BS28" s="62"/>
      <c r="BT28" s="67">
        <f t="shared" si="83"/>
        <v>0</v>
      </c>
      <c r="BU28" s="62"/>
      <c r="BV28" s="67">
        <f t="shared" si="57"/>
        <v>0</v>
      </c>
      <c r="BW28" s="62"/>
      <c r="BX28" s="67">
        <f t="shared" si="84"/>
        <v>0</v>
      </c>
      <c r="BY28" s="62"/>
      <c r="BZ28" s="67">
        <f t="shared" si="58"/>
        <v>0</v>
      </c>
      <c r="CA28" s="62"/>
      <c r="CB28" s="67">
        <f t="shared" si="59"/>
        <v>0</v>
      </c>
      <c r="CC28" s="62"/>
      <c r="CD28" s="67">
        <f t="shared" si="60"/>
        <v>0</v>
      </c>
      <c r="CE28" s="62"/>
      <c r="CF28" s="67">
        <f t="shared" si="61"/>
        <v>0</v>
      </c>
      <c r="CG28" s="62"/>
      <c r="CH28" s="67">
        <f t="shared" si="62"/>
        <v>0</v>
      </c>
      <c r="CI28" s="62"/>
      <c r="CJ28" s="67">
        <f t="shared" si="63"/>
        <v>0</v>
      </c>
      <c r="CK28" s="62"/>
      <c r="CL28" s="66">
        <f t="shared" si="64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/>
      <c r="D29" s="66">
        <f t="shared" si="42"/>
        <v>0</v>
      </c>
      <c r="E29" s="60"/>
      <c r="F29" s="66">
        <f t="shared" si="43"/>
        <v>0</v>
      </c>
      <c r="G29" s="60"/>
      <c r="H29" s="66">
        <f t="shared" si="44"/>
        <v>0</v>
      </c>
      <c r="I29" s="60"/>
      <c r="J29" s="66">
        <f t="shared" si="85"/>
        <v>0</v>
      </c>
      <c r="K29" s="60"/>
      <c r="L29" s="66">
        <f t="shared" si="45"/>
        <v>0</v>
      </c>
      <c r="M29" s="60"/>
      <c r="N29" s="66">
        <f t="shared" si="46"/>
        <v>0</v>
      </c>
      <c r="O29" s="60"/>
      <c r="P29" s="67">
        <f t="shared" si="47"/>
        <v>0</v>
      </c>
      <c r="Q29" s="60"/>
      <c r="R29" s="67">
        <f t="shared" si="48"/>
        <v>0</v>
      </c>
      <c r="S29" s="60"/>
      <c r="T29" s="67">
        <f t="shared" si="86"/>
        <v>0</v>
      </c>
      <c r="U29" s="60"/>
      <c r="V29" s="67">
        <f t="shared" si="50"/>
        <v>0</v>
      </c>
      <c r="W29" s="60"/>
      <c r="X29" s="67">
        <f t="shared" si="65"/>
        <v>0</v>
      </c>
      <c r="Y29" s="60"/>
      <c r="Z29" s="67">
        <f t="shared" si="66"/>
        <v>0</v>
      </c>
      <c r="AA29" s="60"/>
      <c r="AB29" s="67">
        <f t="shared" si="67"/>
        <v>0</v>
      </c>
      <c r="AC29" s="60"/>
      <c r="AD29" s="67">
        <f t="shared" si="68"/>
        <v>0</v>
      </c>
      <c r="AE29" s="60"/>
      <c r="AF29" s="67">
        <f t="shared" si="69"/>
        <v>0</v>
      </c>
      <c r="AG29" s="60"/>
      <c r="AH29" s="67">
        <f t="shared" si="51"/>
        <v>0</v>
      </c>
      <c r="AI29" s="60"/>
      <c r="AJ29" s="67">
        <f t="shared" si="70"/>
        <v>0</v>
      </c>
      <c r="AK29" s="60"/>
      <c r="AL29" s="67">
        <f t="shared" si="52"/>
        <v>0</v>
      </c>
      <c r="AM29" s="60"/>
      <c r="AN29" s="67">
        <f t="shared" si="53"/>
        <v>0</v>
      </c>
      <c r="AO29" s="60"/>
      <c r="AP29" s="67">
        <f t="shared" si="54"/>
        <v>0</v>
      </c>
      <c r="AQ29" s="60"/>
      <c r="AR29" s="67">
        <f t="shared" si="71"/>
        <v>0</v>
      </c>
      <c r="AS29" s="60"/>
      <c r="AT29" s="67">
        <f t="shared" si="72"/>
        <v>0</v>
      </c>
      <c r="AU29" s="60"/>
      <c r="AV29" s="67">
        <f t="shared" si="73"/>
        <v>0</v>
      </c>
      <c r="AW29" s="60"/>
      <c r="AX29" s="67">
        <f t="shared" si="74"/>
        <v>0</v>
      </c>
      <c r="AY29" s="60"/>
      <c r="AZ29" s="67">
        <f t="shared" si="75"/>
        <v>0</v>
      </c>
      <c r="BA29" s="60"/>
      <c r="BB29" s="67">
        <f t="shared" si="76"/>
        <v>0</v>
      </c>
      <c r="BC29" s="60"/>
      <c r="BD29" s="67">
        <f t="shared" si="77"/>
        <v>0</v>
      </c>
      <c r="BE29" s="61"/>
      <c r="BF29" s="67">
        <f t="shared" si="55"/>
        <v>0</v>
      </c>
      <c r="BG29" s="62"/>
      <c r="BH29" s="67">
        <f t="shared" si="78"/>
        <v>0</v>
      </c>
      <c r="BI29" s="62"/>
      <c r="BJ29" s="67">
        <f t="shared" si="79"/>
        <v>0</v>
      </c>
      <c r="BK29" s="62"/>
      <c r="BL29" s="67">
        <f t="shared" si="80"/>
        <v>0</v>
      </c>
      <c r="BM29" s="62"/>
      <c r="BN29" s="67">
        <f t="shared" si="81"/>
        <v>0</v>
      </c>
      <c r="BO29" s="62"/>
      <c r="BP29" s="67">
        <f t="shared" si="82"/>
        <v>0</v>
      </c>
      <c r="BQ29" s="62"/>
      <c r="BR29" s="67">
        <f t="shared" si="56"/>
        <v>0</v>
      </c>
      <c r="BS29" s="62"/>
      <c r="BT29" s="67">
        <f t="shared" si="83"/>
        <v>0</v>
      </c>
      <c r="BU29" s="62"/>
      <c r="BV29" s="67">
        <f t="shared" si="57"/>
        <v>0</v>
      </c>
      <c r="BW29" s="62"/>
      <c r="BX29" s="67">
        <f t="shared" si="84"/>
        <v>0</v>
      </c>
      <c r="BY29" s="62"/>
      <c r="BZ29" s="67">
        <f t="shared" si="58"/>
        <v>0</v>
      </c>
      <c r="CA29" s="62"/>
      <c r="CB29" s="67">
        <f t="shared" si="59"/>
        <v>0</v>
      </c>
      <c r="CC29" s="62"/>
      <c r="CD29" s="67">
        <f t="shared" si="60"/>
        <v>0</v>
      </c>
      <c r="CE29" s="62"/>
      <c r="CF29" s="67">
        <f t="shared" si="61"/>
        <v>0</v>
      </c>
      <c r="CG29" s="62"/>
      <c r="CH29" s="67">
        <f t="shared" si="62"/>
        <v>0</v>
      </c>
      <c r="CI29" s="62"/>
      <c r="CJ29" s="67">
        <f t="shared" si="63"/>
        <v>0</v>
      </c>
      <c r="CK29" s="62"/>
      <c r="CL29" s="66">
        <f t="shared" si="64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/>
      <c r="D30" s="66">
        <f t="shared" si="42"/>
        <v>0</v>
      </c>
      <c r="E30" s="60"/>
      <c r="F30" s="66">
        <f t="shared" si="43"/>
        <v>0</v>
      </c>
      <c r="G30" s="60"/>
      <c r="H30" s="66">
        <f t="shared" si="44"/>
        <v>0</v>
      </c>
      <c r="I30" s="60"/>
      <c r="J30" s="66">
        <f t="shared" si="85"/>
        <v>0</v>
      </c>
      <c r="K30" s="60"/>
      <c r="L30" s="66">
        <f t="shared" si="45"/>
        <v>0</v>
      </c>
      <c r="M30" s="60"/>
      <c r="N30" s="66">
        <f t="shared" si="46"/>
        <v>0</v>
      </c>
      <c r="O30" s="60"/>
      <c r="P30" s="67">
        <f t="shared" si="47"/>
        <v>0</v>
      </c>
      <c r="Q30" s="60"/>
      <c r="R30" s="67">
        <f t="shared" si="48"/>
        <v>0</v>
      </c>
      <c r="S30" s="60"/>
      <c r="T30" s="67">
        <f t="shared" si="86"/>
        <v>0</v>
      </c>
      <c r="U30" s="60"/>
      <c r="V30" s="67">
        <f t="shared" si="50"/>
        <v>0</v>
      </c>
      <c r="W30" s="60"/>
      <c r="X30" s="67">
        <f t="shared" si="65"/>
        <v>0</v>
      </c>
      <c r="Y30" s="60"/>
      <c r="Z30" s="67">
        <f t="shared" si="66"/>
        <v>0</v>
      </c>
      <c r="AA30" s="60"/>
      <c r="AB30" s="67">
        <f t="shared" si="67"/>
        <v>0</v>
      </c>
      <c r="AC30" s="60"/>
      <c r="AD30" s="67">
        <f t="shared" si="68"/>
        <v>0</v>
      </c>
      <c r="AE30" s="60"/>
      <c r="AF30" s="67">
        <f t="shared" si="69"/>
        <v>0</v>
      </c>
      <c r="AG30" s="60"/>
      <c r="AH30" s="67">
        <f t="shared" si="51"/>
        <v>0</v>
      </c>
      <c r="AI30" s="60"/>
      <c r="AJ30" s="67">
        <f t="shared" si="70"/>
        <v>0</v>
      </c>
      <c r="AK30" s="60"/>
      <c r="AL30" s="67">
        <f t="shared" si="52"/>
        <v>0</v>
      </c>
      <c r="AM30" s="60"/>
      <c r="AN30" s="67">
        <f t="shared" si="53"/>
        <v>0</v>
      </c>
      <c r="AO30" s="60"/>
      <c r="AP30" s="67">
        <f t="shared" si="54"/>
        <v>0</v>
      </c>
      <c r="AQ30" s="60"/>
      <c r="AR30" s="67">
        <f t="shared" si="71"/>
        <v>0</v>
      </c>
      <c r="AS30" s="60"/>
      <c r="AT30" s="67">
        <f t="shared" si="72"/>
        <v>0</v>
      </c>
      <c r="AU30" s="60"/>
      <c r="AV30" s="67">
        <f t="shared" si="73"/>
        <v>0</v>
      </c>
      <c r="AW30" s="60"/>
      <c r="AX30" s="67">
        <f t="shared" si="74"/>
        <v>0</v>
      </c>
      <c r="AY30" s="60"/>
      <c r="AZ30" s="67">
        <f t="shared" si="75"/>
        <v>0</v>
      </c>
      <c r="BA30" s="60"/>
      <c r="BB30" s="67">
        <f t="shared" si="76"/>
        <v>0</v>
      </c>
      <c r="BC30" s="60"/>
      <c r="BD30" s="67">
        <f t="shared" si="77"/>
        <v>0</v>
      </c>
      <c r="BE30" s="61"/>
      <c r="BF30" s="67">
        <f t="shared" si="55"/>
        <v>0</v>
      </c>
      <c r="BG30" s="62"/>
      <c r="BH30" s="67">
        <f t="shared" si="78"/>
        <v>0</v>
      </c>
      <c r="BI30" s="62"/>
      <c r="BJ30" s="67">
        <f t="shared" si="79"/>
        <v>0</v>
      </c>
      <c r="BK30" s="62"/>
      <c r="BL30" s="67">
        <f t="shared" si="80"/>
        <v>0</v>
      </c>
      <c r="BM30" s="62"/>
      <c r="BN30" s="67">
        <f t="shared" si="81"/>
        <v>0</v>
      </c>
      <c r="BO30" s="62"/>
      <c r="BP30" s="67">
        <f t="shared" si="82"/>
        <v>0</v>
      </c>
      <c r="BQ30" s="62"/>
      <c r="BR30" s="67">
        <f t="shared" si="56"/>
        <v>0</v>
      </c>
      <c r="BS30" s="62"/>
      <c r="BT30" s="67">
        <f t="shared" si="83"/>
        <v>0</v>
      </c>
      <c r="BU30" s="62"/>
      <c r="BV30" s="67">
        <f t="shared" si="57"/>
        <v>0</v>
      </c>
      <c r="BW30" s="62"/>
      <c r="BX30" s="67">
        <f t="shared" si="84"/>
        <v>0</v>
      </c>
      <c r="BY30" s="62"/>
      <c r="BZ30" s="67">
        <f t="shared" si="58"/>
        <v>0</v>
      </c>
      <c r="CA30" s="62"/>
      <c r="CB30" s="67">
        <f t="shared" si="59"/>
        <v>0</v>
      </c>
      <c r="CC30" s="62"/>
      <c r="CD30" s="67">
        <f t="shared" si="60"/>
        <v>0</v>
      </c>
      <c r="CE30" s="62"/>
      <c r="CF30" s="67">
        <f t="shared" si="61"/>
        <v>0</v>
      </c>
      <c r="CG30" s="62"/>
      <c r="CH30" s="67">
        <f t="shared" si="62"/>
        <v>0</v>
      </c>
      <c r="CI30" s="62"/>
      <c r="CJ30" s="67">
        <f t="shared" si="63"/>
        <v>0</v>
      </c>
      <c r="CK30" s="62"/>
      <c r="CL30" s="66">
        <f t="shared" si="64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20</v>
      </c>
      <c r="R35" s="71"/>
      <c r="AX35" s="67">
        <f t="shared" si="74"/>
        <v>0</v>
      </c>
      <c r="BF35" s="71">
        <f>SUM(BF4:BF33)</f>
        <v>242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14" sqref="Q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1" t="s">
        <v>0</v>
      </c>
      <c r="B4" s="94" t="s">
        <v>53</v>
      </c>
      <c r="C4" s="94" t="s">
        <v>54</v>
      </c>
      <c r="D4" s="97" t="s">
        <v>55</v>
      </c>
      <c r="E4" s="80" t="s">
        <v>56</v>
      </c>
      <c r="F4" s="100"/>
      <c r="G4" s="100"/>
      <c r="H4" s="100"/>
      <c r="I4" s="100"/>
      <c r="J4" s="81"/>
      <c r="K4" s="88" t="s">
        <v>57</v>
      </c>
      <c r="L4" s="89"/>
      <c r="M4" s="90"/>
      <c r="N4" s="79" t="s">
        <v>36</v>
      </c>
      <c r="O4" s="79"/>
      <c r="P4" s="79"/>
      <c r="Q4" s="79"/>
    </row>
    <row r="5" spans="1:17" ht="33.75" customHeight="1" x14ac:dyDescent="0.25">
      <c r="A5" s="92"/>
      <c r="B5" s="95"/>
      <c r="C5" s="95"/>
      <c r="D5" s="98"/>
      <c r="E5" s="80" t="s">
        <v>58</v>
      </c>
      <c r="F5" s="81"/>
      <c r="G5" s="80" t="s">
        <v>59</v>
      </c>
      <c r="H5" s="81"/>
      <c r="I5" s="80" t="s">
        <v>60</v>
      </c>
      <c r="J5" s="81"/>
      <c r="K5" s="82" t="s">
        <v>61</v>
      </c>
      <c r="L5" s="83"/>
      <c r="M5" s="84"/>
      <c r="N5" s="85" t="s">
        <v>62</v>
      </c>
      <c r="O5" s="86"/>
      <c r="P5" s="86"/>
      <c r="Q5" s="87"/>
    </row>
    <row r="6" spans="1:17" x14ac:dyDescent="0.25">
      <c r="A6" s="93"/>
      <c r="B6" s="96"/>
      <c r="C6" s="96"/>
      <c r="D6" s="9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/>
      <c r="C23" s="41"/>
      <c r="D23" s="41"/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/>
      <c r="C24" s="41"/>
      <c r="D24" s="41"/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/>
      <c r="C25" s="41"/>
      <c r="D25" s="41"/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/>
      <c r="C26" s="41"/>
      <c r="D26" s="41"/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/>
      <c r="C27" s="41"/>
      <c r="D27" s="41"/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/>
      <c r="C28" s="41"/>
      <c r="D28" s="41"/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/>
      <c r="C29" s="41"/>
      <c r="D29" s="41"/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/>
      <c r="C30" s="41"/>
      <c r="D30" s="41"/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/>
      <c r="C31" s="41"/>
      <c r="D31" s="41"/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/>
      <c r="C32" s="41"/>
      <c r="D32" s="41"/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/>
      <c r="C33" s="41"/>
      <c r="D33" s="41"/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/>
      <c r="C34" s="41"/>
      <c r="D34" s="41"/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/>
      <c r="C35" s="41"/>
      <c r="D35" s="41"/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/>
      <c r="C36" s="41"/>
      <c r="D36" s="41"/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/>
      <c r="C37" s="41"/>
      <c r="D37" s="41"/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/>
      <c r="C38" s="41"/>
      <c r="D38" s="41"/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/>
      <c r="C39" s="41"/>
      <c r="D39" s="41"/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2020-05-08T09:38:16Z</dcterms:modified>
</cp:coreProperties>
</file>