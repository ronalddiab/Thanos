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9440" windowHeight="121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7" l="1"/>
  <c r="E32" i="117"/>
  <c r="F32" i="117"/>
  <c r="G32" i="117"/>
  <c r="H32" i="117" s="1"/>
  <c r="I32" i="117"/>
  <c r="J32" i="117"/>
  <c r="K32" i="117"/>
  <c r="L32" i="117" s="1"/>
  <c r="M32" i="117"/>
  <c r="N32" i="117"/>
  <c r="F39" i="106"/>
  <c r="H39" i="106"/>
  <c r="J39" i="106"/>
  <c r="G39" i="116"/>
  <c r="H39" i="116" s="1"/>
  <c r="G39" i="109"/>
  <c r="J39" i="109"/>
  <c r="M39" i="109"/>
  <c r="P39" i="109"/>
  <c r="F38" i="102"/>
  <c r="G38" i="102" s="1"/>
  <c r="I38" i="102"/>
  <c r="J38" i="102" s="1"/>
  <c r="K39" i="106" l="1"/>
  <c r="L39" i="106" s="1"/>
  <c r="Q39" i="109"/>
  <c r="R39" i="109" s="1"/>
  <c r="K38" i="102"/>
  <c r="L38" i="102" s="1"/>
  <c r="M38" i="102" s="1"/>
  <c r="G2" i="117"/>
  <c r="F40" i="116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H11" i="106" l="1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l="1"/>
  <c r="J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K18" i="106" s="1"/>
  <c r="L18" i="106" s="1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 s="1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40" i="116"/>
  <c r="C40" i="116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8" i="109"/>
  <c r="J19" i="109" s="1"/>
  <c r="I40" i="106"/>
  <c r="G40" i="106"/>
  <c r="E40" i="106"/>
  <c r="F38" i="106"/>
  <c r="F37" i="106"/>
  <c r="F36" i="106"/>
  <c r="F35" i="106"/>
  <c r="F34" i="106"/>
  <c r="F33" i="106"/>
  <c r="F32" i="106"/>
  <c r="F31" i="106"/>
  <c r="F30" i="106"/>
  <c r="K30" i="106" s="1"/>
  <c r="L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K10" i="106" s="1"/>
  <c r="L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G9" i="102"/>
  <c r="I9" i="102"/>
  <c r="J9" i="102" s="1"/>
  <c r="G10" i="102"/>
  <c r="I10" i="102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I41" i="106" l="1"/>
  <c r="J10" i="102"/>
  <c r="E4" i="117"/>
  <c r="J8" i="102"/>
  <c r="E2" i="117"/>
  <c r="Q40" i="109"/>
  <c r="H17" i="116"/>
  <c r="J10" i="117"/>
  <c r="J5" i="117"/>
  <c r="H12" i="116"/>
  <c r="H18" i="116"/>
  <c r="J11" i="117"/>
  <c r="H10" i="116"/>
  <c r="J3" i="117"/>
  <c r="H35" i="116"/>
  <c r="J28" i="117"/>
  <c r="H22" i="116"/>
  <c r="J15" i="117"/>
  <c r="H28" i="116"/>
  <c r="J21" i="117"/>
  <c r="H24" i="116"/>
  <c r="J17" i="117"/>
  <c r="H29" i="116"/>
  <c r="J22" i="117"/>
  <c r="H25" i="116"/>
  <c r="J18" i="117"/>
  <c r="H31" i="116"/>
  <c r="J24" i="117"/>
  <c r="H11" i="116"/>
  <c r="J4" i="117"/>
  <c r="H23" i="116"/>
  <c r="J16" i="117"/>
  <c r="H14" i="116"/>
  <c r="J7" i="117"/>
  <c r="H20" i="116"/>
  <c r="J13" i="117"/>
  <c r="H30" i="116"/>
  <c r="J23" i="117"/>
  <c r="H38" i="116"/>
  <c r="J31" i="117"/>
  <c r="H15" i="116"/>
  <c r="J8" i="117"/>
  <c r="J19" i="117"/>
  <c r="H26" i="116"/>
  <c r="E26" i="117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L11" i="117"/>
  <c r="K12" i="106"/>
  <c r="L12" i="106" s="1"/>
  <c r="G16" i="116"/>
  <c r="G13" i="116"/>
  <c r="G19" i="116"/>
  <c r="G21" i="116"/>
  <c r="G27" i="116"/>
  <c r="K37" i="102"/>
  <c r="L37" i="102" s="1"/>
  <c r="M37" i="102" s="1"/>
  <c r="E9" i="117"/>
  <c r="G22" i="102"/>
  <c r="K22" i="102" s="1"/>
  <c r="L22" i="102" s="1"/>
  <c r="M22" i="102" s="1"/>
  <c r="E5" i="117"/>
  <c r="E21" i="117"/>
  <c r="K10" i="102"/>
  <c r="L10" i="102" s="1"/>
  <c r="M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G36" i="116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J24" i="109"/>
  <c r="K13" i="102"/>
  <c r="L13" i="102" s="1"/>
  <c r="M13" i="102" s="1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G37" i="116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3" i="117"/>
  <c r="K14" i="106"/>
  <c r="L14" i="106" s="1"/>
  <c r="K20" i="106"/>
  <c r="L20" i="106" s="1"/>
  <c r="G34" i="116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L23" i="117"/>
  <c r="L3" i="117"/>
  <c r="M29" i="109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M8" i="102" l="1"/>
  <c r="F2" i="117"/>
  <c r="L39" i="102"/>
  <c r="J12" i="117"/>
  <c r="H19" i="116"/>
  <c r="H36" i="116"/>
  <c r="J29" i="117"/>
  <c r="H34" i="116"/>
  <c r="J27" i="117"/>
  <c r="H32" i="116"/>
  <c r="J25" i="117"/>
  <c r="H13" i="116"/>
  <c r="J6" i="117"/>
  <c r="H16" i="116"/>
  <c r="J9" i="117"/>
  <c r="H37" i="116"/>
  <c r="J30" i="117"/>
  <c r="H27" i="116"/>
  <c r="J20" i="117"/>
  <c r="H33" i="116"/>
  <c r="J26" i="117"/>
  <c r="H21" i="116"/>
  <c r="J14" i="117"/>
  <c r="F17" i="117"/>
  <c r="K40" i="102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Q21" i="109" s="1"/>
  <c r="R21" i="109" s="1"/>
  <c r="M12" i="109"/>
  <c r="M19" i="109"/>
  <c r="M36" i="109"/>
  <c r="M21" i="109"/>
  <c r="M27" i="109"/>
  <c r="M15" i="109"/>
  <c r="M14" i="109"/>
  <c r="L24" i="117"/>
  <c r="L12" i="117"/>
  <c r="L9" i="117"/>
  <c r="L17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R31" i="109" s="1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Q28" i="109" s="1"/>
  <c r="R28" i="109" s="1"/>
  <c r="P25" i="109"/>
  <c r="P27" i="109"/>
  <c r="P36" i="109"/>
  <c r="P17" i="109"/>
  <c r="P9" i="109"/>
  <c r="Q9" i="109" s="1"/>
  <c r="R9" i="109" s="1"/>
  <c r="P12" i="109"/>
  <c r="Q12" i="109" s="1"/>
  <c r="R12" i="109" s="1"/>
  <c r="P16" i="109"/>
  <c r="Q16" i="109" s="1"/>
  <c r="R16" i="109" s="1"/>
  <c r="P22" i="109"/>
  <c r="P38" i="109"/>
  <c r="P26" i="109"/>
  <c r="Q26" i="109" s="1"/>
  <c r="R26" i="109" s="1"/>
  <c r="P19" i="109"/>
  <c r="Q19" i="109" s="1"/>
  <c r="R19" i="109" s="1"/>
  <c r="P15" i="109"/>
  <c r="P29" i="109"/>
  <c r="Q29" i="109" s="1"/>
  <c r="R29" i="109" s="1"/>
  <c r="L27" i="117"/>
  <c r="F21" i="117"/>
  <c r="Q32" i="109"/>
  <c r="R32" i="109" s="1"/>
  <c r="F11" i="117"/>
  <c r="P35" i="109"/>
  <c r="Q35" i="109" s="1"/>
  <c r="R35" i="109" s="1"/>
  <c r="P20" i="109"/>
  <c r="P34" i="109"/>
  <c r="Q34" i="109" s="1"/>
  <c r="R34" i="109" s="1"/>
  <c r="F12" i="117"/>
  <c r="F26" i="117"/>
  <c r="F30" i="117"/>
  <c r="F6" i="117"/>
  <c r="F10" i="117"/>
  <c r="F15" i="117"/>
  <c r="F25" i="117"/>
  <c r="F8" i="117"/>
  <c r="F22" i="117"/>
  <c r="H40" i="116" l="1"/>
  <c r="Q14" i="109"/>
  <c r="R14" i="109" s="1"/>
  <c r="Q20" i="109"/>
  <c r="R20" i="109" s="1"/>
  <c r="Q17" i="109"/>
  <c r="R17" i="109" s="1"/>
  <c r="Q38" i="109"/>
  <c r="R38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9" i="117"/>
  <c r="H6" i="117"/>
  <c r="H19" i="117"/>
  <c r="H31" i="117"/>
  <c r="H7" i="117"/>
  <c r="H10" i="117"/>
  <c r="H22" i="117"/>
  <c r="H2" i="117"/>
  <c r="H24" i="117"/>
  <c r="H13" i="117"/>
  <c r="H27" i="117"/>
  <c r="H28" i="117"/>
  <c r="H15" i="117"/>
  <c r="H14" i="117"/>
  <c r="H5" i="117"/>
  <c r="H12" i="117"/>
  <c r="H25" i="117"/>
  <c r="H17" i="117"/>
  <c r="M39" i="102"/>
  <c r="P39" i="102" s="1"/>
  <c r="H29" i="117" l="1"/>
  <c r="H26" i="117"/>
  <c r="H11" i="117"/>
  <c r="H4" i="117"/>
  <c r="H16" i="117"/>
  <c r="H8" i="117"/>
  <c r="H18" i="117"/>
  <c r="H20" i="117"/>
  <c r="H23" i="117"/>
  <c r="R40" i="109"/>
  <c r="U40" i="109" s="1"/>
  <c r="H30" i="117"/>
  <c r="H3" i="117"/>
</calcChain>
</file>

<file path=xl/sharedStrings.xml><?xml version="1.0" encoding="utf-8"?>
<sst xmlns="http://schemas.openxmlformats.org/spreadsheetml/2006/main" count="119" uniqueCount="58">
  <si>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</si>
  <si>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</si>
  <si>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</si>
  <si>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</si>
  <si>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</si>
  <si>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</si>
  <si>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</si>
  <si>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</si>
  <si>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</si>
  <si>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</si>
  <si>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</si>
  <si>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</si>
  <si>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</si>
  <si>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</si>
  <si>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</si>
  <si>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</si>
  <si>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</si>
  <si>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</si>
  <si>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</si>
  <si>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</si>
  <si>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</si>
  <si>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</si>
  <si>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</si>
  <si>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</si>
  <si>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</si>
  <si>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</si>
  <si>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</si>
  <si>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</si>
  <si>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</si>
  <si>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</si>
  <si>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</si>
  <si>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</si>
  <si>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</si>
  <si>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</si>
  <si>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</si>
  <si>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</si>
  <si>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</si>
  <si>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</si>
  <si>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</si>
  <si>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</si>
  <si>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</si>
  <si>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</si>
  <si>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</si>
  <si>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</si>
  <si>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</si>
  <si>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</si>
  <si>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</si>
  <si>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</si>
  <si>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</si>
  <si>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</si>
  <si>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</si>
  <si>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</si>
  <si>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</si>
  <si>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</si>
  <si>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</si>
  <si>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</si>
  <si>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</si>
  <si>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DECEMBER'20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</si>
</sst>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O32" sqref="O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42</v>
      </c>
      <c r="B1" s="58" t="s">
        <v>43</v>
      </c>
      <c r="C1" s="59" t="s">
        <v>44</v>
      </c>
      <c r="D1" s="58" t="s">
        <v>45</v>
      </c>
      <c r="E1" s="60" t="s">
        <v>46</v>
      </c>
      <c r="F1" s="61" t="s">
        <v>47</v>
      </c>
      <c r="G1" s="60" t="s">
        <v>48</v>
      </c>
      <c r="H1" s="61" t="s">
        <v>49</v>
      </c>
      <c r="I1" s="60" t="s">
        <v>50</v>
      </c>
      <c r="J1" s="61" t="s">
        <v>51</v>
      </c>
      <c r="K1" s="60" t="s">
        <v>52</v>
      </c>
      <c r="L1" s="62" t="s">
        <v>53</v>
      </c>
      <c r="M1" s="60" t="s">
        <v>54</v>
      </c>
      <c r="N1" s="60" t="s">
        <v>39</v>
      </c>
    </row>
    <row r="2" spans="1:14" ht="15" x14ac:dyDescent="0.25">
      <c r="A2" s="63" t="s">
        <v>55</v>
      </c>
      <c r="B2" s="64">
        <v>1</v>
      </c>
      <c r="C2" s="65">
        <v>12</v>
      </c>
      <c r="D2" s="64">
        <v>2020</v>
      </c>
      <c r="E2" s="66">
        <f>Electricity!F8+Electricity!I8</f>
        <v>5640.0000000000009</v>
      </c>
      <c r="F2" s="67">
        <f>Electricity!L8/TOTAL!E2</f>
        <v>1229.9316489361693</v>
      </c>
      <c r="G2" s="66">
        <f>Gas!F9+Gas!I9+Gas!L9+Gas!O9</f>
        <v>41.889763779527556</v>
      </c>
      <c r="H2" s="67">
        <f>Gas!Q9/TOTAL!G2</f>
        <v>10630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329</v>
      </c>
      <c r="L2" s="67">
        <f>Water!K9/TOTAL!K2</f>
        <v>4000</v>
      </c>
      <c r="M2" s="66">
        <f>Electricity!C8</f>
        <v>7</v>
      </c>
      <c r="N2" s="66">
        <f>Electricity!D8</f>
        <v>38</v>
      </c>
    </row>
    <row r="3" spans="1:14" ht="15" x14ac:dyDescent="0.25">
      <c r="A3" s="63" t="s">
        <v>55</v>
      </c>
      <c r="B3" s="64">
        <f>B2+1</f>
        <v>2</v>
      </c>
      <c r="C3" s="65">
        <v>12</v>
      </c>
      <c r="D3" s="64">
        <v>2020</v>
      </c>
      <c r="E3" s="66">
        <f>Electricity!F9+Electricity!I9</f>
        <v>5519.9999999999673</v>
      </c>
      <c r="F3" s="67">
        <f>Electricity!L9/TOTAL!E3</f>
        <v>1240.1613224637695</v>
      </c>
      <c r="G3" s="66">
        <f>Gas!F10+Gas!I10+Gas!L10+Gas!O10</f>
        <v>26.456692913385826</v>
      </c>
      <c r="H3" s="67">
        <f>Gas!Q10/TOTAL!G3</f>
        <v>10630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182</v>
      </c>
      <c r="L3" s="67">
        <f>Water!K10/TOTAL!K3</f>
        <v>4000</v>
      </c>
      <c r="M3" s="66">
        <f>Electricity!C9</f>
        <v>8</v>
      </c>
      <c r="N3" s="66">
        <f>Electricity!D9</f>
        <v>24</v>
      </c>
    </row>
    <row r="4" spans="1:14" ht="15" x14ac:dyDescent="0.25">
      <c r="A4" s="63" t="s">
        <v>55</v>
      </c>
      <c r="B4" s="64">
        <f t="shared" ref="B4:B32" si="0">B3+1</f>
        <v>3</v>
      </c>
      <c r="C4" s="65">
        <v>12</v>
      </c>
      <c r="D4" s="64">
        <v>2020</v>
      </c>
      <c r="E4" s="66">
        <f>Electricity!F10+Electricity!I10</f>
        <v>5699.9999999999745</v>
      </c>
      <c r="F4" s="67">
        <f>Electricity!L10/TOTAL!E4</f>
        <v>1230.973333333334</v>
      </c>
      <c r="G4" s="66">
        <f>Gas!F11+Gas!I11+Gas!L11+Gas!O11</f>
        <v>33.070866141732282</v>
      </c>
      <c r="H4" s="67">
        <f>Gas!Q11/TOTAL!G4</f>
        <v>10630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184</v>
      </c>
      <c r="L4" s="67">
        <f>Water!K11/TOTAL!K4</f>
        <v>4000</v>
      </c>
      <c r="M4" s="66">
        <f>Electricity!C10</f>
        <v>6</v>
      </c>
      <c r="N4" s="66">
        <f>Electricity!D10</f>
        <v>30</v>
      </c>
    </row>
    <row r="5" spans="1:14" ht="15" x14ac:dyDescent="0.25">
      <c r="A5" s="63" t="s">
        <v>55</v>
      </c>
      <c r="B5" s="64">
        <f t="shared" si="0"/>
        <v>4</v>
      </c>
      <c r="C5" s="65">
        <v>12</v>
      </c>
      <c r="D5" s="64">
        <v>2020</v>
      </c>
      <c r="E5" s="66">
        <f>Electricity!F11+Electricity!I11</f>
        <v>5540.0000000000064</v>
      </c>
      <c r="F5" s="67">
        <f>Electricity!L11/TOTAL!E5</f>
        <v>1233.6281588447655</v>
      </c>
      <c r="G5" s="66">
        <f>Gas!F12+Gas!I12+Gas!L12+Gas!O12</f>
        <v>28.661417322834648</v>
      </c>
      <c r="H5" s="67">
        <f>Gas!Q12/TOTAL!G5</f>
        <v>10630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196</v>
      </c>
      <c r="L5" s="67">
        <f>Water!K12/TOTAL!K5</f>
        <v>4000</v>
      </c>
      <c r="M5" s="66">
        <f>Electricity!C11</f>
        <v>8</v>
      </c>
      <c r="N5" s="66">
        <f>Electricity!D11</f>
        <v>26</v>
      </c>
    </row>
    <row r="6" spans="1:14" ht="15" x14ac:dyDescent="0.25">
      <c r="A6" s="63" t="s">
        <v>55</v>
      </c>
      <c r="B6" s="64">
        <f t="shared" si="0"/>
        <v>5</v>
      </c>
      <c r="C6" s="65">
        <v>12</v>
      </c>
      <c r="D6" s="64">
        <v>2020</v>
      </c>
      <c r="E6" s="66">
        <f>Electricity!F12+Electricity!I12</f>
        <v>5640.0000000000573</v>
      </c>
      <c r="F6" s="67">
        <f>Electricity!L12/TOTAL!E6</f>
        <v>1235.9904255319134</v>
      </c>
      <c r="G6" s="66">
        <f>Gas!F13+Gas!I13+Gas!L13+Gas!O13</f>
        <v>38.582677165354326</v>
      </c>
      <c r="H6" s="67">
        <f>Gas!Q13/TOTAL!G6</f>
        <v>10630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225</v>
      </c>
      <c r="L6" s="67">
        <f>Water!K13/TOTAL!K6</f>
        <v>4000</v>
      </c>
      <c r="M6" s="66">
        <f>Electricity!C12</f>
        <v>11</v>
      </c>
      <c r="N6" s="66">
        <f>Electricity!D12</f>
        <v>35</v>
      </c>
    </row>
    <row r="7" spans="1:14" ht="15" x14ac:dyDescent="0.25">
      <c r="A7" s="63" t="s">
        <v>55</v>
      </c>
      <c r="B7" s="64">
        <f t="shared" si="0"/>
        <v>6</v>
      </c>
      <c r="C7" s="65">
        <v>12</v>
      </c>
      <c r="D7" s="64">
        <v>2020</v>
      </c>
      <c r="E7" s="66">
        <f>Electricity!F13+Electricity!I13</f>
        <v>6059.9999999999882</v>
      </c>
      <c r="F7" s="67">
        <f>Electricity!L13/TOTAL!E7</f>
        <v>1236.7902640264035</v>
      </c>
      <c r="G7" s="66">
        <f>Gas!F14+Gas!I14+Gas!L14+Gas!O14</f>
        <v>47.401574803149607</v>
      </c>
      <c r="H7" s="67">
        <f>Gas!Q14/TOTAL!G7</f>
        <v>10630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228</v>
      </c>
      <c r="L7" s="67">
        <f>Water!K14/TOTAL!K7</f>
        <v>4000</v>
      </c>
      <c r="M7" s="66">
        <f>Electricity!C13</f>
        <v>13</v>
      </c>
      <c r="N7" s="66">
        <f>Electricity!D13</f>
        <v>43</v>
      </c>
    </row>
    <row r="8" spans="1:14" ht="15" x14ac:dyDescent="0.25">
      <c r="A8" s="63" t="s">
        <v>55</v>
      </c>
      <c r="B8" s="64">
        <f t="shared" si="0"/>
        <v>7</v>
      </c>
      <c r="C8" s="65">
        <v>12</v>
      </c>
      <c r="D8" s="64">
        <v>2020</v>
      </c>
      <c r="E8" s="66">
        <f>Electricity!F14+Electricity!I14</f>
        <v>6559.9999999999736</v>
      </c>
      <c r="F8" s="67">
        <f>Electricity!L14/TOTAL!E8</f>
        <v>1239.7586890243906</v>
      </c>
      <c r="G8" s="66">
        <f>Gas!F15+Gas!I15+Gas!L15+Gas!O15</f>
        <v>63.937007874015748</v>
      </c>
      <c r="H8" s="67">
        <f>Gas!Q15/TOTAL!G8</f>
        <v>10629.999999999998</v>
      </c>
      <c r="I8" s="66">
        <f>'Fuel Diesel'!F15</f>
        <v>52</v>
      </c>
      <c r="J8" s="68">
        <f>'Fuel Diesel'!G15/'Fuel Diesel'!F15</f>
        <v>10700</v>
      </c>
      <c r="K8" s="66">
        <f>Water!E15+Water!G15+Water!I15</f>
        <v>249</v>
      </c>
      <c r="L8" s="67">
        <f>Water!K15/TOTAL!K8</f>
        <v>4000</v>
      </c>
      <c r="M8" s="66">
        <f>Electricity!C14</f>
        <v>17</v>
      </c>
      <c r="N8" s="66">
        <f>Electricity!D14</f>
        <v>58</v>
      </c>
    </row>
    <row r="9" spans="1:14" ht="15" x14ac:dyDescent="0.25">
      <c r="A9" s="63" t="s">
        <v>55</v>
      </c>
      <c r="B9" s="64">
        <f t="shared" si="0"/>
        <v>8</v>
      </c>
      <c r="C9" s="65">
        <v>12</v>
      </c>
      <c r="D9" s="64">
        <v>2020</v>
      </c>
      <c r="E9" s="66">
        <f>Electricity!F15+Electricity!I15</f>
        <v>6759.9999999999909</v>
      </c>
      <c r="F9" s="67">
        <f>Electricity!L15/TOTAL!E9</f>
        <v>1233.4091715976338</v>
      </c>
      <c r="G9" s="66">
        <f>Gas!F16+Gas!I16+Gas!L16+Gas!O16</f>
        <v>70.551181102362207</v>
      </c>
      <c r="H9" s="67">
        <f>Gas!Q16/TOTAL!G9</f>
        <v>10630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213</v>
      </c>
      <c r="L9" s="67">
        <f>Water!K16/TOTAL!K9</f>
        <v>4000</v>
      </c>
      <c r="M9" s="66">
        <f>Electricity!C15</f>
        <v>14</v>
      </c>
      <c r="N9" s="66">
        <f>Electricity!D15</f>
        <v>64</v>
      </c>
    </row>
    <row r="10" spans="1:14" ht="15" x14ac:dyDescent="0.25">
      <c r="A10" s="63" t="s">
        <v>55</v>
      </c>
      <c r="B10" s="64">
        <f t="shared" si="0"/>
        <v>9</v>
      </c>
      <c r="C10" s="65">
        <v>12</v>
      </c>
      <c r="D10" s="64">
        <v>2020</v>
      </c>
      <c r="E10" s="66">
        <f>Electricity!F16+Electricity!I16</f>
        <v>6680.0000000000637</v>
      </c>
      <c r="F10" s="67">
        <f>Electricity!L16/TOTAL!E10</f>
        <v>1234.5392215568859</v>
      </c>
      <c r="G10" s="66">
        <f>Gas!F17+Gas!I17+Gas!L17+Gas!O17</f>
        <v>57.322834645669296</v>
      </c>
      <c r="H10" s="67">
        <f>Gas!Q17/TOTAL!G10</f>
        <v>10629.999999999998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255</v>
      </c>
      <c r="L10" s="67">
        <f>Water!K17/TOTAL!K10</f>
        <v>4000</v>
      </c>
      <c r="M10" s="66">
        <f>Electricity!C16</f>
        <v>11</v>
      </c>
      <c r="N10" s="66">
        <f>Electricity!D16</f>
        <v>52</v>
      </c>
    </row>
    <row r="11" spans="1:14" ht="15" x14ac:dyDescent="0.25">
      <c r="A11" s="63" t="s">
        <v>55</v>
      </c>
      <c r="B11" s="64">
        <f t="shared" si="0"/>
        <v>10</v>
      </c>
      <c r="C11" s="65">
        <v>12</v>
      </c>
      <c r="D11" s="64">
        <v>2020</v>
      </c>
      <c r="E11" s="66">
        <f>Electricity!F17+Electricity!I17</f>
        <v>6840.0000000000318</v>
      </c>
      <c r="F11" s="67">
        <f>Electricity!L17/TOTAL!E11</f>
        <v>1232.3055555555554</v>
      </c>
      <c r="G11" s="66">
        <f>Gas!F18+Gas!I18+Gas!L18+Gas!O18</f>
        <v>47.401574803149607</v>
      </c>
      <c r="H11" s="67">
        <f>Gas!Q18/TOTAL!G11</f>
        <v>10630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191</v>
      </c>
      <c r="L11" s="67">
        <f>Water!K18/TOTAL!K11</f>
        <v>4000</v>
      </c>
      <c r="M11" s="66">
        <f>Electricity!C17</f>
        <v>12</v>
      </c>
      <c r="N11" s="66">
        <f>Electricity!D17</f>
        <v>43</v>
      </c>
    </row>
    <row r="12" spans="1:14" ht="15" x14ac:dyDescent="0.25">
      <c r="A12" s="63" t="s">
        <v>55</v>
      </c>
      <c r="B12" s="64">
        <f t="shared" si="0"/>
        <v>11</v>
      </c>
      <c r="C12" s="65">
        <v>12</v>
      </c>
      <c r="D12" s="64">
        <v>2020</v>
      </c>
      <c r="E12" s="66">
        <f>Electricity!F18+Electricity!I18</f>
        <v>6999.9999999999436</v>
      </c>
      <c r="F12" s="67">
        <f>Electricity!L18/TOTAL!E12</f>
        <v>1236.6828571428571</v>
      </c>
      <c r="G12" s="66">
        <f>Gas!F19+Gas!I19+Gas!L19+Gas!O19</f>
        <v>58.425196850393704</v>
      </c>
      <c r="H12" s="67">
        <f>Gas!Q19/TOTAL!G12</f>
        <v>10630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209</v>
      </c>
      <c r="L12" s="67">
        <f>Water!K19/TOTAL!K12</f>
        <v>4000</v>
      </c>
      <c r="M12" s="66">
        <f>Electricity!C18</f>
        <v>17</v>
      </c>
      <c r="N12" s="66">
        <f>Electricity!D18</f>
        <v>53</v>
      </c>
    </row>
    <row r="13" spans="1:14" ht="15" x14ac:dyDescent="0.25">
      <c r="A13" s="63" t="s">
        <v>55</v>
      </c>
      <c r="B13" s="64">
        <f t="shared" si="0"/>
        <v>12</v>
      </c>
      <c r="C13" s="65">
        <v>12</v>
      </c>
      <c r="D13" s="64">
        <v>2020</v>
      </c>
      <c r="E13" s="66">
        <f>Electricity!F19+Electricity!I19</f>
        <v>6719.9999999999418</v>
      </c>
      <c r="F13" s="67">
        <f>Electricity!L19/TOTAL!E13</f>
        <v>1237.3608630952388</v>
      </c>
      <c r="G13" s="66">
        <f>Gas!F20+Gas!I20+Gas!L20+Gas!O20</f>
        <v>73.858267716535437</v>
      </c>
      <c r="H13" s="67">
        <f>Gas!Q20/TOTAL!G13</f>
        <v>10629.999999999998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205</v>
      </c>
      <c r="L13" s="67">
        <f>Water!K20/TOTAL!K13</f>
        <v>4000</v>
      </c>
      <c r="M13" s="66">
        <f>Electricity!C19</f>
        <v>14</v>
      </c>
      <c r="N13" s="66">
        <f>Electricity!D19</f>
        <v>67</v>
      </c>
    </row>
    <row r="14" spans="1:14" ht="15" x14ac:dyDescent="0.25">
      <c r="A14" s="63" t="s">
        <v>55</v>
      </c>
      <c r="B14" s="64">
        <f t="shared" si="0"/>
        <v>13</v>
      </c>
      <c r="C14" s="65">
        <v>12</v>
      </c>
      <c r="D14" s="64">
        <v>2020</v>
      </c>
      <c r="E14" s="66">
        <f>Electricity!F20+Electricity!I20</f>
        <v>6520.00000000001</v>
      </c>
      <c r="F14" s="67">
        <f>Electricity!L20/TOTAL!E14</f>
        <v>1228.1474693251541</v>
      </c>
      <c r="G14" s="66">
        <f>Gas!F21+Gas!I21+Gas!L21+Gas!O21</f>
        <v>73.858267716535437</v>
      </c>
      <c r="H14" s="67">
        <f>Gas!Q21/TOTAL!G14</f>
        <v>10629.999999999998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175</v>
      </c>
      <c r="L14" s="67">
        <f>Water!K21/TOTAL!K14</f>
        <v>4000</v>
      </c>
      <c r="M14" s="66">
        <f>Electricity!C20</f>
        <v>12</v>
      </c>
      <c r="N14" s="66">
        <f>Electricity!D20</f>
        <v>67</v>
      </c>
    </row>
    <row r="15" spans="1:14" ht="15" x14ac:dyDescent="0.25">
      <c r="A15" s="63" t="s">
        <v>55</v>
      </c>
      <c r="B15" s="64">
        <f t="shared" si="0"/>
        <v>14</v>
      </c>
      <c r="C15" s="65">
        <v>12</v>
      </c>
      <c r="D15" s="64">
        <v>2020</v>
      </c>
      <c r="E15" s="66">
        <f>Electricity!F21+Electricity!I21</f>
        <v>6439.9999999999982</v>
      </c>
      <c r="F15" s="67">
        <f>Electricity!L21/TOTAL!E15</f>
        <v>1234.5604037267065</v>
      </c>
      <c r="G15" s="66">
        <f>Gas!F22+Gas!I22+Gas!L22+Gas!O22</f>
        <v>39.685039370078741</v>
      </c>
      <c r="H15" s="67">
        <f>Gas!Q22/TOTAL!G15</f>
        <v>10630</v>
      </c>
      <c r="I15" s="66">
        <f>'Fuel Diesel'!F22</f>
        <v>49</v>
      </c>
      <c r="J15" s="68">
        <f>'Fuel Diesel'!G22/'Fuel Diesel'!F22</f>
        <v>10700</v>
      </c>
      <c r="K15" s="66">
        <f>Water!E22+Water!G22+Water!I22</f>
        <v>179</v>
      </c>
      <c r="L15" s="67">
        <f>Water!K22/TOTAL!K15</f>
        <v>4000</v>
      </c>
      <c r="M15" s="66">
        <f>Electricity!C21</f>
        <v>13</v>
      </c>
      <c r="N15" s="66">
        <f>Electricity!D21</f>
        <v>36</v>
      </c>
    </row>
    <row r="16" spans="1:14" ht="15" x14ac:dyDescent="0.25">
      <c r="A16" s="63" t="s">
        <v>55</v>
      </c>
      <c r="B16" s="64">
        <f t="shared" si="0"/>
        <v>15</v>
      </c>
      <c r="C16" s="65">
        <v>12</v>
      </c>
      <c r="D16" s="64">
        <v>2020</v>
      </c>
      <c r="E16" s="66">
        <f>Electricity!F22+Electricity!I22</f>
        <v>6620.00000000009</v>
      </c>
      <c r="F16" s="67">
        <f>Electricity!L22/TOTAL!E16</f>
        <v>1231.9634441087612</v>
      </c>
      <c r="G16" s="66">
        <f>Gas!F23+Gas!I23+Gas!L23+Gas!O23</f>
        <v>48.503937007874015</v>
      </c>
      <c r="H16" s="67">
        <f>Gas!Q23/TOTAL!G16</f>
        <v>10630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188</v>
      </c>
      <c r="L16" s="67">
        <f>Water!K23/TOTAL!K16</f>
        <v>4000</v>
      </c>
      <c r="M16" s="66">
        <f>Electricity!C22</f>
        <v>13</v>
      </c>
      <c r="N16" s="66">
        <f>Electricity!D22</f>
        <v>44</v>
      </c>
    </row>
    <row r="17" spans="1:14" ht="15" x14ac:dyDescent="0.25">
      <c r="A17" s="63" t="s">
        <v>55</v>
      </c>
      <c r="B17" s="64">
        <f t="shared" si="0"/>
        <v>16</v>
      </c>
      <c r="C17" s="65">
        <v>12</v>
      </c>
      <c r="D17" s="64">
        <v>2020</v>
      </c>
      <c r="E17" s="66">
        <f>Electricity!F23+Electricity!I23</f>
        <v>6479.9999999999045</v>
      </c>
      <c r="F17" s="67">
        <f>Electricity!L23/TOTAL!E17</f>
        <v>1239.2442129629633</v>
      </c>
      <c r="G17" s="66">
        <f>Gas!F24+Gas!I24+Gas!L24+Gas!O24</f>
        <v>47.401574803149607</v>
      </c>
      <c r="H17" s="67">
        <f>Gas!Q24/TOTAL!G17</f>
        <v>10630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211</v>
      </c>
      <c r="L17" s="67">
        <f>Water!K24/TOTAL!K17</f>
        <v>4000</v>
      </c>
      <c r="M17" s="66">
        <f>Electricity!C23</f>
        <v>16</v>
      </c>
      <c r="N17" s="66">
        <f>Electricity!D23</f>
        <v>43</v>
      </c>
    </row>
    <row r="18" spans="1:14" ht="15" x14ac:dyDescent="0.25">
      <c r="A18" s="63" t="s">
        <v>55</v>
      </c>
      <c r="B18" s="64">
        <f t="shared" si="0"/>
        <v>17</v>
      </c>
      <c r="C18" s="65">
        <v>12</v>
      </c>
      <c r="D18" s="64">
        <v>2020</v>
      </c>
      <c r="E18" s="66">
        <f>Electricity!F24+Electricity!I24</f>
        <v>7000.0000000000855</v>
      </c>
      <c r="F18" s="67">
        <f>Electricity!L24/TOTAL!E18</f>
        <v>1236.6828571428575</v>
      </c>
      <c r="G18" s="66">
        <f>Gas!F25+Gas!I25+Gas!L25+Gas!O25</f>
        <v>68.346456692913378</v>
      </c>
      <c r="H18" s="67">
        <f>Gas!Q25/TOTAL!G18</f>
        <v>10630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188</v>
      </c>
      <c r="L18" s="67">
        <f>Water!K25/TOTAL!K18</f>
        <v>4000</v>
      </c>
      <c r="M18" s="66">
        <f>Electricity!C24</f>
        <v>18</v>
      </c>
      <c r="N18" s="66">
        <f>Electricity!D24</f>
        <v>62</v>
      </c>
    </row>
    <row r="19" spans="1:14" ht="15" x14ac:dyDescent="0.25">
      <c r="A19" s="63" t="s">
        <v>55</v>
      </c>
      <c r="B19" s="64">
        <f t="shared" si="0"/>
        <v>18</v>
      </c>
      <c r="C19" s="65">
        <v>12</v>
      </c>
      <c r="D19" s="64">
        <v>2020</v>
      </c>
      <c r="E19" s="66">
        <f>Electricity!F25+Electricity!I25</f>
        <v>7780.0000000000009</v>
      </c>
      <c r="F19" s="67">
        <f>Electricity!L25/TOTAL!E19</f>
        <v>1251.7837403598965</v>
      </c>
      <c r="G19" s="66">
        <f>Gas!F26+Gas!I26+Gas!L26+Gas!O26</f>
        <v>78.267716535433067</v>
      </c>
      <c r="H19" s="67">
        <f>Gas!Q26/TOTAL!G19</f>
        <v>10630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205</v>
      </c>
      <c r="L19" s="67">
        <f>Water!K26/TOTAL!K19</f>
        <v>4000</v>
      </c>
      <c r="M19" s="66">
        <f>Electricity!C25</f>
        <v>20</v>
      </c>
      <c r="N19" s="66">
        <f>Electricity!D25</f>
        <v>71</v>
      </c>
    </row>
    <row r="20" spans="1:14" ht="15" x14ac:dyDescent="0.25">
      <c r="A20" s="63" t="s">
        <v>55</v>
      </c>
      <c r="B20" s="64">
        <f t="shared" si="0"/>
        <v>19</v>
      </c>
      <c r="C20" s="65">
        <v>12</v>
      </c>
      <c r="D20" s="64">
        <v>2020</v>
      </c>
      <c r="E20" s="66">
        <f>Electricity!F26+Electricity!I26</f>
        <v>8279.9999999999436</v>
      </c>
      <c r="F20" s="67">
        <f>Electricity!L26/TOTAL!E20</f>
        <v>1231.2195048309188</v>
      </c>
      <c r="G20" s="66">
        <f>Gas!F27+Gas!I27+Gas!L27+Gas!O27</f>
        <v>121.25984251968505</v>
      </c>
      <c r="H20" s="67">
        <f>Gas!Q27/TOTAL!G20</f>
        <v>10629.999999999998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307</v>
      </c>
      <c r="L20" s="67">
        <f>Water!K27/TOTAL!K20</f>
        <v>4000</v>
      </c>
      <c r="M20" s="66">
        <f>Electricity!C26</f>
        <v>36</v>
      </c>
      <c r="N20" s="66">
        <f>Electricity!D26</f>
        <v>110</v>
      </c>
    </row>
    <row r="21" spans="1:14" ht="15" x14ac:dyDescent="0.25">
      <c r="A21" s="63" t="s">
        <v>55</v>
      </c>
      <c r="B21" s="64">
        <f t="shared" si="0"/>
        <v>20</v>
      </c>
      <c r="C21" s="65">
        <v>12</v>
      </c>
      <c r="D21" s="64">
        <v>2020</v>
      </c>
      <c r="E21" s="66">
        <f>Electricity!F27+Electricity!I27</f>
        <v>8479.9999999999891</v>
      </c>
      <c r="F21" s="67">
        <f>Electricity!L27/TOTAL!E21</f>
        <v>1237.1050117924538</v>
      </c>
      <c r="G21" s="66">
        <f>Gas!F28+Gas!I28+Gas!L28+Gas!O28</f>
        <v>163.14960629921259</v>
      </c>
      <c r="H21" s="67">
        <f>Gas!Q28/TOTAL!G21</f>
        <v>10630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233</v>
      </c>
      <c r="L21" s="67">
        <f>Water!K28/TOTAL!K21</f>
        <v>4000</v>
      </c>
      <c r="M21" s="66">
        <f>Electricity!C27</f>
        <v>39</v>
      </c>
      <c r="N21" s="66">
        <f>Electricity!D27</f>
        <v>148</v>
      </c>
    </row>
    <row r="22" spans="1:14" ht="15" x14ac:dyDescent="0.25">
      <c r="A22" s="63" t="s">
        <v>55</v>
      </c>
      <c r="B22" s="64">
        <f t="shared" si="0"/>
        <v>21</v>
      </c>
      <c r="C22" s="65">
        <v>12</v>
      </c>
      <c r="D22" s="64">
        <v>2020</v>
      </c>
      <c r="E22" s="66">
        <f>Electricity!F28+Electricity!I28</f>
        <v>8600.0000000000218</v>
      </c>
      <c r="F22" s="67">
        <f>Electricity!L28/TOTAL!E22</f>
        <v>1231.7633720930216</v>
      </c>
      <c r="G22" s="66">
        <f>Gas!F29+Gas!I29+Gas!L29+Gas!O29</f>
        <v>156.53543307086613</v>
      </c>
      <c r="H22" s="67">
        <f>Gas!Q29/TOTAL!G22</f>
        <v>10630.000000000002</v>
      </c>
      <c r="I22" s="66">
        <f>'Fuel Diesel'!F29</f>
        <v>51</v>
      </c>
      <c r="J22" s="68">
        <f>'Fuel Diesel'!G29/'Fuel Diesel'!F29</f>
        <v>10700</v>
      </c>
      <c r="K22" s="66">
        <f>Water!E29+Water!G29+Water!I29</f>
        <v>259</v>
      </c>
      <c r="L22" s="67">
        <f>Water!K29/TOTAL!K22</f>
        <v>4000</v>
      </c>
      <c r="M22" s="66">
        <f>Electricity!C28</f>
        <v>31</v>
      </c>
      <c r="N22" s="66">
        <f>Electricity!D28</f>
        <v>142</v>
      </c>
    </row>
    <row r="23" spans="1:14" ht="15" x14ac:dyDescent="0.25">
      <c r="A23" s="63" t="s">
        <v>55</v>
      </c>
      <c r="B23" s="64">
        <f t="shared" si="0"/>
        <v>22</v>
      </c>
      <c r="C23" s="65">
        <v>12</v>
      </c>
      <c r="D23" s="64">
        <v>2020</v>
      </c>
      <c r="E23" s="66">
        <f>Electricity!F29+Electricity!I29</f>
        <v>8500</v>
      </c>
      <c r="F23" s="67">
        <f>Electricity!L29/TOTAL!E23</f>
        <v>1230.1740000000011</v>
      </c>
      <c r="G23" s="66">
        <f>Gas!F30+Gas!I30+Gas!L30+Gas!O30</f>
        <v>122.36220472440947</v>
      </c>
      <c r="H23" s="67">
        <f>Gas!Q30/TOTAL!G23</f>
        <v>10629.999999999998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269</v>
      </c>
      <c r="L23" s="67">
        <f>Water!K30/TOTAL!K23</f>
        <v>4000</v>
      </c>
      <c r="M23" s="66">
        <f>Electricity!C29</f>
        <v>20</v>
      </c>
      <c r="N23" s="66">
        <f>Electricity!D29</f>
        <v>111</v>
      </c>
    </row>
    <row r="24" spans="1:14" ht="15" x14ac:dyDescent="0.25">
      <c r="A24" s="63" t="s">
        <v>55</v>
      </c>
      <c r="B24" s="64">
        <f t="shared" si="0"/>
        <v>23</v>
      </c>
      <c r="C24" s="65">
        <v>12</v>
      </c>
      <c r="D24" s="64">
        <v>2020</v>
      </c>
      <c r="E24" s="66">
        <f>Electricity!F30+Electricity!I30</f>
        <v>8519.9999999999527</v>
      </c>
      <c r="F24" s="67">
        <f>Electricity!L30/TOTAL!E24</f>
        <v>1229.9600938967133</v>
      </c>
      <c r="G24" s="66">
        <f>Gas!F31+Gas!I31+Gas!L31+Gas!O31</f>
        <v>99.212598425196859</v>
      </c>
      <c r="H24" s="67">
        <f>Gas!Q31/TOTAL!G24</f>
        <v>10630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261</v>
      </c>
      <c r="L24" s="67">
        <f>Water!K31/TOTAL!K24</f>
        <v>4000</v>
      </c>
      <c r="M24" s="66">
        <f>Electricity!C30</f>
        <v>14</v>
      </c>
      <c r="N24" s="66">
        <f>Electricity!D30</f>
        <v>90</v>
      </c>
    </row>
    <row r="25" spans="1:14" ht="15" x14ac:dyDescent="0.25">
      <c r="A25" s="63" t="s">
        <v>55</v>
      </c>
      <c r="B25" s="64">
        <f t="shared" si="0"/>
        <v>24</v>
      </c>
      <c r="C25" s="65">
        <v>12</v>
      </c>
      <c r="D25" s="64">
        <v>2020</v>
      </c>
      <c r="E25" s="66">
        <f>Electricity!F31+Electricity!I31</f>
        <v>8539.9999999999927</v>
      </c>
      <c r="F25" s="67">
        <f>Electricity!L31/TOTAL!E25</f>
        <v>1240.4174473067922</v>
      </c>
      <c r="G25" s="66">
        <f>Gas!F32+Gas!I32+Gas!L32+Gas!O32</f>
        <v>101.41732283464566</v>
      </c>
      <c r="H25" s="67">
        <f>Gas!Q32/TOTAL!G25</f>
        <v>10630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261</v>
      </c>
      <c r="L25" s="67">
        <f>Water!K32/TOTAL!K25</f>
        <v>4000</v>
      </c>
      <c r="M25" s="66">
        <f>Electricity!C31</f>
        <v>32</v>
      </c>
      <c r="N25" s="66">
        <f>Electricity!D31</f>
        <v>92</v>
      </c>
    </row>
    <row r="26" spans="1:14" ht="15" x14ac:dyDescent="0.25">
      <c r="A26" s="63" t="s">
        <v>55</v>
      </c>
      <c r="B26" s="64">
        <f>B25+1</f>
        <v>25</v>
      </c>
      <c r="C26" s="65">
        <v>12</v>
      </c>
      <c r="D26" s="64">
        <v>2020</v>
      </c>
      <c r="E26" s="66">
        <f>Electricity!F32+Electricity!I32</f>
        <v>9100.0000000000509</v>
      </c>
      <c r="F26" s="67">
        <f>Electricity!L32/TOTAL!E26</f>
        <v>1235.4311538461529</v>
      </c>
      <c r="G26" s="66">
        <f>Gas!F33+Gas!I33+Gas!L33+Gas!O33</f>
        <v>166.45669291338584</v>
      </c>
      <c r="H26" s="67">
        <f>Gas!Q33/TOTAL!G26</f>
        <v>10630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292</v>
      </c>
      <c r="L26" s="67">
        <f>Water!K33/TOTAL!K26</f>
        <v>4000</v>
      </c>
      <c r="M26" s="66">
        <f>Electricity!C32</f>
        <v>40</v>
      </c>
      <c r="N26" s="66">
        <f>Electricity!D32</f>
        <v>151</v>
      </c>
    </row>
    <row r="27" spans="1:14" ht="15" x14ac:dyDescent="0.25">
      <c r="A27" s="63" t="s">
        <v>55</v>
      </c>
      <c r="B27" s="64">
        <f t="shared" si="0"/>
        <v>26</v>
      </c>
      <c r="C27" s="65">
        <v>12</v>
      </c>
      <c r="D27" s="64">
        <v>2020</v>
      </c>
      <c r="E27" s="66">
        <f>Electricity!F33+Electricity!I33</f>
        <v>9020.0000000000109</v>
      </c>
      <c r="F27" s="67">
        <f>Electricity!L33/TOTAL!E27</f>
        <v>1235.0231707317078</v>
      </c>
      <c r="G27" s="66">
        <f>Gas!F34+Gas!I34+Gas!L34+Gas!O34</f>
        <v>202.83464566929132</v>
      </c>
      <c r="H27" s="67">
        <f>Gas!Q34/TOTAL!G27</f>
        <v>10630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357</v>
      </c>
      <c r="L27" s="67">
        <f>Water!K34/TOTAL!K27</f>
        <v>4000</v>
      </c>
      <c r="M27" s="66">
        <f>Electricity!C33</f>
        <v>41</v>
      </c>
      <c r="N27" s="66">
        <f>Electricity!D33</f>
        <v>184</v>
      </c>
    </row>
    <row r="28" spans="1:14" ht="15" x14ac:dyDescent="0.25">
      <c r="A28" s="63" t="s">
        <v>55</v>
      </c>
      <c r="B28" s="64">
        <f t="shared" si="0"/>
        <v>27</v>
      </c>
      <c r="C28" s="65">
        <v>12</v>
      </c>
      <c r="D28" s="64">
        <v>2020</v>
      </c>
      <c r="E28" s="66">
        <f>Electricity!F34+Electricity!I34</f>
        <v>8780.0000000000582</v>
      </c>
      <c r="F28" s="67">
        <f>Electricity!L34/TOTAL!E28</f>
        <v>1233.7546127562644</v>
      </c>
      <c r="G28" s="66">
        <f>Gas!F35+Gas!I35+Gas!L35+Gas!O35</f>
        <v>163.14960629921259</v>
      </c>
      <c r="H28" s="67">
        <f>Gas!Q35/TOTAL!G28</f>
        <v>10630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297</v>
      </c>
      <c r="L28" s="67">
        <f>Water!K35/TOTAL!K28</f>
        <v>4000</v>
      </c>
      <c r="M28" s="66">
        <f>Electricity!C34</f>
        <v>33</v>
      </c>
      <c r="N28" s="66">
        <f>Electricity!D34</f>
        <v>148</v>
      </c>
    </row>
    <row r="29" spans="1:14" ht="15" x14ac:dyDescent="0.25">
      <c r="A29" s="63" t="s">
        <v>55</v>
      </c>
      <c r="B29" s="64">
        <f t="shared" si="0"/>
        <v>28</v>
      </c>
      <c r="C29" s="65">
        <v>12</v>
      </c>
      <c r="D29" s="64">
        <v>2020</v>
      </c>
      <c r="E29" s="66">
        <f>Electricity!F35+Electricity!I35</f>
        <v>8599.9999999999654</v>
      </c>
      <c r="F29" s="67">
        <f>Electricity!L35/TOTAL!E29</f>
        <v>1235.7368023255808</v>
      </c>
      <c r="G29" s="66">
        <f>Gas!F36+Gas!I36+Gas!L36+Gas!O36</f>
        <v>148.81889763779529</v>
      </c>
      <c r="H29" s="67">
        <f>Gas!Q36/TOTAL!G29</f>
        <v>10630</v>
      </c>
      <c r="I29" s="66">
        <f>'Fuel Diesel'!F36</f>
        <v>48</v>
      </c>
      <c r="J29" s="68">
        <f>'Fuel Diesel'!G36/'Fuel Diesel'!F36</f>
        <v>10700</v>
      </c>
      <c r="K29" s="66">
        <f>Water!E36+Water!G36+Water!I36</f>
        <v>342</v>
      </c>
      <c r="L29" s="67">
        <f>Water!K36/TOTAL!K29</f>
        <v>4000</v>
      </c>
      <c r="M29" s="66">
        <f>Electricity!C35</f>
        <v>31</v>
      </c>
      <c r="N29" s="66">
        <f>Electricity!D35</f>
        <v>135</v>
      </c>
    </row>
    <row r="30" spans="1:14" ht="15" x14ac:dyDescent="0.25">
      <c r="A30" s="63" t="s">
        <v>55</v>
      </c>
      <c r="B30" s="64">
        <f t="shared" si="0"/>
        <v>29</v>
      </c>
      <c r="C30" s="65">
        <v>12</v>
      </c>
      <c r="D30" s="64">
        <v>2020</v>
      </c>
      <c r="E30" s="66">
        <f>Electricity!F36+Electricity!I36</f>
        <v>8519.9999999999527</v>
      </c>
      <c r="F30" s="67">
        <f>Electricity!L36/TOTAL!E30</f>
        <v>1235.3077464788757</v>
      </c>
      <c r="G30" s="66">
        <f>Gas!F37+Gas!I37+Gas!L37+Gas!O37</f>
        <v>134.48818897637796</v>
      </c>
      <c r="H30" s="67">
        <f>Gas!Q37/TOTAL!G30</f>
        <v>10630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350</v>
      </c>
      <c r="L30" s="67">
        <f>Water!K37/TOTAL!K30</f>
        <v>4000</v>
      </c>
      <c r="M30" s="66">
        <f>Electricity!C36</f>
        <v>26</v>
      </c>
      <c r="N30" s="66">
        <f>Electricity!D36</f>
        <v>122</v>
      </c>
    </row>
    <row r="31" spans="1:14" ht="15" x14ac:dyDescent="0.25">
      <c r="A31" s="63" t="s">
        <v>55</v>
      </c>
      <c r="B31" s="64">
        <f t="shared" si="0"/>
        <v>30</v>
      </c>
      <c r="C31" s="65">
        <v>12</v>
      </c>
      <c r="D31" s="64">
        <v>2020</v>
      </c>
      <c r="E31" s="66">
        <f>Electricity!F37+Electricity!I37</f>
        <v>7520.0000000000382</v>
      </c>
      <c r="F31" s="67">
        <f>Electricity!L37/TOTAL!E31</f>
        <v>1248.1079787234039</v>
      </c>
      <c r="G31" s="66">
        <f>Gas!F38+Gas!I38+Gas!L38+Gas!O38</f>
        <v>127.8740157480315</v>
      </c>
      <c r="H31" s="67">
        <f>Gas!Q38/TOTAL!G31</f>
        <v>10629.999999999998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359</v>
      </c>
      <c r="L31" s="67">
        <f>Water!K38/TOTAL!K31</f>
        <v>4000</v>
      </c>
      <c r="M31" s="66">
        <f>Electricity!C37</f>
        <v>29</v>
      </c>
      <c r="N31" s="66">
        <f>Electricity!D37</f>
        <v>116</v>
      </c>
    </row>
    <row r="32" spans="1:14" ht="15" x14ac:dyDescent="0.25">
      <c r="A32" s="63" t="s">
        <v>55</v>
      </c>
      <c r="B32" s="64">
        <f t="shared" si="0"/>
        <v>31</v>
      </c>
      <c r="C32" s="65">
        <v>12</v>
      </c>
      <c r="D32" s="64">
        <v>2020</v>
      </c>
      <c r="E32" s="66">
        <f>Electricity!F38+Electricity!I38</f>
        <v>9920.0000000000164</v>
      </c>
      <c r="F32" s="67">
        <f>Electricity!L38/TOTAL!E32</f>
        <v>1222.8712197580633</v>
      </c>
      <c r="G32" s="66">
        <f>Gas!F39+Gas!I39+Gas!L39+Gas!O39</f>
        <v>148.81889763779529</v>
      </c>
      <c r="H32" s="67">
        <f>Gas!Q39/TOTAL!G32</f>
        <v>10630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162</v>
      </c>
      <c r="L32" s="67">
        <f>Water!K39/TOTAL!K32</f>
        <v>4000</v>
      </c>
      <c r="M32" s="66">
        <f>Electricity!C38</f>
        <v>20</v>
      </c>
      <c r="N32" s="66">
        <f>Electricity!D38</f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K38" sqref="K3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</cols>
  <sheetData>
    <row r="1" spans="1:14" ht="15.75" x14ac:dyDescent="0.2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0" t="s">
        <v>57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87" t="s">
        <v>34</v>
      </c>
      <c r="F5" s="87"/>
      <c r="G5" s="87"/>
      <c r="H5" s="89" t="s">
        <v>35</v>
      </c>
      <c r="I5" s="89"/>
      <c r="J5" s="89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7</v>
      </c>
      <c r="D8" s="37">
        <v>38</v>
      </c>
      <c r="E8" s="11">
        <v>2.3700000000000045</v>
      </c>
      <c r="F8" s="12">
        <f t="shared" ref="F8:F38" si="0">E8*2000</f>
        <v>4740.0000000000091</v>
      </c>
      <c r="G8" s="4">
        <f t="shared" ref="G8:G38" si="1">F8*1035.5</f>
        <v>4908270.0000000093</v>
      </c>
      <c r="H8" s="11">
        <v>0.44999999999999574</v>
      </c>
      <c r="I8" s="12">
        <f t="shared" ref="I8:I15" si="2">H8*2000</f>
        <v>899.99999999999147</v>
      </c>
      <c r="J8" s="4">
        <f t="shared" ref="J8:J15" si="3">I8*1553.25</f>
        <v>1397924.9999999867</v>
      </c>
      <c r="K8" s="11">
        <f t="shared" ref="K8:K15" si="4">G8+J8</f>
        <v>6306194.9999999963</v>
      </c>
      <c r="L8" s="13">
        <f t="shared" ref="L8:L15" si="5">K8*1.1</f>
        <v>6936814.4999999963</v>
      </c>
      <c r="M8" s="85">
        <f>L8/14084</f>
        <v>492.53156063618263</v>
      </c>
      <c r="N8" s="84"/>
    </row>
    <row r="9" spans="1:14" ht="17.100000000000001" customHeight="1" x14ac:dyDescent="0.25">
      <c r="A9" s="80"/>
      <c r="B9" s="77">
        <v>2</v>
      </c>
      <c r="C9" s="37">
        <v>8</v>
      </c>
      <c r="D9" s="37">
        <v>24</v>
      </c>
      <c r="E9" s="11">
        <v>2.2699999999999818</v>
      </c>
      <c r="F9" s="12">
        <f t="shared" si="0"/>
        <v>4539.9999999999636</v>
      </c>
      <c r="G9" s="4">
        <f t="shared" si="1"/>
        <v>4701169.9999999627</v>
      </c>
      <c r="H9" s="11">
        <v>0.49000000000000199</v>
      </c>
      <c r="I9" s="12">
        <f t="shared" si="2"/>
        <v>980.00000000000398</v>
      </c>
      <c r="J9" s="4">
        <f t="shared" si="3"/>
        <v>1522185.0000000063</v>
      </c>
      <c r="K9" s="11">
        <f t="shared" si="4"/>
        <v>6223354.9999999693</v>
      </c>
      <c r="L9" s="13">
        <f t="shared" si="5"/>
        <v>6845690.4999999665</v>
      </c>
      <c r="M9" s="85">
        <f t="shared" ref="M9:M37" si="6">L9/14084</f>
        <v>486.06152371485138</v>
      </c>
      <c r="N9" s="84"/>
    </row>
    <row r="10" spans="1:14" ht="17.100000000000001" customHeight="1" x14ac:dyDescent="0.25">
      <c r="A10" s="80"/>
      <c r="B10" s="77">
        <v>3</v>
      </c>
      <c r="C10" s="37">
        <v>6</v>
      </c>
      <c r="D10" s="37">
        <v>30</v>
      </c>
      <c r="E10" s="11">
        <v>2.3899999999999864</v>
      </c>
      <c r="F10" s="12">
        <f t="shared" si="0"/>
        <v>4779.9999999999727</v>
      </c>
      <c r="G10" s="4">
        <f t="shared" si="1"/>
        <v>4949689.9999999721</v>
      </c>
      <c r="H10" s="11">
        <v>0.46000000000000085</v>
      </c>
      <c r="I10" s="12">
        <f t="shared" si="2"/>
        <v>920.00000000000171</v>
      </c>
      <c r="J10" s="4">
        <f t="shared" si="3"/>
        <v>1428990.0000000026</v>
      </c>
      <c r="K10" s="11">
        <f t="shared" si="4"/>
        <v>6378679.9999999749</v>
      </c>
      <c r="L10" s="13">
        <f t="shared" si="5"/>
        <v>7016547.999999973</v>
      </c>
      <c r="M10" s="85">
        <f t="shared" si="6"/>
        <v>498.19284294234399</v>
      </c>
      <c r="N10" s="84"/>
    </row>
    <row r="11" spans="1:14" ht="17.100000000000001" customHeight="1" x14ac:dyDescent="0.25">
      <c r="A11" s="80"/>
      <c r="B11" s="77">
        <v>4</v>
      </c>
      <c r="C11" s="37">
        <v>8</v>
      </c>
      <c r="D11" s="37">
        <v>26</v>
      </c>
      <c r="E11" s="11">
        <v>2.3100000000000023</v>
      </c>
      <c r="F11" s="12">
        <f t="shared" si="0"/>
        <v>4620.0000000000045</v>
      </c>
      <c r="G11" s="4">
        <f t="shared" si="1"/>
        <v>4784010.0000000047</v>
      </c>
      <c r="H11" s="11">
        <v>0.46000000000000085</v>
      </c>
      <c r="I11" s="12">
        <f t="shared" si="2"/>
        <v>920.00000000000171</v>
      </c>
      <c r="J11" s="4">
        <f t="shared" si="3"/>
        <v>1428990.0000000026</v>
      </c>
      <c r="K11" s="11">
        <f t="shared" si="4"/>
        <v>6213000.0000000075</v>
      </c>
      <c r="L11" s="13">
        <f t="shared" si="5"/>
        <v>6834300.0000000084</v>
      </c>
      <c r="M11" s="85">
        <f t="shared" si="6"/>
        <v>485.25276909968818</v>
      </c>
      <c r="N11" s="84"/>
    </row>
    <row r="12" spans="1:14" ht="17.100000000000001" customHeight="1" x14ac:dyDescent="0.25">
      <c r="A12" s="80"/>
      <c r="B12" s="77">
        <v>5</v>
      </c>
      <c r="C12" s="37">
        <v>11</v>
      </c>
      <c r="D12" s="37">
        <v>35</v>
      </c>
      <c r="E12" s="11">
        <v>2.3400000000000318</v>
      </c>
      <c r="F12" s="12">
        <f t="shared" si="0"/>
        <v>4680.0000000000637</v>
      </c>
      <c r="G12" s="4">
        <f t="shared" si="1"/>
        <v>4846140.0000000661</v>
      </c>
      <c r="H12" s="11">
        <v>0.47999999999999687</v>
      </c>
      <c r="I12" s="12">
        <f t="shared" si="2"/>
        <v>959.99999999999375</v>
      </c>
      <c r="J12" s="4">
        <f t="shared" si="3"/>
        <v>1491119.9999999902</v>
      </c>
      <c r="K12" s="11">
        <f t="shared" si="4"/>
        <v>6337260.0000000559</v>
      </c>
      <c r="L12" s="13">
        <f t="shared" si="5"/>
        <v>6970986.0000000624</v>
      </c>
      <c r="M12" s="85">
        <f t="shared" si="6"/>
        <v>494.95782448168575</v>
      </c>
      <c r="N12" s="84"/>
    </row>
    <row r="13" spans="1:14" ht="17.100000000000001" customHeight="1" x14ac:dyDescent="0.25">
      <c r="A13" s="80"/>
      <c r="B13" s="77">
        <v>6</v>
      </c>
      <c r="C13" s="37">
        <v>13</v>
      </c>
      <c r="D13" s="37">
        <v>43</v>
      </c>
      <c r="E13" s="11">
        <v>2.5099999999999909</v>
      </c>
      <c r="F13" s="12">
        <f t="shared" si="0"/>
        <v>5019.9999999999818</v>
      </c>
      <c r="G13" s="4">
        <f t="shared" si="1"/>
        <v>5198209.9999999814</v>
      </c>
      <c r="H13" s="11">
        <v>0.52000000000000313</v>
      </c>
      <c r="I13" s="12">
        <f t="shared" si="2"/>
        <v>1040.0000000000064</v>
      </c>
      <c r="J13" s="4">
        <f t="shared" si="3"/>
        <v>1615380.0000000098</v>
      </c>
      <c r="K13" s="11">
        <f t="shared" si="4"/>
        <v>6813589.9999999907</v>
      </c>
      <c r="L13" s="13">
        <f t="shared" si="5"/>
        <v>7494948.9999999907</v>
      </c>
      <c r="M13" s="85">
        <f t="shared" si="6"/>
        <v>532.16053677932337</v>
      </c>
      <c r="N13" s="84"/>
    </row>
    <row r="14" spans="1:14" ht="17.100000000000001" customHeight="1" x14ac:dyDescent="0.25">
      <c r="A14" s="80"/>
      <c r="B14" s="77">
        <v>7</v>
      </c>
      <c r="C14" s="37">
        <v>17</v>
      </c>
      <c r="D14" s="37">
        <v>58</v>
      </c>
      <c r="E14" s="11">
        <v>2.6999999999999886</v>
      </c>
      <c r="F14" s="12">
        <f t="shared" si="0"/>
        <v>5399.9999999999773</v>
      </c>
      <c r="G14" s="4">
        <f t="shared" si="1"/>
        <v>5591699.9999999767</v>
      </c>
      <c r="H14" s="11">
        <v>0.57999999999999829</v>
      </c>
      <c r="I14" s="12">
        <f t="shared" si="2"/>
        <v>1159.9999999999966</v>
      </c>
      <c r="J14" s="4">
        <f t="shared" si="3"/>
        <v>1801769.9999999946</v>
      </c>
      <c r="K14" s="11">
        <f t="shared" si="4"/>
        <v>7393469.9999999711</v>
      </c>
      <c r="L14" s="13">
        <f t="shared" si="5"/>
        <v>8132816.9999999693</v>
      </c>
      <c r="M14" s="85">
        <f t="shared" si="6"/>
        <v>577.45079522862602</v>
      </c>
      <c r="N14" s="84"/>
    </row>
    <row r="15" spans="1:14" ht="17.100000000000001" customHeight="1" x14ac:dyDescent="0.25">
      <c r="A15" s="80"/>
      <c r="B15" s="77">
        <v>8</v>
      </c>
      <c r="C15" s="37">
        <v>14</v>
      </c>
      <c r="D15" s="37">
        <v>64</v>
      </c>
      <c r="E15" s="11">
        <v>2.8199999999999932</v>
      </c>
      <c r="F15" s="12">
        <f t="shared" si="0"/>
        <v>5639.9999999999864</v>
      </c>
      <c r="G15" s="4">
        <f t="shared" si="1"/>
        <v>5840219.999999986</v>
      </c>
      <c r="H15" s="11">
        <v>0.56000000000000227</v>
      </c>
      <c r="I15" s="12">
        <f t="shared" si="2"/>
        <v>1120.0000000000045</v>
      </c>
      <c r="J15" s="4">
        <f t="shared" si="3"/>
        <v>1739640.000000007</v>
      </c>
      <c r="K15" s="11">
        <f t="shared" si="4"/>
        <v>7579859.9999999925</v>
      </c>
      <c r="L15" s="13">
        <f t="shared" si="5"/>
        <v>8337845.9999999925</v>
      </c>
      <c r="M15" s="85">
        <f t="shared" si="6"/>
        <v>592.00837830161834</v>
      </c>
      <c r="N15" s="84"/>
    </row>
    <row r="16" spans="1:14" ht="17.100000000000001" customHeight="1" x14ac:dyDescent="0.25">
      <c r="A16" s="80"/>
      <c r="B16" s="77">
        <v>9</v>
      </c>
      <c r="C16" s="37">
        <v>11</v>
      </c>
      <c r="D16" s="37">
        <v>52</v>
      </c>
      <c r="E16" s="11">
        <v>2.7800000000000296</v>
      </c>
      <c r="F16" s="12">
        <f t="shared" si="0"/>
        <v>5560.0000000000591</v>
      </c>
      <c r="G16" s="4">
        <f t="shared" si="1"/>
        <v>5757380.0000000615</v>
      </c>
      <c r="H16" s="11">
        <v>0.56000000000000227</v>
      </c>
      <c r="I16" s="12">
        <f t="shared" ref="I16:I37" si="7">H16*2000</f>
        <v>1120.0000000000045</v>
      </c>
      <c r="J16" s="4">
        <f t="shared" ref="J16:J37" si="8">I16*1553.25</f>
        <v>1739640.000000007</v>
      </c>
      <c r="K16" s="11">
        <f t="shared" ref="K16:K37" si="9">G16+J16</f>
        <v>7497020.0000000689</v>
      </c>
      <c r="L16" s="13">
        <f t="shared" ref="L16:L37" si="10">K16*1.1</f>
        <v>8246722.0000000764</v>
      </c>
      <c r="M16" s="85">
        <f t="shared" si="6"/>
        <v>585.53834138029515</v>
      </c>
      <c r="N16" s="84"/>
    </row>
    <row r="17" spans="1:14" ht="17.100000000000001" customHeight="1" x14ac:dyDescent="0.25">
      <c r="A17" s="80"/>
      <c r="B17" s="77">
        <v>10</v>
      </c>
      <c r="C17" s="37">
        <v>12</v>
      </c>
      <c r="D17" s="37">
        <v>43</v>
      </c>
      <c r="E17" s="11">
        <v>2.8600000000000136</v>
      </c>
      <c r="F17" s="12">
        <f t="shared" si="0"/>
        <v>5720.0000000000273</v>
      </c>
      <c r="G17" s="4">
        <f t="shared" si="1"/>
        <v>5923060.0000000279</v>
      </c>
      <c r="H17" s="11">
        <v>0.56000000000000227</v>
      </c>
      <c r="I17" s="12">
        <f t="shared" si="7"/>
        <v>1120.0000000000045</v>
      </c>
      <c r="J17" s="4">
        <f t="shared" si="8"/>
        <v>1739640.000000007</v>
      </c>
      <c r="K17" s="11">
        <f t="shared" si="9"/>
        <v>7662700.0000000354</v>
      </c>
      <c r="L17" s="13">
        <f t="shared" si="10"/>
        <v>8428970.0000000391</v>
      </c>
      <c r="M17" s="85">
        <f t="shared" si="6"/>
        <v>598.47841522295084</v>
      </c>
      <c r="N17" s="84"/>
    </row>
    <row r="18" spans="1:14" ht="17.100000000000001" customHeight="1" x14ac:dyDescent="0.25">
      <c r="A18" s="80"/>
      <c r="B18" s="77">
        <v>11</v>
      </c>
      <c r="C18" s="37">
        <v>17</v>
      </c>
      <c r="D18" s="37">
        <v>53</v>
      </c>
      <c r="E18" s="11">
        <v>2.8999999999999773</v>
      </c>
      <c r="F18" s="12">
        <f t="shared" si="0"/>
        <v>5799.9999999999545</v>
      </c>
      <c r="G18" s="4">
        <f t="shared" si="1"/>
        <v>6005899.9999999525</v>
      </c>
      <c r="H18" s="11">
        <v>0.59999999999999432</v>
      </c>
      <c r="I18" s="12">
        <f t="shared" si="7"/>
        <v>1199.9999999999886</v>
      </c>
      <c r="J18" s="4">
        <f t="shared" si="8"/>
        <v>1863899.9999999823</v>
      </c>
      <c r="K18" s="11">
        <f t="shared" si="9"/>
        <v>7869799.9999999348</v>
      </c>
      <c r="L18" s="13">
        <f t="shared" si="10"/>
        <v>8656779.9999999292</v>
      </c>
      <c r="M18" s="85">
        <f t="shared" si="6"/>
        <v>614.65350752626591</v>
      </c>
      <c r="N18" s="84"/>
    </row>
    <row r="19" spans="1:14" ht="17.100000000000001" customHeight="1" x14ac:dyDescent="0.25">
      <c r="A19" s="80"/>
      <c r="B19" s="77">
        <v>12</v>
      </c>
      <c r="C19" s="37">
        <v>14</v>
      </c>
      <c r="D19" s="37">
        <v>67</v>
      </c>
      <c r="E19" s="11">
        <v>2.7799999999999727</v>
      </c>
      <c r="F19" s="12">
        <f t="shared" si="0"/>
        <v>5559.9999999999454</v>
      </c>
      <c r="G19" s="4">
        <f t="shared" si="1"/>
        <v>5757379.9999999432</v>
      </c>
      <c r="H19" s="11">
        <v>0.57999999999999829</v>
      </c>
      <c r="I19" s="12">
        <f t="shared" si="7"/>
        <v>1159.9999999999966</v>
      </c>
      <c r="J19" s="4">
        <f t="shared" si="8"/>
        <v>1801769.9999999946</v>
      </c>
      <c r="K19" s="11">
        <f t="shared" si="9"/>
        <v>7559149.9999999376</v>
      </c>
      <c r="L19" s="13">
        <f t="shared" si="10"/>
        <v>8315064.999999932</v>
      </c>
      <c r="M19" s="85">
        <f t="shared" si="6"/>
        <v>590.39086907128171</v>
      </c>
      <c r="N19" s="84"/>
    </row>
    <row r="20" spans="1:14" ht="17.100000000000001" customHeight="1" x14ac:dyDescent="0.25">
      <c r="A20" s="80"/>
      <c r="B20" s="77">
        <v>13</v>
      </c>
      <c r="C20" s="37">
        <v>12</v>
      </c>
      <c r="D20" s="37">
        <v>67</v>
      </c>
      <c r="E20" s="11">
        <v>2.75</v>
      </c>
      <c r="F20" s="12">
        <f t="shared" si="0"/>
        <v>5500</v>
      </c>
      <c r="G20" s="4">
        <f t="shared" si="1"/>
        <v>5695250</v>
      </c>
      <c r="H20" s="11">
        <v>0.51000000000000512</v>
      </c>
      <c r="I20" s="12">
        <f t="shared" si="7"/>
        <v>1020.0000000000102</v>
      </c>
      <c r="J20" s="4">
        <f t="shared" si="8"/>
        <v>1584315.0000000158</v>
      </c>
      <c r="K20" s="11">
        <f t="shared" si="9"/>
        <v>7279565.0000000158</v>
      </c>
      <c r="L20" s="13">
        <f t="shared" si="10"/>
        <v>8007521.5000000177</v>
      </c>
      <c r="M20" s="85">
        <f t="shared" si="6"/>
        <v>568.55449446180194</v>
      </c>
      <c r="N20" s="84"/>
    </row>
    <row r="21" spans="1:14" ht="17.100000000000001" customHeight="1" x14ac:dyDescent="0.25">
      <c r="A21" s="80"/>
      <c r="B21" s="77">
        <v>14</v>
      </c>
      <c r="C21" s="37">
        <v>13</v>
      </c>
      <c r="D21" s="37">
        <v>36</v>
      </c>
      <c r="E21" s="11">
        <v>2.6800000000000068</v>
      </c>
      <c r="F21" s="12">
        <f t="shared" si="0"/>
        <v>5360.0000000000136</v>
      </c>
      <c r="G21" s="4">
        <f t="shared" si="1"/>
        <v>5550280.000000014</v>
      </c>
      <c r="H21" s="11">
        <v>0.53999999999999204</v>
      </c>
      <c r="I21" s="12">
        <f t="shared" si="7"/>
        <v>1079.9999999999841</v>
      </c>
      <c r="J21" s="4">
        <f t="shared" si="8"/>
        <v>1677509.9999999753</v>
      </c>
      <c r="K21" s="11">
        <f t="shared" si="9"/>
        <v>7227789.9999999888</v>
      </c>
      <c r="L21" s="13">
        <f t="shared" si="10"/>
        <v>7950568.9999999879</v>
      </c>
      <c r="M21" s="85">
        <f t="shared" si="6"/>
        <v>564.51072138596908</v>
      </c>
      <c r="N21" s="84"/>
    </row>
    <row r="22" spans="1:14" ht="17.100000000000001" customHeight="1" x14ac:dyDescent="0.25">
      <c r="A22" s="80"/>
      <c r="B22" s="77">
        <v>15</v>
      </c>
      <c r="C22" s="37">
        <v>13</v>
      </c>
      <c r="D22" s="37">
        <v>44</v>
      </c>
      <c r="E22" s="11">
        <v>2.7700000000000387</v>
      </c>
      <c r="F22" s="12">
        <f t="shared" si="0"/>
        <v>5540.0000000000773</v>
      </c>
      <c r="G22" s="4">
        <f t="shared" si="1"/>
        <v>5736670.0000000801</v>
      </c>
      <c r="H22" s="11">
        <v>0.54000000000000625</v>
      </c>
      <c r="I22" s="12">
        <f t="shared" si="7"/>
        <v>1080.0000000000125</v>
      </c>
      <c r="J22" s="4">
        <f t="shared" si="8"/>
        <v>1677510.0000000193</v>
      </c>
      <c r="K22" s="11">
        <f t="shared" si="9"/>
        <v>7414180.0000000997</v>
      </c>
      <c r="L22" s="13">
        <f t="shared" si="10"/>
        <v>8155598.0000001099</v>
      </c>
      <c r="M22" s="85">
        <f t="shared" si="6"/>
        <v>579.06830445896833</v>
      </c>
      <c r="N22" s="84"/>
    </row>
    <row r="23" spans="1:14" ht="17.100000000000001" customHeight="1" x14ac:dyDescent="0.25">
      <c r="A23" s="80"/>
      <c r="B23" s="77">
        <v>16</v>
      </c>
      <c r="C23" s="37">
        <v>16</v>
      </c>
      <c r="D23" s="37">
        <v>43</v>
      </c>
      <c r="E23" s="11">
        <v>2.6699999999999591</v>
      </c>
      <c r="F23" s="12">
        <f t="shared" si="0"/>
        <v>5339.9999999999181</v>
      </c>
      <c r="G23" s="4">
        <f t="shared" si="1"/>
        <v>5529569.9999999152</v>
      </c>
      <c r="H23" s="11">
        <v>0.56999999999999318</v>
      </c>
      <c r="I23" s="12">
        <f t="shared" si="7"/>
        <v>1139.9999999999864</v>
      </c>
      <c r="J23" s="4">
        <f t="shared" si="8"/>
        <v>1770704.9999999788</v>
      </c>
      <c r="K23" s="11">
        <f t="shared" si="9"/>
        <v>7300274.9999998938</v>
      </c>
      <c r="L23" s="13">
        <f t="shared" si="10"/>
        <v>8030302.4999998836</v>
      </c>
      <c r="M23" s="85">
        <f t="shared" si="6"/>
        <v>570.17200369212469</v>
      </c>
      <c r="N23" s="84"/>
    </row>
    <row r="24" spans="1:14" ht="17.100000000000001" customHeight="1" x14ac:dyDescent="0.25">
      <c r="A24" s="80"/>
      <c r="B24" s="77">
        <v>17</v>
      </c>
      <c r="C24" s="37">
        <v>18</v>
      </c>
      <c r="D24" s="37">
        <v>62</v>
      </c>
      <c r="E24" s="11">
        <v>2.9000000000000341</v>
      </c>
      <c r="F24" s="12">
        <f t="shared" si="0"/>
        <v>5800.0000000000682</v>
      </c>
      <c r="G24" s="4">
        <f t="shared" si="1"/>
        <v>6005900.0000000708</v>
      </c>
      <c r="H24" s="11">
        <v>0.60000000000000853</v>
      </c>
      <c r="I24" s="12">
        <f t="shared" si="7"/>
        <v>1200.0000000000171</v>
      </c>
      <c r="J24" s="4">
        <f t="shared" si="8"/>
        <v>1863900.0000000265</v>
      </c>
      <c r="K24" s="11">
        <f t="shared" si="9"/>
        <v>7869800.0000000969</v>
      </c>
      <c r="L24" s="13">
        <f t="shared" si="10"/>
        <v>8656780.000000108</v>
      </c>
      <c r="M24" s="85">
        <f t="shared" si="6"/>
        <v>614.65350752627864</v>
      </c>
      <c r="N24" s="84"/>
    </row>
    <row r="25" spans="1:14" ht="17.100000000000001" customHeight="1" x14ac:dyDescent="0.25">
      <c r="A25" s="80"/>
      <c r="B25" s="77">
        <v>18</v>
      </c>
      <c r="C25" s="37">
        <v>20</v>
      </c>
      <c r="D25" s="37">
        <v>71</v>
      </c>
      <c r="E25" s="11">
        <v>3.1200000000000045</v>
      </c>
      <c r="F25" s="12">
        <f t="shared" si="0"/>
        <v>6240.0000000000091</v>
      </c>
      <c r="G25" s="4">
        <f t="shared" si="1"/>
        <v>6461520.0000000093</v>
      </c>
      <c r="H25" s="11">
        <v>0.76999999999999602</v>
      </c>
      <c r="I25" s="12">
        <f t="shared" si="7"/>
        <v>1539.999999999992</v>
      </c>
      <c r="J25" s="4">
        <f t="shared" si="8"/>
        <v>2392004.9999999874</v>
      </c>
      <c r="K25" s="11">
        <f t="shared" si="9"/>
        <v>8853524.9999999963</v>
      </c>
      <c r="L25" s="13">
        <f t="shared" si="10"/>
        <v>9738877.4999999963</v>
      </c>
      <c r="M25" s="85">
        <f t="shared" si="6"/>
        <v>691.48519596705455</v>
      </c>
      <c r="N25" s="84"/>
    </row>
    <row r="26" spans="1:14" ht="17.100000000000001" customHeight="1" x14ac:dyDescent="0.25">
      <c r="A26" s="80"/>
      <c r="B26" s="77">
        <v>19</v>
      </c>
      <c r="C26" s="37">
        <v>36</v>
      </c>
      <c r="D26" s="37">
        <v>110</v>
      </c>
      <c r="E26" s="11">
        <v>3.4699999999999704</v>
      </c>
      <c r="F26" s="12">
        <f t="shared" si="0"/>
        <v>6939.9999999999409</v>
      </c>
      <c r="G26" s="4">
        <f t="shared" si="1"/>
        <v>7186369.9999999385</v>
      </c>
      <c r="H26" s="11">
        <v>0.67000000000000171</v>
      </c>
      <c r="I26" s="12">
        <f t="shared" si="7"/>
        <v>1340.0000000000034</v>
      </c>
      <c r="J26" s="4">
        <f t="shared" si="8"/>
        <v>2081355.0000000054</v>
      </c>
      <c r="K26" s="11">
        <f t="shared" si="9"/>
        <v>9267724.9999999441</v>
      </c>
      <c r="L26" s="13">
        <f t="shared" si="10"/>
        <v>10194497.499999939</v>
      </c>
      <c r="M26" s="85">
        <f t="shared" si="6"/>
        <v>723.83538057369628</v>
      </c>
      <c r="N26" s="84"/>
    </row>
    <row r="27" spans="1:14" ht="17.100000000000001" customHeight="1" x14ac:dyDescent="0.25">
      <c r="A27" s="80"/>
      <c r="B27" s="77">
        <v>20</v>
      </c>
      <c r="C27" s="37">
        <v>39</v>
      </c>
      <c r="D27" s="37">
        <v>148</v>
      </c>
      <c r="E27" s="11">
        <v>3.5099999999999909</v>
      </c>
      <c r="F27" s="12">
        <f t="shared" si="0"/>
        <v>7019.9999999999818</v>
      </c>
      <c r="G27" s="4">
        <f t="shared" si="1"/>
        <v>7269209.9999999814</v>
      </c>
      <c r="H27" s="11">
        <v>0.73000000000000398</v>
      </c>
      <c r="I27" s="12">
        <f t="shared" si="7"/>
        <v>1460.000000000008</v>
      </c>
      <c r="J27" s="4">
        <f t="shared" si="8"/>
        <v>2267745.0000000126</v>
      </c>
      <c r="K27" s="11">
        <f t="shared" si="9"/>
        <v>9536954.9999999944</v>
      </c>
      <c r="L27" s="13">
        <f t="shared" si="10"/>
        <v>10490650.499999994</v>
      </c>
      <c r="M27" s="85">
        <f t="shared" si="6"/>
        <v>744.86300056802008</v>
      </c>
      <c r="N27" s="84"/>
    </row>
    <row r="28" spans="1:14" ht="17.100000000000001" customHeight="1" x14ac:dyDescent="0.25">
      <c r="A28" s="80"/>
      <c r="B28" s="77">
        <v>21</v>
      </c>
      <c r="C28" s="37">
        <v>31</v>
      </c>
      <c r="D28" s="37">
        <v>142</v>
      </c>
      <c r="E28" s="11">
        <v>3.6000000000000227</v>
      </c>
      <c r="F28" s="12">
        <f t="shared" si="0"/>
        <v>7200.0000000000455</v>
      </c>
      <c r="G28" s="4">
        <f t="shared" si="1"/>
        <v>7455600.0000000475</v>
      </c>
      <c r="H28" s="11">
        <v>0.69999999999998863</v>
      </c>
      <c r="I28" s="12">
        <f t="shared" si="7"/>
        <v>1399.9999999999773</v>
      </c>
      <c r="J28" s="4">
        <f t="shared" si="8"/>
        <v>2174549.9999999646</v>
      </c>
      <c r="K28" s="11">
        <f t="shared" si="9"/>
        <v>9630150.0000000112</v>
      </c>
      <c r="L28" s="13">
        <f t="shared" si="10"/>
        <v>10593165.000000013</v>
      </c>
      <c r="M28" s="85">
        <f t="shared" si="6"/>
        <v>752.14179210451664</v>
      </c>
      <c r="N28" s="84"/>
    </row>
    <row r="29" spans="1:14" ht="17.100000000000001" customHeight="1" x14ac:dyDescent="0.25">
      <c r="A29" s="80"/>
      <c r="B29" s="77">
        <v>22</v>
      </c>
      <c r="C29" s="37">
        <v>20</v>
      </c>
      <c r="D29" s="37">
        <v>111</v>
      </c>
      <c r="E29" s="11">
        <v>3.5699999999999932</v>
      </c>
      <c r="F29" s="12">
        <f t="shared" si="0"/>
        <v>7139.9999999999864</v>
      </c>
      <c r="G29" s="4">
        <f t="shared" si="1"/>
        <v>7393469.999999986</v>
      </c>
      <c r="H29" s="11">
        <v>0.68000000000000682</v>
      </c>
      <c r="I29" s="12">
        <f t="shared" si="7"/>
        <v>1360.0000000000136</v>
      </c>
      <c r="J29" s="4">
        <f t="shared" si="8"/>
        <v>2112420.0000000214</v>
      </c>
      <c r="K29" s="11">
        <f t="shared" si="9"/>
        <v>9505890.0000000075</v>
      </c>
      <c r="L29" s="13">
        <f t="shared" si="10"/>
        <v>10456479.000000009</v>
      </c>
      <c r="M29" s="85">
        <f t="shared" si="6"/>
        <v>742.43673672252271</v>
      </c>
      <c r="N29" s="84"/>
    </row>
    <row r="30" spans="1:14" ht="17.100000000000001" customHeight="1" x14ac:dyDescent="0.25">
      <c r="A30" s="80"/>
      <c r="B30" s="77">
        <v>23</v>
      </c>
      <c r="C30" s="37">
        <v>14</v>
      </c>
      <c r="D30" s="37">
        <v>90</v>
      </c>
      <c r="E30" s="11">
        <v>3.5799999999999841</v>
      </c>
      <c r="F30" s="12">
        <f t="shared" si="0"/>
        <v>7159.9999999999682</v>
      </c>
      <c r="G30" s="4">
        <f t="shared" si="1"/>
        <v>7414179.9999999674</v>
      </c>
      <c r="H30" s="11">
        <v>0.67999999999999261</v>
      </c>
      <c r="I30" s="12">
        <f t="shared" si="7"/>
        <v>1359.9999999999852</v>
      </c>
      <c r="J30" s="4">
        <f t="shared" si="8"/>
        <v>2112419.9999999772</v>
      </c>
      <c r="K30" s="11">
        <f t="shared" si="9"/>
        <v>9526599.9999999441</v>
      </c>
      <c r="L30" s="13">
        <f t="shared" si="10"/>
        <v>10479259.999999939</v>
      </c>
      <c r="M30" s="85">
        <f t="shared" si="6"/>
        <v>744.0542459528499</v>
      </c>
      <c r="N30" s="84"/>
    </row>
    <row r="31" spans="1:14" ht="17.100000000000001" customHeight="1" x14ac:dyDescent="0.25">
      <c r="A31" s="80"/>
      <c r="B31" s="77">
        <v>24</v>
      </c>
      <c r="C31" s="37">
        <v>32</v>
      </c>
      <c r="D31" s="37">
        <v>92</v>
      </c>
      <c r="E31" s="11">
        <v>3.5099999999999909</v>
      </c>
      <c r="F31" s="12">
        <f t="shared" si="0"/>
        <v>7019.9999999999818</v>
      </c>
      <c r="G31" s="4">
        <f t="shared" si="1"/>
        <v>7269209.9999999814</v>
      </c>
      <c r="H31" s="11">
        <v>0.76000000000000512</v>
      </c>
      <c r="I31" s="12">
        <f t="shared" si="7"/>
        <v>1520.0000000000102</v>
      </c>
      <c r="J31" s="4">
        <f t="shared" si="8"/>
        <v>2360940.0000000158</v>
      </c>
      <c r="K31" s="11">
        <f t="shared" si="9"/>
        <v>9630149.9999999963</v>
      </c>
      <c r="L31" s="13">
        <f t="shared" si="10"/>
        <v>10593164.999999996</v>
      </c>
      <c r="M31" s="85">
        <f t="shared" si="6"/>
        <v>752.1417921045155</v>
      </c>
      <c r="N31" s="84"/>
    </row>
    <row r="32" spans="1:14" ht="17.100000000000001" customHeight="1" x14ac:dyDescent="0.25">
      <c r="A32" s="80"/>
      <c r="B32" s="77">
        <v>25</v>
      </c>
      <c r="C32" s="37">
        <v>40</v>
      </c>
      <c r="D32" s="37">
        <v>151</v>
      </c>
      <c r="E32" s="11">
        <v>3.7800000000000296</v>
      </c>
      <c r="F32" s="12">
        <f t="shared" si="0"/>
        <v>7560.0000000000591</v>
      </c>
      <c r="G32" s="4">
        <f t="shared" si="1"/>
        <v>7828380.0000000615</v>
      </c>
      <c r="H32" s="11">
        <v>0.76999999999999602</v>
      </c>
      <c r="I32" s="12">
        <f t="shared" si="7"/>
        <v>1539.999999999992</v>
      </c>
      <c r="J32" s="4">
        <f t="shared" si="8"/>
        <v>2392004.9999999874</v>
      </c>
      <c r="K32" s="11">
        <f t="shared" si="9"/>
        <v>10220385.000000048</v>
      </c>
      <c r="L32" s="13">
        <f t="shared" si="10"/>
        <v>11242423.500000054</v>
      </c>
      <c r="M32" s="85">
        <f t="shared" si="6"/>
        <v>798.24080516898994</v>
      </c>
      <c r="N32" s="84"/>
    </row>
    <row r="33" spans="1:16" ht="17.100000000000001" customHeight="1" x14ac:dyDescent="0.25">
      <c r="A33" s="80"/>
      <c r="B33" s="77">
        <v>26</v>
      </c>
      <c r="C33" s="37">
        <v>41</v>
      </c>
      <c r="D33" s="37">
        <v>184</v>
      </c>
      <c r="E33" s="11">
        <v>3.75</v>
      </c>
      <c r="F33" s="12">
        <f t="shared" si="0"/>
        <v>7500</v>
      </c>
      <c r="G33" s="4">
        <f t="shared" si="1"/>
        <v>7766250</v>
      </c>
      <c r="H33" s="11">
        <v>0.76000000000000512</v>
      </c>
      <c r="I33" s="12">
        <f t="shared" si="7"/>
        <v>1520.0000000000102</v>
      </c>
      <c r="J33" s="4">
        <f t="shared" si="8"/>
        <v>2360940.0000000158</v>
      </c>
      <c r="K33" s="11">
        <f t="shared" si="9"/>
        <v>10127190.000000015</v>
      </c>
      <c r="L33" s="13">
        <f t="shared" si="10"/>
        <v>11139909.000000017</v>
      </c>
      <c r="M33" s="85">
        <f t="shared" si="6"/>
        <v>790.96201363249202</v>
      </c>
      <c r="N33" s="84"/>
    </row>
    <row r="34" spans="1:16" ht="17.100000000000001" customHeight="1" x14ac:dyDescent="0.25">
      <c r="A34" s="80"/>
      <c r="B34" s="77">
        <v>27</v>
      </c>
      <c r="C34" s="37">
        <v>33</v>
      </c>
      <c r="D34" s="37">
        <v>148</v>
      </c>
      <c r="E34" s="11">
        <v>3.660000000000025</v>
      </c>
      <c r="F34" s="12">
        <f t="shared" si="0"/>
        <v>7320.00000000005</v>
      </c>
      <c r="G34" s="4">
        <f t="shared" si="1"/>
        <v>7579860.0000000522</v>
      </c>
      <c r="H34" s="11">
        <v>0.73000000000000398</v>
      </c>
      <c r="I34" s="12">
        <f t="shared" si="7"/>
        <v>1460.000000000008</v>
      </c>
      <c r="J34" s="4">
        <f t="shared" si="8"/>
        <v>2267745.0000000126</v>
      </c>
      <c r="K34" s="11">
        <f t="shared" si="9"/>
        <v>9847605.0000000652</v>
      </c>
      <c r="L34" s="13">
        <f t="shared" si="10"/>
        <v>10832365.500000073</v>
      </c>
      <c r="M34" s="85">
        <f t="shared" si="6"/>
        <v>769.12563902300997</v>
      </c>
      <c r="N34" s="84"/>
    </row>
    <row r="35" spans="1:16" ht="17.100000000000001" customHeight="1" x14ac:dyDescent="0.25">
      <c r="A35" s="80"/>
      <c r="B35" s="77">
        <v>28</v>
      </c>
      <c r="C35" s="37">
        <v>31</v>
      </c>
      <c r="D35" s="37">
        <v>135</v>
      </c>
      <c r="E35" s="11">
        <v>3.5699999999999932</v>
      </c>
      <c r="F35" s="12">
        <f t="shared" si="0"/>
        <v>7139.9999999999864</v>
      </c>
      <c r="G35" s="4">
        <f t="shared" si="1"/>
        <v>7393469.999999986</v>
      </c>
      <c r="H35" s="11">
        <v>0.72999999999998977</v>
      </c>
      <c r="I35" s="12">
        <f t="shared" si="7"/>
        <v>1459.9999999999795</v>
      </c>
      <c r="J35" s="4">
        <f t="shared" si="8"/>
        <v>2267744.9999999683</v>
      </c>
      <c r="K35" s="11">
        <f t="shared" si="9"/>
        <v>9661214.9999999553</v>
      </c>
      <c r="L35" s="13">
        <f t="shared" si="10"/>
        <v>10627336.499999952</v>
      </c>
      <c r="M35" s="85">
        <f t="shared" si="6"/>
        <v>754.56805595001072</v>
      </c>
      <c r="N35" s="84"/>
    </row>
    <row r="36" spans="1:16" ht="17.100000000000001" customHeight="1" x14ac:dyDescent="0.25">
      <c r="A36" s="80"/>
      <c r="B36" s="77">
        <v>29</v>
      </c>
      <c r="C36" s="37">
        <v>26</v>
      </c>
      <c r="D36" s="37">
        <v>122</v>
      </c>
      <c r="E36" s="11">
        <v>3.5399999999999636</v>
      </c>
      <c r="F36" s="12">
        <f t="shared" si="0"/>
        <v>7079.9999999999272</v>
      </c>
      <c r="G36" s="4">
        <f t="shared" si="1"/>
        <v>7331339.9999999246</v>
      </c>
      <c r="H36" s="11">
        <v>0.72000000000001307</v>
      </c>
      <c r="I36" s="12">
        <f t="shared" si="7"/>
        <v>1440.0000000000261</v>
      </c>
      <c r="J36" s="4">
        <f t="shared" si="8"/>
        <v>2236680.0000000405</v>
      </c>
      <c r="K36" s="11">
        <f t="shared" si="9"/>
        <v>9568019.9999999646</v>
      </c>
      <c r="L36" s="13">
        <f t="shared" si="10"/>
        <v>10524821.999999963</v>
      </c>
      <c r="M36" s="85">
        <f t="shared" si="6"/>
        <v>747.28926441351621</v>
      </c>
      <c r="N36" s="84"/>
    </row>
    <row r="37" spans="1:16" ht="17.100000000000001" customHeight="1" x14ac:dyDescent="0.25">
      <c r="A37" s="80"/>
      <c r="B37" s="77">
        <v>30</v>
      </c>
      <c r="C37" s="37">
        <v>29</v>
      </c>
      <c r="D37" s="37">
        <v>116</v>
      </c>
      <c r="E37" s="11">
        <v>3.0400000000000205</v>
      </c>
      <c r="F37" s="12">
        <f t="shared" si="0"/>
        <v>6080.0000000000409</v>
      </c>
      <c r="G37" s="4">
        <f t="shared" si="1"/>
        <v>6295840.0000000428</v>
      </c>
      <c r="H37" s="11">
        <v>0.71999999999999886</v>
      </c>
      <c r="I37" s="12">
        <f t="shared" si="7"/>
        <v>1439.9999999999977</v>
      </c>
      <c r="J37" s="4">
        <f t="shared" si="8"/>
        <v>2236679.9999999963</v>
      </c>
      <c r="K37" s="11">
        <f t="shared" si="9"/>
        <v>8532520.0000000391</v>
      </c>
      <c r="L37" s="13">
        <f t="shared" si="10"/>
        <v>9385772.0000000447</v>
      </c>
      <c r="M37" s="85">
        <f t="shared" si="6"/>
        <v>666.41380289690744</v>
      </c>
      <c r="N37" s="84"/>
    </row>
    <row r="38" spans="1:16" ht="17.100000000000001" customHeight="1" x14ac:dyDescent="0.25">
      <c r="A38" s="80"/>
      <c r="B38" s="77">
        <v>31</v>
      </c>
      <c r="C38" s="37">
        <v>20</v>
      </c>
      <c r="D38" s="37">
        <v>135</v>
      </c>
      <c r="E38" s="11">
        <v>4.2300000000000182</v>
      </c>
      <c r="F38" s="12">
        <f t="shared" ref="F38" si="11">E38*2000</f>
        <v>8460.0000000000364</v>
      </c>
      <c r="G38" s="4">
        <f t="shared" ref="G38" si="12">F38*1035.5</f>
        <v>8760330.0000000373</v>
      </c>
      <c r="H38" s="11">
        <v>0.72999999999998977</v>
      </c>
      <c r="I38" s="12">
        <f t="shared" ref="I38" si="13">H38*2000</f>
        <v>1459.9999999999795</v>
      </c>
      <c r="J38" s="4">
        <f t="shared" ref="J38" si="14">I38*1553.25</f>
        <v>2267744.9999999683</v>
      </c>
      <c r="K38" s="11">
        <f t="shared" ref="K38" si="15">G38+J38</f>
        <v>11028075.000000006</v>
      </c>
      <c r="L38" s="13">
        <f t="shared" ref="L38" si="16">K38*1.1</f>
        <v>12130882.500000007</v>
      </c>
      <c r="M38" s="85">
        <f t="shared" ref="M38" si="17">L38/14084</f>
        <v>861.32366515194599</v>
      </c>
      <c r="N38" s="84"/>
    </row>
    <row r="39" spans="1:16" ht="15" x14ac:dyDescent="0.25">
      <c r="C39" s="19">
        <f>SUM(C8:C38)</f>
        <v>622</v>
      </c>
      <c r="D39" s="19">
        <f>SUM(D8:D38)</f>
        <v>2540</v>
      </c>
      <c r="F39" s="19">
        <f>SUM(F8:F38)</f>
        <v>189460</v>
      </c>
      <c r="I39" s="19">
        <f>SUM(I8:I38)</f>
        <v>38419.999999999993</v>
      </c>
      <c r="K39" s="2" t="s">
        <v>41</v>
      </c>
      <c r="L39" s="54">
        <f>SUM(L8:L38)</f>
        <v>281447864.5</v>
      </c>
      <c r="M39" s="55">
        <f>SUM(M8:M38)</f>
        <v>19983.517786140303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227880</v>
      </c>
    </row>
    <row r="41" spans="1:16" x14ac:dyDescent="0.2">
      <c r="C41" t="s">
        <v>40</v>
      </c>
      <c r="M41" s="42"/>
    </row>
    <row r="42" spans="1:16" x14ac:dyDescent="0.2">
      <c r="M42" s="4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zoomScale="80" zoomScaleNormal="80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R16" sqref="R16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9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 t="s">
        <v>57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5" t="s">
        <v>29</v>
      </c>
      <c r="G7" s="73" t="s">
        <v>56</v>
      </c>
      <c r="H7" s="86" t="s">
        <v>27</v>
      </c>
      <c r="I7" s="86" t="s">
        <v>29</v>
      </c>
      <c r="J7" s="73" t="s">
        <v>56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6"/>
      <c r="C8" s="86"/>
      <c r="D8" s="86"/>
      <c r="E8" s="86"/>
      <c r="F8" s="96"/>
      <c r="G8" s="82">
        <v>10630</v>
      </c>
      <c r="H8" s="86"/>
      <c r="I8" s="86"/>
      <c r="J8" s="82">
        <f>G8</f>
        <v>10630</v>
      </c>
      <c r="K8" s="86"/>
      <c r="L8" s="86"/>
      <c r="M8" s="82">
        <f>J8</f>
        <v>10630</v>
      </c>
      <c r="N8" s="86"/>
      <c r="O8" s="86"/>
      <c r="P8" s="82">
        <f>J8</f>
        <v>10630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v>7</v>
      </c>
      <c r="D9" s="16">
        <v>38</v>
      </c>
      <c r="E9" s="3">
        <v>8</v>
      </c>
      <c r="F9" s="11">
        <v>34.749763779527555</v>
      </c>
      <c r="G9" s="25">
        <f>F9*$G$8</f>
        <v>369389.98897637794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>
        <v>1</v>
      </c>
      <c r="O9" s="11">
        <v>7.14</v>
      </c>
      <c r="P9" s="24">
        <f>O9*$P$8</f>
        <v>75898.2</v>
      </c>
      <c r="Q9" s="17">
        <f>P9+G9+J9+M9</f>
        <v>445288.18897637795</v>
      </c>
      <c r="R9" s="78">
        <f>Q9/14084</f>
        <v>31.616599614908971</v>
      </c>
      <c r="S9" s="70"/>
    </row>
    <row r="10" spans="1:19" ht="17.100000000000001" customHeight="1" x14ac:dyDescent="0.25">
      <c r="A10" s="80"/>
      <c r="B10" s="77">
        <v>2</v>
      </c>
      <c r="C10" s="16">
        <v>8</v>
      </c>
      <c r="D10" s="16">
        <v>24</v>
      </c>
      <c r="E10" s="3">
        <v>8</v>
      </c>
      <c r="F10" s="11">
        <v>19.316692913385825</v>
      </c>
      <c r="G10" s="25">
        <f>F10*$G$8</f>
        <v>205336.44566929134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>
        <v>1</v>
      </c>
      <c r="O10" s="11">
        <v>7.14</v>
      </c>
      <c r="P10" s="24">
        <f>O10*$P$8</f>
        <v>75898.2</v>
      </c>
      <c r="Q10" s="17">
        <f>J10+M10+G10+P10</f>
        <v>281234.64566929132</v>
      </c>
      <c r="R10" s="78">
        <f t="shared" ref="R10:R38" si="1">Q10/14084</f>
        <v>19.968378704153032</v>
      </c>
      <c r="S10" s="70"/>
    </row>
    <row r="11" spans="1:19" ht="17.100000000000001" customHeight="1" x14ac:dyDescent="0.25">
      <c r="A11" s="80"/>
      <c r="B11" s="77">
        <v>3</v>
      </c>
      <c r="C11" s="16">
        <v>6</v>
      </c>
      <c r="D11" s="16">
        <v>30</v>
      </c>
      <c r="E11" s="3">
        <v>8</v>
      </c>
      <c r="F11" s="11">
        <v>25.930866141732281</v>
      </c>
      <c r="G11" s="25">
        <f t="shared" ref="G11:G38" si="2">F11*$G$8</f>
        <v>275645.10708661412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>
        <v>1</v>
      </c>
      <c r="O11" s="11">
        <v>7.14</v>
      </c>
      <c r="P11" s="24">
        <f t="shared" ref="P11:P38" si="4">O11*$P$8</f>
        <v>75898.2</v>
      </c>
      <c r="Q11" s="17">
        <f t="shared" ref="Q11:Q38" si="5">J11+M11+G11+P11</f>
        <v>351543.30708661414</v>
      </c>
      <c r="R11" s="78">
        <f t="shared" si="1"/>
        <v>24.960473380191292</v>
      </c>
      <c r="S11" s="70"/>
    </row>
    <row r="12" spans="1:19" ht="17.100000000000001" customHeight="1" x14ac:dyDescent="0.25">
      <c r="A12" s="80"/>
      <c r="B12" s="77">
        <v>4</v>
      </c>
      <c r="C12" s="16">
        <v>8</v>
      </c>
      <c r="D12" s="16">
        <v>26</v>
      </c>
      <c r="E12" s="3">
        <v>8</v>
      </c>
      <c r="F12" s="11">
        <v>21.521417322834647</v>
      </c>
      <c r="G12" s="25">
        <f t="shared" si="2"/>
        <v>228772.6661417323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>
        <v>1</v>
      </c>
      <c r="O12" s="11">
        <v>7.14</v>
      </c>
      <c r="P12" s="24">
        <f t="shared" si="4"/>
        <v>75898.2</v>
      </c>
      <c r="Q12" s="17">
        <f t="shared" si="5"/>
        <v>304670.86614173232</v>
      </c>
      <c r="R12" s="78">
        <f t="shared" si="1"/>
        <v>21.632410262832458</v>
      </c>
      <c r="S12" s="70"/>
    </row>
    <row r="13" spans="1:19" ht="17.100000000000001" customHeight="1" x14ac:dyDescent="0.25">
      <c r="A13" s="80"/>
      <c r="B13" s="77">
        <v>5</v>
      </c>
      <c r="C13" s="16">
        <v>11</v>
      </c>
      <c r="D13" s="16">
        <v>35</v>
      </c>
      <c r="E13" s="3">
        <v>8</v>
      </c>
      <c r="F13" s="11">
        <v>31.442677165354326</v>
      </c>
      <c r="G13" s="25">
        <f t="shared" si="2"/>
        <v>334235.65826771647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>
        <v>1</v>
      </c>
      <c r="O13" s="11">
        <v>7.14</v>
      </c>
      <c r="P13" s="24">
        <f t="shared" si="4"/>
        <v>75898.2</v>
      </c>
      <c r="Q13" s="17">
        <f t="shared" si="5"/>
        <v>410133.85826771648</v>
      </c>
      <c r="R13" s="78">
        <f t="shared" si="1"/>
        <v>29.120552276889839</v>
      </c>
      <c r="S13" s="70"/>
    </row>
    <row r="14" spans="1:19" ht="17.100000000000001" customHeight="1" x14ac:dyDescent="0.25">
      <c r="A14" s="80"/>
      <c r="B14" s="77">
        <v>6</v>
      </c>
      <c r="C14" s="16">
        <v>13</v>
      </c>
      <c r="D14" s="16">
        <v>43</v>
      </c>
      <c r="E14" s="3">
        <v>8</v>
      </c>
      <c r="F14" s="11">
        <v>40.261574803149607</v>
      </c>
      <c r="G14" s="25">
        <f t="shared" si="2"/>
        <v>427980.54015748034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>
        <v>1</v>
      </c>
      <c r="O14" s="11">
        <v>7.14</v>
      </c>
      <c r="P14" s="24">
        <f t="shared" si="4"/>
        <v>75898.2</v>
      </c>
      <c r="Q14" s="17">
        <f t="shared" si="5"/>
        <v>503878.74015748035</v>
      </c>
      <c r="R14" s="78">
        <f t="shared" si="1"/>
        <v>35.776678511607521</v>
      </c>
      <c r="S14" s="70"/>
    </row>
    <row r="15" spans="1:19" ht="17.100000000000001" customHeight="1" x14ac:dyDescent="0.25">
      <c r="A15" s="80"/>
      <c r="B15" s="77">
        <v>7</v>
      </c>
      <c r="C15" s="16">
        <v>17</v>
      </c>
      <c r="D15" s="16">
        <v>58</v>
      </c>
      <c r="E15" s="3">
        <v>8</v>
      </c>
      <c r="F15" s="11">
        <v>56.797007874015748</v>
      </c>
      <c r="G15" s="25">
        <f t="shared" si="2"/>
        <v>603752.19370078738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>
        <v>1</v>
      </c>
      <c r="O15" s="11">
        <v>7.14</v>
      </c>
      <c r="P15" s="24">
        <f t="shared" si="4"/>
        <v>75898.2</v>
      </c>
      <c r="Q15" s="17">
        <f t="shared" si="5"/>
        <v>679650.39370078733</v>
      </c>
      <c r="R15" s="78">
        <f t="shared" si="1"/>
        <v>48.256915201703158</v>
      </c>
      <c r="S15" s="70"/>
    </row>
    <row r="16" spans="1:19" ht="17.100000000000001" customHeight="1" x14ac:dyDescent="0.25">
      <c r="A16" s="80"/>
      <c r="B16" s="77">
        <v>8</v>
      </c>
      <c r="C16" s="16">
        <v>14</v>
      </c>
      <c r="D16" s="16">
        <v>64</v>
      </c>
      <c r="E16" s="3">
        <v>8</v>
      </c>
      <c r="F16" s="11">
        <v>63.411181102362207</v>
      </c>
      <c r="G16" s="25">
        <f t="shared" si="2"/>
        <v>674060.85511811031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>
        <v>1</v>
      </c>
      <c r="O16" s="11">
        <v>7.14</v>
      </c>
      <c r="P16" s="24">
        <f t="shared" si="4"/>
        <v>75898.2</v>
      </c>
      <c r="Q16" s="17">
        <f t="shared" si="5"/>
        <v>749959.05511811026</v>
      </c>
      <c r="R16" s="78">
        <f t="shared" si="1"/>
        <v>53.249009877741429</v>
      </c>
      <c r="S16" s="70"/>
    </row>
    <row r="17" spans="1:19" ht="17.100000000000001" customHeight="1" x14ac:dyDescent="0.25">
      <c r="A17" s="80"/>
      <c r="B17" s="77">
        <v>9</v>
      </c>
      <c r="C17" s="16">
        <v>11</v>
      </c>
      <c r="D17" s="16">
        <v>52</v>
      </c>
      <c r="E17" s="3">
        <v>8</v>
      </c>
      <c r="F17" s="11">
        <v>50.182834645669296</v>
      </c>
      <c r="G17" s="25">
        <f t="shared" si="2"/>
        <v>533443.53228346456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>
        <v>1</v>
      </c>
      <c r="O17" s="11">
        <v>7.14</v>
      </c>
      <c r="P17" s="24">
        <f t="shared" si="4"/>
        <v>75898.2</v>
      </c>
      <c r="Q17" s="17">
        <f t="shared" si="5"/>
        <v>609341.73228346452</v>
      </c>
      <c r="R17" s="78">
        <f t="shared" si="1"/>
        <v>43.264820525664902</v>
      </c>
      <c r="S17" s="70"/>
    </row>
    <row r="18" spans="1:19" ht="17.100000000000001" customHeight="1" x14ac:dyDescent="0.25">
      <c r="A18" s="80"/>
      <c r="B18" s="77">
        <v>10</v>
      </c>
      <c r="C18" s="16">
        <v>12</v>
      </c>
      <c r="D18" s="16">
        <v>43</v>
      </c>
      <c r="E18" s="3">
        <v>8</v>
      </c>
      <c r="F18" s="11">
        <v>40.261574803149607</v>
      </c>
      <c r="G18" s="25">
        <f t="shared" si="2"/>
        <v>427980.54015748034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>
        <v>1</v>
      </c>
      <c r="O18" s="11">
        <v>7.14</v>
      </c>
      <c r="P18" s="24">
        <f t="shared" si="4"/>
        <v>75898.2</v>
      </c>
      <c r="Q18" s="17">
        <f t="shared" si="5"/>
        <v>503878.74015748035</v>
      </c>
      <c r="R18" s="78">
        <f t="shared" si="1"/>
        <v>35.776678511607521</v>
      </c>
      <c r="S18" s="70"/>
    </row>
    <row r="19" spans="1:19" ht="17.100000000000001" customHeight="1" x14ac:dyDescent="0.25">
      <c r="A19" s="80"/>
      <c r="B19" s="77">
        <v>11</v>
      </c>
      <c r="C19" s="16">
        <v>17</v>
      </c>
      <c r="D19" s="16">
        <v>53</v>
      </c>
      <c r="E19" s="3">
        <v>8</v>
      </c>
      <c r="F19" s="11">
        <v>51.285196850393703</v>
      </c>
      <c r="G19" s="25">
        <f t="shared" si="2"/>
        <v>545161.64251968509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>
        <v>1</v>
      </c>
      <c r="O19" s="11">
        <v>7.14</v>
      </c>
      <c r="P19" s="24">
        <f t="shared" si="4"/>
        <v>75898.2</v>
      </c>
      <c r="Q19" s="17">
        <f t="shared" si="5"/>
        <v>621059.84251968504</v>
      </c>
      <c r="R19" s="78">
        <f t="shared" si="1"/>
        <v>44.096836305004615</v>
      </c>
      <c r="S19" s="70"/>
    </row>
    <row r="20" spans="1:19" ht="17.100000000000001" customHeight="1" x14ac:dyDescent="0.25">
      <c r="A20" s="80"/>
      <c r="B20" s="77">
        <v>12</v>
      </c>
      <c r="C20" s="16">
        <v>14</v>
      </c>
      <c r="D20" s="16">
        <v>67</v>
      </c>
      <c r="E20" s="3">
        <v>8</v>
      </c>
      <c r="F20" s="11">
        <v>66.718267716535436</v>
      </c>
      <c r="G20" s="25">
        <f t="shared" si="2"/>
        <v>709215.18582677166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>
        <v>1</v>
      </c>
      <c r="O20" s="11">
        <v>7.14</v>
      </c>
      <c r="P20" s="24">
        <f t="shared" si="4"/>
        <v>75898.2</v>
      </c>
      <c r="Q20" s="17">
        <f t="shared" si="5"/>
        <v>785113.38582677161</v>
      </c>
      <c r="R20" s="78">
        <f t="shared" si="1"/>
        <v>55.745057215760554</v>
      </c>
      <c r="S20" s="70"/>
    </row>
    <row r="21" spans="1:19" ht="17.100000000000001" customHeight="1" x14ac:dyDescent="0.25">
      <c r="A21" s="80"/>
      <c r="B21" s="77">
        <v>13</v>
      </c>
      <c r="C21" s="16">
        <v>12</v>
      </c>
      <c r="D21" s="16">
        <v>67</v>
      </c>
      <c r="E21" s="3">
        <v>8</v>
      </c>
      <c r="F21" s="11">
        <v>66.718267716535436</v>
      </c>
      <c r="G21" s="25">
        <f t="shared" si="2"/>
        <v>709215.18582677166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>
        <v>1</v>
      </c>
      <c r="O21" s="11">
        <v>7.14</v>
      </c>
      <c r="P21" s="24">
        <f t="shared" si="4"/>
        <v>75898.2</v>
      </c>
      <c r="Q21" s="17">
        <f t="shared" si="5"/>
        <v>785113.38582677161</v>
      </c>
      <c r="R21" s="78">
        <f t="shared" si="1"/>
        <v>55.745057215760554</v>
      </c>
      <c r="S21" s="70"/>
    </row>
    <row r="22" spans="1:19" ht="17.100000000000001" customHeight="1" x14ac:dyDescent="0.25">
      <c r="A22" s="80"/>
      <c r="B22" s="77">
        <v>14</v>
      </c>
      <c r="C22" s="16">
        <v>13</v>
      </c>
      <c r="D22" s="16">
        <v>36</v>
      </c>
      <c r="E22" s="3">
        <v>8</v>
      </c>
      <c r="F22" s="11">
        <v>32.54503937007874</v>
      </c>
      <c r="G22" s="25">
        <f t="shared" si="2"/>
        <v>345953.768503937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>
        <v>1</v>
      </c>
      <c r="O22" s="11">
        <v>7.14</v>
      </c>
      <c r="P22" s="24">
        <f t="shared" si="4"/>
        <v>75898.2</v>
      </c>
      <c r="Q22" s="17">
        <f t="shared" si="5"/>
        <v>421851.96850393701</v>
      </c>
      <c r="R22" s="78">
        <f t="shared" si="1"/>
        <v>29.952568056229552</v>
      </c>
      <c r="S22" s="70"/>
    </row>
    <row r="23" spans="1:19" ht="17.100000000000001" customHeight="1" x14ac:dyDescent="0.25">
      <c r="A23" s="80"/>
      <c r="B23" s="77">
        <v>15</v>
      </c>
      <c r="C23" s="16">
        <v>13</v>
      </c>
      <c r="D23" s="16">
        <v>44</v>
      </c>
      <c r="E23" s="3">
        <v>8</v>
      </c>
      <c r="F23" s="11">
        <v>41.363937007874014</v>
      </c>
      <c r="G23" s="25">
        <f t="shared" si="2"/>
        <v>439698.65039370075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>
        <v>1</v>
      </c>
      <c r="O23" s="11">
        <v>7.14</v>
      </c>
      <c r="P23" s="24">
        <f t="shared" si="4"/>
        <v>75898.2</v>
      </c>
      <c r="Q23" s="17">
        <f t="shared" si="5"/>
        <v>515596.85039370076</v>
      </c>
      <c r="R23" s="78">
        <f t="shared" si="1"/>
        <v>36.608694290947227</v>
      </c>
      <c r="S23" s="70"/>
    </row>
    <row r="24" spans="1:19" ht="17.100000000000001" customHeight="1" x14ac:dyDescent="0.25">
      <c r="A24" s="80"/>
      <c r="B24" s="77">
        <v>16</v>
      </c>
      <c r="C24" s="16">
        <v>16</v>
      </c>
      <c r="D24" s="16">
        <v>43</v>
      </c>
      <c r="E24" s="3">
        <v>8</v>
      </c>
      <c r="F24" s="11">
        <v>40.261574803149607</v>
      </c>
      <c r="G24" s="25">
        <f t="shared" si="2"/>
        <v>427980.54015748034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>
        <v>1</v>
      </c>
      <c r="O24" s="11">
        <v>7.14</v>
      </c>
      <c r="P24" s="24">
        <f t="shared" si="4"/>
        <v>75898.2</v>
      </c>
      <c r="Q24" s="17">
        <f t="shared" si="5"/>
        <v>503878.74015748035</v>
      </c>
      <c r="R24" s="78">
        <f t="shared" si="1"/>
        <v>35.776678511607521</v>
      </c>
      <c r="S24" s="70"/>
    </row>
    <row r="25" spans="1:19" ht="17.100000000000001" customHeight="1" x14ac:dyDescent="0.25">
      <c r="A25" s="80"/>
      <c r="B25" s="77">
        <v>17</v>
      </c>
      <c r="C25" s="16">
        <v>18</v>
      </c>
      <c r="D25" s="16">
        <v>62</v>
      </c>
      <c r="E25" s="3">
        <v>8</v>
      </c>
      <c r="F25" s="11">
        <v>61.206456692913378</v>
      </c>
      <c r="G25" s="25">
        <f t="shared" si="2"/>
        <v>650624.63464566926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>
        <v>1</v>
      </c>
      <c r="O25" s="11">
        <v>7.14</v>
      </c>
      <c r="P25" s="24">
        <f t="shared" si="4"/>
        <v>75898.2</v>
      </c>
      <c r="Q25" s="17">
        <f t="shared" si="5"/>
        <v>726522.83464566921</v>
      </c>
      <c r="R25" s="78">
        <f t="shared" si="1"/>
        <v>51.584978319062003</v>
      </c>
      <c r="S25" s="70"/>
    </row>
    <row r="26" spans="1:19" ht="17.100000000000001" customHeight="1" x14ac:dyDescent="0.25">
      <c r="A26" s="80"/>
      <c r="B26" s="77">
        <v>18</v>
      </c>
      <c r="C26" s="16">
        <v>20</v>
      </c>
      <c r="D26" s="16">
        <v>71</v>
      </c>
      <c r="E26" s="3">
        <v>8</v>
      </c>
      <c r="F26" s="11">
        <v>71.127716535433066</v>
      </c>
      <c r="G26" s="25">
        <f t="shared" si="2"/>
        <v>756087.62677165354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>
        <v>1</v>
      </c>
      <c r="O26" s="11">
        <v>7.14</v>
      </c>
      <c r="P26" s="24">
        <f t="shared" si="4"/>
        <v>75898.2</v>
      </c>
      <c r="Q26" s="17">
        <f t="shared" si="5"/>
        <v>831985.82677165349</v>
      </c>
      <c r="R26" s="78">
        <f t="shared" si="1"/>
        <v>59.073120333119391</v>
      </c>
      <c r="S26" s="70"/>
    </row>
    <row r="27" spans="1:19" ht="17.100000000000001" customHeight="1" x14ac:dyDescent="0.25">
      <c r="A27" s="80"/>
      <c r="B27" s="77">
        <v>19</v>
      </c>
      <c r="C27" s="16">
        <v>36</v>
      </c>
      <c r="D27" s="16">
        <v>110</v>
      </c>
      <c r="E27" s="3">
        <v>8</v>
      </c>
      <c r="F27" s="11">
        <v>114.11984251968505</v>
      </c>
      <c r="G27" s="25">
        <f t="shared" si="2"/>
        <v>1213093.925984252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>
        <v>1</v>
      </c>
      <c r="O27" s="11">
        <v>7.14</v>
      </c>
      <c r="P27" s="24">
        <f t="shared" si="4"/>
        <v>75898.2</v>
      </c>
      <c r="Q27" s="17">
        <f t="shared" si="5"/>
        <v>1288992.125984252</v>
      </c>
      <c r="R27" s="78">
        <f t="shared" si="1"/>
        <v>91.521735727368082</v>
      </c>
      <c r="S27" s="70"/>
    </row>
    <row r="28" spans="1:19" ht="17.100000000000001" customHeight="1" x14ac:dyDescent="0.25">
      <c r="A28" s="80"/>
      <c r="B28" s="77">
        <v>20</v>
      </c>
      <c r="C28" s="16">
        <v>39</v>
      </c>
      <c r="D28" s="16">
        <v>148</v>
      </c>
      <c r="E28" s="3">
        <v>8</v>
      </c>
      <c r="F28" s="11">
        <v>156.00960629921261</v>
      </c>
      <c r="G28" s="25">
        <f t="shared" si="2"/>
        <v>1658382.11496063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>
        <v>1</v>
      </c>
      <c r="O28" s="11">
        <v>7.14</v>
      </c>
      <c r="P28" s="24">
        <f t="shared" si="4"/>
        <v>75898.2</v>
      </c>
      <c r="Q28" s="17">
        <f t="shared" si="5"/>
        <v>1734280.3149606299</v>
      </c>
      <c r="R28" s="78">
        <f t="shared" si="1"/>
        <v>123.13833534227705</v>
      </c>
      <c r="S28" s="70"/>
    </row>
    <row r="29" spans="1:19" ht="17.100000000000001" customHeight="1" x14ac:dyDescent="0.25">
      <c r="A29" s="80"/>
      <c r="B29" s="77">
        <v>21</v>
      </c>
      <c r="C29" s="16">
        <v>31</v>
      </c>
      <c r="D29" s="16">
        <v>142</v>
      </c>
      <c r="E29" s="3">
        <v>8</v>
      </c>
      <c r="F29" s="11">
        <v>149.39543307086615</v>
      </c>
      <c r="G29" s="25">
        <f t="shared" si="2"/>
        <v>1588073.4535433073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>
        <v>1</v>
      </c>
      <c r="O29" s="11">
        <v>7.14</v>
      </c>
      <c r="P29" s="24">
        <f t="shared" si="4"/>
        <v>75898.2</v>
      </c>
      <c r="Q29" s="17">
        <f t="shared" si="5"/>
        <v>1663971.6535433072</v>
      </c>
      <c r="R29" s="78">
        <f t="shared" si="1"/>
        <v>118.1462406662388</v>
      </c>
      <c r="S29" s="70"/>
    </row>
    <row r="30" spans="1:19" ht="17.100000000000001" customHeight="1" x14ac:dyDescent="0.25">
      <c r="A30" s="80"/>
      <c r="B30" s="77">
        <v>22</v>
      </c>
      <c r="C30" s="16">
        <v>20</v>
      </c>
      <c r="D30" s="16">
        <v>111</v>
      </c>
      <c r="E30" s="3">
        <v>8</v>
      </c>
      <c r="F30" s="11">
        <v>115.22220472440947</v>
      </c>
      <c r="G30" s="25">
        <f t="shared" si="2"/>
        <v>1224812.0362204725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>
        <v>1</v>
      </c>
      <c r="O30" s="11">
        <v>7.14</v>
      </c>
      <c r="P30" s="24">
        <f t="shared" si="4"/>
        <v>75898.2</v>
      </c>
      <c r="Q30" s="17">
        <f t="shared" si="5"/>
        <v>1300710.2362204725</v>
      </c>
      <c r="R30" s="78">
        <f t="shared" si="1"/>
        <v>92.353751506707795</v>
      </c>
      <c r="S30" s="70"/>
    </row>
    <row r="31" spans="1:19" ht="17.100000000000001" customHeight="1" x14ac:dyDescent="0.25">
      <c r="A31" s="80"/>
      <c r="B31" s="77">
        <v>23</v>
      </c>
      <c r="C31" s="16">
        <v>14</v>
      </c>
      <c r="D31" s="16">
        <v>90</v>
      </c>
      <c r="E31" s="3">
        <v>8</v>
      </c>
      <c r="F31" s="11">
        <v>92.072598425196858</v>
      </c>
      <c r="G31" s="25">
        <f t="shared" si="2"/>
        <v>978731.72125984263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>
        <v>1</v>
      </c>
      <c r="O31" s="11">
        <v>7.14</v>
      </c>
      <c r="P31" s="24">
        <f t="shared" si="4"/>
        <v>75898.2</v>
      </c>
      <c r="Q31" s="17">
        <f t="shared" si="5"/>
        <v>1054629.9212598426</v>
      </c>
      <c r="R31" s="78">
        <f t="shared" si="1"/>
        <v>74.88142014057388</v>
      </c>
      <c r="S31" s="70"/>
    </row>
    <row r="32" spans="1:19" ht="17.100000000000001" customHeight="1" x14ac:dyDescent="0.25">
      <c r="A32" s="80"/>
      <c r="B32" s="77">
        <v>24</v>
      </c>
      <c r="C32" s="16">
        <v>32</v>
      </c>
      <c r="D32" s="16">
        <v>92</v>
      </c>
      <c r="E32" s="3">
        <v>8</v>
      </c>
      <c r="F32" s="11">
        <v>94.277322834645659</v>
      </c>
      <c r="G32" s="25">
        <f t="shared" si="2"/>
        <v>1002167.9417322833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>
        <v>1</v>
      </c>
      <c r="O32" s="11">
        <v>7.14</v>
      </c>
      <c r="P32" s="24">
        <f t="shared" si="4"/>
        <v>75898.2</v>
      </c>
      <c r="Q32" s="17">
        <f t="shared" si="5"/>
        <v>1078066.1417322834</v>
      </c>
      <c r="R32" s="78">
        <f t="shared" si="1"/>
        <v>76.545451699253292</v>
      </c>
      <c r="S32" s="70"/>
    </row>
    <row r="33" spans="1:21" ht="17.100000000000001" customHeight="1" x14ac:dyDescent="0.25">
      <c r="A33" s="80"/>
      <c r="B33" s="77">
        <v>25</v>
      </c>
      <c r="C33" s="16">
        <v>40</v>
      </c>
      <c r="D33" s="16">
        <v>151</v>
      </c>
      <c r="E33" s="3">
        <v>8</v>
      </c>
      <c r="F33" s="11">
        <v>159.31669291338585</v>
      </c>
      <c r="G33" s="25">
        <f t="shared" si="2"/>
        <v>1693536.4456692915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>
        <v>1</v>
      </c>
      <c r="O33" s="11">
        <v>7.14</v>
      </c>
      <c r="P33" s="24">
        <f t="shared" si="4"/>
        <v>75898.2</v>
      </c>
      <c r="Q33" s="17">
        <f t="shared" si="5"/>
        <v>1769434.6456692915</v>
      </c>
      <c r="R33" s="78">
        <f t="shared" si="1"/>
        <v>125.63438268029618</v>
      </c>
      <c r="S33" s="70"/>
    </row>
    <row r="34" spans="1:21" ht="17.100000000000001" customHeight="1" x14ac:dyDescent="0.25">
      <c r="A34" s="80"/>
      <c r="B34" s="77">
        <v>26</v>
      </c>
      <c r="C34" s="16">
        <v>41</v>
      </c>
      <c r="D34" s="16">
        <v>184</v>
      </c>
      <c r="E34" s="3">
        <v>8</v>
      </c>
      <c r="F34" s="11">
        <v>195.69464566929133</v>
      </c>
      <c r="G34" s="25">
        <f t="shared" si="2"/>
        <v>2080234.0834645669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>
        <v>1</v>
      </c>
      <c r="O34" s="11">
        <v>7.14</v>
      </c>
      <c r="P34" s="24">
        <f t="shared" si="4"/>
        <v>75898.2</v>
      </c>
      <c r="Q34" s="17">
        <f t="shared" si="5"/>
        <v>2156132.2834645668</v>
      </c>
      <c r="R34" s="78">
        <f t="shared" si="1"/>
        <v>153.09090339850658</v>
      </c>
      <c r="S34" s="70"/>
    </row>
    <row r="35" spans="1:21" ht="17.100000000000001" customHeight="1" x14ac:dyDescent="0.25">
      <c r="A35" s="80"/>
      <c r="B35" s="77">
        <v>27</v>
      </c>
      <c r="C35" s="16">
        <v>33</v>
      </c>
      <c r="D35" s="16">
        <v>148</v>
      </c>
      <c r="E35" s="3">
        <v>8</v>
      </c>
      <c r="F35" s="11">
        <v>156.00960629921261</v>
      </c>
      <c r="G35" s="25">
        <f t="shared" si="2"/>
        <v>1658382.11496063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>
        <v>1</v>
      </c>
      <c r="O35" s="11">
        <v>7.14</v>
      </c>
      <c r="P35" s="24">
        <f t="shared" si="4"/>
        <v>75898.2</v>
      </c>
      <c r="Q35" s="17">
        <f t="shared" si="5"/>
        <v>1734280.3149606299</v>
      </c>
      <c r="R35" s="78">
        <f t="shared" si="1"/>
        <v>123.13833534227705</v>
      </c>
      <c r="S35" s="70"/>
    </row>
    <row r="36" spans="1:21" ht="17.100000000000001" customHeight="1" x14ac:dyDescent="0.25">
      <c r="A36" s="80"/>
      <c r="B36" s="77">
        <v>28</v>
      </c>
      <c r="C36" s="16">
        <v>31</v>
      </c>
      <c r="D36" s="16">
        <v>135</v>
      </c>
      <c r="E36" s="3">
        <v>8</v>
      </c>
      <c r="F36" s="11">
        <v>141.6788976377953</v>
      </c>
      <c r="G36" s="25">
        <f t="shared" si="2"/>
        <v>1506046.681889764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>
        <v>1</v>
      </c>
      <c r="O36" s="11">
        <v>7.14</v>
      </c>
      <c r="P36" s="24">
        <f t="shared" si="4"/>
        <v>75898.2</v>
      </c>
      <c r="Q36" s="17">
        <f t="shared" si="5"/>
        <v>1581944.881889764</v>
      </c>
      <c r="R36" s="78">
        <f t="shared" si="1"/>
        <v>112.32213021086083</v>
      </c>
      <c r="S36" s="70"/>
    </row>
    <row r="37" spans="1:21" ht="17.100000000000001" customHeight="1" x14ac:dyDescent="0.25">
      <c r="A37" s="80"/>
      <c r="B37" s="77">
        <v>29</v>
      </c>
      <c r="C37" s="16">
        <v>26</v>
      </c>
      <c r="D37" s="16">
        <v>122</v>
      </c>
      <c r="E37" s="3">
        <v>8</v>
      </c>
      <c r="F37" s="11">
        <v>127.34818897637795</v>
      </c>
      <c r="G37" s="25">
        <f t="shared" si="2"/>
        <v>1353711.2488188976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>
        <v>1</v>
      </c>
      <c r="O37" s="11">
        <v>7.14</v>
      </c>
      <c r="P37" s="24">
        <f t="shared" si="4"/>
        <v>75898.2</v>
      </c>
      <c r="Q37" s="17">
        <f t="shared" si="5"/>
        <v>1429609.4488188976</v>
      </c>
      <c r="R37" s="78">
        <f t="shared" si="1"/>
        <v>101.50592507944459</v>
      </c>
      <c r="S37" s="70"/>
    </row>
    <row r="38" spans="1:21" ht="17.100000000000001" customHeight="1" x14ac:dyDescent="0.25">
      <c r="A38" s="80"/>
      <c r="B38" s="77">
        <v>30</v>
      </c>
      <c r="C38" s="16">
        <v>29</v>
      </c>
      <c r="D38" s="16">
        <v>116</v>
      </c>
      <c r="E38" s="3">
        <v>8</v>
      </c>
      <c r="F38" s="11">
        <v>120.7340157480315</v>
      </c>
      <c r="G38" s="25">
        <f t="shared" si="2"/>
        <v>1283402.5874015747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>
        <v>1</v>
      </c>
      <c r="O38" s="11">
        <v>7.14</v>
      </c>
      <c r="P38" s="24">
        <f t="shared" si="4"/>
        <v>75898.2</v>
      </c>
      <c r="Q38" s="17">
        <f t="shared" si="5"/>
        <v>1359300.7874015747</v>
      </c>
      <c r="R38" s="78">
        <f t="shared" si="1"/>
        <v>96.513830403406317</v>
      </c>
      <c r="S38" s="70"/>
    </row>
    <row r="39" spans="1:21" ht="15" x14ac:dyDescent="0.25">
      <c r="B39" s="77">
        <v>31</v>
      </c>
      <c r="C39" s="16">
        <v>20</v>
      </c>
      <c r="D39" s="16">
        <v>135</v>
      </c>
      <c r="E39" s="3">
        <v>8</v>
      </c>
      <c r="F39" s="11">
        <v>141.6788976377953</v>
      </c>
      <c r="G39" s="25">
        <f t="shared" ref="G39" si="6">F39*$G$8</f>
        <v>1506046.681889764</v>
      </c>
      <c r="H39" s="3"/>
      <c r="I39" s="25"/>
      <c r="J39" s="25">
        <f t="shared" ref="J39" si="7">I39*$J$8</f>
        <v>0</v>
      </c>
      <c r="K39" s="3"/>
      <c r="L39" s="11">
        <v>0</v>
      </c>
      <c r="M39" s="12">
        <f t="shared" ref="M39" si="8">L39*$M$8</f>
        <v>0</v>
      </c>
      <c r="N39" s="3">
        <v>1</v>
      </c>
      <c r="O39" s="11">
        <v>7.14</v>
      </c>
      <c r="P39" s="24">
        <f t="shared" ref="P39" si="9">O39*$P$8</f>
        <v>75898.2</v>
      </c>
      <c r="Q39" s="17">
        <f t="shared" ref="Q39" si="10">J39+M39+G39+P39</f>
        <v>1581944.881889764</v>
      </c>
      <c r="R39" s="78">
        <f t="shared" ref="R39" si="11">Q39/14084</f>
        <v>112.32213021086083</v>
      </c>
    </row>
    <row r="40" spans="1:21" s="1" customFormat="1" ht="15.75" x14ac:dyDescent="0.25">
      <c r="C40" s="49">
        <f>SUM(C9:C39)</f>
        <v>622</v>
      </c>
      <c r="D40" s="49">
        <f>SUM(D9:D39)</f>
        <v>2540</v>
      </c>
      <c r="E40" s="19"/>
      <c r="F40" s="19">
        <f>SUM(F9:F39)</f>
        <v>2578.6600000000003</v>
      </c>
      <c r="G40" s="10"/>
      <c r="H40" s="10"/>
      <c r="I40" s="19"/>
      <c r="J40" s="10"/>
      <c r="K40" s="10"/>
      <c r="L40" s="19"/>
      <c r="M40" s="10"/>
      <c r="N40" s="9"/>
      <c r="O40" s="19">
        <f>SUM(O9:O39)</f>
        <v>221.3399999999998</v>
      </c>
      <c r="P40" s="10"/>
      <c r="Q40" s="41">
        <f>F40+O40</f>
        <v>2800</v>
      </c>
      <c r="R40" s="52">
        <f>SUM(R9:R39)</f>
        <v>2113.3200795228627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40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B5" sqref="B5:B8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8" t="s">
        <v>36</v>
      </c>
      <c r="C1" s="88"/>
      <c r="D1" s="88"/>
      <c r="E1" s="88"/>
      <c r="F1" s="88"/>
      <c r="G1" s="88"/>
      <c r="H1" s="88"/>
    </row>
    <row r="2" spans="1:9" ht="15.75" x14ac:dyDescent="0.25">
      <c r="B2" s="88" t="s">
        <v>2</v>
      </c>
      <c r="C2" s="88"/>
      <c r="D2" s="88"/>
      <c r="E2" s="88"/>
      <c r="F2" s="88"/>
      <c r="G2" s="88"/>
      <c r="H2" s="88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 t="s">
        <v>57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v>7</v>
      </c>
      <c r="D9" s="37">
        <v>38</v>
      </c>
      <c r="E9" s="15"/>
      <c r="F9" s="28">
        <v>0</v>
      </c>
      <c r="G9" s="28">
        <f t="shared" ref="G9:G38" si="0">F9*$G$8</f>
        <v>0</v>
      </c>
      <c r="H9" s="78">
        <f>G9/14084</f>
        <v>0</v>
      </c>
      <c r="I9" s="70"/>
    </row>
    <row r="10" spans="1:9" ht="17.100000000000001" customHeight="1" x14ac:dyDescent="0.25">
      <c r="A10" s="76"/>
      <c r="B10" s="77">
        <v>2</v>
      </c>
      <c r="C10" s="37">
        <v>8</v>
      </c>
      <c r="D10" s="37">
        <v>24</v>
      </c>
      <c r="E10" s="15"/>
      <c r="F10" s="28">
        <v>0</v>
      </c>
      <c r="G10" s="28">
        <f>F10*$G$8</f>
        <v>0</v>
      </c>
      <c r="H10" s="78">
        <f t="shared" ref="H10:H38" si="1">G10/14084</f>
        <v>0</v>
      </c>
      <c r="I10" s="70"/>
    </row>
    <row r="11" spans="1:9" ht="17.100000000000001" customHeight="1" x14ac:dyDescent="0.25">
      <c r="A11" s="76"/>
      <c r="B11" s="77">
        <v>3</v>
      </c>
      <c r="C11" s="37">
        <v>6</v>
      </c>
      <c r="D11" s="37">
        <v>30</v>
      </c>
      <c r="E11" s="15"/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v>8</v>
      </c>
      <c r="D12" s="37">
        <v>26</v>
      </c>
      <c r="E12" s="15"/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v>11</v>
      </c>
      <c r="D13" s="37">
        <v>35</v>
      </c>
      <c r="E13" s="15"/>
      <c r="F13" s="28">
        <v>0</v>
      </c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v>13</v>
      </c>
      <c r="D14" s="37">
        <v>43</v>
      </c>
      <c r="E14" s="15"/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v>17</v>
      </c>
      <c r="D15" s="37">
        <v>58</v>
      </c>
      <c r="E15" s="15"/>
      <c r="F15" s="28">
        <v>52</v>
      </c>
      <c r="G15" s="28">
        <f t="shared" si="0"/>
        <v>556400</v>
      </c>
      <c r="H15" s="78">
        <f t="shared" si="1"/>
        <v>39.505822209599543</v>
      </c>
      <c r="I15" s="70"/>
    </row>
    <row r="16" spans="1:9" ht="17.100000000000001" customHeight="1" x14ac:dyDescent="0.25">
      <c r="A16" s="76"/>
      <c r="B16" s="77">
        <v>8</v>
      </c>
      <c r="C16" s="37">
        <v>14</v>
      </c>
      <c r="D16" s="37">
        <v>64</v>
      </c>
      <c r="E16" s="15"/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v>11</v>
      </c>
      <c r="D17" s="37">
        <v>52</v>
      </c>
      <c r="E17" s="15"/>
      <c r="F17" s="28">
        <v>0</v>
      </c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v>12</v>
      </c>
      <c r="D18" s="37">
        <v>43</v>
      </c>
      <c r="E18" s="15"/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v>17</v>
      </c>
      <c r="D19" s="37">
        <v>53</v>
      </c>
      <c r="E19" s="15"/>
      <c r="F19" s="28">
        <v>0</v>
      </c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v>14</v>
      </c>
      <c r="D20" s="37">
        <v>67</v>
      </c>
      <c r="E20" s="15"/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v>12</v>
      </c>
      <c r="D21" s="37">
        <v>67</v>
      </c>
      <c r="E21" s="15"/>
      <c r="F21" s="28">
        <v>0</v>
      </c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v>13</v>
      </c>
      <c r="D22" s="37">
        <v>36</v>
      </c>
      <c r="E22" s="15"/>
      <c r="F22" s="28">
        <v>49</v>
      </c>
      <c r="G22" s="28">
        <f t="shared" si="0"/>
        <v>524300</v>
      </c>
      <c r="H22" s="78">
        <f t="shared" si="1"/>
        <v>37.226640159045722</v>
      </c>
      <c r="I22" s="70"/>
    </row>
    <row r="23" spans="1:9" ht="17.100000000000001" customHeight="1" x14ac:dyDescent="0.25">
      <c r="A23" s="76"/>
      <c r="B23" s="77">
        <v>15</v>
      </c>
      <c r="C23" s="37">
        <v>13</v>
      </c>
      <c r="D23" s="37">
        <v>44</v>
      </c>
      <c r="E23" s="15"/>
      <c r="F23" s="28">
        <v>0</v>
      </c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v>16</v>
      </c>
      <c r="D24" s="37">
        <v>43</v>
      </c>
      <c r="E24" s="15"/>
      <c r="F24" s="28">
        <v>0</v>
      </c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v>18</v>
      </c>
      <c r="D25" s="37">
        <v>62</v>
      </c>
      <c r="E25" s="15"/>
      <c r="F25" s="28">
        <v>0</v>
      </c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v>20</v>
      </c>
      <c r="D26" s="37">
        <v>71</v>
      </c>
      <c r="E26" s="15"/>
      <c r="F26" s="28">
        <v>0</v>
      </c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v>36</v>
      </c>
      <c r="D27" s="37">
        <v>110</v>
      </c>
      <c r="E27" s="15"/>
      <c r="F27" s="28">
        <v>0</v>
      </c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v>39</v>
      </c>
      <c r="D28" s="37">
        <v>148</v>
      </c>
      <c r="E28" s="15"/>
      <c r="F28" s="28">
        <v>0</v>
      </c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v>31</v>
      </c>
      <c r="D29" s="37">
        <v>142</v>
      </c>
      <c r="E29" s="15"/>
      <c r="F29" s="28">
        <v>51</v>
      </c>
      <c r="G29" s="28">
        <f t="shared" si="0"/>
        <v>545700</v>
      </c>
      <c r="H29" s="78">
        <f>G29/14084</f>
        <v>38.746094859414939</v>
      </c>
      <c r="I29" s="70"/>
    </row>
    <row r="30" spans="1:9" ht="17.100000000000001" customHeight="1" x14ac:dyDescent="0.25">
      <c r="A30" s="76"/>
      <c r="B30" s="77">
        <v>22</v>
      </c>
      <c r="C30" s="37">
        <v>20</v>
      </c>
      <c r="D30" s="37">
        <v>111</v>
      </c>
      <c r="E30" s="15"/>
      <c r="F30" s="28">
        <v>0</v>
      </c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v>14</v>
      </c>
      <c r="D31" s="37">
        <v>90</v>
      </c>
      <c r="E31" s="15"/>
      <c r="F31" s="28">
        <v>0</v>
      </c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v>32</v>
      </c>
      <c r="D32" s="37">
        <v>92</v>
      </c>
      <c r="E32" s="15"/>
      <c r="F32" s="28">
        <v>0</v>
      </c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v>40</v>
      </c>
      <c r="D33" s="37">
        <v>151</v>
      </c>
      <c r="E33" s="15"/>
      <c r="F33" s="28">
        <v>0</v>
      </c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v>41</v>
      </c>
      <c r="D34" s="37">
        <v>184</v>
      </c>
      <c r="E34" s="15"/>
      <c r="F34" s="28">
        <v>0</v>
      </c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v>33</v>
      </c>
      <c r="D35" s="37">
        <v>148</v>
      </c>
      <c r="E35" s="15"/>
      <c r="F35" s="28">
        <v>0</v>
      </c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v>31</v>
      </c>
      <c r="D36" s="37">
        <v>135</v>
      </c>
      <c r="E36" s="15"/>
      <c r="F36" s="28">
        <v>48</v>
      </c>
      <c r="G36" s="28">
        <f t="shared" si="0"/>
        <v>513600</v>
      </c>
      <c r="H36" s="78">
        <f t="shared" si="1"/>
        <v>36.466912808861117</v>
      </c>
      <c r="I36" s="70"/>
    </row>
    <row r="37" spans="1:11" ht="17.100000000000001" customHeight="1" x14ac:dyDescent="0.25">
      <c r="A37" s="76"/>
      <c r="B37" s="77">
        <v>29</v>
      </c>
      <c r="C37" s="37">
        <v>26</v>
      </c>
      <c r="D37" s="37">
        <v>122</v>
      </c>
      <c r="E37" s="15"/>
      <c r="F37" s="28">
        <v>0</v>
      </c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v>29</v>
      </c>
      <c r="D38" s="37">
        <v>116</v>
      </c>
      <c r="E38" s="15"/>
      <c r="F38" s="28">
        <v>0</v>
      </c>
      <c r="G38" s="28">
        <f t="shared" si="0"/>
        <v>0</v>
      </c>
      <c r="H38" s="78">
        <f t="shared" si="1"/>
        <v>0</v>
      </c>
      <c r="I38" s="70"/>
    </row>
    <row r="39" spans="1:11" ht="15" x14ac:dyDescent="0.25">
      <c r="A39" s="76"/>
      <c r="B39" s="77">
        <v>31</v>
      </c>
      <c r="C39" s="37">
        <v>20</v>
      </c>
      <c r="D39" s="37">
        <v>135</v>
      </c>
      <c r="E39" s="15"/>
      <c r="F39" s="28">
        <v>0</v>
      </c>
      <c r="G39" s="28">
        <f t="shared" ref="G39" si="2">F39*$G$8</f>
        <v>0</v>
      </c>
      <c r="H39" s="78">
        <f t="shared" ref="H39" si="3">G39/14084</f>
        <v>0</v>
      </c>
    </row>
    <row r="40" spans="1:11" s="1" customFormat="1" ht="21.6" customHeight="1" x14ac:dyDescent="0.2">
      <c r="C40" s="19">
        <f>SUM(C9:C39)</f>
        <v>622</v>
      </c>
      <c r="D40" s="19">
        <f>SUM(D9:D39)</f>
        <v>2540</v>
      </c>
      <c r="E40" s="19"/>
      <c r="F40" s="19">
        <f>SUM(F9:F39)</f>
        <v>200</v>
      </c>
      <c r="G40" s="19"/>
      <c r="H40" s="48">
        <f>SUM(H9:H39)</f>
        <v>151.94547003692131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40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B6" sqref="B6:B8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.75" x14ac:dyDescent="0.2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0" t="s">
        <v>57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v>7</v>
      </c>
      <c r="D9" s="37">
        <v>38</v>
      </c>
      <c r="E9" s="11">
        <v>0</v>
      </c>
      <c r="F9" s="4">
        <f>E9*13582</f>
        <v>0</v>
      </c>
      <c r="G9" s="11">
        <v>142</v>
      </c>
      <c r="H9" s="4">
        <f>G9*4000</f>
        <v>568000</v>
      </c>
      <c r="I9" s="11">
        <v>187</v>
      </c>
      <c r="J9" s="4">
        <f>I9*4000</f>
        <v>748000</v>
      </c>
      <c r="K9" s="11">
        <f t="shared" ref="K9:K38" si="0">F9+H9+J9</f>
        <v>1316000</v>
      </c>
      <c r="L9" s="81">
        <f>K9/14084</f>
        <v>93.439363817097416</v>
      </c>
      <c r="M9" s="70"/>
    </row>
    <row r="10" spans="1:13" ht="17.100000000000001" customHeight="1" x14ac:dyDescent="0.25">
      <c r="A10" s="80"/>
      <c r="B10" s="77">
        <v>2</v>
      </c>
      <c r="C10" s="37">
        <v>8</v>
      </c>
      <c r="D10" s="37">
        <v>24</v>
      </c>
      <c r="E10" s="11">
        <v>0</v>
      </c>
      <c r="F10" s="4">
        <f>E10*13582</f>
        <v>0</v>
      </c>
      <c r="G10" s="11">
        <v>76</v>
      </c>
      <c r="H10" s="4">
        <f>G10*4000</f>
        <v>304000</v>
      </c>
      <c r="I10" s="11">
        <v>106</v>
      </c>
      <c r="J10" s="4">
        <f>I10*4000</f>
        <v>424000</v>
      </c>
      <c r="K10" s="11">
        <f t="shared" si="0"/>
        <v>728000</v>
      </c>
      <c r="L10" s="81">
        <f t="shared" ref="L10:L38" si="1">K10/14084</f>
        <v>51.689860834990057</v>
      </c>
      <c r="M10" s="70"/>
    </row>
    <row r="11" spans="1:13" ht="17.100000000000001" customHeight="1" x14ac:dyDescent="0.25">
      <c r="A11" s="80"/>
      <c r="B11" s="77">
        <v>3</v>
      </c>
      <c r="C11" s="37">
        <v>6</v>
      </c>
      <c r="D11" s="37">
        <v>30</v>
      </c>
      <c r="E11" s="11">
        <v>0</v>
      </c>
      <c r="F11" s="4">
        <f t="shared" ref="F11:F38" si="2">E11*13582</f>
        <v>0</v>
      </c>
      <c r="G11" s="11">
        <v>76</v>
      </c>
      <c r="H11" s="4">
        <f t="shared" ref="H11:H38" si="3">G11*4000</f>
        <v>304000</v>
      </c>
      <c r="I11" s="11">
        <v>108</v>
      </c>
      <c r="J11" s="4">
        <f t="shared" ref="J11:J38" si="4">I11*4000</f>
        <v>432000</v>
      </c>
      <c r="K11" s="11">
        <f t="shared" si="0"/>
        <v>736000</v>
      </c>
      <c r="L11" s="81">
        <f t="shared" si="1"/>
        <v>52.257881283726213</v>
      </c>
      <c r="M11" s="70"/>
    </row>
    <row r="12" spans="1:13" ht="17.100000000000001" customHeight="1" x14ac:dyDescent="0.25">
      <c r="A12" s="80"/>
      <c r="B12" s="77">
        <v>4</v>
      </c>
      <c r="C12" s="37">
        <v>8</v>
      </c>
      <c r="D12" s="37">
        <v>26</v>
      </c>
      <c r="E12" s="11">
        <v>0</v>
      </c>
      <c r="F12" s="4">
        <f t="shared" si="2"/>
        <v>0</v>
      </c>
      <c r="G12" s="11">
        <v>80</v>
      </c>
      <c r="H12" s="4">
        <f t="shared" si="3"/>
        <v>320000</v>
      </c>
      <c r="I12" s="11">
        <v>116</v>
      </c>
      <c r="J12" s="4">
        <f t="shared" si="4"/>
        <v>464000</v>
      </c>
      <c r="K12" s="11">
        <f t="shared" si="0"/>
        <v>784000</v>
      </c>
      <c r="L12" s="81">
        <f t="shared" si="1"/>
        <v>55.666003976143138</v>
      </c>
      <c r="M12" s="70"/>
    </row>
    <row r="13" spans="1:13" ht="17.100000000000001" customHeight="1" x14ac:dyDescent="0.25">
      <c r="A13" s="80"/>
      <c r="B13" s="77">
        <v>5</v>
      </c>
      <c r="C13" s="37">
        <v>11</v>
      </c>
      <c r="D13" s="37">
        <v>35</v>
      </c>
      <c r="E13" s="11">
        <v>0</v>
      </c>
      <c r="F13" s="4">
        <f t="shared" si="2"/>
        <v>0</v>
      </c>
      <c r="G13" s="11">
        <v>95</v>
      </c>
      <c r="H13" s="4">
        <f t="shared" si="3"/>
        <v>380000</v>
      </c>
      <c r="I13" s="11">
        <v>130</v>
      </c>
      <c r="J13" s="4">
        <f t="shared" si="4"/>
        <v>520000</v>
      </c>
      <c r="K13" s="11">
        <f t="shared" si="0"/>
        <v>900000</v>
      </c>
      <c r="L13" s="81">
        <f t="shared" si="1"/>
        <v>63.902300482817381</v>
      </c>
      <c r="M13" s="70"/>
    </row>
    <row r="14" spans="1:13" ht="17.100000000000001" customHeight="1" x14ac:dyDescent="0.25">
      <c r="A14" s="80"/>
      <c r="B14" s="77">
        <v>6</v>
      </c>
      <c r="C14" s="37">
        <v>13</v>
      </c>
      <c r="D14" s="37">
        <v>43</v>
      </c>
      <c r="E14" s="11">
        <v>0</v>
      </c>
      <c r="F14" s="4">
        <f t="shared" si="2"/>
        <v>0</v>
      </c>
      <c r="G14" s="11">
        <v>95</v>
      </c>
      <c r="H14" s="4">
        <f t="shared" si="3"/>
        <v>380000</v>
      </c>
      <c r="I14" s="11">
        <v>133</v>
      </c>
      <c r="J14" s="4">
        <f t="shared" si="4"/>
        <v>532000</v>
      </c>
      <c r="K14" s="11">
        <f t="shared" si="0"/>
        <v>912000</v>
      </c>
      <c r="L14" s="81">
        <f t="shared" si="1"/>
        <v>64.754331155921619</v>
      </c>
      <c r="M14" s="70"/>
    </row>
    <row r="15" spans="1:13" ht="17.100000000000001" customHeight="1" x14ac:dyDescent="0.25">
      <c r="A15" s="80"/>
      <c r="B15" s="77">
        <v>7</v>
      </c>
      <c r="C15" s="37">
        <v>17</v>
      </c>
      <c r="D15" s="37">
        <v>58</v>
      </c>
      <c r="E15" s="11">
        <v>0</v>
      </c>
      <c r="F15" s="4">
        <f t="shared" si="2"/>
        <v>0</v>
      </c>
      <c r="G15" s="11">
        <v>104</v>
      </c>
      <c r="H15" s="4">
        <f t="shared" si="3"/>
        <v>416000</v>
      </c>
      <c r="I15" s="11">
        <v>145</v>
      </c>
      <c r="J15" s="4">
        <f t="shared" si="4"/>
        <v>580000</v>
      </c>
      <c r="K15" s="11">
        <f t="shared" si="0"/>
        <v>996000</v>
      </c>
      <c r="L15" s="81">
        <f t="shared" si="1"/>
        <v>70.71854586765123</v>
      </c>
      <c r="M15" s="70"/>
    </row>
    <row r="16" spans="1:13" ht="17.100000000000001" customHeight="1" x14ac:dyDescent="0.25">
      <c r="A16" s="80"/>
      <c r="B16" s="77">
        <v>8</v>
      </c>
      <c r="C16" s="37">
        <v>14</v>
      </c>
      <c r="D16" s="37">
        <v>64</v>
      </c>
      <c r="E16" s="11">
        <v>0</v>
      </c>
      <c r="F16" s="4">
        <f t="shared" si="2"/>
        <v>0</v>
      </c>
      <c r="G16" s="11">
        <v>121</v>
      </c>
      <c r="H16" s="4">
        <f t="shared" si="3"/>
        <v>484000</v>
      </c>
      <c r="I16" s="11">
        <v>92</v>
      </c>
      <c r="J16" s="4">
        <f t="shared" si="4"/>
        <v>368000</v>
      </c>
      <c r="K16" s="11">
        <f t="shared" si="0"/>
        <v>852000</v>
      </c>
      <c r="L16" s="81">
        <f t="shared" si="1"/>
        <v>60.494177790400457</v>
      </c>
      <c r="M16" s="70"/>
    </row>
    <row r="17" spans="1:13" ht="17.100000000000001" customHeight="1" x14ac:dyDescent="0.25">
      <c r="A17" s="80"/>
      <c r="B17" s="77">
        <v>9</v>
      </c>
      <c r="C17" s="37">
        <v>11</v>
      </c>
      <c r="D17" s="37">
        <v>52</v>
      </c>
      <c r="E17" s="11">
        <v>0</v>
      </c>
      <c r="F17" s="4">
        <f t="shared" si="2"/>
        <v>0</v>
      </c>
      <c r="G17" s="11">
        <v>41</v>
      </c>
      <c r="H17" s="4">
        <f t="shared" si="3"/>
        <v>164000</v>
      </c>
      <c r="I17" s="11">
        <v>214</v>
      </c>
      <c r="J17" s="4">
        <f t="shared" si="4"/>
        <v>856000</v>
      </c>
      <c r="K17" s="11">
        <f t="shared" si="0"/>
        <v>1020000</v>
      </c>
      <c r="L17" s="81">
        <f t="shared" si="1"/>
        <v>72.422607213859692</v>
      </c>
      <c r="M17" s="70"/>
    </row>
    <row r="18" spans="1:13" ht="17.100000000000001" customHeight="1" x14ac:dyDescent="0.25">
      <c r="A18" s="80"/>
      <c r="B18" s="77">
        <v>10</v>
      </c>
      <c r="C18" s="37">
        <v>12</v>
      </c>
      <c r="D18" s="37">
        <v>43</v>
      </c>
      <c r="E18" s="11">
        <v>0</v>
      </c>
      <c r="F18" s="4">
        <f t="shared" si="2"/>
        <v>0</v>
      </c>
      <c r="G18" s="11">
        <v>1</v>
      </c>
      <c r="H18" s="4">
        <f t="shared" si="3"/>
        <v>4000</v>
      </c>
      <c r="I18" s="11">
        <v>190</v>
      </c>
      <c r="J18" s="4">
        <f t="shared" si="4"/>
        <v>760000</v>
      </c>
      <c r="K18" s="11">
        <f t="shared" si="0"/>
        <v>764000</v>
      </c>
      <c r="L18" s="81">
        <f t="shared" si="1"/>
        <v>54.245952854302757</v>
      </c>
      <c r="M18" s="70"/>
    </row>
    <row r="19" spans="1:13" ht="17.100000000000001" customHeight="1" x14ac:dyDescent="0.25">
      <c r="A19" s="80"/>
      <c r="B19" s="77">
        <v>11</v>
      </c>
      <c r="C19" s="37">
        <v>17</v>
      </c>
      <c r="D19" s="37">
        <v>53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209</v>
      </c>
      <c r="J19" s="4">
        <f t="shared" si="4"/>
        <v>836000</v>
      </c>
      <c r="K19" s="11">
        <f t="shared" si="0"/>
        <v>836000</v>
      </c>
      <c r="L19" s="81">
        <f t="shared" si="1"/>
        <v>59.358136892928144</v>
      </c>
      <c r="M19" s="70"/>
    </row>
    <row r="20" spans="1:13" ht="17.100000000000001" customHeight="1" x14ac:dyDescent="0.25">
      <c r="A20" s="80"/>
      <c r="B20" s="77">
        <v>12</v>
      </c>
      <c r="C20" s="37">
        <v>14</v>
      </c>
      <c r="D20" s="37">
        <v>67</v>
      </c>
      <c r="E20" s="11">
        <v>0</v>
      </c>
      <c r="F20" s="4">
        <f t="shared" si="2"/>
        <v>0</v>
      </c>
      <c r="G20" s="11">
        <v>0</v>
      </c>
      <c r="H20" s="4">
        <f t="shared" si="3"/>
        <v>0</v>
      </c>
      <c r="I20" s="11">
        <v>205</v>
      </c>
      <c r="J20" s="4">
        <f t="shared" si="4"/>
        <v>820000</v>
      </c>
      <c r="K20" s="11">
        <f t="shared" si="0"/>
        <v>820000</v>
      </c>
      <c r="L20" s="81">
        <f t="shared" si="1"/>
        <v>58.222095995455838</v>
      </c>
      <c r="M20" s="70"/>
    </row>
    <row r="21" spans="1:13" ht="17.100000000000001" customHeight="1" x14ac:dyDescent="0.25">
      <c r="A21" s="80"/>
      <c r="B21" s="77">
        <v>13</v>
      </c>
      <c r="C21" s="37">
        <v>12</v>
      </c>
      <c r="D21" s="37">
        <v>67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175</v>
      </c>
      <c r="J21" s="4">
        <f t="shared" si="4"/>
        <v>700000</v>
      </c>
      <c r="K21" s="11">
        <f t="shared" si="0"/>
        <v>700000</v>
      </c>
      <c r="L21" s="81">
        <f t="shared" si="1"/>
        <v>49.70178926441352</v>
      </c>
      <c r="M21" s="70"/>
    </row>
    <row r="22" spans="1:13" ht="17.100000000000001" customHeight="1" x14ac:dyDescent="0.25">
      <c r="A22" s="80"/>
      <c r="B22" s="77">
        <v>14</v>
      </c>
      <c r="C22" s="37">
        <v>13</v>
      </c>
      <c r="D22" s="37">
        <v>36</v>
      </c>
      <c r="E22" s="11">
        <v>0</v>
      </c>
      <c r="F22" s="4">
        <f t="shared" si="2"/>
        <v>0</v>
      </c>
      <c r="G22" s="11">
        <v>0</v>
      </c>
      <c r="H22" s="4">
        <f t="shared" si="3"/>
        <v>0</v>
      </c>
      <c r="I22" s="11">
        <v>179</v>
      </c>
      <c r="J22" s="4">
        <f t="shared" si="4"/>
        <v>716000</v>
      </c>
      <c r="K22" s="11">
        <f t="shared" si="0"/>
        <v>716000</v>
      </c>
      <c r="L22" s="81">
        <f t="shared" si="1"/>
        <v>50.837830161885826</v>
      </c>
      <c r="M22" s="70"/>
    </row>
    <row r="23" spans="1:13" ht="17.100000000000001" customHeight="1" x14ac:dyDescent="0.25">
      <c r="A23" s="80"/>
      <c r="B23" s="77">
        <v>15</v>
      </c>
      <c r="C23" s="37">
        <v>13</v>
      </c>
      <c r="D23" s="37">
        <v>44</v>
      </c>
      <c r="E23" s="11">
        <v>0</v>
      </c>
      <c r="F23" s="4">
        <f t="shared" si="2"/>
        <v>0</v>
      </c>
      <c r="G23" s="11">
        <v>0</v>
      </c>
      <c r="H23" s="4">
        <f t="shared" si="3"/>
        <v>0</v>
      </c>
      <c r="I23" s="11">
        <v>188</v>
      </c>
      <c r="J23" s="4">
        <f t="shared" si="4"/>
        <v>752000</v>
      </c>
      <c r="K23" s="11">
        <f t="shared" si="0"/>
        <v>752000</v>
      </c>
      <c r="L23" s="81">
        <f t="shared" si="1"/>
        <v>53.393922181198526</v>
      </c>
      <c r="M23" s="70"/>
    </row>
    <row r="24" spans="1:13" ht="17.100000000000001" customHeight="1" x14ac:dyDescent="0.25">
      <c r="A24" s="80"/>
      <c r="B24" s="77">
        <v>16</v>
      </c>
      <c r="C24" s="37">
        <v>16</v>
      </c>
      <c r="D24" s="37">
        <v>43</v>
      </c>
      <c r="E24" s="11">
        <v>0</v>
      </c>
      <c r="F24" s="4">
        <f t="shared" si="2"/>
        <v>0</v>
      </c>
      <c r="G24" s="11">
        <v>0</v>
      </c>
      <c r="H24" s="4">
        <f t="shared" si="3"/>
        <v>0</v>
      </c>
      <c r="I24" s="11">
        <v>211</v>
      </c>
      <c r="J24" s="4">
        <f t="shared" si="4"/>
        <v>844000</v>
      </c>
      <c r="K24" s="11">
        <f t="shared" si="0"/>
        <v>844000</v>
      </c>
      <c r="L24" s="81">
        <f t="shared" si="1"/>
        <v>59.9261573416643</v>
      </c>
      <c r="M24" s="70"/>
    </row>
    <row r="25" spans="1:13" ht="17.100000000000001" customHeight="1" x14ac:dyDescent="0.25">
      <c r="A25" s="80"/>
      <c r="B25" s="77">
        <v>17</v>
      </c>
      <c r="C25" s="37">
        <v>18</v>
      </c>
      <c r="D25" s="37">
        <v>62</v>
      </c>
      <c r="E25" s="11">
        <v>0</v>
      </c>
      <c r="F25" s="4">
        <f t="shared" si="2"/>
        <v>0</v>
      </c>
      <c r="G25" s="11">
        <v>0</v>
      </c>
      <c r="H25" s="4">
        <f t="shared" si="3"/>
        <v>0</v>
      </c>
      <c r="I25" s="11">
        <v>188</v>
      </c>
      <c r="J25" s="4">
        <f t="shared" si="4"/>
        <v>752000</v>
      </c>
      <c r="K25" s="11">
        <f t="shared" si="0"/>
        <v>752000</v>
      </c>
      <c r="L25" s="81">
        <f t="shared" si="1"/>
        <v>53.393922181198526</v>
      </c>
      <c r="M25" s="70"/>
    </row>
    <row r="26" spans="1:13" ht="17.100000000000001" customHeight="1" x14ac:dyDescent="0.25">
      <c r="A26" s="80"/>
      <c r="B26" s="77">
        <v>18</v>
      </c>
      <c r="C26" s="37">
        <v>20</v>
      </c>
      <c r="D26" s="37">
        <v>71</v>
      </c>
      <c r="E26" s="11">
        <v>0</v>
      </c>
      <c r="F26" s="4">
        <f t="shared" si="2"/>
        <v>0</v>
      </c>
      <c r="G26" s="11">
        <v>0</v>
      </c>
      <c r="H26" s="4">
        <f t="shared" si="3"/>
        <v>0</v>
      </c>
      <c r="I26" s="11">
        <v>205</v>
      </c>
      <c r="J26" s="4">
        <f t="shared" si="4"/>
        <v>820000</v>
      </c>
      <c r="K26" s="11">
        <f t="shared" si="0"/>
        <v>820000</v>
      </c>
      <c r="L26" s="81">
        <f t="shared" si="1"/>
        <v>58.222095995455838</v>
      </c>
      <c r="M26" s="70"/>
    </row>
    <row r="27" spans="1:13" ht="17.100000000000001" customHeight="1" x14ac:dyDescent="0.25">
      <c r="A27" s="80"/>
      <c r="B27" s="77">
        <v>19</v>
      </c>
      <c r="C27" s="37">
        <v>36</v>
      </c>
      <c r="D27" s="37">
        <v>110</v>
      </c>
      <c r="E27" s="11">
        <v>0</v>
      </c>
      <c r="F27" s="4">
        <f t="shared" si="2"/>
        <v>0</v>
      </c>
      <c r="G27" s="11">
        <v>129</v>
      </c>
      <c r="H27" s="4">
        <f t="shared" si="3"/>
        <v>516000</v>
      </c>
      <c r="I27" s="11">
        <v>178</v>
      </c>
      <c r="J27" s="4">
        <f t="shared" si="4"/>
        <v>712000</v>
      </c>
      <c r="K27" s="11">
        <f t="shared" si="0"/>
        <v>1228000</v>
      </c>
      <c r="L27" s="81">
        <f t="shared" si="1"/>
        <v>87.191138880999716</v>
      </c>
      <c r="M27" s="70"/>
    </row>
    <row r="28" spans="1:13" ht="17.100000000000001" customHeight="1" x14ac:dyDescent="0.25">
      <c r="A28" s="80"/>
      <c r="B28" s="77">
        <v>20</v>
      </c>
      <c r="C28" s="37">
        <v>39</v>
      </c>
      <c r="D28" s="37">
        <v>148</v>
      </c>
      <c r="E28" s="11">
        <v>0</v>
      </c>
      <c r="F28" s="4">
        <f t="shared" si="2"/>
        <v>0</v>
      </c>
      <c r="G28" s="11">
        <v>96</v>
      </c>
      <c r="H28" s="4">
        <f t="shared" si="3"/>
        <v>384000</v>
      </c>
      <c r="I28" s="11">
        <v>137</v>
      </c>
      <c r="J28" s="4">
        <f t="shared" si="4"/>
        <v>548000</v>
      </c>
      <c r="K28" s="11">
        <f t="shared" si="0"/>
        <v>932000</v>
      </c>
      <c r="L28" s="81">
        <f t="shared" si="1"/>
        <v>66.174382277761993</v>
      </c>
      <c r="M28" s="70"/>
    </row>
    <row r="29" spans="1:13" ht="17.100000000000001" customHeight="1" x14ac:dyDescent="0.25">
      <c r="A29" s="80"/>
      <c r="B29" s="77">
        <v>21</v>
      </c>
      <c r="C29" s="37">
        <v>31</v>
      </c>
      <c r="D29" s="37">
        <v>142</v>
      </c>
      <c r="E29" s="11">
        <v>0</v>
      </c>
      <c r="F29" s="4">
        <f t="shared" si="2"/>
        <v>0</v>
      </c>
      <c r="G29" s="11">
        <v>109</v>
      </c>
      <c r="H29" s="4">
        <f t="shared" si="3"/>
        <v>436000</v>
      </c>
      <c r="I29" s="11">
        <v>150</v>
      </c>
      <c r="J29" s="4">
        <f t="shared" si="4"/>
        <v>600000</v>
      </c>
      <c r="K29" s="11">
        <f t="shared" si="0"/>
        <v>1036000</v>
      </c>
      <c r="L29" s="81">
        <f t="shared" si="1"/>
        <v>73.558648111332005</v>
      </c>
      <c r="M29" s="70"/>
    </row>
    <row r="30" spans="1:13" ht="17.100000000000001" customHeight="1" x14ac:dyDescent="0.25">
      <c r="A30" s="80"/>
      <c r="B30" s="77">
        <v>22</v>
      </c>
      <c r="C30" s="37">
        <v>20</v>
      </c>
      <c r="D30" s="37">
        <v>111</v>
      </c>
      <c r="E30" s="11">
        <v>0</v>
      </c>
      <c r="F30" s="4">
        <f t="shared" si="2"/>
        <v>0</v>
      </c>
      <c r="G30" s="11">
        <v>112</v>
      </c>
      <c r="H30" s="4">
        <f t="shared" si="3"/>
        <v>448000</v>
      </c>
      <c r="I30" s="11">
        <v>157</v>
      </c>
      <c r="J30" s="4">
        <f t="shared" si="4"/>
        <v>628000</v>
      </c>
      <c r="K30" s="11">
        <f t="shared" si="0"/>
        <v>1076000</v>
      </c>
      <c r="L30" s="81">
        <f t="shared" si="1"/>
        <v>76.39875035501278</v>
      </c>
      <c r="M30" s="70"/>
    </row>
    <row r="31" spans="1:13" ht="17.100000000000001" customHeight="1" x14ac:dyDescent="0.25">
      <c r="A31" s="80"/>
      <c r="B31" s="77">
        <v>23</v>
      </c>
      <c r="C31" s="37">
        <v>14</v>
      </c>
      <c r="D31" s="37">
        <v>90</v>
      </c>
      <c r="E31" s="11">
        <v>0</v>
      </c>
      <c r="F31" s="4">
        <f t="shared" si="2"/>
        <v>0</v>
      </c>
      <c r="G31" s="11">
        <v>109</v>
      </c>
      <c r="H31" s="4">
        <f t="shared" si="3"/>
        <v>436000</v>
      </c>
      <c r="I31" s="11">
        <v>152</v>
      </c>
      <c r="J31" s="4">
        <f t="shared" si="4"/>
        <v>608000</v>
      </c>
      <c r="K31" s="11">
        <f t="shared" si="0"/>
        <v>1044000</v>
      </c>
      <c r="L31" s="81">
        <f t="shared" si="1"/>
        <v>74.126668560068168</v>
      </c>
      <c r="M31" s="70"/>
    </row>
    <row r="32" spans="1:13" ht="17.100000000000001" customHeight="1" x14ac:dyDescent="0.25">
      <c r="A32" s="80"/>
      <c r="B32" s="77">
        <v>24</v>
      </c>
      <c r="C32" s="37">
        <v>32</v>
      </c>
      <c r="D32" s="37">
        <v>92</v>
      </c>
      <c r="E32" s="11">
        <v>0</v>
      </c>
      <c r="F32" s="4">
        <f t="shared" si="2"/>
        <v>0</v>
      </c>
      <c r="G32" s="11">
        <v>109</v>
      </c>
      <c r="H32" s="4">
        <f t="shared" si="3"/>
        <v>436000</v>
      </c>
      <c r="I32" s="11">
        <v>152</v>
      </c>
      <c r="J32" s="4">
        <f t="shared" si="4"/>
        <v>608000</v>
      </c>
      <c r="K32" s="11">
        <f t="shared" si="0"/>
        <v>1044000</v>
      </c>
      <c r="L32" s="81">
        <f t="shared" si="1"/>
        <v>74.126668560068168</v>
      </c>
      <c r="M32" s="70"/>
    </row>
    <row r="33" spans="1:15" ht="17.100000000000001" customHeight="1" x14ac:dyDescent="0.25">
      <c r="A33" s="80"/>
      <c r="B33" s="77">
        <v>25</v>
      </c>
      <c r="C33" s="37">
        <v>40</v>
      </c>
      <c r="D33" s="37">
        <v>151</v>
      </c>
      <c r="E33" s="11">
        <v>0</v>
      </c>
      <c r="F33" s="4">
        <f t="shared" si="2"/>
        <v>0</v>
      </c>
      <c r="G33" s="11">
        <v>122</v>
      </c>
      <c r="H33" s="4">
        <f t="shared" si="3"/>
        <v>488000</v>
      </c>
      <c r="I33" s="11">
        <v>170</v>
      </c>
      <c r="J33" s="4">
        <f t="shared" si="4"/>
        <v>680000</v>
      </c>
      <c r="K33" s="11">
        <f t="shared" si="0"/>
        <v>1168000</v>
      </c>
      <c r="L33" s="81">
        <f t="shared" si="1"/>
        <v>82.930985515478554</v>
      </c>
      <c r="M33" s="70"/>
    </row>
    <row r="34" spans="1:15" ht="17.100000000000001" customHeight="1" x14ac:dyDescent="0.25">
      <c r="A34" s="80"/>
      <c r="B34" s="77">
        <v>26</v>
      </c>
      <c r="C34" s="37">
        <v>41</v>
      </c>
      <c r="D34" s="37">
        <v>184</v>
      </c>
      <c r="E34" s="11">
        <v>0</v>
      </c>
      <c r="F34" s="4">
        <f t="shared" si="2"/>
        <v>0</v>
      </c>
      <c r="G34" s="11">
        <v>150</v>
      </c>
      <c r="H34" s="4">
        <f t="shared" si="3"/>
        <v>600000</v>
      </c>
      <c r="I34" s="11">
        <v>207</v>
      </c>
      <c r="J34" s="4">
        <f t="shared" si="4"/>
        <v>828000</v>
      </c>
      <c r="K34" s="11">
        <f t="shared" si="0"/>
        <v>1428000</v>
      </c>
      <c r="L34" s="81">
        <f t="shared" si="1"/>
        <v>101.39165009940358</v>
      </c>
      <c r="M34" s="70"/>
    </row>
    <row r="35" spans="1:15" ht="17.100000000000001" customHeight="1" x14ac:dyDescent="0.25">
      <c r="A35" s="80"/>
      <c r="B35" s="77">
        <v>27</v>
      </c>
      <c r="C35" s="37">
        <v>33</v>
      </c>
      <c r="D35" s="37">
        <v>148</v>
      </c>
      <c r="E35" s="11">
        <v>0</v>
      </c>
      <c r="F35" s="4">
        <f t="shared" si="2"/>
        <v>0</v>
      </c>
      <c r="G35" s="11">
        <v>124</v>
      </c>
      <c r="H35" s="4">
        <f t="shared" si="3"/>
        <v>496000</v>
      </c>
      <c r="I35" s="11">
        <v>173</v>
      </c>
      <c r="J35" s="4">
        <f t="shared" si="4"/>
        <v>692000</v>
      </c>
      <c r="K35" s="11">
        <f t="shared" si="0"/>
        <v>1188000</v>
      </c>
      <c r="L35" s="81">
        <f t="shared" si="1"/>
        <v>84.351036637318941</v>
      </c>
      <c r="M35" s="70"/>
    </row>
    <row r="36" spans="1:15" ht="17.100000000000001" customHeight="1" x14ac:dyDescent="0.25">
      <c r="A36" s="80"/>
      <c r="B36" s="77">
        <v>28</v>
      </c>
      <c r="C36" s="37">
        <v>31</v>
      </c>
      <c r="D36" s="37">
        <v>135</v>
      </c>
      <c r="E36" s="11">
        <v>0</v>
      </c>
      <c r="F36" s="4">
        <f t="shared" si="2"/>
        <v>0</v>
      </c>
      <c r="G36" s="11">
        <v>145</v>
      </c>
      <c r="H36" s="4">
        <f t="shared" si="3"/>
        <v>580000</v>
      </c>
      <c r="I36" s="11">
        <v>197</v>
      </c>
      <c r="J36" s="4">
        <f t="shared" si="4"/>
        <v>788000</v>
      </c>
      <c r="K36" s="11">
        <f t="shared" si="0"/>
        <v>1368000</v>
      </c>
      <c r="L36" s="81">
        <f t="shared" si="1"/>
        <v>97.131496733882415</v>
      </c>
      <c r="M36" s="70"/>
    </row>
    <row r="37" spans="1:15" ht="17.100000000000001" customHeight="1" x14ac:dyDescent="0.25">
      <c r="A37" s="80"/>
      <c r="B37" s="77">
        <v>29</v>
      </c>
      <c r="C37" s="37">
        <v>26</v>
      </c>
      <c r="D37" s="37">
        <v>122</v>
      </c>
      <c r="E37" s="11">
        <v>0</v>
      </c>
      <c r="F37" s="4">
        <f t="shared" si="2"/>
        <v>0</v>
      </c>
      <c r="G37" s="11">
        <v>147</v>
      </c>
      <c r="H37" s="4">
        <f t="shared" si="3"/>
        <v>588000</v>
      </c>
      <c r="I37" s="11">
        <v>203</v>
      </c>
      <c r="J37" s="4">
        <f t="shared" si="4"/>
        <v>812000</v>
      </c>
      <c r="K37" s="11">
        <f t="shared" si="0"/>
        <v>1400000</v>
      </c>
      <c r="L37" s="81">
        <f t="shared" si="1"/>
        <v>99.40357852882704</v>
      </c>
      <c r="M37" s="70"/>
    </row>
    <row r="38" spans="1:15" ht="17.100000000000001" customHeight="1" x14ac:dyDescent="0.25">
      <c r="A38" s="80"/>
      <c r="B38" s="77">
        <v>30</v>
      </c>
      <c r="C38" s="37">
        <v>29</v>
      </c>
      <c r="D38" s="37">
        <v>116</v>
      </c>
      <c r="E38" s="11">
        <v>0</v>
      </c>
      <c r="F38" s="4">
        <f t="shared" si="2"/>
        <v>0</v>
      </c>
      <c r="G38" s="11">
        <v>146</v>
      </c>
      <c r="H38" s="4">
        <f t="shared" si="3"/>
        <v>584000</v>
      </c>
      <c r="I38" s="11">
        <v>213</v>
      </c>
      <c r="J38" s="4">
        <f t="shared" si="4"/>
        <v>852000</v>
      </c>
      <c r="K38" s="11">
        <f t="shared" si="0"/>
        <v>1436000</v>
      </c>
      <c r="L38" s="81">
        <f t="shared" si="1"/>
        <v>101.95967054813973</v>
      </c>
      <c r="M38" s="70"/>
    </row>
    <row r="39" spans="1:15" ht="17.100000000000001" customHeight="1" x14ac:dyDescent="0.25">
      <c r="A39" s="80"/>
      <c r="B39" s="77">
        <v>31</v>
      </c>
      <c r="C39" s="37">
        <v>20</v>
      </c>
      <c r="D39" s="37">
        <v>135</v>
      </c>
      <c r="E39" s="11">
        <v>0</v>
      </c>
      <c r="F39" s="4">
        <f t="shared" ref="F39" si="5">E39*13582</f>
        <v>0</v>
      </c>
      <c r="G39" s="11">
        <v>156</v>
      </c>
      <c r="H39" s="4">
        <f t="shared" ref="H39" si="6">G39*4000</f>
        <v>624000</v>
      </c>
      <c r="I39" s="11">
        <v>6</v>
      </c>
      <c r="J39" s="4">
        <f t="shared" ref="J39" si="7">I39*4000</f>
        <v>24000</v>
      </c>
      <c r="K39" s="11">
        <f t="shared" ref="K39" si="8">F39+H39+J39</f>
        <v>648000</v>
      </c>
      <c r="L39" s="81">
        <f t="shared" ref="L39" si="9">K39/14084</f>
        <v>46.009656347628514</v>
      </c>
      <c r="M39" s="70"/>
    </row>
    <row r="40" spans="1:15" ht="15.75" x14ac:dyDescent="0.25">
      <c r="C40" s="19">
        <f>SUM(C9:C39)</f>
        <v>622</v>
      </c>
      <c r="D40" s="19">
        <f>SUM(D9:D39)</f>
        <v>2540</v>
      </c>
      <c r="E40" s="19">
        <f>SUM(E9:E39)</f>
        <v>0</v>
      </c>
      <c r="G40" s="19">
        <f>SUM(G9:G39)</f>
        <v>2485</v>
      </c>
      <c r="I40" s="19">
        <f>SUM(I9:I39)</f>
        <v>5076</v>
      </c>
      <c r="J40" s="39">
        <f>G40+I40</f>
        <v>7561</v>
      </c>
      <c r="K40" s="46"/>
      <c r="L40" s="51">
        <f>SUM(L9:L39)</f>
        <v>2147.4013064470319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7561</v>
      </c>
      <c r="L41" s="42"/>
    </row>
    <row r="42" spans="1:15" x14ac:dyDescent="0.2"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Mirah Candradewi</cp:lastModifiedBy>
  <cp:lastPrinted>2020-10-01T03:34:29Z</cp:lastPrinted>
  <dcterms:created xsi:type="dcterms:W3CDTF">2009-02-11T09:03:59Z</dcterms:created>
  <dcterms:modified xsi:type="dcterms:W3CDTF">2021-02-08T09:49:42Z</dcterms:modified>
</cp:coreProperties>
</file>