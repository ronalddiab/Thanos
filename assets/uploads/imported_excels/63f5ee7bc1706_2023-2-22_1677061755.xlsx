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Y6" i="7" l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<sst xmlns="http://schemas.openxmlformats.org/spreadsheetml/2006/main" count="139" uniqueCount="59">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</sst>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NumberFormat="1" applyFont="1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quotePrefix="1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9" zoomScale="130" zoomScaleNormal="130"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Submetering!S2</f>
        <v>358.995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124</v>
      </c>
    </row>
    <row r="3" spans="1:11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Submetering!S3</f>
        <v>455.36400000000003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133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Submetering!S4</f>
        <v>446.90100000000001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152</v>
      </c>
    </row>
    <row r="5" spans="1:11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Submetering!S5</f>
        <v>405.95100000000002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250</v>
      </c>
    </row>
    <row r="6" spans="1:11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Submetering!S6</f>
        <v>549.27599999999995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228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Submetering!S7</f>
        <v>685.2299999999999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289</v>
      </c>
    </row>
    <row r="8" spans="1:11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Submetering!S8</f>
        <v>465.738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145</v>
      </c>
    </row>
    <row r="9" spans="1:11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Submetering!S9</f>
        <v>493.58399999999995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165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Submetering!S10</f>
        <v>495.22199999999998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184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Submetering!S11</f>
        <v>520.06500000000005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201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Submetering!S12</f>
        <v>548.73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232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Submetering!S13</f>
        <v>544.63499999999999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244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67400</v>
      </c>
      <c r="F14" s="11">
        <v>5.0000000000000001E-3</v>
      </c>
      <c r="G14" s="12">
        <f>Submetering!S14</f>
        <v>545.45399999999995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284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60416</v>
      </c>
      <c r="F15" s="11">
        <v>5.0000000000000001E-3</v>
      </c>
      <c r="G15" s="12">
        <f>Submetering!S15</f>
        <v>518.69999999999993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280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62514</v>
      </c>
      <c r="F16" s="11">
        <v>5.0000000000000001E-3</v>
      </c>
      <c r="G16" s="12">
        <f>Submetering!S16</f>
        <v>550.09500000000003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60390</v>
      </c>
      <c r="F17" s="11">
        <v>5.0000000000000001E-3</v>
      </c>
      <c r="G17" s="12">
        <f>Submetering!S17</f>
        <v>598.68899999999996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165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59930</v>
      </c>
      <c r="F18" s="11">
        <v>5.0000000000000001E-3</v>
      </c>
      <c r="G18" s="12">
        <f>Submetering!S18</f>
        <v>547.09199999999998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170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61590</v>
      </c>
      <c r="F19" s="11">
        <v>5.0000000000000001E-3</v>
      </c>
      <c r="G19" s="12">
        <f>Submetering!S19</f>
        <v>665.57399999999996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217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59140</v>
      </c>
      <c r="F20" s="11">
        <v>5.0000000000000001E-3</v>
      </c>
      <c r="G20" s="12">
        <f>Submetering!S20</f>
        <v>619.71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225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61110</v>
      </c>
      <c r="F21" s="11">
        <v>5.0000000000000001E-3</v>
      </c>
      <c r="G21" s="12">
        <f>Submetering!S21</f>
        <v>506.68799999999999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282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65840</v>
      </c>
      <c r="F22" s="11">
        <v>5.0000000000000001E-3</v>
      </c>
      <c r="G22" s="12">
        <f>Submetering!S22</f>
        <v>632.54100000000005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280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58600</v>
      </c>
      <c r="F23" s="11">
        <v>5.0000000000000001E-3</v>
      </c>
      <c r="G23" s="12">
        <f>Submetering!S23</f>
        <v>576.03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139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61450</v>
      </c>
      <c r="F24" s="11">
        <v>5.0000000000000001E-3</v>
      </c>
      <c r="G24" s="12">
        <f>Submetering!S24</f>
        <v>441.714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115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59780</v>
      </c>
      <c r="F25" s="11">
        <v>5.0000000000000001E-3</v>
      </c>
      <c r="G25" s="12">
        <f>Submetering!S25</f>
        <v>680.04300000000001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109</v>
      </c>
    </row>
    <row r="26" spans="1:11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60630</v>
      </c>
      <c r="F26" s="11">
        <v>5.0000000000000001E-3</v>
      </c>
      <c r="G26" s="12">
        <f>Submetering!S26</f>
        <v>440.07600000000002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97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54860</v>
      </c>
      <c r="F27" s="11">
        <v>5.0000000000000001E-3</v>
      </c>
      <c r="G27" s="12">
        <f>Submetering!S27</f>
        <v>447.72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84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56620</v>
      </c>
      <c r="F28" s="11">
        <v>5.0000000000000001E-3</v>
      </c>
      <c r="G28" s="12">
        <f>Submetering!S28</f>
        <v>655.19999999999993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45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56640</v>
      </c>
      <c r="F29" s="11">
        <v>5.0000000000000001E-3</v>
      </c>
      <c r="G29" s="12">
        <f>Submetering!S29</f>
        <v>453.726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44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56570</v>
      </c>
      <c r="F30" s="11">
        <v>5.0000000000000001E-3</v>
      </c>
      <c r="G30" s="12">
        <f>Submetering!S30</f>
        <v>348.89400000000001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44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7" workbookViewId="0">
      <selection activeCell="E22" sqref="E2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2</v>
      </c>
      <c r="D2" s="11">
        <f>TOTAL!D2</f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Hotel!AT7</f>
        <v>0</v>
      </c>
      <c r="S2" s="4">
        <f>Hotel!BA7</f>
        <v>358.995</v>
      </c>
      <c r="T2" s="4">
        <f>Hotel!AX7</f>
        <v>0</v>
      </c>
      <c r="U2" s="4">
        <f>Hotel!B7</f>
        <v>124</v>
      </c>
    </row>
    <row r="3" spans="1:21" x14ac:dyDescent="0.25">
      <c r="A3" s="21" t="s">
        <v>31</v>
      </c>
      <c r="B3" s="2">
        <f>B2+1</f>
        <v>2</v>
      </c>
      <c r="C3" s="3">
        <v>2</v>
      </c>
      <c r="D3" s="11">
        <f>TOTAL!D3</f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Hotel!AT8</f>
        <v>0</v>
      </c>
      <c r="S3" s="4">
        <f>Hotel!BA8</f>
        <v>455.36400000000003</v>
      </c>
      <c r="T3" s="4">
        <f>Hotel!AX8</f>
        <v>0</v>
      </c>
      <c r="U3" s="4">
        <f>Hotel!B8</f>
        <v>133</v>
      </c>
    </row>
    <row r="4" spans="1:21" x14ac:dyDescent="0.25">
      <c r="A4" s="21" t="s">
        <v>31</v>
      </c>
      <c r="B4" s="2">
        <f t="shared" ref="B4:B29" si="0">B3+1</f>
        <v>3</v>
      </c>
      <c r="C4" s="3">
        <v>2</v>
      </c>
      <c r="D4" s="11">
        <f>TOTAL!D4</f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Hotel!AT9</f>
        <v>0</v>
      </c>
      <c r="S4" s="4">
        <f>Hotel!BA9</f>
        <v>446.90100000000001</v>
      </c>
      <c r="T4" s="4">
        <f>Hotel!AX9</f>
        <v>0</v>
      </c>
      <c r="U4" s="4">
        <f>Hotel!B9</f>
        <v>152</v>
      </c>
    </row>
    <row r="5" spans="1:21" x14ac:dyDescent="0.25">
      <c r="A5" s="21" t="s">
        <v>31</v>
      </c>
      <c r="B5" s="2">
        <f t="shared" si="0"/>
        <v>4</v>
      </c>
      <c r="C5" s="3">
        <v>2</v>
      </c>
      <c r="D5" s="11">
        <f>TOTAL!D5</f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Hotel!AT10</f>
        <v>0</v>
      </c>
      <c r="S5" s="4">
        <f>Hotel!BA10</f>
        <v>405.95100000000002</v>
      </c>
      <c r="T5" s="4">
        <f>Hotel!AX10</f>
        <v>0</v>
      </c>
      <c r="U5" s="4">
        <f>Hotel!B10</f>
        <v>250</v>
      </c>
    </row>
    <row r="6" spans="1:21" x14ac:dyDescent="0.25">
      <c r="A6" s="21" t="s">
        <v>31</v>
      </c>
      <c r="B6" s="2">
        <f t="shared" si="0"/>
        <v>5</v>
      </c>
      <c r="C6" s="3">
        <v>2</v>
      </c>
      <c r="D6" s="11">
        <f>TOTAL!D6</f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Hotel!AT11</f>
        <v>0</v>
      </c>
      <c r="S6" s="4">
        <f>Hotel!BA11</f>
        <v>549.27599999999995</v>
      </c>
      <c r="T6" s="4">
        <f>Hotel!AX11</f>
        <v>0</v>
      </c>
      <c r="U6" s="4">
        <f>Hotel!B11</f>
        <v>228</v>
      </c>
    </row>
    <row r="7" spans="1:21" x14ac:dyDescent="0.25">
      <c r="A7" s="21" t="s">
        <v>31</v>
      </c>
      <c r="B7" s="2">
        <f t="shared" si="0"/>
        <v>6</v>
      </c>
      <c r="C7" s="3">
        <v>2</v>
      </c>
      <c r="D7" s="11">
        <f>TOTAL!D7</f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Hotel!AT12</f>
        <v>0</v>
      </c>
      <c r="S7" s="4">
        <f>Hotel!BA12</f>
        <v>685.2299999999999</v>
      </c>
      <c r="T7" s="4">
        <f>Hotel!AX12</f>
        <v>0</v>
      </c>
      <c r="U7" s="4">
        <f>Hotel!B12</f>
        <v>289</v>
      </c>
    </row>
    <row r="8" spans="1:21" x14ac:dyDescent="0.25">
      <c r="A8" s="21" t="s">
        <v>31</v>
      </c>
      <c r="B8" s="2">
        <f t="shared" si="0"/>
        <v>7</v>
      </c>
      <c r="C8" s="3">
        <v>2</v>
      </c>
      <c r="D8" s="11">
        <f>TOTAL!D8</f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Hotel!AT13</f>
        <v>0</v>
      </c>
      <c r="S8" s="4">
        <f>Hotel!BA13</f>
        <v>465.738</v>
      </c>
      <c r="T8" s="4">
        <f>Hotel!AX13</f>
        <v>0</v>
      </c>
      <c r="U8" s="4">
        <f>Hotel!B13</f>
        <v>145</v>
      </c>
    </row>
    <row r="9" spans="1:21" x14ac:dyDescent="0.25">
      <c r="A9" s="21" t="s">
        <v>31</v>
      </c>
      <c r="B9" s="2">
        <f t="shared" si="0"/>
        <v>8</v>
      </c>
      <c r="C9" s="3">
        <v>2</v>
      </c>
      <c r="D9" s="11">
        <f>TOTAL!D9</f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Hotel!AT14</f>
        <v>0</v>
      </c>
      <c r="S9" s="4">
        <f>Hotel!BA14</f>
        <v>493.58399999999995</v>
      </c>
      <c r="T9" s="4">
        <f>Hotel!AX14</f>
        <v>0</v>
      </c>
      <c r="U9" s="4">
        <f>Hotel!B14</f>
        <v>165</v>
      </c>
    </row>
    <row r="10" spans="1:21" x14ac:dyDescent="0.25">
      <c r="A10" s="21" t="s">
        <v>31</v>
      </c>
      <c r="B10" s="2">
        <f t="shared" si="0"/>
        <v>9</v>
      </c>
      <c r="C10" s="3">
        <v>2</v>
      </c>
      <c r="D10" s="11">
        <f>TOTAL!D10</f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Hotel!AT15</f>
        <v>0</v>
      </c>
      <c r="S10" s="4">
        <f>Hotel!BA15</f>
        <v>495.22199999999998</v>
      </c>
      <c r="T10" s="4">
        <f>Hotel!AX15</f>
        <v>0</v>
      </c>
      <c r="U10" s="4">
        <f>Hotel!B15</f>
        <v>184</v>
      </c>
    </row>
    <row r="11" spans="1:21" x14ac:dyDescent="0.25">
      <c r="A11" s="21" t="s">
        <v>31</v>
      </c>
      <c r="B11" s="2">
        <f t="shared" si="0"/>
        <v>10</v>
      </c>
      <c r="C11" s="3">
        <v>2</v>
      </c>
      <c r="D11" s="11">
        <f>TOTAL!D11</f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Hotel!AT16</f>
        <v>0</v>
      </c>
      <c r="S11" s="4">
        <f>Hotel!BA16</f>
        <v>520.06500000000005</v>
      </c>
      <c r="T11" s="4">
        <f>Hotel!AX16</f>
        <v>0</v>
      </c>
      <c r="U11" s="4">
        <f>Hotel!B16</f>
        <v>201</v>
      </c>
    </row>
    <row r="12" spans="1:21" x14ac:dyDescent="0.25">
      <c r="A12" s="21" t="s">
        <v>31</v>
      </c>
      <c r="B12" s="2">
        <f t="shared" si="0"/>
        <v>11</v>
      </c>
      <c r="C12" s="3">
        <v>2</v>
      </c>
      <c r="D12" s="11">
        <f>TOTAL!D12</f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Hotel!AT17</f>
        <v>0</v>
      </c>
      <c r="S12" s="4">
        <f>Hotel!BA17</f>
        <v>548.73</v>
      </c>
      <c r="T12" s="4">
        <f>Hotel!AX17</f>
        <v>0</v>
      </c>
      <c r="U12" s="4">
        <f>Hotel!B17</f>
        <v>232</v>
      </c>
    </row>
    <row r="13" spans="1:21" x14ac:dyDescent="0.25">
      <c r="A13" s="21" t="s">
        <v>31</v>
      </c>
      <c r="B13" s="2">
        <f t="shared" si="0"/>
        <v>12</v>
      </c>
      <c r="C13" s="3">
        <v>2</v>
      </c>
      <c r="D13" s="11">
        <f>TOTAL!D13</f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Hotel!AT18</f>
        <v>0</v>
      </c>
      <c r="S13" s="4">
        <f>Hotel!BA18</f>
        <v>544.63499999999999</v>
      </c>
      <c r="T13" s="4">
        <f>Hotel!AX18</f>
        <v>0</v>
      </c>
      <c r="U13" s="4">
        <f>Hotel!B18</f>
        <v>244</v>
      </c>
    </row>
    <row r="14" spans="1:21" x14ac:dyDescent="0.25">
      <c r="A14" s="21" t="s">
        <v>31</v>
      </c>
      <c r="B14" s="2">
        <f t="shared" si="0"/>
        <v>13</v>
      </c>
      <c r="C14" s="3">
        <v>2</v>
      </c>
      <c r="D14" s="11">
        <f>TOTAL!D14</f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>
        <f>Hotel!V19</f>
        <v>5300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Hotel!AT19</f>
        <v>0</v>
      </c>
      <c r="S14" s="4">
        <f>Hotel!BA19</f>
        <v>545.45399999999995</v>
      </c>
      <c r="T14" s="4">
        <f>Hotel!AX19</f>
        <v>0</v>
      </c>
      <c r="U14" s="4">
        <f>Hotel!B19</f>
        <v>284</v>
      </c>
    </row>
    <row r="15" spans="1:21" x14ac:dyDescent="0.25">
      <c r="A15" s="21" t="s">
        <v>31</v>
      </c>
      <c r="B15" s="2">
        <f t="shared" si="0"/>
        <v>14</v>
      </c>
      <c r="C15" s="3">
        <v>2</v>
      </c>
      <c r="D15" s="11">
        <f>TOTAL!D15</f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>
        <f>Hotel!V20</f>
        <v>4750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Hotel!AT20</f>
        <v>0</v>
      </c>
      <c r="S15" s="4">
        <f>Hotel!BA20</f>
        <v>518.69999999999993</v>
      </c>
      <c r="T15" s="4">
        <f>Hotel!AX20</f>
        <v>0</v>
      </c>
      <c r="U15" s="4">
        <f>Hotel!B20</f>
        <v>280</v>
      </c>
    </row>
    <row r="16" spans="1:21" x14ac:dyDescent="0.25">
      <c r="A16" s="21" t="s">
        <v>31</v>
      </c>
      <c r="B16" s="2">
        <f t="shared" si="0"/>
        <v>15</v>
      </c>
      <c r="C16" s="3">
        <v>2</v>
      </c>
      <c r="D16" s="11">
        <f>TOTAL!D16</f>
        <v>2020</v>
      </c>
      <c r="E16" s="4">
        <f>Hotel!Q21</f>
        <v>560</v>
      </c>
      <c r="F16" s="4">
        <f>Hotel!R21</f>
        <v>1890</v>
      </c>
      <c r="G16" s="4">
        <f>Hotel!S21</f>
        <v>2790</v>
      </c>
      <c r="H16" s="4">
        <f>Hotel!T21</f>
        <v>1410</v>
      </c>
      <c r="I16" s="4">
        <f>Hotel!U21</f>
        <v>7740</v>
      </c>
      <c r="J16" s="4">
        <f>Hotel!V21</f>
        <v>5070</v>
      </c>
      <c r="K16" s="4">
        <f>Hotel!W21</f>
        <v>3690</v>
      </c>
      <c r="L16" s="4">
        <f>Hotel!X21</f>
        <v>4704</v>
      </c>
      <c r="M16" s="4">
        <f>Hotel!Y21</f>
        <v>6180</v>
      </c>
      <c r="N16" s="4">
        <f>Hotel!Z21</f>
        <v>2100</v>
      </c>
      <c r="O16" s="4">
        <f>Hotel!AA21</f>
        <v>3740</v>
      </c>
      <c r="P16" s="4">
        <f>Hotel!AB21</f>
        <v>7350</v>
      </c>
      <c r="Q16" s="4">
        <f>Hotel!AC21</f>
        <v>15290</v>
      </c>
      <c r="R16" s="4">
        <f>Hotel!AT21</f>
        <v>0</v>
      </c>
      <c r="S16" s="4">
        <f>Hotel!BA21</f>
        <v>550.09500000000003</v>
      </c>
      <c r="T16" s="4">
        <f>Hotel!AX21</f>
        <v>0</v>
      </c>
      <c r="U16" s="4">
        <f>Hotel!B21</f>
        <v>156</v>
      </c>
    </row>
    <row r="17" spans="1:21" x14ac:dyDescent="0.25">
      <c r="A17" s="21" t="s">
        <v>31</v>
      </c>
      <c r="B17" s="2">
        <f t="shared" si="0"/>
        <v>16</v>
      </c>
      <c r="C17" s="3">
        <v>2</v>
      </c>
      <c r="D17" s="11">
        <f>TOTAL!D17</f>
        <v>2020</v>
      </c>
      <c r="E17" s="4">
        <f>Hotel!Q22</f>
        <v>540</v>
      </c>
      <c r="F17" s="4">
        <f>Hotel!R22</f>
        <v>1830</v>
      </c>
      <c r="G17" s="4">
        <f>Hotel!S22</f>
        <v>2630</v>
      </c>
      <c r="H17" s="4">
        <f>Hotel!T22</f>
        <v>1360</v>
      </c>
      <c r="I17" s="4">
        <f>Hotel!U22</f>
        <v>6820</v>
      </c>
      <c r="J17" s="4">
        <f>Hotel!V22</f>
        <v>4810</v>
      </c>
      <c r="K17" s="4">
        <f>Hotel!W22</f>
        <v>3280</v>
      </c>
      <c r="L17" s="4">
        <f>Hotel!X22</f>
        <v>4500</v>
      </c>
      <c r="M17" s="4">
        <f>Hotel!Y22</f>
        <v>5460</v>
      </c>
      <c r="N17" s="4">
        <f>Hotel!Z22</f>
        <v>3700</v>
      </c>
      <c r="O17" s="4">
        <f>Hotel!AA22</f>
        <v>3590</v>
      </c>
      <c r="P17" s="4">
        <f>Hotel!AB22</f>
        <v>7250</v>
      </c>
      <c r="Q17" s="4">
        <f>Hotel!AC22</f>
        <v>14620</v>
      </c>
      <c r="R17" s="4">
        <f>Hotel!AT22</f>
        <v>0</v>
      </c>
      <c r="S17" s="4">
        <f>Hotel!BA22</f>
        <v>598.68899999999996</v>
      </c>
      <c r="T17" s="4">
        <f>Hotel!AX22</f>
        <v>0</v>
      </c>
      <c r="U17" s="4">
        <f>Hotel!B22</f>
        <v>165</v>
      </c>
    </row>
    <row r="18" spans="1:21" x14ac:dyDescent="0.25">
      <c r="A18" s="21" t="s">
        <v>31</v>
      </c>
      <c r="B18" s="2">
        <f t="shared" si="0"/>
        <v>17</v>
      </c>
      <c r="C18" s="3">
        <v>2</v>
      </c>
      <c r="D18" s="11">
        <f>TOTAL!D18</f>
        <v>2020</v>
      </c>
      <c r="E18" s="4">
        <f>Hotel!Q23</f>
        <v>660</v>
      </c>
      <c r="F18" s="4">
        <f>Hotel!R23</f>
        <v>1890</v>
      </c>
      <c r="G18" s="4">
        <f>Hotel!S23</f>
        <v>2790</v>
      </c>
      <c r="H18" s="4">
        <f>Hotel!T23</f>
        <v>1410</v>
      </c>
      <c r="I18" s="4">
        <f>Hotel!U23</f>
        <v>6790</v>
      </c>
      <c r="J18" s="4">
        <f>Hotel!V23</f>
        <v>4920</v>
      </c>
      <c r="K18" s="4">
        <f>Hotel!W23</f>
        <v>3570</v>
      </c>
      <c r="L18" s="4">
        <f>Hotel!X23</f>
        <v>4540</v>
      </c>
      <c r="M18" s="4">
        <f>Hotel!Y23</f>
        <v>5370</v>
      </c>
      <c r="N18" s="4">
        <f>Hotel!Z23</f>
        <v>2830</v>
      </c>
      <c r="O18" s="4">
        <f>Hotel!AA23</f>
        <v>3360</v>
      </c>
      <c r="P18" s="4">
        <f>Hotel!AB23</f>
        <v>7300</v>
      </c>
      <c r="Q18" s="4">
        <f>Hotel!AC23</f>
        <v>14500</v>
      </c>
      <c r="R18" s="4">
        <f>Hotel!AT23</f>
        <v>0</v>
      </c>
      <c r="S18" s="4">
        <f>Hotel!BA23</f>
        <v>547.09199999999998</v>
      </c>
      <c r="T18" s="4">
        <f>Hotel!AX23</f>
        <v>0</v>
      </c>
      <c r="U18" s="4">
        <f>Hotel!B23</f>
        <v>170</v>
      </c>
    </row>
    <row r="19" spans="1:21" x14ac:dyDescent="0.25">
      <c r="A19" s="21" t="s">
        <v>31</v>
      </c>
      <c r="B19" s="2">
        <f t="shared" si="0"/>
        <v>18</v>
      </c>
      <c r="C19" s="3">
        <v>2</v>
      </c>
      <c r="D19" s="11">
        <f>TOTAL!D19</f>
        <v>2020</v>
      </c>
      <c r="E19" s="4">
        <f>Hotel!Q24</f>
        <v>480</v>
      </c>
      <c r="F19" s="4">
        <f>Hotel!R24</f>
        <v>1930</v>
      </c>
      <c r="G19" s="4">
        <f>Hotel!S24</f>
        <v>3080</v>
      </c>
      <c r="H19" s="4">
        <f>Hotel!T24</f>
        <v>1460</v>
      </c>
      <c r="I19" s="4">
        <f>Hotel!U24</f>
        <v>6950</v>
      </c>
      <c r="J19" s="4">
        <f>Hotel!V24</f>
        <v>5070</v>
      </c>
      <c r="K19" s="4">
        <f>Hotel!W24</f>
        <v>3250</v>
      </c>
      <c r="L19" s="4">
        <f>Hotel!X24</f>
        <v>4760</v>
      </c>
      <c r="M19" s="4">
        <f>Hotel!Y24</f>
        <v>5640</v>
      </c>
      <c r="N19" s="4">
        <f>Hotel!Z24</f>
        <v>2920</v>
      </c>
      <c r="O19" s="4">
        <f>Hotel!AA24</f>
        <v>3680</v>
      </c>
      <c r="P19" s="4">
        <f>Hotel!AB24</f>
        <v>7230</v>
      </c>
      <c r="Q19" s="4">
        <f>Hotel!AC24</f>
        <v>15140</v>
      </c>
      <c r="R19" s="4">
        <f>Hotel!AT24</f>
        <v>0</v>
      </c>
      <c r="S19" s="4">
        <f>Hotel!BA24</f>
        <v>665.57399999999996</v>
      </c>
      <c r="T19" s="4">
        <f>Hotel!AX24</f>
        <v>0</v>
      </c>
      <c r="U19" s="4">
        <f>Hotel!B24</f>
        <v>217</v>
      </c>
    </row>
    <row r="20" spans="1:21" x14ac:dyDescent="0.25">
      <c r="A20" s="21" t="s">
        <v>31</v>
      </c>
      <c r="B20" s="2">
        <f t="shared" si="0"/>
        <v>19</v>
      </c>
      <c r="C20" s="3">
        <v>2</v>
      </c>
      <c r="D20" s="11">
        <f>TOTAL!D20</f>
        <v>2020</v>
      </c>
      <c r="E20" s="4">
        <f>Hotel!Q25</f>
        <v>540</v>
      </c>
      <c r="F20" s="4">
        <f>Hotel!R25</f>
        <v>1850</v>
      </c>
      <c r="G20" s="4">
        <f>Hotel!S25</f>
        <v>3010</v>
      </c>
      <c r="H20" s="4">
        <f>Hotel!T25</f>
        <v>1410</v>
      </c>
      <c r="I20" s="4">
        <f>Hotel!U25</f>
        <v>6790</v>
      </c>
      <c r="J20" s="4">
        <f>Hotel!V25</f>
        <v>4840</v>
      </c>
      <c r="K20" s="4">
        <f>Hotel!W25</f>
        <v>3010</v>
      </c>
      <c r="L20" s="4">
        <f>Hotel!X25</f>
        <v>4630</v>
      </c>
      <c r="M20" s="4">
        <f>Hotel!Y25</f>
        <v>5280</v>
      </c>
      <c r="N20" s="4">
        <f>Hotel!Z25</f>
        <v>2920</v>
      </c>
      <c r="O20" s="4">
        <f>Hotel!AA25</f>
        <v>3550</v>
      </c>
      <c r="P20" s="4">
        <f>Hotel!AB25</f>
        <v>6890</v>
      </c>
      <c r="Q20" s="4">
        <f>Hotel!AC25</f>
        <v>14420</v>
      </c>
      <c r="R20" s="4">
        <f>Hotel!AT25</f>
        <v>0</v>
      </c>
      <c r="S20" s="4">
        <f>Hotel!BA25</f>
        <v>619.71</v>
      </c>
      <c r="T20" s="4">
        <f>Hotel!AX25</f>
        <v>0</v>
      </c>
      <c r="U20" s="4">
        <f>Hotel!B25</f>
        <v>225</v>
      </c>
    </row>
    <row r="21" spans="1:21" x14ac:dyDescent="0.25">
      <c r="A21" s="21" t="s">
        <v>31</v>
      </c>
      <c r="B21" s="2">
        <f t="shared" si="0"/>
        <v>20</v>
      </c>
      <c r="C21" s="3">
        <v>2</v>
      </c>
      <c r="D21" s="11">
        <f>TOTAL!D21</f>
        <v>2020</v>
      </c>
      <c r="E21" s="4">
        <f>Hotel!Q26</f>
        <v>560</v>
      </c>
      <c r="F21" s="4">
        <f>Hotel!R26</f>
        <v>1880</v>
      </c>
      <c r="G21" s="4">
        <f>Hotel!S26</f>
        <v>3160</v>
      </c>
      <c r="H21" s="4">
        <f>Hotel!T26</f>
        <v>1430</v>
      </c>
      <c r="I21" s="4">
        <f>Hotel!U26</f>
        <v>6780</v>
      </c>
      <c r="J21" s="4">
        <f>Hotel!V26</f>
        <v>4920</v>
      </c>
      <c r="K21" s="4">
        <f>Hotel!W26</f>
        <v>3350</v>
      </c>
      <c r="L21" s="4">
        <f>Hotel!X26</f>
        <v>4770</v>
      </c>
      <c r="M21" s="4">
        <f>Hotel!Y26</f>
        <v>5620</v>
      </c>
      <c r="N21" s="4">
        <f>Hotel!Z26</f>
        <v>2900</v>
      </c>
      <c r="O21" s="4">
        <f>Hotel!AA26</f>
        <v>3720</v>
      </c>
      <c r="P21" s="4">
        <f>Hotel!AB26</f>
        <v>7230</v>
      </c>
      <c r="Q21" s="4">
        <f>Hotel!AC26</f>
        <v>14790</v>
      </c>
      <c r="R21" s="4">
        <f>Hotel!AT26</f>
        <v>0</v>
      </c>
      <c r="S21" s="4">
        <f>Hotel!BA26</f>
        <v>506.68799999999999</v>
      </c>
      <c r="T21" s="4">
        <f>Hotel!AX26</f>
        <v>0</v>
      </c>
      <c r="U21" s="4">
        <f>Hotel!B26</f>
        <v>282</v>
      </c>
    </row>
    <row r="22" spans="1:21" x14ac:dyDescent="0.25">
      <c r="A22" s="21" t="s">
        <v>31</v>
      </c>
      <c r="B22" s="2">
        <f t="shared" si="0"/>
        <v>21</v>
      </c>
      <c r="C22" s="3">
        <v>2</v>
      </c>
      <c r="D22" s="11">
        <f>TOTAL!D22</f>
        <v>2020</v>
      </c>
      <c r="E22" s="4">
        <f>Hotel!Q27</f>
        <v>580</v>
      </c>
      <c r="F22" s="4">
        <f>Hotel!R27</f>
        <v>1980</v>
      </c>
      <c r="G22" s="4">
        <f>Hotel!S27</f>
        <v>3480</v>
      </c>
      <c r="H22" s="4">
        <f>Hotel!T27</f>
        <v>1520</v>
      </c>
      <c r="I22" s="4">
        <f>Hotel!U27</f>
        <v>7580</v>
      </c>
      <c r="J22" s="4">
        <f>Hotel!V27</f>
        <v>5260</v>
      </c>
      <c r="K22" s="4">
        <f>Hotel!W27</f>
        <v>3660</v>
      </c>
      <c r="L22" s="4">
        <f>Hotel!X27</f>
        <v>4920</v>
      </c>
      <c r="M22" s="4">
        <f>Hotel!Y27</f>
        <v>6090</v>
      </c>
      <c r="N22" s="4">
        <f>Hotel!Z27</f>
        <v>3130</v>
      </c>
      <c r="O22" s="4">
        <f>Hotel!AA27</f>
        <v>4000</v>
      </c>
      <c r="P22" s="4">
        <f>Hotel!AB27</f>
        <v>7790</v>
      </c>
      <c r="Q22" s="4">
        <f>Hotel!AC27</f>
        <v>15850</v>
      </c>
      <c r="R22" s="4">
        <f>Hotel!AT27</f>
        <v>0</v>
      </c>
      <c r="S22" s="4">
        <f>Hotel!BA27</f>
        <v>632.54100000000005</v>
      </c>
      <c r="T22" s="4">
        <f>Hotel!AX27</f>
        <v>0</v>
      </c>
      <c r="U22" s="4">
        <f>Hotel!B27</f>
        <v>280</v>
      </c>
    </row>
    <row r="23" spans="1:21" x14ac:dyDescent="0.25">
      <c r="A23" s="21" t="s">
        <v>31</v>
      </c>
      <c r="B23" s="2">
        <f t="shared" si="0"/>
        <v>22</v>
      </c>
      <c r="C23" s="3">
        <v>2</v>
      </c>
      <c r="D23" s="11">
        <f>TOTAL!D23</f>
        <v>2020</v>
      </c>
      <c r="E23" s="4">
        <f>Hotel!Q28</f>
        <v>520</v>
      </c>
      <c r="F23" s="4">
        <f>Hotel!R28</f>
        <v>1760</v>
      </c>
      <c r="G23" s="4">
        <f>Hotel!S28</f>
        <v>2980</v>
      </c>
      <c r="H23" s="4">
        <f>Hotel!T28</f>
        <v>1350</v>
      </c>
      <c r="I23" s="4">
        <f>Hotel!U28</f>
        <v>6890</v>
      </c>
      <c r="J23" s="4">
        <f>Hotel!V28</f>
        <v>4640</v>
      </c>
      <c r="K23" s="4">
        <f>Hotel!W28</f>
        <v>3100</v>
      </c>
      <c r="L23" s="4">
        <f>Hotel!X28</f>
        <v>4510</v>
      </c>
      <c r="M23" s="4">
        <f>Hotel!Y28</f>
        <v>5310</v>
      </c>
      <c r="N23" s="4">
        <f>Hotel!Z28</f>
        <v>2680</v>
      </c>
      <c r="O23" s="4">
        <f>Hotel!AA28</f>
        <v>3540</v>
      </c>
      <c r="P23" s="4">
        <f>Hotel!AB28</f>
        <v>6970</v>
      </c>
      <c r="Q23" s="4">
        <f>Hotel!AC28</f>
        <v>14350</v>
      </c>
      <c r="R23" s="4">
        <f>Hotel!AT28</f>
        <v>0</v>
      </c>
      <c r="S23" s="4">
        <f>Hotel!BA28</f>
        <v>576.03</v>
      </c>
      <c r="T23" s="4">
        <f>Hotel!AX28</f>
        <v>0</v>
      </c>
      <c r="U23" s="4">
        <f>Hotel!B28</f>
        <v>139</v>
      </c>
    </row>
    <row r="24" spans="1:21" x14ac:dyDescent="0.25">
      <c r="A24" s="21" t="s">
        <v>31</v>
      </c>
      <c r="B24" s="2">
        <f t="shared" si="0"/>
        <v>23</v>
      </c>
      <c r="C24" s="3">
        <v>2</v>
      </c>
      <c r="D24" s="11">
        <f>TOTAL!D24</f>
        <v>2020</v>
      </c>
      <c r="E24" s="4">
        <f>Hotel!Q29</f>
        <v>560</v>
      </c>
      <c r="F24" s="4">
        <f>Hotel!R29</f>
        <v>1870</v>
      </c>
      <c r="G24" s="4">
        <f>Hotel!S29</f>
        <v>3200</v>
      </c>
      <c r="H24" s="4">
        <f>Hotel!T29</f>
        <v>1440</v>
      </c>
      <c r="I24" s="4">
        <f>Hotel!U29</f>
        <v>6990</v>
      </c>
      <c r="J24" s="4">
        <f>Hotel!V29</f>
        <v>4810</v>
      </c>
      <c r="K24" s="4">
        <f>Hotel!W29</f>
        <v>3150</v>
      </c>
      <c r="L24" s="4">
        <f>Hotel!X29</f>
        <v>4710</v>
      </c>
      <c r="M24" s="4">
        <f>Hotel!Y29</f>
        <v>5600</v>
      </c>
      <c r="N24" s="4">
        <f>Hotel!Z29</f>
        <v>2830</v>
      </c>
      <c r="O24" s="4">
        <f>Hotel!AA29</f>
        <v>3590</v>
      </c>
      <c r="P24" s="4">
        <f>Hotel!AB29</f>
        <v>7540</v>
      </c>
      <c r="Q24" s="4">
        <f>Hotel!AC29</f>
        <v>15160</v>
      </c>
      <c r="R24" s="4">
        <f>Hotel!AT29</f>
        <v>0</v>
      </c>
      <c r="S24" s="4">
        <f>Hotel!BA29</f>
        <v>441.714</v>
      </c>
      <c r="T24" s="4">
        <f>Hotel!AX29</f>
        <v>0</v>
      </c>
      <c r="U24" s="4">
        <f>Hotel!B29</f>
        <v>115</v>
      </c>
    </row>
    <row r="25" spans="1:21" x14ac:dyDescent="0.25">
      <c r="A25" s="21" t="s">
        <v>31</v>
      </c>
      <c r="B25" s="2">
        <f t="shared" si="0"/>
        <v>24</v>
      </c>
      <c r="C25" s="3">
        <v>2</v>
      </c>
      <c r="D25" s="11">
        <f>TOTAL!D25</f>
        <v>2020</v>
      </c>
      <c r="E25" s="4">
        <f>Hotel!Q30</f>
        <v>570</v>
      </c>
      <c r="F25" s="4">
        <f>Hotel!R30</f>
        <v>1920</v>
      </c>
      <c r="G25" s="4">
        <f>Hotel!S30</f>
        <v>3420</v>
      </c>
      <c r="H25" s="4">
        <f>Hotel!T30</f>
        <v>1480</v>
      </c>
      <c r="I25" s="4">
        <f>Hotel!U30</f>
        <v>6470</v>
      </c>
      <c r="J25" s="4">
        <f>Hotel!V30</f>
        <v>4790</v>
      </c>
      <c r="K25" s="4">
        <f>Hotel!W30</f>
        <v>3070</v>
      </c>
      <c r="L25" s="4">
        <f>Hotel!X30</f>
        <v>4640</v>
      </c>
      <c r="M25" s="4">
        <f>Hotel!Y30</f>
        <v>5310</v>
      </c>
      <c r="N25" s="4">
        <f>Hotel!Z30</f>
        <v>2760</v>
      </c>
      <c r="O25" s="4">
        <f>Hotel!AA30</f>
        <v>3120</v>
      </c>
      <c r="P25" s="4">
        <f>Hotel!AB30</f>
        <v>7510</v>
      </c>
      <c r="Q25" s="4">
        <f>Hotel!AC30</f>
        <v>14720</v>
      </c>
      <c r="R25" s="4">
        <f>Hotel!AT30</f>
        <v>0</v>
      </c>
      <c r="S25" s="4">
        <f>Hotel!BA30</f>
        <v>680.04300000000001</v>
      </c>
      <c r="T25" s="4">
        <f>Hotel!AX30</f>
        <v>0</v>
      </c>
      <c r="U25" s="4">
        <f>Hotel!B30</f>
        <v>109</v>
      </c>
    </row>
    <row r="26" spans="1:21" x14ac:dyDescent="0.25">
      <c r="A26" s="21" t="s">
        <v>31</v>
      </c>
      <c r="B26" s="2">
        <f>B25+1</f>
        <v>25</v>
      </c>
      <c r="C26" s="3">
        <v>2</v>
      </c>
      <c r="D26" s="11">
        <f>TOTAL!D26</f>
        <v>2020</v>
      </c>
      <c r="E26" s="4">
        <f>Hotel!Q31</f>
        <v>580</v>
      </c>
      <c r="F26" s="4">
        <f>Hotel!R31</f>
        <v>1960</v>
      </c>
      <c r="G26" s="4">
        <f>Hotel!S31</f>
        <v>3280</v>
      </c>
      <c r="H26" s="4">
        <f>Hotel!T31</f>
        <v>1780</v>
      </c>
      <c r="I26" s="4">
        <f>Hotel!U31</f>
        <v>6690</v>
      </c>
      <c r="J26" s="4">
        <f>Hotel!V31</f>
        <v>4730</v>
      </c>
      <c r="K26" s="4">
        <f>Hotel!W31</f>
        <v>2850</v>
      </c>
      <c r="L26" s="4">
        <f>Hotel!X31</f>
        <v>4730</v>
      </c>
      <c r="M26" s="4">
        <f>Hotel!Y31</f>
        <v>5300</v>
      </c>
      <c r="N26" s="4">
        <f>Hotel!Z31</f>
        <v>2780</v>
      </c>
      <c r="O26" s="4">
        <f>Hotel!AA31</f>
        <v>3580</v>
      </c>
      <c r="P26" s="4">
        <f>Hotel!AB31</f>
        <v>7610</v>
      </c>
      <c r="Q26" s="4">
        <f>Hotel!AC31</f>
        <v>14760</v>
      </c>
      <c r="R26" s="4">
        <f>Hotel!AT31</f>
        <v>0</v>
      </c>
      <c r="S26" s="4">
        <f>Hotel!BA31</f>
        <v>440.07600000000002</v>
      </c>
      <c r="T26" s="4">
        <f>Hotel!AX31</f>
        <v>0</v>
      </c>
      <c r="U26" s="4">
        <f>Hotel!B31</f>
        <v>97</v>
      </c>
    </row>
    <row r="27" spans="1:21" x14ac:dyDescent="0.25">
      <c r="A27" s="21" t="s">
        <v>31</v>
      </c>
      <c r="B27" s="2">
        <f t="shared" si="0"/>
        <v>26</v>
      </c>
      <c r="C27" s="3">
        <v>2</v>
      </c>
      <c r="D27" s="11">
        <f>TOTAL!D27</f>
        <v>2020</v>
      </c>
      <c r="E27" s="4">
        <f>Hotel!Q32</f>
        <v>520</v>
      </c>
      <c r="F27" s="4">
        <f>Hotel!R32</f>
        <v>1740</v>
      </c>
      <c r="G27" s="4">
        <f>Hotel!S32</f>
        <v>2540</v>
      </c>
      <c r="H27" s="4">
        <f>Hotel!T32</f>
        <v>1310</v>
      </c>
      <c r="I27" s="4">
        <f>Hotel!U32</f>
        <v>6050</v>
      </c>
      <c r="J27" s="4">
        <f>Hotel!V32</f>
        <v>4440</v>
      </c>
      <c r="K27" s="4">
        <f>Hotel!W32</f>
        <v>2550</v>
      </c>
      <c r="L27" s="4">
        <f>Hotel!X32</f>
        <v>4410</v>
      </c>
      <c r="M27" s="4">
        <f>Hotel!Y32</f>
        <v>5390</v>
      </c>
      <c r="N27" s="4">
        <f>Hotel!Z32</f>
        <v>2460</v>
      </c>
      <c r="O27" s="4">
        <f>Hotel!AA32</f>
        <v>3310</v>
      </c>
      <c r="P27" s="4">
        <f>Hotel!AB32</f>
        <v>6450</v>
      </c>
      <c r="Q27" s="4">
        <f>Hotel!AC32</f>
        <v>13690</v>
      </c>
      <c r="R27" s="4">
        <f>Hotel!AT32</f>
        <v>0</v>
      </c>
      <c r="S27" s="4">
        <f>Hotel!BA32</f>
        <v>447.72</v>
      </c>
      <c r="T27" s="4">
        <f>Hotel!AX32</f>
        <v>0</v>
      </c>
      <c r="U27" s="4">
        <f>Hotel!B32</f>
        <v>84</v>
      </c>
    </row>
    <row r="28" spans="1:21" x14ac:dyDescent="0.25">
      <c r="A28" s="21" t="s">
        <v>31</v>
      </c>
      <c r="B28" s="2">
        <f t="shared" si="0"/>
        <v>27</v>
      </c>
      <c r="C28" s="3">
        <v>2</v>
      </c>
      <c r="D28" s="11">
        <f>TOTAL!D28</f>
        <v>2020</v>
      </c>
      <c r="E28" s="4">
        <f>Hotel!Q33</f>
        <v>550</v>
      </c>
      <c r="F28" s="4">
        <f>Hotel!R33</f>
        <v>1870</v>
      </c>
      <c r="G28" s="4">
        <f>Hotel!S33</f>
        <v>2810</v>
      </c>
      <c r="H28" s="4">
        <f>Hotel!T33</f>
        <v>1390</v>
      </c>
      <c r="I28" s="4">
        <f>Hotel!U33</f>
        <v>6260</v>
      </c>
      <c r="J28" s="4">
        <f>Hotel!V33</f>
        <v>4610</v>
      </c>
      <c r="K28" s="4">
        <f>Hotel!W33</f>
        <v>2840</v>
      </c>
      <c r="L28" s="4">
        <f>Hotel!X33</f>
        <v>4480</v>
      </c>
      <c r="M28" s="4">
        <f>Hotel!Y33</f>
        <v>3620</v>
      </c>
      <c r="N28" s="4">
        <f>Hotel!Z33</f>
        <v>2670</v>
      </c>
      <c r="O28" s="4">
        <f>Hotel!AA33</f>
        <v>3290</v>
      </c>
      <c r="P28" s="4">
        <f>Hotel!AB33</f>
        <v>7050</v>
      </c>
      <c r="Q28" s="4">
        <f>Hotel!AC33</f>
        <v>15180</v>
      </c>
      <c r="R28" s="4">
        <f>Hotel!AT33</f>
        <v>0</v>
      </c>
      <c r="S28" s="4">
        <f>Hotel!BA33</f>
        <v>655.19999999999993</v>
      </c>
      <c r="T28" s="4">
        <f>Hotel!AX33</f>
        <v>0</v>
      </c>
      <c r="U28" s="4">
        <f>Hotel!B33</f>
        <v>45</v>
      </c>
    </row>
    <row r="29" spans="1:21" x14ac:dyDescent="0.25">
      <c r="A29" s="21" t="s">
        <v>31</v>
      </c>
      <c r="B29" s="2">
        <f t="shared" si="0"/>
        <v>28</v>
      </c>
      <c r="C29" s="3">
        <v>2</v>
      </c>
      <c r="D29" s="11">
        <f>TOTAL!D29</f>
        <v>2020</v>
      </c>
      <c r="E29" s="4">
        <f>Hotel!Q34</f>
        <v>560</v>
      </c>
      <c r="F29" s="4">
        <f>Hotel!R34</f>
        <v>1860</v>
      </c>
      <c r="G29" s="4">
        <f>Hotel!S34</f>
        <v>2940</v>
      </c>
      <c r="H29" s="4">
        <f>Hotel!T34</f>
        <v>1410</v>
      </c>
      <c r="I29" s="4">
        <f>Hotel!U34</f>
        <v>6020</v>
      </c>
      <c r="J29" s="4">
        <f>Hotel!V34</f>
        <v>4470</v>
      </c>
      <c r="K29" s="4">
        <f>Hotel!W34</f>
        <v>2530</v>
      </c>
      <c r="L29" s="4">
        <f>Hotel!X34</f>
        <v>4230</v>
      </c>
      <c r="M29" s="4">
        <f>Hotel!Y34</f>
        <v>4580</v>
      </c>
      <c r="N29" s="4">
        <f>Hotel!Z34</f>
        <v>2480</v>
      </c>
      <c r="O29" s="4">
        <f>Hotel!AA34</f>
        <v>2980</v>
      </c>
      <c r="P29" s="4">
        <f>Hotel!AB34</f>
        <v>7250</v>
      </c>
      <c r="Q29" s="4">
        <f>Hotel!AC34</f>
        <v>15330</v>
      </c>
      <c r="R29" s="4">
        <f>Hotel!AT34</f>
        <v>0</v>
      </c>
      <c r="S29" s="4">
        <f>Hotel!BA34</f>
        <v>453.726</v>
      </c>
      <c r="T29" s="4">
        <f>Hotel!AX34</f>
        <v>0</v>
      </c>
      <c r="U29" s="4">
        <f>Hotel!B34</f>
        <v>44</v>
      </c>
    </row>
    <row r="30" spans="1:21" x14ac:dyDescent="0.25">
      <c r="A30" s="21" t="s">
        <v>31</v>
      </c>
      <c r="B30" s="2">
        <f>B29+1</f>
        <v>29</v>
      </c>
      <c r="C30" s="3">
        <v>2</v>
      </c>
      <c r="D30" s="11">
        <f>TOTAL!D30</f>
        <v>2020</v>
      </c>
      <c r="E30" s="4">
        <f>Hotel!Q35</f>
        <v>550</v>
      </c>
      <c r="F30" s="4">
        <f>Hotel!R35</f>
        <v>1870</v>
      </c>
      <c r="G30" s="4">
        <f>Hotel!S35</f>
        <v>2990</v>
      </c>
      <c r="H30" s="4">
        <f>Hotel!T35</f>
        <v>1400</v>
      </c>
      <c r="I30" s="4">
        <f>Hotel!U35</f>
        <v>5840</v>
      </c>
      <c r="J30" s="4">
        <f>Hotel!V35</f>
        <v>4460</v>
      </c>
      <c r="K30" s="4">
        <f>Hotel!W35</f>
        <v>2690</v>
      </c>
      <c r="L30" s="4">
        <f>Hotel!X35</f>
        <v>4200</v>
      </c>
      <c r="M30" s="4">
        <f>Hotel!Y35</f>
        <v>4500</v>
      </c>
      <c r="N30" s="4">
        <f>Hotel!Z35</f>
        <v>2360</v>
      </c>
      <c r="O30" s="4">
        <f>Hotel!AA35</f>
        <v>2760</v>
      </c>
      <c r="P30" s="4">
        <f>Hotel!AB35</f>
        <v>7020</v>
      </c>
      <c r="Q30" s="4">
        <f>Hotel!AC35</f>
        <v>15930</v>
      </c>
      <c r="R30" s="4">
        <f>Hotel!AT35</f>
        <v>0</v>
      </c>
      <c r="S30" s="4">
        <f>Hotel!BA35</f>
        <v>348.89400000000001</v>
      </c>
      <c r="T30" s="4">
        <f>Hotel!AX35</f>
        <v>0</v>
      </c>
      <c r="U30" s="4">
        <f>Hotel!B35</f>
        <v>44</v>
      </c>
    </row>
    <row r="31" spans="1:21" x14ac:dyDescent="0.25">
      <c r="A31" s="21" t="s">
        <v>31</v>
      </c>
      <c r="B31" s="2">
        <f>B30+1</f>
        <v>30</v>
      </c>
      <c r="C31" s="3">
        <v>2</v>
      </c>
      <c r="D31" s="11">
        <f>TOTAL!D31</f>
        <v>2020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Hotel!AT36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31</v>
      </c>
      <c r="B32" s="2">
        <f>B31+1</f>
        <v>31</v>
      </c>
      <c r="C32" s="3">
        <v>2</v>
      </c>
      <c r="D32" s="11">
        <f>TOTAL!D32</f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R13" zoomScale="93" zoomScaleNormal="93" workbookViewId="0">
      <selection activeCell="AY43" sqref="AY4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50" customWidth="1"/>
    <col min="47" max="47" width="7.28515625" customWidth="1"/>
    <col min="48" max="50" width="11.85546875" style="53" customWidth="1"/>
    <col min="51" max="51" width="11.85546875" style="57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4"/>
      <c r="AW2" s="54"/>
      <c r="AX2" s="54"/>
      <c r="AY2" s="75">
        <v>768552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T4" s="71" t="s">
        <v>51</v>
      </c>
      <c r="AV4" s="72" t="s">
        <v>53</v>
      </c>
      <c r="AW4" s="72" t="s">
        <v>55</v>
      </c>
      <c r="AX4" s="72" t="s">
        <v>56</v>
      </c>
      <c r="AY4" s="61" t="s">
        <v>28</v>
      </c>
      <c r="AZ4" s="62" t="s">
        <v>29</v>
      </c>
      <c r="BA4" s="62" t="s">
        <v>48</v>
      </c>
      <c r="BB4" s="64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1"/>
      <c r="AV5" s="72"/>
      <c r="AW5" s="72"/>
      <c r="AX5" s="72"/>
      <c r="AY5" s="61"/>
      <c r="AZ5" s="63"/>
      <c r="BA5" s="63"/>
      <c r="BB5" s="64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4">
        <v>298912</v>
      </c>
      <c r="AW6" s="54"/>
      <c r="AX6" s="54" t="s">
        <v>57</v>
      </c>
      <c r="AY6" s="75">
        <f>AY2</f>
        <v>768552</v>
      </c>
    </row>
    <row r="7" spans="1:54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 t="shared" ref="Q7:AC7" si="0">IF((C7-C2&lt;0), "0",C7-C2)</f>
        <v>530</v>
      </c>
      <c r="R7" s="37">
        <f t="shared" si="0"/>
        <v>9920</v>
      </c>
      <c r="S7" s="37">
        <f t="shared" si="0"/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6" si="1">Q7*$D$39</f>
        <v>2.65</v>
      </c>
      <c r="AG7" s="20">
        <f t="shared" ref="AG7:AG36" si="2">R7*$D$39</f>
        <v>49.6</v>
      </c>
      <c r="AH7" s="20">
        <f t="shared" ref="AH7:AH36" si="3">S7*$D$39</f>
        <v>0</v>
      </c>
      <c r="AI7" s="20">
        <f t="shared" ref="AI7:AI36" si="4">T7*$D$39</f>
        <v>7.25</v>
      </c>
      <c r="AJ7" s="20">
        <f t="shared" ref="AJ7:AJ36" si="5">U7*$D$39</f>
        <v>36.1</v>
      </c>
      <c r="AK7" s="20">
        <f t="shared" ref="AK7:AK36" si="6">V7*$D$39</f>
        <v>22.55</v>
      </c>
      <c r="AL7" s="20">
        <f t="shared" ref="AL7:AL36" si="7">W7*$D$39</f>
        <v>15.25</v>
      </c>
      <c r="AM7" s="20">
        <f t="shared" ref="AM7:AM36" si="8">X7*$D$39</f>
        <v>23.25</v>
      </c>
      <c r="AN7" s="20">
        <f t="shared" ref="AN7:AN36" si="9">Y7*$D$39</f>
        <v>28.05</v>
      </c>
      <c r="AO7" s="20">
        <f t="shared" ref="AO7:AO36" si="10">Z7*$D$39</f>
        <v>14.4</v>
      </c>
      <c r="AP7" s="20">
        <f t="shared" ref="AP7:AP36" si="11">AA7*$D$39</f>
        <v>18.3</v>
      </c>
      <c r="AQ7" s="20">
        <f t="shared" ref="AQ7:AQ36" si="12">AB7*$D$39</f>
        <v>35.85</v>
      </c>
      <c r="AR7" s="20">
        <f t="shared" ref="AR7:AR36" si="13">AC7*$D$39</f>
        <v>80.850000000000009</v>
      </c>
      <c r="AS7" s="35">
        <f>SUM(AF7:AR7)</f>
        <v>334.1</v>
      </c>
      <c r="AT7" s="51"/>
      <c r="AV7" s="55">
        <v>0</v>
      </c>
      <c r="AW7" s="54">
        <f t="shared" ref="AW7:AW39" si="14">(AV8-AV7)*1000</f>
        <v>0</v>
      </c>
      <c r="AX7" s="56">
        <f>AW7*$AX$44</f>
        <v>0</v>
      </c>
      <c r="AY7" s="75">
        <v>769867</v>
      </c>
      <c r="AZ7" s="37">
        <f>(IF((AY7-AY6&lt;0),"0",AY7-AY6))*100</f>
        <v>131500</v>
      </c>
      <c r="BA7" s="37">
        <f>AZ7*$AZ$44*60%</f>
        <v>358.995</v>
      </c>
      <c r="BB7" s="49">
        <f>BA7*0.4444</f>
        <v>159.53737800000002</v>
      </c>
    </row>
    <row r="8" spans="1:54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5">IF((D8-D7&lt;0), "0",D8-D7)</f>
        <v>9420</v>
      </c>
      <c r="S8" s="37">
        <f t="shared" ref="S8:S35" si="16">IF((E8-E7&lt;0), "0",E8-E7)</f>
        <v>0</v>
      </c>
      <c r="T8" s="37">
        <f t="shared" si="15"/>
        <v>1410</v>
      </c>
      <c r="U8" s="37">
        <f t="shared" si="15"/>
        <v>6770</v>
      </c>
      <c r="V8" s="37">
        <f t="shared" si="15"/>
        <v>4710</v>
      </c>
      <c r="W8" s="37">
        <f t="shared" si="15"/>
        <v>4090</v>
      </c>
      <c r="X8" s="37">
        <f t="shared" si="15"/>
        <v>4610</v>
      </c>
      <c r="Y8" s="37">
        <f t="shared" si="15"/>
        <v>5300</v>
      </c>
      <c r="Z8" s="37">
        <f t="shared" si="15"/>
        <v>2720</v>
      </c>
      <c r="AA8" s="37">
        <f t="shared" si="15"/>
        <v>3500</v>
      </c>
      <c r="AB8" s="37">
        <f t="shared" si="15"/>
        <v>6910</v>
      </c>
      <c r="AC8" s="37">
        <f t="shared" si="15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T8" s="51"/>
      <c r="AV8" s="55">
        <v>0</v>
      </c>
      <c r="AW8" s="54">
        <f t="shared" si="14"/>
        <v>0</v>
      </c>
      <c r="AX8" s="56">
        <f t="shared" ref="AX8:AX39" si="17">AW8*$AX$44</f>
        <v>0</v>
      </c>
      <c r="AY8" s="75">
        <v>771535</v>
      </c>
      <c r="AZ8" s="37">
        <f t="shared" ref="AZ8:AZ38" si="18">(IF((AY8-AY7&lt;0),"0",AY8-AY7))*100</f>
        <v>166800</v>
      </c>
      <c r="BA8" s="37">
        <f t="shared" ref="BA8:BA39" si="19">AZ8*$AZ$44*60%</f>
        <v>455.36400000000003</v>
      </c>
      <c r="BB8" s="49">
        <f t="shared" ref="BB8:BB38" si="20">BA8*0.4444</f>
        <v>202.36376160000003</v>
      </c>
    </row>
    <row r="9" spans="1:54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0" si="21">IF((C9-C8&lt;0), "0",C9-C8)</f>
        <v>540</v>
      </c>
      <c r="R9" s="37">
        <f t="shared" ref="R9:R37" si="22">IF((D9-D8&lt;0), "0",D9-D8)</f>
        <v>9630</v>
      </c>
      <c r="S9" s="37">
        <f t="shared" si="16"/>
        <v>0</v>
      </c>
      <c r="T9" s="37">
        <f t="shared" ref="T9:T35" si="23">IF((F9-F8&lt;0), "0",F9-F8)</f>
        <v>1450</v>
      </c>
      <c r="U9" s="37">
        <f t="shared" ref="U9:U35" si="24">IF((G9-G8&lt;0), "0",G9-G8)</f>
        <v>6480</v>
      </c>
      <c r="V9" s="37">
        <f t="shared" ref="V9:V35" si="25">IF((H9-H8&lt;0), "0",H9-H8)</f>
        <v>4430</v>
      </c>
      <c r="W9" s="37">
        <f t="shared" ref="W9:W35" si="26">IF((I9-I8&lt;0), "0",I9-I8)</f>
        <v>2370</v>
      </c>
      <c r="X9" s="37">
        <f t="shared" ref="X9:X37" si="27">IF((J9-J8&lt;0), "0",J9-J8)</f>
        <v>4750</v>
      </c>
      <c r="Y9" s="37">
        <f t="shared" ref="Y9:Y35" si="28">IF((K9-K8&lt;0), "0",K9-K8)</f>
        <v>5410</v>
      </c>
      <c r="Z9" s="37">
        <f t="shared" ref="Z9:Z35" si="29">IF((L9-L8&lt;0), "0",L9-L8)</f>
        <v>2780</v>
      </c>
      <c r="AA9" s="37">
        <f t="shared" ref="AA9:AA35" si="30">IF((M9-M8&lt;0), "0",M9-M8)</f>
        <v>3340</v>
      </c>
      <c r="AB9" s="37">
        <f t="shared" ref="AB9:AB37" si="31">IF((N9-N8&lt;0), "0",N9-N8)</f>
        <v>6890</v>
      </c>
      <c r="AC9" s="37">
        <f t="shared" ref="AC9:AC37" si="32">IF((O9-O8&lt;0), "0",O9-O8)</f>
        <v>16370</v>
      </c>
      <c r="AD9" s="35">
        <f t="shared" ref="AD9:AD37" si="33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34">SUM(AF9:AR9)</f>
        <v>322.20000000000005</v>
      </c>
      <c r="AT9" s="51"/>
      <c r="AV9" s="55">
        <v>0</v>
      </c>
      <c r="AW9" s="54">
        <f t="shared" si="14"/>
        <v>0</v>
      </c>
      <c r="AX9" s="56">
        <f t="shared" si="17"/>
        <v>0</v>
      </c>
      <c r="AY9" s="75">
        <v>773172</v>
      </c>
      <c r="AZ9" s="37">
        <f t="shared" si="18"/>
        <v>163700</v>
      </c>
      <c r="BA9" s="37">
        <f t="shared" si="19"/>
        <v>446.90100000000001</v>
      </c>
      <c r="BB9" s="49">
        <f t="shared" si="20"/>
        <v>198.60280440000002</v>
      </c>
    </row>
    <row r="10" spans="1:54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21"/>
        <v>520</v>
      </c>
      <c r="R10" s="37">
        <f t="shared" si="22"/>
        <v>9300</v>
      </c>
      <c r="S10" s="37">
        <f t="shared" si="16"/>
        <v>0</v>
      </c>
      <c r="T10" s="37">
        <f t="shared" si="23"/>
        <v>1420</v>
      </c>
      <c r="U10" s="37">
        <f t="shared" si="24"/>
        <v>6420</v>
      </c>
      <c r="V10" s="37">
        <f t="shared" si="25"/>
        <v>4520</v>
      </c>
      <c r="W10" s="37">
        <f t="shared" si="26"/>
        <v>3080</v>
      </c>
      <c r="X10" s="37">
        <f t="shared" si="27"/>
        <v>4630</v>
      </c>
      <c r="Y10" s="37">
        <f t="shared" si="28"/>
        <v>5620</v>
      </c>
      <c r="Z10" s="37">
        <f t="shared" si="29"/>
        <v>2720</v>
      </c>
      <c r="AA10" s="37">
        <f t="shared" si="30"/>
        <v>3520</v>
      </c>
      <c r="AB10" s="37">
        <f t="shared" si="31"/>
        <v>6880</v>
      </c>
      <c r="AC10" s="37">
        <f t="shared" si="32"/>
        <v>16140</v>
      </c>
      <c r="AD10" s="35">
        <f t="shared" si="33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34"/>
        <v>323.85000000000002</v>
      </c>
      <c r="AT10" s="51"/>
      <c r="AV10" s="55">
        <v>0</v>
      </c>
      <c r="AW10" s="54">
        <f t="shared" si="14"/>
        <v>0</v>
      </c>
      <c r="AX10" s="56">
        <f t="shared" si="17"/>
        <v>0</v>
      </c>
      <c r="AY10" s="75">
        <v>774659</v>
      </c>
      <c r="AZ10" s="37">
        <f t="shared" si="18"/>
        <v>148700</v>
      </c>
      <c r="BA10" s="37">
        <f t="shared" si="19"/>
        <v>405.95100000000002</v>
      </c>
      <c r="BB10" s="49">
        <f t="shared" si="20"/>
        <v>180.40462440000002</v>
      </c>
    </row>
    <row r="11" spans="1:54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21"/>
        <v>540</v>
      </c>
      <c r="R11" s="37">
        <f t="shared" si="22"/>
        <v>9990</v>
      </c>
      <c r="S11" s="37">
        <f t="shared" si="16"/>
        <v>0</v>
      </c>
      <c r="T11" s="37">
        <f t="shared" si="23"/>
        <v>1400</v>
      </c>
      <c r="U11" s="37">
        <f t="shared" si="24"/>
        <v>6880</v>
      </c>
      <c r="V11" s="37">
        <f t="shared" si="25"/>
        <v>4700</v>
      </c>
      <c r="W11" s="37">
        <f t="shared" si="26"/>
        <v>3180</v>
      </c>
      <c r="X11" s="37">
        <f t="shared" si="27"/>
        <v>4760</v>
      </c>
      <c r="Y11" s="37">
        <f t="shared" si="28"/>
        <v>5750</v>
      </c>
      <c r="Z11" s="37">
        <f t="shared" si="29"/>
        <v>2940</v>
      </c>
      <c r="AA11" s="37">
        <f t="shared" si="30"/>
        <v>3640</v>
      </c>
      <c r="AB11" s="37">
        <f t="shared" si="31"/>
        <v>6870</v>
      </c>
      <c r="AC11" s="37">
        <f t="shared" si="32"/>
        <v>16270</v>
      </c>
      <c r="AD11" s="35">
        <f t="shared" si="33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34"/>
        <v>334.6</v>
      </c>
      <c r="AT11" s="51"/>
      <c r="AV11" s="55">
        <v>0</v>
      </c>
      <c r="AW11" s="54">
        <f t="shared" si="14"/>
        <v>0</v>
      </c>
      <c r="AX11" s="56">
        <f t="shared" si="17"/>
        <v>0</v>
      </c>
      <c r="AY11" s="75">
        <v>776671</v>
      </c>
      <c r="AZ11" s="37">
        <f t="shared" si="18"/>
        <v>201200</v>
      </c>
      <c r="BA11" s="37">
        <f t="shared" si="19"/>
        <v>549.27599999999995</v>
      </c>
      <c r="BB11" s="49">
        <f t="shared" si="20"/>
        <v>244.0982544</v>
      </c>
    </row>
    <row r="12" spans="1:54" x14ac:dyDescent="0.25">
      <c r="A12" s="23">
        <v>43867</v>
      </c>
      <c r="B12" s="40">
        <v>289</v>
      </c>
      <c r="C12" s="73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21"/>
        <v>520</v>
      </c>
      <c r="R12" s="37">
        <f t="shared" si="22"/>
        <v>11050</v>
      </c>
      <c r="S12" s="37">
        <f t="shared" si="16"/>
        <v>0</v>
      </c>
      <c r="T12" s="37">
        <f t="shared" ref="T12:W14" si="35">IF((F12-F11&lt;0), "0",F12-F11)</f>
        <v>1400</v>
      </c>
      <c r="U12" s="37">
        <f t="shared" si="35"/>
        <v>7330</v>
      </c>
      <c r="V12" s="37">
        <f t="shared" si="35"/>
        <v>4770</v>
      </c>
      <c r="W12" s="37">
        <f t="shared" si="35"/>
        <v>3570</v>
      </c>
      <c r="X12" s="37">
        <f t="shared" si="27"/>
        <v>4720</v>
      </c>
      <c r="Y12" s="37">
        <f t="shared" si="28"/>
        <v>5880</v>
      </c>
      <c r="Z12" s="37">
        <f>IF((L12-L11&lt;0), "0",L12-L11)</f>
        <v>3020</v>
      </c>
      <c r="AA12" s="37">
        <f t="shared" si="30"/>
        <v>3970</v>
      </c>
      <c r="AB12" s="37">
        <f t="shared" si="31"/>
        <v>6800</v>
      </c>
      <c r="AC12" s="37">
        <f t="shared" si="32"/>
        <v>16000</v>
      </c>
      <c r="AD12" s="35">
        <f t="shared" si="33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34"/>
        <v>345.15</v>
      </c>
      <c r="AT12" s="51"/>
      <c r="AV12" s="55">
        <v>0</v>
      </c>
      <c r="AW12" s="54">
        <f t="shared" si="14"/>
        <v>0</v>
      </c>
      <c r="AX12" s="56">
        <f t="shared" si="17"/>
        <v>0</v>
      </c>
      <c r="AY12" s="75">
        <v>779181</v>
      </c>
      <c r="AZ12" s="37">
        <f t="shared" si="18"/>
        <v>251000</v>
      </c>
      <c r="BA12" s="37">
        <f t="shared" si="19"/>
        <v>685.2299999999999</v>
      </c>
      <c r="BB12" s="49">
        <f t="shared" si="20"/>
        <v>304.516212</v>
      </c>
    </row>
    <row r="13" spans="1:54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21"/>
        <v>530</v>
      </c>
      <c r="R13" s="37">
        <f t="shared" si="22"/>
        <v>11730</v>
      </c>
      <c r="S13" s="37">
        <f t="shared" si="16"/>
        <v>0</v>
      </c>
      <c r="T13" s="37">
        <f t="shared" si="35"/>
        <v>1420</v>
      </c>
      <c r="U13" s="37">
        <f t="shared" si="35"/>
        <v>7160</v>
      </c>
      <c r="V13" s="37">
        <f t="shared" si="35"/>
        <v>4820</v>
      </c>
      <c r="W13" s="37">
        <f t="shared" si="35"/>
        <v>3620</v>
      </c>
      <c r="X13" s="37">
        <f t="shared" si="27"/>
        <v>4670</v>
      </c>
      <c r="Y13" s="37">
        <f t="shared" si="28"/>
        <v>6020</v>
      </c>
      <c r="Z13" s="37">
        <f>IF((L13-L12&lt;0), "0",L13-L12)</f>
        <v>3140</v>
      </c>
      <c r="AA13" s="37">
        <f t="shared" si="30"/>
        <v>3920</v>
      </c>
      <c r="AB13" s="37">
        <f t="shared" si="31"/>
        <v>6920</v>
      </c>
      <c r="AC13" s="37">
        <f t="shared" si="32"/>
        <v>15700</v>
      </c>
      <c r="AD13" s="35">
        <f t="shared" si="33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34"/>
        <v>348.24999999999994</v>
      </c>
      <c r="AT13" s="51"/>
      <c r="AV13" s="55">
        <v>0</v>
      </c>
      <c r="AW13" s="54">
        <f t="shared" si="14"/>
        <v>0</v>
      </c>
      <c r="AX13" s="56">
        <f t="shared" si="17"/>
        <v>0</v>
      </c>
      <c r="AY13" s="75">
        <v>780887</v>
      </c>
      <c r="AZ13" s="37">
        <f t="shared" si="18"/>
        <v>170600</v>
      </c>
      <c r="BA13" s="37">
        <f t="shared" si="19"/>
        <v>465.738</v>
      </c>
      <c r="BB13" s="49">
        <f t="shared" si="20"/>
        <v>206.9739672</v>
      </c>
    </row>
    <row r="14" spans="1:54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P14" s="47"/>
      <c r="Q14" s="37">
        <f t="shared" si="21"/>
        <v>510</v>
      </c>
      <c r="R14" s="37">
        <f t="shared" si="22"/>
        <v>11130</v>
      </c>
      <c r="S14" s="37">
        <f t="shared" si="16"/>
        <v>0</v>
      </c>
      <c r="T14" s="37">
        <f t="shared" si="35"/>
        <v>1410</v>
      </c>
      <c r="U14" s="37">
        <f t="shared" si="35"/>
        <v>6860</v>
      </c>
      <c r="V14" s="37">
        <f t="shared" si="35"/>
        <v>4710</v>
      </c>
      <c r="W14" s="37">
        <f t="shared" si="35"/>
        <v>3350</v>
      </c>
      <c r="X14" s="37">
        <f t="shared" si="27"/>
        <v>4550</v>
      </c>
      <c r="Y14" s="37">
        <f t="shared" si="28"/>
        <v>5760</v>
      </c>
      <c r="Z14" s="37">
        <f>IF((L14-L13&lt;0), "0",L14-L13)</f>
        <v>2960</v>
      </c>
      <c r="AA14" s="37">
        <f t="shared" si="30"/>
        <v>4280</v>
      </c>
      <c r="AB14" s="37">
        <f t="shared" si="31"/>
        <v>6550</v>
      </c>
      <c r="AC14" s="37">
        <f t="shared" si="32"/>
        <v>15010</v>
      </c>
      <c r="AD14" s="35">
        <f t="shared" si="33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34"/>
        <v>335.40000000000003</v>
      </c>
      <c r="AT14" s="51"/>
      <c r="AV14" s="55">
        <v>0</v>
      </c>
      <c r="AW14" s="54">
        <f t="shared" si="14"/>
        <v>0</v>
      </c>
      <c r="AX14" s="56">
        <f t="shared" si="17"/>
        <v>0</v>
      </c>
      <c r="AY14" s="75">
        <v>782695</v>
      </c>
      <c r="AZ14" s="37">
        <f t="shared" si="18"/>
        <v>180800</v>
      </c>
      <c r="BA14" s="37">
        <f t="shared" si="19"/>
        <v>493.58399999999995</v>
      </c>
      <c r="BB14" s="49">
        <f t="shared" si="20"/>
        <v>219.34872959999998</v>
      </c>
    </row>
    <row r="15" spans="1:54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21"/>
        <v>530</v>
      </c>
      <c r="R15" s="37">
        <f t="shared" si="22"/>
        <v>10070</v>
      </c>
      <c r="S15" s="37">
        <f t="shared" si="16"/>
        <v>0</v>
      </c>
      <c r="T15" s="37">
        <f t="shared" si="23"/>
        <v>1360</v>
      </c>
      <c r="U15" s="37">
        <f t="shared" si="24"/>
        <v>6790</v>
      </c>
      <c r="V15" s="37">
        <f t="shared" si="25"/>
        <v>4050</v>
      </c>
      <c r="W15" s="37">
        <f t="shared" si="26"/>
        <v>3490</v>
      </c>
      <c r="X15" s="37">
        <f t="shared" si="27"/>
        <v>4460</v>
      </c>
      <c r="Y15" s="37">
        <f t="shared" si="28"/>
        <v>5420</v>
      </c>
      <c r="Z15" s="37">
        <f t="shared" si="29"/>
        <v>2980</v>
      </c>
      <c r="AA15" s="37">
        <f t="shared" si="30"/>
        <v>3080</v>
      </c>
      <c r="AB15" s="37">
        <f t="shared" si="31"/>
        <v>6820</v>
      </c>
      <c r="AC15" s="37">
        <f t="shared" si="32"/>
        <v>15240</v>
      </c>
      <c r="AD15" s="35">
        <f t="shared" si="33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34"/>
        <v>321.45</v>
      </c>
      <c r="AT15" s="51"/>
      <c r="AV15" s="55">
        <v>0</v>
      </c>
      <c r="AW15" s="54">
        <f t="shared" si="14"/>
        <v>0</v>
      </c>
      <c r="AX15" s="56">
        <f t="shared" si="17"/>
        <v>0</v>
      </c>
      <c r="AY15" s="75">
        <v>784509</v>
      </c>
      <c r="AZ15" s="37">
        <f t="shared" si="18"/>
        <v>181400</v>
      </c>
      <c r="BA15" s="37">
        <f t="shared" si="19"/>
        <v>495.22199999999998</v>
      </c>
      <c r="BB15" s="49">
        <f t="shared" si="20"/>
        <v>220.07665679999999</v>
      </c>
    </row>
    <row r="16" spans="1:54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21"/>
        <v>540</v>
      </c>
      <c r="R16" s="37">
        <f t="shared" si="22"/>
        <v>9040</v>
      </c>
      <c r="S16" s="37">
        <f t="shared" si="16"/>
        <v>0</v>
      </c>
      <c r="T16" s="37">
        <f t="shared" si="23"/>
        <v>1380</v>
      </c>
      <c r="U16" s="37">
        <f>IF((G16-G15&lt;0), "0",G16-G15)</f>
        <v>6380</v>
      </c>
      <c r="V16" s="37">
        <f>IF((H16-H15&lt;0), "0",H16-H15)</f>
        <v>5740</v>
      </c>
      <c r="W16" s="37">
        <f t="shared" si="26"/>
        <v>2800</v>
      </c>
      <c r="X16" s="37">
        <f t="shared" si="27"/>
        <v>4820</v>
      </c>
      <c r="Y16" s="37">
        <f t="shared" si="28"/>
        <v>5400</v>
      </c>
      <c r="Z16" s="37">
        <f t="shared" si="29"/>
        <v>2900</v>
      </c>
      <c r="AA16" s="37">
        <f t="shared" si="30"/>
        <v>3460</v>
      </c>
      <c r="AB16" s="37">
        <f t="shared" si="31"/>
        <v>6650</v>
      </c>
      <c r="AC16" s="37">
        <f t="shared" si="32"/>
        <v>15820</v>
      </c>
      <c r="AD16" s="35">
        <f t="shared" si="33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34"/>
        <v>324.65000000000003</v>
      </c>
      <c r="AT16" s="51"/>
      <c r="AV16" s="55">
        <v>0</v>
      </c>
      <c r="AW16" s="54">
        <f t="shared" si="14"/>
        <v>0</v>
      </c>
      <c r="AX16" s="56">
        <f t="shared" si="17"/>
        <v>0</v>
      </c>
      <c r="AY16" s="75">
        <v>786414</v>
      </c>
      <c r="AZ16" s="37">
        <f t="shared" si="18"/>
        <v>190500</v>
      </c>
      <c r="BA16" s="37">
        <f t="shared" si="19"/>
        <v>520.06500000000005</v>
      </c>
      <c r="BB16" s="49">
        <f t="shared" si="20"/>
        <v>231.11688600000002</v>
      </c>
    </row>
    <row r="17" spans="1:54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21"/>
        <v>520</v>
      </c>
      <c r="R17" s="37">
        <f t="shared" si="22"/>
        <v>7680</v>
      </c>
      <c r="S17" s="37">
        <f t="shared" si="16"/>
        <v>0</v>
      </c>
      <c r="T17" s="37">
        <f t="shared" si="23"/>
        <v>1350</v>
      </c>
      <c r="U17" s="37">
        <f>IF((G17-G16&lt;0), "0",G17-G16)</f>
        <v>6510</v>
      </c>
      <c r="V17" s="37">
        <f>IF((H17-H16&lt;0), "0",H17-H16)</f>
        <v>4860</v>
      </c>
      <c r="W17" s="37">
        <f t="shared" si="26"/>
        <v>3000</v>
      </c>
      <c r="X17" s="37">
        <f t="shared" si="27"/>
        <v>4880</v>
      </c>
      <c r="Y17" s="37">
        <f t="shared" si="28"/>
        <v>5370</v>
      </c>
      <c r="Z17" s="37">
        <f t="shared" si="29"/>
        <v>3000</v>
      </c>
      <c r="AA17" s="37">
        <f t="shared" si="30"/>
        <v>3720</v>
      </c>
      <c r="AB17" s="37">
        <f t="shared" si="31"/>
        <v>6950</v>
      </c>
      <c r="AC17" s="37">
        <f t="shared" si="32"/>
        <v>15890</v>
      </c>
      <c r="AD17" s="35">
        <f t="shared" si="33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34"/>
        <v>318.64999999999998</v>
      </c>
      <c r="AT17" s="51"/>
      <c r="AV17" s="55">
        <v>0</v>
      </c>
      <c r="AW17" s="54">
        <f t="shared" si="14"/>
        <v>0</v>
      </c>
      <c r="AX17" s="56">
        <f t="shared" si="17"/>
        <v>0</v>
      </c>
      <c r="AY17" s="75">
        <v>788424</v>
      </c>
      <c r="AZ17" s="37">
        <f t="shared" si="18"/>
        <v>201000</v>
      </c>
      <c r="BA17" s="37">
        <f t="shared" si="19"/>
        <v>548.73</v>
      </c>
      <c r="BB17" s="49">
        <f t="shared" si="20"/>
        <v>243.85561200000001</v>
      </c>
    </row>
    <row r="18" spans="1:54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21"/>
        <v>560</v>
      </c>
      <c r="R18" s="37">
        <f t="shared" si="22"/>
        <v>3800</v>
      </c>
      <c r="S18" s="37">
        <f t="shared" si="16"/>
        <v>1220</v>
      </c>
      <c r="T18" s="37">
        <f t="shared" si="23"/>
        <v>1410</v>
      </c>
      <c r="U18" s="37">
        <f t="shared" si="24"/>
        <v>6980</v>
      </c>
      <c r="V18" s="37">
        <f t="shared" si="25"/>
        <v>5120</v>
      </c>
      <c r="W18" s="37">
        <f t="shared" si="26"/>
        <v>3220</v>
      </c>
      <c r="X18" s="37">
        <f t="shared" si="27"/>
        <v>5010</v>
      </c>
      <c r="Y18" s="37">
        <f t="shared" si="28"/>
        <v>5850</v>
      </c>
      <c r="Z18" s="37">
        <f t="shared" si="29"/>
        <v>3300</v>
      </c>
      <c r="AA18" s="37">
        <f t="shared" si="30"/>
        <v>3930</v>
      </c>
      <c r="AB18" s="37">
        <f t="shared" si="31"/>
        <v>7620</v>
      </c>
      <c r="AC18" s="37">
        <f t="shared" si="32"/>
        <v>17160</v>
      </c>
      <c r="AD18" s="35">
        <f t="shared" si="33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34"/>
        <v>325.89999999999998</v>
      </c>
      <c r="AT18" s="51"/>
      <c r="AV18" s="55">
        <v>0</v>
      </c>
      <c r="AW18" s="54">
        <f t="shared" si="14"/>
        <v>0</v>
      </c>
      <c r="AX18" s="56">
        <f t="shared" si="17"/>
        <v>0</v>
      </c>
      <c r="AY18" s="75">
        <v>790419</v>
      </c>
      <c r="AZ18" s="37">
        <f t="shared" si="18"/>
        <v>199500</v>
      </c>
      <c r="BA18" s="37">
        <f t="shared" si="19"/>
        <v>544.63499999999999</v>
      </c>
      <c r="BB18" s="49">
        <f t="shared" si="20"/>
        <v>242.03579400000001</v>
      </c>
    </row>
    <row r="19" spans="1:54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4093100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21"/>
        <v>590</v>
      </c>
      <c r="R19" s="37">
        <f t="shared" si="22"/>
        <v>1980</v>
      </c>
      <c r="S19" s="37">
        <f t="shared" si="16"/>
        <v>2240</v>
      </c>
      <c r="T19" s="37">
        <f t="shared" si="23"/>
        <v>1450</v>
      </c>
      <c r="U19" s="37">
        <f t="shared" si="24"/>
        <v>7700</v>
      </c>
      <c r="V19" s="37">
        <f t="shared" si="25"/>
        <v>5300</v>
      </c>
      <c r="W19" s="37">
        <f t="shared" si="26"/>
        <v>3730</v>
      </c>
      <c r="X19" s="37">
        <f t="shared" si="27"/>
        <v>4970</v>
      </c>
      <c r="Y19" s="37">
        <f t="shared" si="28"/>
        <v>6380</v>
      </c>
      <c r="Z19" s="37">
        <f t="shared" si="29"/>
        <v>3300</v>
      </c>
      <c r="AA19" s="37">
        <f t="shared" si="30"/>
        <v>4160</v>
      </c>
      <c r="AB19" s="37">
        <f t="shared" si="31"/>
        <v>7940</v>
      </c>
      <c r="AC19" s="37">
        <f t="shared" si="32"/>
        <v>17660</v>
      </c>
      <c r="AD19" s="35">
        <f t="shared" si="33"/>
        <v>67400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26.5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34"/>
        <v>337.00000000000006</v>
      </c>
      <c r="AT19" s="51"/>
      <c r="AV19" s="55">
        <v>0</v>
      </c>
      <c r="AW19" s="54">
        <f t="shared" si="14"/>
        <v>0</v>
      </c>
      <c r="AX19" s="56">
        <f t="shared" si="17"/>
        <v>0</v>
      </c>
      <c r="AY19" s="75">
        <v>792417</v>
      </c>
      <c r="AZ19" s="37">
        <f t="shared" si="18"/>
        <v>199800</v>
      </c>
      <c r="BA19" s="37">
        <f t="shared" si="19"/>
        <v>545.45399999999995</v>
      </c>
      <c r="BB19" s="49">
        <f t="shared" si="20"/>
        <v>242.39975759999999</v>
      </c>
    </row>
    <row r="20" spans="1:54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4097850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21"/>
        <v>520</v>
      </c>
      <c r="R20" s="37">
        <f t="shared" si="22"/>
        <v>1770</v>
      </c>
      <c r="S20" s="37">
        <f t="shared" si="16"/>
        <v>2480</v>
      </c>
      <c r="T20" s="37">
        <f t="shared" si="23"/>
        <v>1310</v>
      </c>
      <c r="U20" s="37">
        <f t="shared" si="24"/>
        <v>7060</v>
      </c>
      <c r="V20" s="37">
        <f t="shared" si="25"/>
        <v>4750</v>
      </c>
      <c r="W20" s="37">
        <f t="shared" si="26"/>
        <v>3410</v>
      </c>
      <c r="X20" s="37">
        <f t="shared" si="27"/>
        <v>4406</v>
      </c>
      <c r="Y20" s="37">
        <f t="shared" si="28"/>
        <v>5850</v>
      </c>
      <c r="Z20" s="37">
        <f t="shared" si="29"/>
        <v>2910</v>
      </c>
      <c r="AA20" s="37">
        <f t="shared" si="30"/>
        <v>3860</v>
      </c>
      <c r="AB20" s="37">
        <f t="shared" si="31"/>
        <v>6990</v>
      </c>
      <c r="AC20" s="37">
        <f t="shared" si="32"/>
        <v>15100</v>
      </c>
      <c r="AD20" s="35">
        <f t="shared" si="33"/>
        <v>60416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23.75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34"/>
        <v>302.08000000000004</v>
      </c>
      <c r="AT20" s="51"/>
      <c r="AV20" s="55">
        <v>0</v>
      </c>
      <c r="AW20" s="54">
        <f t="shared" si="14"/>
        <v>0</v>
      </c>
      <c r="AX20" s="56">
        <f t="shared" si="17"/>
        <v>0</v>
      </c>
      <c r="AY20" s="75">
        <v>794317</v>
      </c>
      <c r="AZ20" s="37">
        <f t="shared" si="18"/>
        <v>190000</v>
      </c>
      <c r="BA20" s="37">
        <f t="shared" si="19"/>
        <v>518.69999999999993</v>
      </c>
      <c r="BB20" s="49">
        <f t="shared" si="20"/>
        <v>230.51027999999997</v>
      </c>
    </row>
    <row r="21" spans="1:54" x14ac:dyDescent="0.25">
      <c r="A21" s="23">
        <v>43876</v>
      </c>
      <c r="B21" s="40">
        <v>156</v>
      </c>
      <c r="C21" s="24">
        <v>5946990</v>
      </c>
      <c r="D21" s="24">
        <v>12833440</v>
      </c>
      <c r="E21" s="24">
        <v>1479040</v>
      </c>
      <c r="F21" s="24">
        <v>2711250</v>
      </c>
      <c r="G21" s="24">
        <v>8415710</v>
      </c>
      <c r="H21" s="24">
        <v>4102920</v>
      </c>
      <c r="I21" s="24">
        <v>3984320</v>
      </c>
      <c r="J21" s="24">
        <v>4571160</v>
      </c>
      <c r="K21" s="24">
        <v>7243580</v>
      </c>
      <c r="L21" s="24">
        <v>2651240</v>
      </c>
      <c r="M21" s="24">
        <v>6593750</v>
      </c>
      <c r="N21" s="24">
        <v>9180100</v>
      </c>
      <c r="O21" s="24">
        <v>12426050</v>
      </c>
      <c r="Q21" s="37">
        <f t="shared" si="21"/>
        <v>560</v>
      </c>
      <c r="R21" s="37">
        <f t="shared" si="22"/>
        <v>1890</v>
      </c>
      <c r="S21" s="37">
        <f t="shared" si="16"/>
        <v>2790</v>
      </c>
      <c r="T21" s="37">
        <f t="shared" si="23"/>
        <v>1410</v>
      </c>
      <c r="U21" s="37">
        <f t="shared" si="24"/>
        <v>7740</v>
      </c>
      <c r="V21" s="37">
        <f t="shared" si="25"/>
        <v>5070</v>
      </c>
      <c r="W21" s="37">
        <f t="shared" si="26"/>
        <v>3690</v>
      </c>
      <c r="X21" s="37">
        <f t="shared" si="27"/>
        <v>4704</v>
      </c>
      <c r="Y21" s="37">
        <f t="shared" si="28"/>
        <v>6180</v>
      </c>
      <c r="Z21" s="37">
        <f t="shared" si="29"/>
        <v>2100</v>
      </c>
      <c r="AA21" s="37">
        <f t="shared" si="30"/>
        <v>3740</v>
      </c>
      <c r="AB21" s="37">
        <f t="shared" si="31"/>
        <v>7350</v>
      </c>
      <c r="AC21" s="37">
        <f t="shared" si="32"/>
        <v>15290</v>
      </c>
      <c r="AD21" s="35">
        <f t="shared" si="33"/>
        <v>62514</v>
      </c>
      <c r="AF21" s="20">
        <f t="shared" si="1"/>
        <v>2.8000000000000003</v>
      </c>
      <c r="AG21" s="20">
        <f t="shared" si="2"/>
        <v>9.4500000000000011</v>
      </c>
      <c r="AH21" s="20">
        <f t="shared" si="3"/>
        <v>13.950000000000001</v>
      </c>
      <c r="AI21" s="20">
        <f t="shared" si="4"/>
        <v>7.05</v>
      </c>
      <c r="AJ21" s="20">
        <f t="shared" si="5"/>
        <v>38.700000000000003</v>
      </c>
      <c r="AK21" s="20">
        <f t="shared" si="6"/>
        <v>25.35</v>
      </c>
      <c r="AL21" s="20">
        <f t="shared" si="7"/>
        <v>18.45</v>
      </c>
      <c r="AM21" s="20">
        <f t="shared" si="8"/>
        <v>23.52</v>
      </c>
      <c r="AN21" s="20">
        <f t="shared" si="9"/>
        <v>30.900000000000002</v>
      </c>
      <c r="AO21" s="20">
        <f t="shared" si="10"/>
        <v>10.5</v>
      </c>
      <c r="AP21" s="20">
        <f t="shared" si="11"/>
        <v>18.7</v>
      </c>
      <c r="AQ21" s="20">
        <f t="shared" si="12"/>
        <v>36.75</v>
      </c>
      <c r="AR21" s="20">
        <f t="shared" si="13"/>
        <v>76.45</v>
      </c>
      <c r="AS21" s="35">
        <f t="shared" si="34"/>
        <v>312.57</v>
      </c>
      <c r="AT21" s="51"/>
      <c r="AV21" s="55">
        <v>0</v>
      </c>
      <c r="AW21" s="54">
        <f t="shared" si="14"/>
        <v>0</v>
      </c>
      <c r="AX21" s="56">
        <f t="shared" si="17"/>
        <v>0</v>
      </c>
      <c r="AY21" s="75">
        <v>796332</v>
      </c>
      <c r="AZ21" s="37">
        <f t="shared" si="18"/>
        <v>201500</v>
      </c>
      <c r="BA21" s="37">
        <f t="shared" si="19"/>
        <v>550.09500000000003</v>
      </c>
      <c r="BB21" s="49">
        <f t="shared" si="20"/>
        <v>244.46221800000004</v>
      </c>
    </row>
    <row r="22" spans="1:54" x14ac:dyDescent="0.25">
      <c r="A22" s="23">
        <v>43877</v>
      </c>
      <c r="B22" s="40">
        <v>165</v>
      </c>
      <c r="C22" s="24">
        <v>5947530</v>
      </c>
      <c r="D22" s="24">
        <v>12835270</v>
      </c>
      <c r="E22" s="24">
        <v>1481670</v>
      </c>
      <c r="F22" s="24">
        <v>2712610</v>
      </c>
      <c r="G22" s="24">
        <v>8422530</v>
      </c>
      <c r="H22" s="24">
        <v>4107730</v>
      </c>
      <c r="I22" s="24">
        <v>3987600</v>
      </c>
      <c r="J22" s="74">
        <v>4575660</v>
      </c>
      <c r="K22" s="24">
        <v>7249040</v>
      </c>
      <c r="L22" s="24">
        <v>2654940</v>
      </c>
      <c r="M22" s="24">
        <v>6597340</v>
      </c>
      <c r="N22" s="24">
        <v>9187350</v>
      </c>
      <c r="O22" s="74">
        <v>12440670</v>
      </c>
      <c r="Q22" s="37">
        <f t="shared" si="21"/>
        <v>540</v>
      </c>
      <c r="R22" s="37">
        <f t="shared" si="22"/>
        <v>1830</v>
      </c>
      <c r="S22" s="37">
        <f t="shared" si="16"/>
        <v>2630</v>
      </c>
      <c r="T22" s="37">
        <f t="shared" si="23"/>
        <v>1360</v>
      </c>
      <c r="U22" s="37">
        <f t="shared" si="24"/>
        <v>6820</v>
      </c>
      <c r="V22" s="37">
        <f t="shared" si="25"/>
        <v>4810</v>
      </c>
      <c r="W22" s="37">
        <f t="shared" si="26"/>
        <v>3280</v>
      </c>
      <c r="X22" s="37">
        <f t="shared" si="27"/>
        <v>4500</v>
      </c>
      <c r="Y22" s="37">
        <f t="shared" si="28"/>
        <v>5460</v>
      </c>
      <c r="Z22" s="37">
        <f t="shared" si="29"/>
        <v>3700</v>
      </c>
      <c r="AA22" s="37">
        <f t="shared" si="30"/>
        <v>3590</v>
      </c>
      <c r="AB22" s="37">
        <f t="shared" si="31"/>
        <v>7250</v>
      </c>
      <c r="AC22" s="37">
        <f t="shared" si="32"/>
        <v>14620</v>
      </c>
      <c r="AD22" s="35">
        <f t="shared" si="33"/>
        <v>60390</v>
      </c>
      <c r="AF22" s="20">
        <f t="shared" si="1"/>
        <v>2.7</v>
      </c>
      <c r="AG22" s="20">
        <f t="shared" si="2"/>
        <v>9.15</v>
      </c>
      <c r="AH22" s="20">
        <f t="shared" si="3"/>
        <v>13.15</v>
      </c>
      <c r="AI22" s="20">
        <f t="shared" si="4"/>
        <v>6.8</v>
      </c>
      <c r="AJ22" s="20">
        <f t="shared" si="5"/>
        <v>34.1</v>
      </c>
      <c r="AK22" s="20">
        <f t="shared" si="6"/>
        <v>24.05</v>
      </c>
      <c r="AL22" s="20">
        <f t="shared" si="7"/>
        <v>16.399999999999999</v>
      </c>
      <c r="AM22" s="20">
        <f t="shared" si="8"/>
        <v>22.5</v>
      </c>
      <c r="AN22" s="20">
        <f t="shared" si="9"/>
        <v>27.3</v>
      </c>
      <c r="AO22" s="20">
        <f t="shared" si="10"/>
        <v>18.5</v>
      </c>
      <c r="AP22" s="20">
        <f t="shared" si="11"/>
        <v>17.95</v>
      </c>
      <c r="AQ22" s="20">
        <f t="shared" si="12"/>
        <v>36.25</v>
      </c>
      <c r="AR22" s="20">
        <f t="shared" si="13"/>
        <v>73.100000000000009</v>
      </c>
      <c r="AS22" s="35">
        <f t="shared" si="34"/>
        <v>301.95</v>
      </c>
      <c r="AT22" s="51"/>
      <c r="AV22" s="55">
        <v>0</v>
      </c>
      <c r="AW22" s="54">
        <f t="shared" si="14"/>
        <v>0</v>
      </c>
      <c r="AX22" s="56">
        <f t="shared" si="17"/>
        <v>0</v>
      </c>
      <c r="AY22" s="75">
        <v>798525</v>
      </c>
      <c r="AZ22" s="37">
        <f t="shared" si="18"/>
        <v>219300</v>
      </c>
      <c r="BA22" s="37">
        <f t="shared" si="19"/>
        <v>598.68899999999996</v>
      </c>
      <c r="BB22" s="49">
        <f t="shared" si="20"/>
        <v>266.05739160000002</v>
      </c>
    </row>
    <row r="23" spans="1:54" x14ac:dyDescent="0.25">
      <c r="A23" s="23">
        <v>43878</v>
      </c>
      <c r="B23" s="40">
        <v>170</v>
      </c>
      <c r="C23" s="24">
        <v>5948190</v>
      </c>
      <c r="D23" s="24">
        <v>12837160</v>
      </c>
      <c r="E23" s="24">
        <v>1484460</v>
      </c>
      <c r="F23" s="24">
        <v>2714020</v>
      </c>
      <c r="G23" s="24">
        <v>8429320</v>
      </c>
      <c r="H23" s="24">
        <v>4112650</v>
      </c>
      <c r="I23" s="24">
        <v>3991170</v>
      </c>
      <c r="J23" s="24">
        <v>4580200</v>
      </c>
      <c r="K23" s="24">
        <v>7254410</v>
      </c>
      <c r="L23" s="24">
        <v>2657770</v>
      </c>
      <c r="M23" s="24">
        <v>6600700</v>
      </c>
      <c r="N23" s="24">
        <v>9194650</v>
      </c>
      <c r="O23" s="24">
        <v>12455170</v>
      </c>
      <c r="Q23" s="37">
        <f t="shared" si="21"/>
        <v>660</v>
      </c>
      <c r="R23" s="37">
        <f t="shared" si="22"/>
        <v>1890</v>
      </c>
      <c r="S23" s="37">
        <f t="shared" si="16"/>
        <v>2790</v>
      </c>
      <c r="T23" s="37">
        <f t="shared" si="23"/>
        <v>1410</v>
      </c>
      <c r="U23" s="37">
        <f t="shared" si="24"/>
        <v>6790</v>
      </c>
      <c r="V23" s="37">
        <f t="shared" si="25"/>
        <v>4920</v>
      </c>
      <c r="W23" s="37">
        <f t="shared" si="26"/>
        <v>3570</v>
      </c>
      <c r="X23" s="37">
        <f t="shared" si="27"/>
        <v>4540</v>
      </c>
      <c r="Y23" s="37">
        <f t="shared" si="28"/>
        <v>5370</v>
      </c>
      <c r="Z23" s="37">
        <f t="shared" si="29"/>
        <v>2830</v>
      </c>
      <c r="AA23" s="37">
        <f t="shared" si="30"/>
        <v>3360</v>
      </c>
      <c r="AB23" s="37">
        <f t="shared" si="31"/>
        <v>7300</v>
      </c>
      <c r="AC23" s="37">
        <f t="shared" si="32"/>
        <v>14500</v>
      </c>
      <c r="AD23" s="35">
        <f t="shared" si="33"/>
        <v>59930</v>
      </c>
      <c r="AF23" s="20">
        <f t="shared" si="1"/>
        <v>3.3000000000000003</v>
      </c>
      <c r="AG23" s="20">
        <f t="shared" si="2"/>
        <v>9.4500000000000011</v>
      </c>
      <c r="AH23" s="20">
        <f t="shared" si="3"/>
        <v>13.950000000000001</v>
      </c>
      <c r="AI23" s="20">
        <f t="shared" si="4"/>
        <v>7.05</v>
      </c>
      <c r="AJ23" s="20">
        <f t="shared" si="5"/>
        <v>33.950000000000003</v>
      </c>
      <c r="AK23" s="20">
        <f t="shared" si="6"/>
        <v>24.6</v>
      </c>
      <c r="AL23" s="20">
        <f t="shared" si="7"/>
        <v>17.850000000000001</v>
      </c>
      <c r="AM23" s="20">
        <f t="shared" si="8"/>
        <v>22.7</v>
      </c>
      <c r="AN23" s="20">
        <f t="shared" si="9"/>
        <v>26.85</v>
      </c>
      <c r="AO23" s="20">
        <f t="shared" si="10"/>
        <v>14.15</v>
      </c>
      <c r="AP23" s="20">
        <f t="shared" si="11"/>
        <v>16.8</v>
      </c>
      <c r="AQ23" s="20">
        <f t="shared" si="12"/>
        <v>36.5</v>
      </c>
      <c r="AR23" s="20">
        <f t="shared" si="13"/>
        <v>72.5</v>
      </c>
      <c r="AS23" s="35">
        <f t="shared" si="34"/>
        <v>299.64999999999998</v>
      </c>
      <c r="AT23" s="51"/>
      <c r="AV23" s="55">
        <v>0</v>
      </c>
      <c r="AW23" s="54">
        <f t="shared" si="14"/>
        <v>0</v>
      </c>
      <c r="AX23" s="56">
        <f t="shared" si="17"/>
        <v>0</v>
      </c>
      <c r="AY23" s="75">
        <v>800529</v>
      </c>
      <c r="AZ23" s="37">
        <f t="shared" si="18"/>
        <v>200400</v>
      </c>
      <c r="BA23" s="37">
        <f t="shared" si="19"/>
        <v>547.09199999999998</v>
      </c>
      <c r="BB23" s="49">
        <f t="shared" si="20"/>
        <v>243.1276848</v>
      </c>
    </row>
    <row r="24" spans="1:54" x14ac:dyDescent="0.25">
      <c r="A24" s="23">
        <v>43879</v>
      </c>
      <c r="B24" s="40">
        <v>217</v>
      </c>
      <c r="C24" s="24">
        <v>5948670</v>
      </c>
      <c r="D24" s="24">
        <v>12839090</v>
      </c>
      <c r="E24" s="24">
        <v>1487540</v>
      </c>
      <c r="F24" s="24">
        <v>2715480</v>
      </c>
      <c r="G24" s="24">
        <v>8436270</v>
      </c>
      <c r="H24" s="24">
        <v>4117720</v>
      </c>
      <c r="I24" s="24">
        <v>3994420</v>
      </c>
      <c r="J24" s="24">
        <v>4584960</v>
      </c>
      <c r="K24" s="24">
        <v>7260050</v>
      </c>
      <c r="L24" s="24">
        <v>2660690</v>
      </c>
      <c r="M24" s="24">
        <v>6604380</v>
      </c>
      <c r="N24" s="24">
        <v>9201880</v>
      </c>
      <c r="O24" s="24">
        <v>12470310</v>
      </c>
      <c r="Q24" s="37">
        <f t="shared" si="21"/>
        <v>480</v>
      </c>
      <c r="R24" s="37">
        <f t="shared" si="22"/>
        <v>1930</v>
      </c>
      <c r="S24" s="37">
        <f t="shared" si="16"/>
        <v>3080</v>
      </c>
      <c r="T24" s="37">
        <f t="shared" si="23"/>
        <v>1460</v>
      </c>
      <c r="U24" s="37">
        <f t="shared" si="24"/>
        <v>6950</v>
      </c>
      <c r="V24" s="37">
        <f t="shared" si="25"/>
        <v>5070</v>
      </c>
      <c r="W24" s="37">
        <f t="shared" si="26"/>
        <v>3250</v>
      </c>
      <c r="X24" s="37">
        <f t="shared" si="27"/>
        <v>4760</v>
      </c>
      <c r="Y24" s="37">
        <f t="shared" si="28"/>
        <v>5640</v>
      </c>
      <c r="Z24" s="37">
        <f t="shared" si="29"/>
        <v>2920</v>
      </c>
      <c r="AA24" s="37">
        <f t="shared" si="30"/>
        <v>3680</v>
      </c>
      <c r="AB24" s="37">
        <f t="shared" si="31"/>
        <v>7230</v>
      </c>
      <c r="AC24" s="37">
        <f t="shared" si="32"/>
        <v>15140</v>
      </c>
      <c r="AD24" s="35">
        <f t="shared" si="33"/>
        <v>61590</v>
      </c>
      <c r="AF24" s="20">
        <f t="shared" si="1"/>
        <v>2.4</v>
      </c>
      <c r="AG24" s="20">
        <f t="shared" si="2"/>
        <v>9.65</v>
      </c>
      <c r="AH24" s="20">
        <f t="shared" si="3"/>
        <v>15.4</v>
      </c>
      <c r="AI24" s="20">
        <f t="shared" si="4"/>
        <v>7.3</v>
      </c>
      <c r="AJ24" s="20">
        <f t="shared" si="5"/>
        <v>34.75</v>
      </c>
      <c r="AK24" s="20">
        <f t="shared" si="6"/>
        <v>25.35</v>
      </c>
      <c r="AL24" s="20">
        <f t="shared" si="7"/>
        <v>16.25</v>
      </c>
      <c r="AM24" s="20">
        <f t="shared" si="8"/>
        <v>23.8</v>
      </c>
      <c r="AN24" s="20">
        <f t="shared" si="9"/>
        <v>28.2</v>
      </c>
      <c r="AO24" s="20">
        <f t="shared" si="10"/>
        <v>14.6</v>
      </c>
      <c r="AP24" s="20">
        <f t="shared" si="11"/>
        <v>18.400000000000002</v>
      </c>
      <c r="AQ24" s="20">
        <f t="shared" si="12"/>
        <v>36.15</v>
      </c>
      <c r="AR24" s="20">
        <f t="shared" si="13"/>
        <v>75.7</v>
      </c>
      <c r="AS24" s="35">
        <f t="shared" si="34"/>
        <v>307.95</v>
      </c>
      <c r="AT24" s="51"/>
      <c r="AV24" s="55">
        <v>0</v>
      </c>
      <c r="AW24" s="54">
        <f t="shared" si="14"/>
        <v>0</v>
      </c>
      <c r="AX24" s="56">
        <f t="shared" si="17"/>
        <v>0</v>
      </c>
      <c r="AY24" s="75">
        <v>802967</v>
      </c>
      <c r="AZ24" s="37">
        <f t="shared" si="18"/>
        <v>243800</v>
      </c>
      <c r="BA24" s="37">
        <f t="shared" si="19"/>
        <v>665.57399999999996</v>
      </c>
      <c r="BB24" s="49">
        <f t="shared" si="20"/>
        <v>295.78108559999998</v>
      </c>
    </row>
    <row r="25" spans="1:54" x14ac:dyDescent="0.25">
      <c r="A25" s="23">
        <v>43880</v>
      </c>
      <c r="B25" s="40">
        <v>225</v>
      </c>
      <c r="C25" s="24">
        <v>5949210</v>
      </c>
      <c r="D25" s="24">
        <v>12840940</v>
      </c>
      <c r="E25" s="24">
        <v>1490550</v>
      </c>
      <c r="F25" s="24">
        <v>2716890</v>
      </c>
      <c r="G25" s="24">
        <v>8443060</v>
      </c>
      <c r="H25" s="24">
        <v>4122560</v>
      </c>
      <c r="I25" s="24">
        <v>3997430</v>
      </c>
      <c r="J25" s="24">
        <v>4589590</v>
      </c>
      <c r="K25" s="24">
        <v>7265330</v>
      </c>
      <c r="L25" s="24">
        <v>2663610</v>
      </c>
      <c r="M25" s="24">
        <v>6607930</v>
      </c>
      <c r="N25" s="24">
        <v>9208770</v>
      </c>
      <c r="O25" s="24">
        <v>12484730</v>
      </c>
      <c r="Q25" s="37">
        <f t="shared" ref="Q25:AC27" si="36">IF((C25-C24&lt;0), "0",C25-C24)</f>
        <v>540</v>
      </c>
      <c r="R25" s="37">
        <f t="shared" si="22"/>
        <v>1850</v>
      </c>
      <c r="S25" s="37">
        <f t="shared" si="36"/>
        <v>3010</v>
      </c>
      <c r="T25" s="37">
        <f t="shared" si="36"/>
        <v>1410</v>
      </c>
      <c r="U25" s="37">
        <f t="shared" si="36"/>
        <v>6790</v>
      </c>
      <c r="V25" s="37">
        <f t="shared" si="36"/>
        <v>4840</v>
      </c>
      <c r="W25" s="37">
        <f t="shared" si="36"/>
        <v>3010</v>
      </c>
      <c r="X25" s="37">
        <f t="shared" si="36"/>
        <v>4630</v>
      </c>
      <c r="Y25" s="37">
        <f t="shared" si="36"/>
        <v>5280</v>
      </c>
      <c r="Z25" s="37">
        <f t="shared" si="36"/>
        <v>2920</v>
      </c>
      <c r="AA25" s="37">
        <f t="shared" si="36"/>
        <v>3550</v>
      </c>
      <c r="AB25" s="37">
        <f t="shared" si="36"/>
        <v>6890</v>
      </c>
      <c r="AC25" s="37">
        <f t="shared" si="36"/>
        <v>14420</v>
      </c>
      <c r="AD25" s="35">
        <f t="shared" si="33"/>
        <v>59140</v>
      </c>
      <c r="AF25" s="20">
        <f t="shared" si="1"/>
        <v>2.7</v>
      </c>
      <c r="AG25" s="20">
        <f t="shared" si="2"/>
        <v>9.25</v>
      </c>
      <c r="AH25" s="20">
        <f t="shared" si="3"/>
        <v>15.05</v>
      </c>
      <c r="AI25" s="20">
        <f t="shared" si="4"/>
        <v>7.05</v>
      </c>
      <c r="AJ25" s="20">
        <f t="shared" si="5"/>
        <v>33.950000000000003</v>
      </c>
      <c r="AK25" s="20">
        <f t="shared" si="6"/>
        <v>24.2</v>
      </c>
      <c r="AL25" s="20">
        <f t="shared" si="7"/>
        <v>15.05</v>
      </c>
      <c r="AM25" s="20">
        <f t="shared" si="8"/>
        <v>23.150000000000002</v>
      </c>
      <c r="AN25" s="20">
        <f t="shared" si="9"/>
        <v>26.400000000000002</v>
      </c>
      <c r="AO25" s="20">
        <f t="shared" si="10"/>
        <v>14.6</v>
      </c>
      <c r="AP25" s="20">
        <f t="shared" si="11"/>
        <v>17.75</v>
      </c>
      <c r="AQ25" s="20">
        <f t="shared" si="12"/>
        <v>34.450000000000003</v>
      </c>
      <c r="AR25" s="20">
        <f t="shared" si="13"/>
        <v>72.100000000000009</v>
      </c>
      <c r="AS25" s="35">
        <f t="shared" si="34"/>
        <v>295.70000000000005</v>
      </c>
      <c r="AT25" s="51"/>
      <c r="AV25" s="55">
        <v>0</v>
      </c>
      <c r="AW25" s="54">
        <f t="shared" si="14"/>
        <v>0</v>
      </c>
      <c r="AX25" s="56">
        <f t="shared" si="17"/>
        <v>0</v>
      </c>
      <c r="AY25" s="75">
        <v>805237</v>
      </c>
      <c r="AZ25" s="37">
        <f t="shared" si="18"/>
        <v>227000</v>
      </c>
      <c r="BA25" s="37">
        <f t="shared" si="19"/>
        <v>619.71</v>
      </c>
      <c r="BB25" s="49">
        <f t="shared" si="20"/>
        <v>275.39912400000003</v>
      </c>
    </row>
    <row r="26" spans="1:54" x14ac:dyDescent="0.25">
      <c r="A26" s="23">
        <v>43881</v>
      </c>
      <c r="B26" s="40">
        <v>282</v>
      </c>
      <c r="C26" s="24">
        <v>5949770</v>
      </c>
      <c r="D26" s="24">
        <v>12842820</v>
      </c>
      <c r="E26" s="24">
        <v>1493710</v>
      </c>
      <c r="F26" s="24">
        <v>2718320</v>
      </c>
      <c r="G26" s="24">
        <v>8449840</v>
      </c>
      <c r="H26" s="24">
        <v>4127480</v>
      </c>
      <c r="I26" s="24">
        <v>4000780</v>
      </c>
      <c r="J26" s="24">
        <v>4594360</v>
      </c>
      <c r="K26" s="24">
        <v>7270950</v>
      </c>
      <c r="L26" s="24">
        <v>2666510</v>
      </c>
      <c r="M26" s="24">
        <v>6611650</v>
      </c>
      <c r="N26" s="24">
        <v>9216000</v>
      </c>
      <c r="O26" s="24">
        <v>12499520</v>
      </c>
      <c r="Q26" s="37">
        <f t="shared" si="36"/>
        <v>560</v>
      </c>
      <c r="R26" s="37">
        <f t="shared" si="22"/>
        <v>1880</v>
      </c>
      <c r="S26" s="37">
        <f t="shared" si="36"/>
        <v>3160</v>
      </c>
      <c r="T26" s="37">
        <f t="shared" si="36"/>
        <v>1430</v>
      </c>
      <c r="U26" s="37">
        <f t="shared" si="36"/>
        <v>6780</v>
      </c>
      <c r="V26" s="37">
        <f t="shared" si="36"/>
        <v>4920</v>
      </c>
      <c r="W26" s="37">
        <f t="shared" si="36"/>
        <v>3350</v>
      </c>
      <c r="X26" s="37">
        <f t="shared" si="36"/>
        <v>4770</v>
      </c>
      <c r="Y26" s="37">
        <f t="shared" si="36"/>
        <v>5620</v>
      </c>
      <c r="Z26" s="37">
        <f t="shared" si="36"/>
        <v>2900</v>
      </c>
      <c r="AA26" s="37">
        <f t="shared" si="36"/>
        <v>3720</v>
      </c>
      <c r="AB26" s="37">
        <f t="shared" si="36"/>
        <v>7230</v>
      </c>
      <c r="AC26" s="37">
        <f t="shared" si="36"/>
        <v>14790</v>
      </c>
      <c r="AD26" s="35">
        <f t="shared" si="33"/>
        <v>61110</v>
      </c>
      <c r="AF26" s="20">
        <f t="shared" si="1"/>
        <v>2.8000000000000003</v>
      </c>
      <c r="AG26" s="20">
        <f t="shared" si="2"/>
        <v>9.4</v>
      </c>
      <c r="AH26" s="20">
        <f t="shared" si="3"/>
        <v>15.8</v>
      </c>
      <c r="AI26" s="20">
        <f t="shared" si="4"/>
        <v>7.15</v>
      </c>
      <c r="AJ26" s="20">
        <f t="shared" si="5"/>
        <v>33.9</v>
      </c>
      <c r="AK26" s="20">
        <f t="shared" si="6"/>
        <v>24.6</v>
      </c>
      <c r="AL26" s="20">
        <f t="shared" si="7"/>
        <v>16.75</v>
      </c>
      <c r="AM26" s="20">
        <f t="shared" si="8"/>
        <v>23.85</v>
      </c>
      <c r="AN26" s="20">
        <f t="shared" si="9"/>
        <v>28.1</v>
      </c>
      <c r="AO26" s="20">
        <f t="shared" si="10"/>
        <v>14.5</v>
      </c>
      <c r="AP26" s="20">
        <f t="shared" si="11"/>
        <v>18.600000000000001</v>
      </c>
      <c r="AQ26" s="20">
        <f t="shared" si="12"/>
        <v>36.15</v>
      </c>
      <c r="AR26" s="20">
        <f t="shared" si="13"/>
        <v>73.95</v>
      </c>
      <c r="AS26" s="35">
        <f t="shared" si="34"/>
        <v>305.55</v>
      </c>
      <c r="AT26" s="51"/>
      <c r="AV26" s="55">
        <v>0</v>
      </c>
      <c r="AW26" s="54">
        <f t="shared" si="14"/>
        <v>0</v>
      </c>
      <c r="AX26" s="56">
        <f t="shared" si="17"/>
        <v>0</v>
      </c>
      <c r="AY26" s="75">
        <v>807093</v>
      </c>
      <c r="AZ26" s="37">
        <f t="shared" si="18"/>
        <v>185600</v>
      </c>
      <c r="BA26" s="37">
        <f t="shared" si="19"/>
        <v>506.68799999999999</v>
      </c>
      <c r="BB26" s="49">
        <f t="shared" si="20"/>
        <v>225.17214720000001</v>
      </c>
    </row>
    <row r="27" spans="1:54" x14ac:dyDescent="0.25">
      <c r="A27" s="23">
        <v>43882</v>
      </c>
      <c r="B27" s="40">
        <v>280</v>
      </c>
      <c r="C27" s="24">
        <v>5950350</v>
      </c>
      <c r="D27" s="24">
        <v>12844800</v>
      </c>
      <c r="E27" s="24">
        <v>1497190</v>
      </c>
      <c r="F27" s="24">
        <v>2719840</v>
      </c>
      <c r="G27" s="24">
        <v>8457420</v>
      </c>
      <c r="H27" s="24">
        <v>4132740</v>
      </c>
      <c r="I27" s="24">
        <v>4004440</v>
      </c>
      <c r="J27" s="24">
        <v>4599280</v>
      </c>
      <c r="K27" s="24">
        <v>7277040</v>
      </c>
      <c r="L27" s="24">
        <v>2669640</v>
      </c>
      <c r="M27" s="24">
        <v>6615650</v>
      </c>
      <c r="N27" s="24">
        <v>9223790</v>
      </c>
      <c r="O27" s="24">
        <v>12515370</v>
      </c>
      <c r="Q27" s="37">
        <f t="shared" si="36"/>
        <v>580</v>
      </c>
      <c r="R27" s="37">
        <f t="shared" si="22"/>
        <v>1980</v>
      </c>
      <c r="S27" s="37">
        <f t="shared" si="36"/>
        <v>3480</v>
      </c>
      <c r="T27" s="37">
        <f t="shared" si="36"/>
        <v>1520</v>
      </c>
      <c r="U27" s="37">
        <f t="shared" si="36"/>
        <v>7580</v>
      </c>
      <c r="V27" s="37">
        <f t="shared" si="36"/>
        <v>5260</v>
      </c>
      <c r="W27" s="37">
        <f t="shared" si="36"/>
        <v>3660</v>
      </c>
      <c r="X27" s="37">
        <f t="shared" si="36"/>
        <v>4920</v>
      </c>
      <c r="Y27" s="37">
        <f t="shared" si="36"/>
        <v>6090</v>
      </c>
      <c r="Z27" s="37">
        <f t="shared" si="36"/>
        <v>3130</v>
      </c>
      <c r="AA27" s="37">
        <f t="shared" si="36"/>
        <v>4000</v>
      </c>
      <c r="AB27" s="37">
        <f t="shared" si="36"/>
        <v>7790</v>
      </c>
      <c r="AC27" s="37">
        <f t="shared" si="36"/>
        <v>15850</v>
      </c>
      <c r="AD27" s="35">
        <f t="shared" si="33"/>
        <v>65840</v>
      </c>
      <c r="AF27" s="20">
        <f t="shared" si="1"/>
        <v>2.9</v>
      </c>
      <c r="AG27" s="20">
        <f t="shared" si="2"/>
        <v>9.9</v>
      </c>
      <c r="AH27" s="20">
        <f t="shared" si="3"/>
        <v>17.400000000000002</v>
      </c>
      <c r="AI27" s="20">
        <f t="shared" si="4"/>
        <v>7.6000000000000005</v>
      </c>
      <c r="AJ27" s="20">
        <f t="shared" si="5"/>
        <v>37.9</v>
      </c>
      <c r="AK27" s="20">
        <f t="shared" si="6"/>
        <v>26.3</v>
      </c>
      <c r="AL27" s="20">
        <f t="shared" si="7"/>
        <v>18.3</v>
      </c>
      <c r="AM27" s="20">
        <f t="shared" si="8"/>
        <v>24.6</v>
      </c>
      <c r="AN27" s="20">
        <f t="shared" si="9"/>
        <v>30.45</v>
      </c>
      <c r="AO27" s="20">
        <f t="shared" si="10"/>
        <v>15.65</v>
      </c>
      <c r="AP27" s="20">
        <f t="shared" si="11"/>
        <v>20</v>
      </c>
      <c r="AQ27" s="20">
        <f t="shared" si="12"/>
        <v>38.950000000000003</v>
      </c>
      <c r="AR27" s="20">
        <f t="shared" si="13"/>
        <v>79.25</v>
      </c>
      <c r="AS27" s="35">
        <f t="shared" si="34"/>
        <v>329.2</v>
      </c>
      <c r="AT27" s="51"/>
      <c r="AV27" s="55">
        <v>0</v>
      </c>
      <c r="AW27" s="54">
        <f t="shared" si="14"/>
        <v>0</v>
      </c>
      <c r="AX27" s="56">
        <f t="shared" si="17"/>
        <v>0</v>
      </c>
      <c r="AY27" s="75">
        <v>809410</v>
      </c>
      <c r="AZ27" s="37">
        <f t="shared" si="18"/>
        <v>231700</v>
      </c>
      <c r="BA27" s="37">
        <f t="shared" si="19"/>
        <v>632.54100000000005</v>
      </c>
      <c r="BB27" s="49">
        <f t="shared" si="20"/>
        <v>281.10122040000005</v>
      </c>
    </row>
    <row r="28" spans="1:54" x14ac:dyDescent="0.25">
      <c r="A28" s="23">
        <v>43883</v>
      </c>
      <c r="B28" s="40">
        <v>139</v>
      </c>
      <c r="C28" s="24">
        <v>5950870</v>
      </c>
      <c r="D28" s="24">
        <v>12846560</v>
      </c>
      <c r="E28" s="24">
        <v>1500170</v>
      </c>
      <c r="F28" s="24">
        <v>2721190</v>
      </c>
      <c r="G28" s="24">
        <v>8464310</v>
      </c>
      <c r="H28" s="24">
        <v>4137380</v>
      </c>
      <c r="I28" s="24">
        <v>4007540</v>
      </c>
      <c r="J28" s="24">
        <v>4603790</v>
      </c>
      <c r="K28" s="24">
        <v>7282350</v>
      </c>
      <c r="L28" s="24">
        <v>2672320</v>
      </c>
      <c r="M28" s="24">
        <v>6619190</v>
      </c>
      <c r="N28" s="24">
        <v>9230760</v>
      </c>
      <c r="O28" s="24">
        <v>12529720</v>
      </c>
      <c r="Q28" s="37">
        <f t="shared" si="21"/>
        <v>520</v>
      </c>
      <c r="R28" s="37">
        <f t="shared" si="22"/>
        <v>1760</v>
      </c>
      <c r="S28" s="37">
        <f t="shared" si="16"/>
        <v>2980</v>
      </c>
      <c r="T28" s="37">
        <f t="shared" si="23"/>
        <v>1350</v>
      </c>
      <c r="U28" s="37">
        <f t="shared" si="24"/>
        <v>6890</v>
      </c>
      <c r="V28" s="37">
        <f t="shared" si="25"/>
        <v>4640</v>
      </c>
      <c r="W28" s="37">
        <f t="shared" si="26"/>
        <v>3100</v>
      </c>
      <c r="X28" s="37">
        <f t="shared" si="27"/>
        <v>4510</v>
      </c>
      <c r="Y28" s="37">
        <f t="shared" si="28"/>
        <v>5310</v>
      </c>
      <c r="Z28" s="37">
        <f t="shared" si="29"/>
        <v>2680</v>
      </c>
      <c r="AA28" s="37">
        <f t="shared" si="30"/>
        <v>3540</v>
      </c>
      <c r="AB28" s="37">
        <f t="shared" si="31"/>
        <v>6970</v>
      </c>
      <c r="AC28" s="37">
        <f t="shared" si="32"/>
        <v>14350</v>
      </c>
      <c r="AD28" s="35">
        <f t="shared" si="33"/>
        <v>58600</v>
      </c>
      <c r="AF28" s="20">
        <f t="shared" si="1"/>
        <v>2.6</v>
      </c>
      <c r="AG28" s="20">
        <f t="shared" si="2"/>
        <v>8.8000000000000007</v>
      </c>
      <c r="AH28" s="20">
        <f t="shared" si="3"/>
        <v>14.9</v>
      </c>
      <c r="AI28" s="20">
        <f t="shared" si="4"/>
        <v>6.75</v>
      </c>
      <c r="AJ28" s="20">
        <f t="shared" si="5"/>
        <v>34.450000000000003</v>
      </c>
      <c r="AK28" s="20">
        <f t="shared" si="6"/>
        <v>23.2</v>
      </c>
      <c r="AL28" s="20">
        <f t="shared" si="7"/>
        <v>15.5</v>
      </c>
      <c r="AM28" s="20">
        <f t="shared" si="8"/>
        <v>22.55</v>
      </c>
      <c r="AN28" s="20">
        <f t="shared" si="9"/>
        <v>26.55</v>
      </c>
      <c r="AO28" s="20">
        <f t="shared" si="10"/>
        <v>13.4</v>
      </c>
      <c r="AP28" s="20">
        <f t="shared" si="11"/>
        <v>17.7</v>
      </c>
      <c r="AQ28" s="20">
        <f t="shared" si="12"/>
        <v>34.85</v>
      </c>
      <c r="AR28" s="20">
        <f t="shared" si="13"/>
        <v>71.75</v>
      </c>
      <c r="AS28" s="35">
        <f t="shared" si="34"/>
        <v>293</v>
      </c>
      <c r="AT28" s="51"/>
      <c r="AV28" s="55">
        <v>0</v>
      </c>
      <c r="AW28" s="54">
        <f t="shared" si="14"/>
        <v>0</v>
      </c>
      <c r="AX28" s="56">
        <f t="shared" si="17"/>
        <v>0</v>
      </c>
      <c r="AY28" s="75">
        <v>811520</v>
      </c>
      <c r="AZ28" s="37">
        <f t="shared" si="18"/>
        <v>211000</v>
      </c>
      <c r="BA28" s="37">
        <f t="shared" si="19"/>
        <v>576.03</v>
      </c>
      <c r="BB28" s="49">
        <f t="shared" si="20"/>
        <v>255.98773199999999</v>
      </c>
    </row>
    <row r="29" spans="1:54" x14ac:dyDescent="0.25">
      <c r="A29" s="23">
        <v>43884</v>
      </c>
      <c r="B29" s="40">
        <v>115</v>
      </c>
      <c r="C29" s="24">
        <v>5951430</v>
      </c>
      <c r="D29" s="24">
        <v>12848430</v>
      </c>
      <c r="E29" s="24">
        <v>1503370</v>
      </c>
      <c r="F29" s="24">
        <v>2722630</v>
      </c>
      <c r="G29" s="24">
        <v>8471300</v>
      </c>
      <c r="H29" s="24">
        <v>4142190</v>
      </c>
      <c r="I29" s="24">
        <v>4010690</v>
      </c>
      <c r="J29" s="24">
        <v>4608500</v>
      </c>
      <c r="K29" s="24">
        <v>7287950</v>
      </c>
      <c r="L29" s="24">
        <v>2675150</v>
      </c>
      <c r="M29" s="24">
        <v>6622780</v>
      </c>
      <c r="N29" s="24">
        <v>9238300</v>
      </c>
      <c r="O29" s="24">
        <v>12544880</v>
      </c>
      <c r="Q29" s="37">
        <f t="shared" si="21"/>
        <v>560</v>
      </c>
      <c r="R29" s="37">
        <f t="shared" si="22"/>
        <v>1870</v>
      </c>
      <c r="S29" s="37">
        <f t="shared" si="16"/>
        <v>3200</v>
      </c>
      <c r="T29" s="37">
        <f t="shared" si="23"/>
        <v>1440</v>
      </c>
      <c r="U29" s="37">
        <f t="shared" si="24"/>
        <v>6990</v>
      </c>
      <c r="V29" s="37">
        <f t="shared" si="25"/>
        <v>4810</v>
      </c>
      <c r="W29" s="37">
        <f t="shared" si="26"/>
        <v>3150</v>
      </c>
      <c r="X29" s="37">
        <f t="shared" si="27"/>
        <v>4710</v>
      </c>
      <c r="Y29" s="37">
        <f t="shared" si="28"/>
        <v>5600</v>
      </c>
      <c r="Z29" s="37">
        <f t="shared" si="29"/>
        <v>2830</v>
      </c>
      <c r="AA29" s="37">
        <f t="shared" si="30"/>
        <v>3590</v>
      </c>
      <c r="AB29" s="37">
        <f t="shared" si="31"/>
        <v>7540</v>
      </c>
      <c r="AC29" s="37">
        <f t="shared" si="32"/>
        <v>15160</v>
      </c>
      <c r="AD29" s="35">
        <f t="shared" si="33"/>
        <v>61450</v>
      </c>
      <c r="AF29" s="20">
        <f t="shared" si="1"/>
        <v>2.8000000000000003</v>
      </c>
      <c r="AG29" s="20">
        <f t="shared" si="2"/>
        <v>9.35</v>
      </c>
      <c r="AH29" s="20">
        <f t="shared" si="3"/>
        <v>16</v>
      </c>
      <c r="AI29" s="20">
        <f t="shared" si="4"/>
        <v>7.2</v>
      </c>
      <c r="AJ29" s="20">
        <f t="shared" si="5"/>
        <v>34.950000000000003</v>
      </c>
      <c r="AK29" s="20">
        <f t="shared" si="6"/>
        <v>24.05</v>
      </c>
      <c r="AL29" s="20">
        <f t="shared" si="7"/>
        <v>15.75</v>
      </c>
      <c r="AM29" s="20">
        <f t="shared" si="8"/>
        <v>23.55</v>
      </c>
      <c r="AN29" s="20">
        <f t="shared" si="9"/>
        <v>28</v>
      </c>
      <c r="AO29" s="20">
        <f t="shared" si="10"/>
        <v>14.15</v>
      </c>
      <c r="AP29" s="20">
        <f t="shared" si="11"/>
        <v>17.95</v>
      </c>
      <c r="AQ29" s="20">
        <f t="shared" si="12"/>
        <v>37.700000000000003</v>
      </c>
      <c r="AR29" s="20">
        <f t="shared" si="13"/>
        <v>75.8</v>
      </c>
      <c r="AS29" s="35">
        <f t="shared" si="34"/>
        <v>307.25</v>
      </c>
      <c r="AT29" s="51"/>
      <c r="AV29" s="55">
        <v>0</v>
      </c>
      <c r="AW29" s="54">
        <f t="shared" si="14"/>
        <v>0</v>
      </c>
      <c r="AX29" s="56">
        <f t="shared" si="17"/>
        <v>0</v>
      </c>
      <c r="AY29" s="75">
        <v>813138</v>
      </c>
      <c r="AZ29" s="37">
        <f t="shared" si="18"/>
        <v>161800</v>
      </c>
      <c r="BA29" s="37">
        <f t="shared" si="19"/>
        <v>441.714</v>
      </c>
      <c r="BB29" s="49">
        <f t="shared" si="20"/>
        <v>196.29770160000001</v>
      </c>
    </row>
    <row r="30" spans="1:54" x14ac:dyDescent="0.25">
      <c r="A30" s="23">
        <v>43885</v>
      </c>
      <c r="B30" s="40">
        <v>109</v>
      </c>
      <c r="C30" s="24">
        <v>5952000</v>
      </c>
      <c r="D30" s="24">
        <v>12850350</v>
      </c>
      <c r="E30" s="24">
        <v>1506790</v>
      </c>
      <c r="F30" s="24">
        <v>2724110</v>
      </c>
      <c r="G30" s="24">
        <v>8477770</v>
      </c>
      <c r="H30" s="24">
        <v>4146980</v>
      </c>
      <c r="I30" s="24">
        <v>4013760</v>
      </c>
      <c r="J30" s="24">
        <v>4613140</v>
      </c>
      <c r="K30" s="24">
        <v>7293260</v>
      </c>
      <c r="L30" s="24">
        <v>2677910</v>
      </c>
      <c r="M30" s="24">
        <v>6625900</v>
      </c>
      <c r="N30" s="24">
        <v>9245810</v>
      </c>
      <c r="O30" s="24">
        <v>12559600</v>
      </c>
      <c r="Q30" s="37">
        <f t="shared" si="21"/>
        <v>570</v>
      </c>
      <c r="R30" s="37">
        <f t="shared" si="22"/>
        <v>1920</v>
      </c>
      <c r="S30" s="37">
        <f t="shared" si="16"/>
        <v>3420</v>
      </c>
      <c r="T30" s="37">
        <f t="shared" si="23"/>
        <v>1480</v>
      </c>
      <c r="U30" s="37">
        <f t="shared" si="24"/>
        <v>6470</v>
      </c>
      <c r="V30" s="37">
        <f t="shared" si="25"/>
        <v>4790</v>
      </c>
      <c r="W30" s="37">
        <f t="shared" si="26"/>
        <v>3070</v>
      </c>
      <c r="X30" s="37">
        <f t="shared" si="27"/>
        <v>4640</v>
      </c>
      <c r="Y30" s="37">
        <f t="shared" si="28"/>
        <v>5310</v>
      </c>
      <c r="Z30" s="37">
        <f t="shared" si="29"/>
        <v>2760</v>
      </c>
      <c r="AA30" s="37">
        <f t="shared" si="30"/>
        <v>3120</v>
      </c>
      <c r="AB30" s="37">
        <f t="shared" si="31"/>
        <v>7510</v>
      </c>
      <c r="AC30" s="37">
        <f t="shared" si="32"/>
        <v>14720</v>
      </c>
      <c r="AD30" s="35">
        <f t="shared" si="33"/>
        <v>59780</v>
      </c>
      <c r="AF30" s="20">
        <f t="shared" si="1"/>
        <v>2.85</v>
      </c>
      <c r="AG30" s="20">
        <f t="shared" si="2"/>
        <v>9.6</v>
      </c>
      <c r="AH30" s="20">
        <f t="shared" si="3"/>
        <v>17.100000000000001</v>
      </c>
      <c r="AI30" s="20">
        <f t="shared" si="4"/>
        <v>7.4</v>
      </c>
      <c r="AJ30" s="20">
        <f t="shared" si="5"/>
        <v>32.35</v>
      </c>
      <c r="AK30" s="20">
        <f t="shared" si="6"/>
        <v>23.95</v>
      </c>
      <c r="AL30" s="20">
        <f t="shared" si="7"/>
        <v>15.35</v>
      </c>
      <c r="AM30" s="20">
        <f t="shared" si="8"/>
        <v>23.2</v>
      </c>
      <c r="AN30" s="20">
        <f t="shared" si="9"/>
        <v>26.55</v>
      </c>
      <c r="AO30" s="20">
        <f t="shared" si="10"/>
        <v>13.8</v>
      </c>
      <c r="AP30" s="20">
        <f t="shared" si="11"/>
        <v>15.6</v>
      </c>
      <c r="AQ30" s="20">
        <f t="shared" si="12"/>
        <v>37.550000000000004</v>
      </c>
      <c r="AR30" s="20">
        <f t="shared" si="13"/>
        <v>73.600000000000009</v>
      </c>
      <c r="AS30" s="35">
        <f t="shared" si="34"/>
        <v>298.90000000000003</v>
      </c>
      <c r="AT30" s="51"/>
      <c r="AV30" s="55">
        <v>0</v>
      </c>
      <c r="AW30" s="54">
        <f t="shared" si="14"/>
        <v>0</v>
      </c>
      <c r="AX30" s="56">
        <f t="shared" si="17"/>
        <v>0</v>
      </c>
      <c r="AY30" s="75">
        <v>815629</v>
      </c>
      <c r="AZ30" s="37">
        <f t="shared" si="18"/>
        <v>249100</v>
      </c>
      <c r="BA30" s="37">
        <f t="shared" si="19"/>
        <v>680.04300000000001</v>
      </c>
      <c r="BB30" s="49">
        <f t="shared" si="20"/>
        <v>302.21110920000001</v>
      </c>
    </row>
    <row r="31" spans="1:54" x14ac:dyDescent="0.25">
      <c r="A31" s="23">
        <v>43886</v>
      </c>
      <c r="B31" s="40">
        <v>97</v>
      </c>
      <c r="C31" s="24">
        <v>5952580</v>
      </c>
      <c r="D31" s="24">
        <v>12852310</v>
      </c>
      <c r="E31" s="24">
        <v>1510070</v>
      </c>
      <c r="F31" s="24">
        <v>2725890</v>
      </c>
      <c r="G31" s="24">
        <v>8484460</v>
      </c>
      <c r="H31" s="24">
        <v>4151710</v>
      </c>
      <c r="I31" s="24">
        <v>4016610</v>
      </c>
      <c r="J31" s="24">
        <v>4617870</v>
      </c>
      <c r="K31" s="24">
        <v>7298560</v>
      </c>
      <c r="L31" s="24">
        <v>2680690</v>
      </c>
      <c r="M31" s="24">
        <v>6629480</v>
      </c>
      <c r="N31" s="24">
        <v>9253420</v>
      </c>
      <c r="O31" s="24">
        <v>12574360</v>
      </c>
      <c r="Q31" s="37">
        <f>IF((C31-C30&lt;0), "0",C31-C30)</f>
        <v>580</v>
      </c>
      <c r="R31" s="37">
        <f t="shared" si="22"/>
        <v>1960</v>
      </c>
      <c r="S31" s="37">
        <f t="shared" si="16"/>
        <v>3280</v>
      </c>
      <c r="T31" s="37">
        <f t="shared" si="23"/>
        <v>1780</v>
      </c>
      <c r="U31" s="37">
        <f t="shared" si="24"/>
        <v>6690</v>
      </c>
      <c r="V31" s="37">
        <f t="shared" si="25"/>
        <v>4730</v>
      </c>
      <c r="W31" s="37">
        <f t="shared" si="26"/>
        <v>2850</v>
      </c>
      <c r="X31" s="37">
        <f t="shared" si="27"/>
        <v>4730</v>
      </c>
      <c r="Y31" s="37">
        <f t="shared" si="28"/>
        <v>5300</v>
      </c>
      <c r="Z31" s="37">
        <f t="shared" si="29"/>
        <v>2780</v>
      </c>
      <c r="AA31" s="37">
        <f t="shared" si="30"/>
        <v>3580</v>
      </c>
      <c r="AB31" s="37">
        <f t="shared" si="31"/>
        <v>7610</v>
      </c>
      <c r="AC31" s="37">
        <f t="shared" si="32"/>
        <v>14760</v>
      </c>
      <c r="AD31" s="35">
        <f t="shared" si="33"/>
        <v>60630</v>
      </c>
      <c r="AF31" s="20">
        <f t="shared" si="1"/>
        <v>2.9</v>
      </c>
      <c r="AG31" s="20">
        <f t="shared" si="2"/>
        <v>9.8000000000000007</v>
      </c>
      <c r="AH31" s="20">
        <f t="shared" si="3"/>
        <v>16.399999999999999</v>
      </c>
      <c r="AI31" s="20">
        <f t="shared" si="4"/>
        <v>8.9</v>
      </c>
      <c r="AJ31" s="20">
        <f t="shared" si="5"/>
        <v>33.450000000000003</v>
      </c>
      <c r="AK31" s="20">
        <f t="shared" si="6"/>
        <v>23.650000000000002</v>
      </c>
      <c r="AL31" s="20">
        <f t="shared" si="7"/>
        <v>14.25</v>
      </c>
      <c r="AM31" s="20">
        <f t="shared" si="8"/>
        <v>23.650000000000002</v>
      </c>
      <c r="AN31" s="20">
        <f t="shared" si="9"/>
        <v>26.5</v>
      </c>
      <c r="AO31" s="20">
        <f t="shared" si="10"/>
        <v>13.9</v>
      </c>
      <c r="AP31" s="20">
        <f t="shared" si="11"/>
        <v>17.900000000000002</v>
      </c>
      <c r="AQ31" s="20">
        <f t="shared" si="12"/>
        <v>38.050000000000004</v>
      </c>
      <c r="AR31" s="20">
        <f t="shared" si="13"/>
        <v>73.8</v>
      </c>
      <c r="AS31" s="35">
        <f t="shared" si="34"/>
        <v>303.15000000000003</v>
      </c>
      <c r="AT31" s="51"/>
      <c r="AV31" s="55">
        <v>0</v>
      </c>
      <c r="AW31" s="54">
        <f t="shared" si="14"/>
        <v>0</v>
      </c>
      <c r="AX31" s="56">
        <f t="shared" si="17"/>
        <v>0</v>
      </c>
      <c r="AY31" s="75">
        <v>817241</v>
      </c>
      <c r="AZ31" s="37">
        <f t="shared" si="18"/>
        <v>161200</v>
      </c>
      <c r="BA31" s="37">
        <f t="shared" si="19"/>
        <v>440.07600000000002</v>
      </c>
      <c r="BB31" s="49">
        <f t="shared" si="20"/>
        <v>195.56977440000003</v>
      </c>
    </row>
    <row r="32" spans="1:54" x14ac:dyDescent="0.25">
      <c r="A32" s="23">
        <v>43887</v>
      </c>
      <c r="B32" s="40">
        <v>84</v>
      </c>
      <c r="C32" s="24">
        <v>5953100</v>
      </c>
      <c r="D32" s="24">
        <v>12854050</v>
      </c>
      <c r="E32" s="24">
        <v>1512610</v>
      </c>
      <c r="F32" s="24">
        <v>2727200</v>
      </c>
      <c r="G32" s="24">
        <v>8490510</v>
      </c>
      <c r="H32" s="24">
        <v>4156150</v>
      </c>
      <c r="I32" s="24">
        <v>4019160</v>
      </c>
      <c r="J32" s="24">
        <v>4622280</v>
      </c>
      <c r="K32" s="24">
        <v>7303950</v>
      </c>
      <c r="L32" s="24">
        <v>2683150</v>
      </c>
      <c r="M32" s="24">
        <v>6632790</v>
      </c>
      <c r="N32" s="24">
        <v>9259870</v>
      </c>
      <c r="O32" s="24">
        <v>12588050</v>
      </c>
      <c r="Q32" s="37">
        <f>IF((C32-C31&lt;0), "0",C32-C31)</f>
        <v>520</v>
      </c>
      <c r="R32" s="37">
        <f t="shared" si="22"/>
        <v>1740</v>
      </c>
      <c r="S32" s="37">
        <f t="shared" si="16"/>
        <v>2540</v>
      </c>
      <c r="T32" s="37">
        <f t="shared" si="23"/>
        <v>1310</v>
      </c>
      <c r="U32" s="37">
        <f t="shared" si="24"/>
        <v>6050</v>
      </c>
      <c r="V32" s="37">
        <f t="shared" si="25"/>
        <v>4440</v>
      </c>
      <c r="W32" s="37">
        <f t="shared" si="26"/>
        <v>2550</v>
      </c>
      <c r="X32" s="37">
        <f t="shared" si="27"/>
        <v>4410</v>
      </c>
      <c r="Y32" s="37">
        <f t="shared" si="28"/>
        <v>5390</v>
      </c>
      <c r="Z32" s="37">
        <f t="shared" si="29"/>
        <v>2460</v>
      </c>
      <c r="AA32" s="37">
        <f t="shared" si="30"/>
        <v>3310</v>
      </c>
      <c r="AB32" s="37">
        <f t="shared" si="31"/>
        <v>6450</v>
      </c>
      <c r="AC32" s="37">
        <f t="shared" si="32"/>
        <v>13690</v>
      </c>
      <c r="AD32" s="35">
        <f t="shared" si="33"/>
        <v>54860</v>
      </c>
      <c r="AF32" s="20">
        <f t="shared" si="1"/>
        <v>2.6</v>
      </c>
      <c r="AG32" s="20">
        <f t="shared" si="2"/>
        <v>8.7000000000000011</v>
      </c>
      <c r="AH32" s="20">
        <f t="shared" si="3"/>
        <v>12.700000000000001</v>
      </c>
      <c r="AI32" s="20">
        <f t="shared" si="4"/>
        <v>6.55</v>
      </c>
      <c r="AJ32" s="20">
        <f t="shared" si="5"/>
        <v>30.25</v>
      </c>
      <c r="AK32" s="20">
        <f t="shared" si="6"/>
        <v>22.2</v>
      </c>
      <c r="AL32" s="20">
        <f t="shared" si="7"/>
        <v>12.75</v>
      </c>
      <c r="AM32" s="20">
        <f t="shared" si="8"/>
        <v>22.05</v>
      </c>
      <c r="AN32" s="20">
        <f t="shared" si="9"/>
        <v>26.95</v>
      </c>
      <c r="AO32" s="20">
        <f t="shared" si="10"/>
        <v>12.3</v>
      </c>
      <c r="AP32" s="20">
        <f t="shared" si="11"/>
        <v>16.55</v>
      </c>
      <c r="AQ32" s="20">
        <f t="shared" si="12"/>
        <v>32.25</v>
      </c>
      <c r="AR32" s="20">
        <f t="shared" si="13"/>
        <v>68.45</v>
      </c>
      <c r="AS32" s="35">
        <f t="shared" si="34"/>
        <v>274.3</v>
      </c>
      <c r="AT32" s="51"/>
      <c r="AV32" s="55">
        <v>0</v>
      </c>
      <c r="AW32" s="54">
        <f t="shared" si="14"/>
        <v>0</v>
      </c>
      <c r="AX32" s="56">
        <f t="shared" si="17"/>
        <v>0</v>
      </c>
      <c r="AY32" s="75">
        <v>818881</v>
      </c>
      <c r="AZ32" s="37">
        <f t="shared" si="18"/>
        <v>164000</v>
      </c>
      <c r="BA32" s="37">
        <f t="shared" si="19"/>
        <v>447.72</v>
      </c>
      <c r="BB32" s="49">
        <f t="shared" si="20"/>
        <v>198.96676800000003</v>
      </c>
    </row>
    <row r="33" spans="1:54" x14ac:dyDescent="0.25">
      <c r="A33" s="23">
        <v>43888</v>
      </c>
      <c r="B33" s="40">
        <v>45</v>
      </c>
      <c r="C33" s="24">
        <v>5953650</v>
      </c>
      <c r="D33" s="24">
        <v>12855920</v>
      </c>
      <c r="E33" s="24">
        <v>1515420</v>
      </c>
      <c r="F33" s="24">
        <v>2728590</v>
      </c>
      <c r="G33" s="24">
        <v>8496770</v>
      </c>
      <c r="H33" s="24">
        <v>4160760</v>
      </c>
      <c r="I33" s="24">
        <v>4022000</v>
      </c>
      <c r="J33" s="24">
        <v>4626760</v>
      </c>
      <c r="K33" s="24">
        <v>7307570</v>
      </c>
      <c r="L33" s="24">
        <v>2685820</v>
      </c>
      <c r="M33" s="24">
        <v>6636080</v>
      </c>
      <c r="N33" s="24">
        <v>9266920</v>
      </c>
      <c r="O33" s="24">
        <v>12603230</v>
      </c>
      <c r="Q33" s="37">
        <f>IF((C33-C32&lt;0), "0",C33-C32)</f>
        <v>550</v>
      </c>
      <c r="R33" s="37">
        <f t="shared" si="22"/>
        <v>1870</v>
      </c>
      <c r="S33" s="37">
        <f t="shared" si="16"/>
        <v>2810</v>
      </c>
      <c r="T33" s="37">
        <f t="shared" si="23"/>
        <v>1390</v>
      </c>
      <c r="U33" s="37">
        <f t="shared" si="24"/>
        <v>6260</v>
      </c>
      <c r="V33" s="37">
        <f t="shared" si="25"/>
        <v>4610</v>
      </c>
      <c r="W33" s="37">
        <f t="shared" si="26"/>
        <v>2840</v>
      </c>
      <c r="X33" s="37">
        <f t="shared" si="27"/>
        <v>4480</v>
      </c>
      <c r="Y33" s="37">
        <f t="shared" si="28"/>
        <v>3620</v>
      </c>
      <c r="Z33" s="37">
        <f t="shared" si="29"/>
        <v>2670</v>
      </c>
      <c r="AA33" s="37">
        <f t="shared" si="30"/>
        <v>3290</v>
      </c>
      <c r="AB33" s="37">
        <f t="shared" si="31"/>
        <v>7050</v>
      </c>
      <c r="AC33" s="37">
        <f t="shared" si="32"/>
        <v>15180</v>
      </c>
      <c r="AD33" s="35">
        <f t="shared" si="33"/>
        <v>56620</v>
      </c>
      <c r="AF33" s="20">
        <f t="shared" si="1"/>
        <v>2.75</v>
      </c>
      <c r="AG33" s="20">
        <f t="shared" si="2"/>
        <v>9.35</v>
      </c>
      <c r="AH33" s="20">
        <f t="shared" si="3"/>
        <v>14.05</v>
      </c>
      <c r="AI33" s="20">
        <f t="shared" si="4"/>
        <v>6.95</v>
      </c>
      <c r="AJ33" s="20">
        <f t="shared" si="5"/>
        <v>31.3</v>
      </c>
      <c r="AK33" s="20">
        <f t="shared" si="6"/>
        <v>23.05</v>
      </c>
      <c r="AL33" s="20">
        <f t="shared" si="7"/>
        <v>14.200000000000001</v>
      </c>
      <c r="AM33" s="20">
        <f t="shared" si="8"/>
        <v>22.400000000000002</v>
      </c>
      <c r="AN33" s="20">
        <f t="shared" si="9"/>
        <v>18.100000000000001</v>
      </c>
      <c r="AO33" s="20">
        <f t="shared" si="10"/>
        <v>13.35</v>
      </c>
      <c r="AP33" s="20">
        <f t="shared" si="11"/>
        <v>16.45</v>
      </c>
      <c r="AQ33" s="20">
        <f t="shared" si="12"/>
        <v>35.25</v>
      </c>
      <c r="AR33" s="20">
        <f t="shared" si="13"/>
        <v>75.900000000000006</v>
      </c>
      <c r="AS33" s="35">
        <f t="shared" si="34"/>
        <v>283.10000000000002</v>
      </c>
      <c r="AT33" s="51"/>
      <c r="AV33" s="55">
        <v>0</v>
      </c>
      <c r="AW33" s="54">
        <f t="shared" si="14"/>
        <v>0</v>
      </c>
      <c r="AX33" s="56">
        <f t="shared" si="17"/>
        <v>0</v>
      </c>
      <c r="AY33" s="75">
        <v>821281</v>
      </c>
      <c r="AZ33" s="37">
        <f t="shared" si="18"/>
        <v>240000</v>
      </c>
      <c r="BA33" s="37">
        <f t="shared" si="19"/>
        <v>655.19999999999993</v>
      </c>
      <c r="BB33" s="49">
        <f t="shared" si="20"/>
        <v>291.17087999999995</v>
      </c>
    </row>
    <row r="34" spans="1:54" x14ac:dyDescent="0.25">
      <c r="A34" s="23">
        <v>43889</v>
      </c>
      <c r="B34" s="46">
        <v>44</v>
      </c>
      <c r="C34" s="45">
        <v>5954210</v>
      </c>
      <c r="D34" s="24">
        <v>12857780</v>
      </c>
      <c r="E34" s="24">
        <v>1518360</v>
      </c>
      <c r="F34" s="24">
        <v>2730000</v>
      </c>
      <c r="G34" s="24">
        <v>8502790</v>
      </c>
      <c r="H34" s="24">
        <v>4165230</v>
      </c>
      <c r="I34" s="24">
        <v>4024530</v>
      </c>
      <c r="J34" s="24">
        <v>4630990</v>
      </c>
      <c r="K34" s="24">
        <v>7312150</v>
      </c>
      <c r="L34" s="24">
        <v>2688300</v>
      </c>
      <c r="M34" s="24">
        <v>6639060</v>
      </c>
      <c r="N34" s="24">
        <v>9274170</v>
      </c>
      <c r="O34" s="24">
        <v>12618560</v>
      </c>
      <c r="Q34" s="37">
        <f>IF((C34-C33&lt;0), "0",C34-C33)</f>
        <v>560</v>
      </c>
      <c r="R34" s="37">
        <f t="shared" si="22"/>
        <v>1860</v>
      </c>
      <c r="S34" s="37">
        <f t="shared" si="16"/>
        <v>2940</v>
      </c>
      <c r="T34" s="37">
        <f t="shared" si="23"/>
        <v>1410</v>
      </c>
      <c r="U34" s="37">
        <f t="shared" si="24"/>
        <v>6020</v>
      </c>
      <c r="V34" s="37">
        <f t="shared" si="25"/>
        <v>4470</v>
      </c>
      <c r="W34" s="37">
        <f t="shared" si="26"/>
        <v>2530</v>
      </c>
      <c r="X34" s="37">
        <f t="shared" si="27"/>
        <v>4230</v>
      </c>
      <c r="Y34" s="37">
        <f t="shared" si="28"/>
        <v>4580</v>
      </c>
      <c r="Z34" s="37">
        <f t="shared" si="29"/>
        <v>2480</v>
      </c>
      <c r="AA34" s="37">
        <f t="shared" si="30"/>
        <v>2980</v>
      </c>
      <c r="AB34" s="37">
        <f t="shared" si="31"/>
        <v>7250</v>
      </c>
      <c r="AC34" s="37">
        <f t="shared" si="32"/>
        <v>15330</v>
      </c>
      <c r="AD34" s="35">
        <f t="shared" si="33"/>
        <v>56640</v>
      </c>
      <c r="AF34" s="20">
        <f>Q34*$D$39</f>
        <v>2.8000000000000003</v>
      </c>
      <c r="AG34" s="20">
        <f t="shared" si="2"/>
        <v>9.3000000000000007</v>
      </c>
      <c r="AH34" s="20">
        <f t="shared" si="3"/>
        <v>14.700000000000001</v>
      </c>
      <c r="AI34" s="20">
        <f t="shared" si="4"/>
        <v>7.05</v>
      </c>
      <c r="AJ34" s="20">
        <f t="shared" si="5"/>
        <v>30.1</v>
      </c>
      <c r="AK34" s="20">
        <f t="shared" si="6"/>
        <v>22.35</v>
      </c>
      <c r="AL34" s="20">
        <f t="shared" si="7"/>
        <v>12.65</v>
      </c>
      <c r="AM34" s="20">
        <f t="shared" si="8"/>
        <v>21.150000000000002</v>
      </c>
      <c r="AN34" s="20">
        <f t="shared" si="9"/>
        <v>22.900000000000002</v>
      </c>
      <c r="AO34" s="20">
        <f t="shared" si="10"/>
        <v>12.4</v>
      </c>
      <c r="AP34" s="20">
        <f t="shared" si="11"/>
        <v>14.9</v>
      </c>
      <c r="AQ34" s="20">
        <f t="shared" si="12"/>
        <v>36.25</v>
      </c>
      <c r="AR34" s="20">
        <f t="shared" si="13"/>
        <v>76.650000000000006</v>
      </c>
      <c r="AS34" s="35">
        <f>SUM(AF34:AR34)</f>
        <v>283.20000000000005</v>
      </c>
      <c r="AT34" s="51"/>
      <c r="AV34" s="55">
        <v>0</v>
      </c>
      <c r="AW34" s="54">
        <f t="shared" si="14"/>
        <v>0</v>
      </c>
      <c r="AX34" s="56">
        <f t="shared" si="17"/>
        <v>0</v>
      </c>
      <c r="AY34" s="75">
        <v>822943</v>
      </c>
      <c r="AZ34" s="37">
        <f t="shared" si="18"/>
        <v>166200</v>
      </c>
      <c r="BA34" s="37">
        <f t="shared" si="19"/>
        <v>453.726</v>
      </c>
      <c r="BB34" s="49">
        <f t="shared" si="20"/>
        <v>201.63583440000002</v>
      </c>
    </row>
    <row r="35" spans="1:54" x14ac:dyDescent="0.25">
      <c r="A35" s="23">
        <v>43890</v>
      </c>
      <c r="B35" s="40">
        <v>44</v>
      </c>
      <c r="C35" s="24">
        <v>5954760</v>
      </c>
      <c r="D35" s="24">
        <v>12859650</v>
      </c>
      <c r="E35" s="24">
        <v>1521350</v>
      </c>
      <c r="F35" s="24">
        <v>2731400</v>
      </c>
      <c r="G35" s="24">
        <v>8508630</v>
      </c>
      <c r="H35" s="24">
        <v>4169690</v>
      </c>
      <c r="I35" s="24">
        <v>4027220</v>
      </c>
      <c r="J35" s="24">
        <v>4635190</v>
      </c>
      <c r="K35" s="24">
        <v>7316650</v>
      </c>
      <c r="L35" s="24">
        <v>2690660</v>
      </c>
      <c r="M35" s="24">
        <v>6641820</v>
      </c>
      <c r="N35" s="24">
        <v>9281190</v>
      </c>
      <c r="O35" s="24">
        <v>12634490</v>
      </c>
      <c r="Q35" s="37">
        <f>IF((C35-C34&lt;0), "0",C35-C34)</f>
        <v>550</v>
      </c>
      <c r="R35" s="37">
        <f t="shared" si="22"/>
        <v>1870</v>
      </c>
      <c r="S35" s="37">
        <f t="shared" si="16"/>
        <v>2990</v>
      </c>
      <c r="T35" s="37">
        <f t="shared" si="23"/>
        <v>1400</v>
      </c>
      <c r="U35" s="37">
        <f t="shared" si="24"/>
        <v>5840</v>
      </c>
      <c r="V35" s="37">
        <f t="shared" si="25"/>
        <v>4460</v>
      </c>
      <c r="W35" s="37">
        <f t="shared" si="26"/>
        <v>2690</v>
      </c>
      <c r="X35" s="37">
        <f t="shared" si="27"/>
        <v>4200</v>
      </c>
      <c r="Y35" s="37">
        <f t="shared" si="28"/>
        <v>4500</v>
      </c>
      <c r="Z35" s="37">
        <f t="shared" si="29"/>
        <v>2360</v>
      </c>
      <c r="AA35" s="37">
        <f t="shared" si="30"/>
        <v>2760</v>
      </c>
      <c r="AB35" s="37">
        <f t="shared" si="31"/>
        <v>7020</v>
      </c>
      <c r="AC35" s="37">
        <f t="shared" si="32"/>
        <v>15930</v>
      </c>
      <c r="AD35" s="35">
        <f t="shared" si="33"/>
        <v>56570</v>
      </c>
      <c r="AF35" s="20">
        <f t="shared" si="1"/>
        <v>2.75</v>
      </c>
      <c r="AG35" s="20">
        <f t="shared" si="2"/>
        <v>9.35</v>
      </c>
      <c r="AH35" s="20">
        <f t="shared" si="3"/>
        <v>14.950000000000001</v>
      </c>
      <c r="AI35" s="20">
        <f t="shared" si="4"/>
        <v>7</v>
      </c>
      <c r="AJ35" s="20">
        <f t="shared" si="5"/>
        <v>29.2</v>
      </c>
      <c r="AK35" s="20">
        <f t="shared" si="6"/>
        <v>22.3</v>
      </c>
      <c r="AL35" s="20">
        <f t="shared" si="7"/>
        <v>13.450000000000001</v>
      </c>
      <c r="AM35" s="20">
        <f t="shared" si="8"/>
        <v>21</v>
      </c>
      <c r="AN35" s="20">
        <f t="shared" si="9"/>
        <v>22.5</v>
      </c>
      <c r="AO35" s="20">
        <f t="shared" si="10"/>
        <v>11.8</v>
      </c>
      <c r="AP35" s="20">
        <f t="shared" si="11"/>
        <v>13.8</v>
      </c>
      <c r="AQ35" s="20">
        <f t="shared" si="12"/>
        <v>35.1</v>
      </c>
      <c r="AR35" s="20">
        <f t="shared" si="13"/>
        <v>79.650000000000006</v>
      </c>
      <c r="AS35" s="35">
        <f>SUM(AF35:AR35)</f>
        <v>282.85000000000002</v>
      </c>
      <c r="AT35" s="51"/>
      <c r="AV35" s="55">
        <v>0</v>
      </c>
      <c r="AW35" s="54">
        <f t="shared" si="14"/>
        <v>0</v>
      </c>
      <c r="AX35" s="56">
        <f t="shared" si="17"/>
        <v>0</v>
      </c>
      <c r="AY35" s="75">
        <v>824221</v>
      </c>
      <c r="AZ35" s="37">
        <f t="shared" si="18"/>
        <v>127800</v>
      </c>
      <c r="BA35" s="37">
        <f t="shared" si="19"/>
        <v>348.89400000000001</v>
      </c>
      <c r="BB35" s="49">
        <f t="shared" si="20"/>
        <v>155.0484936</v>
      </c>
    </row>
    <row r="36" spans="1:54" x14ac:dyDescent="0.25">
      <c r="A36" s="23"/>
      <c r="B36" s="40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Q36" s="37" t="str">
        <f t="shared" ref="Q36:AA36" si="37">IF((C36-C35&lt;0), "0",C36-C35)</f>
        <v>0</v>
      </c>
      <c r="R36" s="37" t="str">
        <f t="shared" si="22"/>
        <v>0</v>
      </c>
      <c r="S36" s="37" t="str">
        <f t="shared" si="37"/>
        <v>0</v>
      </c>
      <c r="T36" s="37" t="str">
        <f t="shared" si="37"/>
        <v>0</v>
      </c>
      <c r="U36" s="37" t="str">
        <f t="shared" si="37"/>
        <v>0</v>
      </c>
      <c r="V36" s="37" t="str">
        <f t="shared" si="37"/>
        <v>0</v>
      </c>
      <c r="W36" s="37" t="str">
        <f t="shared" si="37"/>
        <v>0</v>
      </c>
      <c r="X36" s="37" t="str">
        <f t="shared" si="27"/>
        <v>0</v>
      </c>
      <c r="Y36" s="37" t="str">
        <f t="shared" si="37"/>
        <v>0</v>
      </c>
      <c r="Z36" s="37" t="str">
        <f t="shared" si="37"/>
        <v>0</v>
      </c>
      <c r="AA36" s="37" t="str">
        <f t="shared" si="37"/>
        <v>0</v>
      </c>
      <c r="AB36" s="37" t="str">
        <f t="shared" si="31"/>
        <v>0</v>
      </c>
      <c r="AC36" s="37" t="str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51"/>
      <c r="AV36" s="55">
        <v>0</v>
      </c>
      <c r="AW36" s="54">
        <f t="shared" si="14"/>
        <v>0</v>
      </c>
      <c r="AX36" s="56">
        <f t="shared" si="17"/>
        <v>0</v>
      </c>
      <c r="AY36" s="58"/>
      <c r="AZ36" s="37">
        <f t="shared" si="18"/>
        <v>0</v>
      </c>
      <c r="BA36" s="37">
        <f t="shared" si="19"/>
        <v>0</v>
      </c>
      <c r="BB36" s="49">
        <f t="shared" si="20"/>
        <v>0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51"/>
      <c r="AV37" s="55">
        <v>0</v>
      </c>
      <c r="AW37" s="54">
        <f t="shared" si="14"/>
        <v>0</v>
      </c>
      <c r="AX37" s="56">
        <f t="shared" si="17"/>
        <v>0</v>
      </c>
      <c r="AY37" s="59"/>
      <c r="AZ37" s="37">
        <f t="shared" si="18"/>
        <v>0</v>
      </c>
      <c r="BA37" s="37">
        <f t="shared" si="19"/>
        <v>0</v>
      </c>
      <c r="BB37" s="49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15810</v>
      </c>
      <c r="R38" s="38">
        <f t="shared" ref="R38:AD38" si="60">SUM(R7:R37)</f>
        <v>144610</v>
      </c>
      <c r="S38" s="38">
        <f t="shared" si="60"/>
        <v>51040</v>
      </c>
      <c r="T38" s="38">
        <f t="shared" si="60"/>
        <v>41180</v>
      </c>
      <c r="U38" s="38">
        <f t="shared" si="60"/>
        <v>197200</v>
      </c>
      <c r="V38" s="38">
        <f t="shared" si="60"/>
        <v>138830</v>
      </c>
      <c r="W38" s="38">
        <f t="shared" si="60"/>
        <v>92550</v>
      </c>
      <c r="X38" s="38">
        <f t="shared" si="60"/>
        <v>134620</v>
      </c>
      <c r="Y38" s="38">
        <f t="shared" si="60"/>
        <v>158870</v>
      </c>
      <c r="Z38" s="38">
        <f t="shared" si="60"/>
        <v>83070</v>
      </c>
      <c r="AA38" s="38">
        <f t="shared" si="60"/>
        <v>103850</v>
      </c>
      <c r="AB38" s="38">
        <f t="shared" si="60"/>
        <v>206400</v>
      </c>
      <c r="AC38" s="38">
        <f t="shared" si="60"/>
        <v>448420</v>
      </c>
      <c r="AD38" s="38">
        <f t="shared" si="60"/>
        <v>1816450</v>
      </c>
      <c r="AF38" s="35">
        <f>SUM(AF7:AF37)</f>
        <v>79.05</v>
      </c>
      <c r="AG38" s="35">
        <f t="shared" ref="AG38:AT38" si="61">SUM(AG7:AG37)</f>
        <v>723.05</v>
      </c>
      <c r="AH38" s="35">
        <f t="shared" si="61"/>
        <v>255.2</v>
      </c>
      <c r="AI38" s="35">
        <f t="shared" si="61"/>
        <v>205.9</v>
      </c>
      <c r="AJ38" s="35">
        <f t="shared" si="61"/>
        <v>986.00000000000023</v>
      </c>
      <c r="AK38" s="35">
        <f t="shared" si="61"/>
        <v>694.15000000000009</v>
      </c>
      <c r="AL38" s="35">
        <f t="shared" si="61"/>
        <v>462.75</v>
      </c>
      <c r="AM38" s="35">
        <f t="shared" si="61"/>
        <v>673.09999999999991</v>
      </c>
      <c r="AN38" s="35">
        <f t="shared" si="61"/>
        <v>794.35</v>
      </c>
      <c r="AO38" s="35">
        <f t="shared" si="61"/>
        <v>415.34999999999997</v>
      </c>
      <c r="AP38" s="35">
        <f t="shared" si="61"/>
        <v>519.25</v>
      </c>
      <c r="AQ38" s="35">
        <f t="shared" si="61"/>
        <v>1032</v>
      </c>
      <c r="AR38" s="35">
        <f t="shared" si="61"/>
        <v>2242.1</v>
      </c>
      <c r="AS38" s="35">
        <f t="shared" si="61"/>
        <v>9082.25</v>
      </c>
      <c r="AT38" s="52">
        <f t="shared" si="61"/>
        <v>0</v>
      </c>
      <c r="AV38" s="55">
        <v>0</v>
      </c>
      <c r="AW38" s="54">
        <f t="shared" si="14"/>
        <v>0</v>
      </c>
      <c r="AX38" s="56">
        <f t="shared" si="17"/>
        <v>0</v>
      </c>
      <c r="AY38" s="60"/>
      <c r="AZ38" s="37">
        <f t="shared" si="18"/>
        <v>0</v>
      </c>
      <c r="BA38" s="37">
        <f>SUM(BA7:BA37)</f>
        <v>15197.637000000002</v>
      </c>
      <c r="BB38" s="49">
        <f t="shared" si="20"/>
        <v>6753.8298828000015</v>
      </c>
    </row>
    <row r="39" spans="1:54" x14ac:dyDescent="0.25">
      <c r="B39" s="39">
        <f>SUM(B7:B37)</f>
        <v>5083</v>
      </c>
      <c r="D39">
        <v>5.0000000000000001E-3</v>
      </c>
      <c r="AV39" s="55">
        <v>0</v>
      </c>
      <c r="AW39" s="54">
        <f t="shared" si="14"/>
        <v>0</v>
      </c>
      <c r="AX39" s="56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3">
        <v>0.52800000000000002</v>
      </c>
      <c r="AX44" s="53">
        <v>3.79E-3</v>
      </c>
      <c r="AY44" s="57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